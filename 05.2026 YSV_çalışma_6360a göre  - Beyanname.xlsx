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\\avcvdidata.allianz-tr.local\vdiusers$\cansu.kayadibi\Desktop\"/>
    </mc:Choice>
  </mc:AlternateContent>
  <xr:revisionPtr revIDLastSave="0" documentId="13_ncr:1_{03962282-D7DC-4425-964F-E4C6A36FB1D7}" xr6:coauthVersionLast="47" xr6:coauthVersionMax="47" xr10:uidLastSave="{00000000-0000-0000-0000-000000000000}"/>
  <bookViews>
    <workbookView xWindow="-108" yWindow="-108" windowWidth="23256" windowHeight="13896" tabRatio="836" firstSheet="1" activeTab="1" xr2:uid="{00000000-000D-0000-FFFF-FFFF00000000}"/>
  </bookViews>
  <sheets>
    <sheet name="laroux" sheetId="4" state="veryHidden" r:id="rId1"/>
    <sheet name="Excel6" sheetId="628" r:id="rId2"/>
    <sheet name="Excel5" sheetId="873" r:id="rId3"/>
    <sheet name="Excel4" sheetId="629" r:id="rId4"/>
    <sheet name="Excel3" sheetId="926" r:id="rId5"/>
    <sheet name="Excel2" sheetId="1021" r:id="rId6"/>
    <sheet name="Excel1" sheetId="839" r:id="rId7"/>
    <sheet name="KAPANAN BLD." sheetId="876" r:id="rId8"/>
    <sheet name="Büyükşehir List" sheetId="877" r:id="rId9"/>
    <sheet name="POSTA" sheetId="430" r:id="rId10"/>
    <sheet name="ebeyan" sheetId="892" r:id="rId11"/>
    <sheet name="VAKIF" sheetId="888" r:id="rId12"/>
  </sheets>
  <externalReferences>
    <externalReference r:id="rId13"/>
  </externalReferences>
  <definedNames>
    <definedName name="_xlnm._FilterDatabase" localSheetId="8" hidden="1">'Büyükşehir List'!$A$1:$C$31</definedName>
    <definedName name="_xlnm._FilterDatabase" localSheetId="6" hidden="1">Excel1!$A$1:$WVJ$3218</definedName>
    <definedName name="_xlnm._FilterDatabase" localSheetId="4" hidden="1">Excel3!$A$1:$P$747</definedName>
    <definedName name="_xlnm._FilterDatabase" localSheetId="3" hidden="1">Excel4!$A$1:$R$291</definedName>
    <definedName name="_xlnm._FilterDatabase" localSheetId="2" hidden="1">Excel5!$A$1:$O$284</definedName>
    <definedName name="_xlnm._FilterDatabase" localSheetId="1" hidden="1">Excel6!$A$1:$N$1061</definedName>
    <definedName name="_xlnm._FilterDatabase" localSheetId="7" hidden="1">'KAPANAN BLD.'!$A$1:$D$765</definedName>
    <definedName name="_xlnm._FilterDatabase" localSheetId="9" hidden="1">POSTA!$A$5:$D$297</definedName>
    <definedName name="buyuksehir_ve_il_belediyeleri" localSheetId="4">Excel3!#REF!</definedName>
    <definedName name="_xlnm.Print_Area" localSheetId="6">Excel1!$A$1:$M$2235</definedName>
    <definedName name="_xlnm.Print_Area" localSheetId="3">Excel4!$A$1:$K$105</definedName>
    <definedName name="_xlnm.Print_Area" localSheetId="2">Excel5!$A$1:$O$79</definedName>
    <definedName name="_xlnm.Print_Area" localSheetId="9">POSTA!$A$1:$D$189</definedName>
    <definedName name="_xlnm.Print_Area" localSheetId="11">VAKIF!$A$1:$I$42</definedName>
    <definedName name="_xlnm.Print_Titles" localSheetId="6">Excel1!$1:$1</definedName>
    <definedName name="_xlnm.Print_Titles" localSheetId="2">Excel5!$1:$1</definedName>
    <definedName name="_xlnm.Print_Titles" localSheetId="9">POSTA!$1:$5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89" i="873" l="1"/>
  <c r="AA289" i="873"/>
  <c r="Z289" i="873"/>
  <c r="Y289" i="873"/>
  <c r="X289" i="873"/>
  <c r="W289" i="873"/>
  <c r="V289" i="873"/>
  <c r="U289" i="873"/>
  <c r="T289" i="873"/>
  <c r="S289" i="873"/>
  <c r="R289" i="873"/>
  <c r="Q289" i="873"/>
  <c r="AB288" i="873"/>
  <c r="AA288" i="873"/>
  <c r="Z288" i="873"/>
  <c r="Y288" i="873"/>
  <c r="X288" i="873"/>
  <c r="W288" i="873"/>
  <c r="V288" i="873"/>
  <c r="U288" i="873"/>
  <c r="T288" i="873"/>
  <c r="S288" i="873"/>
  <c r="R288" i="873"/>
  <c r="Q288" i="873"/>
  <c r="AB287" i="873"/>
  <c r="AA287" i="873"/>
  <c r="Z287" i="873"/>
  <c r="Y287" i="873"/>
  <c r="X287" i="873"/>
  <c r="W287" i="873"/>
  <c r="V287" i="873"/>
  <c r="U287" i="873"/>
  <c r="T287" i="873"/>
  <c r="S287" i="873"/>
  <c r="R287" i="873"/>
  <c r="Q287" i="873"/>
  <c r="AB286" i="873"/>
  <c r="AA286" i="873"/>
  <c r="Z286" i="873"/>
  <c r="Y286" i="873"/>
  <c r="X286" i="873"/>
  <c r="W286" i="873"/>
  <c r="V286" i="873"/>
  <c r="U286" i="873"/>
  <c r="T286" i="873"/>
  <c r="S286" i="873"/>
  <c r="R286" i="873"/>
  <c r="Q286" i="873"/>
  <c r="AB285" i="873"/>
  <c r="AA285" i="873"/>
  <c r="Z285" i="873"/>
  <c r="Y285" i="873"/>
  <c r="X285" i="873"/>
  <c r="W285" i="873"/>
  <c r="V285" i="873"/>
  <c r="U285" i="873"/>
  <c r="T285" i="873"/>
  <c r="S285" i="873"/>
  <c r="R285" i="873"/>
  <c r="Q285" i="873"/>
  <c r="K289" i="873"/>
  <c r="M289" i="873" s="1"/>
  <c r="J289" i="873"/>
  <c r="L289" i="873" s="1"/>
  <c r="I289" i="873"/>
  <c r="K288" i="873"/>
  <c r="M288" i="873" s="1"/>
  <c r="J288" i="873"/>
  <c r="L288" i="873" s="1"/>
  <c r="I288" i="873"/>
  <c r="K287" i="873"/>
  <c r="M287" i="873" s="1"/>
  <c r="J287" i="873"/>
  <c r="L287" i="873" s="1"/>
  <c r="I287" i="873"/>
  <c r="K286" i="873"/>
  <c r="M286" i="873" s="1"/>
  <c r="J286" i="873"/>
  <c r="L286" i="873" s="1"/>
  <c r="I286" i="873"/>
  <c r="K285" i="873"/>
  <c r="M285" i="873" s="1"/>
  <c r="J285" i="873"/>
  <c r="L285" i="873" s="1"/>
  <c r="I285" i="873"/>
  <c r="N285" i="873" s="1"/>
  <c r="O285" i="873" s="1"/>
  <c r="F289" i="873"/>
  <c r="F288" i="873"/>
  <c r="F287" i="873"/>
  <c r="F286" i="873"/>
  <c r="F285" i="873"/>
  <c r="N289" i="873" l="1"/>
  <c r="O289" i="873" s="1"/>
  <c r="N286" i="873"/>
  <c r="O286" i="873" s="1"/>
  <c r="N288" i="873"/>
  <c r="O288" i="873" s="1"/>
  <c r="N287" i="873"/>
  <c r="O287" i="873" s="1"/>
  <c r="H1064" i="628" l="1"/>
  <c r="E325" i="926"/>
  <c r="F325" i="926"/>
  <c r="G325" i="926"/>
  <c r="H325" i="926"/>
  <c r="I325" i="926"/>
  <c r="D325" i="926"/>
  <c r="M3216" i="839"/>
  <c r="H1068" i="628"/>
  <c r="F768" i="876" l="1"/>
  <c r="C768" i="876"/>
  <c r="B3215" i="839" l="1"/>
  <c r="B3214" i="839"/>
  <c r="B3213" i="839"/>
  <c r="B3212" i="839"/>
  <c r="B3211" i="839"/>
  <c r="B3210" i="839"/>
  <c r="B3209" i="839"/>
  <c r="B3208" i="839"/>
  <c r="B3207" i="839"/>
  <c r="B3206" i="839"/>
  <c r="B3205" i="839"/>
  <c r="B3204" i="839"/>
  <c r="B3203" i="839"/>
  <c r="B3202" i="839"/>
  <c r="B3201" i="839"/>
  <c r="B3200" i="839"/>
  <c r="B3199" i="839"/>
  <c r="B3198" i="839"/>
  <c r="B3197" i="839"/>
  <c r="B3196" i="839"/>
  <c r="B3195" i="839"/>
  <c r="B3194" i="839"/>
  <c r="B3193" i="839"/>
  <c r="B3192" i="839"/>
  <c r="B3191" i="839"/>
  <c r="B3190" i="839"/>
  <c r="B3189" i="839"/>
  <c r="B3188" i="839"/>
  <c r="B3187" i="839"/>
  <c r="B3186" i="839"/>
  <c r="B3185" i="839"/>
  <c r="B3184" i="839"/>
  <c r="B3183" i="839"/>
  <c r="B3182" i="839"/>
  <c r="B3181" i="839"/>
  <c r="B3180" i="839"/>
  <c r="B3179" i="839"/>
  <c r="B3178" i="839"/>
  <c r="B3177" i="839"/>
  <c r="B3176" i="839"/>
  <c r="B3175" i="839"/>
  <c r="B3174" i="839"/>
  <c r="B3173" i="839"/>
  <c r="B3172" i="839"/>
  <c r="B3171" i="839"/>
  <c r="B3170" i="839"/>
  <c r="B3169" i="839"/>
  <c r="B3168" i="839"/>
  <c r="B3167" i="839"/>
  <c r="B3166" i="839"/>
  <c r="B3165" i="839"/>
  <c r="B3164" i="839"/>
  <c r="B3163" i="839"/>
  <c r="B3162" i="839"/>
  <c r="B3161" i="839"/>
  <c r="B3160" i="839"/>
  <c r="B3159" i="839"/>
  <c r="B3158" i="839"/>
  <c r="B3157" i="839"/>
  <c r="B3156" i="839"/>
  <c r="B3155" i="839"/>
  <c r="B3154" i="839"/>
  <c r="B3153" i="839"/>
  <c r="B3152" i="839"/>
  <c r="B3151" i="839"/>
  <c r="B3150" i="839"/>
  <c r="B3149" i="839"/>
  <c r="B3148" i="839"/>
  <c r="B3147" i="839"/>
  <c r="B3146" i="839"/>
  <c r="B3145" i="839"/>
  <c r="B3144" i="839"/>
  <c r="B3143" i="839"/>
  <c r="B3142" i="839"/>
  <c r="B3141" i="839"/>
  <c r="B3140" i="839"/>
  <c r="B3139" i="839"/>
  <c r="B3138" i="839"/>
  <c r="B3137" i="839"/>
  <c r="B3136" i="839"/>
  <c r="B3135" i="839"/>
  <c r="B3134" i="839"/>
  <c r="B3133" i="839"/>
  <c r="B3132" i="839"/>
  <c r="B3131" i="839"/>
  <c r="B3130" i="839"/>
  <c r="B3129" i="839"/>
  <c r="B3128" i="839"/>
  <c r="B3127" i="839"/>
  <c r="B3126" i="839"/>
  <c r="B3125" i="839"/>
  <c r="B3124" i="839"/>
  <c r="B3123" i="839"/>
  <c r="B3122" i="839"/>
  <c r="B3121" i="839"/>
  <c r="B3120" i="839"/>
  <c r="B3119" i="839"/>
  <c r="B3118" i="839"/>
  <c r="B3117" i="839"/>
  <c r="B3116" i="839"/>
  <c r="B3115" i="839"/>
  <c r="B3114" i="839"/>
  <c r="B3113" i="839"/>
  <c r="B3112" i="839"/>
  <c r="B3111" i="839"/>
  <c r="B3110" i="839"/>
  <c r="B3109" i="839"/>
  <c r="B3108" i="839"/>
  <c r="B3107" i="839"/>
  <c r="B3106" i="839"/>
  <c r="B3105" i="839"/>
  <c r="B3104" i="839"/>
  <c r="B3103" i="839"/>
  <c r="B3102" i="839"/>
  <c r="B3101" i="839"/>
  <c r="B3100" i="839"/>
  <c r="B3099" i="839"/>
  <c r="B3098" i="839"/>
  <c r="B3097" i="839"/>
  <c r="B3096" i="839"/>
  <c r="B3095" i="839"/>
  <c r="B3094" i="839"/>
  <c r="B3075" i="839"/>
  <c r="B3074" i="839"/>
  <c r="B3073" i="839"/>
  <c r="B3072" i="839"/>
  <c r="B3071" i="839"/>
  <c r="B3070" i="839"/>
  <c r="B3069" i="839"/>
  <c r="B3068" i="839"/>
  <c r="B3067" i="839"/>
  <c r="B3066" i="839"/>
  <c r="B3065" i="839"/>
  <c r="B3064" i="839"/>
  <c r="B3063" i="839"/>
  <c r="B3062" i="839"/>
  <c r="B3061" i="839"/>
  <c r="B3060" i="839"/>
  <c r="B3059" i="839"/>
  <c r="B3058" i="839"/>
  <c r="B3057" i="839"/>
  <c r="B3056" i="839"/>
  <c r="B3055" i="839"/>
  <c r="B3054" i="839"/>
  <c r="B3053" i="839"/>
  <c r="B3052" i="839"/>
  <c r="B3051" i="839"/>
  <c r="B3050" i="839"/>
  <c r="B3049" i="839"/>
  <c r="B3048" i="839"/>
  <c r="B3047" i="839"/>
  <c r="B3046" i="839"/>
  <c r="B3045" i="839"/>
  <c r="B2976" i="839"/>
  <c r="B2975" i="839"/>
  <c r="B2974" i="839"/>
  <c r="B2973" i="839"/>
  <c r="B2972" i="839"/>
  <c r="B2971" i="839"/>
  <c r="B2970" i="839"/>
  <c r="B2969" i="839"/>
  <c r="B2968" i="839"/>
  <c r="B2967" i="839"/>
  <c r="B2966" i="839"/>
  <c r="B2965" i="839"/>
  <c r="B2964" i="839"/>
  <c r="B2963" i="839"/>
  <c r="B2962" i="839"/>
  <c r="B2961" i="839"/>
  <c r="B2960" i="839"/>
  <c r="B2959" i="839"/>
  <c r="B2958" i="839"/>
  <c r="B2957" i="839"/>
  <c r="B2956" i="839"/>
  <c r="B2955" i="839"/>
  <c r="B2954" i="839"/>
  <c r="B2953" i="839"/>
  <c r="B2952" i="839"/>
  <c r="B2951" i="839"/>
  <c r="B2950" i="839"/>
  <c r="B2949" i="839"/>
  <c r="B2948" i="839"/>
  <c r="B2947" i="839"/>
  <c r="B2946" i="839"/>
  <c r="B2945" i="839"/>
  <c r="B2944" i="839"/>
  <c r="B2943" i="839"/>
  <c r="B2942" i="839"/>
  <c r="B2941" i="839"/>
  <c r="B2940" i="839"/>
  <c r="B2939" i="839"/>
  <c r="B2938" i="839"/>
  <c r="B2937" i="839"/>
  <c r="B2936" i="839"/>
  <c r="B2935" i="839"/>
  <c r="B2934" i="839"/>
  <c r="B2933" i="839"/>
  <c r="B2932" i="839"/>
  <c r="B2931" i="839"/>
  <c r="B2930" i="839"/>
  <c r="B2929" i="839"/>
  <c r="B2928" i="839"/>
  <c r="B2927" i="839"/>
  <c r="B2926" i="839"/>
  <c r="B2925" i="839"/>
  <c r="B2924" i="839"/>
  <c r="B2923" i="839"/>
  <c r="B2922" i="839"/>
  <c r="B2921" i="839"/>
  <c r="B2920" i="839"/>
  <c r="B2919" i="839"/>
  <c r="B2918" i="839"/>
  <c r="B2917" i="839"/>
  <c r="B2916" i="839"/>
  <c r="B2915" i="839"/>
  <c r="B2914" i="839"/>
  <c r="B2913" i="839"/>
  <c r="B2912" i="839"/>
  <c r="B2911" i="839"/>
  <c r="B2910" i="839"/>
  <c r="B2909" i="839"/>
  <c r="B2908" i="839"/>
  <c r="B2907" i="839"/>
  <c r="B2906" i="839"/>
  <c r="B2905" i="839"/>
  <c r="B2904" i="839"/>
  <c r="B2903" i="839"/>
  <c r="B2902" i="839"/>
  <c r="B2901" i="839"/>
  <c r="B2900" i="839"/>
  <c r="B2899" i="839"/>
  <c r="B2898" i="839"/>
  <c r="B2897" i="839"/>
  <c r="B2896" i="839"/>
  <c r="B2895" i="839"/>
  <c r="B2894" i="839"/>
  <c r="B2893" i="839"/>
  <c r="B2892" i="839"/>
  <c r="B2891" i="839"/>
  <c r="B2890" i="839"/>
  <c r="B2889" i="839"/>
  <c r="B2836" i="839"/>
  <c r="B2835" i="839"/>
  <c r="B2809" i="839"/>
  <c r="B2808" i="839"/>
  <c r="B2807" i="839"/>
  <c r="B2806" i="839"/>
  <c r="B2805" i="839"/>
  <c r="B2804" i="839"/>
  <c r="B2803" i="839"/>
  <c r="B2802" i="839"/>
  <c r="B2801" i="839"/>
  <c r="B2800" i="839"/>
  <c r="B2799" i="839"/>
  <c r="B2798" i="839"/>
  <c r="B2797" i="839"/>
  <c r="B2796" i="839"/>
  <c r="B2795" i="839"/>
  <c r="B2794" i="839"/>
  <c r="B2793" i="839"/>
  <c r="B2792" i="839"/>
  <c r="B2791" i="839"/>
  <c r="B2790" i="839"/>
  <c r="B2789" i="839"/>
  <c r="B2788" i="839"/>
  <c r="B2787" i="839"/>
  <c r="B2786" i="839"/>
  <c r="B2785" i="839"/>
  <c r="B2784" i="839"/>
  <c r="B2783" i="839"/>
  <c r="B2782" i="839"/>
  <c r="B2781" i="839"/>
  <c r="B2780" i="839"/>
  <c r="B2779" i="839"/>
  <c r="B2778" i="839"/>
  <c r="B2777" i="839"/>
  <c r="B2776" i="839"/>
  <c r="B2775" i="839"/>
  <c r="B2774" i="839"/>
  <c r="B2773" i="839"/>
  <c r="B2772" i="839"/>
  <c r="B2771" i="839"/>
  <c r="B2770" i="839"/>
  <c r="B2769" i="839"/>
  <c r="B2768" i="839"/>
  <c r="B2767" i="839"/>
  <c r="B2766" i="839"/>
  <c r="B2765" i="839"/>
  <c r="B2764" i="839"/>
  <c r="B2763" i="839"/>
  <c r="B2762" i="839"/>
  <c r="B2761" i="839"/>
  <c r="B2760" i="839"/>
  <c r="B2759" i="839"/>
  <c r="B2758" i="839"/>
  <c r="B2757" i="839"/>
  <c r="B2756" i="839"/>
  <c r="B2755" i="839"/>
  <c r="B2754" i="839"/>
  <c r="B2753" i="839"/>
  <c r="B2752" i="839"/>
  <c r="B2631" i="839"/>
  <c r="B2630" i="839"/>
  <c r="B2629" i="839"/>
  <c r="B2628" i="839"/>
  <c r="B2627" i="839"/>
  <c r="B2626" i="839"/>
  <c r="B2625" i="839"/>
  <c r="B2624" i="839"/>
  <c r="B2623" i="839"/>
  <c r="B2622" i="839"/>
  <c r="B2621" i="839"/>
  <c r="B2620" i="839"/>
  <c r="B2619" i="839"/>
  <c r="B2618" i="839"/>
  <c r="B2617" i="839"/>
  <c r="B2616" i="839"/>
  <c r="B2615" i="839"/>
  <c r="B2614" i="839"/>
  <c r="B2613" i="839"/>
  <c r="B2612" i="839"/>
  <c r="B2611" i="839"/>
  <c r="B2610" i="839"/>
  <c r="B2609" i="839"/>
  <c r="B2608" i="839"/>
  <c r="B2607" i="839"/>
  <c r="B2606" i="839"/>
  <c r="B2605" i="839"/>
  <c r="B2604" i="839"/>
  <c r="B2603" i="839"/>
  <c r="B2602" i="839"/>
  <c r="B2601" i="839"/>
  <c r="B2600" i="839"/>
  <c r="B2599" i="839"/>
  <c r="B2598" i="839"/>
  <c r="B2597" i="839"/>
  <c r="B2596" i="839"/>
  <c r="B2595" i="839"/>
  <c r="B2594" i="839"/>
  <c r="B2593" i="839"/>
  <c r="B2592" i="839"/>
  <c r="B2591" i="839"/>
  <c r="B2590" i="839"/>
  <c r="B2589" i="839"/>
  <c r="B2588" i="839"/>
  <c r="B2587" i="839"/>
  <c r="B2586" i="839"/>
  <c r="B2585" i="839"/>
  <c r="B2584" i="839"/>
  <c r="B2583" i="839"/>
  <c r="B2582" i="839"/>
  <c r="B2581" i="839"/>
  <c r="B2580" i="839"/>
  <c r="B2514" i="839"/>
  <c r="B2513" i="839"/>
  <c r="B2512" i="839"/>
  <c r="B2511" i="839"/>
  <c r="B2510" i="839"/>
  <c r="B2509" i="839"/>
  <c r="B2508" i="839"/>
  <c r="B2507" i="839"/>
  <c r="B2506" i="839"/>
  <c r="B2505" i="839"/>
  <c r="B2504" i="839"/>
  <c r="B2503" i="839"/>
  <c r="B2502" i="839"/>
  <c r="B2501" i="839"/>
  <c r="B2500" i="839"/>
  <c r="B2499" i="839"/>
  <c r="B2498" i="839"/>
  <c r="B2497" i="839"/>
  <c r="B2496" i="839"/>
  <c r="B2495" i="839"/>
  <c r="B2494" i="839"/>
  <c r="B2493" i="839"/>
  <c r="B2492" i="839"/>
  <c r="B2491" i="839"/>
  <c r="B2490" i="839"/>
  <c r="B2489" i="839"/>
  <c r="B2488" i="839"/>
  <c r="B2487" i="839"/>
  <c r="B2486" i="839"/>
  <c r="B2485" i="839"/>
  <c r="B2484" i="839"/>
  <c r="B2483" i="839"/>
  <c r="B2482" i="839"/>
  <c r="B2481" i="839"/>
  <c r="B2480" i="839"/>
  <c r="B2479" i="839"/>
  <c r="B2478" i="839"/>
  <c r="B2477" i="839"/>
  <c r="B2476" i="839"/>
  <c r="B2475" i="839"/>
  <c r="B2474" i="839"/>
  <c r="B2473" i="839"/>
  <c r="B2472" i="839"/>
  <c r="B2471" i="839"/>
  <c r="B2470" i="839"/>
  <c r="B2469" i="839"/>
  <c r="B2468" i="839"/>
  <c r="B2467" i="839"/>
  <c r="B2466" i="839"/>
  <c r="B2465" i="839"/>
  <c r="B2464" i="839"/>
  <c r="B2463" i="839"/>
  <c r="B2462" i="839"/>
  <c r="B2461" i="839"/>
  <c r="B2460" i="839"/>
  <c r="B2459" i="839"/>
  <c r="B2458" i="839"/>
  <c r="B2457" i="839"/>
  <c r="B2456" i="839"/>
  <c r="B2455" i="839"/>
  <c r="B2454" i="839"/>
  <c r="B2453" i="839"/>
  <c r="B2452" i="839"/>
  <c r="B2451" i="839"/>
  <c r="B2450" i="839"/>
  <c r="B2449" i="839"/>
  <c r="B2448" i="839"/>
  <c r="B2447" i="839"/>
  <c r="B2446" i="839"/>
  <c r="B2445" i="839"/>
  <c r="B2444" i="839"/>
  <c r="B2443" i="839"/>
  <c r="B2442" i="839"/>
  <c r="B2441" i="839"/>
  <c r="B2440" i="839"/>
  <c r="B2439" i="839"/>
  <c r="B2438" i="839"/>
  <c r="B2437" i="839"/>
  <c r="B2436" i="839"/>
  <c r="B2435" i="839"/>
  <c r="B2434" i="839"/>
  <c r="B2433" i="839"/>
  <c r="B2432" i="839"/>
  <c r="B2431" i="839"/>
  <c r="B2430" i="839"/>
  <c r="B2429" i="839"/>
  <c r="B2428" i="839"/>
  <c r="B2427" i="839"/>
  <c r="B2426" i="839"/>
  <c r="B2425" i="839"/>
  <c r="B2424" i="839"/>
  <c r="B2423" i="839"/>
  <c r="B2422" i="839"/>
  <c r="B2421" i="839"/>
  <c r="B2420" i="839"/>
  <c r="B2419" i="839"/>
  <c r="B2418" i="839"/>
  <c r="B2417" i="839"/>
  <c r="B2416" i="839"/>
  <c r="B2415" i="839"/>
  <c r="B2414" i="839"/>
  <c r="B2413" i="839"/>
  <c r="B2412" i="839"/>
  <c r="B2411" i="839"/>
  <c r="B2410" i="839"/>
  <c r="B2409" i="839"/>
  <c r="B2408" i="839"/>
  <c r="B2407" i="839"/>
  <c r="B2406" i="839"/>
  <c r="B2405" i="839"/>
  <c r="B2404" i="839"/>
  <c r="B2403" i="839"/>
  <c r="B2402" i="839"/>
  <c r="B2401" i="839"/>
  <c r="B2400" i="839"/>
  <c r="B2399" i="839"/>
  <c r="B2398" i="839"/>
  <c r="B2397" i="839"/>
  <c r="B2396" i="839"/>
  <c r="B2395" i="839"/>
  <c r="B2394" i="839"/>
  <c r="B2393" i="839"/>
  <c r="B2392" i="839"/>
  <c r="B2391" i="839"/>
  <c r="B2066" i="839"/>
  <c r="B2065" i="839"/>
  <c r="B2064" i="839"/>
  <c r="B2063" i="839"/>
  <c r="B2062" i="839"/>
  <c r="B2061" i="839"/>
  <c r="B2060" i="839"/>
  <c r="B2059" i="839"/>
  <c r="B2058" i="839"/>
  <c r="B2057" i="839"/>
  <c r="B2056" i="839"/>
  <c r="B2055" i="839"/>
  <c r="B2054" i="839"/>
  <c r="B2053" i="839"/>
  <c r="B2052" i="839"/>
  <c r="B2051" i="839"/>
  <c r="B2050" i="839"/>
  <c r="B2049" i="839"/>
  <c r="B2048" i="839"/>
  <c r="B2047" i="839"/>
  <c r="B2046" i="839"/>
  <c r="B2045" i="839"/>
  <c r="B2044" i="839"/>
  <c r="B2043" i="839"/>
  <c r="B2042" i="839"/>
  <c r="B2041" i="839"/>
  <c r="B2040" i="839"/>
  <c r="B2039" i="839"/>
  <c r="B2038" i="839"/>
  <c r="B2037" i="839"/>
  <c r="B2036" i="839"/>
  <c r="B2035" i="839"/>
  <c r="B2034" i="839"/>
  <c r="B2033" i="839"/>
  <c r="B2032" i="839"/>
  <c r="B2031" i="839"/>
  <c r="B2030" i="839"/>
  <c r="B2029" i="839"/>
  <c r="B2028" i="839"/>
  <c r="B2027" i="839"/>
  <c r="B2026" i="839"/>
  <c r="B2025" i="839"/>
  <c r="B2024" i="839"/>
  <c r="B2023" i="839"/>
  <c r="B2022" i="839"/>
  <c r="B2021" i="839"/>
  <c r="B2020" i="839"/>
  <c r="B2019" i="839"/>
  <c r="B2018" i="839"/>
  <c r="B2017" i="839"/>
  <c r="B2016" i="839"/>
  <c r="B2015" i="839"/>
  <c r="B2014" i="839"/>
  <c r="B2013" i="839"/>
  <c r="B2012" i="839"/>
  <c r="B1819" i="839"/>
  <c r="B1818" i="839"/>
  <c r="B1817" i="839"/>
  <c r="B1816" i="839"/>
  <c r="B1815" i="839"/>
  <c r="B1814" i="839"/>
  <c r="B1813" i="839"/>
  <c r="B1812" i="839"/>
  <c r="B1811" i="839"/>
  <c r="B1810" i="839"/>
  <c r="B1809" i="839"/>
  <c r="B1808" i="839"/>
  <c r="B1807" i="839"/>
  <c r="B1806" i="839"/>
  <c r="B1805" i="839"/>
  <c r="B1804" i="839"/>
  <c r="B1803" i="839"/>
  <c r="B1802" i="839"/>
  <c r="B1801" i="839"/>
  <c r="B1800" i="839"/>
  <c r="B1799" i="839"/>
  <c r="B1798" i="839"/>
  <c r="B1797" i="839"/>
  <c r="B1796" i="839"/>
  <c r="B1795" i="839"/>
  <c r="B1794" i="839"/>
  <c r="B1793" i="839"/>
  <c r="B1792" i="839"/>
  <c r="B1791" i="839"/>
  <c r="B1790" i="839"/>
  <c r="B1789" i="839"/>
  <c r="B1788" i="839"/>
  <c r="B1787" i="839"/>
  <c r="B1786" i="839"/>
  <c r="B1785" i="839"/>
  <c r="B1784" i="839"/>
  <c r="B1783" i="839"/>
  <c r="B1782" i="839"/>
  <c r="B1781" i="839"/>
  <c r="B1780" i="839"/>
  <c r="B1779" i="839"/>
  <c r="B1778" i="839"/>
  <c r="B1777" i="839"/>
  <c r="B1776" i="839"/>
  <c r="B1775" i="839"/>
  <c r="B1774" i="839"/>
  <c r="B1773" i="839"/>
  <c r="B1772" i="839"/>
  <c r="B1771" i="839"/>
  <c r="B1770" i="839"/>
  <c r="B1769" i="839"/>
  <c r="B1768" i="839"/>
  <c r="B1767" i="839"/>
  <c r="B1766" i="839"/>
  <c r="B1765" i="839"/>
  <c r="B1764" i="839"/>
  <c r="B1763" i="839"/>
  <c r="B1762" i="839"/>
  <c r="B1761" i="839"/>
  <c r="B1760" i="839"/>
  <c r="B1759" i="839"/>
  <c r="B1758" i="839"/>
  <c r="B1757" i="839"/>
  <c r="B1756" i="839"/>
  <c r="B1755" i="839"/>
  <c r="B1754" i="839"/>
  <c r="B1753" i="839"/>
  <c r="B1752" i="839"/>
  <c r="B1751" i="839"/>
  <c r="B1750" i="839"/>
  <c r="B1749" i="839"/>
  <c r="B1748" i="839"/>
  <c r="B1747" i="839"/>
  <c r="B1746" i="839"/>
  <c r="B1745" i="839"/>
  <c r="B1744" i="839"/>
  <c r="B1743" i="839"/>
  <c r="B1742" i="839"/>
  <c r="B1741" i="839"/>
  <c r="B1740" i="839"/>
  <c r="B1739" i="839"/>
  <c r="B1738" i="839"/>
  <c r="B1737" i="839"/>
  <c r="B1736" i="839"/>
  <c r="B1735" i="839"/>
  <c r="B1734" i="839"/>
  <c r="B1733" i="839"/>
  <c r="B1681" i="839"/>
  <c r="B1680" i="839"/>
  <c r="B1679" i="839"/>
  <c r="B1678" i="839"/>
  <c r="B1677" i="839"/>
  <c r="B1676" i="839"/>
  <c r="B1675" i="839"/>
  <c r="B1674" i="839"/>
  <c r="B1673" i="839"/>
  <c r="B1672" i="839"/>
  <c r="B1671" i="839"/>
  <c r="B1670" i="839"/>
  <c r="B1669" i="839"/>
  <c r="B1668" i="839"/>
  <c r="B1667" i="839"/>
  <c r="B1666" i="839"/>
  <c r="B1665" i="839"/>
  <c r="B1664" i="839"/>
  <c r="B1663" i="839"/>
  <c r="B1662" i="839"/>
  <c r="B1661" i="839"/>
  <c r="B1660" i="839"/>
  <c r="B1659" i="839"/>
  <c r="B1658" i="839"/>
  <c r="B1657" i="839"/>
  <c r="B1656" i="839"/>
  <c r="B1655" i="839"/>
  <c r="B1654" i="839"/>
  <c r="B1653" i="839"/>
  <c r="B1652" i="839"/>
  <c r="B1651" i="839"/>
  <c r="B1650" i="839"/>
  <c r="B1649" i="839"/>
  <c r="B1648" i="839"/>
  <c r="B1647" i="839"/>
  <c r="B1646" i="839"/>
  <c r="B1645" i="839"/>
  <c r="B1644" i="839"/>
  <c r="B1643" i="839"/>
  <c r="B1642" i="839"/>
  <c r="B1641" i="839"/>
  <c r="B1640" i="839"/>
  <c r="B1639" i="839"/>
  <c r="B1638" i="839"/>
  <c r="B1637" i="839"/>
  <c r="B1636" i="839"/>
  <c r="B1635" i="839"/>
  <c r="B1634" i="839"/>
  <c r="B1633" i="839"/>
  <c r="B1632" i="839"/>
  <c r="B1631" i="839"/>
  <c r="B1630" i="839"/>
  <c r="B1629" i="839"/>
  <c r="B1628" i="839"/>
  <c r="B1627" i="839"/>
  <c r="B1626" i="839"/>
  <c r="B1625" i="839"/>
  <c r="B1624" i="839"/>
  <c r="B1623" i="839"/>
  <c r="B1622" i="839"/>
  <c r="B1621" i="839"/>
  <c r="B1620" i="839"/>
  <c r="B1619" i="839"/>
  <c r="B1382" i="839"/>
  <c r="B1381" i="839"/>
  <c r="B1380" i="839"/>
  <c r="B1379" i="839"/>
  <c r="B1378" i="839"/>
  <c r="B1377" i="839"/>
  <c r="B1376" i="839"/>
  <c r="B1375" i="839"/>
  <c r="B1374" i="839"/>
  <c r="B1373" i="839"/>
  <c r="B1372" i="839"/>
  <c r="B1371" i="839"/>
  <c r="B1370" i="839"/>
  <c r="B1369" i="839"/>
  <c r="B1368" i="839"/>
  <c r="B1367" i="839"/>
  <c r="B1366" i="839"/>
  <c r="B1365" i="839"/>
  <c r="B1364" i="839"/>
  <c r="B1363" i="839"/>
  <c r="B1362" i="839"/>
  <c r="B1361" i="839"/>
  <c r="B1360" i="839"/>
  <c r="B1359" i="839"/>
  <c r="B1358" i="839"/>
  <c r="B1357" i="839"/>
  <c r="B1356" i="839"/>
  <c r="B1355" i="839"/>
  <c r="B1354" i="839"/>
  <c r="B1353" i="839"/>
  <c r="B1352" i="839"/>
  <c r="B1351" i="839"/>
  <c r="B1350" i="839"/>
  <c r="B1349" i="839"/>
  <c r="B1348" i="839"/>
  <c r="B1347" i="839"/>
  <c r="B1346" i="839"/>
  <c r="B1345" i="839"/>
  <c r="B1344" i="839"/>
  <c r="B1343" i="839"/>
  <c r="B1342" i="839"/>
  <c r="B1341" i="839"/>
  <c r="B1340" i="839"/>
  <c r="B1339" i="839"/>
  <c r="B1338" i="839"/>
  <c r="B1337" i="839"/>
  <c r="B1336" i="839"/>
  <c r="B1335" i="839"/>
  <c r="B1334" i="839"/>
  <c r="B1333" i="839"/>
  <c r="B1332" i="839"/>
  <c r="B1331" i="839"/>
  <c r="B1330" i="839"/>
  <c r="B1329" i="839"/>
  <c r="B1328" i="839"/>
  <c r="B1327" i="839"/>
  <c r="B1326" i="839"/>
  <c r="B1325" i="839"/>
  <c r="B1324" i="839"/>
  <c r="B1323" i="839"/>
  <c r="B1322" i="839"/>
  <c r="B1321" i="839"/>
  <c r="B1320" i="839"/>
  <c r="B1319" i="839"/>
  <c r="B1318" i="839"/>
  <c r="B1317" i="839"/>
  <c r="B1201" i="839"/>
  <c r="B1200" i="839"/>
  <c r="B1199" i="839"/>
  <c r="B1198" i="839"/>
  <c r="B1197" i="839"/>
  <c r="B1196" i="839"/>
  <c r="B1195" i="839"/>
  <c r="B1194" i="839"/>
  <c r="B1193" i="839"/>
  <c r="B1192" i="839"/>
  <c r="B1191" i="839"/>
  <c r="B1190" i="839"/>
  <c r="B1189" i="839"/>
  <c r="B1188" i="839"/>
  <c r="B1187" i="839"/>
  <c r="B1186" i="839"/>
  <c r="B1185" i="839"/>
  <c r="B1184" i="839"/>
  <c r="B1183" i="839"/>
  <c r="B1182" i="839"/>
  <c r="B1181" i="839"/>
  <c r="B1180" i="839"/>
  <c r="B1179" i="839"/>
  <c r="B1178" i="839"/>
  <c r="B1177" i="839"/>
  <c r="B1176" i="839"/>
  <c r="B1175" i="839"/>
  <c r="B1174" i="839"/>
  <c r="B1173" i="839"/>
  <c r="B1172" i="839"/>
  <c r="B1171" i="839"/>
  <c r="B1170" i="839"/>
  <c r="B1169" i="839"/>
  <c r="B1168" i="839"/>
  <c r="B1167" i="839"/>
  <c r="B1166" i="839"/>
  <c r="B1165" i="839"/>
  <c r="B1164" i="839"/>
  <c r="B1163" i="839"/>
  <c r="B1162" i="839"/>
  <c r="B1161" i="839"/>
  <c r="B1160" i="839"/>
  <c r="B1095" i="839"/>
  <c r="B1094" i="839"/>
  <c r="B1093" i="839"/>
  <c r="B1092" i="839"/>
  <c r="B1091" i="839"/>
  <c r="B1090" i="839"/>
  <c r="B1089" i="839"/>
  <c r="B1088" i="839"/>
  <c r="B1087" i="839"/>
  <c r="B1086" i="839"/>
  <c r="B1085" i="839"/>
  <c r="B1084" i="839"/>
  <c r="B1083" i="839"/>
  <c r="B1082" i="839"/>
  <c r="B1081" i="839"/>
  <c r="B1080" i="839"/>
  <c r="B1079" i="839"/>
  <c r="B1078" i="839"/>
  <c r="B1077" i="839"/>
  <c r="B1076" i="839"/>
  <c r="B1075" i="839"/>
  <c r="B1074" i="839"/>
  <c r="B1073" i="839"/>
  <c r="B1072" i="839"/>
  <c r="B1071" i="839"/>
  <c r="B1070" i="839"/>
  <c r="B1069" i="839"/>
  <c r="B1068" i="839"/>
  <c r="B1067" i="839"/>
  <c r="B1066" i="839"/>
  <c r="B1065" i="839"/>
  <c r="B1064" i="839"/>
  <c r="B1063" i="839"/>
  <c r="B1062" i="839"/>
  <c r="B1061" i="839"/>
  <c r="B1060" i="839"/>
  <c r="B1059" i="839"/>
  <c r="B1058" i="839"/>
  <c r="B1057" i="839"/>
  <c r="B1056" i="839"/>
  <c r="B1055" i="839"/>
  <c r="B1054" i="839"/>
  <c r="B1053" i="839"/>
  <c r="B1052" i="839"/>
  <c r="B1051" i="839"/>
  <c r="B1050" i="839"/>
  <c r="B1049" i="839"/>
  <c r="B1048" i="839"/>
  <c r="B1047" i="839"/>
  <c r="B1046" i="839"/>
  <c r="B1045" i="839"/>
  <c r="B1044" i="839"/>
  <c r="B1043" i="839"/>
  <c r="B1042" i="839"/>
  <c r="B1041" i="839"/>
  <c r="B1040" i="839"/>
  <c r="B1039" i="839"/>
  <c r="B1038" i="839"/>
  <c r="B1037" i="839"/>
  <c r="B1036" i="839"/>
  <c r="B1035" i="839"/>
  <c r="B1034" i="839"/>
  <c r="B1033" i="839"/>
  <c r="B1032" i="839"/>
  <c r="B1031" i="839"/>
  <c r="B1030" i="839"/>
  <c r="B1029" i="839"/>
  <c r="B1028" i="839"/>
  <c r="B1027" i="839"/>
  <c r="B1026" i="839"/>
  <c r="B1025" i="839"/>
  <c r="B1024" i="839"/>
  <c r="B1023" i="839"/>
  <c r="B1022" i="839"/>
  <c r="B1021" i="839"/>
  <c r="B1020" i="839"/>
  <c r="B1019" i="839"/>
  <c r="B1018" i="839"/>
  <c r="B1017" i="839"/>
  <c r="B1016" i="839"/>
  <c r="B1015" i="839"/>
  <c r="B1014" i="839"/>
  <c r="B1013" i="839"/>
  <c r="B1012" i="839"/>
  <c r="B1011" i="839"/>
  <c r="B1010" i="839"/>
  <c r="B1009" i="839"/>
  <c r="B1008" i="839"/>
  <c r="B1007" i="839"/>
  <c r="B1006" i="839"/>
  <c r="B1005" i="839"/>
  <c r="B1004" i="839"/>
  <c r="B1003" i="839"/>
  <c r="B1002" i="839"/>
  <c r="B1001" i="839"/>
  <c r="B1000" i="839"/>
  <c r="B999" i="839"/>
  <c r="B913" i="839"/>
  <c r="B912" i="839"/>
  <c r="B911" i="839"/>
  <c r="B910" i="839"/>
  <c r="B909" i="839"/>
  <c r="B908" i="839"/>
  <c r="B907" i="839"/>
  <c r="B906" i="839"/>
  <c r="B905" i="839"/>
  <c r="B904" i="839"/>
  <c r="B903" i="839"/>
  <c r="B902" i="839"/>
  <c r="B901" i="839"/>
  <c r="B900" i="839"/>
  <c r="B899" i="839"/>
  <c r="B898" i="839"/>
  <c r="B897" i="839"/>
  <c r="B896" i="839"/>
  <c r="B895" i="839"/>
  <c r="B894" i="839"/>
  <c r="B893" i="839"/>
  <c r="B892" i="839"/>
  <c r="B891" i="839"/>
  <c r="B890" i="839"/>
  <c r="B889" i="839"/>
  <c r="B888" i="839"/>
  <c r="B887" i="839"/>
  <c r="B886" i="839"/>
  <c r="B885" i="839"/>
  <c r="B884" i="839"/>
  <c r="B883" i="839"/>
  <c r="B882" i="839"/>
  <c r="B881" i="839"/>
  <c r="B880" i="839"/>
  <c r="B879" i="839"/>
  <c r="B878" i="839"/>
  <c r="B877" i="839"/>
  <c r="B876" i="839"/>
  <c r="B875" i="839"/>
  <c r="B874" i="839"/>
  <c r="B873" i="839"/>
  <c r="B872" i="839"/>
  <c r="B871" i="839"/>
  <c r="B870" i="839"/>
  <c r="B869" i="839"/>
  <c r="B868" i="839"/>
  <c r="B867" i="839"/>
  <c r="B866" i="839"/>
  <c r="B865" i="839"/>
  <c r="B864" i="839"/>
  <c r="B863" i="839"/>
  <c r="B862" i="839"/>
  <c r="B861" i="839"/>
  <c r="B860" i="839"/>
  <c r="B859" i="839"/>
  <c r="B858" i="839"/>
  <c r="B857" i="839"/>
  <c r="B856" i="839"/>
  <c r="B855" i="839"/>
  <c r="B854" i="839"/>
  <c r="B853" i="839"/>
  <c r="B852" i="839"/>
  <c r="B851" i="839"/>
  <c r="B850" i="839"/>
  <c r="B849" i="839"/>
  <c r="B848" i="839"/>
  <c r="B847" i="839"/>
  <c r="B846" i="839"/>
  <c r="B845" i="839"/>
  <c r="B844" i="839"/>
  <c r="B843" i="839"/>
  <c r="B842" i="839"/>
  <c r="B841" i="839"/>
  <c r="B840" i="839"/>
  <c r="B839" i="839"/>
  <c r="B838" i="839"/>
  <c r="B837" i="839"/>
  <c r="B836" i="839"/>
  <c r="B835" i="839"/>
  <c r="B834" i="839"/>
  <c r="B833" i="839"/>
  <c r="B832" i="839"/>
  <c r="B831" i="839"/>
  <c r="B830" i="839"/>
  <c r="B829" i="839"/>
  <c r="B828" i="839"/>
  <c r="B827" i="839"/>
  <c r="B826" i="839"/>
  <c r="B825" i="839"/>
  <c r="B824" i="839"/>
  <c r="B823" i="839"/>
  <c r="B822" i="839"/>
  <c r="B821" i="839"/>
  <c r="B820" i="839"/>
  <c r="B819" i="839"/>
  <c r="B818" i="839"/>
  <c r="B817" i="839"/>
  <c r="B816" i="839"/>
  <c r="B815" i="839"/>
  <c r="B814" i="839"/>
  <c r="B813" i="839"/>
  <c r="B812" i="839"/>
  <c r="B811" i="839"/>
  <c r="B810" i="839"/>
  <c r="B809" i="839"/>
  <c r="B808" i="839"/>
  <c r="B807" i="839"/>
  <c r="B742" i="839"/>
  <c r="B741" i="839"/>
  <c r="B740" i="839"/>
  <c r="B739" i="839"/>
  <c r="B738" i="839"/>
  <c r="B737" i="839"/>
  <c r="B736" i="839"/>
  <c r="B735" i="839"/>
  <c r="B734" i="839"/>
  <c r="B733" i="839"/>
  <c r="B732" i="839"/>
  <c r="B731" i="839"/>
  <c r="B730" i="839"/>
  <c r="B729" i="839"/>
  <c r="B728" i="839"/>
  <c r="B727" i="839"/>
  <c r="B726" i="839"/>
  <c r="B725" i="839"/>
  <c r="B724" i="839"/>
  <c r="B723" i="839"/>
  <c r="B722" i="839"/>
  <c r="B721" i="839"/>
  <c r="B720" i="839"/>
  <c r="B719" i="839"/>
  <c r="B718" i="839"/>
  <c r="B717" i="839"/>
  <c r="B716" i="839"/>
  <c r="B715" i="839"/>
  <c r="B714" i="839"/>
  <c r="B713" i="839"/>
  <c r="B712" i="839"/>
  <c r="B711" i="839"/>
  <c r="B710" i="839"/>
  <c r="B709" i="839"/>
  <c r="B708" i="839"/>
  <c r="B707" i="839"/>
  <c r="B706" i="839"/>
  <c r="B705" i="839"/>
  <c r="B704" i="839"/>
  <c r="B703" i="839"/>
  <c r="B702" i="839"/>
  <c r="B701" i="839"/>
  <c r="B700" i="839"/>
  <c r="B699" i="839"/>
  <c r="B698" i="839"/>
  <c r="B697" i="839"/>
  <c r="B696" i="839"/>
  <c r="B695" i="839"/>
  <c r="B694" i="839"/>
  <c r="B693" i="839"/>
  <c r="B692" i="839"/>
  <c r="B691" i="839"/>
  <c r="B690" i="839"/>
  <c r="B689" i="839"/>
  <c r="B688" i="839"/>
  <c r="B687" i="839"/>
  <c r="B686" i="839"/>
  <c r="B685" i="839"/>
  <c r="B684" i="839"/>
  <c r="B683" i="839"/>
  <c r="B682" i="839"/>
  <c r="B681" i="839"/>
  <c r="B680" i="839"/>
  <c r="B679" i="839"/>
  <c r="B678" i="839"/>
  <c r="B677" i="839"/>
  <c r="B676" i="839"/>
  <c r="B675" i="839"/>
  <c r="B674" i="839"/>
  <c r="B673" i="839"/>
  <c r="B672" i="839"/>
  <c r="B671" i="839"/>
  <c r="B670" i="839"/>
  <c r="B669" i="839"/>
  <c r="B668" i="839"/>
  <c r="B667" i="839"/>
  <c r="B666" i="839"/>
  <c r="B665" i="839"/>
  <c r="B664" i="839"/>
  <c r="B663" i="839"/>
  <c r="B662" i="839"/>
  <c r="B661" i="839"/>
  <c r="B660" i="839"/>
  <c r="B659" i="839"/>
  <c r="B658" i="839"/>
  <c r="B657" i="839"/>
  <c r="B656" i="839"/>
  <c r="B655" i="839"/>
  <c r="B654" i="839"/>
  <c r="B653" i="839"/>
  <c r="B652" i="839"/>
  <c r="B651" i="839"/>
  <c r="B650" i="839"/>
  <c r="B649" i="839"/>
  <c r="B648" i="839"/>
  <c r="B647" i="839"/>
  <c r="B646" i="839"/>
  <c r="B645" i="839"/>
  <c r="B644" i="839"/>
  <c r="B643" i="839"/>
  <c r="B642" i="839"/>
  <c r="B501" i="839"/>
  <c r="B500" i="839"/>
  <c r="B499" i="839"/>
  <c r="B498" i="839"/>
  <c r="B497" i="839"/>
  <c r="B496" i="839"/>
  <c r="B495" i="839"/>
  <c r="B494" i="839"/>
  <c r="B493" i="839"/>
  <c r="B492" i="839"/>
  <c r="B491" i="839"/>
  <c r="B490" i="839"/>
  <c r="B489" i="839"/>
  <c r="B488" i="839"/>
  <c r="B487" i="839"/>
  <c r="B486" i="839"/>
  <c r="B485" i="839"/>
  <c r="B484" i="839"/>
  <c r="B483" i="839"/>
  <c r="B262" i="839"/>
  <c r="B261" i="839"/>
  <c r="B260" i="839"/>
  <c r="B259" i="839"/>
  <c r="B258" i="839"/>
  <c r="B257" i="839"/>
  <c r="B256" i="839"/>
  <c r="B255" i="839"/>
  <c r="B254" i="839"/>
  <c r="B253" i="839"/>
  <c r="B252" i="839"/>
  <c r="B251" i="839"/>
  <c r="B250" i="839"/>
  <c r="B249" i="839"/>
  <c r="B248" i="839"/>
  <c r="B247" i="839"/>
  <c r="B246" i="839"/>
  <c r="B245" i="839"/>
  <c r="B244" i="839"/>
  <c r="B243" i="839"/>
  <c r="B242" i="839"/>
  <c r="B241" i="839"/>
  <c r="B240" i="839"/>
  <c r="B239" i="839"/>
  <c r="B238" i="839"/>
  <c r="B237" i="839"/>
  <c r="B236" i="839"/>
  <c r="B235" i="839"/>
  <c r="B234" i="839"/>
  <c r="B233" i="839"/>
  <c r="B232" i="839"/>
  <c r="B231" i="839"/>
  <c r="B230" i="839"/>
  <c r="B229" i="839"/>
  <c r="B228" i="839"/>
  <c r="B227" i="839"/>
  <c r="B226" i="839"/>
  <c r="B225" i="839"/>
  <c r="B224" i="839"/>
  <c r="B223" i="839"/>
  <c r="B222" i="839"/>
  <c r="B221" i="839"/>
  <c r="B220" i="839"/>
  <c r="B219" i="839"/>
  <c r="B218" i="839"/>
  <c r="B217" i="839"/>
  <c r="B216" i="839"/>
  <c r="B215" i="839"/>
  <c r="B214" i="839"/>
  <c r="B213" i="839"/>
  <c r="B212" i="839"/>
  <c r="B211" i="839"/>
  <c r="B210" i="839"/>
  <c r="B209" i="839"/>
  <c r="B208" i="839"/>
  <c r="B207" i="839"/>
  <c r="B206" i="839"/>
  <c r="B205" i="839"/>
  <c r="B204" i="839"/>
  <c r="B203" i="839"/>
  <c r="B202" i="839"/>
  <c r="B201" i="839"/>
  <c r="B200" i="839"/>
  <c r="B199" i="839"/>
  <c r="B198" i="839"/>
  <c r="B197" i="839"/>
  <c r="B196" i="839"/>
  <c r="B195" i="839"/>
  <c r="B194" i="839"/>
  <c r="B193" i="839"/>
  <c r="B192" i="839"/>
  <c r="B191" i="839"/>
  <c r="B190" i="839"/>
  <c r="B189" i="839"/>
  <c r="B188" i="839"/>
  <c r="B187" i="839"/>
  <c r="B186" i="839"/>
  <c r="B185" i="839"/>
  <c r="B184" i="839"/>
  <c r="B183" i="839"/>
  <c r="B182" i="839"/>
  <c r="B181" i="839"/>
  <c r="B180" i="839"/>
  <c r="B179" i="839"/>
  <c r="B178" i="839"/>
  <c r="B177" i="839"/>
  <c r="B176" i="839"/>
  <c r="B175" i="839"/>
  <c r="B174" i="839"/>
  <c r="B173" i="839"/>
  <c r="B172" i="839"/>
  <c r="B171" i="839"/>
  <c r="B170" i="839"/>
  <c r="B169" i="839"/>
  <c r="B168" i="839"/>
  <c r="B167" i="839"/>
  <c r="B166" i="839"/>
  <c r="B165" i="839"/>
  <c r="B164" i="839"/>
  <c r="B163" i="839"/>
  <c r="B162" i="839"/>
  <c r="B161" i="839"/>
  <c r="B160" i="839"/>
  <c r="B159" i="839"/>
  <c r="B158" i="839"/>
  <c r="B157" i="839"/>
  <c r="B156" i="839"/>
  <c r="B155" i="839"/>
  <c r="B154" i="839"/>
  <c r="B153" i="839"/>
  <c r="B152" i="839"/>
  <c r="B151" i="839"/>
  <c r="B150" i="839"/>
  <c r="B149" i="839"/>
  <c r="B148" i="839"/>
  <c r="B147" i="839"/>
  <c r="B146" i="839"/>
  <c r="B145" i="839"/>
  <c r="B144" i="839"/>
  <c r="B143" i="839"/>
  <c r="B142" i="839"/>
  <c r="B141" i="839"/>
  <c r="B140" i="839"/>
  <c r="B139" i="839"/>
  <c r="B138" i="839"/>
  <c r="B137" i="839"/>
  <c r="B136" i="839"/>
  <c r="B135" i="839"/>
  <c r="B134" i="839"/>
  <c r="B133" i="839"/>
  <c r="B132" i="839"/>
  <c r="B131" i="839"/>
  <c r="B130" i="839"/>
  <c r="B129" i="839"/>
  <c r="B128" i="839"/>
  <c r="B127" i="839"/>
  <c r="B126" i="839"/>
  <c r="B125" i="839"/>
  <c r="B124" i="839"/>
  <c r="B123" i="839"/>
  <c r="B122" i="839"/>
  <c r="B121" i="839"/>
  <c r="B120" i="839"/>
  <c r="B119" i="839"/>
  <c r="B118" i="839"/>
  <c r="B117" i="839"/>
  <c r="B116" i="839"/>
  <c r="B115" i="839"/>
  <c r="B114" i="839"/>
  <c r="B113" i="839"/>
  <c r="B112" i="839"/>
  <c r="B111" i="839"/>
  <c r="B110" i="839"/>
  <c r="B109" i="839"/>
  <c r="B108" i="839"/>
  <c r="B107" i="839"/>
  <c r="B106" i="839"/>
  <c r="B105" i="839"/>
  <c r="B104" i="839"/>
  <c r="B103" i="839"/>
  <c r="B102" i="839"/>
  <c r="B101" i="839"/>
  <c r="B100" i="839"/>
  <c r="B99" i="839"/>
  <c r="B98" i="839"/>
  <c r="B97" i="839"/>
  <c r="B96" i="839"/>
  <c r="B95" i="839"/>
  <c r="B94" i="839"/>
  <c r="B93" i="839"/>
  <c r="B92" i="839"/>
  <c r="B91" i="839"/>
  <c r="B90" i="839"/>
  <c r="B89" i="839"/>
  <c r="B88" i="839"/>
  <c r="B87" i="839"/>
  <c r="B86" i="839"/>
  <c r="B85" i="839"/>
  <c r="B84" i="839"/>
  <c r="B83" i="839"/>
  <c r="B82" i="839"/>
  <c r="B81" i="839"/>
  <c r="B80" i="839"/>
  <c r="B79" i="839"/>
  <c r="B78" i="839"/>
  <c r="B77" i="839"/>
  <c r="B76" i="839"/>
  <c r="B75" i="839"/>
  <c r="B74" i="839"/>
  <c r="B73" i="839"/>
  <c r="B72" i="839"/>
  <c r="B71" i="839"/>
  <c r="B70" i="839"/>
  <c r="B69" i="839"/>
  <c r="B68" i="839"/>
  <c r="B67" i="839"/>
  <c r="B66" i="839"/>
  <c r="B65" i="839"/>
  <c r="B64" i="839"/>
  <c r="B63" i="839"/>
  <c r="B62" i="839"/>
  <c r="B61" i="839"/>
  <c r="B60" i="839"/>
  <c r="B59" i="839"/>
  <c r="B58" i="839"/>
  <c r="B57" i="839"/>
  <c r="B56" i="839"/>
  <c r="B55" i="839"/>
  <c r="B54" i="839"/>
  <c r="B53" i="839"/>
  <c r="B52" i="839"/>
  <c r="B51" i="839"/>
  <c r="B50" i="839"/>
  <c r="B49" i="839"/>
  <c r="B48" i="839"/>
  <c r="B47" i="839"/>
  <c r="B46" i="839"/>
  <c r="B45" i="839"/>
  <c r="B44" i="839"/>
  <c r="B263" i="839"/>
  <c r="B264" i="839"/>
  <c r="B265" i="839"/>
  <c r="B266" i="839"/>
  <c r="B267" i="839"/>
  <c r="B268" i="839"/>
  <c r="B269" i="839"/>
  <c r="B270" i="839"/>
  <c r="B271" i="839"/>
  <c r="B272" i="839"/>
  <c r="B273" i="839"/>
  <c r="B274" i="839"/>
  <c r="B275" i="839"/>
  <c r="B276" i="839"/>
  <c r="B277" i="839"/>
  <c r="B278" i="839"/>
  <c r="B279" i="839"/>
  <c r="B280" i="839"/>
  <c r="B281" i="839"/>
  <c r="B282" i="839"/>
  <c r="B283" i="839"/>
  <c r="B284" i="839"/>
  <c r="B285" i="839"/>
  <c r="B286" i="839"/>
  <c r="B287" i="839"/>
  <c r="B288" i="839"/>
  <c r="B289" i="839"/>
  <c r="B290" i="839"/>
  <c r="B291" i="839"/>
  <c r="B292" i="839"/>
  <c r="B293" i="839"/>
  <c r="B294" i="839"/>
  <c r="B295" i="839"/>
  <c r="B296" i="839"/>
  <c r="B297" i="839"/>
  <c r="B298" i="839"/>
  <c r="B299" i="839"/>
  <c r="B300" i="839"/>
  <c r="B301" i="839"/>
  <c r="B302" i="839"/>
  <c r="B303" i="839"/>
  <c r="B304" i="839"/>
  <c r="B305" i="839"/>
  <c r="B306" i="839"/>
  <c r="B307" i="839"/>
  <c r="B308" i="839"/>
  <c r="B309" i="839"/>
  <c r="B310" i="839"/>
  <c r="B311" i="839"/>
  <c r="B312" i="839"/>
  <c r="B313" i="839"/>
  <c r="B314" i="839"/>
  <c r="B315" i="839"/>
  <c r="B316" i="839"/>
  <c r="B317" i="839"/>
  <c r="B318" i="839"/>
  <c r="B319" i="839"/>
  <c r="B320" i="839"/>
  <c r="B321" i="839"/>
  <c r="B322" i="839"/>
  <c r="B323" i="839"/>
  <c r="B324" i="839"/>
  <c r="B325" i="839"/>
  <c r="B326" i="839"/>
  <c r="B327" i="839"/>
  <c r="B328" i="839"/>
  <c r="B329" i="839"/>
  <c r="B330" i="839"/>
  <c r="B331" i="839"/>
  <c r="B332" i="839"/>
  <c r="B333" i="839"/>
  <c r="B334" i="839"/>
  <c r="B335" i="839"/>
  <c r="B336" i="839"/>
  <c r="B337" i="839"/>
  <c r="B338" i="839"/>
  <c r="B339" i="839"/>
  <c r="B340" i="839"/>
  <c r="B341" i="839"/>
  <c r="B342" i="839"/>
  <c r="B343" i="839"/>
  <c r="B344" i="839"/>
  <c r="B345" i="839"/>
  <c r="B346" i="839"/>
  <c r="B347" i="839"/>
  <c r="B348" i="839"/>
  <c r="B349" i="839"/>
  <c r="B350" i="839"/>
  <c r="B351" i="839"/>
  <c r="B352" i="839"/>
  <c r="B353" i="839"/>
  <c r="B354" i="839"/>
  <c r="B355" i="839"/>
  <c r="B356" i="839"/>
  <c r="B357" i="839"/>
  <c r="B358" i="839"/>
  <c r="B359" i="839"/>
  <c r="B360" i="839"/>
  <c r="B361" i="839"/>
  <c r="B362" i="839"/>
  <c r="B363" i="839"/>
  <c r="B364" i="839"/>
  <c r="B365" i="839"/>
  <c r="B366" i="839"/>
  <c r="B367" i="839"/>
  <c r="B368" i="839"/>
  <c r="B369" i="839"/>
  <c r="B370" i="839"/>
  <c r="B371" i="839"/>
  <c r="B372" i="839"/>
  <c r="B373" i="839"/>
  <c r="B374" i="839"/>
  <c r="B375" i="839"/>
  <c r="B376" i="839"/>
  <c r="B377" i="839"/>
  <c r="B378" i="839"/>
  <c r="B379" i="839"/>
  <c r="B380" i="839"/>
  <c r="B381" i="839"/>
  <c r="B382" i="839"/>
  <c r="B383" i="839"/>
  <c r="B384" i="839"/>
  <c r="B385" i="839"/>
  <c r="B386" i="839"/>
  <c r="B387" i="839"/>
  <c r="B388" i="839"/>
  <c r="B389" i="839"/>
  <c r="B390" i="839"/>
  <c r="B391" i="839"/>
  <c r="B392" i="839"/>
  <c r="B393" i="839"/>
  <c r="B394" i="839"/>
  <c r="B395" i="839"/>
  <c r="B396" i="839"/>
  <c r="B397" i="839"/>
  <c r="B398" i="839"/>
  <c r="B399" i="839"/>
  <c r="B400" i="839"/>
  <c r="B401" i="839"/>
  <c r="B402" i="839"/>
  <c r="B403" i="839"/>
  <c r="B404" i="839"/>
  <c r="B405" i="839"/>
  <c r="B406" i="839"/>
  <c r="B407" i="839"/>
  <c r="B408" i="839"/>
  <c r="B409" i="839"/>
  <c r="B410" i="839"/>
  <c r="B411" i="839"/>
  <c r="B412" i="839"/>
  <c r="B413" i="839"/>
  <c r="B414" i="839"/>
  <c r="B415" i="839"/>
  <c r="B416" i="839"/>
  <c r="B417" i="839"/>
  <c r="B418" i="839"/>
  <c r="B419" i="839"/>
  <c r="B420" i="839"/>
  <c r="B421" i="839"/>
  <c r="B422" i="839"/>
  <c r="B423" i="839"/>
  <c r="B424" i="839"/>
  <c r="B425" i="839"/>
  <c r="B426" i="839"/>
  <c r="B427" i="839"/>
  <c r="B428" i="839"/>
  <c r="B429" i="839"/>
  <c r="B430" i="839"/>
  <c r="B431" i="839"/>
  <c r="B432" i="839"/>
  <c r="B433" i="839"/>
  <c r="B434" i="839"/>
  <c r="B435" i="839"/>
  <c r="B436" i="839"/>
  <c r="B437" i="839"/>
  <c r="B438" i="839"/>
  <c r="B439" i="839"/>
  <c r="B440" i="839"/>
  <c r="B441" i="839"/>
  <c r="B442" i="839"/>
  <c r="B443" i="839"/>
  <c r="B444" i="839"/>
  <c r="B445" i="839"/>
  <c r="B446" i="839"/>
  <c r="B447" i="839"/>
  <c r="B448" i="839"/>
  <c r="B449" i="839"/>
  <c r="B450" i="839"/>
  <c r="B451" i="839"/>
  <c r="B452" i="839"/>
  <c r="B453" i="839"/>
  <c r="B454" i="839"/>
  <c r="B455" i="839"/>
  <c r="B456" i="839"/>
  <c r="B457" i="839"/>
  <c r="B458" i="839"/>
  <c r="B459" i="839"/>
  <c r="B460" i="839"/>
  <c r="B461" i="839"/>
  <c r="B462" i="839"/>
  <c r="B463" i="839"/>
  <c r="B464" i="839"/>
  <c r="B465" i="839"/>
  <c r="B466" i="839"/>
  <c r="B467" i="839"/>
  <c r="B468" i="839"/>
  <c r="B469" i="839"/>
  <c r="B470" i="839"/>
  <c r="B471" i="839"/>
  <c r="B472" i="839"/>
  <c r="B473" i="839"/>
  <c r="B474" i="839"/>
  <c r="B475" i="839"/>
  <c r="B476" i="839"/>
  <c r="B477" i="839"/>
  <c r="B478" i="839"/>
  <c r="B479" i="839"/>
  <c r="B480" i="839"/>
  <c r="B481" i="839"/>
  <c r="B482" i="839"/>
  <c r="B502" i="839"/>
  <c r="B503" i="839"/>
  <c r="B504" i="839"/>
  <c r="B505" i="839"/>
  <c r="B506" i="839"/>
  <c r="B507" i="839"/>
  <c r="B508" i="839"/>
  <c r="B509" i="839"/>
  <c r="B510" i="839"/>
  <c r="B511" i="839"/>
  <c r="B512" i="839"/>
  <c r="B513" i="839"/>
  <c r="B514" i="839"/>
  <c r="B515" i="839"/>
  <c r="B516" i="839"/>
  <c r="B517" i="839"/>
  <c r="B518" i="839"/>
  <c r="B519" i="839"/>
  <c r="B520" i="839"/>
  <c r="B521" i="839"/>
  <c r="B522" i="839"/>
  <c r="B523" i="839"/>
  <c r="B524" i="839"/>
  <c r="B525" i="839"/>
  <c r="B526" i="839"/>
  <c r="B527" i="839"/>
  <c r="B528" i="839"/>
  <c r="B529" i="839"/>
  <c r="B530" i="839"/>
  <c r="B531" i="839"/>
  <c r="B532" i="839"/>
  <c r="B533" i="839"/>
  <c r="B534" i="839"/>
  <c r="B535" i="839"/>
  <c r="B536" i="839"/>
  <c r="B537" i="839"/>
  <c r="B538" i="839"/>
  <c r="B539" i="839"/>
  <c r="B540" i="839"/>
  <c r="B541" i="839"/>
  <c r="B542" i="839"/>
  <c r="B543" i="839"/>
  <c r="B544" i="839"/>
  <c r="B545" i="839"/>
  <c r="B546" i="839"/>
  <c r="B547" i="839"/>
  <c r="B548" i="839"/>
  <c r="B549" i="839"/>
  <c r="B550" i="839"/>
  <c r="B551" i="839"/>
  <c r="B552" i="839"/>
  <c r="B553" i="839"/>
  <c r="B554" i="839"/>
  <c r="B555" i="839"/>
  <c r="B556" i="839"/>
  <c r="B557" i="839"/>
  <c r="B558" i="839"/>
  <c r="B559" i="839"/>
  <c r="B560" i="839"/>
  <c r="B561" i="839"/>
  <c r="B562" i="839"/>
  <c r="B563" i="839"/>
  <c r="B564" i="839"/>
  <c r="B565" i="839"/>
  <c r="B566" i="839"/>
  <c r="B567" i="839"/>
  <c r="B568" i="839"/>
  <c r="B569" i="839"/>
  <c r="B570" i="839"/>
  <c r="B571" i="839"/>
  <c r="B572" i="839"/>
  <c r="B573" i="839"/>
  <c r="B574" i="839"/>
  <c r="B575" i="839"/>
  <c r="B576" i="839"/>
  <c r="B577" i="839"/>
  <c r="B578" i="839"/>
  <c r="B579" i="839"/>
  <c r="B580" i="839"/>
  <c r="B581" i="839"/>
  <c r="B582" i="839"/>
  <c r="B583" i="839"/>
  <c r="B584" i="839"/>
  <c r="B585" i="839"/>
  <c r="B586" i="839"/>
  <c r="B587" i="839"/>
  <c r="B588" i="839"/>
  <c r="B589" i="839"/>
  <c r="B590" i="839"/>
  <c r="B591" i="839"/>
  <c r="B592" i="839"/>
  <c r="B593" i="839"/>
  <c r="B594" i="839"/>
  <c r="B595" i="839"/>
  <c r="B596" i="839"/>
  <c r="B597" i="839"/>
  <c r="B598" i="839"/>
  <c r="B599" i="839"/>
  <c r="B600" i="839"/>
  <c r="B601" i="839"/>
  <c r="B602" i="839"/>
  <c r="B603" i="839"/>
  <c r="B604" i="839"/>
  <c r="B605" i="839"/>
  <c r="B606" i="839"/>
  <c r="B607" i="839"/>
  <c r="B608" i="839"/>
  <c r="B609" i="839"/>
  <c r="B610" i="839"/>
  <c r="B611" i="839"/>
  <c r="B612" i="839"/>
  <c r="B613" i="839"/>
  <c r="B614" i="839"/>
  <c r="B615" i="839"/>
  <c r="B616" i="839"/>
  <c r="B617" i="839"/>
  <c r="B618" i="839"/>
  <c r="B619" i="839"/>
  <c r="B620" i="839"/>
  <c r="B621" i="839"/>
  <c r="B622" i="839"/>
  <c r="B623" i="839"/>
  <c r="B624" i="839"/>
  <c r="B625" i="839"/>
  <c r="B626" i="839"/>
  <c r="B627" i="839"/>
  <c r="B628" i="839"/>
  <c r="B629" i="839"/>
  <c r="B630" i="839"/>
  <c r="B631" i="839"/>
  <c r="B632" i="839"/>
  <c r="B633" i="839"/>
  <c r="B634" i="839"/>
  <c r="B635" i="839"/>
  <c r="B636" i="839"/>
  <c r="B637" i="839"/>
  <c r="B638" i="839"/>
  <c r="B639" i="839"/>
  <c r="B640" i="839"/>
  <c r="B641" i="839"/>
  <c r="B743" i="839"/>
  <c r="B744" i="839"/>
  <c r="B745" i="839"/>
  <c r="B746" i="839"/>
  <c r="B747" i="839"/>
  <c r="B748" i="839"/>
  <c r="B749" i="839"/>
  <c r="B750" i="839"/>
  <c r="B751" i="839"/>
  <c r="B752" i="839"/>
  <c r="B753" i="839"/>
  <c r="B754" i="839"/>
  <c r="B755" i="839"/>
  <c r="B756" i="839"/>
  <c r="B757" i="839"/>
  <c r="B758" i="839"/>
  <c r="B759" i="839"/>
  <c r="B760" i="839"/>
  <c r="B761" i="839"/>
  <c r="B762" i="839"/>
  <c r="B763" i="839"/>
  <c r="B764" i="839"/>
  <c r="B765" i="839"/>
  <c r="B766" i="839"/>
  <c r="B767" i="839"/>
  <c r="B768" i="839"/>
  <c r="B769" i="839"/>
  <c r="B770" i="839"/>
  <c r="B771" i="839"/>
  <c r="B772" i="839"/>
  <c r="B773" i="839"/>
  <c r="B774" i="839"/>
  <c r="B775" i="839"/>
  <c r="B776" i="839"/>
  <c r="B777" i="839"/>
  <c r="B778" i="839"/>
  <c r="B779" i="839"/>
  <c r="B780" i="839"/>
  <c r="B781" i="839"/>
  <c r="B782" i="839"/>
  <c r="B783" i="839"/>
  <c r="B784" i="839"/>
  <c r="B785" i="839"/>
  <c r="B786" i="839"/>
  <c r="B787" i="839"/>
  <c r="B788" i="839"/>
  <c r="B789" i="839"/>
  <c r="B790" i="839"/>
  <c r="B791" i="839"/>
  <c r="B792" i="839"/>
  <c r="B793" i="839"/>
  <c r="B794" i="839"/>
  <c r="B795" i="839"/>
  <c r="B796" i="839"/>
  <c r="B797" i="839"/>
  <c r="B798" i="839"/>
  <c r="B799" i="839"/>
  <c r="B800" i="839"/>
  <c r="B801" i="839"/>
  <c r="B802" i="839"/>
  <c r="B803" i="839"/>
  <c r="B804" i="839"/>
  <c r="B805" i="839"/>
  <c r="B806" i="839"/>
  <c r="B914" i="839"/>
  <c r="B915" i="839"/>
  <c r="B916" i="839"/>
  <c r="B917" i="839"/>
  <c r="B918" i="839"/>
  <c r="B919" i="839"/>
  <c r="B920" i="839"/>
  <c r="B921" i="839"/>
  <c r="B922" i="839"/>
  <c r="B923" i="839"/>
  <c r="B924" i="839"/>
  <c r="B925" i="839"/>
  <c r="B926" i="839"/>
  <c r="B927" i="839"/>
  <c r="B928" i="839"/>
  <c r="B929" i="839"/>
  <c r="B930" i="839"/>
  <c r="B931" i="839"/>
  <c r="B932" i="839"/>
  <c r="B933" i="839"/>
  <c r="B934" i="839"/>
  <c r="B935" i="839"/>
  <c r="B936" i="839"/>
  <c r="B937" i="839"/>
  <c r="B938" i="839"/>
  <c r="B939" i="839"/>
  <c r="B940" i="839"/>
  <c r="B941" i="839"/>
  <c r="B942" i="839"/>
  <c r="B943" i="839"/>
  <c r="B944" i="839"/>
  <c r="B945" i="839"/>
  <c r="B946" i="839"/>
  <c r="B947" i="839"/>
  <c r="B948" i="839"/>
  <c r="B949" i="839"/>
  <c r="B950" i="839"/>
  <c r="B951" i="839"/>
  <c r="B952" i="839"/>
  <c r="B953" i="839"/>
  <c r="B954" i="839"/>
  <c r="B955" i="839"/>
  <c r="B956" i="839"/>
  <c r="B957" i="839"/>
  <c r="B958" i="839"/>
  <c r="B959" i="839"/>
  <c r="B960" i="839"/>
  <c r="B961" i="839"/>
  <c r="B962" i="839"/>
  <c r="B963" i="839"/>
  <c r="B964" i="839"/>
  <c r="B965" i="839"/>
  <c r="B966" i="839"/>
  <c r="B967" i="839"/>
  <c r="B968" i="839"/>
  <c r="B969" i="839"/>
  <c r="B970" i="839"/>
  <c r="B971" i="839"/>
  <c r="B972" i="839"/>
  <c r="B973" i="839"/>
  <c r="B974" i="839"/>
  <c r="B975" i="839"/>
  <c r="B976" i="839"/>
  <c r="B977" i="839"/>
  <c r="B978" i="839"/>
  <c r="B979" i="839"/>
  <c r="B980" i="839"/>
  <c r="B981" i="839"/>
  <c r="B982" i="839"/>
  <c r="B983" i="839"/>
  <c r="B984" i="839"/>
  <c r="B985" i="839"/>
  <c r="B986" i="839"/>
  <c r="B987" i="839"/>
  <c r="B988" i="839"/>
  <c r="B989" i="839"/>
  <c r="B990" i="839"/>
  <c r="B991" i="839"/>
  <c r="B992" i="839"/>
  <c r="B993" i="839"/>
  <c r="B994" i="839"/>
  <c r="B995" i="839"/>
  <c r="B996" i="839"/>
  <c r="B997" i="839"/>
  <c r="B998" i="839"/>
  <c r="B1096" i="839"/>
  <c r="B1097" i="839"/>
  <c r="B1098" i="839"/>
  <c r="B1099" i="839"/>
  <c r="B1100" i="839"/>
  <c r="B1101" i="839"/>
  <c r="B1102" i="839"/>
  <c r="B1103" i="839"/>
  <c r="B1104" i="839"/>
  <c r="B1105" i="839"/>
  <c r="B1106" i="839"/>
  <c r="B1107" i="839"/>
  <c r="B1108" i="839"/>
  <c r="B1109" i="839"/>
  <c r="B1110" i="839"/>
  <c r="B1111" i="839"/>
  <c r="B1112" i="839"/>
  <c r="B1113" i="839"/>
  <c r="B1114" i="839"/>
  <c r="B1115" i="839"/>
  <c r="B1116" i="839"/>
  <c r="B1117" i="839"/>
  <c r="B1118" i="839"/>
  <c r="B1119" i="839"/>
  <c r="B1120" i="839"/>
  <c r="B1121" i="839"/>
  <c r="B1122" i="839"/>
  <c r="B1123" i="839"/>
  <c r="B1124" i="839"/>
  <c r="B1125" i="839"/>
  <c r="B1126" i="839"/>
  <c r="B1127" i="839"/>
  <c r="B1128" i="839"/>
  <c r="B1129" i="839"/>
  <c r="B1130" i="839"/>
  <c r="B1131" i="839"/>
  <c r="B1132" i="839"/>
  <c r="B1133" i="839"/>
  <c r="B1134" i="839"/>
  <c r="B1135" i="839"/>
  <c r="B1136" i="839"/>
  <c r="B1137" i="839"/>
  <c r="B1138" i="839"/>
  <c r="B1139" i="839"/>
  <c r="B1140" i="839"/>
  <c r="B1141" i="839"/>
  <c r="B1142" i="839"/>
  <c r="B1143" i="839"/>
  <c r="B1144" i="839"/>
  <c r="B1145" i="839"/>
  <c r="B1146" i="839"/>
  <c r="B1147" i="839"/>
  <c r="B1148" i="839"/>
  <c r="B1149" i="839"/>
  <c r="B1150" i="839"/>
  <c r="B1151" i="839"/>
  <c r="B1152" i="839"/>
  <c r="B1153" i="839"/>
  <c r="B1154" i="839"/>
  <c r="B1155" i="839"/>
  <c r="B1156" i="839"/>
  <c r="B1157" i="839"/>
  <c r="B1158" i="839"/>
  <c r="B1159" i="839"/>
  <c r="B1202" i="839"/>
  <c r="B1203" i="839"/>
  <c r="B1204" i="839"/>
  <c r="B1205" i="839"/>
  <c r="B1206" i="839"/>
  <c r="B1207" i="839"/>
  <c r="B1208" i="839"/>
  <c r="B1209" i="839"/>
  <c r="B1210" i="839"/>
  <c r="B1211" i="839"/>
  <c r="B1212" i="839"/>
  <c r="B1213" i="839"/>
  <c r="B1214" i="839"/>
  <c r="B1215" i="839"/>
  <c r="B1216" i="839"/>
  <c r="B1217" i="839"/>
  <c r="B1218" i="839"/>
  <c r="B1219" i="839"/>
  <c r="B1220" i="839"/>
  <c r="B1221" i="839"/>
  <c r="B1222" i="839"/>
  <c r="B1223" i="839"/>
  <c r="B1224" i="839"/>
  <c r="B1225" i="839"/>
  <c r="B1226" i="839"/>
  <c r="B1227" i="839"/>
  <c r="B1228" i="839"/>
  <c r="B1229" i="839"/>
  <c r="B1230" i="839"/>
  <c r="B1231" i="839"/>
  <c r="B1232" i="839"/>
  <c r="B1233" i="839"/>
  <c r="B1234" i="839"/>
  <c r="B1235" i="839"/>
  <c r="B1236" i="839"/>
  <c r="B1237" i="839"/>
  <c r="B1238" i="839"/>
  <c r="B1239" i="839"/>
  <c r="B1240" i="839"/>
  <c r="B1241" i="839"/>
  <c r="B1242" i="839"/>
  <c r="B1243" i="839"/>
  <c r="B1244" i="839"/>
  <c r="B1245" i="839"/>
  <c r="B1246" i="839"/>
  <c r="B1247" i="839"/>
  <c r="B1248" i="839"/>
  <c r="B1249" i="839"/>
  <c r="B1250" i="839"/>
  <c r="B1251" i="839"/>
  <c r="B1252" i="839"/>
  <c r="B1253" i="839"/>
  <c r="B1254" i="839"/>
  <c r="B1255" i="839"/>
  <c r="B1256" i="839"/>
  <c r="B1257" i="839"/>
  <c r="B1258" i="839"/>
  <c r="B1259" i="839"/>
  <c r="B1260" i="839"/>
  <c r="B1261" i="839"/>
  <c r="B1262" i="839"/>
  <c r="B1263" i="839"/>
  <c r="B1264" i="839"/>
  <c r="B1265" i="839"/>
  <c r="B1266" i="839"/>
  <c r="B1267" i="839"/>
  <c r="B1268" i="839"/>
  <c r="B1269" i="839"/>
  <c r="B1270" i="839"/>
  <c r="B1271" i="839"/>
  <c r="B1272" i="839"/>
  <c r="B1273" i="839"/>
  <c r="B1274" i="839"/>
  <c r="B1275" i="839"/>
  <c r="B1276" i="839"/>
  <c r="B1277" i="839"/>
  <c r="B1278" i="839"/>
  <c r="B1279" i="839"/>
  <c r="B1280" i="839"/>
  <c r="B1281" i="839"/>
  <c r="B1282" i="839"/>
  <c r="B1283" i="839"/>
  <c r="B1284" i="839"/>
  <c r="B1285" i="839"/>
  <c r="B1286" i="839"/>
  <c r="B1287" i="839"/>
  <c r="B1288" i="839"/>
  <c r="B1289" i="839"/>
  <c r="B1290" i="839"/>
  <c r="B1291" i="839"/>
  <c r="B1292" i="839"/>
  <c r="B1293" i="839"/>
  <c r="B1294" i="839"/>
  <c r="B1295" i="839"/>
  <c r="B1296" i="839"/>
  <c r="B1297" i="839"/>
  <c r="B1298" i="839"/>
  <c r="B1299" i="839"/>
  <c r="B1300" i="839"/>
  <c r="B1301" i="839"/>
  <c r="B1302" i="839"/>
  <c r="B1303" i="839"/>
  <c r="B1304" i="839"/>
  <c r="B1305" i="839"/>
  <c r="B1306" i="839"/>
  <c r="B1307" i="839"/>
  <c r="B1308" i="839"/>
  <c r="B1309" i="839"/>
  <c r="B1310" i="839"/>
  <c r="B1311" i="839"/>
  <c r="B1312" i="839"/>
  <c r="B1313" i="839"/>
  <c r="B1314" i="839"/>
  <c r="B1315" i="839"/>
  <c r="B1316" i="839"/>
  <c r="B3093" i="839"/>
  <c r="B3092" i="839"/>
  <c r="B3091" i="839"/>
  <c r="B3090" i="839"/>
  <c r="B3089" i="839"/>
  <c r="B3088" i="839"/>
  <c r="B3087" i="839"/>
  <c r="B3086" i="839"/>
  <c r="B3085" i="839"/>
  <c r="B3084" i="839"/>
  <c r="B3083" i="839"/>
  <c r="B3082" i="839"/>
  <c r="B3081" i="839"/>
  <c r="B3080" i="839"/>
  <c r="B3079" i="839"/>
  <c r="B3078" i="839"/>
  <c r="B3077" i="839"/>
  <c r="B3076" i="839"/>
  <c r="B3044" i="839"/>
  <c r="B3043" i="839"/>
  <c r="B3042" i="839"/>
  <c r="B3041" i="839"/>
  <c r="B3040" i="839"/>
  <c r="B3039" i="839"/>
  <c r="B3038" i="839"/>
  <c r="B3037" i="839"/>
  <c r="B3036" i="839"/>
  <c r="B3035" i="839"/>
  <c r="B3034" i="839"/>
  <c r="B3033" i="839"/>
  <c r="B3032" i="839"/>
  <c r="B3031" i="839"/>
  <c r="B3030" i="839"/>
  <c r="B3029" i="839"/>
  <c r="B3028" i="839"/>
  <c r="B3027" i="839"/>
  <c r="B3026" i="839"/>
  <c r="B3025" i="839"/>
  <c r="B3024" i="839"/>
  <c r="B3023" i="839"/>
  <c r="B3022" i="839"/>
  <c r="B3021" i="839"/>
  <c r="B3020" i="839"/>
  <c r="B3019" i="839"/>
  <c r="B3018" i="839"/>
  <c r="B3017" i="839"/>
  <c r="B3016" i="839"/>
  <c r="B3015" i="839"/>
  <c r="B3014" i="839"/>
  <c r="B3013" i="839"/>
  <c r="B3012" i="839"/>
  <c r="B3011" i="839"/>
  <c r="B3010" i="839"/>
  <c r="B3009" i="839"/>
  <c r="B3008" i="839"/>
  <c r="B3007" i="839"/>
  <c r="B3006" i="839"/>
  <c r="B3005" i="839"/>
  <c r="B3004" i="839"/>
  <c r="B3003" i="839"/>
  <c r="B3002" i="839"/>
  <c r="B3001" i="839"/>
  <c r="B3000" i="839"/>
  <c r="B2999" i="839"/>
  <c r="B2998" i="839"/>
  <c r="B2997" i="839"/>
  <c r="B2996" i="839"/>
  <c r="B2995" i="839"/>
  <c r="B2994" i="839"/>
  <c r="B2993" i="839"/>
  <c r="B2992" i="839"/>
  <c r="B2991" i="839"/>
  <c r="B2990" i="839"/>
  <c r="B2989" i="839"/>
  <c r="B2988" i="839"/>
  <c r="B2987" i="839"/>
  <c r="B2986" i="839"/>
  <c r="B2985" i="839"/>
  <c r="B2984" i="839"/>
  <c r="B2983" i="839"/>
  <c r="B2982" i="839"/>
  <c r="B2981" i="839"/>
  <c r="B2980" i="839"/>
  <c r="B2979" i="839"/>
  <c r="B2978" i="839"/>
  <c r="B2977" i="839"/>
  <c r="B2888" i="839"/>
  <c r="B2887" i="839"/>
  <c r="B2886" i="839"/>
  <c r="B2885" i="839"/>
  <c r="B2884" i="839"/>
  <c r="B2883" i="839"/>
  <c r="B2882" i="839"/>
  <c r="B2881" i="839"/>
  <c r="B2880" i="839"/>
  <c r="B2879" i="839"/>
  <c r="B2878" i="839"/>
  <c r="B2877" i="839"/>
  <c r="B2876" i="839"/>
  <c r="B2875" i="839"/>
  <c r="B2874" i="839"/>
  <c r="B2873" i="839"/>
  <c r="B2872" i="839"/>
  <c r="B2871" i="839"/>
  <c r="B2870" i="839"/>
  <c r="B2869" i="839"/>
  <c r="B2868" i="839"/>
  <c r="B2867" i="839"/>
  <c r="B2866" i="839"/>
  <c r="B2865" i="839"/>
  <c r="B2864" i="839"/>
  <c r="B2863" i="839"/>
  <c r="B2862" i="839"/>
  <c r="B2861" i="839"/>
  <c r="B2860" i="839"/>
  <c r="B2859" i="839"/>
  <c r="B2858" i="839"/>
  <c r="B2857" i="839"/>
  <c r="B2856" i="839"/>
  <c r="B2855" i="839"/>
  <c r="B2854" i="839"/>
  <c r="B2853" i="839"/>
  <c r="B2852" i="839"/>
  <c r="B2851" i="839"/>
  <c r="B2850" i="839"/>
  <c r="B2849" i="839"/>
  <c r="B2848" i="839"/>
  <c r="B2847" i="839"/>
  <c r="B2846" i="839"/>
  <c r="B2845" i="839"/>
  <c r="B2844" i="839"/>
  <c r="B2843" i="839"/>
  <c r="B2842" i="839"/>
  <c r="B2841" i="839"/>
  <c r="B2840" i="839"/>
  <c r="B2839" i="839"/>
  <c r="B2838" i="839"/>
  <c r="B2837" i="839"/>
  <c r="B2834" i="839"/>
  <c r="B2833" i="839"/>
  <c r="B2832" i="839"/>
  <c r="B2831" i="839"/>
  <c r="B2830" i="839"/>
  <c r="B2829" i="839"/>
  <c r="B2828" i="839"/>
  <c r="B2827" i="839"/>
  <c r="B2826" i="839"/>
  <c r="B2825" i="839"/>
  <c r="B2824" i="839"/>
  <c r="B2823" i="839"/>
  <c r="B2822" i="839"/>
  <c r="B2821" i="839"/>
  <c r="B2820" i="839"/>
  <c r="B2819" i="839"/>
  <c r="B2818" i="839"/>
  <c r="B2817" i="839"/>
  <c r="B2816" i="839"/>
  <c r="B2815" i="839"/>
  <c r="B2814" i="839"/>
  <c r="B2813" i="839"/>
  <c r="B2812" i="839"/>
  <c r="B2811" i="839"/>
  <c r="B2810" i="839"/>
  <c r="B2751" i="839"/>
  <c r="B2750" i="839"/>
  <c r="B2749" i="839"/>
  <c r="B2748" i="839"/>
  <c r="B2747" i="839"/>
  <c r="B2746" i="839"/>
  <c r="B2745" i="839"/>
  <c r="B2744" i="839"/>
  <c r="B2743" i="839"/>
  <c r="B2742" i="839"/>
  <c r="B2741" i="839"/>
  <c r="B2740" i="839"/>
  <c r="B2739" i="839"/>
  <c r="B2738" i="839"/>
  <c r="B2737" i="839"/>
  <c r="B2736" i="839"/>
  <c r="B2735" i="839"/>
  <c r="B2734" i="839"/>
  <c r="B2733" i="839"/>
  <c r="B2732" i="839"/>
  <c r="B2731" i="839"/>
  <c r="B2730" i="839"/>
  <c r="B2729" i="839"/>
  <c r="B2728" i="839"/>
  <c r="B2727" i="839"/>
  <c r="B2726" i="839"/>
  <c r="B2725" i="839"/>
  <c r="B2724" i="839"/>
  <c r="B2723" i="839"/>
  <c r="B2722" i="839"/>
  <c r="B2721" i="839"/>
  <c r="B2720" i="839"/>
  <c r="B2719" i="839"/>
  <c r="B2718" i="839"/>
  <c r="B2717" i="839"/>
  <c r="B2716" i="839"/>
  <c r="B2715" i="839"/>
  <c r="B2714" i="839"/>
  <c r="B2713" i="839"/>
  <c r="B2712" i="839"/>
  <c r="B2711" i="839"/>
  <c r="B2710" i="839"/>
  <c r="B2709" i="839"/>
  <c r="B2708" i="839"/>
  <c r="B2707" i="839"/>
  <c r="B2706" i="839"/>
  <c r="B2705" i="839"/>
  <c r="B2704" i="839"/>
  <c r="B2703" i="839"/>
  <c r="B2702" i="839"/>
  <c r="B2701" i="839"/>
  <c r="B2700" i="839"/>
  <c r="B2699" i="839"/>
  <c r="B2698" i="839"/>
  <c r="B2697" i="839"/>
  <c r="B2696" i="839"/>
  <c r="B2695" i="839"/>
  <c r="B2694" i="839"/>
  <c r="B2693" i="839"/>
  <c r="B2692" i="839"/>
  <c r="B2691" i="839"/>
  <c r="B2690" i="839"/>
  <c r="B2689" i="839"/>
  <c r="B2688" i="839"/>
  <c r="B2687" i="839"/>
  <c r="B2686" i="839"/>
  <c r="B2685" i="839"/>
  <c r="B2684" i="839"/>
  <c r="B2683" i="839"/>
  <c r="B2682" i="839"/>
  <c r="B2681" i="839"/>
  <c r="B2680" i="839"/>
  <c r="B2679" i="839"/>
  <c r="B2678" i="839"/>
  <c r="B2677" i="839"/>
  <c r="B2676" i="839"/>
  <c r="B2675" i="839"/>
  <c r="B2674" i="839"/>
  <c r="B2673" i="839"/>
  <c r="B2672" i="839"/>
  <c r="B2671" i="839"/>
  <c r="B2670" i="839"/>
  <c r="B2669" i="839"/>
  <c r="B2668" i="839"/>
  <c r="B2667" i="839"/>
  <c r="B2666" i="839"/>
  <c r="B2665" i="839"/>
  <c r="B2664" i="839"/>
  <c r="B2663" i="839"/>
  <c r="B2662" i="839"/>
  <c r="B2661" i="839"/>
  <c r="B2660" i="839"/>
  <c r="B2659" i="839"/>
  <c r="B2658" i="839"/>
  <c r="B2657" i="839"/>
  <c r="B2656" i="839"/>
  <c r="B2655" i="839"/>
  <c r="B2654" i="839"/>
  <c r="B2653" i="839"/>
  <c r="B2652" i="839"/>
  <c r="B2651" i="839"/>
  <c r="B2650" i="839"/>
  <c r="B2649" i="839"/>
  <c r="B2648" i="839"/>
  <c r="B2647" i="839"/>
  <c r="B2646" i="839"/>
  <c r="B2645" i="839"/>
  <c r="B2644" i="839"/>
  <c r="B2643" i="839"/>
  <c r="B2642" i="839"/>
  <c r="B2641" i="839"/>
  <c r="B2640" i="839"/>
  <c r="B2639" i="839"/>
  <c r="B2638" i="839"/>
  <c r="B2637" i="839"/>
  <c r="B2636" i="839"/>
  <c r="B2635" i="839"/>
  <c r="B2634" i="839"/>
  <c r="B2633" i="839"/>
  <c r="B2632" i="839"/>
  <c r="B2579" i="839"/>
  <c r="B2578" i="839"/>
  <c r="B2577" i="839"/>
  <c r="B2576" i="839"/>
  <c r="B2575" i="839"/>
  <c r="B2574" i="839"/>
  <c r="B2573" i="839"/>
  <c r="B2572" i="839"/>
  <c r="B2571" i="839"/>
  <c r="B2570" i="839"/>
  <c r="B2569" i="839"/>
  <c r="B2568" i="839"/>
  <c r="B2567" i="839"/>
  <c r="B2566" i="839"/>
  <c r="B2565" i="839"/>
  <c r="B2564" i="839"/>
  <c r="B2563" i="839"/>
  <c r="B2562" i="839"/>
  <c r="B2561" i="839"/>
  <c r="B2560" i="839"/>
  <c r="B2559" i="839"/>
  <c r="B2558" i="839"/>
  <c r="B2557" i="839"/>
  <c r="B2556" i="839"/>
  <c r="B2555" i="839"/>
  <c r="B2554" i="839"/>
  <c r="B2553" i="839"/>
  <c r="B2552" i="839"/>
  <c r="B2551" i="839"/>
  <c r="B2550" i="839"/>
  <c r="B2549" i="839"/>
  <c r="B2548" i="839"/>
  <c r="B2547" i="839"/>
  <c r="B2546" i="839"/>
  <c r="B2545" i="839"/>
  <c r="B2544" i="839"/>
  <c r="B2543" i="839"/>
  <c r="B2542" i="839"/>
  <c r="B2541" i="839"/>
  <c r="B2540" i="839"/>
  <c r="B2539" i="839"/>
  <c r="B2538" i="839"/>
  <c r="B2537" i="839"/>
  <c r="B2536" i="839"/>
  <c r="B2535" i="839"/>
  <c r="B2534" i="839"/>
  <c r="B2533" i="839"/>
  <c r="B2532" i="839"/>
  <c r="B2531" i="839"/>
  <c r="B2530" i="839"/>
  <c r="B2529" i="839"/>
  <c r="B2528" i="839"/>
  <c r="B2527" i="839"/>
  <c r="B2526" i="839"/>
  <c r="B2525" i="839"/>
  <c r="B2524" i="839"/>
  <c r="B2523" i="839"/>
  <c r="B2522" i="839"/>
  <c r="B2521" i="839"/>
  <c r="B2520" i="839"/>
  <c r="B2519" i="839"/>
  <c r="B2518" i="839"/>
  <c r="B2517" i="839"/>
  <c r="B2516" i="839"/>
  <c r="B2515" i="839"/>
  <c r="B2390" i="839"/>
  <c r="B2389" i="839"/>
  <c r="B2388" i="839"/>
  <c r="B2387" i="839"/>
  <c r="B2386" i="839"/>
  <c r="B2385" i="839"/>
  <c r="B2384" i="839"/>
  <c r="B2383" i="839"/>
  <c r="B2382" i="839"/>
  <c r="B2381" i="839"/>
  <c r="B2380" i="839"/>
  <c r="B2379" i="839"/>
  <c r="B2378" i="839"/>
  <c r="B2377" i="839"/>
  <c r="B2376" i="839"/>
  <c r="B2375" i="839"/>
  <c r="B2374" i="839"/>
  <c r="B2373" i="839"/>
  <c r="B2372" i="839"/>
  <c r="B2371" i="839"/>
  <c r="B2370" i="839"/>
  <c r="B2369" i="839"/>
  <c r="B2368" i="839"/>
  <c r="B2367" i="839"/>
  <c r="B2366" i="839"/>
  <c r="B2365" i="839"/>
  <c r="B2364" i="839"/>
  <c r="B2363" i="839"/>
  <c r="B2362" i="839"/>
  <c r="B2361" i="839"/>
  <c r="B2360" i="839"/>
  <c r="B2359" i="839"/>
  <c r="B2358" i="839"/>
  <c r="B2357" i="839"/>
  <c r="B2356" i="839"/>
  <c r="B2355" i="839"/>
  <c r="B2354" i="839"/>
  <c r="B2353" i="839"/>
  <c r="B2352" i="839"/>
  <c r="B2351" i="839"/>
  <c r="B2350" i="839"/>
  <c r="B2349" i="839"/>
  <c r="B2348" i="839"/>
  <c r="B2347" i="839"/>
  <c r="B2346" i="839"/>
  <c r="B2345" i="839"/>
  <c r="B2344" i="839"/>
  <c r="B2343" i="839"/>
  <c r="B2342" i="839"/>
  <c r="B2341" i="839"/>
  <c r="B2340" i="839"/>
  <c r="B2339" i="839"/>
  <c r="B2338" i="839"/>
  <c r="B2337" i="839"/>
  <c r="B2336" i="839"/>
  <c r="B2335" i="839"/>
  <c r="B2334" i="839"/>
  <c r="B2333" i="839"/>
  <c r="B2332" i="839"/>
  <c r="B2331" i="839"/>
  <c r="B2330" i="839"/>
  <c r="B2329" i="839"/>
  <c r="B2328" i="839"/>
  <c r="B2327" i="839"/>
  <c r="B2326" i="839"/>
  <c r="B2325" i="839"/>
  <c r="B2324" i="839"/>
  <c r="B2323" i="839"/>
  <c r="B2322" i="839"/>
  <c r="B2321" i="839"/>
  <c r="B2320" i="839"/>
  <c r="B2319" i="839"/>
  <c r="B2318" i="839"/>
  <c r="B2317" i="839"/>
  <c r="B2316" i="839"/>
  <c r="B2315" i="839"/>
  <c r="B2314" i="839"/>
  <c r="B2313" i="839"/>
  <c r="B2312" i="839"/>
  <c r="B2311" i="839"/>
  <c r="B2310" i="839"/>
  <c r="B2309" i="839"/>
  <c r="B2308" i="839"/>
  <c r="B2307" i="839"/>
  <c r="B2306" i="839"/>
  <c r="B2305" i="839"/>
  <c r="B2304" i="839"/>
  <c r="B2303" i="839"/>
  <c r="B2302" i="839"/>
  <c r="B2301" i="839"/>
  <c r="B2300" i="839"/>
  <c r="B2299" i="839"/>
  <c r="B2298" i="839"/>
  <c r="B2297" i="839"/>
  <c r="B2296" i="839"/>
  <c r="B2295" i="839"/>
  <c r="B2294" i="839"/>
  <c r="B2293" i="839"/>
  <c r="B2292" i="839"/>
  <c r="B2291" i="839"/>
  <c r="B2290" i="839"/>
  <c r="B2289" i="839"/>
  <c r="B2288" i="839"/>
  <c r="B2287" i="839"/>
  <c r="B2286" i="839"/>
  <c r="B2285" i="839"/>
  <c r="B2284" i="839"/>
  <c r="B2283" i="839"/>
  <c r="B2282" i="839"/>
  <c r="B2281" i="839"/>
  <c r="B2280" i="839"/>
  <c r="B2279" i="839"/>
  <c r="B2278" i="839"/>
  <c r="B2277" i="839"/>
  <c r="B2276" i="839"/>
  <c r="B2275" i="839"/>
  <c r="B2274" i="839"/>
  <c r="B2273" i="839"/>
  <c r="B2272" i="839"/>
  <c r="B2271" i="839"/>
  <c r="B2270" i="839"/>
  <c r="B2269" i="839"/>
  <c r="B2268" i="839"/>
  <c r="B2267" i="839"/>
  <c r="B2266" i="839"/>
  <c r="B2265" i="839"/>
  <c r="B2264" i="839"/>
  <c r="B2263" i="839"/>
  <c r="B2262" i="839"/>
  <c r="B2261" i="839"/>
  <c r="B2260" i="839"/>
  <c r="B2259" i="839"/>
  <c r="B2258" i="839"/>
  <c r="B2257" i="839"/>
  <c r="B2256" i="839"/>
  <c r="B2255" i="839"/>
  <c r="B2254" i="839"/>
  <c r="B2253" i="839"/>
  <c r="B2252" i="839"/>
  <c r="B2251" i="839"/>
  <c r="B2250" i="839"/>
  <c r="B2249" i="839"/>
  <c r="B2248" i="839"/>
  <c r="B2247" i="839"/>
  <c r="B2246" i="839"/>
  <c r="B2245" i="839"/>
  <c r="B2244" i="839"/>
  <c r="B2243" i="839"/>
  <c r="B2242" i="839"/>
  <c r="B2241" i="839"/>
  <c r="B2240" i="839"/>
  <c r="B2239" i="839"/>
  <c r="B2238" i="839"/>
  <c r="B2237" i="839"/>
  <c r="B2236" i="839"/>
  <c r="B2235" i="839"/>
  <c r="B2234" i="839"/>
  <c r="B2233" i="839"/>
  <c r="B2232" i="839"/>
  <c r="B2231" i="839"/>
  <c r="B2230" i="839"/>
  <c r="B2229" i="839"/>
  <c r="B2228" i="839"/>
  <c r="B2227" i="839"/>
  <c r="B2226" i="839"/>
  <c r="B2225" i="839"/>
  <c r="B2224" i="839"/>
  <c r="B2223" i="839"/>
  <c r="B2222" i="839"/>
  <c r="B2221" i="839"/>
  <c r="B2220" i="839"/>
  <c r="B2219" i="839"/>
  <c r="B2218" i="839"/>
  <c r="B2217" i="839"/>
  <c r="B2216" i="839"/>
  <c r="B2215" i="839"/>
  <c r="B2214" i="839"/>
  <c r="B2213" i="839"/>
  <c r="B2212" i="839"/>
  <c r="B2211" i="839"/>
  <c r="B2210" i="839"/>
  <c r="B2209" i="839"/>
  <c r="B2208" i="839"/>
  <c r="B2207" i="839"/>
  <c r="B2206" i="839"/>
  <c r="B2205" i="839"/>
  <c r="B2204" i="839"/>
  <c r="B2203" i="839"/>
  <c r="B2202" i="839"/>
  <c r="B2201" i="839"/>
  <c r="B2200" i="839"/>
  <c r="B2199" i="839"/>
  <c r="B2198" i="839"/>
  <c r="B2197" i="839"/>
  <c r="B2196" i="839"/>
  <c r="B2195" i="839"/>
  <c r="B2194" i="839"/>
  <c r="B2193" i="839"/>
  <c r="B2192" i="839"/>
  <c r="B2191" i="839"/>
  <c r="B2190" i="839"/>
  <c r="B2189" i="839"/>
  <c r="B2188" i="839"/>
  <c r="B2187" i="839"/>
  <c r="B2186" i="839"/>
  <c r="B2185" i="839"/>
  <c r="B2184" i="839"/>
  <c r="B2183" i="839"/>
  <c r="B2182" i="839"/>
  <c r="B2181" i="839"/>
  <c r="B2180" i="839"/>
  <c r="B2179" i="839"/>
  <c r="B2178" i="839"/>
  <c r="B2177" i="839"/>
  <c r="B2176" i="839"/>
  <c r="B2175" i="839"/>
  <c r="B2174" i="839"/>
  <c r="B2173" i="839"/>
  <c r="B2172" i="839"/>
  <c r="B2171" i="839"/>
  <c r="B2170" i="839"/>
  <c r="B2169" i="839"/>
  <c r="B2168" i="839"/>
  <c r="B2167" i="839"/>
  <c r="B2166" i="839"/>
  <c r="B2165" i="839"/>
  <c r="B2164" i="839"/>
  <c r="B2163" i="839"/>
  <c r="B2162" i="839"/>
  <c r="B2161" i="839"/>
  <c r="B2160" i="839"/>
  <c r="B2159" i="839"/>
  <c r="B2158" i="839"/>
  <c r="B2157" i="839"/>
  <c r="B2156" i="839"/>
  <c r="B2155" i="839"/>
  <c r="B2154" i="839"/>
  <c r="B2153" i="839"/>
  <c r="B2152" i="839"/>
  <c r="B2151" i="839"/>
  <c r="B2150" i="839"/>
  <c r="B2149" i="839"/>
  <c r="B2148" i="839"/>
  <c r="B2147" i="839"/>
  <c r="B2146" i="839"/>
  <c r="B2145" i="839"/>
  <c r="B2144" i="839"/>
  <c r="B2143" i="839"/>
  <c r="B2142" i="839"/>
  <c r="B2141" i="839"/>
  <c r="B2140" i="839"/>
  <c r="B2139" i="839"/>
  <c r="B2138" i="839"/>
  <c r="B2137" i="839"/>
  <c r="B2136" i="839"/>
  <c r="B2135" i="839"/>
  <c r="B2134" i="839"/>
  <c r="B2133" i="839"/>
  <c r="B2132" i="839"/>
  <c r="B2131" i="839"/>
  <c r="B2130" i="839"/>
  <c r="B2129" i="839"/>
  <c r="B2128" i="839"/>
  <c r="B2127" i="839"/>
  <c r="B2126" i="839"/>
  <c r="B2125" i="839"/>
  <c r="B2124" i="839"/>
  <c r="B2123" i="839"/>
  <c r="B2122" i="839"/>
  <c r="B2121" i="839"/>
  <c r="B2120" i="839"/>
  <c r="B2119" i="839"/>
  <c r="B2118" i="839"/>
  <c r="B2117" i="839"/>
  <c r="B2116" i="839"/>
  <c r="B2115" i="839"/>
  <c r="B2114" i="839"/>
  <c r="B2113" i="839"/>
  <c r="B2112" i="839"/>
  <c r="B2111" i="839"/>
  <c r="B2110" i="839"/>
  <c r="B2109" i="839"/>
  <c r="B2108" i="839"/>
  <c r="B2107" i="839"/>
  <c r="B2106" i="839"/>
  <c r="B2105" i="839"/>
  <c r="B2104" i="839"/>
  <c r="B2103" i="839"/>
  <c r="B2102" i="839"/>
  <c r="B2101" i="839"/>
  <c r="B2100" i="839"/>
  <c r="B2099" i="839"/>
  <c r="B2098" i="839"/>
  <c r="B2097" i="839"/>
  <c r="B2096" i="839"/>
  <c r="B2095" i="839"/>
  <c r="B2094" i="839"/>
  <c r="B2093" i="839"/>
  <c r="B2092" i="839"/>
  <c r="B2091" i="839"/>
  <c r="B2090" i="839"/>
  <c r="B2089" i="839"/>
  <c r="B2088" i="839"/>
  <c r="B2087" i="839"/>
  <c r="B2086" i="839"/>
  <c r="B2085" i="839"/>
  <c r="B2084" i="839"/>
  <c r="B2083" i="839"/>
  <c r="B2082" i="839"/>
  <c r="B2081" i="839"/>
  <c r="B2080" i="839"/>
  <c r="B2079" i="839"/>
  <c r="B2078" i="839"/>
  <c r="B2077" i="839"/>
  <c r="B2076" i="839"/>
  <c r="B2075" i="839"/>
  <c r="B2074" i="839"/>
  <c r="B2073" i="839"/>
  <c r="B2072" i="839"/>
  <c r="B2071" i="839"/>
  <c r="B2070" i="839"/>
  <c r="B2069" i="839"/>
  <c r="B2068" i="839"/>
  <c r="B2067" i="839"/>
  <c r="B2011" i="839"/>
  <c r="B2010" i="839"/>
  <c r="B2009" i="839"/>
  <c r="B2008" i="839"/>
  <c r="B2007" i="839"/>
  <c r="B2006" i="839"/>
  <c r="B2005" i="839"/>
  <c r="B2004" i="839"/>
  <c r="B2003" i="839"/>
  <c r="B2002" i="839"/>
  <c r="B2001" i="839"/>
  <c r="B2000" i="839"/>
  <c r="B1999" i="839"/>
  <c r="B1998" i="839"/>
  <c r="B1997" i="839"/>
  <c r="B1996" i="839"/>
  <c r="B1995" i="839"/>
  <c r="B1994" i="839"/>
  <c r="B1993" i="839"/>
  <c r="B1992" i="839"/>
  <c r="B1991" i="839"/>
  <c r="B1990" i="839"/>
  <c r="B1989" i="839"/>
  <c r="B1988" i="839"/>
  <c r="B1987" i="839"/>
  <c r="B1986" i="839"/>
  <c r="B1985" i="839"/>
  <c r="B1984" i="839"/>
  <c r="B1983" i="839"/>
  <c r="B1982" i="839"/>
  <c r="B1981" i="839"/>
  <c r="B1980" i="839"/>
  <c r="B1979" i="839"/>
  <c r="B1978" i="839"/>
  <c r="B1977" i="839"/>
  <c r="B1976" i="839"/>
  <c r="B1975" i="839"/>
  <c r="B1974" i="839"/>
  <c r="B1973" i="839"/>
  <c r="B1972" i="839"/>
  <c r="B1971" i="839"/>
  <c r="B1970" i="839"/>
  <c r="B1969" i="839"/>
  <c r="B1968" i="839"/>
  <c r="B1967" i="839"/>
  <c r="B1966" i="839"/>
  <c r="B1965" i="839"/>
  <c r="B1964" i="839"/>
  <c r="B1963" i="839"/>
  <c r="B1962" i="839"/>
  <c r="B1961" i="839"/>
  <c r="B1960" i="839"/>
  <c r="B1959" i="839"/>
  <c r="B1958" i="839"/>
  <c r="B1957" i="839"/>
  <c r="B1956" i="839"/>
  <c r="B1955" i="839"/>
  <c r="B1954" i="839"/>
  <c r="B1953" i="839"/>
  <c r="B1952" i="839"/>
  <c r="B1951" i="839"/>
  <c r="B1950" i="839"/>
  <c r="B1949" i="839"/>
  <c r="B1948" i="839"/>
  <c r="B1947" i="839"/>
  <c r="B1946" i="839"/>
  <c r="B1945" i="839"/>
  <c r="B1944" i="839"/>
  <c r="B1943" i="839"/>
  <c r="B1942" i="839"/>
  <c r="B1941" i="839"/>
  <c r="B1940" i="839"/>
  <c r="B1939" i="839"/>
  <c r="B1938" i="839"/>
  <c r="B1937" i="839"/>
  <c r="B1936" i="839"/>
  <c r="B1935" i="839"/>
  <c r="B1934" i="839"/>
  <c r="B1933" i="839"/>
  <c r="B1932" i="839"/>
  <c r="B1931" i="839"/>
  <c r="B1930" i="839"/>
  <c r="B1929" i="839"/>
  <c r="B1928" i="839"/>
  <c r="B1927" i="839"/>
  <c r="B1926" i="839"/>
  <c r="B1925" i="839"/>
  <c r="B1924" i="839"/>
  <c r="B1923" i="839"/>
  <c r="B1922" i="839"/>
  <c r="B1921" i="839"/>
  <c r="B1920" i="839"/>
  <c r="B1919" i="839"/>
  <c r="B1918" i="839"/>
  <c r="B1917" i="839"/>
  <c r="B1916" i="839"/>
  <c r="B1915" i="839"/>
  <c r="B1914" i="839"/>
  <c r="B1913" i="839"/>
  <c r="B1912" i="839"/>
  <c r="B1911" i="839"/>
  <c r="B1910" i="839"/>
  <c r="B1909" i="839"/>
  <c r="B1908" i="839"/>
  <c r="B1907" i="839"/>
  <c r="B1906" i="839"/>
  <c r="B1905" i="839"/>
  <c r="B1904" i="839"/>
  <c r="B1903" i="839"/>
  <c r="B1902" i="839"/>
  <c r="B1901" i="839"/>
  <c r="B1900" i="839"/>
  <c r="B1899" i="839"/>
  <c r="B1898" i="839"/>
  <c r="B1897" i="839"/>
  <c r="B1896" i="839"/>
  <c r="B1895" i="839"/>
  <c r="B1894" i="839"/>
  <c r="B1893" i="839"/>
  <c r="B1892" i="839"/>
  <c r="B1891" i="839"/>
  <c r="B1890" i="839"/>
  <c r="B1889" i="839"/>
  <c r="B1888" i="839"/>
  <c r="B1887" i="839"/>
  <c r="B1886" i="839"/>
  <c r="B1885" i="839"/>
  <c r="B1884" i="839"/>
  <c r="B1883" i="839"/>
  <c r="B1882" i="839"/>
  <c r="B1881" i="839"/>
  <c r="B1880" i="839"/>
  <c r="B1879" i="839"/>
  <c r="B1878" i="839"/>
  <c r="B1877" i="839"/>
  <c r="B1876" i="839"/>
  <c r="B1875" i="839"/>
  <c r="B1874" i="839"/>
  <c r="B1873" i="839"/>
  <c r="B1872" i="839"/>
  <c r="B1871" i="839"/>
  <c r="B1870" i="839"/>
  <c r="B1869" i="839"/>
  <c r="B1868" i="839"/>
  <c r="B1867" i="839"/>
  <c r="B1866" i="839"/>
  <c r="B1865" i="839"/>
  <c r="B1864" i="839"/>
  <c r="B1863" i="839"/>
  <c r="B1862" i="839"/>
  <c r="B1861" i="839"/>
  <c r="B1860" i="839"/>
  <c r="B1859" i="839"/>
  <c r="B1858" i="839"/>
  <c r="B1857" i="839"/>
  <c r="B1856" i="839"/>
  <c r="B1855" i="839"/>
  <c r="B1854" i="839"/>
  <c r="B1853" i="839"/>
  <c r="B1852" i="839"/>
  <c r="B1851" i="839"/>
  <c r="B1850" i="839"/>
  <c r="B1849" i="839"/>
  <c r="B1848" i="839"/>
  <c r="B1847" i="839"/>
  <c r="B1846" i="839"/>
  <c r="B1845" i="839"/>
  <c r="B1844" i="839"/>
  <c r="B1843" i="839"/>
  <c r="B1842" i="839"/>
  <c r="B1841" i="839"/>
  <c r="B1840" i="839"/>
  <c r="B1839" i="839"/>
  <c r="B1838" i="839"/>
  <c r="B1837" i="839"/>
  <c r="B1836" i="839"/>
  <c r="B1835" i="839"/>
  <c r="B1834" i="839"/>
  <c r="B1833" i="839"/>
  <c r="B1832" i="839"/>
  <c r="B1831" i="839"/>
  <c r="B1830" i="839"/>
  <c r="B1829" i="839"/>
  <c r="B1828" i="839"/>
  <c r="B1827" i="839"/>
  <c r="B1826" i="839"/>
  <c r="B1825" i="839"/>
  <c r="B1824" i="839"/>
  <c r="B1823" i="839"/>
  <c r="B1822" i="839"/>
  <c r="B1821" i="839"/>
  <c r="B1820" i="839"/>
  <c r="B1732" i="839"/>
  <c r="B1731" i="839"/>
  <c r="B1730" i="839"/>
  <c r="B1729" i="839"/>
  <c r="B1728" i="839"/>
  <c r="B1727" i="839"/>
  <c r="B1726" i="839"/>
  <c r="B1725" i="839"/>
  <c r="B1724" i="839"/>
  <c r="B1723" i="839"/>
  <c r="B1722" i="839"/>
  <c r="B1721" i="839"/>
  <c r="B1720" i="839"/>
  <c r="B1719" i="839"/>
  <c r="B1718" i="839"/>
  <c r="B1717" i="839"/>
  <c r="B1716" i="839"/>
  <c r="B1715" i="839"/>
  <c r="B1714" i="839"/>
  <c r="B1713" i="839"/>
  <c r="B1712" i="839"/>
  <c r="B1711" i="839"/>
  <c r="B1710" i="839"/>
  <c r="B1709" i="839"/>
  <c r="B1708" i="839"/>
  <c r="B1707" i="839"/>
  <c r="B1706" i="839"/>
  <c r="B1705" i="839"/>
  <c r="B1704" i="839"/>
  <c r="B1703" i="839"/>
  <c r="B1702" i="839"/>
  <c r="B1701" i="839"/>
  <c r="B1700" i="839"/>
  <c r="B1699" i="839"/>
  <c r="B1698" i="839"/>
  <c r="B1697" i="839"/>
  <c r="B1696" i="839"/>
  <c r="B1695" i="839"/>
  <c r="B1694" i="839"/>
  <c r="B1693" i="839"/>
  <c r="B1692" i="839"/>
  <c r="B1691" i="839"/>
  <c r="B1690" i="839"/>
  <c r="B1689" i="839"/>
  <c r="B1688" i="839"/>
  <c r="B1687" i="839"/>
  <c r="B1686" i="839"/>
  <c r="B1685" i="839"/>
  <c r="B1684" i="839"/>
  <c r="B1683" i="839"/>
  <c r="B1682" i="839"/>
  <c r="B1618" i="839"/>
  <c r="B1617" i="839"/>
  <c r="B1616" i="839"/>
  <c r="B1615" i="839"/>
  <c r="B1614" i="839"/>
  <c r="B1613" i="839"/>
  <c r="B1612" i="839"/>
  <c r="B1611" i="839"/>
  <c r="B1610" i="839"/>
  <c r="B1609" i="839"/>
  <c r="B1608" i="839"/>
  <c r="B1607" i="839"/>
  <c r="B1606" i="839"/>
  <c r="B1605" i="839"/>
  <c r="B1604" i="839"/>
  <c r="B1603" i="839"/>
  <c r="B1602" i="839"/>
  <c r="B1601" i="839"/>
  <c r="B1600" i="839"/>
  <c r="B1599" i="839"/>
  <c r="B1598" i="839"/>
  <c r="B1597" i="839"/>
  <c r="B1596" i="839"/>
  <c r="B1595" i="839"/>
  <c r="B1594" i="839"/>
  <c r="B1593" i="839"/>
  <c r="B1592" i="839"/>
  <c r="B1591" i="839"/>
  <c r="B1590" i="839"/>
  <c r="B1589" i="839"/>
  <c r="B1588" i="839"/>
  <c r="B1587" i="839"/>
  <c r="B1586" i="839"/>
  <c r="B1585" i="839"/>
  <c r="B1584" i="839"/>
  <c r="B1583" i="839"/>
  <c r="B1582" i="839"/>
  <c r="B1581" i="839"/>
  <c r="B1580" i="839"/>
  <c r="B1579" i="839"/>
  <c r="B1578" i="839"/>
  <c r="B1577" i="839"/>
  <c r="B1576" i="839"/>
  <c r="B1575" i="839"/>
  <c r="B1574" i="839"/>
  <c r="B1573" i="839"/>
  <c r="B1572" i="839"/>
  <c r="B1571" i="839"/>
  <c r="B1570" i="839"/>
  <c r="B1569" i="839"/>
  <c r="B1568" i="839"/>
  <c r="B1567" i="839"/>
  <c r="B1566" i="839"/>
  <c r="B1565" i="839"/>
  <c r="B1564" i="839"/>
  <c r="B1563" i="839"/>
  <c r="B1562" i="839"/>
  <c r="B1561" i="839"/>
  <c r="B1560" i="839"/>
  <c r="B1559" i="839"/>
  <c r="B1558" i="839"/>
  <c r="B1557" i="839"/>
  <c r="B1556" i="839"/>
  <c r="B1555" i="839"/>
  <c r="B1554" i="839"/>
  <c r="B1553" i="839"/>
  <c r="B1552" i="839"/>
  <c r="B1551" i="839"/>
  <c r="B1550" i="839"/>
  <c r="B1549" i="839"/>
  <c r="B1548" i="839"/>
  <c r="B1547" i="839"/>
  <c r="B1546" i="839"/>
  <c r="B1545" i="839"/>
  <c r="B1544" i="839"/>
  <c r="B1543" i="839"/>
  <c r="B1542" i="839"/>
  <c r="B1541" i="839"/>
  <c r="B1540" i="839"/>
  <c r="B1539" i="839"/>
  <c r="B1538" i="839"/>
  <c r="B1537" i="839"/>
  <c r="B1536" i="839"/>
  <c r="B1535" i="839"/>
  <c r="B1534" i="839"/>
  <c r="B1533" i="839"/>
  <c r="B1532" i="839"/>
  <c r="B1531" i="839"/>
  <c r="B1530" i="839"/>
  <c r="B1529" i="839"/>
  <c r="B1528" i="839"/>
  <c r="B1527" i="839"/>
  <c r="B1526" i="839"/>
  <c r="B1525" i="839"/>
  <c r="B1524" i="839"/>
  <c r="B1523" i="839"/>
  <c r="B1522" i="839"/>
  <c r="B1521" i="839"/>
  <c r="B1520" i="839"/>
  <c r="B1519" i="839"/>
  <c r="B1518" i="839"/>
  <c r="B1517" i="839"/>
  <c r="B1516" i="839"/>
  <c r="B1515" i="839"/>
  <c r="B1514" i="839"/>
  <c r="B1513" i="839"/>
  <c r="B1512" i="839"/>
  <c r="B1511" i="839"/>
  <c r="B1510" i="839"/>
  <c r="B1509" i="839"/>
  <c r="B1508" i="839"/>
  <c r="B1507" i="839"/>
  <c r="B1506" i="839"/>
  <c r="B1505" i="839"/>
  <c r="B1504" i="839"/>
  <c r="B1503" i="839"/>
  <c r="B1502" i="839"/>
  <c r="B1501" i="839"/>
  <c r="B1500" i="839"/>
  <c r="B1499" i="839"/>
  <c r="B1498" i="839"/>
  <c r="B1497" i="839"/>
  <c r="B1496" i="839"/>
  <c r="B1495" i="839"/>
  <c r="B1494" i="839"/>
  <c r="B1493" i="839"/>
  <c r="B1492" i="839"/>
  <c r="B1491" i="839"/>
  <c r="B1490" i="839"/>
  <c r="B1489" i="839"/>
  <c r="B1488" i="839"/>
  <c r="B1487" i="839"/>
  <c r="B1486" i="839"/>
  <c r="B1485" i="839"/>
  <c r="B1484" i="839"/>
  <c r="B1483" i="839"/>
  <c r="B1482" i="839"/>
  <c r="B1481" i="839"/>
  <c r="B1480" i="839"/>
  <c r="B1479" i="839"/>
  <c r="B1478" i="839"/>
  <c r="B1477" i="839"/>
  <c r="B1476" i="839"/>
  <c r="B1475" i="839"/>
  <c r="B1474" i="839"/>
  <c r="B1473" i="839"/>
  <c r="B1472" i="839"/>
  <c r="B1471" i="839"/>
  <c r="B1470" i="839"/>
  <c r="B1469" i="839"/>
  <c r="B1468" i="839"/>
  <c r="B1467" i="839"/>
  <c r="B1466" i="839"/>
  <c r="B1465" i="839"/>
  <c r="B1464" i="839"/>
  <c r="B1463" i="839"/>
  <c r="B1462" i="839"/>
  <c r="B1461" i="839"/>
  <c r="B1460" i="839"/>
  <c r="B1459" i="839"/>
  <c r="B1458" i="839"/>
  <c r="B1457" i="839"/>
  <c r="B1456" i="839"/>
  <c r="B1455" i="839"/>
  <c r="B1454" i="839"/>
  <c r="B1453" i="839"/>
  <c r="B1452" i="839"/>
  <c r="B1451" i="839"/>
  <c r="B1450" i="839"/>
  <c r="B1449" i="839"/>
  <c r="B1448" i="839"/>
  <c r="B1447" i="839"/>
  <c r="B1446" i="839"/>
  <c r="B1445" i="839"/>
  <c r="B1444" i="839"/>
  <c r="B1443" i="839"/>
  <c r="B1442" i="839"/>
  <c r="B1441" i="839"/>
  <c r="B1440" i="839"/>
  <c r="B1439" i="839"/>
  <c r="B1438" i="839"/>
  <c r="B1437" i="839"/>
  <c r="B1436" i="839"/>
  <c r="B1435" i="839"/>
  <c r="B1434" i="839"/>
  <c r="B1433" i="839"/>
  <c r="B1432" i="839"/>
  <c r="B1431" i="839"/>
  <c r="B1430" i="839"/>
  <c r="B1429" i="839"/>
  <c r="B1428" i="839"/>
  <c r="B1427" i="839"/>
  <c r="B1426" i="839"/>
  <c r="B1425" i="839"/>
  <c r="B1424" i="839"/>
  <c r="B1423" i="839"/>
  <c r="B1422" i="839"/>
  <c r="B1421" i="839"/>
  <c r="B1420" i="839"/>
  <c r="B1419" i="839"/>
  <c r="B1418" i="839"/>
  <c r="B1417" i="839"/>
  <c r="B1416" i="839"/>
  <c r="B1415" i="839"/>
  <c r="B1414" i="839"/>
  <c r="B1413" i="839"/>
  <c r="B1412" i="839"/>
  <c r="B1411" i="839"/>
  <c r="B1410" i="839"/>
  <c r="B1409" i="839"/>
  <c r="B1408" i="839"/>
  <c r="B1407" i="839"/>
  <c r="B1406" i="839"/>
  <c r="B1405" i="839"/>
  <c r="B1404" i="839"/>
  <c r="B1403" i="839"/>
  <c r="B1402" i="839"/>
  <c r="B1401" i="839"/>
  <c r="B1400" i="839"/>
  <c r="B1399" i="839"/>
  <c r="B1398" i="839"/>
  <c r="B1397" i="839"/>
  <c r="B1396" i="839"/>
  <c r="B1395" i="839"/>
  <c r="B1394" i="839"/>
  <c r="B1393" i="839"/>
  <c r="B1392" i="839"/>
  <c r="B1391" i="839"/>
  <c r="B1390" i="839"/>
  <c r="B1389" i="839"/>
  <c r="B1388" i="839"/>
  <c r="B1387" i="839"/>
  <c r="B1386" i="839"/>
  <c r="B1385" i="839"/>
  <c r="B1384" i="839"/>
  <c r="B1383" i="839"/>
  <c r="B43" i="839"/>
  <c r="B42" i="839"/>
  <c r="B41" i="839"/>
  <c r="B40" i="839"/>
  <c r="B39" i="839"/>
  <c r="B38" i="839"/>
  <c r="B37" i="839"/>
  <c r="B36" i="839"/>
  <c r="B35" i="839"/>
  <c r="B34" i="839"/>
  <c r="B33" i="839"/>
  <c r="B32" i="839"/>
  <c r="B31" i="839"/>
  <c r="B30" i="839"/>
  <c r="B29" i="839"/>
  <c r="B28" i="839"/>
  <c r="B27" i="839"/>
  <c r="B26" i="839"/>
  <c r="B25" i="839"/>
  <c r="B24" i="839"/>
  <c r="B23" i="839"/>
  <c r="B22" i="839"/>
  <c r="B21" i="839"/>
  <c r="B20" i="839"/>
  <c r="B19" i="839"/>
  <c r="B18" i="839"/>
  <c r="B17" i="839"/>
  <c r="B16" i="839"/>
  <c r="B15" i="839"/>
  <c r="B14" i="839"/>
  <c r="B13" i="839"/>
  <c r="B12" i="839"/>
  <c r="B11" i="839"/>
  <c r="B10" i="839"/>
  <c r="B9" i="839"/>
  <c r="B8" i="839"/>
  <c r="B7" i="839"/>
  <c r="B6" i="839"/>
  <c r="B5" i="839"/>
  <c r="B4" i="839"/>
  <c r="B3" i="839"/>
  <c r="L419" i="628" l="1"/>
  <c r="M419" i="628"/>
  <c r="N419" i="628" s="1"/>
  <c r="G419" i="628"/>
  <c r="C297" i="430" l="1"/>
  <c r="B297" i="430"/>
  <c r="C296" i="430"/>
  <c r="B296" i="430"/>
  <c r="C295" i="430"/>
  <c r="B295" i="430"/>
  <c r="C294" i="430"/>
  <c r="B294" i="430"/>
  <c r="C293" i="430"/>
  <c r="B293" i="430"/>
  <c r="C292" i="430"/>
  <c r="B292" i="430"/>
  <c r="C291" i="430"/>
  <c r="B291" i="430"/>
  <c r="C290" i="430"/>
  <c r="B290" i="430"/>
  <c r="C289" i="430"/>
  <c r="B289" i="430"/>
  <c r="C288" i="430"/>
  <c r="B288" i="430"/>
  <c r="C287" i="430"/>
  <c r="B287" i="430"/>
  <c r="C286" i="430"/>
  <c r="B286" i="430"/>
  <c r="C285" i="430"/>
  <c r="B285" i="430"/>
  <c r="C284" i="430"/>
  <c r="B284" i="430"/>
  <c r="C283" i="430"/>
  <c r="B283" i="430"/>
  <c r="C282" i="430"/>
  <c r="B282" i="430"/>
  <c r="C281" i="430"/>
  <c r="B281" i="430"/>
  <c r="C280" i="430"/>
  <c r="B280" i="430"/>
  <c r="C279" i="430"/>
  <c r="B279" i="430"/>
  <c r="C278" i="430"/>
  <c r="B278" i="430"/>
  <c r="C277" i="430"/>
  <c r="J291" i="629" l="1"/>
  <c r="H1060" i="628" s="1"/>
  <c r="U284" i="873"/>
  <c r="T284" i="873"/>
  <c r="R284" i="873"/>
  <c r="Q284" i="873"/>
  <c r="U283" i="873"/>
  <c r="T283" i="873"/>
  <c r="R283" i="873"/>
  <c r="Q283" i="873"/>
  <c r="U282" i="873"/>
  <c r="T282" i="873"/>
  <c r="R282" i="873"/>
  <c r="Q282" i="873"/>
  <c r="U281" i="873"/>
  <c r="T281" i="873"/>
  <c r="R281" i="873"/>
  <c r="Q281" i="873"/>
  <c r="U280" i="873"/>
  <c r="T280" i="873"/>
  <c r="R280" i="873"/>
  <c r="Q280" i="873"/>
  <c r="U279" i="873"/>
  <c r="T279" i="873"/>
  <c r="R279" i="873"/>
  <c r="Q279" i="873"/>
  <c r="U278" i="873"/>
  <c r="T278" i="873"/>
  <c r="R278" i="873"/>
  <c r="Q278" i="873"/>
  <c r="U277" i="873"/>
  <c r="T277" i="873"/>
  <c r="R277" i="873"/>
  <c r="Q277" i="873"/>
  <c r="U276" i="873"/>
  <c r="T276" i="873"/>
  <c r="R276" i="873"/>
  <c r="Q276" i="873"/>
  <c r="U275" i="873"/>
  <c r="T275" i="873"/>
  <c r="R275" i="873"/>
  <c r="Q275" i="873"/>
  <c r="U274" i="873"/>
  <c r="T274" i="873"/>
  <c r="R274" i="873"/>
  <c r="Q274" i="873"/>
  <c r="U273" i="873"/>
  <c r="T273" i="873"/>
  <c r="R273" i="873"/>
  <c r="Q273" i="873"/>
  <c r="U272" i="873"/>
  <c r="T272" i="873"/>
  <c r="R272" i="873"/>
  <c r="Q272" i="873"/>
  <c r="I272" i="873"/>
  <c r="V272" i="873" s="1"/>
  <c r="J272" i="873"/>
  <c r="W272" i="873" s="1"/>
  <c r="K272" i="873"/>
  <c r="M272" i="873" s="1"/>
  <c r="Z272" i="873" s="1"/>
  <c r="I273" i="873"/>
  <c r="J273" i="873"/>
  <c r="W273" i="873" s="1"/>
  <c r="K273" i="873"/>
  <c r="X273" i="873" s="1"/>
  <c r="I274" i="873"/>
  <c r="V274" i="873" s="1"/>
  <c r="J274" i="873"/>
  <c r="L274" i="873" s="1"/>
  <c r="Y274" i="873" s="1"/>
  <c r="K274" i="873"/>
  <c r="X274" i="873" s="1"/>
  <c r="I275" i="873"/>
  <c r="V275" i="873" s="1"/>
  <c r="J275" i="873"/>
  <c r="L275" i="873" s="1"/>
  <c r="Y275" i="873" s="1"/>
  <c r="K275" i="873"/>
  <c r="M275" i="873" s="1"/>
  <c r="Z275" i="873" s="1"/>
  <c r="I276" i="873"/>
  <c r="V276" i="873" s="1"/>
  <c r="J276" i="873"/>
  <c r="L276" i="873" s="1"/>
  <c r="Y276" i="873" s="1"/>
  <c r="K276" i="873"/>
  <c r="M276" i="873" s="1"/>
  <c r="Z276" i="873" s="1"/>
  <c r="I277" i="873"/>
  <c r="V277" i="873" s="1"/>
  <c r="J277" i="873"/>
  <c r="W277" i="873" s="1"/>
  <c r="K277" i="873"/>
  <c r="X277" i="873" s="1"/>
  <c r="I278" i="873"/>
  <c r="V278" i="873" s="1"/>
  <c r="J278" i="873"/>
  <c r="L278" i="873" s="1"/>
  <c r="Y278" i="873" s="1"/>
  <c r="K278" i="873"/>
  <c r="X278" i="873" s="1"/>
  <c r="I279" i="873"/>
  <c r="V279" i="873" s="1"/>
  <c r="J279" i="873"/>
  <c r="L279" i="873" s="1"/>
  <c r="Y279" i="873" s="1"/>
  <c r="K279" i="873"/>
  <c r="M279" i="873" s="1"/>
  <c r="Z279" i="873" s="1"/>
  <c r="I280" i="873"/>
  <c r="V280" i="873" s="1"/>
  <c r="J280" i="873"/>
  <c r="W280" i="873" s="1"/>
  <c r="K280" i="873"/>
  <c r="M280" i="873" s="1"/>
  <c r="Z280" i="873" s="1"/>
  <c r="I281" i="873"/>
  <c r="V281" i="873" s="1"/>
  <c r="J281" i="873"/>
  <c r="W281" i="873" s="1"/>
  <c r="K281" i="873"/>
  <c r="X281" i="873" s="1"/>
  <c r="I282" i="873"/>
  <c r="V282" i="873" s="1"/>
  <c r="J282" i="873"/>
  <c r="L282" i="873" s="1"/>
  <c r="Y282" i="873" s="1"/>
  <c r="K282" i="873"/>
  <c r="X282" i="873" s="1"/>
  <c r="I283" i="873"/>
  <c r="V283" i="873" s="1"/>
  <c r="J283" i="873"/>
  <c r="L283" i="873" s="1"/>
  <c r="Y283" i="873" s="1"/>
  <c r="K283" i="873"/>
  <c r="M283" i="873" s="1"/>
  <c r="Z283" i="873" s="1"/>
  <c r="I284" i="873"/>
  <c r="V284" i="873" s="1"/>
  <c r="J284" i="873"/>
  <c r="W284" i="873" s="1"/>
  <c r="K284" i="873"/>
  <c r="M284" i="873" s="1"/>
  <c r="Z284" i="873" s="1"/>
  <c r="F272" i="873"/>
  <c r="F273" i="873"/>
  <c r="S273" i="873" s="1"/>
  <c r="F274" i="873"/>
  <c r="S274" i="873" s="1"/>
  <c r="F275" i="873"/>
  <c r="S275" i="873" s="1"/>
  <c r="F276" i="873"/>
  <c r="S276" i="873" s="1"/>
  <c r="F277" i="873"/>
  <c r="S277" i="873" s="1"/>
  <c r="F278" i="873"/>
  <c r="F279" i="873"/>
  <c r="F280" i="873"/>
  <c r="S280" i="873" s="1"/>
  <c r="F281" i="873"/>
  <c r="S281" i="873" s="1"/>
  <c r="F282" i="873"/>
  <c r="S282" i="873" s="1"/>
  <c r="F283" i="873"/>
  <c r="S283" i="873" s="1"/>
  <c r="F284" i="873"/>
  <c r="S284" i="873" s="1"/>
  <c r="L93" i="629"/>
  <c r="D93" i="629" s="1"/>
  <c r="L35" i="629"/>
  <c r="D35" i="629" s="1"/>
  <c r="L71" i="629"/>
  <c r="D71" i="629" s="1"/>
  <c r="L172" i="629"/>
  <c r="D172" i="629" s="1"/>
  <c r="L94" i="629"/>
  <c r="D94" i="629" s="1"/>
  <c r="L53" i="629"/>
  <c r="D53" i="629" s="1"/>
  <c r="L173" i="629"/>
  <c r="D173" i="629" s="1"/>
  <c r="L36" i="629"/>
  <c r="D36" i="629" s="1"/>
  <c r="L111" i="629"/>
  <c r="D111" i="629" s="1"/>
  <c r="L75" i="629"/>
  <c r="D75" i="629" s="1"/>
  <c r="B2" i="839"/>
  <c r="N272" i="873" l="1"/>
  <c r="AA272" i="873" s="1"/>
  <c r="L284" i="873"/>
  <c r="Y284" i="873" s="1"/>
  <c r="N284" i="873"/>
  <c r="O284" i="873" s="1"/>
  <c r="AB284" i="873" s="1"/>
  <c r="N280" i="873"/>
  <c r="AA280" i="873" s="1"/>
  <c r="N277" i="873"/>
  <c r="O277" i="873" s="1"/>
  <c r="AB277" i="873" s="1"/>
  <c r="N274" i="873"/>
  <c r="O274" i="873" s="1"/>
  <c r="AB274" i="873" s="1"/>
  <c r="N273" i="873"/>
  <c r="O273" i="873" s="1"/>
  <c r="AB273" i="873" s="1"/>
  <c r="N279" i="873"/>
  <c r="AA279" i="873" s="1"/>
  <c r="L281" i="873"/>
  <c r="Y281" i="873" s="1"/>
  <c r="M278" i="873"/>
  <c r="Z278" i="873" s="1"/>
  <c r="M277" i="873"/>
  <c r="Z277" i="873" s="1"/>
  <c r="M274" i="873"/>
  <c r="Z274" i="873" s="1"/>
  <c r="M273" i="873"/>
  <c r="Z273" i="873" s="1"/>
  <c r="L272" i="873"/>
  <c r="Y272" i="873" s="1"/>
  <c r="N278" i="873"/>
  <c r="O278" i="873" s="1"/>
  <c r="AB278" i="873" s="1"/>
  <c r="L277" i="873"/>
  <c r="Y277" i="873" s="1"/>
  <c r="V273" i="873"/>
  <c r="O272" i="873"/>
  <c r="AB272" i="873" s="1"/>
  <c r="N275" i="873"/>
  <c r="N283" i="873"/>
  <c r="N282" i="873"/>
  <c r="L280" i="873"/>
  <c r="Y280" i="873" s="1"/>
  <c r="N276" i="873"/>
  <c r="L273" i="873"/>
  <c r="Y273" i="873" s="1"/>
  <c r="S272" i="873"/>
  <c r="W274" i="873"/>
  <c r="W275" i="873"/>
  <c r="W276" i="873"/>
  <c r="S278" i="873"/>
  <c r="W278" i="873"/>
  <c r="S279" i="873"/>
  <c r="W279" i="873"/>
  <c r="W282" i="873"/>
  <c r="W283" i="873"/>
  <c r="M282" i="873"/>
  <c r="Z282" i="873" s="1"/>
  <c r="M281" i="873"/>
  <c r="Z281" i="873" s="1"/>
  <c r="N281" i="873"/>
  <c r="X272" i="873"/>
  <c r="X275" i="873"/>
  <c r="X276" i="873"/>
  <c r="X279" i="873"/>
  <c r="X280" i="873"/>
  <c r="X283" i="873"/>
  <c r="X284" i="873"/>
  <c r="AA277" i="873" l="1"/>
  <c r="O280" i="873"/>
  <c r="AB280" i="873" s="1"/>
  <c r="AA274" i="873"/>
  <c r="AA284" i="873"/>
  <c r="AA273" i="873"/>
  <c r="AA278" i="873"/>
  <c r="O279" i="873"/>
  <c r="AB279" i="873" s="1"/>
  <c r="O283" i="873"/>
  <c r="AB283" i="873" s="1"/>
  <c r="AA283" i="873"/>
  <c r="O275" i="873"/>
  <c r="AB275" i="873" s="1"/>
  <c r="AA275" i="873"/>
  <c r="O276" i="873"/>
  <c r="AB276" i="873" s="1"/>
  <c r="AA276" i="873"/>
  <c r="O282" i="873"/>
  <c r="AB282" i="873" s="1"/>
  <c r="AA282" i="873"/>
  <c r="O281" i="873"/>
  <c r="AB281" i="873" s="1"/>
  <c r="AA281" i="873"/>
  <c r="M3218" i="839" l="1"/>
  <c r="D2582" i="839"/>
  <c r="D2586" i="839"/>
  <c r="D2590" i="839"/>
  <c r="D2594" i="839"/>
  <c r="D2598" i="839"/>
  <c r="D2602" i="839"/>
  <c r="D2606" i="839"/>
  <c r="D2610" i="839"/>
  <c r="D2614" i="839"/>
  <c r="D2618" i="839"/>
  <c r="D2622" i="839"/>
  <c r="D2626" i="839"/>
  <c r="D2630" i="839"/>
  <c r="D2634" i="839"/>
  <c r="D2638" i="839"/>
  <c r="D2642" i="839"/>
  <c r="D2646" i="839"/>
  <c r="D2650" i="839"/>
  <c r="D2654" i="839"/>
  <c r="D2658" i="839"/>
  <c r="D2662" i="839"/>
  <c r="D2666" i="839"/>
  <c r="D2670" i="839"/>
  <c r="D2674" i="839"/>
  <c r="D2678" i="839"/>
  <c r="D2682" i="839"/>
  <c r="D2686" i="839"/>
  <c r="D2690" i="839"/>
  <c r="D2694" i="839"/>
  <c r="D2698" i="839"/>
  <c r="D2702" i="839"/>
  <c r="D2706" i="839"/>
  <c r="D2710" i="839"/>
  <c r="D2714" i="839"/>
  <c r="D2718" i="839"/>
  <c r="D2722" i="839"/>
  <c r="D2726" i="839"/>
  <c r="D2730" i="839"/>
  <c r="D2734" i="839"/>
  <c r="D2738" i="839"/>
  <c r="D2742" i="839"/>
  <c r="D2746" i="839"/>
  <c r="D2750" i="839"/>
  <c r="D2754" i="839"/>
  <c r="D2758" i="839"/>
  <c r="D2762" i="839"/>
  <c r="D2766" i="839"/>
  <c r="D2770" i="839"/>
  <c r="D2774" i="839"/>
  <c r="D2778" i="839"/>
  <c r="D2782" i="839"/>
  <c r="D2786" i="839"/>
  <c r="D2790" i="839"/>
  <c r="D2794" i="839"/>
  <c r="D2798" i="839"/>
  <c r="D2802" i="839"/>
  <c r="D2806" i="839"/>
  <c r="D2810" i="839"/>
  <c r="D2814" i="839"/>
  <c r="D2818" i="839"/>
  <c r="D2822" i="839"/>
  <c r="D2826" i="839"/>
  <c r="D2830" i="839"/>
  <c r="D2834" i="839"/>
  <c r="D2838" i="839"/>
  <c r="D2842" i="839"/>
  <c r="D2846" i="839"/>
  <c r="D2850" i="839"/>
  <c r="D2854" i="839"/>
  <c r="D2858" i="839"/>
  <c r="D2862" i="839"/>
  <c r="D2866" i="839"/>
  <c r="D2870" i="839"/>
  <c r="D2874" i="839"/>
  <c r="D2878" i="839"/>
  <c r="D2882" i="839"/>
  <c r="D2886" i="839"/>
  <c r="D2890" i="839"/>
  <c r="D2894" i="839"/>
  <c r="D2898" i="839"/>
  <c r="D2902" i="839"/>
  <c r="D2906" i="839"/>
  <c r="D2910" i="839"/>
  <c r="D2914" i="839"/>
  <c r="D2918" i="839"/>
  <c r="D3" i="839"/>
  <c r="D4" i="839"/>
  <c r="D5" i="839"/>
  <c r="D6" i="839"/>
  <c r="D7" i="839"/>
  <c r="D8" i="839"/>
  <c r="D9" i="839"/>
  <c r="D10" i="839"/>
  <c r="D11" i="839"/>
  <c r="D12" i="839"/>
  <c r="D13" i="839"/>
  <c r="D14" i="839"/>
  <c r="D15" i="839"/>
  <c r="D16" i="839"/>
  <c r="D17" i="839"/>
  <c r="D18" i="839"/>
  <c r="D19" i="839"/>
  <c r="D20" i="839"/>
  <c r="D21" i="839"/>
  <c r="D22" i="839"/>
  <c r="D23" i="839"/>
  <c r="D24" i="839"/>
  <c r="D25" i="839"/>
  <c r="D26" i="839"/>
  <c r="D27" i="839"/>
  <c r="D28" i="839"/>
  <c r="D29" i="839"/>
  <c r="D30" i="839"/>
  <c r="D31" i="839"/>
  <c r="D32" i="839"/>
  <c r="D33" i="839"/>
  <c r="D34" i="839"/>
  <c r="D35" i="839"/>
  <c r="D36" i="839"/>
  <c r="D37" i="839"/>
  <c r="D38" i="839"/>
  <c r="D39" i="839"/>
  <c r="D40" i="839"/>
  <c r="D41" i="839"/>
  <c r="D42" i="839"/>
  <c r="D43" i="839"/>
  <c r="D45" i="839"/>
  <c r="D46" i="839"/>
  <c r="D47" i="839"/>
  <c r="D48" i="839"/>
  <c r="D49" i="839"/>
  <c r="D50" i="839"/>
  <c r="D51" i="839"/>
  <c r="D52" i="839"/>
  <c r="D53" i="839"/>
  <c r="D54" i="839"/>
  <c r="D55" i="839"/>
  <c r="D56" i="839"/>
  <c r="D57" i="839"/>
  <c r="D58" i="839"/>
  <c r="D59" i="839"/>
  <c r="D60" i="839"/>
  <c r="D61" i="839"/>
  <c r="D62" i="839"/>
  <c r="D63" i="839"/>
  <c r="D64" i="839"/>
  <c r="D65" i="839"/>
  <c r="D66" i="839"/>
  <c r="D67" i="839"/>
  <c r="D68" i="839"/>
  <c r="D69" i="839"/>
  <c r="D70" i="839"/>
  <c r="D71" i="839"/>
  <c r="D72" i="839"/>
  <c r="D73" i="839"/>
  <c r="D74" i="839"/>
  <c r="D75" i="839"/>
  <c r="D76" i="839"/>
  <c r="D77" i="839"/>
  <c r="D78" i="839"/>
  <c r="D79" i="839"/>
  <c r="D80" i="839"/>
  <c r="D81" i="839"/>
  <c r="D82" i="839"/>
  <c r="D83" i="839"/>
  <c r="D84" i="839"/>
  <c r="D85" i="839"/>
  <c r="D86" i="839"/>
  <c r="D87" i="839"/>
  <c r="D88" i="839"/>
  <c r="D89" i="839"/>
  <c r="D90" i="839"/>
  <c r="D91" i="839"/>
  <c r="D92" i="839"/>
  <c r="D93" i="839"/>
  <c r="D94" i="839"/>
  <c r="D95" i="839"/>
  <c r="D96" i="839"/>
  <c r="D97" i="839"/>
  <c r="D98" i="839"/>
  <c r="D99" i="839"/>
  <c r="D100" i="839"/>
  <c r="D101" i="839"/>
  <c r="D102" i="839"/>
  <c r="D103" i="839"/>
  <c r="D104" i="839"/>
  <c r="D105" i="839"/>
  <c r="D106" i="839"/>
  <c r="D107" i="839"/>
  <c r="D108" i="839"/>
  <c r="D109" i="839"/>
  <c r="D110" i="839"/>
  <c r="D111" i="839"/>
  <c r="D112" i="839"/>
  <c r="D113" i="839"/>
  <c r="D114" i="839"/>
  <c r="D115" i="839"/>
  <c r="D116" i="839"/>
  <c r="D117" i="839"/>
  <c r="D118" i="839"/>
  <c r="D119" i="839"/>
  <c r="D120" i="839"/>
  <c r="D121" i="839"/>
  <c r="D122" i="839"/>
  <c r="D123" i="839"/>
  <c r="D124" i="839"/>
  <c r="D125" i="839"/>
  <c r="D126" i="839"/>
  <c r="D127" i="839"/>
  <c r="D128" i="839"/>
  <c r="D129" i="839"/>
  <c r="D130" i="839"/>
  <c r="D131" i="839"/>
  <c r="D132" i="839"/>
  <c r="D133" i="839"/>
  <c r="D134" i="839"/>
  <c r="D135" i="839"/>
  <c r="D136" i="839"/>
  <c r="D137" i="839"/>
  <c r="D138" i="839"/>
  <c r="D139" i="839"/>
  <c r="D140" i="839"/>
  <c r="D141" i="839"/>
  <c r="D142" i="839"/>
  <c r="D143" i="839"/>
  <c r="D144" i="839"/>
  <c r="D145" i="839"/>
  <c r="D146" i="839"/>
  <c r="D147" i="839"/>
  <c r="D148" i="839"/>
  <c r="D149" i="839"/>
  <c r="D150" i="839"/>
  <c r="D151" i="839"/>
  <c r="D152" i="839"/>
  <c r="D153" i="839"/>
  <c r="D154" i="839"/>
  <c r="D155" i="839"/>
  <c r="D156" i="839"/>
  <c r="D157" i="839"/>
  <c r="D158" i="839"/>
  <c r="D159" i="839"/>
  <c r="D160" i="839"/>
  <c r="D161" i="839"/>
  <c r="D162" i="839"/>
  <c r="D163" i="839"/>
  <c r="D164" i="839"/>
  <c r="D165" i="839"/>
  <c r="D166" i="839"/>
  <c r="D167" i="839"/>
  <c r="D168" i="839"/>
  <c r="D169" i="839"/>
  <c r="D170" i="839"/>
  <c r="D171" i="839"/>
  <c r="D172" i="839"/>
  <c r="D173" i="839"/>
  <c r="D174" i="839"/>
  <c r="D175" i="839"/>
  <c r="D176" i="839"/>
  <c r="D177" i="839"/>
  <c r="D178" i="839"/>
  <c r="D179" i="839"/>
  <c r="D180" i="839"/>
  <c r="D181" i="839"/>
  <c r="D182" i="839"/>
  <c r="D183" i="839"/>
  <c r="D184" i="839"/>
  <c r="D185" i="839"/>
  <c r="D186" i="839"/>
  <c r="D187" i="839"/>
  <c r="D188" i="839"/>
  <c r="D189" i="839"/>
  <c r="D190" i="839"/>
  <c r="D191" i="839"/>
  <c r="D192" i="839"/>
  <c r="D193" i="839"/>
  <c r="D194" i="839"/>
  <c r="D195" i="839"/>
  <c r="D196" i="839"/>
  <c r="D197" i="839"/>
  <c r="D198" i="839"/>
  <c r="D199" i="839"/>
  <c r="D200" i="839"/>
  <c r="D201" i="839"/>
  <c r="D202" i="839"/>
  <c r="D203" i="839"/>
  <c r="D204" i="839"/>
  <c r="D205" i="839"/>
  <c r="D206" i="839"/>
  <c r="D207" i="839"/>
  <c r="D208" i="839"/>
  <c r="D209" i="839"/>
  <c r="D210" i="839"/>
  <c r="D211" i="839"/>
  <c r="D212" i="839"/>
  <c r="D213" i="839"/>
  <c r="D214" i="839"/>
  <c r="D215" i="839"/>
  <c r="D216" i="839"/>
  <c r="D217" i="839"/>
  <c r="D218" i="839"/>
  <c r="D219" i="839"/>
  <c r="D220" i="839"/>
  <c r="D221" i="839"/>
  <c r="D222" i="839"/>
  <c r="D223" i="839"/>
  <c r="D224" i="839"/>
  <c r="D225" i="839"/>
  <c r="D226" i="839"/>
  <c r="D227" i="839"/>
  <c r="D228" i="839"/>
  <c r="D229" i="839"/>
  <c r="D230" i="839"/>
  <c r="D231" i="839"/>
  <c r="D232" i="839"/>
  <c r="D233" i="839"/>
  <c r="D234" i="839"/>
  <c r="D235" i="839"/>
  <c r="D236" i="839"/>
  <c r="D237" i="839"/>
  <c r="D238" i="839"/>
  <c r="D239" i="839"/>
  <c r="D240" i="839"/>
  <c r="D241" i="839"/>
  <c r="D242" i="839"/>
  <c r="D243" i="839"/>
  <c r="D244" i="839"/>
  <c r="D245" i="839"/>
  <c r="D246" i="839"/>
  <c r="D247" i="839"/>
  <c r="D248" i="839"/>
  <c r="D249" i="839"/>
  <c r="D250" i="839"/>
  <c r="D251" i="839"/>
  <c r="D252" i="839"/>
  <c r="D253" i="839"/>
  <c r="D254" i="839"/>
  <c r="D255" i="839"/>
  <c r="D256" i="839"/>
  <c r="D257" i="839"/>
  <c r="D258" i="839"/>
  <c r="D259" i="839"/>
  <c r="D260" i="839"/>
  <c r="D261" i="839"/>
  <c r="D262" i="839"/>
  <c r="D263" i="839"/>
  <c r="D264" i="839"/>
  <c r="D265" i="839"/>
  <c r="D266" i="839"/>
  <c r="D267" i="839"/>
  <c r="D268" i="839"/>
  <c r="D269" i="839"/>
  <c r="D270" i="839"/>
  <c r="D271" i="839"/>
  <c r="D272" i="839"/>
  <c r="D273" i="839"/>
  <c r="D274" i="839"/>
  <c r="D275" i="839"/>
  <c r="D276" i="839"/>
  <c r="D277" i="839"/>
  <c r="D278" i="839"/>
  <c r="D279" i="839"/>
  <c r="D280" i="839"/>
  <c r="D281" i="839"/>
  <c r="D282" i="839"/>
  <c r="D283" i="839"/>
  <c r="D284" i="839"/>
  <c r="D285" i="839"/>
  <c r="D286" i="839"/>
  <c r="D287" i="839"/>
  <c r="D288" i="839"/>
  <c r="D289" i="839"/>
  <c r="D290" i="839"/>
  <c r="D291" i="839"/>
  <c r="D292" i="839"/>
  <c r="D293" i="839"/>
  <c r="D294" i="839"/>
  <c r="D295" i="839"/>
  <c r="D296" i="839"/>
  <c r="D297" i="839"/>
  <c r="D298" i="839"/>
  <c r="D299" i="839"/>
  <c r="D300" i="839"/>
  <c r="D301" i="839"/>
  <c r="D302" i="839"/>
  <c r="D303" i="839"/>
  <c r="D304" i="839"/>
  <c r="D305" i="839"/>
  <c r="D306" i="839"/>
  <c r="D307" i="839"/>
  <c r="D308" i="839"/>
  <c r="D309" i="839"/>
  <c r="D310" i="839"/>
  <c r="D311" i="839"/>
  <c r="D312" i="839"/>
  <c r="D313" i="839"/>
  <c r="D314" i="839"/>
  <c r="D315" i="839"/>
  <c r="D316" i="839"/>
  <c r="D317" i="839"/>
  <c r="D318" i="839"/>
  <c r="D319" i="839"/>
  <c r="D320" i="839"/>
  <c r="D321" i="839"/>
  <c r="D322" i="839"/>
  <c r="D323" i="839"/>
  <c r="D324" i="839"/>
  <c r="D325" i="839"/>
  <c r="D326" i="839"/>
  <c r="D327" i="839"/>
  <c r="D328" i="839"/>
  <c r="D329" i="839"/>
  <c r="D330" i="839"/>
  <c r="D331" i="839"/>
  <c r="D332" i="839"/>
  <c r="D333" i="839"/>
  <c r="D334" i="839"/>
  <c r="D335" i="839"/>
  <c r="D336" i="839"/>
  <c r="D337" i="839"/>
  <c r="D338" i="839"/>
  <c r="D339" i="839"/>
  <c r="D340" i="839"/>
  <c r="D341" i="839"/>
  <c r="D342" i="839"/>
  <c r="D343" i="839"/>
  <c r="D344" i="839"/>
  <c r="D345" i="839"/>
  <c r="D346" i="839"/>
  <c r="D347" i="839"/>
  <c r="D348" i="839"/>
  <c r="D349" i="839"/>
  <c r="D350" i="839"/>
  <c r="D351" i="839"/>
  <c r="D352" i="839"/>
  <c r="D353" i="839"/>
  <c r="D354" i="839"/>
  <c r="D355" i="839"/>
  <c r="D356" i="839"/>
  <c r="D357" i="839"/>
  <c r="D358" i="839"/>
  <c r="D359" i="839"/>
  <c r="D360" i="839"/>
  <c r="D361" i="839"/>
  <c r="D362" i="839"/>
  <c r="D363" i="839"/>
  <c r="D364" i="839"/>
  <c r="D365" i="839"/>
  <c r="D366" i="839"/>
  <c r="D367" i="839"/>
  <c r="D368" i="839"/>
  <c r="D369" i="839"/>
  <c r="D370" i="839"/>
  <c r="D371" i="839"/>
  <c r="D372" i="839"/>
  <c r="D373" i="839"/>
  <c r="D374" i="839"/>
  <c r="D375" i="839"/>
  <c r="D376" i="839"/>
  <c r="D377" i="839"/>
  <c r="D378" i="839"/>
  <c r="D379" i="839"/>
  <c r="D380" i="839"/>
  <c r="D381" i="839"/>
  <c r="D382" i="839"/>
  <c r="D383" i="839"/>
  <c r="D384" i="839"/>
  <c r="D385" i="839"/>
  <c r="D386" i="839"/>
  <c r="D387" i="839"/>
  <c r="D388" i="839"/>
  <c r="D389" i="839"/>
  <c r="D390" i="839"/>
  <c r="D391" i="839"/>
  <c r="D392" i="839"/>
  <c r="D393" i="839"/>
  <c r="D394" i="839"/>
  <c r="D395" i="839"/>
  <c r="D396" i="839"/>
  <c r="D397" i="839"/>
  <c r="D398" i="839"/>
  <c r="D399" i="839"/>
  <c r="D400" i="839"/>
  <c r="D401" i="839"/>
  <c r="D402" i="839"/>
  <c r="D403" i="839"/>
  <c r="D404" i="839"/>
  <c r="D405" i="839"/>
  <c r="D406" i="839"/>
  <c r="D407" i="839"/>
  <c r="D408" i="839"/>
  <c r="D409" i="839"/>
  <c r="D410" i="839"/>
  <c r="D411" i="839"/>
  <c r="D412" i="839"/>
  <c r="D413" i="839"/>
  <c r="D414" i="839"/>
  <c r="D415" i="839"/>
  <c r="D416" i="839"/>
  <c r="D417" i="839"/>
  <c r="D418" i="839"/>
  <c r="D419" i="839"/>
  <c r="D420" i="839"/>
  <c r="D421" i="839"/>
  <c r="D422" i="839"/>
  <c r="D423" i="839"/>
  <c r="D424" i="839"/>
  <c r="D425" i="839"/>
  <c r="D426" i="839"/>
  <c r="D427" i="839"/>
  <c r="D428" i="839"/>
  <c r="D429" i="839"/>
  <c r="D430" i="839"/>
  <c r="D431" i="839"/>
  <c r="D432" i="839"/>
  <c r="D433" i="839"/>
  <c r="D434" i="839"/>
  <c r="D435" i="839"/>
  <c r="D436" i="839"/>
  <c r="D437" i="839"/>
  <c r="D438" i="839"/>
  <c r="D439" i="839"/>
  <c r="D440" i="839"/>
  <c r="D441" i="839"/>
  <c r="D442" i="839"/>
  <c r="D443" i="839"/>
  <c r="D444" i="839"/>
  <c r="D445" i="839"/>
  <c r="D446" i="839"/>
  <c r="D447" i="839"/>
  <c r="D448" i="839"/>
  <c r="D449" i="839"/>
  <c r="D450" i="839"/>
  <c r="D451" i="839"/>
  <c r="D452" i="839"/>
  <c r="D453" i="839"/>
  <c r="D454" i="839"/>
  <c r="D455" i="839"/>
  <c r="D456" i="839"/>
  <c r="D457" i="839"/>
  <c r="D458" i="839"/>
  <c r="D459" i="839"/>
  <c r="D460" i="839"/>
  <c r="D461" i="839"/>
  <c r="D462" i="839"/>
  <c r="D463" i="839"/>
  <c r="D464" i="839"/>
  <c r="D465" i="839"/>
  <c r="D466" i="839"/>
  <c r="D467" i="839"/>
  <c r="D468" i="839"/>
  <c r="D469" i="839"/>
  <c r="D470" i="839"/>
  <c r="D471" i="839"/>
  <c r="D472" i="839"/>
  <c r="D473" i="839"/>
  <c r="D474" i="839"/>
  <c r="D475" i="839"/>
  <c r="D476" i="839"/>
  <c r="D477" i="839"/>
  <c r="D478" i="839"/>
  <c r="D479" i="839"/>
  <c r="D480" i="839"/>
  <c r="D481" i="839"/>
  <c r="D482" i="839"/>
  <c r="D483" i="839"/>
  <c r="D484" i="839"/>
  <c r="D485" i="839"/>
  <c r="D486" i="839"/>
  <c r="D487" i="839"/>
  <c r="D488" i="839"/>
  <c r="D489" i="839"/>
  <c r="D490" i="839"/>
  <c r="D491" i="839"/>
  <c r="D492" i="839"/>
  <c r="D493" i="839"/>
  <c r="D494" i="839"/>
  <c r="D495" i="839"/>
  <c r="D496" i="839"/>
  <c r="D497" i="839"/>
  <c r="D498" i="839"/>
  <c r="D499" i="839"/>
  <c r="D500" i="839"/>
  <c r="D501" i="839"/>
  <c r="D502" i="839"/>
  <c r="D503" i="839"/>
  <c r="D504" i="839"/>
  <c r="D505" i="839"/>
  <c r="D506" i="839"/>
  <c r="D507" i="839"/>
  <c r="D508" i="839"/>
  <c r="D509" i="839"/>
  <c r="D510" i="839"/>
  <c r="D511" i="839"/>
  <c r="D512" i="839"/>
  <c r="D513" i="839"/>
  <c r="D514" i="839"/>
  <c r="D515" i="839"/>
  <c r="D516" i="839"/>
  <c r="D517" i="839"/>
  <c r="D518" i="839"/>
  <c r="D519" i="839"/>
  <c r="D520" i="839"/>
  <c r="D521" i="839"/>
  <c r="D522" i="839"/>
  <c r="D523" i="839"/>
  <c r="D524" i="839"/>
  <c r="D525" i="839"/>
  <c r="D526" i="839"/>
  <c r="D527" i="839"/>
  <c r="D528" i="839"/>
  <c r="D529" i="839"/>
  <c r="D530" i="839"/>
  <c r="D531" i="839"/>
  <c r="D532" i="839"/>
  <c r="D533" i="839"/>
  <c r="D534" i="839"/>
  <c r="D535" i="839"/>
  <c r="D536" i="839"/>
  <c r="D537" i="839"/>
  <c r="D538" i="839"/>
  <c r="D539" i="839"/>
  <c r="D540" i="839"/>
  <c r="D541" i="839"/>
  <c r="D542" i="839"/>
  <c r="D543" i="839"/>
  <c r="D544" i="839"/>
  <c r="D545" i="839"/>
  <c r="D546" i="839"/>
  <c r="D547" i="839"/>
  <c r="D548" i="839"/>
  <c r="D549" i="839"/>
  <c r="D550" i="839"/>
  <c r="D551" i="839"/>
  <c r="D552" i="839"/>
  <c r="D553" i="839"/>
  <c r="D554" i="839"/>
  <c r="D555" i="839"/>
  <c r="D556" i="839"/>
  <c r="D557" i="839"/>
  <c r="D558" i="839"/>
  <c r="D559" i="839"/>
  <c r="D560" i="839"/>
  <c r="D561" i="839"/>
  <c r="D562" i="839"/>
  <c r="D563" i="839"/>
  <c r="D564" i="839"/>
  <c r="D565" i="839"/>
  <c r="D566" i="839"/>
  <c r="D567" i="839"/>
  <c r="D568" i="839"/>
  <c r="D569" i="839"/>
  <c r="D570" i="839"/>
  <c r="D571" i="839"/>
  <c r="D572" i="839"/>
  <c r="D573" i="839"/>
  <c r="D574" i="839"/>
  <c r="D575" i="839"/>
  <c r="D576" i="839"/>
  <c r="D577" i="839"/>
  <c r="D578" i="839"/>
  <c r="D579" i="839"/>
  <c r="D580" i="839"/>
  <c r="D581" i="839"/>
  <c r="D582" i="839"/>
  <c r="D583" i="839"/>
  <c r="D584" i="839"/>
  <c r="D585" i="839"/>
  <c r="D586" i="839"/>
  <c r="D587" i="839"/>
  <c r="D588" i="839"/>
  <c r="D589" i="839"/>
  <c r="D590" i="839"/>
  <c r="D591" i="839"/>
  <c r="D592" i="839"/>
  <c r="D593" i="839"/>
  <c r="D594" i="839"/>
  <c r="D595" i="839"/>
  <c r="D596" i="839"/>
  <c r="D597" i="839"/>
  <c r="D598" i="839"/>
  <c r="D599" i="839"/>
  <c r="D600" i="839"/>
  <c r="D601" i="839"/>
  <c r="D602" i="839"/>
  <c r="D603" i="839"/>
  <c r="D604" i="839"/>
  <c r="D605" i="839"/>
  <c r="D606" i="839"/>
  <c r="D607" i="839"/>
  <c r="D608" i="839"/>
  <c r="D609" i="839"/>
  <c r="D610" i="839"/>
  <c r="D611" i="839"/>
  <c r="D612" i="839"/>
  <c r="D613" i="839"/>
  <c r="D614" i="839"/>
  <c r="D615" i="839"/>
  <c r="D616" i="839"/>
  <c r="D617" i="839"/>
  <c r="D618" i="839"/>
  <c r="D619" i="839"/>
  <c r="D620" i="839"/>
  <c r="D621" i="839"/>
  <c r="D622" i="839"/>
  <c r="D623" i="839"/>
  <c r="D624" i="839"/>
  <c r="D625" i="839"/>
  <c r="D626" i="839"/>
  <c r="D627" i="839"/>
  <c r="D628" i="839"/>
  <c r="D629" i="839"/>
  <c r="D630" i="839"/>
  <c r="D631" i="839"/>
  <c r="D632" i="839"/>
  <c r="D633" i="839"/>
  <c r="D634" i="839"/>
  <c r="D635" i="839"/>
  <c r="D636" i="839"/>
  <c r="D637" i="839"/>
  <c r="D638" i="839"/>
  <c r="D639" i="839"/>
  <c r="D640" i="839"/>
  <c r="D641" i="839"/>
  <c r="D642" i="839"/>
  <c r="D643" i="839"/>
  <c r="D644" i="839"/>
  <c r="D645" i="839"/>
  <c r="D646" i="839"/>
  <c r="D647" i="839"/>
  <c r="D648" i="839"/>
  <c r="D649" i="839"/>
  <c r="D650" i="839"/>
  <c r="D651" i="839"/>
  <c r="D652" i="839"/>
  <c r="D653" i="839"/>
  <c r="D654" i="839"/>
  <c r="D655" i="839"/>
  <c r="D656" i="839"/>
  <c r="D657" i="839"/>
  <c r="D658" i="839"/>
  <c r="D659" i="839"/>
  <c r="D660" i="839"/>
  <c r="D661" i="839"/>
  <c r="D662" i="839"/>
  <c r="D663" i="839"/>
  <c r="D664" i="839"/>
  <c r="D665" i="839"/>
  <c r="D666" i="839"/>
  <c r="D667" i="839"/>
  <c r="D668" i="839"/>
  <c r="D669" i="839"/>
  <c r="D670" i="839"/>
  <c r="D671" i="839"/>
  <c r="D672" i="839"/>
  <c r="D673" i="839"/>
  <c r="D674" i="839"/>
  <c r="D675" i="839"/>
  <c r="D676" i="839"/>
  <c r="D677" i="839"/>
  <c r="D678" i="839"/>
  <c r="D679" i="839"/>
  <c r="D680" i="839"/>
  <c r="D681" i="839"/>
  <c r="D682" i="839"/>
  <c r="D683" i="839"/>
  <c r="D684" i="839"/>
  <c r="D685" i="839"/>
  <c r="D686" i="839"/>
  <c r="D687" i="839"/>
  <c r="D688" i="839"/>
  <c r="D689" i="839"/>
  <c r="D690" i="839"/>
  <c r="D691" i="839"/>
  <c r="D692" i="839"/>
  <c r="D693" i="839"/>
  <c r="D694" i="839"/>
  <c r="D695" i="839"/>
  <c r="D696" i="839"/>
  <c r="D697" i="839"/>
  <c r="D698" i="839"/>
  <c r="D699" i="839"/>
  <c r="D700" i="839"/>
  <c r="D701" i="839"/>
  <c r="D702" i="839"/>
  <c r="D703" i="839"/>
  <c r="D704" i="839"/>
  <c r="D705" i="839"/>
  <c r="D706" i="839"/>
  <c r="D707" i="839"/>
  <c r="D708" i="839"/>
  <c r="D709" i="839"/>
  <c r="D710" i="839"/>
  <c r="D711" i="839"/>
  <c r="D712" i="839"/>
  <c r="D713" i="839"/>
  <c r="D714" i="839"/>
  <c r="D715" i="839"/>
  <c r="D716" i="839"/>
  <c r="D717" i="839"/>
  <c r="D718" i="839"/>
  <c r="D719" i="839"/>
  <c r="D720" i="839"/>
  <c r="D721" i="839"/>
  <c r="D722" i="839"/>
  <c r="D723" i="839"/>
  <c r="D724" i="839"/>
  <c r="D725" i="839"/>
  <c r="D726" i="839"/>
  <c r="D727" i="839"/>
  <c r="D728" i="839"/>
  <c r="D729" i="839"/>
  <c r="D730" i="839"/>
  <c r="D731" i="839"/>
  <c r="D732" i="839"/>
  <c r="D733" i="839"/>
  <c r="D734" i="839"/>
  <c r="D735" i="839"/>
  <c r="D736" i="839"/>
  <c r="D737" i="839"/>
  <c r="D738" i="839"/>
  <c r="D739" i="839"/>
  <c r="D740" i="839"/>
  <c r="D741" i="839"/>
  <c r="D742" i="839"/>
  <c r="D743" i="839"/>
  <c r="D744" i="839"/>
  <c r="D745" i="839"/>
  <c r="D746" i="839"/>
  <c r="D747" i="839"/>
  <c r="D748" i="839"/>
  <c r="D749" i="839"/>
  <c r="D750" i="839"/>
  <c r="D751" i="839"/>
  <c r="D752" i="839"/>
  <c r="D753" i="839"/>
  <c r="D754" i="839"/>
  <c r="D755" i="839"/>
  <c r="D756" i="839"/>
  <c r="D757" i="839"/>
  <c r="D758" i="839"/>
  <c r="D759" i="839"/>
  <c r="D760" i="839"/>
  <c r="D761" i="839"/>
  <c r="D762" i="839"/>
  <c r="D763" i="839"/>
  <c r="D764" i="839"/>
  <c r="D765" i="839"/>
  <c r="D766" i="839"/>
  <c r="D767" i="839"/>
  <c r="D768" i="839"/>
  <c r="D769" i="839"/>
  <c r="D770" i="839"/>
  <c r="D771" i="839"/>
  <c r="D772" i="839"/>
  <c r="D773" i="839"/>
  <c r="D774" i="839"/>
  <c r="D775" i="839"/>
  <c r="D776" i="839"/>
  <c r="D777" i="839"/>
  <c r="D778" i="839"/>
  <c r="D779" i="839"/>
  <c r="D780" i="839"/>
  <c r="D781" i="839"/>
  <c r="D782" i="839"/>
  <c r="D783" i="839"/>
  <c r="D784" i="839"/>
  <c r="D785" i="839"/>
  <c r="D786" i="839"/>
  <c r="D787" i="839"/>
  <c r="D788" i="839"/>
  <c r="D789" i="839"/>
  <c r="D790" i="839"/>
  <c r="D791" i="839"/>
  <c r="D792" i="839"/>
  <c r="D793" i="839"/>
  <c r="D794" i="839"/>
  <c r="D795" i="839"/>
  <c r="D796" i="839"/>
  <c r="D797" i="839"/>
  <c r="D798" i="839"/>
  <c r="D799" i="839"/>
  <c r="D800" i="839"/>
  <c r="D801" i="839"/>
  <c r="D802" i="839"/>
  <c r="D803" i="839"/>
  <c r="D804" i="839"/>
  <c r="D805" i="839"/>
  <c r="D806" i="839"/>
  <c r="D807" i="839"/>
  <c r="D808" i="839"/>
  <c r="D809" i="839"/>
  <c r="D810" i="839"/>
  <c r="D811" i="839"/>
  <c r="D812" i="839"/>
  <c r="D813" i="839"/>
  <c r="D814" i="839"/>
  <c r="D815" i="839"/>
  <c r="D816" i="839"/>
  <c r="D817" i="839"/>
  <c r="D818" i="839"/>
  <c r="D819" i="839"/>
  <c r="D820" i="839"/>
  <c r="D821" i="839"/>
  <c r="D822" i="839"/>
  <c r="D823" i="839"/>
  <c r="D824" i="839"/>
  <c r="D825" i="839"/>
  <c r="D826" i="839"/>
  <c r="D827" i="839"/>
  <c r="D828" i="839"/>
  <c r="D829" i="839"/>
  <c r="D830" i="839"/>
  <c r="D831" i="839"/>
  <c r="D832" i="839"/>
  <c r="D833" i="839"/>
  <c r="D834" i="839"/>
  <c r="D835" i="839"/>
  <c r="D836" i="839"/>
  <c r="D837" i="839"/>
  <c r="D838" i="839"/>
  <c r="D839" i="839"/>
  <c r="D840" i="839"/>
  <c r="D841" i="839"/>
  <c r="D842" i="839"/>
  <c r="D843" i="839"/>
  <c r="D844" i="839"/>
  <c r="D845" i="839"/>
  <c r="D846" i="839"/>
  <c r="D847" i="839"/>
  <c r="D848" i="839"/>
  <c r="D849" i="839"/>
  <c r="D850" i="839"/>
  <c r="D851" i="839"/>
  <c r="D852" i="839"/>
  <c r="D853" i="839"/>
  <c r="D854" i="839"/>
  <c r="D855" i="839"/>
  <c r="D856" i="839"/>
  <c r="D857" i="839"/>
  <c r="D858" i="839"/>
  <c r="D859" i="839"/>
  <c r="D860" i="839"/>
  <c r="D861" i="839"/>
  <c r="D862" i="839"/>
  <c r="D863" i="839"/>
  <c r="D864" i="839"/>
  <c r="D865" i="839"/>
  <c r="D866" i="839"/>
  <c r="D867" i="839"/>
  <c r="D868" i="839"/>
  <c r="D869" i="839"/>
  <c r="D870" i="839"/>
  <c r="D871" i="839"/>
  <c r="D872" i="839"/>
  <c r="D873" i="839"/>
  <c r="D874" i="839"/>
  <c r="D875" i="839"/>
  <c r="D876" i="839"/>
  <c r="D877" i="839"/>
  <c r="D878" i="839"/>
  <c r="D879" i="839"/>
  <c r="D880" i="839"/>
  <c r="D881" i="839"/>
  <c r="D882" i="839"/>
  <c r="D883" i="839"/>
  <c r="D884" i="839"/>
  <c r="D885" i="839"/>
  <c r="D886" i="839"/>
  <c r="D887" i="839"/>
  <c r="D888" i="839"/>
  <c r="D889" i="839"/>
  <c r="D890" i="839"/>
  <c r="D891" i="839"/>
  <c r="D892" i="839"/>
  <c r="D893" i="839"/>
  <c r="D894" i="839"/>
  <c r="D895" i="839"/>
  <c r="D896" i="839"/>
  <c r="D897" i="839"/>
  <c r="D898" i="839"/>
  <c r="D899" i="839"/>
  <c r="D900" i="839"/>
  <c r="D901" i="839"/>
  <c r="D902" i="839"/>
  <c r="D903" i="839"/>
  <c r="D904" i="839"/>
  <c r="D905" i="839"/>
  <c r="D906" i="839"/>
  <c r="D907" i="839"/>
  <c r="D908" i="839"/>
  <c r="D909" i="839"/>
  <c r="D910" i="839"/>
  <c r="D911" i="839"/>
  <c r="D912" i="839"/>
  <c r="D913" i="839"/>
  <c r="D914" i="839"/>
  <c r="D915" i="839"/>
  <c r="D916" i="839"/>
  <c r="D917" i="839"/>
  <c r="D918" i="839"/>
  <c r="D919" i="839"/>
  <c r="D920" i="839"/>
  <c r="D921" i="839"/>
  <c r="D922" i="839"/>
  <c r="D923" i="839"/>
  <c r="D924" i="839"/>
  <c r="D925" i="839"/>
  <c r="D926" i="839"/>
  <c r="D927" i="839"/>
  <c r="D928" i="839"/>
  <c r="D929" i="839"/>
  <c r="D930" i="839"/>
  <c r="D931" i="839"/>
  <c r="D932" i="839"/>
  <c r="D933" i="839"/>
  <c r="D934" i="839"/>
  <c r="D935" i="839"/>
  <c r="D936" i="839"/>
  <c r="D937" i="839"/>
  <c r="D938" i="839"/>
  <c r="D939" i="839"/>
  <c r="D940" i="839"/>
  <c r="D941" i="839"/>
  <c r="D942" i="839"/>
  <c r="D943" i="839"/>
  <c r="D944" i="839"/>
  <c r="D945" i="839"/>
  <c r="D946" i="839"/>
  <c r="D947" i="839"/>
  <c r="D948" i="839"/>
  <c r="D949" i="839"/>
  <c r="D950" i="839"/>
  <c r="D951" i="839"/>
  <c r="D952" i="839"/>
  <c r="D953" i="839"/>
  <c r="D954" i="839"/>
  <c r="D955" i="839"/>
  <c r="D956" i="839"/>
  <c r="D957" i="839"/>
  <c r="D958" i="839"/>
  <c r="D959" i="839"/>
  <c r="D960" i="839"/>
  <c r="D961" i="839"/>
  <c r="D962" i="839"/>
  <c r="D963" i="839"/>
  <c r="D964" i="839"/>
  <c r="D965" i="839"/>
  <c r="D966" i="839"/>
  <c r="D967" i="839"/>
  <c r="D968" i="839"/>
  <c r="D969" i="839"/>
  <c r="D970" i="839"/>
  <c r="D971" i="839"/>
  <c r="D972" i="839"/>
  <c r="D973" i="839"/>
  <c r="D974" i="839"/>
  <c r="D975" i="839"/>
  <c r="D976" i="839"/>
  <c r="D977" i="839"/>
  <c r="D978" i="839"/>
  <c r="D979" i="839"/>
  <c r="D980" i="839"/>
  <c r="D981" i="839"/>
  <c r="D982" i="839"/>
  <c r="D983" i="839"/>
  <c r="D984" i="839"/>
  <c r="D985" i="839"/>
  <c r="D986" i="839"/>
  <c r="D987" i="839"/>
  <c r="D988" i="839"/>
  <c r="D989" i="839"/>
  <c r="D990" i="839"/>
  <c r="D991" i="839"/>
  <c r="D992" i="839"/>
  <c r="D993" i="839"/>
  <c r="D994" i="839"/>
  <c r="D995" i="839"/>
  <c r="D996" i="839"/>
  <c r="D997" i="839"/>
  <c r="D998" i="839"/>
  <c r="D999" i="839"/>
  <c r="D1000" i="839"/>
  <c r="D1001" i="839"/>
  <c r="D1002" i="839"/>
  <c r="D1003" i="839"/>
  <c r="D1004" i="839"/>
  <c r="D1005" i="839"/>
  <c r="D1006" i="839"/>
  <c r="D1007" i="839"/>
  <c r="D1008" i="839"/>
  <c r="D1009" i="839"/>
  <c r="D1010" i="839"/>
  <c r="D1011" i="839"/>
  <c r="D1012" i="839"/>
  <c r="D1013" i="839"/>
  <c r="D1014" i="839"/>
  <c r="D1015" i="839"/>
  <c r="D1016" i="839"/>
  <c r="D1017" i="839"/>
  <c r="D1018" i="839"/>
  <c r="D1019" i="839"/>
  <c r="D1020" i="839"/>
  <c r="D1021" i="839"/>
  <c r="D1022" i="839"/>
  <c r="D1023" i="839"/>
  <c r="D1024" i="839"/>
  <c r="D1025" i="839"/>
  <c r="D1026" i="839"/>
  <c r="D1027" i="839"/>
  <c r="D1028" i="839"/>
  <c r="D1029" i="839"/>
  <c r="D1030" i="839"/>
  <c r="D1031" i="839"/>
  <c r="D1032" i="839"/>
  <c r="D1033" i="839"/>
  <c r="D1034" i="839"/>
  <c r="D1035" i="839"/>
  <c r="D1036" i="839"/>
  <c r="D1037" i="839"/>
  <c r="D1038" i="839"/>
  <c r="D1039" i="839"/>
  <c r="D1040" i="839"/>
  <c r="D1041" i="839"/>
  <c r="D1042" i="839"/>
  <c r="D1043" i="839"/>
  <c r="D1044" i="839"/>
  <c r="D1045" i="839"/>
  <c r="D1046" i="839"/>
  <c r="D1047" i="839"/>
  <c r="D1048" i="839"/>
  <c r="D1049" i="839"/>
  <c r="D1050" i="839"/>
  <c r="D1051" i="839"/>
  <c r="D1052" i="839"/>
  <c r="D1053" i="839"/>
  <c r="D1054" i="839"/>
  <c r="D1055" i="839"/>
  <c r="D1056" i="839"/>
  <c r="D1057" i="839"/>
  <c r="D1058" i="839"/>
  <c r="D1059" i="839"/>
  <c r="D1060" i="839"/>
  <c r="D1061" i="839"/>
  <c r="D1062" i="839"/>
  <c r="D1063" i="839"/>
  <c r="D1064" i="839"/>
  <c r="D1065" i="839"/>
  <c r="D1066" i="839"/>
  <c r="D1067" i="839"/>
  <c r="D1068" i="839"/>
  <c r="D1069" i="839"/>
  <c r="D1070" i="839"/>
  <c r="D1071" i="839"/>
  <c r="D1072" i="839"/>
  <c r="D1073" i="839"/>
  <c r="D1074" i="839"/>
  <c r="D1075" i="839"/>
  <c r="D1076" i="839"/>
  <c r="D1077" i="839"/>
  <c r="D1078" i="839"/>
  <c r="D1079" i="839"/>
  <c r="D1080" i="839"/>
  <c r="D1081" i="839"/>
  <c r="D1082" i="839"/>
  <c r="D1083" i="839"/>
  <c r="D1084" i="839"/>
  <c r="D1085" i="839"/>
  <c r="D1086" i="839"/>
  <c r="D1087" i="839"/>
  <c r="D1088" i="839"/>
  <c r="D1089" i="839"/>
  <c r="D1090" i="839"/>
  <c r="D1091" i="839"/>
  <c r="D1092" i="839"/>
  <c r="D1093" i="839"/>
  <c r="D1094" i="839"/>
  <c r="D1095" i="839"/>
  <c r="D1096" i="839"/>
  <c r="D1097" i="839"/>
  <c r="D1098" i="839"/>
  <c r="D1099" i="839"/>
  <c r="D1100" i="839"/>
  <c r="D1101" i="839"/>
  <c r="D1102" i="839"/>
  <c r="D1103" i="839"/>
  <c r="D1104" i="839"/>
  <c r="D1105" i="839"/>
  <c r="D1106" i="839"/>
  <c r="D1107" i="839"/>
  <c r="D1108" i="839"/>
  <c r="D1109" i="839"/>
  <c r="D1110" i="839"/>
  <c r="D1111" i="839"/>
  <c r="D1112" i="839"/>
  <c r="D1113" i="839"/>
  <c r="D1114" i="839"/>
  <c r="D1115" i="839"/>
  <c r="D1116" i="839"/>
  <c r="D1117" i="839"/>
  <c r="D1118" i="839"/>
  <c r="D1119" i="839"/>
  <c r="D1120" i="839"/>
  <c r="D1121" i="839"/>
  <c r="D1122" i="839"/>
  <c r="D1123" i="839"/>
  <c r="D1124" i="839"/>
  <c r="D1125" i="839"/>
  <c r="D1126" i="839"/>
  <c r="D1127" i="839"/>
  <c r="D1128" i="839"/>
  <c r="D1129" i="839"/>
  <c r="D1130" i="839"/>
  <c r="D1131" i="839"/>
  <c r="D1132" i="839"/>
  <c r="D1133" i="839"/>
  <c r="D1134" i="839"/>
  <c r="D1135" i="839"/>
  <c r="D1136" i="839"/>
  <c r="D1137" i="839"/>
  <c r="D1138" i="839"/>
  <c r="D1139" i="839"/>
  <c r="D1140" i="839"/>
  <c r="D1141" i="839"/>
  <c r="D1142" i="839"/>
  <c r="D1143" i="839"/>
  <c r="D1144" i="839"/>
  <c r="D1145" i="839"/>
  <c r="D1146" i="839"/>
  <c r="D1147" i="839"/>
  <c r="D1148" i="839"/>
  <c r="D1149" i="839"/>
  <c r="D1150" i="839"/>
  <c r="D1151" i="839"/>
  <c r="D1152" i="839"/>
  <c r="D1153" i="839"/>
  <c r="D1154" i="839"/>
  <c r="D1155" i="839"/>
  <c r="D1156" i="839"/>
  <c r="D1157" i="839"/>
  <c r="D1158" i="839"/>
  <c r="D1159" i="839"/>
  <c r="D1160" i="839"/>
  <c r="D1161" i="839"/>
  <c r="D1162" i="839"/>
  <c r="D1163" i="839"/>
  <c r="D1164" i="839"/>
  <c r="D1165" i="839"/>
  <c r="D1166" i="839"/>
  <c r="D1167" i="839"/>
  <c r="D1168" i="839"/>
  <c r="D1169" i="839"/>
  <c r="D1170" i="839"/>
  <c r="D1171" i="839"/>
  <c r="D1172" i="839"/>
  <c r="D1173" i="839"/>
  <c r="D1174" i="839"/>
  <c r="D1175" i="839"/>
  <c r="D1176" i="839"/>
  <c r="D1177" i="839"/>
  <c r="D1178" i="839"/>
  <c r="D1179" i="839"/>
  <c r="D1180" i="839"/>
  <c r="D1181" i="839"/>
  <c r="D1182" i="839"/>
  <c r="D1183" i="839"/>
  <c r="D1184" i="839"/>
  <c r="D1185" i="839"/>
  <c r="D1186" i="839"/>
  <c r="D1187" i="839"/>
  <c r="D1188" i="839"/>
  <c r="D1189" i="839"/>
  <c r="D1190" i="839"/>
  <c r="D1191" i="839"/>
  <c r="D1192" i="839"/>
  <c r="D1193" i="839"/>
  <c r="D1194" i="839"/>
  <c r="D1195" i="839"/>
  <c r="D1196" i="839"/>
  <c r="D1197" i="839"/>
  <c r="D1198" i="839"/>
  <c r="D1199" i="839"/>
  <c r="D1200" i="839"/>
  <c r="D1201" i="839"/>
  <c r="D1202" i="839"/>
  <c r="D1203" i="839"/>
  <c r="D1204" i="839"/>
  <c r="D1205" i="839"/>
  <c r="D1206" i="839"/>
  <c r="D1207" i="839"/>
  <c r="D1208" i="839"/>
  <c r="D1209" i="839"/>
  <c r="D1210" i="839"/>
  <c r="D1211" i="839"/>
  <c r="D1212" i="839"/>
  <c r="D1213" i="839"/>
  <c r="D1214" i="839"/>
  <c r="D1215" i="839"/>
  <c r="D1216" i="839"/>
  <c r="D1217" i="839"/>
  <c r="D1218" i="839"/>
  <c r="D1219" i="839"/>
  <c r="D1220" i="839"/>
  <c r="D1221" i="839"/>
  <c r="D1222" i="839"/>
  <c r="D1223" i="839"/>
  <c r="D1224" i="839"/>
  <c r="D1225" i="839"/>
  <c r="D1226" i="839"/>
  <c r="D1227" i="839"/>
  <c r="D1228" i="839"/>
  <c r="D1229" i="839"/>
  <c r="D1230" i="839"/>
  <c r="D1231" i="839"/>
  <c r="D1232" i="839"/>
  <c r="D1233" i="839"/>
  <c r="D1234" i="839"/>
  <c r="D1235" i="839"/>
  <c r="D1236" i="839"/>
  <c r="D1237" i="839"/>
  <c r="D1238" i="839"/>
  <c r="D1239" i="839"/>
  <c r="D1240" i="839"/>
  <c r="D1241" i="839"/>
  <c r="D1242" i="839"/>
  <c r="D1243" i="839"/>
  <c r="D1244" i="839"/>
  <c r="D1245" i="839"/>
  <c r="D1246" i="839"/>
  <c r="D1247" i="839"/>
  <c r="D1248" i="839"/>
  <c r="D1249" i="839"/>
  <c r="D1250" i="839"/>
  <c r="D1251" i="839"/>
  <c r="D1252" i="839"/>
  <c r="D1253" i="839"/>
  <c r="D1254" i="839"/>
  <c r="D1255" i="839"/>
  <c r="D1256" i="839"/>
  <c r="D1257" i="839"/>
  <c r="D1258" i="839"/>
  <c r="D1259" i="839"/>
  <c r="D1260" i="839"/>
  <c r="D1261" i="839"/>
  <c r="D1262" i="839"/>
  <c r="D1263" i="839"/>
  <c r="D1264" i="839"/>
  <c r="D1265" i="839"/>
  <c r="D1266" i="839"/>
  <c r="D1267" i="839"/>
  <c r="D1268" i="839"/>
  <c r="D1269" i="839"/>
  <c r="D1270" i="839"/>
  <c r="D1271" i="839"/>
  <c r="D1272" i="839"/>
  <c r="D1273" i="839"/>
  <c r="D1274" i="839"/>
  <c r="D1275" i="839"/>
  <c r="D1276" i="839"/>
  <c r="D1277" i="839"/>
  <c r="D1278" i="839"/>
  <c r="D1279" i="839"/>
  <c r="D1280" i="839"/>
  <c r="D1281" i="839"/>
  <c r="D1282" i="839"/>
  <c r="D1283" i="839"/>
  <c r="D1284" i="839"/>
  <c r="D1285" i="839"/>
  <c r="D1286" i="839"/>
  <c r="D1287" i="839"/>
  <c r="D1288" i="839"/>
  <c r="D1289" i="839"/>
  <c r="D1290" i="839"/>
  <c r="D1291" i="839"/>
  <c r="D1292" i="839"/>
  <c r="D1293" i="839"/>
  <c r="D1294" i="839"/>
  <c r="D1295" i="839"/>
  <c r="D1296" i="839"/>
  <c r="D1297" i="839"/>
  <c r="D1298" i="839"/>
  <c r="D1299" i="839"/>
  <c r="D1300" i="839"/>
  <c r="D1301" i="839"/>
  <c r="D1302" i="839"/>
  <c r="D1303" i="839"/>
  <c r="D1304" i="839"/>
  <c r="D1305" i="839"/>
  <c r="D1306" i="839"/>
  <c r="D1307" i="839"/>
  <c r="D1308" i="839"/>
  <c r="D1309" i="839"/>
  <c r="D1310" i="839"/>
  <c r="D1311" i="839"/>
  <c r="D1312" i="839"/>
  <c r="D1313" i="839"/>
  <c r="D1314" i="839"/>
  <c r="D1315" i="839"/>
  <c r="D1316" i="839"/>
  <c r="D1317" i="839"/>
  <c r="D1318" i="839"/>
  <c r="D1319" i="839"/>
  <c r="D1320" i="839"/>
  <c r="D1321" i="839"/>
  <c r="D1322" i="839"/>
  <c r="D1323" i="839"/>
  <c r="D1324" i="839"/>
  <c r="D1325" i="839"/>
  <c r="D1326" i="839"/>
  <c r="D1327" i="839"/>
  <c r="D1328" i="839"/>
  <c r="D1329" i="839"/>
  <c r="D1330" i="839"/>
  <c r="D1331" i="839"/>
  <c r="D1332" i="839"/>
  <c r="D1333" i="839"/>
  <c r="D1334" i="839"/>
  <c r="D1335" i="839"/>
  <c r="D1336" i="839"/>
  <c r="D1337" i="839"/>
  <c r="D1338" i="839"/>
  <c r="D1339" i="839"/>
  <c r="D1340" i="839"/>
  <c r="D1341" i="839"/>
  <c r="D1342" i="839"/>
  <c r="D1343" i="839"/>
  <c r="D1344" i="839"/>
  <c r="D1345" i="839"/>
  <c r="D1346" i="839"/>
  <c r="D1347" i="839"/>
  <c r="D1348" i="839"/>
  <c r="D1349" i="839"/>
  <c r="D1350" i="839"/>
  <c r="D1351" i="839"/>
  <c r="D1352" i="839"/>
  <c r="D1353" i="839"/>
  <c r="D1354" i="839"/>
  <c r="D1355" i="839"/>
  <c r="D1356" i="839"/>
  <c r="D1357" i="839"/>
  <c r="D1358" i="839"/>
  <c r="D1359" i="839"/>
  <c r="D1360" i="839"/>
  <c r="D1361" i="839"/>
  <c r="D1362" i="839"/>
  <c r="D1363" i="839"/>
  <c r="D1364" i="839"/>
  <c r="D1365" i="839"/>
  <c r="D1366" i="839"/>
  <c r="D1367" i="839"/>
  <c r="D1368" i="839"/>
  <c r="D1369" i="839"/>
  <c r="D1370" i="839"/>
  <c r="D1371" i="839"/>
  <c r="D1372" i="839"/>
  <c r="D1373" i="839"/>
  <c r="D1374" i="839"/>
  <c r="D1375" i="839"/>
  <c r="D1376" i="839"/>
  <c r="D1377" i="839"/>
  <c r="D1378" i="839"/>
  <c r="D1379" i="839"/>
  <c r="D1380" i="839"/>
  <c r="D1381" i="839"/>
  <c r="D1382" i="839"/>
  <c r="D1383" i="839"/>
  <c r="D1384" i="839"/>
  <c r="D1385" i="839"/>
  <c r="D1386" i="839"/>
  <c r="D1387" i="839"/>
  <c r="D1388" i="839"/>
  <c r="D1389" i="839"/>
  <c r="D1390" i="839"/>
  <c r="D1391" i="839"/>
  <c r="D1392" i="839"/>
  <c r="D1393" i="839"/>
  <c r="D1394" i="839"/>
  <c r="D1395" i="839"/>
  <c r="D1396" i="839"/>
  <c r="D1397" i="839"/>
  <c r="D1398" i="839"/>
  <c r="D1399" i="839"/>
  <c r="D1400" i="839"/>
  <c r="D1401" i="839"/>
  <c r="D1402" i="839"/>
  <c r="D1403" i="839"/>
  <c r="D1404" i="839"/>
  <c r="D1405" i="839"/>
  <c r="D1406" i="839"/>
  <c r="D1407" i="839"/>
  <c r="D1408" i="839"/>
  <c r="D1409" i="839"/>
  <c r="D1410" i="839"/>
  <c r="D1411" i="839"/>
  <c r="D1412" i="839"/>
  <c r="D1413" i="839"/>
  <c r="D1414" i="839"/>
  <c r="D1415" i="839"/>
  <c r="D1416" i="839"/>
  <c r="D1417" i="839"/>
  <c r="D1418" i="839"/>
  <c r="D1419" i="839"/>
  <c r="D1420" i="839"/>
  <c r="D1421" i="839"/>
  <c r="D1422" i="839"/>
  <c r="D1423" i="839"/>
  <c r="D1424" i="839"/>
  <c r="D1425" i="839"/>
  <c r="D1426" i="839"/>
  <c r="D1427" i="839"/>
  <c r="D1428" i="839"/>
  <c r="D1429" i="839"/>
  <c r="D1430" i="839"/>
  <c r="D1431" i="839"/>
  <c r="D1432" i="839"/>
  <c r="D1433" i="839"/>
  <c r="D1434" i="839"/>
  <c r="D1435" i="839"/>
  <c r="D1436" i="839"/>
  <c r="D1437" i="839"/>
  <c r="D1438" i="839"/>
  <c r="D1439" i="839"/>
  <c r="D1440" i="839"/>
  <c r="D1441" i="839"/>
  <c r="D1442" i="839"/>
  <c r="D1443" i="839"/>
  <c r="D1444" i="839"/>
  <c r="D1445" i="839"/>
  <c r="D1446" i="839"/>
  <c r="D1447" i="839"/>
  <c r="D1448" i="839"/>
  <c r="D1449" i="839"/>
  <c r="D1450" i="839"/>
  <c r="D1451" i="839"/>
  <c r="D1452" i="839"/>
  <c r="D1453" i="839"/>
  <c r="D1454" i="839"/>
  <c r="D1455" i="839"/>
  <c r="D1456" i="839"/>
  <c r="D1457" i="839"/>
  <c r="D1458" i="839"/>
  <c r="D1459" i="839"/>
  <c r="D1460" i="839"/>
  <c r="D1461" i="839"/>
  <c r="D1462" i="839"/>
  <c r="D1463" i="839"/>
  <c r="D1464" i="839"/>
  <c r="D1465" i="839"/>
  <c r="D1466" i="839"/>
  <c r="D1467" i="839"/>
  <c r="D1468" i="839"/>
  <c r="D1469" i="839"/>
  <c r="D1470" i="839"/>
  <c r="D1471" i="839"/>
  <c r="D1472" i="839"/>
  <c r="D1473" i="839"/>
  <c r="D1474" i="839"/>
  <c r="D1475" i="839"/>
  <c r="D1476" i="839"/>
  <c r="D1477" i="839"/>
  <c r="D1478" i="839"/>
  <c r="D1479" i="839"/>
  <c r="D1480" i="839"/>
  <c r="D1481" i="839"/>
  <c r="D1482" i="839"/>
  <c r="D1483" i="839"/>
  <c r="D1484" i="839"/>
  <c r="D1485" i="839"/>
  <c r="D1486" i="839"/>
  <c r="D1487" i="839"/>
  <c r="D1488" i="839"/>
  <c r="D1489" i="839"/>
  <c r="D1490" i="839"/>
  <c r="D1491" i="839"/>
  <c r="D1492" i="839"/>
  <c r="D1493" i="839"/>
  <c r="D1494" i="839"/>
  <c r="D1495" i="839"/>
  <c r="D1496" i="839"/>
  <c r="D1497" i="839"/>
  <c r="D1498" i="839"/>
  <c r="D1499" i="839"/>
  <c r="D1500" i="839"/>
  <c r="D1501" i="839"/>
  <c r="D1502" i="839"/>
  <c r="D1503" i="839"/>
  <c r="D1504" i="839"/>
  <c r="D1505" i="839"/>
  <c r="D1506" i="839"/>
  <c r="D1507" i="839"/>
  <c r="D1508" i="839"/>
  <c r="D1509" i="839"/>
  <c r="D1510" i="839"/>
  <c r="D1511" i="839"/>
  <c r="D1512" i="839"/>
  <c r="D1513" i="839"/>
  <c r="D1514" i="839"/>
  <c r="D1515" i="839"/>
  <c r="D1516" i="839"/>
  <c r="D1517" i="839"/>
  <c r="D1518" i="839"/>
  <c r="D1519" i="839"/>
  <c r="D1520" i="839"/>
  <c r="D1521" i="839"/>
  <c r="D1522" i="839"/>
  <c r="D1523" i="839"/>
  <c r="D1524" i="839"/>
  <c r="D1525" i="839"/>
  <c r="D1526" i="839"/>
  <c r="D1527" i="839"/>
  <c r="D1528" i="839"/>
  <c r="D1529" i="839"/>
  <c r="D1530" i="839"/>
  <c r="D1531" i="839"/>
  <c r="D1532" i="839"/>
  <c r="D1533" i="839"/>
  <c r="D1534" i="839"/>
  <c r="D1535" i="839"/>
  <c r="D1536" i="839"/>
  <c r="D1537" i="839"/>
  <c r="D1538" i="839"/>
  <c r="D1539" i="839"/>
  <c r="D1540" i="839"/>
  <c r="D1541" i="839"/>
  <c r="D1542" i="839"/>
  <c r="D1543" i="839"/>
  <c r="D1544" i="839"/>
  <c r="D1545" i="839"/>
  <c r="D1546" i="839"/>
  <c r="D1547" i="839"/>
  <c r="D1548" i="839"/>
  <c r="D1549" i="839"/>
  <c r="D1550" i="839"/>
  <c r="D1551" i="839"/>
  <c r="D1552" i="839"/>
  <c r="D1553" i="839"/>
  <c r="D1554" i="839"/>
  <c r="D1555" i="839"/>
  <c r="D1556" i="839"/>
  <c r="D1557" i="839"/>
  <c r="D1558" i="839"/>
  <c r="D1559" i="839"/>
  <c r="D1560" i="839"/>
  <c r="D1561" i="839"/>
  <c r="D1562" i="839"/>
  <c r="D1563" i="839"/>
  <c r="D1564" i="839"/>
  <c r="D1565" i="839"/>
  <c r="D1566" i="839"/>
  <c r="D1567" i="839"/>
  <c r="D1568" i="839"/>
  <c r="D1569" i="839"/>
  <c r="D1570" i="839"/>
  <c r="D1571" i="839"/>
  <c r="D1572" i="839"/>
  <c r="D1573" i="839"/>
  <c r="D1574" i="839"/>
  <c r="D1575" i="839"/>
  <c r="D1576" i="839"/>
  <c r="D1577" i="839"/>
  <c r="D1578" i="839"/>
  <c r="D1579" i="839"/>
  <c r="D1580" i="839"/>
  <c r="D1581" i="839"/>
  <c r="D1582" i="839"/>
  <c r="D1583" i="839"/>
  <c r="D1584" i="839"/>
  <c r="D1585" i="839"/>
  <c r="D1586" i="839"/>
  <c r="D1587" i="839"/>
  <c r="D1588" i="839"/>
  <c r="D1589" i="839"/>
  <c r="D1590" i="839"/>
  <c r="D1591" i="839"/>
  <c r="D1592" i="839"/>
  <c r="D1593" i="839"/>
  <c r="D1594" i="839"/>
  <c r="D1595" i="839"/>
  <c r="D1596" i="839"/>
  <c r="D1597" i="839"/>
  <c r="D1598" i="839"/>
  <c r="D1599" i="839"/>
  <c r="D1600" i="839"/>
  <c r="D1601" i="839"/>
  <c r="D1602" i="839"/>
  <c r="D1603" i="839"/>
  <c r="D1604" i="839"/>
  <c r="D1605" i="839"/>
  <c r="D1606" i="839"/>
  <c r="D1607" i="839"/>
  <c r="D1608" i="839"/>
  <c r="D1609" i="839"/>
  <c r="D1610" i="839"/>
  <c r="D1611" i="839"/>
  <c r="D1612" i="839"/>
  <c r="D1613" i="839"/>
  <c r="D1614" i="839"/>
  <c r="D1615" i="839"/>
  <c r="D1616" i="839"/>
  <c r="D1617" i="839"/>
  <c r="D1618" i="839"/>
  <c r="D1619" i="839"/>
  <c r="D1620" i="839"/>
  <c r="D1621" i="839"/>
  <c r="D1622" i="839"/>
  <c r="D1623" i="839"/>
  <c r="D1624" i="839"/>
  <c r="D1625" i="839"/>
  <c r="D1626" i="839"/>
  <c r="D1627" i="839"/>
  <c r="D1628" i="839"/>
  <c r="D1629" i="839"/>
  <c r="D1630" i="839"/>
  <c r="D1631" i="839"/>
  <c r="D1632" i="839"/>
  <c r="D1633" i="839"/>
  <c r="D1634" i="839"/>
  <c r="D1635" i="839"/>
  <c r="D1636" i="839"/>
  <c r="D1637" i="839"/>
  <c r="D1638" i="839"/>
  <c r="D1639" i="839"/>
  <c r="D1640" i="839"/>
  <c r="D1641" i="839"/>
  <c r="D1642" i="839"/>
  <c r="D1643" i="839"/>
  <c r="D1644" i="839"/>
  <c r="D1645" i="839"/>
  <c r="D1646" i="839"/>
  <c r="D1647" i="839"/>
  <c r="D1648" i="839"/>
  <c r="D1649" i="839"/>
  <c r="D1650" i="839"/>
  <c r="D1651" i="839"/>
  <c r="D1652" i="839"/>
  <c r="D1653" i="839"/>
  <c r="D1654" i="839"/>
  <c r="D1655" i="839"/>
  <c r="D1656" i="839"/>
  <c r="D1657" i="839"/>
  <c r="D1658" i="839"/>
  <c r="D1659" i="839"/>
  <c r="D1660" i="839"/>
  <c r="D1661" i="839"/>
  <c r="D1662" i="839"/>
  <c r="D1663" i="839"/>
  <c r="D1664" i="839"/>
  <c r="D1665" i="839"/>
  <c r="D1666" i="839"/>
  <c r="D1667" i="839"/>
  <c r="D1668" i="839"/>
  <c r="D1669" i="839"/>
  <c r="D1670" i="839"/>
  <c r="D1671" i="839"/>
  <c r="D1672" i="839"/>
  <c r="D1673" i="839"/>
  <c r="D1674" i="839"/>
  <c r="D1675" i="839"/>
  <c r="D1676" i="839"/>
  <c r="D1677" i="839"/>
  <c r="D1678" i="839"/>
  <c r="D1679" i="839"/>
  <c r="D1680" i="839"/>
  <c r="D1681" i="839"/>
  <c r="D1682" i="839"/>
  <c r="D1683" i="839"/>
  <c r="D1684" i="839"/>
  <c r="D1685" i="839"/>
  <c r="D1686" i="839"/>
  <c r="D1687" i="839"/>
  <c r="D1688" i="839"/>
  <c r="D1689" i="839"/>
  <c r="D1690" i="839"/>
  <c r="D1691" i="839"/>
  <c r="D1692" i="839"/>
  <c r="D1693" i="839"/>
  <c r="D1694" i="839"/>
  <c r="D1695" i="839"/>
  <c r="D1696" i="839"/>
  <c r="D1697" i="839"/>
  <c r="D1698" i="839"/>
  <c r="D1699" i="839"/>
  <c r="D1700" i="839"/>
  <c r="D1701" i="839"/>
  <c r="D1702" i="839"/>
  <c r="D1703" i="839"/>
  <c r="D1704" i="839"/>
  <c r="D1705" i="839"/>
  <c r="D1706" i="839"/>
  <c r="D1707" i="839"/>
  <c r="D1708" i="839"/>
  <c r="D1709" i="839"/>
  <c r="D1710" i="839"/>
  <c r="D1711" i="839"/>
  <c r="D1712" i="839"/>
  <c r="D1713" i="839"/>
  <c r="D1714" i="839"/>
  <c r="D1715" i="839"/>
  <c r="D1716" i="839"/>
  <c r="D1717" i="839"/>
  <c r="D1718" i="839"/>
  <c r="D1719" i="839"/>
  <c r="D1720" i="839"/>
  <c r="D1721" i="839"/>
  <c r="D1722" i="839"/>
  <c r="D1723" i="839"/>
  <c r="D1724" i="839"/>
  <c r="D1725" i="839"/>
  <c r="D1726" i="839"/>
  <c r="D1727" i="839"/>
  <c r="D1728" i="839"/>
  <c r="D1729" i="839"/>
  <c r="D1730" i="839"/>
  <c r="D1731" i="839"/>
  <c r="D1732" i="839"/>
  <c r="D1733" i="839"/>
  <c r="D1734" i="839"/>
  <c r="D1735" i="839"/>
  <c r="D1736" i="839"/>
  <c r="D1737" i="839"/>
  <c r="D1738" i="839"/>
  <c r="D1739" i="839"/>
  <c r="D1740" i="839"/>
  <c r="D1741" i="839"/>
  <c r="D1742" i="839"/>
  <c r="D1743" i="839"/>
  <c r="D1744" i="839"/>
  <c r="D1745" i="839"/>
  <c r="D1746" i="839"/>
  <c r="D1747" i="839"/>
  <c r="D1748" i="839"/>
  <c r="D1749" i="839"/>
  <c r="D1750" i="839"/>
  <c r="D1751" i="839"/>
  <c r="D1752" i="839"/>
  <c r="D1753" i="839"/>
  <c r="D1754" i="839"/>
  <c r="D1755" i="839"/>
  <c r="D1756" i="839"/>
  <c r="D1757" i="839"/>
  <c r="D1758" i="839"/>
  <c r="D1759" i="839"/>
  <c r="D1760" i="839"/>
  <c r="D1761" i="839"/>
  <c r="D1762" i="839"/>
  <c r="D1763" i="839"/>
  <c r="D1764" i="839"/>
  <c r="D1765" i="839"/>
  <c r="D1766" i="839"/>
  <c r="D1767" i="839"/>
  <c r="D1768" i="839"/>
  <c r="D1769" i="839"/>
  <c r="D1770" i="839"/>
  <c r="D1771" i="839"/>
  <c r="D1772" i="839"/>
  <c r="D1773" i="839"/>
  <c r="D1774" i="839"/>
  <c r="D1775" i="839"/>
  <c r="D1776" i="839"/>
  <c r="D1777" i="839"/>
  <c r="D1778" i="839"/>
  <c r="D1779" i="839"/>
  <c r="D1780" i="839"/>
  <c r="D1781" i="839"/>
  <c r="D1782" i="839"/>
  <c r="D1783" i="839"/>
  <c r="D1784" i="839"/>
  <c r="D1785" i="839"/>
  <c r="D1786" i="839"/>
  <c r="D1787" i="839"/>
  <c r="D1788" i="839"/>
  <c r="D1789" i="839"/>
  <c r="D1790" i="839"/>
  <c r="D1791" i="839"/>
  <c r="D1792" i="839"/>
  <c r="D1793" i="839"/>
  <c r="D1794" i="839"/>
  <c r="D1795" i="839"/>
  <c r="D1796" i="839"/>
  <c r="D1797" i="839"/>
  <c r="D1798" i="839"/>
  <c r="D1799" i="839"/>
  <c r="D1800" i="839"/>
  <c r="D1801" i="839"/>
  <c r="D1802" i="839"/>
  <c r="D1803" i="839"/>
  <c r="D1804" i="839"/>
  <c r="D1805" i="839"/>
  <c r="D1806" i="839"/>
  <c r="D1807" i="839"/>
  <c r="D1808" i="839"/>
  <c r="D1809" i="839"/>
  <c r="D1810" i="839"/>
  <c r="D1811" i="839"/>
  <c r="D1812" i="839"/>
  <c r="D1813" i="839"/>
  <c r="D1814" i="839"/>
  <c r="D1815" i="839"/>
  <c r="D1816" i="839"/>
  <c r="D1817" i="839"/>
  <c r="D1818" i="839"/>
  <c r="D1819" i="839"/>
  <c r="D1820" i="839"/>
  <c r="D1821" i="839"/>
  <c r="D1822" i="839"/>
  <c r="D1823" i="839"/>
  <c r="D1824" i="839"/>
  <c r="D1825" i="839"/>
  <c r="D1826" i="839"/>
  <c r="D1827" i="839"/>
  <c r="D1828" i="839"/>
  <c r="D1829" i="839"/>
  <c r="D1830" i="839"/>
  <c r="D1831" i="839"/>
  <c r="D1832" i="839"/>
  <c r="D1833" i="839"/>
  <c r="D1834" i="839"/>
  <c r="D1835" i="839"/>
  <c r="D1836" i="839"/>
  <c r="D1837" i="839"/>
  <c r="D1838" i="839"/>
  <c r="D1839" i="839"/>
  <c r="D1840" i="839"/>
  <c r="D1841" i="839"/>
  <c r="D1842" i="839"/>
  <c r="D1843" i="839"/>
  <c r="D1844" i="839"/>
  <c r="D1845" i="839"/>
  <c r="D1846" i="839"/>
  <c r="D1847" i="839"/>
  <c r="D1848" i="839"/>
  <c r="D1849" i="839"/>
  <c r="D1850" i="839"/>
  <c r="D1851" i="839"/>
  <c r="D1852" i="839"/>
  <c r="D1853" i="839"/>
  <c r="D1854" i="839"/>
  <c r="D1855" i="839"/>
  <c r="D1856" i="839"/>
  <c r="D1857" i="839"/>
  <c r="D1858" i="839"/>
  <c r="D1859" i="839"/>
  <c r="D1860" i="839"/>
  <c r="D1861" i="839"/>
  <c r="D1862" i="839"/>
  <c r="D1863" i="839"/>
  <c r="D1864" i="839"/>
  <c r="D1865" i="839"/>
  <c r="D1866" i="839"/>
  <c r="D1867" i="839"/>
  <c r="D1868" i="839"/>
  <c r="D1869" i="839"/>
  <c r="D1870" i="839"/>
  <c r="D1871" i="839"/>
  <c r="D1872" i="839"/>
  <c r="D1873" i="839"/>
  <c r="D1874" i="839"/>
  <c r="D1875" i="839"/>
  <c r="D1876" i="839"/>
  <c r="D1877" i="839"/>
  <c r="D1878" i="839"/>
  <c r="D1879" i="839"/>
  <c r="D1880" i="839"/>
  <c r="D1881" i="839"/>
  <c r="D1882" i="839"/>
  <c r="D1883" i="839"/>
  <c r="D1884" i="839"/>
  <c r="D1885" i="839"/>
  <c r="D1886" i="839"/>
  <c r="D1887" i="839"/>
  <c r="D1888" i="839"/>
  <c r="D1889" i="839"/>
  <c r="D1890" i="839"/>
  <c r="D1891" i="839"/>
  <c r="D1892" i="839"/>
  <c r="D1893" i="839"/>
  <c r="D1894" i="839"/>
  <c r="D1895" i="839"/>
  <c r="D1896" i="839"/>
  <c r="D1897" i="839"/>
  <c r="D1898" i="839"/>
  <c r="D1899" i="839"/>
  <c r="D1900" i="839"/>
  <c r="D1901" i="839"/>
  <c r="D1902" i="839"/>
  <c r="D1903" i="839"/>
  <c r="D1904" i="839"/>
  <c r="D1905" i="839"/>
  <c r="D1906" i="839"/>
  <c r="D1907" i="839"/>
  <c r="D1908" i="839"/>
  <c r="D1909" i="839"/>
  <c r="D1910" i="839"/>
  <c r="D1911" i="839"/>
  <c r="D1912" i="839"/>
  <c r="D1913" i="839"/>
  <c r="D1914" i="839"/>
  <c r="D1915" i="839"/>
  <c r="D1916" i="839"/>
  <c r="D1917" i="839"/>
  <c r="D1918" i="839"/>
  <c r="D1919" i="839"/>
  <c r="D1920" i="839"/>
  <c r="D1921" i="839"/>
  <c r="D1922" i="839"/>
  <c r="D1923" i="839"/>
  <c r="D1924" i="839"/>
  <c r="D1925" i="839"/>
  <c r="D1926" i="839"/>
  <c r="D1927" i="839"/>
  <c r="D1928" i="839"/>
  <c r="D1929" i="839"/>
  <c r="D1930" i="839"/>
  <c r="D1931" i="839"/>
  <c r="D1932" i="839"/>
  <c r="D1933" i="839"/>
  <c r="D1934" i="839"/>
  <c r="D1935" i="839"/>
  <c r="D1936" i="839"/>
  <c r="D1937" i="839"/>
  <c r="D1938" i="839"/>
  <c r="D1939" i="839"/>
  <c r="D1940" i="839"/>
  <c r="D1941" i="839"/>
  <c r="D1942" i="839"/>
  <c r="D1943" i="839"/>
  <c r="D1944" i="839"/>
  <c r="D1945" i="839"/>
  <c r="D1946" i="839"/>
  <c r="D1947" i="839"/>
  <c r="D1948" i="839"/>
  <c r="D1949" i="839"/>
  <c r="D1950" i="839"/>
  <c r="D1951" i="839"/>
  <c r="D1952" i="839"/>
  <c r="D1953" i="839"/>
  <c r="D1954" i="839"/>
  <c r="D1955" i="839"/>
  <c r="D1956" i="839"/>
  <c r="D1957" i="839"/>
  <c r="D1958" i="839"/>
  <c r="D1959" i="839"/>
  <c r="D1960" i="839"/>
  <c r="D1961" i="839"/>
  <c r="D1962" i="839"/>
  <c r="D1963" i="839"/>
  <c r="D1964" i="839"/>
  <c r="D1965" i="839"/>
  <c r="D1966" i="839"/>
  <c r="D1967" i="839"/>
  <c r="D1968" i="839"/>
  <c r="D1969" i="839"/>
  <c r="D1970" i="839"/>
  <c r="D1971" i="839"/>
  <c r="D1972" i="839"/>
  <c r="D1973" i="839"/>
  <c r="D1974" i="839"/>
  <c r="D1975" i="839"/>
  <c r="D1976" i="839"/>
  <c r="D1977" i="839"/>
  <c r="D1978" i="839"/>
  <c r="D1979" i="839"/>
  <c r="D1980" i="839"/>
  <c r="D1981" i="839"/>
  <c r="D1982" i="839"/>
  <c r="D1983" i="839"/>
  <c r="D1984" i="839"/>
  <c r="D1985" i="839"/>
  <c r="D1986" i="839"/>
  <c r="D1987" i="839"/>
  <c r="D1988" i="839"/>
  <c r="D1989" i="839"/>
  <c r="D1990" i="839"/>
  <c r="D1991" i="839"/>
  <c r="D1992" i="839"/>
  <c r="D1993" i="839"/>
  <c r="D1994" i="839"/>
  <c r="D1995" i="839"/>
  <c r="D1996" i="839"/>
  <c r="D1997" i="839"/>
  <c r="D1998" i="839"/>
  <c r="D1999" i="839"/>
  <c r="D2000" i="839"/>
  <c r="D2001" i="839"/>
  <c r="D2002" i="839"/>
  <c r="D2003" i="839"/>
  <c r="D2004" i="839"/>
  <c r="D2005" i="839"/>
  <c r="D2006" i="839"/>
  <c r="D2007" i="839"/>
  <c r="D2008" i="839"/>
  <c r="D2009" i="839"/>
  <c r="D2010" i="839"/>
  <c r="D2011" i="839"/>
  <c r="D2012" i="839"/>
  <c r="D2013" i="839"/>
  <c r="D2014" i="839"/>
  <c r="D2015" i="839"/>
  <c r="D2016" i="839"/>
  <c r="D2017" i="839"/>
  <c r="D2018" i="839"/>
  <c r="D2019" i="839"/>
  <c r="D2020" i="839"/>
  <c r="D2021" i="839"/>
  <c r="D2022" i="839"/>
  <c r="D2023" i="839"/>
  <c r="D2024" i="839"/>
  <c r="D2025" i="839"/>
  <c r="D2026" i="839"/>
  <c r="D2027" i="839"/>
  <c r="D2028" i="839"/>
  <c r="D2029" i="839"/>
  <c r="D2030" i="839"/>
  <c r="D2031" i="839"/>
  <c r="D2032" i="839"/>
  <c r="D2033" i="839"/>
  <c r="D2034" i="839"/>
  <c r="D2035" i="839"/>
  <c r="D2036" i="839"/>
  <c r="D2037" i="839"/>
  <c r="D2038" i="839"/>
  <c r="D2039" i="839"/>
  <c r="D2040" i="839"/>
  <c r="D2041" i="839"/>
  <c r="D2042" i="839"/>
  <c r="D2043" i="839"/>
  <c r="D2044" i="839"/>
  <c r="D2045" i="839"/>
  <c r="D2046" i="839"/>
  <c r="D2047" i="839"/>
  <c r="D2048" i="839"/>
  <c r="D2049" i="839"/>
  <c r="D2050" i="839"/>
  <c r="D2051" i="839"/>
  <c r="D2052" i="839"/>
  <c r="D2053" i="839"/>
  <c r="D2054" i="839"/>
  <c r="D2055" i="839"/>
  <c r="D2056" i="839"/>
  <c r="D2057" i="839"/>
  <c r="D2058" i="839"/>
  <c r="D2059" i="839"/>
  <c r="D2060" i="839"/>
  <c r="D2061" i="839"/>
  <c r="D2062" i="839"/>
  <c r="D2063" i="839"/>
  <c r="D2064" i="839"/>
  <c r="D2065" i="839"/>
  <c r="D2066" i="839"/>
  <c r="D2067" i="839"/>
  <c r="D2068" i="839"/>
  <c r="D2069" i="839"/>
  <c r="D2070" i="839"/>
  <c r="D2071" i="839"/>
  <c r="D2072" i="839"/>
  <c r="D2073" i="839"/>
  <c r="D2074" i="839"/>
  <c r="D2075" i="839"/>
  <c r="D2076" i="839"/>
  <c r="D2077" i="839"/>
  <c r="D2078" i="839"/>
  <c r="D2079" i="839"/>
  <c r="D2080" i="839"/>
  <c r="D2081" i="839"/>
  <c r="D2082" i="839"/>
  <c r="D2083" i="839"/>
  <c r="D2084" i="839"/>
  <c r="D2085" i="839"/>
  <c r="D2086" i="839"/>
  <c r="D2087" i="839"/>
  <c r="D2088" i="839"/>
  <c r="D2089" i="839"/>
  <c r="D2090" i="839"/>
  <c r="D2091" i="839"/>
  <c r="D2092" i="839"/>
  <c r="D2093" i="839"/>
  <c r="D2094" i="839"/>
  <c r="D2095" i="839"/>
  <c r="D2096" i="839"/>
  <c r="D2097" i="839"/>
  <c r="D2098" i="839"/>
  <c r="D2099" i="839"/>
  <c r="D2100" i="839"/>
  <c r="D2101" i="839"/>
  <c r="D2102" i="839"/>
  <c r="D2103" i="839"/>
  <c r="D2104" i="839"/>
  <c r="D2105" i="839"/>
  <c r="D2106" i="839"/>
  <c r="D2107" i="839"/>
  <c r="D2108" i="839"/>
  <c r="D2109" i="839"/>
  <c r="D2110" i="839"/>
  <c r="D2111" i="839"/>
  <c r="D2112" i="839"/>
  <c r="D2113" i="839"/>
  <c r="D2114" i="839"/>
  <c r="D2115" i="839"/>
  <c r="D2116" i="839"/>
  <c r="D2117" i="839"/>
  <c r="D2118" i="839"/>
  <c r="D2119" i="839"/>
  <c r="D2120" i="839"/>
  <c r="D2121" i="839"/>
  <c r="D2122" i="839"/>
  <c r="D2123" i="839"/>
  <c r="D2124" i="839"/>
  <c r="D2125" i="839"/>
  <c r="D2126" i="839"/>
  <c r="D2127" i="839"/>
  <c r="D2128" i="839"/>
  <c r="D2129" i="839"/>
  <c r="D2130" i="839"/>
  <c r="D2131" i="839"/>
  <c r="D2132" i="839"/>
  <c r="D2133" i="839"/>
  <c r="D2134" i="839"/>
  <c r="D2135" i="839"/>
  <c r="D2136" i="839"/>
  <c r="D2137" i="839"/>
  <c r="D2138" i="839"/>
  <c r="D2139" i="839"/>
  <c r="D2140" i="839"/>
  <c r="D2141" i="839"/>
  <c r="D2142" i="839"/>
  <c r="D2143" i="839"/>
  <c r="D2144" i="839"/>
  <c r="D2145" i="839"/>
  <c r="D2146" i="839"/>
  <c r="D2147" i="839"/>
  <c r="D2148" i="839"/>
  <c r="D2149" i="839"/>
  <c r="D2150" i="839"/>
  <c r="D2151" i="839"/>
  <c r="D2152" i="839"/>
  <c r="D2153" i="839"/>
  <c r="D2154" i="839"/>
  <c r="D2155" i="839"/>
  <c r="D2156" i="839"/>
  <c r="D2157" i="839"/>
  <c r="D2158" i="839"/>
  <c r="D2159" i="839"/>
  <c r="D2160" i="839"/>
  <c r="D2161" i="839"/>
  <c r="D2162" i="839"/>
  <c r="D2163" i="839"/>
  <c r="D2164" i="839"/>
  <c r="D2165" i="839"/>
  <c r="D2166" i="839"/>
  <c r="D2167" i="839"/>
  <c r="D2168" i="839"/>
  <c r="D2169" i="839"/>
  <c r="D2170" i="839"/>
  <c r="D2171" i="839"/>
  <c r="D2172" i="839"/>
  <c r="D2173" i="839"/>
  <c r="D2174" i="839"/>
  <c r="D2175" i="839"/>
  <c r="D2176" i="839"/>
  <c r="D2177" i="839"/>
  <c r="D2178" i="839"/>
  <c r="D2179" i="839"/>
  <c r="D2180" i="839"/>
  <c r="D2181" i="839"/>
  <c r="D2182" i="839"/>
  <c r="D2183" i="839"/>
  <c r="D2184" i="839"/>
  <c r="D2185" i="839"/>
  <c r="D2186" i="839"/>
  <c r="D2187" i="839"/>
  <c r="D2188" i="839"/>
  <c r="D2189" i="839"/>
  <c r="D2190" i="839"/>
  <c r="D2191" i="839"/>
  <c r="D2192" i="839"/>
  <c r="D2193" i="839"/>
  <c r="D2194" i="839"/>
  <c r="D2195" i="839"/>
  <c r="D2196" i="839"/>
  <c r="D2197" i="839"/>
  <c r="D2198" i="839"/>
  <c r="D2199" i="839"/>
  <c r="D2200" i="839"/>
  <c r="D2201" i="839"/>
  <c r="D2202" i="839"/>
  <c r="D2203" i="839"/>
  <c r="D2204" i="839"/>
  <c r="D2205" i="839"/>
  <c r="D2206" i="839"/>
  <c r="D2207" i="839"/>
  <c r="D2208" i="839"/>
  <c r="D2209" i="839"/>
  <c r="D2210" i="839"/>
  <c r="D2211" i="839"/>
  <c r="D2212" i="839"/>
  <c r="D2213" i="839"/>
  <c r="D2214" i="839"/>
  <c r="D2215" i="839"/>
  <c r="D2216" i="839"/>
  <c r="D2217" i="839"/>
  <c r="D2218" i="839"/>
  <c r="D2219" i="839"/>
  <c r="D2220" i="839"/>
  <c r="D2221" i="839"/>
  <c r="D2222" i="839"/>
  <c r="D2223" i="839"/>
  <c r="D2224" i="839"/>
  <c r="D2225" i="839"/>
  <c r="D2226" i="839"/>
  <c r="D2227" i="839"/>
  <c r="D2228" i="839"/>
  <c r="D2229" i="839"/>
  <c r="D2230" i="839"/>
  <c r="D2231" i="839"/>
  <c r="D2232" i="839"/>
  <c r="D2233" i="839"/>
  <c r="D2234" i="839"/>
  <c r="D2235" i="839"/>
  <c r="D2236" i="839"/>
  <c r="D2237" i="839"/>
  <c r="D2238" i="839"/>
  <c r="D2239" i="839"/>
  <c r="D2240" i="839"/>
  <c r="D2241" i="839"/>
  <c r="D2242" i="839"/>
  <c r="D2243" i="839"/>
  <c r="D2244" i="839"/>
  <c r="D2245" i="839"/>
  <c r="D2246" i="839"/>
  <c r="D2247" i="839"/>
  <c r="D2248" i="839"/>
  <c r="D2249" i="839"/>
  <c r="D2250" i="839"/>
  <c r="D2251" i="839"/>
  <c r="D2252" i="839"/>
  <c r="D2253" i="839"/>
  <c r="D2254" i="839"/>
  <c r="D2255" i="839"/>
  <c r="D2256" i="839"/>
  <c r="D2257" i="839"/>
  <c r="D2258" i="839"/>
  <c r="D2259" i="839"/>
  <c r="D2260" i="839"/>
  <c r="D2261" i="839"/>
  <c r="D2262" i="839"/>
  <c r="D2263" i="839"/>
  <c r="D2264" i="839"/>
  <c r="D2265" i="839"/>
  <c r="D2266" i="839"/>
  <c r="D2267" i="839"/>
  <c r="D2268" i="839"/>
  <c r="D2269" i="839"/>
  <c r="D2270" i="839"/>
  <c r="D2271" i="839"/>
  <c r="D2272" i="839"/>
  <c r="D2273" i="839"/>
  <c r="D2274" i="839"/>
  <c r="D2275" i="839"/>
  <c r="D2276" i="839"/>
  <c r="D2277" i="839"/>
  <c r="D2278" i="839"/>
  <c r="D2279" i="839"/>
  <c r="D2280" i="839"/>
  <c r="D2281" i="839"/>
  <c r="D2282" i="839"/>
  <c r="D2283" i="839"/>
  <c r="D2284" i="839"/>
  <c r="D2285" i="839"/>
  <c r="D2286" i="839"/>
  <c r="D2287" i="839"/>
  <c r="D2288" i="839"/>
  <c r="D2289" i="839"/>
  <c r="D2290" i="839"/>
  <c r="D2291" i="839"/>
  <c r="D2292" i="839"/>
  <c r="D2293" i="839"/>
  <c r="D2294" i="839"/>
  <c r="D2295" i="839"/>
  <c r="D2296" i="839"/>
  <c r="D2297" i="839"/>
  <c r="D2298" i="839"/>
  <c r="D2299" i="839"/>
  <c r="D2300" i="839"/>
  <c r="D2301" i="839"/>
  <c r="D2302" i="839"/>
  <c r="D2303" i="839"/>
  <c r="D2304" i="839"/>
  <c r="D2305" i="839"/>
  <c r="D2306" i="839"/>
  <c r="D2307" i="839"/>
  <c r="D2308" i="839"/>
  <c r="D2309" i="839"/>
  <c r="D2310" i="839"/>
  <c r="D2311" i="839"/>
  <c r="D2312" i="839"/>
  <c r="D2313" i="839"/>
  <c r="D2314" i="839"/>
  <c r="D2315" i="839"/>
  <c r="D2316" i="839"/>
  <c r="D2317" i="839"/>
  <c r="D2318" i="839"/>
  <c r="D2319" i="839"/>
  <c r="D2320" i="839"/>
  <c r="D2321" i="839"/>
  <c r="D2322" i="839"/>
  <c r="D2323" i="839"/>
  <c r="D2324" i="839"/>
  <c r="D2325" i="839"/>
  <c r="D2326" i="839"/>
  <c r="D2327" i="839"/>
  <c r="D2328" i="839"/>
  <c r="D2329" i="839"/>
  <c r="D2330" i="839"/>
  <c r="D2331" i="839"/>
  <c r="D2332" i="839"/>
  <c r="D2333" i="839"/>
  <c r="D2334" i="839"/>
  <c r="D2335" i="839"/>
  <c r="D2336" i="839"/>
  <c r="D2337" i="839"/>
  <c r="D2338" i="839"/>
  <c r="D2339" i="839"/>
  <c r="D2340" i="839"/>
  <c r="D2341" i="839"/>
  <c r="D2342" i="839"/>
  <c r="D2343" i="839"/>
  <c r="D2344" i="839"/>
  <c r="D2345" i="839"/>
  <c r="D2346" i="839"/>
  <c r="D2347" i="839"/>
  <c r="D2348" i="839"/>
  <c r="D2349" i="839"/>
  <c r="D2350" i="839"/>
  <c r="D2351" i="839"/>
  <c r="D2352" i="839"/>
  <c r="D2353" i="839"/>
  <c r="D2354" i="839"/>
  <c r="D2355" i="839"/>
  <c r="D2356" i="839"/>
  <c r="D2357" i="839"/>
  <c r="D2358" i="839"/>
  <c r="D2359" i="839"/>
  <c r="D2360" i="839"/>
  <c r="D2361" i="839"/>
  <c r="D2362" i="839"/>
  <c r="D2363" i="839"/>
  <c r="D2364" i="839"/>
  <c r="D2365" i="839"/>
  <c r="D2366" i="839"/>
  <c r="D2367" i="839"/>
  <c r="D2368" i="839"/>
  <c r="D2369" i="839"/>
  <c r="D2370" i="839"/>
  <c r="D2371" i="839"/>
  <c r="D2372" i="839"/>
  <c r="D2373" i="839"/>
  <c r="D2374" i="839"/>
  <c r="D2375" i="839"/>
  <c r="D2376" i="839"/>
  <c r="D2377" i="839"/>
  <c r="D2378" i="839"/>
  <c r="D2379" i="839"/>
  <c r="D2380" i="839"/>
  <c r="D2381" i="839"/>
  <c r="D2382" i="839"/>
  <c r="D2383" i="839"/>
  <c r="D2384" i="839"/>
  <c r="D2385" i="839"/>
  <c r="D2386" i="839"/>
  <c r="D2387" i="839"/>
  <c r="D2388" i="839"/>
  <c r="D2389" i="839"/>
  <c r="D2390" i="839"/>
  <c r="D2391" i="839"/>
  <c r="D2392" i="839"/>
  <c r="D2393" i="839"/>
  <c r="D2394" i="839"/>
  <c r="D2395" i="839"/>
  <c r="D2396" i="839"/>
  <c r="D2397" i="839"/>
  <c r="D2398" i="839"/>
  <c r="D2399" i="839"/>
  <c r="D2400" i="839"/>
  <c r="D2401" i="839"/>
  <c r="D2402" i="839"/>
  <c r="D2403" i="839"/>
  <c r="D2404" i="839"/>
  <c r="D2405" i="839"/>
  <c r="D2406" i="839"/>
  <c r="D2407" i="839"/>
  <c r="D2408" i="839"/>
  <c r="D2409" i="839"/>
  <c r="D2410" i="839"/>
  <c r="D2411" i="839"/>
  <c r="D2412" i="839"/>
  <c r="D2413" i="839"/>
  <c r="D2414" i="839"/>
  <c r="D2415" i="839"/>
  <c r="D2416" i="839"/>
  <c r="D2417" i="839"/>
  <c r="D2418" i="839"/>
  <c r="D2419" i="839"/>
  <c r="D2420" i="839"/>
  <c r="D2421" i="839"/>
  <c r="D2422" i="839"/>
  <c r="D2423" i="839"/>
  <c r="D2424" i="839"/>
  <c r="D2425" i="839"/>
  <c r="D2426" i="839"/>
  <c r="D2427" i="839"/>
  <c r="D2428" i="839"/>
  <c r="D2429" i="839"/>
  <c r="D2430" i="839"/>
  <c r="D2431" i="839"/>
  <c r="D2432" i="839"/>
  <c r="D2433" i="839"/>
  <c r="D2434" i="839"/>
  <c r="D2435" i="839"/>
  <c r="D2436" i="839"/>
  <c r="D2437" i="839"/>
  <c r="D2438" i="839"/>
  <c r="D2439" i="839"/>
  <c r="D2440" i="839"/>
  <c r="D2441" i="839"/>
  <c r="D2442" i="839"/>
  <c r="D2443" i="839"/>
  <c r="D2444" i="839"/>
  <c r="D2445" i="839"/>
  <c r="D2446" i="839"/>
  <c r="D2447" i="839"/>
  <c r="D2448" i="839"/>
  <c r="D2449" i="839"/>
  <c r="D2450" i="839"/>
  <c r="D2451" i="839"/>
  <c r="D2452" i="839"/>
  <c r="D2453" i="839"/>
  <c r="D2454" i="839"/>
  <c r="D2455" i="839"/>
  <c r="D2456" i="839"/>
  <c r="D2457" i="839"/>
  <c r="D2458" i="839"/>
  <c r="D2459" i="839"/>
  <c r="D2460" i="839"/>
  <c r="D2461" i="839"/>
  <c r="D2462" i="839"/>
  <c r="D2463" i="839"/>
  <c r="D2464" i="839"/>
  <c r="D2465" i="839"/>
  <c r="D2466" i="839"/>
  <c r="D2467" i="839"/>
  <c r="D2468" i="839"/>
  <c r="D2469" i="839"/>
  <c r="D2470" i="839"/>
  <c r="D2471" i="839"/>
  <c r="D2472" i="839"/>
  <c r="D2473" i="839"/>
  <c r="D2474" i="839"/>
  <c r="D2475" i="839"/>
  <c r="D2476" i="839"/>
  <c r="D2477" i="839"/>
  <c r="D2478" i="839"/>
  <c r="D2479" i="839"/>
  <c r="D2480" i="839"/>
  <c r="D2481" i="839"/>
  <c r="D2482" i="839"/>
  <c r="D2483" i="839"/>
  <c r="D2484" i="839"/>
  <c r="D2485" i="839"/>
  <c r="D2486" i="839"/>
  <c r="D2487" i="839"/>
  <c r="D2488" i="839"/>
  <c r="D2489" i="839"/>
  <c r="D2490" i="839"/>
  <c r="D2491" i="839"/>
  <c r="D2492" i="839"/>
  <c r="D2493" i="839"/>
  <c r="D2494" i="839"/>
  <c r="D2495" i="839"/>
  <c r="D2496" i="839"/>
  <c r="D2497" i="839"/>
  <c r="D2498" i="839"/>
  <c r="D2499" i="839"/>
  <c r="D2500" i="839"/>
  <c r="D2501" i="839"/>
  <c r="D2502" i="839"/>
  <c r="D2503" i="839"/>
  <c r="D2504" i="839"/>
  <c r="D2505" i="839"/>
  <c r="D2506" i="839"/>
  <c r="D2507" i="839"/>
  <c r="D2508" i="839"/>
  <c r="D2509" i="839"/>
  <c r="D2510" i="839"/>
  <c r="D2511" i="839"/>
  <c r="D2512" i="839"/>
  <c r="D2513" i="839"/>
  <c r="D2514" i="839"/>
  <c r="D2515" i="839"/>
  <c r="D2516" i="839"/>
  <c r="D2517" i="839"/>
  <c r="D2518" i="839"/>
  <c r="D2519" i="839"/>
  <c r="D2520" i="839"/>
  <c r="D2521" i="839"/>
  <c r="D2522" i="839"/>
  <c r="D2523" i="839"/>
  <c r="D2524" i="839"/>
  <c r="D2525" i="839"/>
  <c r="D2526" i="839"/>
  <c r="D2527" i="839"/>
  <c r="D2528" i="839"/>
  <c r="D2529" i="839"/>
  <c r="D2530" i="839"/>
  <c r="D2531" i="839"/>
  <c r="D2532" i="839"/>
  <c r="D2533" i="839"/>
  <c r="D2534" i="839"/>
  <c r="D2535" i="839"/>
  <c r="D2536" i="839"/>
  <c r="D2537" i="839"/>
  <c r="D2538" i="839"/>
  <c r="D2539" i="839"/>
  <c r="D2540" i="839"/>
  <c r="D2541" i="839"/>
  <c r="D2542" i="839"/>
  <c r="D2543" i="839"/>
  <c r="D2544" i="839"/>
  <c r="D2545" i="839"/>
  <c r="D2546" i="839"/>
  <c r="D2547" i="839"/>
  <c r="D2548" i="839"/>
  <c r="D2549" i="839"/>
  <c r="D2550" i="839"/>
  <c r="D2551" i="839"/>
  <c r="D2552" i="839"/>
  <c r="D2553" i="839"/>
  <c r="D2554" i="839"/>
  <c r="D2555" i="839"/>
  <c r="D2556" i="839"/>
  <c r="D2557" i="839"/>
  <c r="D2558" i="839"/>
  <c r="D2559" i="839"/>
  <c r="D2560" i="839"/>
  <c r="D2561" i="839"/>
  <c r="D2562" i="839"/>
  <c r="D2563" i="839"/>
  <c r="D2564" i="839"/>
  <c r="D2565" i="839"/>
  <c r="D2566" i="839"/>
  <c r="D2567" i="839"/>
  <c r="D2568" i="839"/>
  <c r="D2569" i="839"/>
  <c r="D2570" i="839"/>
  <c r="D2571" i="839"/>
  <c r="D2572" i="839"/>
  <c r="D2573" i="839"/>
  <c r="D2574" i="839"/>
  <c r="D2575" i="839"/>
  <c r="D2576" i="839"/>
  <c r="D2577" i="839"/>
  <c r="D2578" i="839"/>
  <c r="D2579" i="839"/>
  <c r="D2580" i="839"/>
  <c r="D2581" i="839"/>
  <c r="D2583" i="839"/>
  <c r="D2584" i="839"/>
  <c r="D2585" i="839"/>
  <c r="D2587" i="839"/>
  <c r="D2588" i="839"/>
  <c r="D2589" i="839"/>
  <c r="D2591" i="839"/>
  <c r="D2592" i="839"/>
  <c r="D2593" i="839"/>
  <c r="D2595" i="839"/>
  <c r="D2596" i="839"/>
  <c r="D2597" i="839"/>
  <c r="D2599" i="839"/>
  <c r="D2600" i="839"/>
  <c r="D2601" i="839"/>
  <c r="D2603" i="839"/>
  <c r="D2604" i="839"/>
  <c r="D2605" i="839"/>
  <c r="D2607" i="839"/>
  <c r="D2608" i="839"/>
  <c r="D2609" i="839"/>
  <c r="D2611" i="839"/>
  <c r="D2612" i="839"/>
  <c r="D2613" i="839"/>
  <c r="D2615" i="839"/>
  <c r="D2616" i="839"/>
  <c r="D2617" i="839"/>
  <c r="D2619" i="839"/>
  <c r="D2620" i="839"/>
  <c r="D2621" i="839"/>
  <c r="D2623" i="839"/>
  <c r="D2624" i="839"/>
  <c r="D2625" i="839"/>
  <c r="D2627" i="839"/>
  <c r="D2628" i="839"/>
  <c r="D2629" i="839"/>
  <c r="D2631" i="839"/>
  <c r="D2632" i="839"/>
  <c r="D2633" i="839"/>
  <c r="D2635" i="839"/>
  <c r="D2636" i="839"/>
  <c r="D2637" i="839"/>
  <c r="D2639" i="839"/>
  <c r="D2640" i="839"/>
  <c r="D2641" i="839"/>
  <c r="D2643" i="839"/>
  <c r="D2644" i="839"/>
  <c r="D2645" i="839"/>
  <c r="D2647" i="839"/>
  <c r="D2648" i="839"/>
  <c r="D2649" i="839"/>
  <c r="D2651" i="839"/>
  <c r="D2652" i="839"/>
  <c r="D2653" i="839"/>
  <c r="D2655" i="839"/>
  <c r="D2656" i="839"/>
  <c r="D2657" i="839"/>
  <c r="D2659" i="839"/>
  <c r="D2660" i="839"/>
  <c r="D2661" i="839"/>
  <c r="D2663" i="839"/>
  <c r="D2664" i="839"/>
  <c r="D2665" i="839"/>
  <c r="D2667" i="839"/>
  <c r="D2668" i="839"/>
  <c r="D2669" i="839"/>
  <c r="D2671" i="839"/>
  <c r="D2672" i="839"/>
  <c r="D2673" i="839"/>
  <c r="D2675" i="839"/>
  <c r="D2676" i="839"/>
  <c r="D2677" i="839"/>
  <c r="D2679" i="839"/>
  <c r="D2680" i="839"/>
  <c r="D2681" i="839"/>
  <c r="D2683" i="839"/>
  <c r="D2684" i="839"/>
  <c r="D2685" i="839"/>
  <c r="D2687" i="839"/>
  <c r="D2688" i="839"/>
  <c r="D2689" i="839"/>
  <c r="D2691" i="839"/>
  <c r="D2692" i="839"/>
  <c r="D2693" i="839"/>
  <c r="D2695" i="839"/>
  <c r="D2696" i="839"/>
  <c r="D2697" i="839"/>
  <c r="D2699" i="839"/>
  <c r="D2700" i="839"/>
  <c r="D2701" i="839"/>
  <c r="D2703" i="839"/>
  <c r="D2704" i="839"/>
  <c r="D2705" i="839"/>
  <c r="D2707" i="839"/>
  <c r="D2708" i="839"/>
  <c r="D2709" i="839"/>
  <c r="D2711" i="839"/>
  <c r="D2712" i="839"/>
  <c r="D2713" i="839"/>
  <c r="D2715" i="839"/>
  <c r="D2716" i="839"/>
  <c r="D2717" i="839"/>
  <c r="D2719" i="839"/>
  <c r="D2720" i="839"/>
  <c r="D2721" i="839"/>
  <c r="D2723" i="839"/>
  <c r="D2724" i="839"/>
  <c r="D2725" i="839"/>
  <c r="D2727" i="839"/>
  <c r="D2728" i="839"/>
  <c r="D2729" i="839"/>
  <c r="D2731" i="839"/>
  <c r="D2732" i="839"/>
  <c r="D2733" i="839"/>
  <c r="D2735" i="839"/>
  <c r="D2736" i="839"/>
  <c r="D2737" i="839"/>
  <c r="D2739" i="839"/>
  <c r="D2740" i="839"/>
  <c r="D2741" i="839"/>
  <c r="D2743" i="839"/>
  <c r="D2744" i="839"/>
  <c r="D2745" i="839"/>
  <c r="D2747" i="839"/>
  <c r="D2748" i="839"/>
  <c r="D2749" i="839"/>
  <c r="D2751" i="839"/>
  <c r="D2752" i="839"/>
  <c r="D2753" i="839"/>
  <c r="D2755" i="839"/>
  <c r="D2756" i="839"/>
  <c r="D2757" i="839"/>
  <c r="D2759" i="839"/>
  <c r="D2760" i="839"/>
  <c r="D2761" i="839"/>
  <c r="D2763" i="839"/>
  <c r="D2764" i="839"/>
  <c r="D2765" i="839"/>
  <c r="D2767" i="839"/>
  <c r="D2768" i="839"/>
  <c r="D2769" i="839"/>
  <c r="D2771" i="839"/>
  <c r="D2772" i="839"/>
  <c r="D2773" i="839"/>
  <c r="D2775" i="839"/>
  <c r="D2776" i="839"/>
  <c r="D2777" i="839"/>
  <c r="D2779" i="839"/>
  <c r="D2780" i="839"/>
  <c r="D2781" i="839"/>
  <c r="D2783" i="839"/>
  <c r="D2784" i="839"/>
  <c r="D2785" i="839"/>
  <c r="D2787" i="839"/>
  <c r="D2788" i="839"/>
  <c r="D2789" i="839"/>
  <c r="D2791" i="839"/>
  <c r="D2792" i="839"/>
  <c r="D2793" i="839"/>
  <c r="D2795" i="839"/>
  <c r="D2796" i="839"/>
  <c r="D2797" i="839"/>
  <c r="D2799" i="839"/>
  <c r="D2800" i="839"/>
  <c r="D2801" i="839"/>
  <c r="D2803" i="839"/>
  <c r="D2804" i="839"/>
  <c r="D2805" i="839"/>
  <c r="D2807" i="839"/>
  <c r="D2808" i="839"/>
  <c r="D2809" i="839"/>
  <c r="D2811" i="839"/>
  <c r="D2812" i="839"/>
  <c r="D2813" i="839"/>
  <c r="D2815" i="839"/>
  <c r="D2816" i="839"/>
  <c r="D2817" i="839"/>
  <c r="D2819" i="839"/>
  <c r="D2820" i="839"/>
  <c r="D2821" i="839"/>
  <c r="D2823" i="839"/>
  <c r="D2824" i="839"/>
  <c r="D2825" i="839"/>
  <c r="D2827" i="839"/>
  <c r="D2828" i="839"/>
  <c r="D2829" i="839"/>
  <c r="D2831" i="839"/>
  <c r="D2832" i="839"/>
  <c r="D2833" i="839"/>
  <c r="D2835" i="839"/>
  <c r="D2836" i="839"/>
  <c r="D2837" i="839"/>
  <c r="D2839" i="839"/>
  <c r="D2840" i="839"/>
  <c r="D2841" i="839"/>
  <c r="D2843" i="839"/>
  <c r="D2844" i="839"/>
  <c r="D2845" i="839"/>
  <c r="D2847" i="839"/>
  <c r="D2848" i="839"/>
  <c r="D2849" i="839"/>
  <c r="D2851" i="839"/>
  <c r="D2852" i="839"/>
  <c r="D2853" i="839"/>
  <c r="D2855" i="839"/>
  <c r="D2856" i="839"/>
  <c r="D2857" i="839"/>
  <c r="D2859" i="839"/>
  <c r="D2860" i="839"/>
  <c r="D2861" i="839"/>
  <c r="D2863" i="839"/>
  <c r="D2864" i="839"/>
  <c r="D2865" i="839"/>
  <c r="D2867" i="839"/>
  <c r="D2868" i="839"/>
  <c r="D2869" i="839"/>
  <c r="D2871" i="839"/>
  <c r="D2872" i="839"/>
  <c r="D2873" i="839"/>
  <c r="D2875" i="839"/>
  <c r="D2876" i="839"/>
  <c r="D2877" i="839"/>
  <c r="D2879" i="839"/>
  <c r="D2880" i="839"/>
  <c r="D2881" i="839"/>
  <c r="D2883" i="839"/>
  <c r="D2884" i="839"/>
  <c r="D2885" i="839"/>
  <c r="D2887" i="839"/>
  <c r="D2888" i="839"/>
  <c r="D2889" i="839"/>
  <c r="D2891" i="839"/>
  <c r="D2892" i="839"/>
  <c r="D2893" i="839"/>
  <c r="D2895" i="839"/>
  <c r="D2896" i="839"/>
  <c r="D2897" i="839"/>
  <c r="D2899" i="839"/>
  <c r="D2900" i="839"/>
  <c r="D2901" i="839"/>
  <c r="D2903" i="839"/>
  <c r="D2904" i="839"/>
  <c r="D2905" i="839"/>
  <c r="D2907" i="839"/>
  <c r="D2908" i="839"/>
  <c r="D2909" i="839"/>
  <c r="D2911" i="839"/>
  <c r="D2912" i="839"/>
  <c r="D2913" i="839"/>
  <c r="D2915" i="839"/>
  <c r="D2916" i="839"/>
  <c r="D2917" i="839"/>
  <c r="D2919" i="839"/>
  <c r="D2920" i="839"/>
  <c r="D2921" i="839"/>
  <c r="D2922" i="839"/>
  <c r="D2923" i="839"/>
  <c r="D2924" i="839"/>
  <c r="D2925" i="839"/>
  <c r="D2926" i="839"/>
  <c r="D2927" i="839"/>
  <c r="D2928" i="839"/>
  <c r="D2929" i="839"/>
  <c r="D2930" i="839"/>
  <c r="D2931" i="839"/>
  <c r="D2932" i="839"/>
  <c r="D2933" i="839"/>
  <c r="D2934" i="839"/>
  <c r="D2935" i="839"/>
  <c r="D2936" i="839"/>
  <c r="D2937" i="839"/>
  <c r="D2938" i="839"/>
  <c r="D2939" i="839"/>
  <c r="D2940" i="839"/>
  <c r="D2941" i="839"/>
  <c r="D2942" i="839"/>
  <c r="D2943" i="839"/>
  <c r="D2944" i="839"/>
  <c r="D2945" i="839"/>
  <c r="D2946" i="839"/>
  <c r="D2947" i="839"/>
  <c r="D2948" i="839"/>
  <c r="D2949" i="839"/>
  <c r="D2950" i="839"/>
  <c r="D2951" i="839"/>
  <c r="D2952" i="839"/>
  <c r="D2953" i="839"/>
  <c r="D2954" i="839"/>
  <c r="D2955" i="839"/>
  <c r="D2956" i="839"/>
  <c r="D2957" i="839"/>
  <c r="D2958" i="839"/>
  <c r="D2959" i="839"/>
  <c r="D2960" i="839"/>
  <c r="D2961" i="839"/>
  <c r="D2962" i="839"/>
  <c r="D2963" i="839"/>
  <c r="D2964" i="839"/>
  <c r="D2965" i="839"/>
  <c r="D2966" i="839"/>
  <c r="D2967" i="839"/>
  <c r="D2968" i="839"/>
  <c r="D2969" i="839"/>
  <c r="D2970" i="839"/>
  <c r="D2971" i="839"/>
  <c r="D2972" i="839"/>
  <c r="D2973" i="839"/>
  <c r="D2974" i="839"/>
  <c r="D2975" i="839"/>
  <c r="D2976" i="839"/>
  <c r="D2977" i="839"/>
  <c r="D2978" i="839"/>
  <c r="D2979" i="839"/>
  <c r="D2980" i="839"/>
  <c r="D2981" i="839"/>
  <c r="D2982" i="839"/>
  <c r="D2983" i="839"/>
  <c r="D2984" i="839"/>
  <c r="D2985" i="839"/>
  <c r="D2986" i="839"/>
  <c r="D2987" i="839"/>
  <c r="D2988" i="839"/>
  <c r="D2989" i="839"/>
  <c r="D2990" i="839"/>
  <c r="D2991" i="839"/>
  <c r="D2992" i="839"/>
  <c r="D2993" i="839"/>
  <c r="D2994" i="839"/>
  <c r="D2995" i="839"/>
  <c r="D2996" i="839"/>
  <c r="D2997" i="839"/>
  <c r="D2998" i="839"/>
  <c r="D2999" i="839"/>
  <c r="D3000" i="839"/>
  <c r="D3001" i="839"/>
  <c r="D3002" i="839"/>
  <c r="D3003" i="839"/>
  <c r="D3004" i="839"/>
  <c r="D3005" i="839"/>
  <c r="D3006" i="839"/>
  <c r="D3007" i="839"/>
  <c r="D3008" i="839"/>
  <c r="D3009" i="839"/>
  <c r="D3010" i="839"/>
  <c r="D3011" i="839"/>
  <c r="D3012" i="839"/>
  <c r="D3013" i="839"/>
  <c r="D3014" i="839"/>
  <c r="D3015" i="839"/>
  <c r="D3016" i="839"/>
  <c r="D3017" i="839"/>
  <c r="D3018" i="839"/>
  <c r="D3019" i="839"/>
  <c r="D3020" i="839"/>
  <c r="D3021" i="839"/>
  <c r="D3022" i="839"/>
  <c r="D3023" i="839"/>
  <c r="D3024" i="839"/>
  <c r="D3025" i="839"/>
  <c r="D3026" i="839"/>
  <c r="D3027" i="839"/>
  <c r="D3028" i="839"/>
  <c r="D3029" i="839"/>
  <c r="D3030" i="839"/>
  <c r="D3031" i="839"/>
  <c r="D3032" i="839"/>
  <c r="D3033" i="839"/>
  <c r="D3034" i="839"/>
  <c r="D3035" i="839"/>
  <c r="D3036" i="839"/>
  <c r="D3037" i="839"/>
  <c r="D3038" i="839"/>
  <c r="D3039" i="839"/>
  <c r="D3040" i="839"/>
  <c r="D3041" i="839"/>
  <c r="D3042" i="839"/>
  <c r="D3043" i="839"/>
  <c r="D3044" i="839"/>
  <c r="D3045" i="839"/>
  <c r="D3046" i="839"/>
  <c r="D3047" i="839"/>
  <c r="D3048" i="839"/>
  <c r="D3049" i="839"/>
  <c r="D3050" i="839"/>
  <c r="D3051" i="839"/>
  <c r="D3052" i="839"/>
  <c r="D3053" i="839"/>
  <c r="D3054" i="839"/>
  <c r="D3055" i="839"/>
  <c r="D3056" i="839"/>
  <c r="D3057" i="839"/>
  <c r="D3058" i="839"/>
  <c r="D3059" i="839"/>
  <c r="D3060" i="839"/>
  <c r="D3061" i="839"/>
  <c r="D3062" i="839"/>
  <c r="D3063" i="839"/>
  <c r="D3064" i="839"/>
  <c r="D3065" i="839"/>
  <c r="D3066" i="839"/>
  <c r="D3067" i="839"/>
  <c r="D3068" i="839"/>
  <c r="D3069" i="839"/>
  <c r="D3070" i="839"/>
  <c r="D3071" i="839"/>
  <c r="D3072" i="839"/>
  <c r="D3073" i="839"/>
  <c r="D3074" i="839"/>
  <c r="D3075" i="839"/>
  <c r="D3076" i="839"/>
  <c r="D3077" i="839"/>
  <c r="D3078" i="839"/>
  <c r="D3079" i="839"/>
  <c r="D3080" i="839"/>
  <c r="D3081" i="839"/>
  <c r="D3082" i="839"/>
  <c r="D3083" i="839"/>
  <c r="D3084" i="839"/>
  <c r="D3085" i="839"/>
  <c r="D3086" i="839"/>
  <c r="D3087" i="839"/>
  <c r="D3088" i="839"/>
  <c r="D3089" i="839"/>
  <c r="D3090" i="839"/>
  <c r="D3091" i="839"/>
  <c r="D3092" i="839"/>
  <c r="D3093" i="839"/>
  <c r="D3094" i="839"/>
  <c r="D3095" i="839"/>
  <c r="D3096" i="839"/>
  <c r="D3097" i="839"/>
  <c r="D3098" i="839"/>
  <c r="D3099" i="839"/>
  <c r="D3100" i="839"/>
  <c r="D3101" i="839"/>
  <c r="D3102" i="839"/>
  <c r="D3103" i="839"/>
  <c r="D3104" i="839"/>
  <c r="D3105" i="839"/>
  <c r="D3106" i="839"/>
  <c r="D3107" i="839"/>
  <c r="D3108" i="839"/>
  <c r="D3109" i="839"/>
  <c r="D3110" i="839"/>
  <c r="D3111" i="839"/>
  <c r="D3112" i="839"/>
  <c r="D3113" i="839"/>
  <c r="D3114" i="839"/>
  <c r="D3115" i="839"/>
  <c r="D3116" i="839"/>
  <c r="D3117" i="839"/>
  <c r="D3118" i="839"/>
  <c r="D3119" i="839"/>
  <c r="D3120" i="839"/>
  <c r="D3121" i="839"/>
  <c r="D3122" i="839"/>
  <c r="D3123" i="839"/>
  <c r="D3124" i="839"/>
  <c r="D3125" i="839"/>
  <c r="D3126" i="839"/>
  <c r="D3127" i="839"/>
  <c r="D3128" i="839"/>
  <c r="D3129" i="839"/>
  <c r="D3130" i="839"/>
  <c r="D3131" i="839"/>
  <c r="D3132" i="839"/>
  <c r="D3133" i="839"/>
  <c r="D3134" i="839"/>
  <c r="D3135" i="839"/>
  <c r="D3136" i="839"/>
  <c r="D3137" i="839"/>
  <c r="D3138" i="839"/>
  <c r="D3139" i="839"/>
  <c r="D3140" i="839"/>
  <c r="D3141" i="839"/>
  <c r="D3142" i="839"/>
  <c r="D3143" i="839"/>
  <c r="D3144" i="839"/>
  <c r="D3145" i="839"/>
  <c r="D3146" i="839"/>
  <c r="D3147" i="839"/>
  <c r="D3148" i="839"/>
  <c r="D3149" i="839"/>
  <c r="D3150" i="839"/>
  <c r="D3151" i="839"/>
  <c r="D3152" i="839"/>
  <c r="D3153" i="839"/>
  <c r="D3154" i="839"/>
  <c r="D3155" i="839"/>
  <c r="D3156" i="839"/>
  <c r="D3157" i="839"/>
  <c r="D3158" i="839"/>
  <c r="D3159" i="839"/>
  <c r="D3160" i="839"/>
  <c r="D3161" i="839"/>
  <c r="D3162" i="839"/>
  <c r="D3163" i="839"/>
  <c r="D3164" i="839"/>
  <c r="D3165" i="839"/>
  <c r="D3166" i="839"/>
  <c r="D3167" i="839"/>
  <c r="D3168" i="839"/>
  <c r="D3169" i="839"/>
  <c r="D3170" i="839"/>
  <c r="D3171" i="839"/>
  <c r="D3172" i="839"/>
  <c r="D3173" i="839"/>
  <c r="D3174" i="839"/>
  <c r="D3175" i="839"/>
  <c r="D3176" i="839"/>
  <c r="D3177" i="839"/>
  <c r="D3178" i="839"/>
  <c r="D3179" i="839"/>
  <c r="D3180" i="839"/>
  <c r="D3181" i="839"/>
  <c r="D3182" i="839"/>
  <c r="D3183" i="839"/>
  <c r="D3184" i="839"/>
  <c r="D3185" i="839"/>
  <c r="D3186" i="839"/>
  <c r="D3187" i="839"/>
  <c r="D3188" i="839"/>
  <c r="D3189" i="839"/>
  <c r="D3190" i="839"/>
  <c r="D3191" i="839"/>
  <c r="D3192" i="839"/>
  <c r="D3193" i="839"/>
  <c r="D3194" i="839"/>
  <c r="D3195" i="839"/>
  <c r="D3196" i="839"/>
  <c r="D3197" i="839"/>
  <c r="D3198" i="839"/>
  <c r="D3199" i="839"/>
  <c r="D3200" i="839"/>
  <c r="D3201" i="839"/>
  <c r="D3202" i="839"/>
  <c r="D3203" i="839"/>
  <c r="D3204" i="839"/>
  <c r="D3205" i="839"/>
  <c r="D3206" i="839"/>
  <c r="D3207" i="839"/>
  <c r="D3208" i="839"/>
  <c r="D3209" i="839"/>
  <c r="D3210" i="839"/>
  <c r="D3211" i="839"/>
  <c r="D3212" i="839"/>
  <c r="D3213" i="839"/>
  <c r="D3214" i="839"/>
  <c r="D3215" i="839"/>
  <c r="L1055" i="628" l="1"/>
  <c r="M1055" i="628"/>
  <c r="N1055" i="628" s="1"/>
  <c r="G1055" i="628"/>
  <c r="L287" i="629"/>
  <c r="D287" i="629" s="1"/>
  <c r="M193" i="926"/>
  <c r="N193" i="926" s="1"/>
  <c r="M318" i="926"/>
  <c r="M228" i="926"/>
  <c r="M195" i="926"/>
  <c r="M284" i="926"/>
  <c r="M315" i="926"/>
  <c r="M187" i="926"/>
  <c r="M82" i="926"/>
  <c r="M95" i="926"/>
  <c r="M225" i="926"/>
  <c r="M49" i="926"/>
  <c r="M102" i="926"/>
  <c r="M73" i="926"/>
  <c r="M93" i="926"/>
  <c r="M140" i="926"/>
  <c r="M252" i="926"/>
  <c r="M304" i="926"/>
  <c r="M106" i="926"/>
  <c r="M30" i="926"/>
  <c r="M160" i="926"/>
  <c r="M111" i="926"/>
  <c r="M324" i="926"/>
  <c r="M141" i="926"/>
  <c r="M212" i="926"/>
  <c r="M15" i="926"/>
  <c r="M120" i="926"/>
  <c r="M207" i="926"/>
  <c r="M283" i="926"/>
  <c r="M237" i="926"/>
  <c r="M112" i="926"/>
  <c r="M103" i="926"/>
  <c r="M236" i="926"/>
  <c r="M185" i="926"/>
  <c r="M165" i="926"/>
  <c r="M125" i="926"/>
  <c r="M251" i="926"/>
  <c r="M22" i="926"/>
  <c r="M282" i="926"/>
  <c r="M32" i="926"/>
  <c r="M74" i="926"/>
  <c r="M258" i="926"/>
  <c r="M289" i="926"/>
  <c r="M83" i="926"/>
  <c r="M173" i="926"/>
  <c r="M281" i="926"/>
  <c r="M136" i="926"/>
  <c r="M104" i="926"/>
  <c r="M196" i="926"/>
  <c r="M154" i="926"/>
  <c r="M312" i="926"/>
  <c r="M179" i="926"/>
  <c r="M210" i="926"/>
  <c r="M156" i="926"/>
  <c r="M288" i="926"/>
  <c r="M260" i="926"/>
  <c r="M262" i="926"/>
  <c r="M188" i="926"/>
  <c r="M29" i="926"/>
  <c r="M14" i="926"/>
  <c r="M60" i="926"/>
  <c r="M87" i="926"/>
  <c r="M224" i="926"/>
  <c r="M320" i="926"/>
  <c r="M307" i="926"/>
  <c r="M246" i="926"/>
  <c r="M99" i="926"/>
  <c r="M110" i="926"/>
  <c r="M161" i="926"/>
  <c r="M152" i="926"/>
  <c r="M197" i="926"/>
  <c r="M183" i="926"/>
  <c r="M40" i="926"/>
  <c r="M213" i="926"/>
  <c r="M38" i="926"/>
  <c r="M7" i="926"/>
  <c r="M311" i="926"/>
  <c r="M217" i="926"/>
  <c r="M100" i="926"/>
  <c r="M12" i="926"/>
  <c r="M78" i="926"/>
  <c r="M113" i="926"/>
  <c r="M39" i="926"/>
  <c r="M48" i="926"/>
  <c r="M121" i="926"/>
  <c r="M63" i="926"/>
  <c r="M79" i="926"/>
  <c r="O79" i="926" s="1"/>
  <c r="P79" i="926" s="1"/>
  <c r="M57" i="926"/>
  <c r="O57" i="926" s="1"/>
  <c r="P57" i="926" s="1"/>
  <c r="M92" i="926"/>
  <c r="N92" i="926" s="1"/>
  <c r="M27" i="926"/>
  <c r="O27" i="926" s="1"/>
  <c r="P27" i="926" s="1"/>
  <c r="M59" i="926"/>
  <c r="O59" i="926" s="1"/>
  <c r="P59" i="926" s="1"/>
  <c r="M43" i="926"/>
  <c r="O43" i="926" s="1"/>
  <c r="P43" i="926" s="1"/>
  <c r="M54" i="926"/>
  <c r="N54" i="926" s="1"/>
  <c r="M166" i="926"/>
  <c r="N166" i="926" s="1"/>
  <c r="M52" i="926"/>
  <c r="O52" i="926" s="1"/>
  <c r="P52" i="926" s="1"/>
  <c r="M139" i="926"/>
  <c r="O139" i="926" s="1"/>
  <c r="P139" i="926" s="1"/>
  <c r="M66" i="926"/>
  <c r="N66" i="926" s="1"/>
  <c r="M23" i="926"/>
  <c r="N23" i="926" s="1"/>
  <c r="M68" i="926"/>
  <c r="O68" i="926" s="1"/>
  <c r="P68" i="926" s="1"/>
  <c r="M35" i="926"/>
  <c r="O35" i="926" s="1"/>
  <c r="P35" i="926" s="1"/>
  <c r="M97" i="926"/>
  <c r="N97" i="926" s="1"/>
  <c r="M45" i="926"/>
  <c r="N45" i="926" s="1"/>
  <c r="M72" i="926"/>
  <c r="O72" i="926" s="1"/>
  <c r="P72" i="926" s="1"/>
  <c r="M65" i="926"/>
  <c r="O65" i="926" s="1"/>
  <c r="P65" i="926" s="1"/>
  <c r="M89" i="926"/>
  <c r="N89" i="926" s="1"/>
  <c r="M147" i="926"/>
  <c r="N147" i="926" s="1"/>
  <c r="M50" i="926"/>
  <c r="O50" i="926" s="1"/>
  <c r="P50" i="926" s="1"/>
  <c r="M91" i="926"/>
  <c r="O91" i="926" s="1"/>
  <c r="P91" i="926" s="1"/>
  <c r="M46" i="926"/>
  <c r="N46" i="926" s="1"/>
  <c r="M33" i="926"/>
  <c r="N33" i="926" s="1"/>
  <c r="M25" i="926"/>
  <c r="O25" i="926" s="1"/>
  <c r="P25" i="926" s="1"/>
  <c r="M47" i="926"/>
  <c r="O47" i="926" s="1"/>
  <c r="P47" i="926" s="1"/>
  <c r="M85" i="926"/>
  <c r="N85" i="926" s="1"/>
  <c r="M80" i="926"/>
  <c r="N80" i="926" s="1"/>
  <c r="M75" i="926"/>
  <c r="O75" i="926" s="1"/>
  <c r="P75" i="926" s="1"/>
  <c r="M28" i="926"/>
  <c r="O28" i="926" s="1"/>
  <c r="P28" i="926" s="1"/>
  <c r="M108" i="926"/>
  <c r="N108" i="926" s="1"/>
  <c r="M76" i="926"/>
  <c r="N76" i="926" s="1"/>
  <c r="M142" i="926"/>
  <c r="N142" i="926" s="1"/>
  <c r="M275" i="926"/>
  <c r="N275" i="926" s="1"/>
  <c r="M86" i="926"/>
  <c r="N86" i="926" s="1"/>
  <c r="M119" i="926"/>
  <c r="N119" i="926" s="1"/>
  <c r="M176" i="926"/>
  <c r="N176" i="926" s="1"/>
  <c r="M115" i="926"/>
  <c r="N115" i="926" s="1"/>
  <c r="M42" i="926"/>
  <c r="N42" i="926" s="1"/>
  <c r="M34" i="926"/>
  <c r="N34" i="926" s="1"/>
  <c r="M77" i="926"/>
  <c r="N77" i="926" s="1"/>
  <c r="M36" i="926"/>
  <c r="N36" i="926" s="1"/>
  <c r="M61" i="926"/>
  <c r="N61" i="926" s="1"/>
  <c r="M235" i="926"/>
  <c r="N235" i="926" s="1"/>
  <c r="M18" i="926"/>
  <c r="N18" i="926" s="1"/>
  <c r="M13" i="926"/>
  <c r="N13" i="926" s="1"/>
  <c r="M264" i="926"/>
  <c r="N264" i="926" s="1"/>
  <c r="M41" i="926"/>
  <c r="N41" i="926" s="1"/>
  <c r="M62" i="926"/>
  <c r="N62" i="926" s="1"/>
  <c r="M94" i="926"/>
  <c r="N94" i="926" s="1"/>
  <c r="M255" i="926"/>
  <c r="N255" i="926" s="1"/>
  <c r="M273" i="926"/>
  <c r="N273" i="926" s="1"/>
  <c r="M261" i="926"/>
  <c r="N261" i="926" s="1"/>
  <c r="M128" i="926"/>
  <c r="N128" i="926" s="1"/>
  <c r="M266" i="926"/>
  <c r="N266" i="926" s="1"/>
  <c r="M10" i="926"/>
  <c r="N10" i="926" s="1"/>
  <c r="M8" i="926"/>
  <c r="N8" i="926" s="1"/>
  <c r="M129" i="926"/>
  <c r="N129" i="926" s="1"/>
  <c r="M37" i="926"/>
  <c r="N37" i="926" s="1"/>
  <c r="M67" i="926"/>
  <c r="N67" i="926" s="1"/>
  <c r="M148" i="926"/>
  <c r="N148" i="926" s="1"/>
  <c r="M243" i="926"/>
  <c r="N243" i="926" s="1"/>
  <c r="M204" i="926"/>
  <c r="N204" i="926" s="1"/>
  <c r="M168" i="926"/>
  <c r="N168" i="926" s="1"/>
  <c r="M138" i="926"/>
  <c r="N138" i="926" s="1"/>
  <c r="M313" i="926"/>
  <c r="N313" i="926" s="1"/>
  <c r="M21" i="926"/>
  <c r="N21" i="926" s="1"/>
  <c r="M267" i="926"/>
  <c r="N267" i="926" s="1"/>
  <c r="M182" i="926"/>
  <c r="N182" i="926" s="1"/>
  <c r="M263" i="926"/>
  <c r="N263" i="926" s="1"/>
  <c r="M291" i="926"/>
  <c r="N291" i="926" s="1"/>
  <c r="M244" i="926"/>
  <c r="N244" i="926" s="1"/>
  <c r="M265" i="926"/>
  <c r="N265" i="926" s="1"/>
  <c r="M200" i="926"/>
  <c r="N200" i="926" s="1"/>
  <c r="M96" i="926"/>
  <c r="N96" i="926" s="1"/>
  <c r="M191" i="926"/>
  <c r="N191" i="926" s="1"/>
  <c r="M114" i="926"/>
  <c r="N114" i="926" s="1"/>
  <c r="M55" i="926"/>
  <c r="N55" i="926" s="1"/>
  <c r="M302" i="926"/>
  <c r="N302" i="926" s="1"/>
  <c r="M105" i="926"/>
  <c r="N105" i="926" s="1"/>
  <c r="M3" i="926"/>
  <c r="N3" i="926" s="1"/>
  <c r="M175" i="926"/>
  <c r="N175" i="926" s="1"/>
  <c r="M2" i="926"/>
  <c r="N2" i="926" s="1"/>
  <c r="M234" i="926"/>
  <c r="N234" i="926" s="1"/>
  <c r="M144" i="926"/>
  <c r="N144" i="926" s="1"/>
  <c r="M306" i="926"/>
  <c r="N306" i="926" s="1"/>
  <c r="M274" i="926"/>
  <c r="N274" i="926" s="1"/>
  <c r="M153" i="926"/>
  <c r="N153" i="926" s="1"/>
  <c r="M167" i="926"/>
  <c r="N167" i="926" s="1"/>
  <c r="M286" i="926"/>
  <c r="N286" i="926" s="1"/>
  <c r="M135" i="926"/>
  <c r="N135" i="926" s="1"/>
  <c r="M248" i="926"/>
  <c r="N248" i="926" s="1"/>
  <c r="M280" i="926"/>
  <c r="N280" i="926" s="1"/>
  <c r="M64" i="926"/>
  <c r="N64" i="926" s="1"/>
  <c r="M24" i="926"/>
  <c r="N24" i="926" s="1"/>
  <c r="M317" i="926"/>
  <c r="N317" i="926" s="1"/>
  <c r="M219" i="926"/>
  <c r="N219" i="926" s="1"/>
  <c r="M270" i="926"/>
  <c r="N270" i="926" s="1"/>
  <c r="M271" i="926"/>
  <c r="N271" i="926" s="1"/>
  <c r="M309" i="926"/>
  <c r="N309" i="926" s="1"/>
  <c r="M184" i="926"/>
  <c r="N184" i="926" s="1"/>
  <c r="M253" i="926"/>
  <c r="N253" i="926" s="1"/>
  <c r="M203" i="926"/>
  <c r="N203" i="926" s="1"/>
  <c r="M150" i="926"/>
  <c r="N150" i="926" s="1"/>
  <c r="M216" i="926"/>
  <c r="M279" i="926"/>
  <c r="O279" i="926" s="1"/>
  <c r="P279" i="926" s="1"/>
  <c r="M278" i="926"/>
  <c r="M209" i="926"/>
  <c r="M163" i="926"/>
  <c r="M290" i="926"/>
  <c r="O290" i="926" s="1"/>
  <c r="P290" i="926" s="1"/>
  <c r="M205" i="926"/>
  <c r="N205" i="926" s="1"/>
  <c r="M272" i="926"/>
  <c r="M149" i="926"/>
  <c r="M256" i="926"/>
  <c r="O256" i="926" s="1"/>
  <c r="P256" i="926" s="1"/>
  <c r="M177" i="926"/>
  <c r="N177" i="926" s="1"/>
  <c r="M133" i="926"/>
  <c r="M249" i="926"/>
  <c r="M268" i="926"/>
  <c r="O268" i="926" s="1"/>
  <c r="P268" i="926" s="1"/>
  <c r="M181" i="926"/>
  <c r="N181" i="926" s="1"/>
  <c r="M233" i="926"/>
  <c r="M186" i="926"/>
  <c r="M232" i="926"/>
  <c r="O232" i="926" s="1"/>
  <c r="P232" i="926" s="1"/>
  <c r="M242" i="926"/>
  <c r="N242" i="926" s="1"/>
  <c r="M19" i="926"/>
  <c r="M211" i="926"/>
  <c r="M124" i="926"/>
  <c r="O124" i="926" s="1"/>
  <c r="P124" i="926" s="1"/>
  <c r="M101" i="926"/>
  <c r="N101" i="926" s="1"/>
  <c r="M81" i="926"/>
  <c r="M26" i="926"/>
  <c r="M137" i="926"/>
  <c r="O137" i="926" s="1"/>
  <c r="P137" i="926" s="1"/>
  <c r="M132" i="926"/>
  <c r="N132" i="926" s="1"/>
  <c r="M6" i="926"/>
  <c r="M250" i="926"/>
  <c r="M171" i="926"/>
  <c r="O171" i="926" s="1"/>
  <c r="P171" i="926" s="1"/>
  <c r="M70" i="926"/>
  <c r="N70" i="926" s="1"/>
  <c r="M131" i="926"/>
  <c r="N131" i="926" s="1"/>
  <c r="M170" i="926"/>
  <c r="M174" i="926"/>
  <c r="O174" i="926" s="1"/>
  <c r="P174" i="926" s="1"/>
  <c r="M247" i="926"/>
  <c r="N247" i="926" s="1"/>
  <c r="M222" i="926"/>
  <c r="N222" i="926" s="1"/>
  <c r="M118" i="926"/>
  <c r="M130" i="926"/>
  <c r="O130" i="926" s="1"/>
  <c r="P130" i="926" s="1"/>
  <c r="M303" i="926"/>
  <c r="N303" i="926" s="1"/>
  <c r="M218" i="926"/>
  <c r="N218" i="926" s="1"/>
  <c r="M259" i="926"/>
  <c r="M202" i="926"/>
  <c r="O202" i="926" s="1"/>
  <c r="P202" i="926" s="1"/>
  <c r="M31" i="926"/>
  <c r="M145" i="926"/>
  <c r="O145" i="926" s="1"/>
  <c r="P145" i="926" s="1"/>
  <c r="M220" i="926"/>
  <c r="M157" i="926"/>
  <c r="O157" i="926" s="1"/>
  <c r="P157" i="926" s="1"/>
  <c r="M231" i="926"/>
  <c r="M172" i="926"/>
  <c r="O172" i="926" s="1"/>
  <c r="P172" i="926" s="1"/>
  <c r="M178" i="926"/>
  <c r="M11" i="926"/>
  <c r="O11" i="926" s="1"/>
  <c r="P11" i="926" s="1"/>
  <c r="M159" i="926"/>
  <c r="M230" i="926"/>
  <c r="O230" i="926" s="1"/>
  <c r="P230" i="926" s="1"/>
  <c r="M151" i="926"/>
  <c r="M226" i="926"/>
  <c r="O226" i="926" s="1"/>
  <c r="P226" i="926" s="1"/>
  <c r="M227" i="926"/>
  <c r="M51" i="926"/>
  <c r="O51" i="926" s="1"/>
  <c r="P51" i="926" s="1"/>
  <c r="M192" i="926"/>
  <c r="M229" i="926"/>
  <c r="O229" i="926" s="1"/>
  <c r="P229" i="926" s="1"/>
  <c r="M58" i="926"/>
  <c r="M300" i="926"/>
  <c r="O300" i="926" s="1"/>
  <c r="P300" i="926" s="1"/>
  <c r="M143" i="926"/>
  <c r="M189" i="926"/>
  <c r="O189" i="926" s="1"/>
  <c r="P189" i="926" s="1"/>
  <c r="M239" i="926"/>
  <c r="M240" i="926"/>
  <c r="O240" i="926" s="1"/>
  <c r="P240" i="926" s="1"/>
  <c r="M277" i="926"/>
  <c r="M158" i="926"/>
  <c r="O158" i="926" s="1"/>
  <c r="P158" i="926" s="1"/>
  <c r="M44" i="926"/>
  <c r="M169" i="926"/>
  <c r="O169" i="926" s="1"/>
  <c r="P169" i="926" s="1"/>
  <c r="M305" i="926"/>
  <c r="M126" i="926"/>
  <c r="O126" i="926" s="1"/>
  <c r="P126" i="926" s="1"/>
  <c r="M316" i="926"/>
  <c r="O316" i="926" s="1"/>
  <c r="P316" i="926" s="1"/>
  <c r="M109" i="926"/>
  <c r="O109" i="926" s="1"/>
  <c r="P109" i="926" s="1"/>
  <c r="M285" i="926"/>
  <c r="O285" i="926" s="1"/>
  <c r="P285" i="926" s="1"/>
  <c r="M9" i="926"/>
  <c r="O9" i="926" s="1"/>
  <c r="P9" i="926" s="1"/>
  <c r="M123" i="926"/>
  <c r="O123" i="926" s="1"/>
  <c r="P123" i="926" s="1"/>
  <c r="M323" i="926"/>
  <c r="O323" i="926" s="1"/>
  <c r="P323" i="926" s="1"/>
  <c r="M116" i="926"/>
  <c r="O116" i="926" s="1"/>
  <c r="P116" i="926" s="1"/>
  <c r="M155" i="926"/>
  <c r="O155" i="926" s="1"/>
  <c r="P155" i="926" s="1"/>
  <c r="M98" i="926"/>
  <c r="O98" i="926" s="1"/>
  <c r="P98" i="926" s="1"/>
  <c r="M221" i="926"/>
  <c r="O221" i="926" s="1"/>
  <c r="P221" i="926" s="1"/>
  <c r="M56" i="926"/>
  <c r="O56" i="926" s="1"/>
  <c r="P56" i="926" s="1"/>
  <c r="M206" i="926"/>
  <c r="O206" i="926" s="1"/>
  <c r="P206" i="926" s="1"/>
  <c r="M241" i="926"/>
  <c r="O241" i="926" s="1"/>
  <c r="P241" i="926" s="1"/>
  <c r="M90" i="926"/>
  <c r="O90" i="926" s="1"/>
  <c r="P90" i="926" s="1"/>
  <c r="M84" i="926"/>
  <c r="O84" i="926" s="1"/>
  <c r="P84" i="926" s="1"/>
  <c r="M198" i="926"/>
  <c r="O198" i="926" s="1"/>
  <c r="P198" i="926" s="1"/>
  <c r="M254" i="926"/>
  <c r="O254" i="926" s="1"/>
  <c r="P254" i="926" s="1"/>
  <c r="M127" i="926"/>
  <c r="O127" i="926" s="1"/>
  <c r="P127" i="926" s="1"/>
  <c r="M164" i="926"/>
  <c r="O164" i="926" s="1"/>
  <c r="P164" i="926" s="1"/>
  <c r="M17" i="926"/>
  <c r="O17" i="926" s="1"/>
  <c r="P17" i="926" s="1"/>
  <c r="M301" i="926"/>
  <c r="O301" i="926" s="1"/>
  <c r="P301" i="926" s="1"/>
  <c r="M180" i="926"/>
  <c r="O180" i="926" s="1"/>
  <c r="P180" i="926" s="1"/>
  <c r="M245" i="926"/>
  <c r="O245" i="926" s="1"/>
  <c r="P245" i="926" s="1"/>
  <c r="M69" i="926"/>
  <c r="O69" i="926" s="1"/>
  <c r="P69" i="926" s="1"/>
  <c r="M20" i="926"/>
  <c r="O20" i="926" s="1"/>
  <c r="P20" i="926" s="1"/>
  <c r="M308" i="926"/>
  <c r="O308" i="926" s="1"/>
  <c r="P308" i="926" s="1"/>
  <c r="M53" i="926"/>
  <c r="O53" i="926" s="1"/>
  <c r="P53" i="926" s="1"/>
  <c r="M134" i="926"/>
  <c r="O134" i="926" s="1"/>
  <c r="P134" i="926" s="1"/>
  <c r="M223" i="926"/>
  <c r="O223" i="926" s="1"/>
  <c r="P223" i="926" s="1"/>
  <c r="M208" i="926"/>
  <c r="O208" i="926" s="1"/>
  <c r="P208" i="926" s="1"/>
  <c r="M71" i="926"/>
  <c r="O71" i="926" s="1"/>
  <c r="P71" i="926" s="1"/>
  <c r="M117" i="926"/>
  <c r="O117" i="926" s="1"/>
  <c r="P117" i="926" s="1"/>
  <c r="M5" i="926"/>
  <c r="O5" i="926" s="1"/>
  <c r="P5" i="926" s="1"/>
  <c r="M4" i="926"/>
  <c r="O4" i="926" s="1"/>
  <c r="P4" i="926" s="1"/>
  <c r="M287" i="926"/>
  <c r="O287" i="926" s="1"/>
  <c r="P287" i="926" s="1"/>
  <c r="M319" i="926"/>
  <c r="O319" i="926" s="1"/>
  <c r="P319" i="926" s="1"/>
  <c r="M162" i="926"/>
  <c r="O162" i="926" s="1"/>
  <c r="P162" i="926" s="1"/>
  <c r="M310" i="926"/>
  <c r="O310" i="926" s="1"/>
  <c r="P310" i="926" s="1"/>
  <c r="M322" i="926"/>
  <c r="O322" i="926" s="1"/>
  <c r="P322" i="926" s="1"/>
  <c r="M194" i="926"/>
  <c r="O194" i="926" s="1"/>
  <c r="P194" i="926" s="1"/>
  <c r="M314" i="926"/>
  <c r="O314" i="926" s="1"/>
  <c r="P314" i="926" s="1"/>
  <c r="M146" i="926"/>
  <c r="O146" i="926" s="1"/>
  <c r="P146" i="926" s="1"/>
  <c r="M257" i="926"/>
  <c r="O257" i="926" s="1"/>
  <c r="P257" i="926" s="1"/>
  <c r="M201" i="926"/>
  <c r="O201" i="926" s="1"/>
  <c r="P201" i="926" s="1"/>
  <c r="M214" i="926"/>
  <c r="O214" i="926" s="1"/>
  <c r="P214" i="926" s="1"/>
  <c r="M88" i="926"/>
  <c r="O88" i="926" s="1"/>
  <c r="P88" i="926" s="1"/>
  <c r="M215" i="926"/>
  <c r="O215" i="926" s="1"/>
  <c r="P215" i="926" s="1"/>
  <c r="M122" i="926"/>
  <c r="O122" i="926" s="1"/>
  <c r="P122" i="926" s="1"/>
  <c r="M16" i="926"/>
  <c r="O16" i="926" s="1"/>
  <c r="P16" i="926" s="1"/>
  <c r="M269" i="926"/>
  <c r="O269" i="926" s="1"/>
  <c r="P269" i="926" s="1"/>
  <c r="M276" i="926"/>
  <c r="O276" i="926" s="1"/>
  <c r="P276" i="926" s="1"/>
  <c r="M321" i="926"/>
  <c r="O321" i="926" s="1"/>
  <c r="P321" i="926" s="1"/>
  <c r="O193" i="926" l="1"/>
  <c r="P193" i="926" s="1"/>
  <c r="O33" i="926"/>
  <c r="P33" i="926" s="1"/>
  <c r="N206" i="926"/>
  <c r="N323" i="926"/>
  <c r="N221" i="926"/>
  <c r="N9" i="926"/>
  <c r="N51" i="926"/>
  <c r="O177" i="926"/>
  <c r="P177" i="926" s="1"/>
  <c r="N50" i="926"/>
  <c r="O166" i="926"/>
  <c r="P166" i="926" s="1"/>
  <c r="N59" i="926"/>
  <c r="N240" i="926"/>
  <c r="N157" i="926"/>
  <c r="O132" i="926"/>
  <c r="P132" i="926" s="1"/>
  <c r="N79" i="926"/>
  <c r="N109" i="926"/>
  <c r="N189" i="926"/>
  <c r="N172" i="926"/>
  <c r="O247" i="926"/>
  <c r="P247" i="926" s="1"/>
  <c r="O131" i="926"/>
  <c r="P131" i="926" s="1"/>
  <c r="O80" i="926"/>
  <c r="P80" i="926" s="1"/>
  <c r="N25" i="926"/>
  <c r="O23" i="926"/>
  <c r="P23" i="926" s="1"/>
  <c r="N52" i="926"/>
  <c r="O218" i="926"/>
  <c r="P218" i="926" s="1"/>
  <c r="N75" i="926"/>
  <c r="O45" i="926"/>
  <c r="P45" i="926" s="1"/>
  <c r="N68" i="926"/>
  <c r="N276" i="926"/>
  <c r="N155" i="926"/>
  <c r="N126" i="926"/>
  <c r="N226" i="926"/>
  <c r="O205" i="926"/>
  <c r="P205" i="926" s="1"/>
  <c r="O147" i="926"/>
  <c r="P147" i="926" s="1"/>
  <c r="N72" i="926"/>
  <c r="N27" i="926"/>
  <c r="N269" i="926"/>
  <c r="O101" i="926"/>
  <c r="P101" i="926" s="1"/>
  <c r="N122" i="926"/>
  <c r="N88" i="926"/>
  <c r="N201" i="926"/>
  <c r="N146" i="926"/>
  <c r="N194" i="926"/>
  <c r="N310" i="926"/>
  <c r="N319" i="926"/>
  <c r="N4" i="926"/>
  <c r="N117" i="926"/>
  <c r="N208" i="926"/>
  <c r="N134" i="926"/>
  <c r="N308" i="926"/>
  <c r="N69" i="926"/>
  <c r="N180" i="926"/>
  <c r="N17" i="926"/>
  <c r="N127" i="926"/>
  <c r="N198" i="926"/>
  <c r="N90" i="926"/>
  <c r="O44" i="926"/>
  <c r="P44" i="926" s="1"/>
  <c r="N44" i="926"/>
  <c r="O58" i="926"/>
  <c r="P58" i="926" s="1"/>
  <c r="N58" i="926"/>
  <c r="O159" i="926"/>
  <c r="P159" i="926" s="1"/>
  <c r="N159" i="926"/>
  <c r="O31" i="926"/>
  <c r="P31" i="926" s="1"/>
  <c r="N31" i="926"/>
  <c r="N19" i="926"/>
  <c r="O19" i="926"/>
  <c r="P19" i="926" s="1"/>
  <c r="O186" i="926"/>
  <c r="P186" i="926" s="1"/>
  <c r="N186" i="926"/>
  <c r="N209" i="926"/>
  <c r="O209" i="926"/>
  <c r="P209" i="926" s="1"/>
  <c r="O305" i="926"/>
  <c r="P305" i="926" s="1"/>
  <c r="N305" i="926"/>
  <c r="O143" i="926"/>
  <c r="P143" i="926" s="1"/>
  <c r="N143" i="926"/>
  <c r="O151" i="926"/>
  <c r="P151" i="926" s="1"/>
  <c r="N151" i="926"/>
  <c r="O220" i="926"/>
  <c r="P220" i="926" s="1"/>
  <c r="N220" i="926"/>
  <c r="O118" i="926"/>
  <c r="P118" i="926" s="1"/>
  <c r="N118" i="926"/>
  <c r="O250" i="926"/>
  <c r="P250" i="926" s="1"/>
  <c r="N250" i="926"/>
  <c r="N233" i="926"/>
  <c r="O233" i="926"/>
  <c r="P233" i="926" s="1"/>
  <c r="O249" i="926"/>
  <c r="P249" i="926" s="1"/>
  <c r="N249" i="926"/>
  <c r="O278" i="926"/>
  <c r="P278" i="926" s="1"/>
  <c r="N278" i="926"/>
  <c r="N16" i="926"/>
  <c r="N215" i="926"/>
  <c r="N214" i="926"/>
  <c r="N257" i="926"/>
  <c r="N314" i="926"/>
  <c r="N322" i="926"/>
  <c r="N162" i="926"/>
  <c r="N287" i="926"/>
  <c r="N5" i="926"/>
  <c r="N71" i="926"/>
  <c r="N223" i="926"/>
  <c r="N53" i="926"/>
  <c r="N20" i="926"/>
  <c r="N245" i="926"/>
  <c r="N301" i="926"/>
  <c r="N164" i="926"/>
  <c r="N254" i="926"/>
  <c r="N84" i="926"/>
  <c r="N241" i="926"/>
  <c r="N56" i="926"/>
  <c r="N98" i="926"/>
  <c r="N116" i="926"/>
  <c r="N123" i="926"/>
  <c r="N285" i="926"/>
  <c r="N316" i="926"/>
  <c r="N158" i="926"/>
  <c r="O239" i="926"/>
  <c r="P239" i="926" s="1"/>
  <c r="N239" i="926"/>
  <c r="N229" i="926"/>
  <c r="O227" i="926"/>
  <c r="P227" i="926" s="1"/>
  <c r="N227" i="926"/>
  <c r="N11" i="926"/>
  <c r="O231" i="926"/>
  <c r="P231" i="926" s="1"/>
  <c r="N231" i="926"/>
  <c r="N202" i="926"/>
  <c r="N6" i="926"/>
  <c r="O6" i="926"/>
  <c r="P6" i="926" s="1"/>
  <c r="O26" i="926"/>
  <c r="P26" i="926" s="1"/>
  <c r="N26" i="926"/>
  <c r="O242" i="926"/>
  <c r="P242" i="926" s="1"/>
  <c r="N133" i="926"/>
  <c r="O133" i="926"/>
  <c r="P133" i="926" s="1"/>
  <c r="O149" i="926"/>
  <c r="P149" i="926" s="1"/>
  <c r="N149" i="926"/>
  <c r="N169" i="926"/>
  <c r="O277" i="926"/>
  <c r="P277" i="926" s="1"/>
  <c r="N277" i="926"/>
  <c r="N300" i="926"/>
  <c r="O192" i="926"/>
  <c r="P192" i="926" s="1"/>
  <c r="N192" i="926"/>
  <c r="N230" i="926"/>
  <c r="O178" i="926"/>
  <c r="P178" i="926" s="1"/>
  <c r="N178" i="926"/>
  <c r="N145" i="926"/>
  <c r="O259" i="926"/>
  <c r="P259" i="926" s="1"/>
  <c r="N259" i="926"/>
  <c r="O303" i="926"/>
  <c r="P303" i="926" s="1"/>
  <c r="O222" i="926"/>
  <c r="P222" i="926" s="1"/>
  <c r="O170" i="926"/>
  <c r="P170" i="926" s="1"/>
  <c r="N170" i="926"/>
  <c r="O70" i="926"/>
  <c r="P70" i="926" s="1"/>
  <c r="N81" i="926"/>
  <c r="O81" i="926"/>
  <c r="P81" i="926" s="1"/>
  <c r="O211" i="926"/>
  <c r="P211" i="926" s="1"/>
  <c r="N211" i="926"/>
  <c r="O181" i="926"/>
  <c r="P181" i="926" s="1"/>
  <c r="N272" i="926"/>
  <c r="O272" i="926"/>
  <c r="P272" i="926" s="1"/>
  <c r="O163" i="926"/>
  <c r="P163" i="926" s="1"/>
  <c r="N163" i="926"/>
  <c r="N216" i="926"/>
  <c r="O216" i="926"/>
  <c r="P216" i="926" s="1"/>
  <c r="O203" i="926"/>
  <c r="P203" i="926" s="1"/>
  <c r="O184" i="926"/>
  <c r="P184" i="926" s="1"/>
  <c r="O271" i="926"/>
  <c r="P271" i="926" s="1"/>
  <c r="O219" i="926"/>
  <c r="P219" i="926" s="1"/>
  <c r="O24" i="926"/>
  <c r="P24" i="926" s="1"/>
  <c r="O280" i="926"/>
  <c r="P280" i="926" s="1"/>
  <c r="O135" i="926"/>
  <c r="P135" i="926" s="1"/>
  <c r="O167" i="926"/>
  <c r="P167" i="926" s="1"/>
  <c r="O274" i="926"/>
  <c r="P274" i="926" s="1"/>
  <c r="O144" i="926"/>
  <c r="P144" i="926" s="1"/>
  <c r="O2" i="926"/>
  <c r="P2" i="926" s="1"/>
  <c r="O3" i="926"/>
  <c r="P3" i="926" s="1"/>
  <c r="O302" i="926"/>
  <c r="P302" i="926" s="1"/>
  <c r="O114" i="926"/>
  <c r="P114" i="926" s="1"/>
  <c r="O96" i="926"/>
  <c r="P96" i="926" s="1"/>
  <c r="O265" i="926"/>
  <c r="P265" i="926" s="1"/>
  <c r="O291" i="926"/>
  <c r="P291" i="926" s="1"/>
  <c r="O182" i="926"/>
  <c r="P182" i="926" s="1"/>
  <c r="O21" i="926"/>
  <c r="P21" i="926" s="1"/>
  <c r="O138" i="926"/>
  <c r="P138" i="926" s="1"/>
  <c r="O204" i="926"/>
  <c r="P204" i="926" s="1"/>
  <c r="O148" i="926"/>
  <c r="P148" i="926" s="1"/>
  <c r="O37" i="926"/>
  <c r="P37" i="926" s="1"/>
  <c r="O8" i="926"/>
  <c r="P8" i="926" s="1"/>
  <c r="O266" i="926"/>
  <c r="P266" i="926" s="1"/>
  <c r="O261" i="926"/>
  <c r="P261" i="926" s="1"/>
  <c r="O255" i="926"/>
  <c r="P255" i="926" s="1"/>
  <c r="O62" i="926"/>
  <c r="P62" i="926" s="1"/>
  <c r="O264" i="926"/>
  <c r="P264" i="926" s="1"/>
  <c r="O18" i="926"/>
  <c r="P18" i="926" s="1"/>
  <c r="O61" i="926"/>
  <c r="P61" i="926" s="1"/>
  <c r="O77" i="926"/>
  <c r="P77" i="926" s="1"/>
  <c r="O42" i="926"/>
  <c r="P42" i="926" s="1"/>
  <c r="O176" i="926"/>
  <c r="P176" i="926" s="1"/>
  <c r="O86" i="926"/>
  <c r="P86" i="926" s="1"/>
  <c r="O142" i="926"/>
  <c r="P142" i="926" s="1"/>
  <c r="O108" i="926"/>
  <c r="P108" i="926" s="1"/>
  <c r="O85" i="926"/>
  <c r="P85" i="926" s="1"/>
  <c r="O46" i="926"/>
  <c r="P46" i="926" s="1"/>
  <c r="O89" i="926"/>
  <c r="P89" i="926" s="1"/>
  <c r="O97" i="926"/>
  <c r="P97" i="926" s="1"/>
  <c r="O66" i="926"/>
  <c r="P66" i="926" s="1"/>
  <c r="O54" i="926"/>
  <c r="P54" i="926" s="1"/>
  <c r="O92" i="926"/>
  <c r="P92" i="926" s="1"/>
  <c r="O150" i="926"/>
  <c r="P150" i="926" s="1"/>
  <c r="O253" i="926"/>
  <c r="P253" i="926" s="1"/>
  <c r="O309" i="926"/>
  <c r="P309" i="926" s="1"/>
  <c r="O270" i="926"/>
  <c r="P270" i="926" s="1"/>
  <c r="O317" i="926"/>
  <c r="P317" i="926" s="1"/>
  <c r="O64" i="926"/>
  <c r="P64" i="926" s="1"/>
  <c r="O248" i="926"/>
  <c r="P248" i="926" s="1"/>
  <c r="O286" i="926"/>
  <c r="P286" i="926" s="1"/>
  <c r="O153" i="926"/>
  <c r="P153" i="926" s="1"/>
  <c r="O306" i="926"/>
  <c r="P306" i="926" s="1"/>
  <c r="O234" i="926"/>
  <c r="P234" i="926" s="1"/>
  <c r="O175" i="926"/>
  <c r="P175" i="926" s="1"/>
  <c r="O105" i="926"/>
  <c r="P105" i="926" s="1"/>
  <c r="O55" i="926"/>
  <c r="P55" i="926" s="1"/>
  <c r="O191" i="926"/>
  <c r="P191" i="926" s="1"/>
  <c r="O200" i="926"/>
  <c r="P200" i="926" s="1"/>
  <c r="O244" i="926"/>
  <c r="P244" i="926" s="1"/>
  <c r="O263" i="926"/>
  <c r="P263" i="926" s="1"/>
  <c r="O267" i="926"/>
  <c r="P267" i="926" s="1"/>
  <c r="O313" i="926"/>
  <c r="P313" i="926" s="1"/>
  <c r="O168" i="926"/>
  <c r="P168" i="926" s="1"/>
  <c r="O243" i="926"/>
  <c r="P243" i="926" s="1"/>
  <c r="O67" i="926"/>
  <c r="P67" i="926" s="1"/>
  <c r="O129" i="926"/>
  <c r="P129" i="926" s="1"/>
  <c r="O10" i="926"/>
  <c r="P10" i="926" s="1"/>
  <c r="O128" i="926"/>
  <c r="P128" i="926" s="1"/>
  <c r="O273" i="926"/>
  <c r="P273" i="926" s="1"/>
  <c r="O94" i="926"/>
  <c r="P94" i="926" s="1"/>
  <c r="O41" i="926"/>
  <c r="P41" i="926" s="1"/>
  <c r="O13" i="926"/>
  <c r="P13" i="926" s="1"/>
  <c r="O235" i="926"/>
  <c r="P235" i="926" s="1"/>
  <c r="O36" i="926"/>
  <c r="P36" i="926" s="1"/>
  <c r="O34" i="926"/>
  <c r="P34" i="926" s="1"/>
  <c r="O115" i="926"/>
  <c r="P115" i="926" s="1"/>
  <c r="O119" i="926"/>
  <c r="P119" i="926" s="1"/>
  <c r="O275" i="926"/>
  <c r="P275" i="926" s="1"/>
  <c r="O76" i="926"/>
  <c r="P76" i="926" s="1"/>
  <c r="N28" i="926"/>
  <c r="N47" i="926"/>
  <c r="N91" i="926"/>
  <c r="N65" i="926"/>
  <c r="N35" i="926"/>
  <c r="N139" i="926"/>
  <c r="N43" i="926"/>
  <c r="N57" i="926"/>
  <c r="O121" i="926"/>
  <c r="P121" i="926" s="1"/>
  <c r="N121" i="926"/>
  <c r="O40" i="926"/>
  <c r="P40" i="926" s="1"/>
  <c r="N40" i="926"/>
  <c r="O307" i="926"/>
  <c r="P307" i="926" s="1"/>
  <c r="N307" i="926"/>
  <c r="O210" i="926"/>
  <c r="P210" i="926" s="1"/>
  <c r="N210" i="926"/>
  <c r="O74" i="926"/>
  <c r="P74" i="926" s="1"/>
  <c r="N74" i="926"/>
  <c r="O15" i="926"/>
  <c r="P15" i="926" s="1"/>
  <c r="N15" i="926"/>
  <c r="O284" i="926"/>
  <c r="P284" i="926" s="1"/>
  <c r="N284" i="926"/>
  <c r="N130" i="926"/>
  <c r="N174" i="926"/>
  <c r="N171" i="926"/>
  <c r="N137" i="926"/>
  <c r="N124" i="926"/>
  <c r="N232" i="926"/>
  <c r="N268" i="926"/>
  <c r="N256" i="926"/>
  <c r="N290" i="926"/>
  <c r="N279" i="926"/>
  <c r="O311" i="926"/>
  <c r="P311" i="926" s="1"/>
  <c r="N311" i="926"/>
  <c r="O60" i="926"/>
  <c r="P60" i="926" s="1"/>
  <c r="N60" i="926"/>
  <c r="O196" i="926"/>
  <c r="P196" i="926" s="1"/>
  <c r="N196" i="926"/>
  <c r="O251" i="926"/>
  <c r="P251" i="926" s="1"/>
  <c r="N251" i="926"/>
  <c r="O237" i="926"/>
  <c r="P237" i="926" s="1"/>
  <c r="N237" i="926"/>
  <c r="O304" i="926"/>
  <c r="P304" i="926" s="1"/>
  <c r="N304" i="926"/>
  <c r="O95" i="926"/>
  <c r="P95" i="926" s="1"/>
  <c r="N95" i="926"/>
  <c r="O39" i="926"/>
  <c r="P39" i="926" s="1"/>
  <c r="N39" i="926"/>
  <c r="O78" i="926"/>
  <c r="P78" i="926" s="1"/>
  <c r="N78" i="926"/>
  <c r="O161" i="926"/>
  <c r="P161" i="926" s="1"/>
  <c r="N161" i="926"/>
  <c r="O262" i="926"/>
  <c r="P262" i="926" s="1"/>
  <c r="N262" i="926"/>
  <c r="O173" i="926"/>
  <c r="P173" i="926" s="1"/>
  <c r="N173" i="926"/>
  <c r="O236" i="926"/>
  <c r="P236" i="926" s="1"/>
  <c r="N236" i="926"/>
  <c r="O111" i="926"/>
  <c r="P111" i="926" s="1"/>
  <c r="N111" i="926"/>
  <c r="O73" i="926"/>
  <c r="P73" i="926" s="1"/>
  <c r="N73" i="926"/>
  <c r="O12" i="926"/>
  <c r="P12" i="926" s="1"/>
  <c r="N12" i="926"/>
  <c r="O7" i="926"/>
  <c r="P7" i="926" s="1"/>
  <c r="N7" i="926"/>
  <c r="O183" i="926"/>
  <c r="P183" i="926" s="1"/>
  <c r="N183" i="926"/>
  <c r="O110" i="926"/>
  <c r="P110" i="926" s="1"/>
  <c r="N110" i="926"/>
  <c r="O320" i="926"/>
  <c r="P320" i="926" s="1"/>
  <c r="N320" i="926"/>
  <c r="O14" i="926"/>
  <c r="P14" i="926" s="1"/>
  <c r="N14" i="926"/>
  <c r="O260" i="926"/>
  <c r="P260" i="926" s="1"/>
  <c r="N260" i="926"/>
  <c r="O179" i="926"/>
  <c r="P179" i="926" s="1"/>
  <c r="N179" i="926"/>
  <c r="O104" i="926"/>
  <c r="P104" i="926" s="1"/>
  <c r="N104" i="926"/>
  <c r="O83" i="926"/>
  <c r="P83" i="926" s="1"/>
  <c r="N83" i="926"/>
  <c r="O32" i="926"/>
  <c r="P32" i="926" s="1"/>
  <c r="N32" i="926"/>
  <c r="O125" i="926"/>
  <c r="P125" i="926" s="1"/>
  <c r="N125" i="926"/>
  <c r="O283" i="926"/>
  <c r="P283" i="926" s="1"/>
  <c r="N283" i="926"/>
  <c r="O212" i="926"/>
  <c r="P212" i="926" s="1"/>
  <c r="N212" i="926"/>
  <c r="O160" i="926"/>
  <c r="P160" i="926" s="1"/>
  <c r="N160" i="926"/>
  <c r="O252" i="926"/>
  <c r="P252" i="926" s="1"/>
  <c r="N252" i="926"/>
  <c r="O102" i="926"/>
  <c r="P102" i="926" s="1"/>
  <c r="N102" i="926"/>
  <c r="O82" i="926"/>
  <c r="P82" i="926" s="1"/>
  <c r="N82" i="926"/>
  <c r="O195" i="926"/>
  <c r="P195" i="926" s="1"/>
  <c r="N195" i="926"/>
  <c r="O63" i="926"/>
  <c r="P63" i="926" s="1"/>
  <c r="N63" i="926"/>
  <c r="O48" i="926"/>
  <c r="P48" i="926" s="1"/>
  <c r="N48" i="926"/>
  <c r="O113" i="926"/>
  <c r="P113" i="926" s="1"/>
  <c r="N113" i="926"/>
  <c r="O100" i="926"/>
  <c r="P100" i="926" s="1"/>
  <c r="N100" i="926"/>
  <c r="O38" i="926"/>
  <c r="P38" i="926" s="1"/>
  <c r="N38" i="926"/>
  <c r="O197" i="926"/>
  <c r="P197" i="926" s="1"/>
  <c r="N197" i="926"/>
  <c r="O99" i="926"/>
  <c r="P99" i="926" s="1"/>
  <c r="N99" i="926"/>
  <c r="O224" i="926"/>
  <c r="P224" i="926" s="1"/>
  <c r="N224" i="926"/>
  <c r="O29" i="926"/>
  <c r="P29" i="926" s="1"/>
  <c r="N29" i="926"/>
  <c r="O288" i="926"/>
  <c r="P288" i="926" s="1"/>
  <c r="N288" i="926"/>
  <c r="O312" i="926"/>
  <c r="P312" i="926" s="1"/>
  <c r="N312" i="926"/>
  <c r="O136" i="926"/>
  <c r="P136" i="926" s="1"/>
  <c r="N136" i="926"/>
  <c r="O289" i="926"/>
  <c r="P289" i="926" s="1"/>
  <c r="N289" i="926"/>
  <c r="O282" i="926"/>
  <c r="P282" i="926" s="1"/>
  <c r="N282" i="926"/>
  <c r="O165" i="926"/>
  <c r="P165" i="926" s="1"/>
  <c r="N165" i="926"/>
  <c r="O103" i="926"/>
  <c r="P103" i="926" s="1"/>
  <c r="N103" i="926"/>
  <c r="O207" i="926"/>
  <c r="P207" i="926" s="1"/>
  <c r="N207" i="926"/>
  <c r="O141" i="926"/>
  <c r="P141" i="926" s="1"/>
  <c r="N141" i="926"/>
  <c r="O30" i="926"/>
  <c r="P30" i="926" s="1"/>
  <c r="N30" i="926"/>
  <c r="O140" i="926"/>
  <c r="P140" i="926" s="1"/>
  <c r="N140" i="926"/>
  <c r="O49" i="926"/>
  <c r="P49" i="926" s="1"/>
  <c r="N49" i="926"/>
  <c r="O187" i="926"/>
  <c r="P187" i="926" s="1"/>
  <c r="N187" i="926"/>
  <c r="O228" i="926"/>
  <c r="P228" i="926" s="1"/>
  <c r="N228" i="926"/>
  <c r="O217" i="926"/>
  <c r="P217" i="926" s="1"/>
  <c r="N217" i="926"/>
  <c r="O213" i="926"/>
  <c r="P213" i="926" s="1"/>
  <c r="N213" i="926"/>
  <c r="O152" i="926"/>
  <c r="P152" i="926" s="1"/>
  <c r="N152" i="926"/>
  <c r="O246" i="926"/>
  <c r="P246" i="926" s="1"/>
  <c r="N246" i="926"/>
  <c r="O87" i="926"/>
  <c r="P87" i="926" s="1"/>
  <c r="N87" i="926"/>
  <c r="O188" i="926"/>
  <c r="P188" i="926" s="1"/>
  <c r="N188" i="926"/>
  <c r="O156" i="926"/>
  <c r="P156" i="926" s="1"/>
  <c r="N156" i="926"/>
  <c r="O154" i="926"/>
  <c r="P154" i="926" s="1"/>
  <c r="N154" i="926"/>
  <c r="O281" i="926"/>
  <c r="P281" i="926" s="1"/>
  <c r="N281" i="926"/>
  <c r="O258" i="926"/>
  <c r="P258" i="926" s="1"/>
  <c r="N258" i="926"/>
  <c r="O22" i="926"/>
  <c r="P22" i="926" s="1"/>
  <c r="N22" i="926"/>
  <c r="O185" i="926"/>
  <c r="P185" i="926" s="1"/>
  <c r="N185" i="926"/>
  <c r="O112" i="926"/>
  <c r="P112" i="926" s="1"/>
  <c r="N112" i="926"/>
  <c r="O120" i="926"/>
  <c r="P120" i="926" s="1"/>
  <c r="N120" i="926"/>
  <c r="O324" i="926"/>
  <c r="P324" i="926" s="1"/>
  <c r="N324" i="926"/>
  <c r="O106" i="926"/>
  <c r="P106" i="926" s="1"/>
  <c r="N106" i="926"/>
  <c r="O93" i="926"/>
  <c r="P93" i="926" s="1"/>
  <c r="N93" i="926"/>
  <c r="O225" i="926"/>
  <c r="P225" i="926" s="1"/>
  <c r="N225" i="926"/>
  <c r="O315" i="926"/>
  <c r="P315" i="926" s="1"/>
  <c r="N315" i="926"/>
  <c r="O318" i="926"/>
  <c r="P318" i="926" s="1"/>
  <c r="N318" i="926"/>
  <c r="N321" i="926"/>
  <c r="M594" i="926" l="1"/>
  <c r="M558" i="926"/>
  <c r="O558" i="926" s="1"/>
  <c r="M513" i="926"/>
  <c r="M490" i="926"/>
  <c r="M339" i="926"/>
  <c r="M442" i="926"/>
  <c r="O442" i="926" s="1"/>
  <c r="M577" i="926"/>
  <c r="O577" i="926" s="1"/>
  <c r="M559" i="926"/>
  <c r="M415" i="926"/>
  <c r="O415" i="926" s="1"/>
  <c r="M518" i="926"/>
  <c r="M534" i="926"/>
  <c r="M402" i="926"/>
  <c r="N402" i="926" s="1"/>
  <c r="M411" i="926"/>
  <c r="N411" i="926" s="1"/>
  <c r="M495" i="926"/>
  <c r="O495" i="926" s="1"/>
  <c r="M361" i="926"/>
  <c r="O361" i="926" s="1"/>
  <c r="M607" i="926"/>
  <c r="N607" i="926" s="1"/>
  <c r="M602" i="926"/>
  <c r="N602" i="926" s="1"/>
  <c r="M535" i="926"/>
  <c r="N535" i="926" s="1"/>
  <c r="M448" i="926"/>
  <c r="M581" i="926"/>
  <c r="O581" i="926" s="1"/>
  <c r="M394" i="926"/>
  <c r="M446" i="926"/>
  <c r="O446" i="926" s="1"/>
  <c r="M437" i="926"/>
  <c r="N437" i="926" s="1"/>
  <c r="M449" i="926"/>
  <c r="M338" i="926"/>
  <c r="M467" i="926"/>
  <c r="O467" i="926" s="1"/>
  <c r="M447" i="926"/>
  <c r="M438" i="926"/>
  <c r="O438" i="926" s="1"/>
  <c r="M471" i="926"/>
  <c r="M512" i="926"/>
  <c r="O512" i="926" s="1"/>
  <c r="M330" i="926"/>
  <c r="M379" i="926"/>
  <c r="O379" i="926" s="1"/>
  <c r="M561" i="926"/>
  <c r="O561" i="926" s="1"/>
  <c r="M578" i="926"/>
  <c r="M573" i="926"/>
  <c r="O573" i="926" s="1"/>
  <c r="M610" i="926"/>
  <c r="M381" i="926"/>
  <c r="O381" i="926" s="1"/>
  <c r="M584" i="926"/>
  <c r="M461" i="926"/>
  <c r="O461" i="926" s="1"/>
  <c r="M328" i="926"/>
  <c r="O328" i="926" s="1"/>
  <c r="M611" i="926"/>
  <c r="M383" i="926"/>
  <c r="O383" i="926" s="1"/>
  <c r="M617" i="926"/>
  <c r="N617" i="926" s="1"/>
  <c r="M346" i="926"/>
  <c r="M340" i="926"/>
  <c r="N340" i="926" s="1"/>
  <c r="M327" i="926"/>
  <c r="M605" i="926"/>
  <c r="N605" i="926" s="1"/>
  <c r="M521" i="926"/>
  <c r="N521" i="926" s="1"/>
  <c r="M488" i="926"/>
  <c r="N488" i="926" s="1"/>
  <c r="M596" i="926"/>
  <c r="M425" i="926"/>
  <c r="N425" i="926" s="1"/>
  <c r="M464" i="926"/>
  <c r="M344" i="926"/>
  <c r="N344" i="926" s="1"/>
  <c r="M506" i="926"/>
  <c r="N506" i="926" s="1"/>
  <c r="M450" i="926"/>
  <c r="N450" i="926" s="1"/>
  <c r="M393" i="926"/>
  <c r="M384" i="926"/>
  <c r="N384" i="926" s="1"/>
  <c r="M428" i="926"/>
  <c r="M477" i="926"/>
  <c r="O477" i="926" s="1"/>
  <c r="M597" i="926"/>
  <c r="N597" i="926" s="1"/>
  <c r="M451" i="926"/>
  <c r="N451" i="926" s="1"/>
  <c r="M413" i="926"/>
  <c r="N413" i="926" s="1"/>
  <c r="M417" i="926"/>
  <c r="M462" i="926"/>
  <c r="N462" i="926" s="1"/>
  <c r="M418" i="926"/>
  <c r="M483" i="926"/>
  <c r="N483" i="926" s="1"/>
  <c r="M408" i="926"/>
  <c r="N408" i="926" s="1"/>
  <c r="M603" i="926"/>
  <c r="M574" i="926"/>
  <c r="N574" i="926" s="1"/>
  <c r="M387" i="926"/>
  <c r="N387" i="926" s="1"/>
  <c r="M409" i="926"/>
  <c r="N409" i="926" s="1"/>
  <c r="M452" i="926"/>
  <c r="M453" i="926"/>
  <c r="N453" i="926" s="1"/>
  <c r="M391" i="926"/>
  <c r="N391" i="926" s="1"/>
  <c r="M479" i="926"/>
  <c r="M553" i="926"/>
  <c r="O553" i="926" s="1"/>
  <c r="M595" i="926"/>
  <c r="O595" i="926" s="1"/>
  <c r="M505" i="926"/>
  <c r="N505" i="926" s="1"/>
  <c r="M433" i="926"/>
  <c r="N433" i="926" s="1"/>
  <c r="M593" i="926"/>
  <c r="N593" i="926" s="1"/>
  <c r="M373" i="926"/>
  <c r="M536" i="926"/>
  <c r="N536" i="926" s="1"/>
  <c r="M522" i="926"/>
  <c r="N522" i="926" s="1"/>
  <c r="M492" i="926"/>
  <c r="N492" i="926" s="1"/>
  <c r="M528" i="926"/>
  <c r="N528" i="926" s="1"/>
  <c r="M590" i="926"/>
  <c r="N590" i="926" s="1"/>
  <c r="M397" i="926"/>
  <c r="M530" i="926"/>
  <c r="N530" i="926" s="1"/>
  <c r="M370" i="926"/>
  <c r="M385" i="926"/>
  <c r="N385" i="926" s="1"/>
  <c r="M420" i="926"/>
  <c r="M474" i="926"/>
  <c r="N474" i="926" s="1"/>
  <c r="M485" i="926"/>
  <c r="N485" i="926" s="1"/>
  <c r="M615" i="926"/>
  <c r="M580" i="926"/>
  <c r="N580" i="926" s="1"/>
  <c r="M362" i="926"/>
  <c r="M487" i="926"/>
  <c r="N487" i="926" s="1"/>
  <c r="M537" i="926"/>
  <c r="N537" i="926" s="1"/>
  <c r="M333" i="926"/>
  <c r="M443" i="926"/>
  <c r="N443" i="926" s="1"/>
  <c r="M502" i="926"/>
  <c r="M525" i="926"/>
  <c r="M575" i="926"/>
  <c r="M348" i="926"/>
  <c r="O348" i="926" s="1"/>
  <c r="M478" i="926"/>
  <c r="N478" i="926" s="1"/>
  <c r="M434" i="926"/>
  <c r="M368" i="926"/>
  <c r="N368" i="926" s="1"/>
  <c r="M498" i="926"/>
  <c r="O498" i="926" s="1"/>
  <c r="M532" i="926"/>
  <c r="M407" i="926"/>
  <c r="M392" i="926"/>
  <c r="N392" i="926" s="1"/>
  <c r="M554" i="926"/>
  <c r="N554" i="926" s="1"/>
  <c r="M562" i="926"/>
  <c r="N562" i="926" s="1"/>
  <c r="M337" i="926"/>
  <c r="O337" i="926" s="1"/>
  <c r="M468" i="926"/>
  <c r="N468" i="926" s="1"/>
  <c r="M491" i="926"/>
  <c r="N491" i="926" s="1"/>
  <c r="M424" i="926"/>
  <c r="O424" i="926" s="1"/>
  <c r="M527" i="926"/>
  <c r="N527" i="926" s="1"/>
  <c r="M352" i="926"/>
  <c r="M412" i="926"/>
  <c r="N412" i="926" s="1"/>
  <c r="M436" i="926"/>
  <c r="M432" i="926"/>
  <c r="N432" i="926" s="1"/>
  <c r="M336" i="926"/>
  <c r="O336" i="926" s="1"/>
  <c r="M587" i="926"/>
  <c r="N587" i="926" s="1"/>
  <c r="M445" i="926"/>
  <c r="N445" i="926" s="1"/>
  <c r="M399" i="926"/>
  <c r="M377" i="926"/>
  <c r="O377" i="926" s="1"/>
  <c r="M519" i="926"/>
  <c r="M556" i="926"/>
  <c r="M538" i="926"/>
  <c r="N538" i="926" s="1"/>
  <c r="M325" i="926"/>
  <c r="N325" i="926" s="1"/>
  <c r="M509" i="926"/>
  <c r="O509" i="926" s="1"/>
  <c r="M472" i="926"/>
  <c r="N472" i="926" s="1"/>
  <c r="M557" i="926"/>
  <c r="N557" i="926" s="1"/>
  <c r="M371" i="926"/>
  <c r="M589" i="926"/>
  <c r="N589" i="926" s="1"/>
  <c r="M585" i="926"/>
  <c r="N585" i="926" s="1"/>
  <c r="M539" i="926"/>
  <c r="N539" i="926" s="1"/>
  <c r="M326" i="926"/>
  <c r="O326" i="926" s="1"/>
  <c r="M601" i="926"/>
  <c r="O601" i="926" s="1"/>
  <c r="M481" i="926"/>
  <c r="N481" i="926" s="1"/>
  <c r="M592" i="926"/>
  <c r="O592" i="926" s="1"/>
  <c r="M622" i="926"/>
  <c r="O622" i="926" s="1"/>
  <c r="M360" i="926"/>
  <c r="N360" i="926" s="1"/>
  <c r="M107" i="926"/>
  <c r="O107" i="926" s="1"/>
  <c r="M396" i="926"/>
  <c r="M410" i="926"/>
  <c r="N410" i="926" s="1"/>
  <c r="M347" i="926"/>
  <c r="N347" i="926" s="1"/>
  <c r="M423" i="926"/>
  <c r="O423" i="926" s="1"/>
  <c r="M623" i="926"/>
  <c r="O623" i="926" s="1"/>
  <c r="M439" i="926"/>
  <c r="N439" i="926" s="1"/>
  <c r="M515" i="926"/>
  <c r="N515" i="926" s="1"/>
  <c r="M376" i="926"/>
  <c r="O376" i="926" s="1"/>
  <c r="M624" i="926"/>
  <c r="M489" i="926"/>
  <c r="N489" i="926" s="1"/>
  <c r="M626" i="926"/>
  <c r="O626" i="926" s="1"/>
  <c r="M469" i="926"/>
  <c r="N469" i="926" s="1"/>
  <c r="M606" i="926"/>
  <c r="M365" i="926"/>
  <c r="O365" i="926" s="1"/>
  <c r="M341" i="926"/>
  <c r="O341" i="926" s="1"/>
  <c r="M190" i="926"/>
  <c r="M463" i="926"/>
  <c r="O463" i="926" s="1"/>
  <c r="M504" i="926"/>
  <c r="N504" i="926" s="1"/>
  <c r="M604" i="926"/>
  <c r="O604" i="926" s="1"/>
  <c r="P604" i="926" s="1"/>
  <c r="M507" i="926"/>
  <c r="N507" i="926" s="1"/>
  <c r="M579" i="926"/>
  <c r="M497" i="926"/>
  <c r="N497" i="926" s="1"/>
  <c r="M355" i="926"/>
  <c r="N355" i="926" s="1"/>
  <c r="M609" i="926"/>
  <c r="O609" i="926" s="1"/>
  <c r="P609" i="926" s="1"/>
  <c r="M563" i="926"/>
  <c r="O563" i="926" s="1"/>
  <c r="M486" i="926"/>
  <c r="N486" i="926" s="1"/>
  <c r="M405" i="926"/>
  <c r="N405" i="926" s="1"/>
  <c r="M516" i="926"/>
  <c r="O516" i="926" s="1"/>
  <c r="P516" i="926" s="1"/>
  <c r="M404" i="926"/>
  <c r="N404" i="926" s="1"/>
  <c r="M403" i="926"/>
  <c r="N403" i="926" s="1"/>
  <c r="M382" i="926"/>
  <c r="O382" i="926" s="1"/>
  <c r="P382" i="926" s="1"/>
  <c r="M466" i="926"/>
  <c r="N466" i="926" s="1"/>
  <c r="M444" i="926"/>
  <c r="N444" i="926" s="1"/>
  <c r="M351" i="926"/>
  <c r="M560" i="926"/>
  <c r="N560" i="926" s="1"/>
  <c r="M465" i="926"/>
  <c r="N465" i="926" s="1"/>
  <c r="M476" i="926"/>
  <c r="O476" i="926" s="1"/>
  <c r="M540" i="926"/>
  <c r="O540" i="926" s="1"/>
  <c r="P540" i="926" s="1"/>
  <c r="M482" i="926"/>
  <c r="N482" i="926" s="1"/>
  <c r="M501" i="926"/>
  <c r="N501" i="926" s="1"/>
  <c r="M332" i="926"/>
  <c r="O332" i="926" s="1"/>
  <c r="P332" i="926" s="1"/>
  <c r="M555" i="926"/>
  <c r="N555" i="926" s="1"/>
  <c r="M349" i="926"/>
  <c r="O349" i="926" s="1"/>
  <c r="P349" i="926" s="1"/>
  <c r="G1057" i="628"/>
  <c r="L1057" i="628"/>
  <c r="M1057" i="628"/>
  <c r="N1057" i="628" s="1"/>
  <c r="N558" i="926" l="1"/>
  <c r="N365" i="926"/>
  <c r="N592" i="926"/>
  <c r="N477" i="926"/>
  <c r="O522" i="926"/>
  <c r="P522" i="926" s="1"/>
  <c r="N379" i="926"/>
  <c r="N341" i="926"/>
  <c r="O410" i="926"/>
  <c r="P410" i="926" s="1"/>
  <c r="N348" i="926"/>
  <c r="O602" i="926"/>
  <c r="P602" i="926" s="1"/>
  <c r="O404" i="926"/>
  <c r="P404" i="926" s="1"/>
  <c r="N424" i="926"/>
  <c r="N337" i="926"/>
  <c r="O554" i="926"/>
  <c r="P554" i="926" s="1"/>
  <c r="O409" i="926"/>
  <c r="P409" i="926" s="1"/>
  <c r="O425" i="926"/>
  <c r="P425" i="926" s="1"/>
  <c r="O530" i="926"/>
  <c r="P530" i="926" s="1"/>
  <c r="N415" i="926"/>
  <c r="N476" i="926"/>
  <c r="O560" i="926"/>
  <c r="P560" i="926" s="1"/>
  <c r="O538" i="926"/>
  <c r="P538" i="926" s="1"/>
  <c r="O587" i="926"/>
  <c r="P587" i="926" s="1"/>
  <c r="O411" i="926"/>
  <c r="P411" i="926" s="1"/>
  <c r="N577" i="926"/>
  <c r="O497" i="926"/>
  <c r="P497" i="926" s="1"/>
  <c r="N626" i="926"/>
  <c r="N623" i="926"/>
  <c r="O347" i="926"/>
  <c r="P347" i="926" s="1"/>
  <c r="N326" i="926"/>
  <c r="O527" i="926"/>
  <c r="P527" i="926" s="1"/>
  <c r="N561" i="926"/>
  <c r="O437" i="926"/>
  <c r="P437" i="926" s="1"/>
  <c r="O466" i="926"/>
  <c r="P466" i="926" s="1"/>
  <c r="N601" i="926"/>
  <c r="N595" i="926"/>
  <c r="O462" i="926"/>
  <c r="P462" i="926" s="1"/>
  <c r="O506" i="926"/>
  <c r="P506" i="926" s="1"/>
  <c r="O605" i="926"/>
  <c r="P605" i="926" s="1"/>
  <c r="N442" i="926"/>
  <c r="O555" i="926"/>
  <c r="P555" i="926" s="1"/>
  <c r="O355" i="926"/>
  <c r="P355" i="926" s="1"/>
  <c r="O439" i="926"/>
  <c r="P439" i="926" s="1"/>
  <c r="O589" i="926"/>
  <c r="P589" i="926" s="1"/>
  <c r="O325" i="926"/>
  <c r="P325" i="926" s="1"/>
  <c r="O340" i="926"/>
  <c r="P340" i="926" s="1"/>
  <c r="N381" i="926"/>
  <c r="N573" i="926"/>
  <c r="N438" i="926"/>
  <c r="O535" i="926"/>
  <c r="P535" i="926" s="1"/>
  <c r="N361" i="926"/>
  <c r="O501" i="926"/>
  <c r="P501" i="926" s="1"/>
  <c r="N609" i="926"/>
  <c r="N463" i="926"/>
  <c r="N376" i="926"/>
  <c r="N423" i="926"/>
  <c r="N509" i="926"/>
  <c r="N498" i="926"/>
  <c r="O368" i="926"/>
  <c r="P368" i="926" s="1"/>
  <c r="O443" i="926"/>
  <c r="P443" i="926" s="1"/>
  <c r="O474" i="926"/>
  <c r="P474" i="926" s="1"/>
  <c r="O593" i="926"/>
  <c r="P593" i="926" s="1"/>
  <c r="N553" i="926"/>
  <c r="O387" i="926"/>
  <c r="P387" i="926" s="1"/>
  <c r="O344" i="926"/>
  <c r="P344" i="926" s="1"/>
  <c r="N328" i="926"/>
  <c r="N461" i="926"/>
  <c r="O607" i="926"/>
  <c r="P607" i="926" s="1"/>
  <c r="O402" i="926"/>
  <c r="P402" i="926" s="1"/>
  <c r="N516" i="926"/>
  <c r="O486" i="926"/>
  <c r="P486" i="926" s="1"/>
  <c r="N107" i="926"/>
  <c r="O585" i="926"/>
  <c r="P585" i="926" s="1"/>
  <c r="N383" i="926"/>
  <c r="N467" i="926"/>
  <c r="N581" i="926"/>
  <c r="O436" i="926"/>
  <c r="P436" i="926" s="1"/>
  <c r="N436" i="926"/>
  <c r="N418" i="926"/>
  <c r="O418" i="926"/>
  <c r="P418" i="926" s="1"/>
  <c r="N396" i="926"/>
  <c r="O396" i="926"/>
  <c r="P396" i="926" s="1"/>
  <c r="N532" i="926"/>
  <c r="O532" i="926"/>
  <c r="P532" i="926" s="1"/>
  <c r="N370" i="926"/>
  <c r="O370" i="926"/>
  <c r="P370" i="926" s="1"/>
  <c r="N471" i="926"/>
  <c r="O471" i="926"/>
  <c r="P471" i="926" s="1"/>
  <c r="O338" i="926"/>
  <c r="P338" i="926" s="1"/>
  <c r="N338" i="926"/>
  <c r="N513" i="926"/>
  <c r="O513" i="926"/>
  <c r="P513" i="926" s="1"/>
  <c r="O579" i="926"/>
  <c r="P579" i="926" s="1"/>
  <c r="N579" i="926"/>
  <c r="N624" i="926"/>
  <c r="O624" i="926"/>
  <c r="P624" i="926" s="1"/>
  <c r="O371" i="926"/>
  <c r="P371" i="926" s="1"/>
  <c r="N371" i="926"/>
  <c r="O556" i="926"/>
  <c r="P556" i="926" s="1"/>
  <c r="N556" i="926"/>
  <c r="N352" i="926"/>
  <c r="O352" i="926"/>
  <c r="P352" i="926" s="1"/>
  <c r="N393" i="926"/>
  <c r="O393" i="926"/>
  <c r="P393" i="926" s="1"/>
  <c r="N190" i="926"/>
  <c r="O190" i="926"/>
  <c r="P190" i="926" s="1"/>
  <c r="O606" i="926"/>
  <c r="P606" i="926" s="1"/>
  <c r="N606" i="926"/>
  <c r="N519" i="926"/>
  <c r="O519" i="926"/>
  <c r="P519" i="926" s="1"/>
  <c r="N399" i="926"/>
  <c r="O399" i="926"/>
  <c r="P399" i="926" s="1"/>
  <c r="N394" i="926"/>
  <c r="O394" i="926"/>
  <c r="P394" i="926" s="1"/>
  <c r="N452" i="926"/>
  <c r="O452" i="926"/>
  <c r="P452" i="926" s="1"/>
  <c r="O482" i="926"/>
  <c r="P482" i="926" s="1"/>
  <c r="O351" i="926"/>
  <c r="P351" i="926" s="1"/>
  <c r="N351" i="926"/>
  <c r="N563" i="926"/>
  <c r="N604" i="926"/>
  <c r="N622" i="926"/>
  <c r="N377" i="926"/>
  <c r="N336" i="926"/>
  <c r="O407" i="926"/>
  <c r="P407" i="926" s="1"/>
  <c r="N407" i="926"/>
  <c r="N434" i="926"/>
  <c r="O434" i="926"/>
  <c r="P434" i="926" s="1"/>
  <c r="N502" i="926"/>
  <c r="O502" i="926"/>
  <c r="P502" i="926" s="1"/>
  <c r="N373" i="926"/>
  <c r="O373" i="926"/>
  <c r="P373" i="926" s="1"/>
  <c r="O617" i="926"/>
  <c r="P617" i="926" s="1"/>
  <c r="N512" i="926"/>
  <c r="N449" i="926"/>
  <c r="O449" i="926"/>
  <c r="P449" i="926" s="1"/>
  <c r="N446" i="926"/>
  <c r="N495" i="926"/>
  <c r="N534" i="926"/>
  <c r="O534" i="926"/>
  <c r="P534" i="926" s="1"/>
  <c r="N518" i="926"/>
  <c r="O518" i="926"/>
  <c r="P518" i="926" s="1"/>
  <c r="O339" i="926"/>
  <c r="P339" i="926" s="1"/>
  <c r="N339" i="926"/>
  <c r="N382" i="926"/>
  <c r="O487" i="926"/>
  <c r="P487" i="926" s="1"/>
  <c r="O505" i="926"/>
  <c r="P505" i="926" s="1"/>
  <c r="O451" i="926"/>
  <c r="P451" i="926" s="1"/>
  <c r="O521" i="926"/>
  <c r="P521" i="926" s="1"/>
  <c r="N349" i="926"/>
  <c r="N332" i="926"/>
  <c r="N540" i="926"/>
  <c r="N333" i="926"/>
  <c r="O333" i="926"/>
  <c r="P333" i="926" s="1"/>
  <c r="N397" i="926"/>
  <c r="O397" i="926"/>
  <c r="P397" i="926" s="1"/>
  <c r="N417" i="926"/>
  <c r="O417" i="926"/>
  <c r="P417" i="926" s="1"/>
  <c r="N596" i="926"/>
  <c r="O596" i="926"/>
  <c r="P596" i="926" s="1"/>
  <c r="N525" i="926"/>
  <c r="O525" i="926"/>
  <c r="P525" i="926" s="1"/>
  <c r="N420" i="926"/>
  <c r="O420" i="926"/>
  <c r="P420" i="926" s="1"/>
  <c r="N490" i="926"/>
  <c r="O490" i="926"/>
  <c r="P490" i="926" s="1"/>
  <c r="O465" i="926"/>
  <c r="P465" i="926" s="1"/>
  <c r="O444" i="926"/>
  <c r="P444" i="926" s="1"/>
  <c r="O403" i="926"/>
  <c r="P403" i="926" s="1"/>
  <c r="O405" i="926"/>
  <c r="P405" i="926" s="1"/>
  <c r="O507" i="926"/>
  <c r="P507" i="926" s="1"/>
  <c r="O504" i="926"/>
  <c r="P504" i="926" s="1"/>
  <c r="O469" i="926"/>
  <c r="P469" i="926" s="1"/>
  <c r="O489" i="926"/>
  <c r="P489" i="926" s="1"/>
  <c r="O515" i="926"/>
  <c r="P515" i="926" s="1"/>
  <c r="O360" i="926"/>
  <c r="P360" i="926" s="1"/>
  <c r="O481" i="926"/>
  <c r="P481" i="926" s="1"/>
  <c r="O539" i="926"/>
  <c r="P539" i="926" s="1"/>
  <c r="O557" i="926"/>
  <c r="P557" i="926" s="1"/>
  <c r="O472" i="926"/>
  <c r="P472" i="926" s="1"/>
  <c r="O445" i="926"/>
  <c r="P445" i="926" s="1"/>
  <c r="O432" i="926"/>
  <c r="P432" i="926" s="1"/>
  <c r="O412" i="926"/>
  <c r="P412" i="926" s="1"/>
  <c r="O491" i="926"/>
  <c r="P491" i="926" s="1"/>
  <c r="O468" i="926"/>
  <c r="P468" i="926" s="1"/>
  <c r="O562" i="926"/>
  <c r="P562" i="926" s="1"/>
  <c r="O392" i="926"/>
  <c r="P392" i="926" s="1"/>
  <c r="N575" i="926"/>
  <c r="O575" i="926"/>
  <c r="P575" i="926" s="1"/>
  <c r="N615" i="926"/>
  <c r="O615" i="926"/>
  <c r="P615" i="926" s="1"/>
  <c r="N479" i="926"/>
  <c r="O479" i="926"/>
  <c r="P479" i="926" s="1"/>
  <c r="N603" i="926"/>
  <c r="O603" i="926"/>
  <c r="P603" i="926" s="1"/>
  <c r="N428" i="926"/>
  <c r="O428" i="926"/>
  <c r="P428" i="926" s="1"/>
  <c r="N346" i="926"/>
  <c r="O346" i="926"/>
  <c r="P346" i="926" s="1"/>
  <c r="N584" i="926"/>
  <c r="O584" i="926"/>
  <c r="P584" i="926" s="1"/>
  <c r="N610" i="926"/>
  <c r="O610" i="926"/>
  <c r="P610" i="926" s="1"/>
  <c r="N578" i="926"/>
  <c r="O578" i="926"/>
  <c r="P578" i="926" s="1"/>
  <c r="N330" i="926"/>
  <c r="O330" i="926"/>
  <c r="P330" i="926" s="1"/>
  <c r="N594" i="926"/>
  <c r="O594" i="926"/>
  <c r="P594" i="926" s="1"/>
  <c r="N362" i="926"/>
  <c r="O362" i="926"/>
  <c r="P362" i="926" s="1"/>
  <c r="N464" i="926"/>
  <c r="O464" i="926"/>
  <c r="P464" i="926" s="1"/>
  <c r="N327" i="926"/>
  <c r="O327" i="926"/>
  <c r="P327" i="926" s="1"/>
  <c r="N611" i="926"/>
  <c r="O611" i="926"/>
  <c r="P611" i="926" s="1"/>
  <c r="N447" i="926"/>
  <c r="O447" i="926"/>
  <c r="P447" i="926" s="1"/>
  <c r="N448" i="926"/>
  <c r="O448" i="926"/>
  <c r="P448" i="926" s="1"/>
  <c r="N559" i="926"/>
  <c r="O559" i="926"/>
  <c r="P559" i="926" s="1"/>
  <c r="O478" i="926"/>
  <c r="P478" i="926" s="1"/>
  <c r="O537" i="926"/>
  <c r="P537" i="926" s="1"/>
  <c r="O580" i="926"/>
  <c r="P580" i="926" s="1"/>
  <c r="O485" i="926"/>
  <c r="P485" i="926" s="1"/>
  <c r="O385" i="926"/>
  <c r="P385" i="926" s="1"/>
  <c r="O590" i="926"/>
  <c r="P590" i="926" s="1"/>
  <c r="O528" i="926"/>
  <c r="P528" i="926" s="1"/>
  <c r="O492" i="926"/>
  <c r="P492" i="926" s="1"/>
  <c r="O536" i="926"/>
  <c r="P536" i="926" s="1"/>
  <c r="O433" i="926"/>
  <c r="P433" i="926" s="1"/>
  <c r="O391" i="926"/>
  <c r="P391" i="926" s="1"/>
  <c r="O453" i="926"/>
  <c r="P453" i="926" s="1"/>
  <c r="O574" i="926"/>
  <c r="P574" i="926" s="1"/>
  <c r="O408" i="926"/>
  <c r="P408" i="926" s="1"/>
  <c r="O483" i="926"/>
  <c r="P483" i="926" s="1"/>
  <c r="O413" i="926"/>
  <c r="P413" i="926" s="1"/>
  <c r="O597" i="926"/>
  <c r="P597" i="926" s="1"/>
  <c r="O384" i="926"/>
  <c r="P384" i="926" s="1"/>
  <c r="O450" i="926"/>
  <c r="P450" i="926" s="1"/>
  <c r="O488" i="926"/>
  <c r="P488" i="926" s="1"/>
  <c r="P383" i="926"/>
  <c r="P563" i="926"/>
  <c r="P477" i="926"/>
  <c r="P553" i="926"/>
  <c r="P463" i="926"/>
  <c r="P595" i="926"/>
  <c r="P328" i="926"/>
  <c r="P381" i="926"/>
  <c r="P561" i="926"/>
  <c r="P512" i="926"/>
  <c r="P495" i="926"/>
  <c r="P341" i="926"/>
  <c r="P365" i="926"/>
  <c r="P626" i="926"/>
  <c r="P376" i="926"/>
  <c r="P423" i="926"/>
  <c r="P107" i="926"/>
  <c r="P623" i="926"/>
  <c r="P577" i="926"/>
  <c r="P622" i="926"/>
  <c r="P592" i="926"/>
  <c r="P601" i="926"/>
  <c r="P326" i="926"/>
  <c r="P509" i="926"/>
  <c r="P377" i="926"/>
  <c r="P336" i="926"/>
  <c r="P424" i="926"/>
  <c r="P337" i="926"/>
  <c r="P498" i="926"/>
  <c r="P348" i="926"/>
  <c r="P467" i="926"/>
  <c r="P442" i="926"/>
  <c r="P461" i="926"/>
  <c r="P573" i="926"/>
  <c r="P379" i="926"/>
  <c r="P438" i="926"/>
  <c r="P446" i="926"/>
  <c r="P581" i="926"/>
  <c r="P361" i="926"/>
  <c r="P415" i="926"/>
  <c r="P558" i="926"/>
  <c r="B277" i="430"/>
  <c r="C276" i="430"/>
  <c r="B276" i="430"/>
  <c r="C275" i="430"/>
  <c r="B275" i="430"/>
  <c r="C274" i="430"/>
  <c r="B274" i="430"/>
  <c r="C273" i="430"/>
  <c r="B273" i="430"/>
  <c r="C272" i="430"/>
  <c r="B272" i="430"/>
  <c r="C271" i="430"/>
  <c r="B271" i="430"/>
  <c r="C270" i="430"/>
  <c r="B270" i="430"/>
  <c r="C269" i="430"/>
  <c r="B269" i="430"/>
  <c r="C268" i="430"/>
  <c r="B268" i="430"/>
  <c r="C267" i="430"/>
  <c r="B267" i="430"/>
  <c r="C266" i="430"/>
  <c r="B266" i="430"/>
  <c r="C265" i="430"/>
  <c r="B265" i="430"/>
  <c r="C264" i="430"/>
  <c r="B264" i="430"/>
  <c r="C263" i="430"/>
  <c r="B263" i="430"/>
  <c r="C262" i="430"/>
  <c r="B262" i="430"/>
  <c r="C261" i="430"/>
  <c r="B261" i="430"/>
  <c r="C260" i="430"/>
  <c r="B260" i="430"/>
  <c r="C259" i="430"/>
  <c r="B259" i="430"/>
  <c r="C258" i="430"/>
  <c r="B258" i="430"/>
  <c r="C257" i="430"/>
  <c r="B257" i="430"/>
  <c r="C256" i="430"/>
  <c r="B256" i="430"/>
  <c r="C255" i="430"/>
  <c r="B255" i="430"/>
  <c r="C254" i="430"/>
  <c r="B254" i="430"/>
  <c r="C253" i="430"/>
  <c r="B253" i="430"/>
  <c r="C252" i="430"/>
  <c r="B252" i="430"/>
  <c r="C251" i="430"/>
  <c r="B251" i="430"/>
  <c r="C250" i="430"/>
  <c r="B250" i="430"/>
  <c r="C249" i="430"/>
  <c r="B249" i="430"/>
  <c r="C248" i="430"/>
  <c r="B248" i="430"/>
  <c r="C247" i="430"/>
  <c r="B247" i="430"/>
  <c r="C246" i="430"/>
  <c r="B246" i="430"/>
  <c r="C245" i="430"/>
  <c r="B245" i="430"/>
  <c r="C244" i="430"/>
  <c r="B244" i="430"/>
  <c r="C243" i="430"/>
  <c r="B243" i="430"/>
  <c r="C242" i="430"/>
  <c r="B242" i="430"/>
  <c r="C241" i="430"/>
  <c r="B241" i="430"/>
  <c r="C240" i="430"/>
  <c r="B240" i="430"/>
  <c r="C239" i="430"/>
  <c r="B239" i="430"/>
  <c r="C238" i="430"/>
  <c r="B238" i="430"/>
  <c r="C237" i="430"/>
  <c r="B237" i="430"/>
  <c r="C236" i="430"/>
  <c r="B236" i="430"/>
  <c r="C235" i="430"/>
  <c r="B235" i="430"/>
  <c r="C234" i="430"/>
  <c r="B234" i="430"/>
  <c r="C233" i="430"/>
  <c r="B233" i="430"/>
  <c r="C232" i="430"/>
  <c r="B232" i="430"/>
  <c r="C231" i="430"/>
  <c r="B231" i="430"/>
  <c r="C230" i="430"/>
  <c r="B230" i="430"/>
  <c r="C229" i="430"/>
  <c r="B229" i="430"/>
  <c r="C228" i="430"/>
  <c r="B228" i="430"/>
  <c r="C227" i="430"/>
  <c r="B227" i="430"/>
  <c r="C226" i="430"/>
  <c r="B226" i="430"/>
  <c r="C225" i="430"/>
  <c r="B225" i="430"/>
  <c r="C224" i="430"/>
  <c r="B224" i="430"/>
  <c r="C223" i="430"/>
  <c r="B223" i="430"/>
  <c r="C222" i="430"/>
  <c r="B222" i="430"/>
  <c r="C221" i="430"/>
  <c r="B221" i="430"/>
  <c r="C220" i="430"/>
  <c r="B220" i="430"/>
  <c r="C219" i="430"/>
  <c r="B219" i="430"/>
  <c r="C218" i="430"/>
  <c r="B218" i="430"/>
  <c r="C217" i="430"/>
  <c r="B217" i="430"/>
  <c r="C216" i="430"/>
  <c r="B216" i="430"/>
  <c r="C215" i="430"/>
  <c r="B215" i="430"/>
  <c r="C214" i="430"/>
  <c r="B214" i="430"/>
  <c r="C213" i="430"/>
  <c r="B213" i="430"/>
  <c r="C212" i="430"/>
  <c r="B212" i="430"/>
  <c r="C211" i="430"/>
  <c r="B211" i="430"/>
  <c r="C210" i="430"/>
  <c r="B210" i="430"/>
  <c r="C209" i="430"/>
  <c r="B209" i="430"/>
  <c r="C208" i="430"/>
  <c r="B208" i="430"/>
  <c r="C207" i="430"/>
  <c r="B207" i="430"/>
  <c r="C206" i="430"/>
  <c r="B206" i="430"/>
  <c r="C205" i="430"/>
  <c r="B205" i="430"/>
  <c r="C204" i="430"/>
  <c r="B204" i="430"/>
  <c r="C203" i="430"/>
  <c r="B203" i="430"/>
  <c r="C202" i="430"/>
  <c r="B202" i="430"/>
  <c r="C201" i="430"/>
  <c r="B201" i="430"/>
  <c r="C200" i="430"/>
  <c r="B200" i="430"/>
  <c r="C199" i="430"/>
  <c r="B199" i="430"/>
  <c r="C198" i="430"/>
  <c r="B198" i="430"/>
  <c r="C197" i="430"/>
  <c r="B197" i="430"/>
  <c r="C196" i="430"/>
  <c r="B196" i="430"/>
  <c r="C195" i="430"/>
  <c r="B195" i="430"/>
  <c r="C194" i="430"/>
  <c r="B194" i="430"/>
  <c r="C193" i="430"/>
  <c r="B193" i="430"/>
  <c r="C192" i="430"/>
  <c r="B192" i="430"/>
  <c r="C191" i="430"/>
  <c r="B191" i="430"/>
  <c r="C190" i="430"/>
  <c r="B190" i="430"/>
  <c r="C189" i="430"/>
  <c r="B189" i="430"/>
  <c r="C188" i="430"/>
  <c r="B188" i="430"/>
  <c r="C187" i="430"/>
  <c r="B187" i="430"/>
  <c r="C186" i="430"/>
  <c r="B186" i="430"/>
  <c r="C185" i="430"/>
  <c r="B185" i="430"/>
  <c r="C184" i="430"/>
  <c r="B184" i="430"/>
  <c r="C183" i="430"/>
  <c r="B183" i="430"/>
  <c r="C182" i="430"/>
  <c r="B182" i="430"/>
  <c r="C181" i="430"/>
  <c r="B181" i="430"/>
  <c r="C180" i="430"/>
  <c r="B180" i="430"/>
  <c r="C179" i="430"/>
  <c r="B179" i="430"/>
  <c r="C178" i="430"/>
  <c r="B178" i="430"/>
  <c r="C177" i="430"/>
  <c r="B177" i="430"/>
  <c r="C176" i="430"/>
  <c r="B176" i="430"/>
  <c r="C175" i="430"/>
  <c r="B175" i="430"/>
  <c r="C174" i="430"/>
  <c r="B174" i="430"/>
  <c r="C173" i="430"/>
  <c r="B173" i="430"/>
  <c r="C172" i="430"/>
  <c r="B172" i="430"/>
  <c r="C171" i="430"/>
  <c r="B171" i="430"/>
  <c r="C170" i="430"/>
  <c r="B170" i="430"/>
  <c r="C169" i="430"/>
  <c r="B169" i="430"/>
  <c r="C168" i="430"/>
  <c r="B168" i="430"/>
  <c r="C167" i="430"/>
  <c r="B167" i="430"/>
  <c r="C166" i="430"/>
  <c r="B166" i="430"/>
  <c r="C165" i="430"/>
  <c r="B165" i="430"/>
  <c r="C164" i="430"/>
  <c r="B164" i="430"/>
  <c r="C163" i="430"/>
  <c r="B163" i="430"/>
  <c r="C162" i="430"/>
  <c r="B162" i="430"/>
  <c r="C161" i="430"/>
  <c r="B161" i="430"/>
  <c r="C160" i="430"/>
  <c r="B160" i="430"/>
  <c r="C159" i="430"/>
  <c r="B159" i="430"/>
  <c r="C158" i="430"/>
  <c r="B158" i="430"/>
  <c r="C157" i="430"/>
  <c r="B157" i="430"/>
  <c r="C156" i="430"/>
  <c r="B156" i="430"/>
  <c r="C155" i="430"/>
  <c r="B155" i="430"/>
  <c r="C154" i="430"/>
  <c r="B154" i="430"/>
  <c r="C153" i="430"/>
  <c r="B153" i="430"/>
  <c r="C152" i="430"/>
  <c r="B152" i="430"/>
  <c r="C151" i="430"/>
  <c r="B151" i="430"/>
  <c r="C150" i="430"/>
  <c r="B150" i="430"/>
  <c r="C149" i="430"/>
  <c r="B149" i="430"/>
  <c r="C148" i="430"/>
  <c r="B148" i="430"/>
  <c r="C147" i="430"/>
  <c r="B147" i="430"/>
  <c r="C146" i="430"/>
  <c r="B146" i="430"/>
  <c r="C145" i="430"/>
  <c r="B145" i="430"/>
  <c r="C144" i="430"/>
  <c r="B144" i="430"/>
  <c r="C143" i="430"/>
  <c r="B143" i="430"/>
  <c r="C142" i="430"/>
  <c r="B142" i="430"/>
  <c r="C141" i="430"/>
  <c r="B141" i="430"/>
  <c r="C140" i="430"/>
  <c r="B140" i="430"/>
  <c r="C139" i="430"/>
  <c r="B139" i="430"/>
  <c r="C138" i="430"/>
  <c r="B138" i="430"/>
  <c r="C137" i="430"/>
  <c r="B137" i="430"/>
  <c r="C136" i="430"/>
  <c r="B136" i="430"/>
  <c r="C135" i="430"/>
  <c r="B135" i="430"/>
  <c r="C134" i="430"/>
  <c r="B134" i="430"/>
  <c r="C133" i="430"/>
  <c r="B133" i="430"/>
  <c r="C132" i="430"/>
  <c r="B132" i="430"/>
  <c r="C131" i="430"/>
  <c r="B131" i="430"/>
  <c r="C130" i="430"/>
  <c r="B130" i="430"/>
  <c r="C129" i="430"/>
  <c r="B129" i="430"/>
  <c r="C128" i="430"/>
  <c r="B128" i="430"/>
  <c r="C127" i="430"/>
  <c r="B127" i="430"/>
  <c r="C126" i="430"/>
  <c r="B126" i="430"/>
  <c r="C125" i="430"/>
  <c r="B125" i="430"/>
  <c r="C124" i="430"/>
  <c r="B124" i="430"/>
  <c r="C123" i="430"/>
  <c r="B123" i="430"/>
  <c r="C122" i="430"/>
  <c r="B122" i="430"/>
  <c r="C121" i="430"/>
  <c r="B121" i="430"/>
  <c r="C120" i="430"/>
  <c r="B120" i="430"/>
  <c r="C119" i="430"/>
  <c r="B119" i="430"/>
  <c r="C118" i="430"/>
  <c r="B118" i="430"/>
  <c r="C117" i="430"/>
  <c r="B117" i="430"/>
  <c r="C116" i="430"/>
  <c r="B116" i="430"/>
  <c r="C115" i="430"/>
  <c r="B115" i="430"/>
  <c r="C114" i="430"/>
  <c r="B114" i="430"/>
  <c r="C113" i="430"/>
  <c r="B113" i="430"/>
  <c r="C112" i="430"/>
  <c r="B112" i="430"/>
  <c r="C111" i="430"/>
  <c r="B111" i="430"/>
  <c r="C110" i="430"/>
  <c r="B110" i="430"/>
  <c r="C109" i="430"/>
  <c r="B109" i="430"/>
  <c r="C108" i="430"/>
  <c r="B108" i="430"/>
  <c r="C107" i="430"/>
  <c r="B107" i="430"/>
  <c r="C106" i="430"/>
  <c r="B106" i="430"/>
  <c r="C105" i="430"/>
  <c r="B105" i="430"/>
  <c r="C104" i="430"/>
  <c r="B104" i="430"/>
  <c r="C103" i="430"/>
  <c r="B103" i="430"/>
  <c r="C102" i="430"/>
  <c r="B102" i="430"/>
  <c r="C101" i="430"/>
  <c r="B101" i="430"/>
  <c r="C100" i="430"/>
  <c r="B100" i="430"/>
  <c r="C99" i="430"/>
  <c r="B99" i="430"/>
  <c r="C98" i="430"/>
  <c r="B98" i="430"/>
  <c r="C97" i="430"/>
  <c r="B97" i="430"/>
  <c r="C96" i="430"/>
  <c r="B96" i="430"/>
  <c r="C95" i="430"/>
  <c r="B95" i="430"/>
  <c r="C94" i="430"/>
  <c r="B94" i="430"/>
  <c r="C93" i="430"/>
  <c r="B93" i="430"/>
  <c r="C92" i="430"/>
  <c r="B92" i="430"/>
  <c r="C91" i="430"/>
  <c r="B91" i="430"/>
  <c r="C90" i="430"/>
  <c r="B90" i="430"/>
  <c r="C89" i="430"/>
  <c r="B89" i="430"/>
  <c r="C88" i="430"/>
  <c r="B88" i="430"/>
  <c r="C87" i="430"/>
  <c r="B87" i="430"/>
  <c r="C86" i="430"/>
  <c r="B86" i="430"/>
  <c r="C85" i="430"/>
  <c r="B85" i="430"/>
  <c r="C84" i="430"/>
  <c r="B84" i="430"/>
  <c r="C83" i="430"/>
  <c r="B83" i="430"/>
  <c r="C82" i="430"/>
  <c r="B82" i="430"/>
  <c r="C81" i="430"/>
  <c r="B81" i="430"/>
  <c r="C80" i="430"/>
  <c r="B80" i="430"/>
  <c r="C79" i="430"/>
  <c r="B79" i="430"/>
  <c r="C78" i="430"/>
  <c r="B78" i="430"/>
  <c r="C77" i="430"/>
  <c r="B77" i="430"/>
  <c r="C76" i="430"/>
  <c r="B76" i="430"/>
  <c r="C75" i="430"/>
  <c r="B75" i="430"/>
  <c r="C74" i="430"/>
  <c r="B74" i="430"/>
  <c r="C73" i="430"/>
  <c r="B73" i="430"/>
  <c r="C72" i="430"/>
  <c r="B72" i="430"/>
  <c r="C71" i="430"/>
  <c r="B71" i="430"/>
  <c r="C70" i="430"/>
  <c r="B70" i="430"/>
  <c r="C69" i="430"/>
  <c r="B69" i="430"/>
  <c r="C68" i="430"/>
  <c r="B68" i="430"/>
  <c r="C67" i="430"/>
  <c r="B67" i="430"/>
  <c r="C66" i="430"/>
  <c r="B66" i="430"/>
  <c r="C65" i="430"/>
  <c r="B65" i="430"/>
  <c r="C64" i="430"/>
  <c r="B64" i="430"/>
  <c r="C63" i="430"/>
  <c r="B63" i="430"/>
  <c r="C62" i="430"/>
  <c r="B62" i="430"/>
  <c r="C61" i="430"/>
  <c r="B61" i="430"/>
  <c r="C60" i="430"/>
  <c r="B60" i="430"/>
  <c r="C59" i="430"/>
  <c r="B59" i="430"/>
  <c r="C58" i="430"/>
  <c r="B58" i="430"/>
  <c r="C57" i="430"/>
  <c r="B57" i="430"/>
  <c r="C56" i="430"/>
  <c r="B56" i="430"/>
  <c r="C55" i="430"/>
  <c r="B55" i="430"/>
  <c r="C54" i="430"/>
  <c r="B54" i="430"/>
  <c r="C53" i="430"/>
  <c r="B53" i="430"/>
  <c r="C52" i="430"/>
  <c r="B52" i="430"/>
  <c r="C51" i="430"/>
  <c r="B51" i="430"/>
  <c r="C50" i="430"/>
  <c r="B50" i="430"/>
  <c r="C49" i="430"/>
  <c r="B49" i="430"/>
  <c r="C48" i="430"/>
  <c r="B48" i="430"/>
  <c r="C47" i="430"/>
  <c r="B47" i="430"/>
  <c r="C46" i="430"/>
  <c r="B46" i="430"/>
  <c r="C45" i="430"/>
  <c r="B45" i="430"/>
  <c r="C44" i="430"/>
  <c r="B44" i="430"/>
  <c r="C43" i="430"/>
  <c r="B43" i="430"/>
  <c r="C42" i="430"/>
  <c r="B42" i="430"/>
  <c r="C41" i="430"/>
  <c r="B41" i="430"/>
  <c r="C40" i="430"/>
  <c r="B40" i="430"/>
  <c r="C39" i="430"/>
  <c r="B39" i="430"/>
  <c r="C38" i="430"/>
  <c r="B38" i="430"/>
  <c r="C37" i="430"/>
  <c r="B37" i="430"/>
  <c r="C36" i="430"/>
  <c r="B36" i="430"/>
  <c r="C35" i="430"/>
  <c r="B35" i="430"/>
  <c r="C34" i="430"/>
  <c r="B34" i="430"/>
  <c r="C33" i="430"/>
  <c r="B33" i="430"/>
  <c r="C32" i="430"/>
  <c r="B32" i="430"/>
  <c r="C31" i="430"/>
  <c r="B31" i="430"/>
  <c r="C30" i="430"/>
  <c r="B30" i="430"/>
  <c r="C29" i="430"/>
  <c r="B29" i="430"/>
  <c r="C28" i="430"/>
  <c r="B28" i="430"/>
  <c r="C27" i="430"/>
  <c r="B27" i="430"/>
  <c r="C26" i="430"/>
  <c r="B26" i="430"/>
  <c r="C25" i="430"/>
  <c r="B25" i="430"/>
  <c r="C24" i="430"/>
  <c r="B24" i="430"/>
  <c r="C23" i="430"/>
  <c r="B23" i="430"/>
  <c r="C22" i="430"/>
  <c r="B22" i="430"/>
  <c r="C21" i="430"/>
  <c r="B21" i="430"/>
  <c r="C20" i="430"/>
  <c r="B20" i="430"/>
  <c r="C19" i="430"/>
  <c r="B19" i="430"/>
  <c r="C18" i="430"/>
  <c r="B18" i="430"/>
  <c r="C17" i="430"/>
  <c r="B17" i="430"/>
  <c r="C16" i="430"/>
  <c r="B16" i="430"/>
  <c r="C15" i="430"/>
  <c r="B15" i="430"/>
  <c r="C14" i="430"/>
  <c r="B14" i="430"/>
  <c r="C13" i="430"/>
  <c r="B13" i="430"/>
  <c r="C12" i="430"/>
  <c r="B12" i="430"/>
  <c r="C11" i="430"/>
  <c r="B11" i="430"/>
  <c r="C10" i="430"/>
  <c r="B10" i="430"/>
  <c r="C9" i="430"/>
  <c r="B9" i="430"/>
  <c r="C8" i="430"/>
  <c r="B8" i="430"/>
  <c r="C7" i="430"/>
  <c r="B7" i="430"/>
  <c r="C6" i="430"/>
  <c r="B6" i="430"/>
  <c r="K132" i="873" l="1"/>
  <c r="J132" i="873"/>
  <c r="I132" i="873"/>
  <c r="K230" i="873"/>
  <c r="M230" i="873" s="1"/>
  <c r="J230" i="873"/>
  <c r="I230" i="873"/>
  <c r="K63" i="873"/>
  <c r="M63" i="873" s="1"/>
  <c r="J63" i="873"/>
  <c r="L63" i="873" s="1"/>
  <c r="I63" i="873"/>
  <c r="K77" i="873"/>
  <c r="J77" i="873"/>
  <c r="L77" i="873" s="1"/>
  <c r="I77" i="873"/>
  <c r="K190" i="873"/>
  <c r="J190" i="873"/>
  <c r="I190" i="873"/>
  <c r="K154" i="873"/>
  <c r="M154" i="873" s="1"/>
  <c r="J154" i="873"/>
  <c r="I154" i="873"/>
  <c r="K163" i="873"/>
  <c r="M163" i="873" s="1"/>
  <c r="J163" i="873"/>
  <c r="L163" i="873" s="1"/>
  <c r="I163" i="873"/>
  <c r="K133" i="873"/>
  <c r="J133" i="873"/>
  <c r="L133" i="873" s="1"/>
  <c r="I133" i="873"/>
  <c r="K142" i="873"/>
  <c r="J142" i="873"/>
  <c r="I142" i="873"/>
  <c r="K173" i="873"/>
  <c r="M173" i="873" s="1"/>
  <c r="J173" i="873"/>
  <c r="I173" i="873"/>
  <c r="K28" i="873"/>
  <c r="M28" i="873" s="1"/>
  <c r="J28" i="873"/>
  <c r="L28" i="873" s="1"/>
  <c r="I28" i="873"/>
  <c r="K110" i="873"/>
  <c r="J110" i="873"/>
  <c r="L110" i="873" s="1"/>
  <c r="I110" i="873"/>
  <c r="K11" i="873"/>
  <c r="J11" i="873"/>
  <c r="I11" i="873"/>
  <c r="K197" i="873"/>
  <c r="M197" i="873" s="1"/>
  <c r="J197" i="873"/>
  <c r="I197" i="873"/>
  <c r="K196" i="873"/>
  <c r="J196" i="873"/>
  <c r="L196" i="873" s="1"/>
  <c r="I196" i="873"/>
  <c r="K157" i="873"/>
  <c r="J157" i="873"/>
  <c r="I157" i="873"/>
  <c r="K125" i="873"/>
  <c r="M125" i="873" s="1"/>
  <c r="J125" i="873"/>
  <c r="I125" i="873"/>
  <c r="K264" i="873"/>
  <c r="M264" i="873" s="1"/>
  <c r="J264" i="873"/>
  <c r="L264" i="873" s="1"/>
  <c r="I264" i="873"/>
  <c r="K19" i="873"/>
  <c r="J19" i="873"/>
  <c r="L19" i="873" s="1"/>
  <c r="I19" i="873"/>
  <c r="K270" i="873"/>
  <c r="J270" i="873"/>
  <c r="I270" i="873"/>
  <c r="K34" i="873"/>
  <c r="M34" i="873" s="1"/>
  <c r="J34" i="873"/>
  <c r="L34" i="873" s="1"/>
  <c r="I34" i="873"/>
  <c r="K84" i="873"/>
  <c r="J84" i="873"/>
  <c r="L84" i="873" s="1"/>
  <c r="I84" i="873"/>
  <c r="K58" i="873"/>
  <c r="J58" i="873"/>
  <c r="I58" i="873"/>
  <c r="K237" i="873"/>
  <c r="M237" i="873" s="1"/>
  <c r="J237" i="873"/>
  <c r="I237" i="873"/>
  <c r="K59" i="873"/>
  <c r="J59" i="873"/>
  <c r="L59" i="873" s="1"/>
  <c r="I59" i="873"/>
  <c r="K224" i="873"/>
  <c r="J224" i="873"/>
  <c r="I224" i="873"/>
  <c r="K66" i="873"/>
  <c r="M66" i="873" s="1"/>
  <c r="J66" i="873"/>
  <c r="L66" i="873" s="1"/>
  <c r="I66" i="873"/>
  <c r="K209" i="873"/>
  <c r="J209" i="873"/>
  <c r="I209" i="873"/>
  <c r="K217" i="873"/>
  <c r="M217" i="873" s="1"/>
  <c r="J217" i="873"/>
  <c r="I217" i="873"/>
  <c r="K200" i="873"/>
  <c r="M200" i="873" s="1"/>
  <c r="J200" i="873"/>
  <c r="I200" i="873"/>
  <c r="K177" i="873"/>
  <c r="M177" i="873" s="1"/>
  <c r="J177" i="873"/>
  <c r="I177" i="873"/>
  <c r="K117" i="873"/>
  <c r="J117" i="873"/>
  <c r="L117" i="873" s="1"/>
  <c r="I117" i="873"/>
  <c r="K92" i="873"/>
  <c r="J92" i="873"/>
  <c r="I92" i="873"/>
  <c r="U127" i="873"/>
  <c r="T127" i="873"/>
  <c r="R127" i="873"/>
  <c r="Q127" i="873"/>
  <c r="K151" i="873"/>
  <c r="J151" i="873"/>
  <c r="I151" i="873"/>
  <c r="U243" i="873"/>
  <c r="T243" i="873"/>
  <c r="R243" i="873"/>
  <c r="Q243" i="873"/>
  <c r="K201" i="873"/>
  <c r="M201" i="873" s="1"/>
  <c r="J201" i="873"/>
  <c r="I201" i="873"/>
  <c r="U100" i="873"/>
  <c r="T100" i="873"/>
  <c r="R100" i="873"/>
  <c r="Q100" i="873"/>
  <c r="K45" i="873"/>
  <c r="J45" i="873"/>
  <c r="L45" i="873" s="1"/>
  <c r="I45" i="873"/>
  <c r="U64" i="873"/>
  <c r="T64" i="873"/>
  <c r="R64" i="873"/>
  <c r="Q64" i="873"/>
  <c r="K252" i="873"/>
  <c r="J252" i="873"/>
  <c r="I252" i="873"/>
  <c r="U36" i="873"/>
  <c r="T36" i="873"/>
  <c r="R36" i="873"/>
  <c r="Q36" i="873"/>
  <c r="K116" i="873"/>
  <c r="J116" i="873"/>
  <c r="I116" i="873"/>
  <c r="U233" i="873"/>
  <c r="T233" i="873"/>
  <c r="R233" i="873"/>
  <c r="Q233" i="873"/>
  <c r="K152" i="873"/>
  <c r="M152" i="873" s="1"/>
  <c r="J152" i="873"/>
  <c r="I152" i="873"/>
  <c r="U140" i="873"/>
  <c r="T140" i="873"/>
  <c r="R140" i="873"/>
  <c r="Q140" i="873"/>
  <c r="K90" i="873"/>
  <c r="J90" i="873"/>
  <c r="L90" i="873" s="1"/>
  <c r="I90" i="873"/>
  <c r="U87" i="873"/>
  <c r="T87" i="873"/>
  <c r="R87" i="873"/>
  <c r="Q87" i="873"/>
  <c r="K10" i="873"/>
  <c r="J10" i="873"/>
  <c r="I10" i="873"/>
  <c r="U210" i="873"/>
  <c r="T210" i="873"/>
  <c r="R210" i="873"/>
  <c r="Q210" i="873"/>
  <c r="K223" i="873"/>
  <c r="J223" i="873"/>
  <c r="I223" i="873"/>
  <c r="U183" i="873"/>
  <c r="T183" i="873"/>
  <c r="R183" i="873"/>
  <c r="Q183" i="873"/>
  <c r="K205" i="873"/>
  <c r="M205" i="873" s="1"/>
  <c r="J205" i="873"/>
  <c r="I205" i="873"/>
  <c r="U174" i="873"/>
  <c r="T174" i="873"/>
  <c r="R174" i="873"/>
  <c r="Q174" i="873"/>
  <c r="K134" i="873"/>
  <c r="J134" i="873"/>
  <c r="L134" i="873" s="1"/>
  <c r="I134" i="873"/>
  <c r="U159" i="873"/>
  <c r="T159" i="873"/>
  <c r="R159" i="873"/>
  <c r="Q159" i="873"/>
  <c r="K194" i="873"/>
  <c r="J194" i="873"/>
  <c r="I194" i="873"/>
  <c r="U86" i="873"/>
  <c r="T86" i="873"/>
  <c r="R86" i="873"/>
  <c r="Q86" i="873"/>
  <c r="U216" i="873"/>
  <c r="T216" i="873"/>
  <c r="R216" i="873"/>
  <c r="Q216" i="873"/>
  <c r="K161" i="873"/>
  <c r="M161" i="873" s="1"/>
  <c r="J161" i="873"/>
  <c r="I161" i="873"/>
  <c r="U30" i="873"/>
  <c r="T30" i="873"/>
  <c r="R30" i="873"/>
  <c r="Q30" i="873"/>
  <c r="K207" i="873"/>
  <c r="J207" i="873"/>
  <c r="I207" i="873"/>
  <c r="U139" i="873"/>
  <c r="T139" i="873"/>
  <c r="R139" i="873"/>
  <c r="Q139" i="873"/>
  <c r="U49" i="873"/>
  <c r="T49" i="873"/>
  <c r="R49" i="873"/>
  <c r="Q49" i="873"/>
  <c r="K54" i="873"/>
  <c r="M54" i="873" s="1"/>
  <c r="J54" i="873"/>
  <c r="L54" i="873" s="1"/>
  <c r="I54" i="873"/>
  <c r="U193" i="873"/>
  <c r="T193" i="873"/>
  <c r="R193" i="873"/>
  <c r="Q193" i="873"/>
  <c r="K165" i="873"/>
  <c r="J165" i="873"/>
  <c r="L165" i="873" s="1"/>
  <c r="I165" i="873"/>
  <c r="U99" i="873"/>
  <c r="T99" i="873"/>
  <c r="R99" i="873"/>
  <c r="Q99" i="873"/>
  <c r="K91" i="873"/>
  <c r="M91" i="873" s="1"/>
  <c r="J91" i="873"/>
  <c r="I91" i="873"/>
  <c r="U109" i="873"/>
  <c r="T109" i="873"/>
  <c r="R109" i="873"/>
  <c r="Q109" i="873"/>
  <c r="K220" i="873"/>
  <c r="M220" i="873" s="1"/>
  <c r="J220" i="873"/>
  <c r="I220" i="873"/>
  <c r="F132" i="873"/>
  <c r="F230" i="873"/>
  <c r="F63" i="873"/>
  <c r="N63" i="873" s="1"/>
  <c r="F77" i="873"/>
  <c r="F190" i="873"/>
  <c r="F154" i="873"/>
  <c r="F163" i="873"/>
  <c r="N163" i="873" s="1"/>
  <c r="F133" i="873"/>
  <c r="F142" i="873"/>
  <c r="F173" i="873"/>
  <c r="F28" i="873"/>
  <c r="F110" i="873"/>
  <c r="F11" i="873"/>
  <c r="F197" i="873"/>
  <c r="F196" i="873"/>
  <c r="F157" i="873"/>
  <c r="F125" i="873"/>
  <c r="F264" i="873"/>
  <c r="N264" i="873" s="1"/>
  <c r="F19" i="873"/>
  <c r="F270" i="873"/>
  <c r="F34" i="873"/>
  <c r="F84" i="873"/>
  <c r="F58" i="873"/>
  <c r="F237" i="873"/>
  <c r="F59" i="873"/>
  <c r="F224" i="873"/>
  <c r="F66" i="873"/>
  <c r="F209" i="873"/>
  <c r="F217" i="873"/>
  <c r="F200" i="873"/>
  <c r="F177" i="873"/>
  <c r="F117" i="873"/>
  <c r="F92" i="873"/>
  <c r="F151" i="873"/>
  <c r="F201" i="873"/>
  <c r="F45" i="873"/>
  <c r="F252" i="873"/>
  <c r="F116" i="873"/>
  <c r="F152" i="873"/>
  <c r="F90" i="873"/>
  <c r="F10" i="873"/>
  <c r="F223" i="873"/>
  <c r="F205" i="873"/>
  <c r="F134" i="873"/>
  <c r="F194" i="873"/>
  <c r="F161" i="873"/>
  <c r="F207" i="873"/>
  <c r="F54" i="873"/>
  <c r="F165" i="873"/>
  <c r="F91" i="873"/>
  <c r="F220" i="873"/>
  <c r="N34" i="873" l="1"/>
  <c r="O34" i="873" s="1"/>
  <c r="N59" i="873"/>
  <c r="O59" i="873" s="1"/>
  <c r="N157" i="873"/>
  <c r="O157" i="873" s="1"/>
  <c r="M270" i="873"/>
  <c r="N151" i="873"/>
  <c r="O151" i="873" s="1"/>
  <c r="N200" i="873"/>
  <c r="M19" i="873"/>
  <c r="M45" i="873"/>
  <c r="M134" i="873"/>
  <c r="M209" i="873"/>
  <c r="L190" i="873"/>
  <c r="N66" i="873"/>
  <c r="O66" i="873" s="1"/>
  <c r="M84" i="873"/>
  <c r="L11" i="873"/>
  <c r="M110" i="873"/>
  <c r="M10" i="873"/>
  <c r="L173" i="873"/>
  <c r="L217" i="873"/>
  <c r="M11" i="873"/>
  <c r="L154" i="873"/>
  <c r="L220" i="873"/>
  <c r="L91" i="873"/>
  <c r="M207" i="873"/>
  <c r="M59" i="873"/>
  <c r="L125" i="873"/>
  <c r="L157" i="873"/>
  <c r="M132" i="873"/>
  <c r="N201" i="873"/>
  <c r="O201" i="873" s="1"/>
  <c r="N220" i="873"/>
  <c r="O220" i="873" s="1"/>
  <c r="L194" i="873"/>
  <c r="L92" i="873"/>
  <c r="M117" i="873"/>
  <c r="L200" i="873"/>
  <c r="L224" i="873"/>
  <c r="M77" i="873"/>
  <c r="M165" i="873"/>
  <c r="N90" i="873"/>
  <c r="O90" i="873" s="1"/>
  <c r="N45" i="873"/>
  <c r="M194" i="873"/>
  <c r="L223" i="873"/>
  <c r="L58" i="873"/>
  <c r="L197" i="873"/>
  <c r="M196" i="873"/>
  <c r="O63" i="873"/>
  <c r="N207" i="873"/>
  <c r="N161" i="873"/>
  <c r="N134" i="873"/>
  <c r="N10" i="873"/>
  <c r="O10" i="873" s="1"/>
  <c r="N116" i="873"/>
  <c r="O116" i="873" s="1"/>
  <c r="N177" i="873"/>
  <c r="N237" i="873"/>
  <c r="N270" i="873"/>
  <c r="O270" i="873" s="1"/>
  <c r="N110" i="873"/>
  <c r="O110" i="873" s="1"/>
  <c r="N28" i="873"/>
  <c r="O28" i="873" s="1"/>
  <c r="L230" i="873"/>
  <c r="N117" i="873"/>
  <c r="N209" i="873"/>
  <c r="N84" i="873"/>
  <c r="O84" i="873" s="1"/>
  <c r="N125" i="873"/>
  <c r="N196" i="873"/>
  <c r="O196" i="873" s="1"/>
  <c r="N197" i="873"/>
  <c r="N11" i="873"/>
  <c r="M133" i="873"/>
  <c r="N154" i="873"/>
  <c r="N77" i="873"/>
  <c r="O77" i="873" s="1"/>
  <c r="N230" i="873"/>
  <c r="L132" i="873"/>
  <c r="N91" i="873"/>
  <c r="M90" i="873"/>
  <c r="N152" i="873"/>
  <c r="L252" i="873"/>
  <c r="L151" i="873"/>
  <c r="N92" i="873"/>
  <c r="O92" i="873" s="1"/>
  <c r="M92" i="873"/>
  <c r="N224" i="873"/>
  <c r="O224" i="873" s="1"/>
  <c r="M224" i="873"/>
  <c r="N58" i="873"/>
  <c r="O58" i="873" s="1"/>
  <c r="M58" i="873"/>
  <c r="N19" i="873"/>
  <c r="O19" i="873" s="1"/>
  <c r="M157" i="873"/>
  <c r="N173" i="873"/>
  <c r="L142" i="873"/>
  <c r="N133" i="873"/>
  <c r="O133" i="873" s="1"/>
  <c r="N190" i="873"/>
  <c r="O190" i="873" s="1"/>
  <c r="M190" i="873"/>
  <c r="N132" i="873"/>
  <c r="O132" i="873" s="1"/>
  <c r="N194" i="873"/>
  <c r="O194" i="873" s="1"/>
  <c r="N223" i="873"/>
  <c r="O223" i="873" s="1"/>
  <c r="N205" i="873"/>
  <c r="L10" i="873"/>
  <c r="L116" i="873"/>
  <c r="N252" i="873"/>
  <c r="O252" i="873" s="1"/>
  <c r="M252" i="873"/>
  <c r="L237" i="873"/>
  <c r="L270" i="873"/>
  <c r="N142" i="873"/>
  <c r="M142" i="873"/>
  <c r="N165" i="873"/>
  <c r="O163" i="873"/>
  <c r="N54" i="873"/>
  <c r="O264" i="873"/>
  <c r="L207" i="873"/>
  <c r="N217" i="873"/>
  <c r="L209" i="873"/>
  <c r="L161" i="873"/>
  <c r="L205" i="873"/>
  <c r="M223" i="873"/>
  <c r="L152" i="873"/>
  <c r="M116" i="873"/>
  <c r="L201" i="873"/>
  <c r="M151" i="873"/>
  <c r="L177" i="873"/>
  <c r="O11" i="873" l="1"/>
  <c r="O154" i="873"/>
  <c r="O91" i="873"/>
  <c r="O45" i="873"/>
  <c r="O200" i="873"/>
  <c r="O237" i="873"/>
  <c r="O125" i="873"/>
  <c r="O142" i="873"/>
  <c r="O173" i="873"/>
  <c r="O230" i="873"/>
  <c r="O152" i="873"/>
  <c r="O197" i="873"/>
  <c r="O117" i="873"/>
  <c r="O161" i="873"/>
  <c r="O209" i="873"/>
  <c r="O177" i="873"/>
  <c r="O205" i="873"/>
  <c r="O134" i="873"/>
  <c r="O207" i="873"/>
  <c r="O217" i="873"/>
  <c r="O165" i="873"/>
  <c r="O54" i="873"/>
  <c r="L156" i="629"/>
  <c r="D156" i="629" s="1"/>
  <c r="L178" i="629"/>
  <c r="D178" i="629" s="1"/>
  <c r="L112" i="629"/>
  <c r="D112" i="629" s="1"/>
  <c r="L38" i="629"/>
  <c r="D38" i="629" s="1"/>
  <c r="L29" i="629"/>
  <c r="D29" i="629" s="1"/>
  <c r="L226" i="629"/>
  <c r="D226" i="629" s="1"/>
  <c r="L73" i="629"/>
  <c r="D73" i="629" s="1"/>
  <c r="L103" i="629"/>
  <c r="D103" i="629" s="1"/>
  <c r="L211" i="629"/>
  <c r="D211" i="629" s="1"/>
  <c r="L52" i="629"/>
  <c r="D52" i="629" s="1"/>
  <c r="L200" i="629"/>
  <c r="D200" i="629" s="1"/>
  <c r="L159" i="629"/>
  <c r="D159" i="629" s="1"/>
  <c r="L204" i="629"/>
  <c r="D204" i="629" s="1"/>
  <c r="L65" i="629"/>
  <c r="D65" i="629" s="1"/>
  <c r="L144" i="629"/>
  <c r="D144" i="629" s="1"/>
  <c r="L89" i="629"/>
  <c r="D89" i="629" s="1"/>
  <c r="L223" i="629"/>
  <c r="D223" i="629" s="1"/>
  <c r="L72" i="629"/>
  <c r="D72" i="629" s="1"/>
  <c r="L249" i="629"/>
  <c r="D249" i="629" s="1"/>
  <c r="L210" i="629"/>
  <c r="D210" i="629" s="1"/>
  <c r="L170" i="629"/>
  <c r="D170" i="629" s="1"/>
  <c r="L17" i="629"/>
  <c r="D17" i="629" s="1"/>
  <c r="L101" i="629"/>
  <c r="D101" i="629" s="1"/>
  <c r="L242" i="629"/>
  <c r="D242" i="629" s="1"/>
  <c r="L181" i="629"/>
  <c r="D181" i="629" s="1"/>
  <c r="L40" i="629"/>
  <c r="D40" i="629" s="1"/>
  <c r="L153" i="629"/>
  <c r="D153" i="629" s="1"/>
  <c r="L246" i="629"/>
  <c r="D246" i="629" s="1"/>
  <c r="L27" i="629"/>
  <c r="D27" i="629" s="1"/>
  <c r="L66" i="629"/>
  <c r="D66" i="629" s="1"/>
  <c r="L229" i="629"/>
  <c r="D229" i="629" s="1"/>
  <c r="L218" i="629"/>
  <c r="D218" i="629" s="1"/>
  <c r="L267" i="629"/>
  <c r="D267" i="629" s="1"/>
  <c r="L142" i="629"/>
  <c r="D142" i="629" s="1"/>
  <c r="L124" i="629"/>
  <c r="D124" i="629" s="1"/>
  <c r="L125" i="629"/>
  <c r="D125" i="629" s="1"/>
  <c r="L236" i="629"/>
  <c r="D236" i="629" s="1"/>
  <c r="L160" i="629"/>
  <c r="D160" i="629" s="1"/>
  <c r="L162" i="629"/>
  <c r="D162" i="629" s="1"/>
  <c r="L90" i="629"/>
  <c r="D90" i="629" s="1"/>
  <c r="L56" i="629"/>
  <c r="D56" i="629" s="1"/>
  <c r="L255" i="629"/>
  <c r="D255" i="629" s="1"/>
  <c r="L85" i="629"/>
  <c r="D85" i="629" s="1"/>
  <c r="L45" i="629"/>
  <c r="D45" i="629" s="1"/>
  <c r="L14" i="629"/>
  <c r="D14" i="629" s="1"/>
  <c r="L99" i="629"/>
  <c r="D99" i="629" s="1"/>
  <c r="F767" i="876"/>
  <c r="C767" i="876"/>
  <c r="G3" i="430" l="1"/>
  <c r="M1054" i="628"/>
  <c r="L1054" i="628"/>
  <c r="F8" i="873" l="1"/>
  <c r="I8" i="873"/>
  <c r="J8" i="873"/>
  <c r="L8" i="873" s="1"/>
  <c r="K8" i="873"/>
  <c r="M8" i="873" s="1"/>
  <c r="G1054" i="628"/>
  <c r="N8" i="873" l="1"/>
  <c r="O8" i="873" l="1"/>
  <c r="F766" i="876"/>
  <c r="F1048576" i="876"/>
  <c r="C766" i="876"/>
  <c r="F765" i="876"/>
  <c r="F764" i="876"/>
  <c r="F763" i="876"/>
  <c r="F762" i="876"/>
  <c r="F761" i="876"/>
  <c r="F666" i="876"/>
  <c r="F646" i="876"/>
  <c r="F632" i="876"/>
  <c r="O3197" i="839"/>
  <c r="O3189" i="839"/>
  <c r="O3187" i="839"/>
  <c r="O3185" i="839"/>
  <c r="O3183" i="839"/>
  <c r="O3181" i="839"/>
  <c r="O3179" i="839"/>
  <c r="O3177" i="839"/>
  <c r="O3171" i="839"/>
  <c r="O3168" i="839"/>
  <c r="O3166" i="839"/>
  <c r="O3162" i="839"/>
  <c r="O3160" i="839"/>
  <c r="O3158" i="839"/>
  <c r="O3154" i="839"/>
  <c r="O3152" i="839"/>
  <c r="O3150" i="839"/>
  <c r="O3148" i="839"/>
  <c r="O3140" i="839"/>
  <c r="O3114" i="839"/>
  <c r="O3112" i="839"/>
  <c r="O3110" i="839"/>
  <c r="O3108" i="839"/>
  <c r="O3105" i="839"/>
  <c r="O3103" i="839"/>
  <c r="O3095" i="839"/>
  <c r="O3016" i="839"/>
  <c r="O3014" i="839"/>
  <c r="O3012" i="839"/>
  <c r="O3010" i="839"/>
  <c r="O3006" i="839"/>
  <c r="O3004" i="839"/>
  <c r="O2996" i="839"/>
  <c r="O2994" i="839"/>
  <c r="O2992" i="839"/>
  <c r="O2986" i="839"/>
  <c r="O2984" i="839"/>
  <c r="O2976" i="839"/>
  <c r="O2974" i="839"/>
  <c r="O2970" i="839"/>
  <c r="O2966" i="839"/>
  <c r="O2964" i="839"/>
  <c r="O2962" i="839"/>
  <c r="O2960" i="839"/>
  <c r="O2958" i="839"/>
  <c r="O2956" i="839"/>
  <c r="O2954" i="839"/>
  <c r="O2952" i="839"/>
  <c r="O2948" i="839"/>
  <c r="O2946" i="839"/>
  <c r="O2944" i="839"/>
  <c r="O2942" i="839"/>
  <c r="O2940" i="839"/>
  <c r="O2938" i="839"/>
  <c r="O2934" i="839"/>
  <c r="O2930" i="839"/>
  <c r="O2926" i="839"/>
  <c r="O2842" i="839"/>
  <c r="O2838" i="839"/>
  <c r="O2813" i="839"/>
  <c r="O2809" i="839"/>
  <c r="O2807" i="839"/>
  <c r="O2798" i="839"/>
  <c r="O2788" i="839"/>
  <c r="O2786" i="839"/>
  <c r="O2665" i="839"/>
  <c r="O2661" i="839"/>
  <c r="O2655" i="839"/>
  <c r="O2653" i="839"/>
  <c r="O2647" i="839"/>
  <c r="O2639" i="839"/>
  <c r="O2634" i="839"/>
  <c r="O2630" i="839"/>
  <c r="O2626" i="839"/>
  <c r="O2624" i="839"/>
  <c r="O2622" i="839"/>
  <c r="O2539" i="839"/>
  <c r="O2531" i="839"/>
  <c r="O2529" i="839"/>
  <c r="O2527" i="839"/>
  <c r="O2525" i="839"/>
  <c r="O2523" i="839"/>
  <c r="O2521" i="839"/>
  <c r="O2519" i="839"/>
  <c r="O2515" i="839"/>
  <c r="O2513" i="839"/>
  <c r="O2511" i="839"/>
  <c r="O2509" i="839"/>
  <c r="O2507" i="839"/>
  <c r="O2503" i="839"/>
  <c r="O2501" i="839"/>
  <c r="O2499" i="839"/>
  <c r="O2495" i="839"/>
  <c r="O2493" i="839"/>
  <c r="O2491" i="839"/>
  <c r="O2483" i="839"/>
  <c r="O2481" i="839"/>
  <c r="O2479" i="839"/>
  <c r="O2477" i="839"/>
  <c r="O2475" i="839"/>
  <c r="O2473" i="839"/>
  <c r="O2471" i="839"/>
  <c r="O2463" i="839"/>
  <c r="O2459" i="839"/>
  <c r="O2457" i="839"/>
  <c r="O2455" i="839"/>
  <c r="O2453" i="839"/>
  <c r="O2449" i="839"/>
  <c r="O2447" i="839"/>
  <c r="O2445" i="839"/>
  <c r="O2441" i="839"/>
  <c r="O2439" i="839"/>
  <c r="O2434" i="839"/>
  <c r="O2430" i="839"/>
  <c r="O2081" i="839"/>
  <c r="O2079" i="839"/>
  <c r="O2077" i="839"/>
  <c r="O2075" i="839"/>
  <c r="O2069" i="839"/>
  <c r="O2067" i="839"/>
  <c r="O2065" i="839"/>
  <c r="O2063" i="839"/>
  <c r="O2060" i="839"/>
  <c r="O2058" i="839"/>
  <c r="O2056" i="839"/>
  <c r="O2054" i="839"/>
  <c r="O2050" i="839"/>
  <c r="O1858" i="839"/>
  <c r="O1855" i="839"/>
  <c r="O1853" i="839"/>
  <c r="O1851" i="839"/>
  <c r="O1841" i="839"/>
  <c r="O1839" i="839"/>
  <c r="O1835" i="839"/>
  <c r="O1831" i="839"/>
  <c r="O1829" i="839"/>
  <c r="O1827" i="839"/>
  <c r="O1825" i="839"/>
  <c r="O1823" i="839"/>
  <c r="O1821" i="839"/>
  <c r="O1811" i="839"/>
  <c r="O1809" i="839"/>
  <c r="O1807" i="839"/>
  <c r="O1805" i="839"/>
  <c r="O1803" i="839"/>
  <c r="O1801" i="839"/>
  <c r="O1797" i="839"/>
  <c r="O1795" i="839"/>
  <c r="O1791" i="839"/>
  <c r="O1789" i="839"/>
  <c r="O1778" i="839"/>
  <c r="O1776" i="839"/>
  <c r="O1774" i="839"/>
  <c r="O1696" i="839"/>
  <c r="O1673" i="839"/>
  <c r="O1671" i="839"/>
  <c r="O1661" i="839"/>
  <c r="O1659" i="839"/>
  <c r="O1655" i="839"/>
  <c r="O1408" i="839"/>
  <c r="O1400" i="839"/>
  <c r="O1395" i="839"/>
  <c r="O1393" i="839"/>
  <c r="O1391" i="839"/>
  <c r="O1389" i="839"/>
  <c r="O1387" i="839"/>
  <c r="O1381" i="839"/>
  <c r="O1379" i="839"/>
  <c r="O1377" i="839"/>
  <c r="O1373" i="839"/>
  <c r="O1367" i="839"/>
  <c r="O1365" i="839"/>
  <c r="O1361" i="839"/>
  <c r="O1353" i="839"/>
  <c r="O1345" i="839"/>
  <c r="O1224" i="839"/>
  <c r="O1220" i="839"/>
  <c r="O1217" i="839"/>
  <c r="O1215" i="839"/>
  <c r="O1213" i="839"/>
  <c r="O1209" i="839"/>
  <c r="O1205" i="839"/>
  <c r="O1197" i="839"/>
  <c r="O1193" i="839"/>
  <c r="O1189" i="839"/>
  <c r="O1181" i="839"/>
  <c r="O1179" i="839"/>
  <c r="O1177" i="839"/>
  <c r="O1115" i="839"/>
  <c r="O1113" i="839"/>
  <c r="O1105" i="839"/>
  <c r="O1095" i="839"/>
  <c r="O1093" i="839"/>
  <c r="O1091" i="839"/>
  <c r="O1089" i="839"/>
  <c r="O1085" i="839"/>
  <c r="O1077" i="839"/>
  <c r="O1067" i="839"/>
  <c r="O1065" i="839"/>
  <c r="O1063" i="839"/>
  <c r="O1059" i="839"/>
  <c r="O1053" i="839"/>
  <c r="O1037" i="839"/>
  <c r="O913" i="839"/>
  <c r="O909" i="839"/>
  <c r="O906" i="839"/>
  <c r="O901" i="839"/>
  <c r="O897" i="839"/>
  <c r="O885" i="839"/>
  <c r="O877" i="839"/>
  <c r="O873" i="839"/>
  <c r="O869" i="839"/>
  <c r="O857" i="839"/>
  <c r="O855" i="839"/>
  <c r="O853" i="839"/>
  <c r="O851" i="839"/>
  <c r="O849" i="839"/>
  <c r="O845" i="839"/>
  <c r="O841" i="839"/>
  <c r="O833" i="839"/>
  <c r="O829" i="839"/>
  <c r="O751" i="839"/>
  <c r="O745" i="839"/>
  <c r="O743" i="839"/>
  <c r="O737" i="839"/>
  <c r="O735" i="839"/>
  <c r="O723" i="839"/>
  <c r="O710" i="839"/>
  <c r="O702" i="839"/>
  <c r="O698" i="839"/>
  <c r="O694" i="839"/>
  <c r="O682" i="839"/>
  <c r="O678" i="839"/>
  <c r="O674" i="839"/>
  <c r="O672" i="839"/>
  <c r="O662" i="839"/>
  <c r="O504" i="839"/>
  <c r="O271" i="839"/>
  <c r="O269" i="839"/>
  <c r="O243" i="839"/>
  <c r="O241" i="839"/>
  <c r="O239" i="839"/>
  <c r="O235" i="839"/>
  <c r="O231" i="839"/>
  <c r="O229" i="839"/>
  <c r="O227" i="839"/>
  <c r="O225" i="839"/>
  <c r="O223" i="839"/>
  <c r="O219" i="839"/>
  <c r="O203" i="839"/>
  <c r="O201" i="839"/>
  <c r="O197" i="839"/>
  <c r="O195" i="839"/>
  <c r="O193" i="839"/>
  <c r="O191" i="839"/>
  <c r="O175" i="839"/>
  <c r="O171" i="839"/>
  <c r="O167" i="839"/>
  <c r="O165" i="839"/>
  <c r="O163" i="839"/>
  <c r="O155" i="839"/>
  <c r="O147" i="839"/>
  <c r="O145" i="839"/>
  <c r="O143" i="839"/>
  <c r="O141" i="839"/>
  <c r="O139" i="839"/>
  <c r="O127" i="839"/>
  <c r="O122" i="839"/>
  <c r="O118" i="839"/>
  <c r="O116" i="839"/>
  <c r="O113" i="839"/>
  <c r="O109" i="839"/>
  <c r="O107" i="839"/>
  <c r="O105" i="839"/>
  <c r="O103" i="839"/>
  <c r="O99" i="839"/>
  <c r="O95" i="839"/>
  <c r="O93" i="839"/>
  <c r="O91" i="839"/>
  <c r="O89" i="839"/>
  <c r="O87" i="839"/>
  <c r="O83" i="839"/>
  <c r="O75" i="839"/>
  <c r="O73" i="839"/>
  <c r="O69" i="839"/>
  <c r="O65" i="839"/>
  <c r="O63" i="839"/>
  <c r="O59" i="839"/>
  <c r="O51" i="839"/>
  <c r="O49" i="839"/>
  <c r="O3215" i="839"/>
  <c r="O3214" i="839"/>
  <c r="O3213" i="839"/>
  <c r="O3212" i="839"/>
  <c r="O3211" i="839"/>
  <c r="O3210" i="839"/>
  <c r="O3209" i="839"/>
  <c r="O3208" i="839"/>
  <c r="O3207" i="839"/>
  <c r="O3206" i="839"/>
  <c r="O3205" i="839"/>
  <c r="O3204" i="839"/>
  <c r="O3203" i="839"/>
  <c r="O3202" i="839"/>
  <c r="O3201" i="839"/>
  <c r="O3200" i="839"/>
  <c r="O3199" i="839"/>
  <c r="O3198" i="839"/>
  <c r="O3196" i="839"/>
  <c r="O3195" i="839"/>
  <c r="O3194" i="839"/>
  <c r="O3193" i="839"/>
  <c r="O3192" i="839"/>
  <c r="O3191" i="839"/>
  <c r="O3190" i="839"/>
  <c r="O3188" i="839"/>
  <c r="O3186" i="839"/>
  <c r="O3184" i="839"/>
  <c r="O3182" i="839"/>
  <c r="O3180" i="839"/>
  <c r="O3178" i="839"/>
  <c r="O3176" i="839"/>
  <c r="O3175" i="839"/>
  <c r="O3174" i="839"/>
  <c r="O3173" i="839"/>
  <c r="O3172" i="839"/>
  <c r="O3170" i="839"/>
  <c r="O3169" i="839"/>
  <c r="O3167" i="839"/>
  <c r="O3165" i="839"/>
  <c r="O3164" i="839"/>
  <c r="O3163" i="839"/>
  <c r="O3161" i="839"/>
  <c r="O3159" i="839"/>
  <c r="O3157" i="839"/>
  <c r="O3156" i="839"/>
  <c r="O3155" i="839"/>
  <c r="O3153" i="839"/>
  <c r="O3151" i="839"/>
  <c r="O3149" i="839"/>
  <c r="O3147" i="839"/>
  <c r="O3146" i="839"/>
  <c r="O3145" i="839"/>
  <c r="O3144" i="839"/>
  <c r="O3143" i="839"/>
  <c r="O3142" i="839"/>
  <c r="O3141" i="839"/>
  <c r="O3139" i="839"/>
  <c r="O3138" i="839"/>
  <c r="O3119" i="839"/>
  <c r="O3118" i="839"/>
  <c r="O3117" i="839"/>
  <c r="O3116" i="839"/>
  <c r="O3115" i="839"/>
  <c r="O3113" i="839"/>
  <c r="O3111" i="839"/>
  <c r="O3109" i="839"/>
  <c r="O3107" i="839"/>
  <c r="O3106" i="839"/>
  <c r="O3104" i="839"/>
  <c r="O3102" i="839"/>
  <c r="O3101" i="839"/>
  <c r="O3100" i="839"/>
  <c r="O3099" i="839"/>
  <c r="O3098" i="839"/>
  <c r="O3097" i="839"/>
  <c r="O3096" i="839"/>
  <c r="O3017" i="839"/>
  <c r="O3015" i="839"/>
  <c r="O3013" i="839"/>
  <c r="O3011" i="839"/>
  <c r="O3009" i="839"/>
  <c r="O3008" i="839"/>
  <c r="O3007" i="839"/>
  <c r="O3005" i="839"/>
  <c r="O3003" i="839"/>
  <c r="O3002" i="839"/>
  <c r="O3001" i="839"/>
  <c r="O3000" i="839"/>
  <c r="O2999" i="839"/>
  <c r="O2998" i="839"/>
  <c r="O2997" i="839"/>
  <c r="O2995" i="839"/>
  <c r="O2993" i="839"/>
  <c r="O2991" i="839"/>
  <c r="O2990" i="839"/>
  <c r="O2989" i="839"/>
  <c r="O2988" i="839"/>
  <c r="O2987" i="839"/>
  <c r="O2985" i="839"/>
  <c r="O2983" i="839"/>
  <c r="O2982" i="839"/>
  <c r="O2981" i="839"/>
  <c r="O2980" i="839"/>
  <c r="O2979" i="839"/>
  <c r="O2978" i="839"/>
  <c r="O2977" i="839"/>
  <c r="O2975" i="839"/>
  <c r="O2973" i="839"/>
  <c r="O2972" i="839"/>
  <c r="O2971" i="839"/>
  <c r="O2969" i="839"/>
  <c r="O2968" i="839"/>
  <c r="O2967" i="839"/>
  <c r="O2965" i="839"/>
  <c r="O2963" i="839"/>
  <c r="O2961" i="839"/>
  <c r="O2959" i="839"/>
  <c r="O2957" i="839"/>
  <c r="O2955" i="839"/>
  <c r="O2953" i="839"/>
  <c r="O2951" i="839"/>
  <c r="O2950" i="839"/>
  <c r="O2949" i="839"/>
  <c r="O2947" i="839"/>
  <c r="O2945" i="839"/>
  <c r="O2943" i="839"/>
  <c r="O2941" i="839"/>
  <c r="O2939" i="839"/>
  <c r="O2937" i="839"/>
  <c r="O2936" i="839"/>
  <c r="O2935" i="839"/>
  <c r="O2933" i="839"/>
  <c r="O2932" i="839"/>
  <c r="O2931" i="839"/>
  <c r="O2929" i="839"/>
  <c r="O2928" i="839"/>
  <c r="O2927" i="839"/>
  <c r="O2870" i="839"/>
  <c r="O2869" i="839"/>
  <c r="O2868" i="839"/>
  <c r="O2845" i="839"/>
  <c r="O2844" i="839"/>
  <c r="O2843" i="839"/>
  <c r="O2841" i="839"/>
  <c r="O2840" i="839"/>
  <c r="O2839" i="839"/>
  <c r="O2837" i="839"/>
  <c r="O2836" i="839"/>
  <c r="O2835" i="839"/>
  <c r="O2834" i="839"/>
  <c r="O2833" i="839"/>
  <c r="O2832" i="839"/>
  <c r="O2831" i="839"/>
  <c r="O2830" i="839"/>
  <c r="O2829" i="839"/>
  <c r="O2828" i="839"/>
  <c r="O2827" i="839"/>
  <c r="O2826" i="839"/>
  <c r="O2825" i="839"/>
  <c r="O2824" i="839"/>
  <c r="O2823" i="839"/>
  <c r="O2822" i="839"/>
  <c r="O2821" i="839"/>
  <c r="O2820" i="839"/>
  <c r="O2819" i="839"/>
  <c r="O2818" i="839"/>
  <c r="O2817" i="839"/>
  <c r="O2816" i="839"/>
  <c r="O2815" i="839"/>
  <c r="O2814" i="839"/>
  <c r="O2812" i="839"/>
  <c r="O2811" i="839"/>
  <c r="O2810" i="839"/>
  <c r="O2808" i="839"/>
  <c r="O2806" i="839"/>
  <c r="O2805" i="839"/>
  <c r="O2804" i="839"/>
  <c r="O2803" i="839"/>
  <c r="O2802" i="839"/>
  <c r="O2801" i="839"/>
  <c r="O2800" i="839"/>
  <c r="O2799" i="839"/>
  <c r="O2797" i="839"/>
  <c r="O2796" i="839"/>
  <c r="O2795" i="839"/>
  <c r="O2794" i="839"/>
  <c r="O2793" i="839"/>
  <c r="O2792" i="839"/>
  <c r="O2791" i="839"/>
  <c r="O2790" i="839"/>
  <c r="O2789" i="839"/>
  <c r="O2787" i="839"/>
  <c r="O2666" i="839"/>
  <c r="O2664" i="839"/>
  <c r="O2663" i="839"/>
  <c r="O2662" i="839"/>
  <c r="O2660" i="839"/>
  <c r="O2659" i="839"/>
  <c r="O2658" i="839"/>
  <c r="O2657" i="839"/>
  <c r="O2656" i="839"/>
  <c r="O2654" i="839"/>
  <c r="O2652" i="839"/>
  <c r="O2651" i="839"/>
  <c r="O2650" i="839"/>
  <c r="O2649" i="839"/>
  <c r="O2648" i="839"/>
  <c r="O2646" i="839"/>
  <c r="O2645" i="839"/>
  <c r="O2644" i="839"/>
  <c r="O2643" i="839"/>
  <c r="O2642" i="839"/>
  <c r="O2641" i="839"/>
  <c r="O2640" i="839"/>
  <c r="O2638" i="839"/>
  <c r="O2637" i="839"/>
  <c r="O2636" i="839"/>
  <c r="O2635" i="839"/>
  <c r="O2633" i="839"/>
  <c r="O2632" i="839"/>
  <c r="O2631" i="839"/>
  <c r="O2629" i="839"/>
  <c r="O2628" i="839"/>
  <c r="O2627" i="839"/>
  <c r="O2625" i="839"/>
  <c r="O2623" i="839"/>
  <c r="O2542" i="839"/>
  <c r="O2541" i="839"/>
  <c r="O2540" i="839"/>
  <c r="O2538" i="839"/>
  <c r="O2537" i="839"/>
  <c r="O2536" i="839"/>
  <c r="O2535" i="839"/>
  <c r="O2534" i="839"/>
  <c r="O2533" i="839"/>
  <c r="O2532" i="839"/>
  <c r="O2530" i="839"/>
  <c r="O2528" i="839"/>
  <c r="O2526" i="839"/>
  <c r="O2524" i="839"/>
  <c r="O2522" i="839"/>
  <c r="O2520" i="839"/>
  <c r="O2518" i="839"/>
  <c r="O2517" i="839"/>
  <c r="O2516" i="839"/>
  <c r="O2514" i="839"/>
  <c r="O2512" i="839"/>
  <c r="O2510" i="839"/>
  <c r="O2508" i="839"/>
  <c r="O2506" i="839"/>
  <c r="O2505" i="839"/>
  <c r="O2504" i="839"/>
  <c r="O2502" i="839"/>
  <c r="O2500" i="839"/>
  <c r="O2498" i="839"/>
  <c r="O2497" i="839"/>
  <c r="O2496" i="839"/>
  <c r="O2494" i="839"/>
  <c r="O2492" i="839"/>
  <c r="O2490" i="839"/>
  <c r="O2489" i="839"/>
  <c r="O2488" i="839"/>
  <c r="O2487" i="839"/>
  <c r="O2486" i="839"/>
  <c r="O2485" i="839"/>
  <c r="O2484" i="839"/>
  <c r="O2482" i="839"/>
  <c r="O2480" i="839"/>
  <c r="O2478" i="839"/>
  <c r="O2476" i="839"/>
  <c r="O2474" i="839"/>
  <c r="O2472" i="839"/>
  <c r="O2470" i="839"/>
  <c r="O2469" i="839"/>
  <c r="O2468" i="839"/>
  <c r="O2467" i="839"/>
  <c r="O2466" i="839"/>
  <c r="O2465" i="839"/>
  <c r="O2464" i="839"/>
  <c r="O2462" i="839"/>
  <c r="O2461" i="839"/>
  <c r="O2460" i="839"/>
  <c r="O2458" i="839"/>
  <c r="O2456" i="839"/>
  <c r="O2454" i="839"/>
  <c r="O2452" i="839"/>
  <c r="O2451" i="839"/>
  <c r="O2450" i="839"/>
  <c r="O2448" i="839"/>
  <c r="O2446" i="839"/>
  <c r="O2444" i="839"/>
  <c r="O2443" i="839"/>
  <c r="O2442" i="839"/>
  <c r="O2440" i="839"/>
  <c r="O2438" i="839"/>
  <c r="O2437" i="839"/>
  <c r="O2436" i="839"/>
  <c r="O2435" i="839"/>
  <c r="O2433" i="839"/>
  <c r="O2432" i="839"/>
  <c r="O2431" i="839"/>
  <c r="O2082" i="839"/>
  <c r="O2080" i="839"/>
  <c r="O2078" i="839"/>
  <c r="O2076" i="839"/>
  <c r="O2074" i="839"/>
  <c r="O2073" i="839"/>
  <c r="O2072" i="839"/>
  <c r="O2071" i="839"/>
  <c r="O2070" i="839"/>
  <c r="O2068" i="839"/>
  <c r="O2066" i="839"/>
  <c r="O2064" i="839"/>
  <c r="O2062" i="839"/>
  <c r="O2061" i="839"/>
  <c r="O2059" i="839"/>
  <c r="O2057" i="839"/>
  <c r="O2055" i="839"/>
  <c r="O2053" i="839"/>
  <c r="O2052" i="839"/>
  <c r="O2051" i="839"/>
  <c r="O1859" i="839"/>
  <c r="O1857" i="839"/>
  <c r="O1856" i="839"/>
  <c r="O1854" i="839"/>
  <c r="O1852" i="839"/>
  <c r="O1850" i="839"/>
  <c r="O1849" i="839"/>
  <c r="O1848" i="839"/>
  <c r="O1847" i="839"/>
  <c r="O1846" i="839"/>
  <c r="O1845" i="839"/>
  <c r="O1844" i="839"/>
  <c r="O1843" i="839"/>
  <c r="O1842" i="839"/>
  <c r="O1840" i="839"/>
  <c r="O1838" i="839"/>
  <c r="O1837" i="839"/>
  <c r="O1836" i="839"/>
  <c r="O1834" i="839"/>
  <c r="O1833" i="839"/>
  <c r="O1832" i="839"/>
  <c r="O1830" i="839"/>
  <c r="O1828" i="839"/>
  <c r="O1826" i="839"/>
  <c r="O1824" i="839"/>
  <c r="O1822" i="839"/>
  <c r="O1820" i="839"/>
  <c r="O1819" i="839"/>
  <c r="O1818" i="839"/>
  <c r="O1817" i="839"/>
  <c r="O1816" i="839"/>
  <c r="O1815" i="839"/>
  <c r="O1814" i="839"/>
  <c r="O1813" i="839"/>
  <c r="O1812" i="839"/>
  <c r="O1810" i="839"/>
  <c r="O1808" i="839"/>
  <c r="O1806" i="839"/>
  <c r="O1804" i="839"/>
  <c r="O1802" i="839"/>
  <c r="O1800" i="839"/>
  <c r="O1799" i="839"/>
  <c r="O1798" i="839"/>
  <c r="O1796" i="839"/>
  <c r="O1794" i="839"/>
  <c r="O1793" i="839"/>
  <c r="O1792" i="839"/>
  <c r="O1790" i="839"/>
  <c r="O1788" i="839"/>
  <c r="O1787" i="839"/>
  <c r="O1786" i="839"/>
  <c r="O1785" i="839"/>
  <c r="O1784" i="839"/>
  <c r="O1783" i="839"/>
  <c r="O1782" i="839"/>
  <c r="O1781" i="839"/>
  <c r="O1780" i="839"/>
  <c r="O1779" i="839"/>
  <c r="O1777" i="839"/>
  <c r="O1775" i="839"/>
  <c r="O1773" i="839"/>
  <c r="O1710" i="839"/>
  <c r="O1709" i="839"/>
  <c r="O1708" i="839"/>
  <c r="O1707" i="839"/>
  <c r="O1706" i="839"/>
  <c r="O1705" i="839"/>
  <c r="O1704" i="839"/>
  <c r="O1703" i="839"/>
  <c r="O1702" i="839"/>
  <c r="O1701" i="839"/>
  <c r="O1700" i="839"/>
  <c r="O1699" i="839"/>
  <c r="O1698" i="839"/>
  <c r="O1697" i="839"/>
  <c r="O1695" i="839"/>
  <c r="O1694" i="839"/>
  <c r="O1693" i="839"/>
  <c r="O1692" i="839"/>
  <c r="O1691" i="839"/>
  <c r="O1690" i="839"/>
  <c r="O1689" i="839"/>
  <c r="O1688" i="839"/>
  <c r="O1687" i="839"/>
  <c r="O1686" i="839"/>
  <c r="O1685" i="839"/>
  <c r="O1684" i="839"/>
  <c r="O1683" i="839"/>
  <c r="O1682" i="839"/>
  <c r="O1681" i="839"/>
  <c r="O1680" i="839"/>
  <c r="O1679" i="839"/>
  <c r="O1678" i="839"/>
  <c r="O1677" i="839"/>
  <c r="O1676" i="839"/>
  <c r="O1675" i="839"/>
  <c r="O1674" i="839"/>
  <c r="O1672" i="839"/>
  <c r="O1670" i="839"/>
  <c r="O1669" i="839"/>
  <c r="O1668" i="839"/>
  <c r="O1667" i="839"/>
  <c r="O1666" i="839"/>
  <c r="O1665" i="839"/>
  <c r="O1664" i="839"/>
  <c r="O1663" i="839"/>
  <c r="O1662" i="839"/>
  <c r="O1660" i="839"/>
  <c r="O1658" i="839"/>
  <c r="O1657" i="839"/>
  <c r="O1656" i="839"/>
  <c r="O1654" i="839"/>
  <c r="O1653" i="839"/>
  <c r="O1652" i="839"/>
  <c r="O1651" i="839"/>
  <c r="O1650" i="839"/>
  <c r="O1649" i="839"/>
  <c r="O1648" i="839"/>
  <c r="O1647" i="839"/>
  <c r="O1646" i="839"/>
  <c r="O1645" i="839"/>
  <c r="O1409" i="839"/>
  <c r="O1407" i="839"/>
  <c r="O1406" i="839"/>
  <c r="O1405" i="839"/>
  <c r="O1404" i="839"/>
  <c r="O1403" i="839"/>
  <c r="O1402" i="839"/>
  <c r="O1401" i="839"/>
  <c r="O1399" i="839"/>
  <c r="O1398" i="839"/>
  <c r="O1397" i="839"/>
  <c r="O1396" i="839"/>
  <c r="O1394" i="839"/>
  <c r="O1392" i="839"/>
  <c r="O1390" i="839"/>
  <c r="O1388" i="839"/>
  <c r="O1386" i="839"/>
  <c r="O1385" i="839"/>
  <c r="O1384" i="839"/>
  <c r="O1383" i="839"/>
  <c r="O1382" i="839"/>
  <c r="O1380" i="839"/>
  <c r="O1378" i="839"/>
  <c r="O1376" i="839"/>
  <c r="O1375" i="839"/>
  <c r="O1374" i="839"/>
  <c r="O1372" i="839"/>
  <c r="O1371" i="839"/>
  <c r="O1370" i="839"/>
  <c r="O1369" i="839"/>
  <c r="O1368" i="839"/>
  <c r="O1366" i="839"/>
  <c r="O1364" i="839"/>
  <c r="O1363" i="839"/>
  <c r="O1362" i="839"/>
  <c r="O1360" i="839"/>
  <c r="O1359" i="839"/>
  <c r="O1358" i="839"/>
  <c r="O1357" i="839"/>
  <c r="O1356" i="839"/>
  <c r="O1355" i="839"/>
  <c r="O1354" i="839"/>
  <c r="O1352" i="839"/>
  <c r="O1351" i="839"/>
  <c r="O1350" i="839"/>
  <c r="O1349" i="839"/>
  <c r="O1348" i="839"/>
  <c r="O1347" i="839"/>
  <c r="O1346" i="839"/>
  <c r="O1344" i="839"/>
  <c r="O1343" i="839"/>
  <c r="O1342" i="839"/>
  <c r="O1225" i="839"/>
  <c r="O1223" i="839"/>
  <c r="O1222" i="839"/>
  <c r="O1221" i="839"/>
  <c r="O1219" i="839"/>
  <c r="O1218" i="839"/>
  <c r="O1216" i="839"/>
  <c r="O1214" i="839"/>
  <c r="O1212" i="839"/>
  <c r="O1211" i="839"/>
  <c r="O1210" i="839"/>
  <c r="O1208" i="839"/>
  <c r="O1207" i="839"/>
  <c r="O1206" i="839"/>
  <c r="O1204" i="839"/>
  <c r="O1203" i="839"/>
  <c r="O1202" i="839"/>
  <c r="O1201" i="839"/>
  <c r="O1200" i="839"/>
  <c r="O1199" i="839"/>
  <c r="O1198" i="839"/>
  <c r="O1196" i="839"/>
  <c r="O1195" i="839"/>
  <c r="O1194" i="839"/>
  <c r="O1192" i="839"/>
  <c r="O1191" i="839"/>
  <c r="O1190" i="839"/>
  <c r="O1188" i="839"/>
  <c r="O1187" i="839"/>
  <c r="O1186" i="839"/>
  <c r="O1185" i="839"/>
  <c r="O1184" i="839"/>
  <c r="O1183" i="839"/>
  <c r="O1182" i="839"/>
  <c r="O1180" i="839"/>
  <c r="O1178" i="839"/>
  <c r="O1116" i="839"/>
  <c r="O1114" i="839"/>
  <c r="O1112" i="839"/>
  <c r="O1111" i="839"/>
  <c r="O1110" i="839"/>
  <c r="O1109" i="839"/>
  <c r="O1108" i="839"/>
  <c r="O1107" i="839"/>
  <c r="O1106" i="839"/>
  <c r="O1104" i="839"/>
  <c r="O1103" i="839"/>
  <c r="O1102" i="839"/>
  <c r="O1101" i="839"/>
  <c r="O1100" i="839"/>
  <c r="O1099" i="839"/>
  <c r="O1098" i="839"/>
  <c r="O1097" i="839"/>
  <c r="O1096" i="839"/>
  <c r="O1094" i="839"/>
  <c r="O1092" i="839"/>
  <c r="O1090" i="839"/>
  <c r="O1088" i="839"/>
  <c r="O1087" i="839"/>
  <c r="O1086" i="839"/>
  <c r="O1084" i="839"/>
  <c r="O1083" i="839"/>
  <c r="O1082" i="839"/>
  <c r="O1081" i="839"/>
  <c r="O1080" i="839"/>
  <c r="O1079" i="839"/>
  <c r="O1078" i="839"/>
  <c r="O1076" i="839"/>
  <c r="O1075" i="839"/>
  <c r="O1074" i="839"/>
  <c r="O1073" i="839"/>
  <c r="O1072" i="839"/>
  <c r="O1071" i="839"/>
  <c r="O1070" i="839"/>
  <c r="O1069" i="839"/>
  <c r="O1068" i="839"/>
  <c r="O1066" i="839"/>
  <c r="O1064" i="839"/>
  <c r="O1062" i="839"/>
  <c r="O1061" i="839"/>
  <c r="O1060" i="839"/>
  <c r="O1058" i="839"/>
  <c r="O1057" i="839"/>
  <c r="O1056" i="839"/>
  <c r="O1055" i="839"/>
  <c r="O1054" i="839"/>
  <c r="O1052" i="839"/>
  <c r="O1051" i="839"/>
  <c r="O1050" i="839"/>
  <c r="O1049" i="839"/>
  <c r="O1048" i="839"/>
  <c r="O1047" i="839"/>
  <c r="O1046" i="839"/>
  <c r="O1045" i="839"/>
  <c r="O1044" i="839"/>
  <c r="O1043" i="839"/>
  <c r="O1042" i="839"/>
  <c r="O1041" i="839"/>
  <c r="O1040" i="839"/>
  <c r="O1039" i="839"/>
  <c r="O1038" i="839"/>
  <c r="O1036" i="839"/>
  <c r="O1035" i="839"/>
  <c r="O1034" i="839"/>
  <c r="O1033" i="839"/>
  <c r="O1032" i="839"/>
  <c r="O1031" i="839"/>
  <c r="O1030" i="839"/>
  <c r="O1029" i="839"/>
  <c r="O1028" i="839"/>
  <c r="O1027" i="839"/>
  <c r="O1026" i="839"/>
  <c r="O1025" i="839"/>
  <c r="O1024" i="839"/>
  <c r="O1023" i="839"/>
  <c r="O1022" i="839"/>
  <c r="O930" i="839"/>
  <c r="O929" i="839"/>
  <c r="O928" i="839"/>
  <c r="O927" i="839"/>
  <c r="O926" i="839"/>
  <c r="O925" i="839"/>
  <c r="O924" i="839"/>
  <c r="O923" i="839"/>
  <c r="O922" i="839"/>
  <c r="O921" i="839"/>
  <c r="O920" i="839"/>
  <c r="O919" i="839"/>
  <c r="O918" i="839"/>
  <c r="O917" i="839"/>
  <c r="O916" i="839"/>
  <c r="O915" i="839"/>
  <c r="O914" i="839"/>
  <c r="O912" i="839"/>
  <c r="O911" i="839"/>
  <c r="O910" i="839"/>
  <c r="O908" i="839"/>
  <c r="O907" i="839"/>
  <c r="O905" i="839"/>
  <c r="O904" i="839"/>
  <c r="O903" i="839"/>
  <c r="O902" i="839"/>
  <c r="O900" i="839"/>
  <c r="O899" i="839"/>
  <c r="O898" i="839"/>
  <c r="O896" i="839"/>
  <c r="O895" i="839"/>
  <c r="O894" i="839"/>
  <c r="O893" i="839"/>
  <c r="O892" i="839"/>
  <c r="O891" i="839"/>
  <c r="O890" i="839"/>
  <c r="O889" i="839"/>
  <c r="O888" i="839"/>
  <c r="O887" i="839"/>
  <c r="O886" i="839"/>
  <c r="O884" i="839"/>
  <c r="O883" i="839"/>
  <c r="O882" i="839"/>
  <c r="O881" i="839"/>
  <c r="O880" i="839"/>
  <c r="O879" i="839"/>
  <c r="O878" i="839"/>
  <c r="O876" i="839"/>
  <c r="O875" i="839"/>
  <c r="O874" i="839"/>
  <c r="O872" i="839"/>
  <c r="O871" i="839"/>
  <c r="O870" i="839"/>
  <c r="O868" i="839"/>
  <c r="O867" i="839"/>
  <c r="O866" i="839"/>
  <c r="O865" i="839"/>
  <c r="O864" i="839"/>
  <c r="O863" i="839"/>
  <c r="O862" i="839"/>
  <c r="O861" i="839"/>
  <c r="O860" i="839"/>
  <c r="O859" i="839"/>
  <c r="O858" i="839"/>
  <c r="O856" i="839"/>
  <c r="O854" i="839"/>
  <c r="O852" i="839"/>
  <c r="O850" i="839"/>
  <c r="O848" i="839"/>
  <c r="O847" i="839"/>
  <c r="O846" i="839"/>
  <c r="O844" i="839"/>
  <c r="O843" i="839"/>
  <c r="O842" i="839"/>
  <c r="O840" i="839"/>
  <c r="O839" i="839"/>
  <c r="O838" i="839"/>
  <c r="O837" i="839"/>
  <c r="O836" i="839"/>
  <c r="O835" i="839"/>
  <c r="O834" i="839"/>
  <c r="O832" i="839"/>
  <c r="O831" i="839"/>
  <c r="O830" i="839"/>
  <c r="O828" i="839"/>
  <c r="O827" i="839"/>
  <c r="O826" i="839"/>
  <c r="O825" i="839"/>
  <c r="O824" i="839"/>
  <c r="O823" i="839"/>
  <c r="O822" i="839"/>
  <c r="O821" i="839"/>
  <c r="O820" i="839"/>
  <c r="O819" i="839"/>
  <c r="O818" i="839"/>
  <c r="O817" i="839"/>
  <c r="O816" i="839"/>
  <c r="O752" i="839"/>
  <c r="O750" i="839"/>
  <c r="O749" i="839"/>
  <c r="O748" i="839"/>
  <c r="O747" i="839"/>
  <c r="O746" i="839"/>
  <c r="O744" i="839"/>
  <c r="O742" i="839"/>
  <c r="O741" i="839"/>
  <c r="O740" i="839"/>
  <c r="O739" i="839"/>
  <c r="O738" i="839"/>
  <c r="O736" i="839"/>
  <c r="O734" i="839"/>
  <c r="O733" i="839"/>
  <c r="O732" i="839"/>
  <c r="O731" i="839"/>
  <c r="O730" i="839"/>
  <c r="O729" i="839"/>
  <c r="O728" i="839"/>
  <c r="O727" i="839"/>
  <c r="O726" i="839"/>
  <c r="O725" i="839"/>
  <c r="O724" i="839"/>
  <c r="O722" i="839"/>
  <c r="O721" i="839"/>
  <c r="O720" i="839"/>
  <c r="O719" i="839"/>
  <c r="O718" i="839"/>
  <c r="O717" i="839"/>
  <c r="O716" i="839"/>
  <c r="O715" i="839"/>
  <c r="O714" i="839"/>
  <c r="O713" i="839"/>
  <c r="O712" i="839"/>
  <c r="O711" i="839"/>
  <c r="O709" i="839"/>
  <c r="O708" i="839"/>
  <c r="O707" i="839"/>
  <c r="O706" i="839"/>
  <c r="O705" i="839"/>
  <c r="O704" i="839"/>
  <c r="O703" i="839"/>
  <c r="O701" i="839"/>
  <c r="O700" i="839"/>
  <c r="O699" i="839"/>
  <c r="O697" i="839"/>
  <c r="O696" i="839"/>
  <c r="O695" i="839"/>
  <c r="O693" i="839"/>
  <c r="O692" i="839"/>
  <c r="O691" i="839"/>
  <c r="O690" i="839"/>
  <c r="O689" i="839"/>
  <c r="O688" i="839"/>
  <c r="O687" i="839"/>
  <c r="O686" i="839"/>
  <c r="O685" i="839"/>
  <c r="O684" i="839"/>
  <c r="O683" i="839"/>
  <c r="O681" i="839"/>
  <c r="O680" i="839"/>
  <c r="O679" i="839"/>
  <c r="O677" i="839"/>
  <c r="O676" i="839"/>
  <c r="O675" i="839"/>
  <c r="O673" i="839"/>
  <c r="O671" i="839"/>
  <c r="O670" i="839"/>
  <c r="O669" i="839"/>
  <c r="O668" i="839"/>
  <c r="O667" i="839"/>
  <c r="O666" i="839"/>
  <c r="O665" i="839"/>
  <c r="O664" i="839"/>
  <c r="O663" i="839"/>
  <c r="O661" i="839"/>
  <c r="O660" i="839"/>
  <c r="O659" i="839"/>
  <c r="O658" i="839"/>
  <c r="O657" i="839"/>
  <c r="O656" i="839"/>
  <c r="O509" i="839"/>
  <c r="O508" i="839"/>
  <c r="O507" i="839"/>
  <c r="O506" i="839"/>
  <c r="O505" i="839"/>
  <c r="O503" i="839"/>
  <c r="O502" i="839"/>
  <c r="O501" i="839"/>
  <c r="O500" i="839"/>
  <c r="O499" i="839"/>
  <c r="O498" i="839"/>
  <c r="O497" i="839"/>
  <c r="O496" i="839"/>
  <c r="O495" i="839"/>
  <c r="O494" i="839"/>
  <c r="O493" i="839"/>
  <c r="O492" i="839"/>
  <c r="O491" i="839"/>
  <c r="O490" i="839"/>
  <c r="O489" i="839"/>
  <c r="O488" i="839"/>
  <c r="O274" i="839"/>
  <c r="O273" i="839"/>
  <c r="O272" i="839"/>
  <c r="O270" i="839"/>
  <c r="O268" i="839"/>
  <c r="O267" i="839"/>
  <c r="O266" i="839"/>
  <c r="O265" i="839"/>
  <c r="O264" i="839"/>
  <c r="O263" i="839"/>
  <c r="O262" i="839"/>
  <c r="O261" i="839"/>
  <c r="O260" i="839"/>
  <c r="O259" i="839"/>
  <c r="O258" i="839"/>
  <c r="O257" i="839"/>
  <c r="O256" i="839"/>
  <c r="O255" i="839"/>
  <c r="O254" i="839"/>
  <c r="O253" i="839"/>
  <c r="O252" i="839"/>
  <c r="O251" i="839"/>
  <c r="O250" i="839"/>
  <c r="O249" i="839"/>
  <c r="O248" i="839"/>
  <c r="O247" i="839"/>
  <c r="O246" i="839"/>
  <c r="O245" i="839"/>
  <c r="O244" i="839"/>
  <c r="O242" i="839"/>
  <c r="O240" i="839"/>
  <c r="O238" i="839"/>
  <c r="O237" i="839"/>
  <c r="O236" i="839"/>
  <c r="O234" i="839"/>
  <c r="O233" i="839"/>
  <c r="O232" i="839"/>
  <c r="O230" i="839"/>
  <c r="O228" i="839"/>
  <c r="O226" i="839"/>
  <c r="O224" i="839"/>
  <c r="O222" i="839"/>
  <c r="O221" i="839"/>
  <c r="O220" i="839"/>
  <c r="O218" i="839"/>
  <c r="O217" i="839"/>
  <c r="O216" i="839"/>
  <c r="O215" i="839"/>
  <c r="O214" i="839"/>
  <c r="O213" i="839"/>
  <c r="O212" i="839"/>
  <c r="O211" i="839"/>
  <c r="O210" i="839"/>
  <c r="O209" i="839"/>
  <c r="O208" i="839"/>
  <c r="O207" i="839"/>
  <c r="O206" i="839"/>
  <c r="O205" i="839"/>
  <c r="O204" i="839"/>
  <c r="O202" i="839"/>
  <c r="O200" i="839"/>
  <c r="O199" i="839"/>
  <c r="O198" i="839"/>
  <c r="O196" i="839"/>
  <c r="O194" i="839"/>
  <c r="O192" i="839"/>
  <c r="O190" i="839"/>
  <c r="O189" i="839"/>
  <c r="O188" i="839"/>
  <c r="O187" i="839"/>
  <c r="O186" i="839"/>
  <c r="O185" i="839"/>
  <c r="O184" i="839"/>
  <c r="O183" i="839"/>
  <c r="O182" i="839"/>
  <c r="O181" i="839"/>
  <c r="O180" i="839"/>
  <c r="O179" i="839"/>
  <c r="O178" i="839"/>
  <c r="O177" i="839"/>
  <c r="O176" i="839"/>
  <c r="O174" i="839"/>
  <c r="O173" i="839"/>
  <c r="O172" i="839"/>
  <c r="O170" i="839"/>
  <c r="O169" i="839"/>
  <c r="O168" i="839"/>
  <c r="O166" i="839"/>
  <c r="O164" i="839"/>
  <c r="O162" i="839"/>
  <c r="O161" i="839"/>
  <c r="O160" i="839"/>
  <c r="O159" i="839"/>
  <c r="O158" i="839"/>
  <c r="O157" i="839"/>
  <c r="O156" i="839"/>
  <c r="O154" i="839"/>
  <c r="O153" i="839"/>
  <c r="O152" i="839"/>
  <c r="O151" i="839"/>
  <c r="O150" i="839"/>
  <c r="O149" i="839"/>
  <c r="O148" i="839"/>
  <c r="O146" i="839"/>
  <c r="O144" i="839"/>
  <c r="O142" i="839"/>
  <c r="O140" i="839"/>
  <c r="O138" i="839"/>
  <c r="O137" i="839"/>
  <c r="O136" i="839"/>
  <c r="O135" i="839"/>
  <c r="O134" i="839"/>
  <c r="O133" i="839"/>
  <c r="O132" i="839"/>
  <c r="O131" i="839"/>
  <c r="O130" i="839"/>
  <c r="O129" i="839"/>
  <c r="O128" i="839"/>
  <c r="O126" i="839"/>
  <c r="O125" i="839"/>
  <c r="O124" i="839"/>
  <c r="O123" i="839"/>
  <c r="O121" i="839"/>
  <c r="O120" i="839"/>
  <c r="O119" i="839"/>
  <c r="O117" i="839"/>
  <c r="O115" i="839"/>
  <c r="O114" i="839"/>
  <c r="O112" i="839"/>
  <c r="O111" i="839"/>
  <c r="O110" i="839"/>
  <c r="O108" i="839"/>
  <c r="O106" i="839"/>
  <c r="O104" i="839"/>
  <c r="O102" i="839"/>
  <c r="O101" i="839"/>
  <c r="O100" i="839"/>
  <c r="O98" i="839"/>
  <c r="O97" i="839"/>
  <c r="O96" i="839"/>
  <c r="O94" i="839"/>
  <c r="O92" i="839"/>
  <c r="O90" i="839"/>
  <c r="O88" i="839"/>
  <c r="O86" i="839"/>
  <c r="O85" i="839"/>
  <c r="O84" i="839"/>
  <c r="O82" i="839"/>
  <c r="O81" i="839"/>
  <c r="O80" i="839"/>
  <c r="O79" i="839"/>
  <c r="O78" i="839"/>
  <c r="O77" i="839"/>
  <c r="O76" i="839"/>
  <c r="O74" i="839"/>
  <c r="O72" i="839"/>
  <c r="O71" i="839"/>
  <c r="O70" i="839"/>
  <c r="O68" i="839"/>
  <c r="O67" i="839"/>
  <c r="O66" i="839"/>
  <c r="O64" i="839"/>
  <c r="O62" i="839"/>
  <c r="O61" i="839"/>
  <c r="O60" i="839"/>
  <c r="O58" i="839"/>
  <c r="O57" i="839"/>
  <c r="O56" i="839"/>
  <c r="O55" i="839"/>
  <c r="O54" i="839"/>
  <c r="O53" i="839"/>
  <c r="O52" i="839"/>
  <c r="O50" i="839"/>
  <c r="O3137" i="839"/>
  <c r="O3136" i="839"/>
  <c r="O3135" i="839"/>
  <c r="O3134" i="839"/>
  <c r="O3133" i="839"/>
  <c r="O3132" i="839"/>
  <c r="O3131" i="839"/>
  <c r="O3130" i="839"/>
  <c r="O3129" i="839"/>
  <c r="O3128" i="839"/>
  <c r="O3127" i="839"/>
  <c r="O3126" i="839"/>
  <c r="O3125" i="839"/>
  <c r="O3124" i="839"/>
  <c r="O3123" i="839"/>
  <c r="O3122" i="839"/>
  <c r="O3121" i="839"/>
  <c r="O3120" i="839"/>
  <c r="O3094" i="839"/>
  <c r="O3093" i="839"/>
  <c r="O3092" i="839"/>
  <c r="O3091" i="839"/>
  <c r="O3090" i="839"/>
  <c r="O3089" i="839"/>
  <c r="O3088" i="839"/>
  <c r="O3087" i="839"/>
  <c r="O3086" i="839"/>
  <c r="O3085" i="839"/>
  <c r="O3084" i="839"/>
  <c r="O3083" i="839"/>
  <c r="O3082" i="839"/>
  <c r="O3081" i="839"/>
  <c r="O3080" i="839"/>
  <c r="O3079" i="839"/>
  <c r="O3078" i="839"/>
  <c r="O3077" i="839"/>
  <c r="O3076" i="839"/>
  <c r="O3075" i="839"/>
  <c r="O3074" i="839"/>
  <c r="O3073" i="839"/>
  <c r="O3072" i="839"/>
  <c r="O3071" i="839"/>
  <c r="O3070" i="839"/>
  <c r="O3069" i="839"/>
  <c r="O3068" i="839"/>
  <c r="O3067" i="839"/>
  <c r="O3066" i="839"/>
  <c r="O3065" i="839"/>
  <c r="O3064" i="839"/>
  <c r="O3063" i="839"/>
  <c r="O3062" i="839"/>
  <c r="O3061" i="839"/>
  <c r="O3060" i="839"/>
  <c r="O3059" i="839"/>
  <c r="O3058" i="839"/>
  <c r="O3057" i="839"/>
  <c r="O3056" i="839"/>
  <c r="O3055" i="839"/>
  <c r="O3054" i="839"/>
  <c r="O3053" i="839"/>
  <c r="O3052" i="839"/>
  <c r="O3051" i="839"/>
  <c r="O3050" i="839"/>
  <c r="O3049" i="839"/>
  <c r="O3048" i="839"/>
  <c r="O3047" i="839"/>
  <c r="O3046" i="839"/>
  <c r="O3045" i="839"/>
  <c r="O3044" i="839"/>
  <c r="O3043" i="839"/>
  <c r="O3042" i="839"/>
  <c r="O3041" i="839"/>
  <c r="O3040" i="839"/>
  <c r="O3039" i="839"/>
  <c r="O3038" i="839"/>
  <c r="O3037" i="839"/>
  <c r="O3036" i="839"/>
  <c r="O3035" i="839"/>
  <c r="O3034" i="839"/>
  <c r="O3033" i="839"/>
  <c r="O3032" i="839"/>
  <c r="O3031" i="839"/>
  <c r="O3030" i="839"/>
  <c r="O3029" i="839"/>
  <c r="O3028" i="839"/>
  <c r="O3027" i="839"/>
  <c r="O3026" i="839"/>
  <c r="O3025" i="839"/>
  <c r="O3024" i="839"/>
  <c r="O3023" i="839"/>
  <c r="O3022" i="839"/>
  <c r="O3021" i="839"/>
  <c r="O3020" i="839"/>
  <c r="O3019" i="839"/>
  <c r="O3018" i="839"/>
  <c r="O2925" i="839"/>
  <c r="O2924" i="839"/>
  <c r="O2923" i="839"/>
  <c r="O2922" i="839"/>
  <c r="O2921" i="839"/>
  <c r="O2920" i="839"/>
  <c r="O2919" i="839"/>
  <c r="O2918" i="839"/>
  <c r="O2917" i="839"/>
  <c r="O2916" i="839"/>
  <c r="O2915" i="839"/>
  <c r="O2914" i="839"/>
  <c r="O2913" i="839"/>
  <c r="O2912" i="839"/>
  <c r="O2911" i="839"/>
  <c r="O2910" i="839"/>
  <c r="O2909" i="839"/>
  <c r="O2908" i="839"/>
  <c r="O2907" i="839"/>
  <c r="O2906" i="839"/>
  <c r="O2905" i="839"/>
  <c r="O2904" i="839"/>
  <c r="O2903" i="839"/>
  <c r="O2902" i="839"/>
  <c r="O2901" i="839"/>
  <c r="O2900" i="839"/>
  <c r="O2899" i="839"/>
  <c r="O2898" i="839"/>
  <c r="O2897" i="839"/>
  <c r="O2896" i="839"/>
  <c r="O2895" i="839"/>
  <c r="O2894" i="839"/>
  <c r="O2893" i="839"/>
  <c r="O2892" i="839"/>
  <c r="O2891" i="839"/>
  <c r="O2890" i="839"/>
  <c r="O2889" i="839"/>
  <c r="O2888" i="839"/>
  <c r="O2887" i="839"/>
  <c r="O2886" i="839"/>
  <c r="O2885" i="839"/>
  <c r="O2884" i="839"/>
  <c r="O2883" i="839"/>
  <c r="O2882" i="839"/>
  <c r="O2881" i="839"/>
  <c r="O2880" i="839"/>
  <c r="O2879" i="839"/>
  <c r="O2878" i="839"/>
  <c r="O2877" i="839"/>
  <c r="O2876" i="839"/>
  <c r="O2875" i="839"/>
  <c r="O2874" i="839"/>
  <c r="O2873" i="839"/>
  <c r="O2872" i="839"/>
  <c r="O2871" i="839"/>
  <c r="O2867" i="839"/>
  <c r="O2866" i="839"/>
  <c r="O2865" i="839"/>
  <c r="O2864" i="839"/>
  <c r="O2863" i="839"/>
  <c r="O2862" i="839"/>
  <c r="O2861" i="839"/>
  <c r="O2860" i="839"/>
  <c r="O2859" i="839"/>
  <c r="O2858" i="839"/>
  <c r="O2857" i="839"/>
  <c r="O2856" i="839"/>
  <c r="O2855" i="839"/>
  <c r="O2854" i="839"/>
  <c r="O2853" i="839"/>
  <c r="O2852" i="839"/>
  <c r="O2851" i="839"/>
  <c r="O2850" i="839"/>
  <c r="O2849" i="839"/>
  <c r="O2848" i="839"/>
  <c r="O2847" i="839"/>
  <c r="O2846" i="839"/>
  <c r="O2785" i="839"/>
  <c r="O2784" i="839"/>
  <c r="O2783" i="839"/>
  <c r="O2782" i="839"/>
  <c r="O2781" i="839"/>
  <c r="O2780" i="839"/>
  <c r="O2779" i="839"/>
  <c r="O2778" i="839"/>
  <c r="O2777" i="839"/>
  <c r="O2776" i="839"/>
  <c r="O2775" i="839"/>
  <c r="O2774" i="839"/>
  <c r="O2773" i="839"/>
  <c r="O2772" i="839"/>
  <c r="O2771" i="839"/>
  <c r="O2770" i="839"/>
  <c r="O2769" i="839"/>
  <c r="O2768" i="839"/>
  <c r="O2767" i="839"/>
  <c r="O2766" i="839"/>
  <c r="O2765" i="839"/>
  <c r="O2764" i="839"/>
  <c r="O2763" i="839"/>
  <c r="O2762" i="839"/>
  <c r="O2761" i="839"/>
  <c r="O2760" i="839"/>
  <c r="O2759" i="839"/>
  <c r="O2758" i="839"/>
  <c r="O2757" i="839"/>
  <c r="O2756" i="839"/>
  <c r="O2755" i="839"/>
  <c r="O2754" i="839"/>
  <c r="O2753" i="839"/>
  <c r="O2752" i="839"/>
  <c r="O2751" i="839"/>
  <c r="O2750" i="839"/>
  <c r="O2749" i="839"/>
  <c r="O2748" i="839"/>
  <c r="O2747" i="839"/>
  <c r="O2746" i="839"/>
  <c r="O2745" i="839"/>
  <c r="O2744" i="839"/>
  <c r="O2743" i="839"/>
  <c r="O2742" i="839"/>
  <c r="O2741" i="839"/>
  <c r="O2740" i="839"/>
  <c r="O2739" i="839"/>
  <c r="O2738" i="839"/>
  <c r="O2737" i="839"/>
  <c r="O2736" i="839"/>
  <c r="O2735" i="839"/>
  <c r="O2734" i="839"/>
  <c r="O2733" i="839"/>
  <c r="O2732" i="839"/>
  <c r="O2731" i="839"/>
  <c r="O2730" i="839"/>
  <c r="O2729" i="839"/>
  <c r="O2728" i="839"/>
  <c r="O2727" i="839"/>
  <c r="O2726" i="839"/>
  <c r="O2725" i="839"/>
  <c r="O2724" i="839"/>
  <c r="O2723" i="839"/>
  <c r="O2722" i="839"/>
  <c r="O2721" i="839"/>
  <c r="O2720" i="839"/>
  <c r="O2719" i="839"/>
  <c r="O2718" i="839"/>
  <c r="O2717" i="839"/>
  <c r="O2716" i="839"/>
  <c r="O2715" i="839"/>
  <c r="O2714" i="839"/>
  <c r="O2713" i="839"/>
  <c r="O2712" i="839"/>
  <c r="O2711" i="839"/>
  <c r="O2710" i="839"/>
  <c r="O2709" i="839"/>
  <c r="O2708" i="839"/>
  <c r="O2707" i="839"/>
  <c r="O2706" i="839"/>
  <c r="O2705" i="839"/>
  <c r="O2704" i="839"/>
  <c r="O2703" i="839"/>
  <c r="O2702" i="839"/>
  <c r="O2701" i="839"/>
  <c r="O2700" i="839"/>
  <c r="O2699" i="839"/>
  <c r="O2698" i="839"/>
  <c r="O2697" i="839"/>
  <c r="O2696" i="839"/>
  <c r="O2695" i="839"/>
  <c r="O2694" i="839"/>
  <c r="O2693" i="839"/>
  <c r="O2692" i="839"/>
  <c r="O2691" i="839"/>
  <c r="O2690" i="839"/>
  <c r="O2689" i="839"/>
  <c r="O2688" i="839"/>
  <c r="O2687" i="839"/>
  <c r="O2686" i="839"/>
  <c r="O2685" i="839"/>
  <c r="O2684" i="839"/>
  <c r="O2683" i="839"/>
  <c r="O2682" i="839"/>
  <c r="O2681" i="839"/>
  <c r="O2680" i="839"/>
  <c r="O2679" i="839"/>
  <c r="O2678" i="839"/>
  <c r="O2677" i="839"/>
  <c r="O2676" i="839"/>
  <c r="O2675" i="839"/>
  <c r="O2674" i="839"/>
  <c r="O2673" i="839"/>
  <c r="O2672" i="839"/>
  <c r="O2671" i="839"/>
  <c r="O2670" i="839"/>
  <c r="O2669" i="839"/>
  <c r="O2668" i="839"/>
  <c r="O2667" i="839"/>
  <c r="O2621" i="839"/>
  <c r="O2620" i="839"/>
  <c r="O2619" i="839"/>
  <c r="O2618" i="839"/>
  <c r="O2617" i="839"/>
  <c r="O2616" i="839"/>
  <c r="O2615" i="839"/>
  <c r="O2614" i="839"/>
  <c r="O2613" i="839"/>
  <c r="O2612" i="839"/>
  <c r="O2611" i="839"/>
  <c r="O2610" i="839"/>
  <c r="O2609" i="839"/>
  <c r="O2608" i="839"/>
  <c r="O2607" i="839"/>
  <c r="O2606" i="839"/>
  <c r="O2605" i="839"/>
  <c r="O2604" i="839"/>
  <c r="O2603" i="839"/>
  <c r="O2602" i="839"/>
  <c r="O2601" i="839"/>
  <c r="O2600" i="839"/>
  <c r="O2599" i="839"/>
  <c r="O2598" i="839"/>
  <c r="O2597" i="839"/>
  <c r="O2596" i="839"/>
  <c r="O2595" i="839"/>
  <c r="O2594" i="839"/>
  <c r="O2593" i="839"/>
  <c r="O2592" i="839"/>
  <c r="O2591" i="839"/>
  <c r="O2590" i="839"/>
  <c r="O2589" i="839"/>
  <c r="O2588" i="839"/>
  <c r="O2587" i="839"/>
  <c r="O2586" i="839"/>
  <c r="O2585" i="839"/>
  <c r="O2584" i="839"/>
  <c r="O2583" i="839"/>
  <c r="O2582" i="839"/>
  <c r="O2581" i="839"/>
  <c r="O2580" i="839"/>
  <c r="O2579" i="839"/>
  <c r="O2578" i="839"/>
  <c r="O2577" i="839"/>
  <c r="O2576" i="839"/>
  <c r="O2575" i="839"/>
  <c r="O2574" i="839"/>
  <c r="O2573" i="839"/>
  <c r="O2572" i="839"/>
  <c r="O2571" i="839"/>
  <c r="O2570" i="839"/>
  <c r="O2569" i="839"/>
  <c r="O2568" i="839"/>
  <c r="O2567" i="839"/>
  <c r="O2566" i="839"/>
  <c r="O2565" i="839"/>
  <c r="O2564" i="839"/>
  <c r="O2563" i="839"/>
  <c r="O2562" i="839"/>
  <c r="O2561" i="839"/>
  <c r="O2560" i="839"/>
  <c r="O2559" i="839"/>
  <c r="O2558" i="839"/>
  <c r="O2557" i="839"/>
  <c r="O2556" i="839"/>
  <c r="O2555" i="839"/>
  <c r="O2554" i="839"/>
  <c r="O2553" i="839"/>
  <c r="O2552" i="839"/>
  <c r="O2551" i="839"/>
  <c r="O2550" i="839"/>
  <c r="O2549" i="839"/>
  <c r="O2548" i="839"/>
  <c r="O2547" i="839"/>
  <c r="O2546" i="839"/>
  <c r="O2545" i="839"/>
  <c r="O2544" i="839"/>
  <c r="O2543" i="839"/>
  <c r="O2429" i="839"/>
  <c r="O2428" i="839"/>
  <c r="O2427" i="839"/>
  <c r="O2426" i="839"/>
  <c r="O2425" i="839"/>
  <c r="O2424" i="839"/>
  <c r="O2423" i="839"/>
  <c r="O2422" i="839"/>
  <c r="O2421" i="839"/>
  <c r="O2420" i="839"/>
  <c r="O2419" i="839"/>
  <c r="O2418" i="839"/>
  <c r="O2417" i="839"/>
  <c r="O2416" i="839"/>
  <c r="O2415" i="839"/>
  <c r="O2414" i="839"/>
  <c r="O2413" i="839"/>
  <c r="O2412" i="839"/>
  <c r="O2411" i="839"/>
  <c r="O2410" i="839"/>
  <c r="O2409" i="839"/>
  <c r="O2408" i="839"/>
  <c r="O2407" i="839"/>
  <c r="O2406" i="839"/>
  <c r="O2405" i="839"/>
  <c r="O2404" i="839"/>
  <c r="O2403" i="839"/>
  <c r="O2402" i="839"/>
  <c r="O2401" i="839"/>
  <c r="O2400" i="839"/>
  <c r="O2399" i="839"/>
  <c r="O2398" i="839"/>
  <c r="O2397" i="839"/>
  <c r="O2396" i="839"/>
  <c r="O2395" i="839"/>
  <c r="O2394" i="839"/>
  <c r="O2393" i="839"/>
  <c r="O2392" i="839"/>
  <c r="O2391" i="839"/>
  <c r="O2390" i="839"/>
  <c r="O2389" i="839"/>
  <c r="O2388" i="839"/>
  <c r="O2387" i="839"/>
  <c r="O2386" i="839"/>
  <c r="O2385" i="839"/>
  <c r="O2384" i="839"/>
  <c r="O2383" i="839"/>
  <c r="O2382" i="839"/>
  <c r="O2381" i="839"/>
  <c r="O2380" i="839"/>
  <c r="O2379" i="839"/>
  <c r="O2378" i="839"/>
  <c r="O2377" i="839"/>
  <c r="O2376" i="839"/>
  <c r="O2375" i="839"/>
  <c r="O2374" i="839"/>
  <c r="O2373" i="839"/>
  <c r="O2372" i="839"/>
  <c r="O2371" i="839"/>
  <c r="O2370" i="839"/>
  <c r="O2369" i="839"/>
  <c r="O2368" i="839"/>
  <c r="O2367" i="839"/>
  <c r="O2366" i="839"/>
  <c r="O2365" i="839"/>
  <c r="O2364" i="839"/>
  <c r="O2363" i="839"/>
  <c r="O2362" i="839"/>
  <c r="O2361" i="839"/>
  <c r="O2360" i="839"/>
  <c r="O2359" i="839"/>
  <c r="O2358" i="839"/>
  <c r="O2357" i="839"/>
  <c r="O2356" i="839"/>
  <c r="O2355" i="839"/>
  <c r="O2354" i="839"/>
  <c r="O2353" i="839"/>
  <c r="O2352" i="839"/>
  <c r="O2351" i="839"/>
  <c r="O2350" i="839"/>
  <c r="O2349" i="839"/>
  <c r="O2348" i="839"/>
  <c r="O2347" i="839"/>
  <c r="O2346" i="839"/>
  <c r="O2345" i="839"/>
  <c r="O2344" i="839"/>
  <c r="O2343" i="839"/>
  <c r="O2342" i="839"/>
  <c r="O2341" i="839"/>
  <c r="O2340" i="839"/>
  <c r="O2339" i="839"/>
  <c r="O2338" i="839"/>
  <c r="O2337" i="839"/>
  <c r="O2336" i="839"/>
  <c r="O2335" i="839"/>
  <c r="O2334" i="839"/>
  <c r="O2333" i="839"/>
  <c r="O2332" i="839"/>
  <c r="O2331" i="839"/>
  <c r="O2330" i="839"/>
  <c r="O2329" i="839"/>
  <c r="O2328" i="839"/>
  <c r="O2327" i="839"/>
  <c r="O2326" i="839"/>
  <c r="O2325" i="839"/>
  <c r="O2324" i="839"/>
  <c r="O2323" i="839"/>
  <c r="O2322" i="839"/>
  <c r="O2321" i="839"/>
  <c r="O2320" i="839"/>
  <c r="O2319" i="839"/>
  <c r="O2318" i="839"/>
  <c r="O2317" i="839"/>
  <c r="O2316" i="839"/>
  <c r="O2315" i="839"/>
  <c r="O2314" i="839"/>
  <c r="O2313" i="839"/>
  <c r="O2312" i="839"/>
  <c r="O2311" i="839"/>
  <c r="O2310" i="839"/>
  <c r="O2309" i="839"/>
  <c r="O2308" i="839"/>
  <c r="O2307" i="839"/>
  <c r="O2306" i="839"/>
  <c r="O2305" i="839"/>
  <c r="O2304" i="839"/>
  <c r="O2303" i="839"/>
  <c r="O2302" i="839"/>
  <c r="O2301" i="839"/>
  <c r="O2300" i="839"/>
  <c r="O2299" i="839"/>
  <c r="O2298" i="839"/>
  <c r="O2297" i="839"/>
  <c r="O2296" i="839"/>
  <c r="O2295" i="839"/>
  <c r="O2294" i="839"/>
  <c r="O2293" i="839"/>
  <c r="O2292" i="839"/>
  <c r="O2291" i="839"/>
  <c r="O2290" i="839"/>
  <c r="O2289" i="839"/>
  <c r="O2288" i="839"/>
  <c r="O2287" i="839"/>
  <c r="O2286" i="839"/>
  <c r="O2285" i="839"/>
  <c r="O2284" i="839"/>
  <c r="O2283" i="839"/>
  <c r="O2282" i="839"/>
  <c r="O2281" i="839"/>
  <c r="O2280" i="839"/>
  <c r="O2279" i="839"/>
  <c r="O2278" i="839"/>
  <c r="O2277" i="839"/>
  <c r="O2276" i="839"/>
  <c r="O2275" i="839"/>
  <c r="O2274" i="839"/>
  <c r="O2273" i="839"/>
  <c r="O2272" i="839"/>
  <c r="O2271" i="839"/>
  <c r="O2270" i="839"/>
  <c r="O2269" i="839"/>
  <c r="O2268" i="839"/>
  <c r="O2267" i="839"/>
  <c r="O2266" i="839"/>
  <c r="O2265" i="839"/>
  <c r="O2264" i="839"/>
  <c r="O2263" i="839"/>
  <c r="O2262" i="839"/>
  <c r="O2261" i="839"/>
  <c r="O2260" i="839"/>
  <c r="O2259" i="839"/>
  <c r="O2258" i="839"/>
  <c r="O2257" i="839"/>
  <c r="O2256" i="839"/>
  <c r="O2255" i="839"/>
  <c r="O2254" i="839"/>
  <c r="O2253" i="839"/>
  <c r="O2252" i="839"/>
  <c r="O2251" i="839"/>
  <c r="O2250" i="839"/>
  <c r="O2249" i="839"/>
  <c r="O2248" i="839"/>
  <c r="O2247" i="839"/>
  <c r="O2246" i="839"/>
  <c r="O2245" i="839"/>
  <c r="O2244" i="839"/>
  <c r="O2243" i="839"/>
  <c r="O2242" i="839"/>
  <c r="O2241" i="839"/>
  <c r="O2240" i="839"/>
  <c r="O2239" i="839"/>
  <c r="O2238" i="839"/>
  <c r="O2237" i="839"/>
  <c r="O2236" i="839"/>
  <c r="O2235" i="839"/>
  <c r="O2234" i="839"/>
  <c r="O2233" i="839"/>
  <c r="O2232" i="839"/>
  <c r="O2231" i="839"/>
  <c r="O2230" i="839"/>
  <c r="O2229" i="839"/>
  <c r="O2228" i="839"/>
  <c r="O2227" i="839"/>
  <c r="O2226" i="839"/>
  <c r="O2225" i="839"/>
  <c r="O2224" i="839"/>
  <c r="O2223" i="839"/>
  <c r="O2222" i="839"/>
  <c r="O2221" i="839"/>
  <c r="O2220" i="839"/>
  <c r="O2219" i="839"/>
  <c r="O2218" i="839"/>
  <c r="O2217" i="839"/>
  <c r="O2216" i="839"/>
  <c r="O2215" i="839"/>
  <c r="O2214" i="839"/>
  <c r="O2213" i="839"/>
  <c r="O2212" i="839"/>
  <c r="O2211" i="839"/>
  <c r="O2210" i="839"/>
  <c r="O2209" i="839"/>
  <c r="O2208" i="839"/>
  <c r="O2207" i="839"/>
  <c r="O2206" i="839"/>
  <c r="O2205" i="839"/>
  <c r="O2204" i="839"/>
  <c r="O2203" i="839"/>
  <c r="O2202" i="839"/>
  <c r="O2201" i="839"/>
  <c r="O2200" i="839"/>
  <c r="O2199" i="839"/>
  <c r="O2198" i="839"/>
  <c r="O2197" i="839"/>
  <c r="O2196" i="839"/>
  <c r="O2195" i="839"/>
  <c r="O2194" i="839"/>
  <c r="O2193" i="839"/>
  <c r="O2192" i="839"/>
  <c r="O2191" i="839"/>
  <c r="O2190" i="839"/>
  <c r="O2189" i="839"/>
  <c r="O2188" i="839"/>
  <c r="O2187" i="839"/>
  <c r="O2186" i="839"/>
  <c r="O2185" i="839"/>
  <c r="O2184" i="839"/>
  <c r="O2183" i="839"/>
  <c r="O2182" i="839"/>
  <c r="O2181" i="839"/>
  <c r="O2180" i="839"/>
  <c r="O2179" i="839"/>
  <c r="O2178" i="839"/>
  <c r="O2177" i="839"/>
  <c r="O2176" i="839"/>
  <c r="O2175" i="839"/>
  <c r="O2174" i="839"/>
  <c r="O2173" i="839"/>
  <c r="O2172" i="839"/>
  <c r="O2171" i="839"/>
  <c r="O2170" i="839"/>
  <c r="O2169" i="839"/>
  <c r="O2168" i="839"/>
  <c r="O2167" i="839"/>
  <c r="O2166" i="839"/>
  <c r="O2165" i="839"/>
  <c r="O2164" i="839"/>
  <c r="O2163" i="839"/>
  <c r="O2162" i="839"/>
  <c r="O2161" i="839"/>
  <c r="O2160" i="839"/>
  <c r="O2159" i="839"/>
  <c r="O2158" i="839"/>
  <c r="O2157" i="839"/>
  <c r="O2156" i="839"/>
  <c r="O2155" i="839"/>
  <c r="O2154" i="839"/>
  <c r="O2153" i="839"/>
  <c r="O2152" i="839"/>
  <c r="O2151" i="839"/>
  <c r="O2150" i="839"/>
  <c r="O2149" i="839"/>
  <c r="O2148" i="839"/>
  <c r="O2147" i="839"/>
  <c r="O2146" i="839"/>
  <c r="O2145" i="839"/>
  <c r="O2144" i="839"/>
  <c r="O2143" i="839"/>
  <c r="O2142" i="839"/>
  <c r="O2141" i="839"/>
  <c r="O2140" i="839"/>
  <c r="O2139" i="839"/>
  <c r="O2138" i="839"/>
  <c r="O2137" i="839"/>
  <c r="O2136" i="839"/>
  <c r="O2135" i="839"/>
  <c r="O2134" i="839"/>
  <c r="O2133" i="839"/>
  <c r="O2132" i="839"/>
  <c r="O2131" i="839"/>
  <c r="O2130" i="839"/>
  <c r="O2129" i="839"/>
  <c r="O2128" i="839"/>
  <c r="O2127" i="839"/>
  <c r="O2126" i="839"/>
  <c r="O2125" i="839"/>
  <c r="O2124" i="839"/>
  <c r="O2123" i="839"/>
  <c r="O2122" i="839"/>
  <c r="O2121" i="839"/>
  <c r="O2120" i="839"/>
  <c r="O2119" i="839"/>
  <c r="O2118" i="839"/>
  <c r="O2117" i="839"/>
  <c r="O2116" i="839"/>
  <c r="O2115" i="839"/>
  <c r="O2114" i="839"/>
  <c r="O2113" i="839"/>
  <c r="O2112" i="839"/>
  <c r="O2111" i="839"/>
  <c r="O2110" i="839"/>
  <c r="O2109" i="839"/>
  <c r="O2108" i="839"/>
  <c r="O2107" i="839"/>
  <c r="O2106" i="839"/>
  <c r="O2105" i="839"/>
  <c r="O2104" i="839"/>
  <c r="O2103" i="839"/>
  <c r="O2102" i="839"/>
  <c r="O2101" i="839"/>
  <c r="O2100" i="839"/>
  <c r="O2099" i="839"/>
  <c r="O2098" i="839"/>
  <c r="O2097" i="839"/>
  <c r="O2096" i="839"/>
  <c r="O2095" i="839"/>
  <c r="O2094" i="839"/>
  <c r="O2093" i="839"/>
  <c r="O2092" i="839"/>
  <c r="O2091" i="839"/>
  <c r="O2090" i="839"/>
  <c r="O2089" i="839"/>
  <c r="O2088" i="839"/>
  <c r="O2087" i="839"/>
  <c r="O2086" i="839"/>
  <c r="O2085" i="839"/>
  <c r="O2084" i="839"/>
  <c r="O2083" i="839"/>
  <c r="O2049" i="839"/>
  <c r="O2048" i="839"/>
  <c r="O2047" i="839"/>
  <c r="O2046" i="839"/>
  <c r="O2045" i="839"/>
  <c r="O2044" i="839"/>
  <c r="O2043" i="839"/>
  <c r="O2042" i="839"/>
  <c r="O2041" i="839"/>
  <c r="O2040" i="839"/>
  <c r="O2039" i="839"/>
  <c r="O2038" i="839"/>
  <c r="O2037" i="839"/>
  <c r="O2036" i="839"/>
  <c r="O2035" i="839"/>
  <c r="O2034" i="839"/>
  <c r="O2033" i="839"/>
  <c r="O2032" i="839"/>
  <c r="O2031" i="839"/>
  <c r="O2030" i="839"/>
  <c r="O2029" i="839"/>
  <c r="O2028" i="839"/>
  <c r="O2027" i="839"/>
  <c r="O2026" i="839"/>
  <c r="O2025" i="839"/>
  <c r="O2024" i="839"/>
  <c r="O2023" i="839"/>
  <c r="O2022" i="839"/>
  <c r="O2021" i="839"/>
  <c r="O2020" i="839"/>
  <c r="O2019" i="839"/>
  <c r="O2018" i="839"/>
  <c r="O2017" i="839"/>
  <c r="O2016" i="839"/>
  <c r="O2015" i="839"/>
  <c r="O2014" i="839"/>
  <c r="O2013" i="839"/>
  <c r="O2012" i="839"/>
  <c r="O2011" i="839"/>
  <c r="O2010" i="839"/>
  <c r="O2009" i="839"/>
  <c r="O2008" i="839"/>
  <c r="O2007" i="839"/>
  <c r="O2006" i="839"/>
  <c r="O2005" i="839"/>
  <c r="O2004" i="839"/>
  <c r="O2003" i="839"/>
  <c r="O2002" i="839"/>
  <c r="O2001" i="839"/>
  <c r="O2000" i="839"/>
  <c r="O1999" i="839"/>
  <c r="O1998" i="839"/>
  <c r="O1997" i="839"/>
  <c r="O1996" i="839"/>
  <c r="O1995" i="839"/>
  <c r="O1994" i="839"/>
  <c r="O1993" i="839"/>
  <c r="O1992" i="839"/>
  <c r="O1991" i="839"/>
  <c r="O1990" i="839"/>
  <c r="O1989" i="839"/>
  <c r="O1988" i="839"/>
  <c r="O1987" i="839"/>
  <c r="O1986" i="839"/>
  <c r="O1985" i="839"/>
  <c r="O1984" i="839"/>
  <c r="O1983" i="839"/>
  <c r="O1982" i="839"/>
  <c r="O1981" i="839"/>
  <c r="O1980" i="839"/>
  <c r="O1979" i="839"/>
  <c r="O1978" i="839"/>
  <c r="O1977" i="839"/>
  <c r="O1976" i="839"/>
  <c r="O1975" i="839"/>
  <c r="O1974" i="839"/>
  <c r="O1973" i="839"/>
  <c r="O1972" i="839"/>
  <c r="O1971" i="839"/>
  <c r="O1970" i="839"/>
  <c r="O1969" i="839"/>
  <c r="O1968" i="839"/>
  <c r="O1967" i="839"/>
  <c r="O1966" i="839"/>
  <c r="O1965" i="839"/>
  <c r="O1964" i="839"/>
  <c r="O1963" i="839"/>
  <c r="O1962" i="839"/>
  <c r="O1961" i="839"/>
  <c r="O1960" i="839"/>
  <c r="O1959" i="839"/>
  <c r="O1958" i="839"/>
  <c r="O1957" i="839"/>
  <c r="O1956" i="839"/>
  <c r="O1955" i="839"/>
  <c r="O1954" i="839"/>
  <c r="O1953" i="839"/>
  <c r="O1952" i="839"/>
  <c r="O1951" i="839"/>
  <c r="O1950" i="839"/>
  <c r="O1949" i="839"/>
  <c r="O1948" i="839"/>
  <c r="O1947" i="839"/>
  <c r="O1946" i="839"/>
  <c r="O1945" i="839"/>
  <c r="O1944" i="839"/>
  <c r="O1943" i="839"/>
  <c r="O1942" i="839"/>
  <c r="O1941" i="839"/>
  <c r="O1940" i="839"/>
  <c r="O1939" i="839"/>
  <c r="O1938" i="839"/>
  <c r="O1937" i="839"/>
  <c r="O1936" i="839"/>
  <c r="O1935" i="839"/>
  <c r="O1934" i="839"/>
  <c r="O1933" i="839"/>
  <c r="O1932" i="839"/>
  <c r="O1931" i="839"/>
  <c r="O1930" i="839"/>
  <c r="O1929" i="839"/>
  <c r="O1928" i="839"/>
  <c r="O1927" i="839"/>
  <c r="O1926" i="839"/>
  <c r="O1925" i="839"/>
  <c r="O1924" i="839"/>
  <c r="O1923" i="839"/>
  <c r="O1922" i="839"/>
  <c r="O1921" i="839"/>
  <c r="O1920" i="839"/>
  <c r="O1919" i="839"/>
  <c r="O1918" i="839"/>
  <c r="O1917" i="839"/>
  <c r="O1916" i="839"/>
  <c r="O1915" i="839"/>
  <c r="O1914" i="839"/>
  <c r="O1913" i="839"/>
  <c r="O1912" i="839"/>
  <c r="O1911" i="839"/>
  <c r="O1910" i="839"/>
  <c r="O1909" i="839"/>
  <c r="O1908" i="839"/>
  <c r="O1907" i="839"/>
  <c r="O1906" i="839"/>
  <c r="O1905" i="839"/>
  <c r="O1904" i="839"/>
  <c r="O1903" i="839"/>
  <c r="O1902" i="839"/>
  <c r="O1901" i="839"/>
  <c r="O1900" i="839"/>
  <c r="O1899" i="839"/>
  <c r="O1898" i="839"/>
  <c r="O1897" i="839"/>
  <c r="O1896" i="839"/>
  <c r="O1895" i="839"/>
  <c r="O1894" i="839"/>
  <c r="O1893" i="839"/>
  <c r="O1892" i="839"/>
  <c r="O1891" i="839"/>
  <c r="O1890" i="839"/>
  <c r="O1889" i="839"/>
  <c r="O1888" i="839"/>
  <c r="O1887" i="839"/>
  <c r="O1886" i="839"/>
  <c r="O1885" i="839"/>
  <c r="O1884" i="839"/>
  <c r="O1883" i="839"/>
  <c r="O1882" i="839"/>
  <c r="O1881" i="839"/>
  <c r="O1880" i="839"/>
  <c r="O1879" i="839"/>
  <c r="O1878" i="839"/>
  <c r="O1877" i="839"/>
  <c r="O1876" i="839"/>
  <c r="O1875" i="839"/>
  <c r="O1874" i="839"/>
  <c r="O1873" i="839"/>
  <c r="O1872" i="839"/>
  <c r="O1871" i="839"/>
  <c r="O1870" i="839"/>
  <c r="O1869" i="839"/>
  <c r="O1868" i="839"/>
  <c r="O1867" i="839"/>
  <c r="O1866" i="839"/>
  <c r="O1865" i="839"/>
  <c r="O1864" i="839"/>
  <c r="O1863" i="839"/>
  <c r="O1862" i="839"/>
  <c r="O1861" i="839"/>
  <c r="O1860" i="839"/>
  <c r="O1772" i="839"/>
  <c r="O1771" i="839"/>
  <c r="O1770" i="839"/>
  <c r="O1769" i="839"/>
  <c r="O1768" i="839"/>
  <c r="O1767" i="839"/>
  <c r="O1766" i="839"/>
  <c r="O1765" i="839"/>
  <c r="O1764" i="839"/>
  <c r="O1763" i="839"/>
  <c r="O1762" i="839"/>
  <c r="O1761" i="839"/>
  <c r="O1760" i="839"/>
  <c r="O1759" i="839"/>
  <c r="O1758" i="839"/>
  <c r="O1757" i="839"/>
  <c r="O1756" i="839"/>
  <c r="O1755" i="839"/>
  <c r="O1754" i="839"/>
  <c r="O1753" i="839"/>
  <c r="O1752" i="839"/>
  <c r="O1751" i="839"/>
  <c r="O1750" i="839"/>
  <c r="O1749" i="839"/>
  <c r="O1748" i="839"/>
  <c r="O1747" i="839"/>
  <c r="O1746" i="839"/>
  <c r="O1745" i="839"/>
  <c r="O1744" i="839"/>
  <c r="O1743" i="839"/>
  <c r="O1742" i="839"/>
  <c r="O1741" i="839"/>
  <c r="O1740" i="839"/>
  <c r="O1739" i="839"/>
  <c r="O1738" i="839"/>
  <c r="O1737" i="839"/>
  <c r="O1736" i="839"/>
  <c r="O1735" i="839"/>
  <c r="O1734" i="839"/>
  <c r="O1733" i="839"/>
  <c r="O1732" i="839"/>
  <c r="O1731" i="839"/>
  <c r="O1730" i="839"/>
  <c r="O1729" i="839"/>
  <c r="O1728" i="839"/>
  <c r="O1727" i="839"/>
  <c r="O1726" i="839"/>
  <c r="O1725" i="839"/>
  <c r="O1724" i="839"/>
  <c r="O1723" i="839"/>
  <c r="O1722" i="839"/>
  <c r="O1721" i="839"/>
  <c r="O1720" i="839"/>
  <c r="O1719" i="839"/>
  <c r="O1718" i="839"/>
  <c r="O1717" i="839"/>
  <c r="O1716" i="839"/>
  <c r="O1715" i="839"/>
  <c r="O1714" i="839"/>
  <c r="O1713" i="839"/>
  <c r="O1712" i="839"/>
  <c r="O1711" i="839"/>
  <c r="O1644" i="839"/>
  <c r="O1643" i="839"/>
  <c r="O1642" i="839"/>
  <c r="O1641" i="839"/>
  <c r="O1640" i="839"/>
  <c r="O1639" i="839"/>
  <c r="O1638" i="839"/>
  <c r="O1637" i="839"/>
  <c r="O1636" i="839"/>
  <c r="O1635" i="839"/>
  <c r="O1634" i="839"/>
  <c r="O1633" i="839"/>
  <c r="O1632" i="839"/>
  <c r="O1631" i="839"/>
  <c r="O1630" i="839"/>
  <c r="O1629" i="839"/>
  <c r="O1628" i="839"/>
  <c r="O1627" i="839"/>
  <c r="O1626" i="839"/>
  <c r="O1625" i="839"/>
  <c r="O1624" i="839"/>
  <c r="O1623" i="839"/>
  <c r="O1622" i="839"/>
  <c r="O1621" i="839"/>
  <c r="O1620" i="839"/>
  <c r="O1619" i="839"/>
  <c r="O1618" i="839"/>
  <c r="O1617" i="839"/>
  <c r="O1616" i="839"/>
  <c r="O1615" i="839"/>
  <c r="O1614" i="839"/>
  <c r="O1613" i="839"/>
  <c r="O1612" i="839"/>
  <c r="O1611" i="839"/>
  <c r="O1610" i="839"/>
  <c r="O1609" i="839"/>
  <c r="O1608" i="839"/>
  <c r="O1607" i="839"/>
  <c r="O1606" i="839"/>
  <c r="O1605" i="839"/>
  <c r="O1604" i="839"/>
  <c r="O1603" i="839"/>
  <c r="O1602" i="839"/>
  <c r="O1601" i="839"/>
  <c r="O1600" i="839"/>
  <c r="O1599" i="839"/>
  <c r="O1598" i="839"/>
  <c r="O1597" i="839"/>
  <c r="O1596" i="839"/>
  <c r="O1595" i="839"/>
  <c r="O1594" i="839"/>
  <c r="O1593" i="839"/>
  <c r="O1592" i="839"/>
  <c r="O1591" i="839"/>
  <c r="O1590" i="839"/>
  <c r="O1589" i="839"/>
  <c r="O1588" i="839"/>
  <c r="O1587" i="839"/>
  <c r="O1586" i="839"/>
  <c r="O1585" i="839"/>
  <c r="O1584" i="839"/>
  <c r="O1583" i="839"/>
  <c r="O1582" i="839"/>
  <c r="O1581" i="839"/>
  <c r="O1580" i="839"/>
  <c r="O1579" i="839"/>
  <c r="O1578" i="839"/>
  <c r="O1577" i="839"/>
  <c r="O1576" i="839"/>
  <c r="O1575" i="839"/>
  <c r="O1574" i="839"/>
  <c r="O1573" i="839"/>
  <c r="O1572" i="839"/>
  <c r="O1571" i="839"/>
  <c r="O1570" i="839"/>
  <c r="O1569" i="839"/>
  <c r="O1568" i="839"/>
  <c r="O1567" i="839"/>
  <c r="O1566" i="839"/>
  <c r="O1565" i="839"/>
  <c r="O1564" i="839"/>
  <c r="O1563" i="839"/>
  <c r="O1562" i="839"/>
  <c r="O1561" i="839"/>
  <c r="O1560" i="839"/>
  <c r="O1559" i="839"/>
  <c r="O1558" i="839"/>
  <c r="O1557" i="839"/>
  <c r="O1556" i="839"/>
  <c r="O1555" i="839"/>
  <c r="O1554" i="839"/>
  <c r="O1553" i="839"/>
  <c r="O1552" i="839"/>
  <c r="O1551" i="839"/>
  <c r="O1550" i="839"/>
  <c r="O1549" i="839"/>
  <c r="O1548" i="839"/>
  <c r="O1547" i="839"/>
  <c r="O1546" i="839"/>
  <c r="O1545" i="839"/>
  <c r="O1544" i="839"/>
  <c r="O1543" i="839"/>
  <c r="O1542" i="839"/>
  <c r="O1541" i="839"/>
  <c r="O1540" i="839"/>
  <c r="O1539" i="839"/>
  <c r="O1538" i="839"/>
  <c r="O1537" i="839"/>
  <c r="O1536" i="839"/>
  <c r="O1535" i="839"/>
  <c r="O1534" i="839"/>
  <c r="O1533" i="839"/>
  <c r="O1532" i="839"/>
  <c r="O1531" i="839"/>
  <c r="O1530" i="839"/>
  <c r="O1529" i="839"/>
  <c r="O1528" i="839"/>
  <c r="O1527" i="839"/>
  <c r="O1526" i="839"/>
  <c r="O1525" i="839"/>
  <c r="O1524" i="839"/>
  <c r="O1523" i="839"/>
  <c r="O1522" i="839"/>
  <c r="O1521" i="839"/>
  <c r="O1520" i="839"/>
  <c r="O1519" i="839"/>
  <c r="O1518" i="839"/>
  <c r="O1517" i="839"/>
  <c r="O1516" i="839"/>
  <c r="O1515" i="839"/>
  <c r="O1514" i="839"/>
  <c r="O1513" i="839"/>
  <c r="O1512" i="839"/>
  <c r="O1511" i="839"/>
  <c r="O1510" i="839"/>
  <c r="O1509" i="839"/>
  <c r="O1508" i="839"/>
  <c r="O1507" i="839"/>
  <c r="O1506" i="839"/>
  <c r="O1505" i="839"/>
  <c r="O1504" i="839"/>
  <c r="O1503" i="839"/>
  <c r="O1502" i="839"/>
  <c r="O1501" i="839"/>
  <c r="O1500" i="839"/>
  <c r="O1499" i="839"/>
  <c r="O1498" i="839"/>
  <c r="O1497" i="839"/>
  <c r="O1496" i="839"/>
  <c r="O1495" i="839"/>
  <c r="O1494" i="839"/>
  <c r="O1493" i="839"/>
  <c r="O1492" i="839"/>
  <c r="O1491" i="839"/>
  <c r="O1490" i="839"/>
  <c r="O1489" i="839"/>
  <c r="O1488" i="839"/>
  <c r="O1487" i="839"/>
  <c r="O1486" i="839"/>
  <c r="O1485" i="839"/>
  <c r="O1484" i="839"/>
  <c r="O1483" i="839"/>
  <c r="O1482" i="839"/>
  <c r="O1481" i="839"/>
  <c r="O1480" i="839"/>
  <c r="O1479" i="839"/>
  <c r="O1478" i="839"/>
  <c r="O1477" i="839"/>
  <c r="O1476" i="839"/>
  <c r="O1475" i="839"/>
  <c r="O1474" i="839"/>
  <c r="O1473" i="839"/>
  <c r="O1472" i="839"/>
  <c r="O1471" i="839"/>
  <c r="O1470" i="839"/>
  <c r="O1469" i="839"/>
  <c r="O1468" i="839"/>
  <c r="O1467" i="839"/>
  <c r="O1466" i="839"/>
  <c r="O1465" i="839"/>
  <c r="O1464" i="839"/>
  <c r="O1463" i="839"/>
  <c r="O1462" i="839"/>
  <c r="O1461" i="839"/>
  <c r="O1460" i="839"/>
  <c r="O1459" i="839"/>
  <c r="O1458" i="839"/>
  <c r="O1457" i="839"/>
  <c r="O1456" i="839"/>
  <c r="O1455" i="839"/>
  <c r="O1454" i="839"/>
  <c r="O1453" i="839"/>
  <c r="O1452" i="839"/>
  <c r="O1451" i="839"/>
  <c r="O1450" i="839"/>
  <c r="O1449" i="839"/>
  <c r="O1448" i="839"/>
  <c r="O1447" i="839"/>
  <c r="O1446" i="839"/>
  <c r="O1445" i="839"/>
  <c r="O1444" i="839"/>
  <c r="O1443" i="839"/>
  <c r="O1442" i="839"/>
  <c r="O1441" i="839"/>
  <c r="O1440" i="839"/>
  <c r="O1439" i="839"/>
  <c r="O1438" i="839"/>
  <c r="O1437" i="839"/>
  <c r="O1436" i="839"/>
  <c r="O1435" i="839"/>
  <c r="O1434" i="839"/>
  <c r="O1433" i="839"/>
  <c r="O1432" i="839"/>
  <c r="O1431" i="839"/>
  <c r="O1430" i="839"/>
  <c r="O1429" i="839"/>
  <c r="O1428" i="839"/>
  <c r="O1427" i="839"/>
  <c r="O1426" i="839"/>
  <c r="O1425" i="839"/>
  <c r="O1424" i="839"/>
  <c r="O1423" i="839"/>
  <c r="O1422" i="839"/>
  <c r="O1421" i="839"/>
  <c r="O1420" i="839"/>
  <c r="O1419" i="839"/>
  <c r="O1418" i="839"/>
  <c r="O1417" i="839"/>
  <c r="O1416" i="839"/>
  <c r="O1415" i="839"/>
  <c r="O1414" i="839"/>
  <c r="O1413" i="839"/>
  <c r="O1412" i="839"/>
  <c r="O1411" i="839"/>
  <c r="O1410" i="839"/>
  <c r="O1341" i="839"/>
  <c r="O1340" i="839"/>
  <c r="O1339" i="839"/>
  <c r="O1338" i="839"/>
  <c r="O1337" i="839"/>
  <c r="O1336" i="839"/>
  <c r="O1335" i="839"/>
  <c r="O1334" i="839"/>
  <c r="O1333" i="839"/>
  <c r="O1332" i="839"/>
  <c r="O1331" i="839"/>
  <c r="O1330" i="839"/>
  <c r="O1329" i="839"/>
  <c r="O1328" i="839"/>
  <c r="O1327" i="839"/>
  <c r="O1326" i="839"/>
  <c r="O1325" i="839"/>
  <c r="O1324" i="839"/>
  <c r="O1323" i="839"/>
  <c r="O1322" i="839"/>
  <c r="O1321" i="839"/>
  <c r="O1320" i="839"/>
  <c r="O1319" i="839"/>
  <c r="O1318" i="839"/>
  <c r="O1317" i="839"/>
  <c r="O1316" i="839"/>
  <c r="O1315" i="839"/>
  <c r="O1314" i="839"/>
  <c r="O1313" i="839"/>
  <c r="O1312" i="839"/>
  <c r="O1311" i="839"/>
  <c r="O1310" i="839"/>
  <c r="O1309" i="839"/>
  <c r="O1308" i="839"/>
  <c r="O1307" i="839"/>
  <c r="O1306" i="839"/>
  <c r="O1305" i="839"/>
  <c r="O1304" i="839"/>
  <c r="O1303" i="839"/>
  <c r="O1302" i="839"/>
  <c r="O1301" i="839"/>
  <c r="O1300" i="839"/>
  <c r="O1299" i="839"/>
  <c r="O1298" i="839"/>
  <c r="O1297" i="839"/>
  <c r="O1296" i="839"/>
  <c r="O1295" i="839"/>
  <c r="O1294" i="839"/>
  <c r="O1293" i="839"/>
  <c r="O1292" i="839"/>
  <c r="O1291" i="839"/>
  <c r="O1290" i="839"/>
  <c r="O1289" i="839"/>
  <c r="O1288" i="839"/>
  <c r="O1287" i="839"/>
  <c r="O1286" i="839"/>
  <c r="O1285" i="839"/>
  <c r="O1284" i="839"/>
  <c r="O1283" i="839"/>
  <c r="O1282" i="839"/>
  <c r="O1281" i="839"/>
  <c r="O1280" i="839"/>
  <c r="O1279" i="839"/>
  <c r="O1278" i="839"/>
  <c r="O1277" i="839"/>
  <c r="O1276" i="839"/>
  <c r="O1275" i="839"/>
  <c r="O1274" i="839"/>
  <c r="O1273" i="839"/>
  <c r="O1272" i="839"/>
  <c r="O1271" i="839"/>
  <c r="O1270" i="839"/>
  <c r="O1269" i="839"/>
  <c r="O1268" i="839"/>
  <c r="O1267" i="839"/>
  <c r="O1266" i="839"/>
  <c r="O1265" i="839"/>
  <c r="O1264" i="839"/>
  <c r="O1263" i="839"/>
  <c r="O1262" i="839"/>
  <c r="O1261" i="839"/>
  <c r="O1260" i="839"/>
  <c r="O1259" i="839"/>
  <c r="O1258" i="839"/>
  <c r="O1257" i="839"/>
  <c r="O1256" i="839"/>
  <c r="O1255" i="839"/>
  <c r="O1254" i="839"/>
  <c r="O1253" i="839"/>
  <c r="O1252" i="839"/>
  <c r="O1251" i="839"/>
  <c r="O1250" i="839"/>
  <c r="O1249" i="839"/>
  <c r="O1248" i="839"/>
  <c r="O1247" i="839"/>
  <c r="O1246" i="839"/>
  <c r="O1245" i="839"/>
  <c r="O1244" i="839"/>
  <c r="O1243" i="839"/>
  <c r="O1242" i="839"/>
  <c r="O1241" i="839"/>
  <c r="O1240" i="839"/>
  <c r="O1239" i="839"/>
  <c r="O1238" i="839"/>
  <c r="O1237" i="839"/>
  <c r="O1236" i="839"/>
  <c r="O1235" i="839"/>
  <c r="O1234" i="839"/>
  <c r="O1233" i="839"/>
  <c r="O1232" i="839"/>
  <c r="O1231" i="839"/>
  <c r="O1230" i="839"/>
  <c r="O1229" i="839"/>
  <c r="O1228" i="839"/>
  <c r="O1227" i="839"/>
  <c r="O1226" i="839"/>
  <c r="O1176" i="839"/>
  <c r="O1175" i="839"/>
  <c r="O1174" i="839"/>
  <c r="O1173" i="839"/>
  <c r="O1172" i="839"/>
  <c r="O1171" i="839"/>
  <c r="O1170" i="839"/>
  <c r="O1169" i="839"/>
  <c r="O1168" i="839"/>
  <c r="O1167" i="839"/>
  <c r="O1166" i="839"/>
  <c r="O1165" i="839"/>
  <c r="O1164" i="839"/>
  <c r="O1163" i="839"/>
  <c r="O1162" i="839"/>
  <c r="O1161" i="839"/>
  <c r="O1160" i="839"/>
  <c r="O1159" i="839"/>
  <c r="O1158" i="839"/>
  <c r="O1157" i="839"/>
  <c r="O1156" i="839"/>
  <c r="O1155" i="839"/>
  <c r="O1154" i="839"/>
  <c r="O1153" i="839"/>
  <c r="O1152" i="839"/>
  <c r="O1151" i="839"/>
  <c r="O1150" i="839"/>
  <c r="O1149" i="839"/>
  <c r="O1148" i="839"/>
  <c r="O1147" i="839"/>
  <c r="O1146" i="839"/>
  <c r="O1145" i="839"/>
  <c r="O1144" i="839"/>
  <c r="O1143" i="839"/>
  <c r="O1142" i="839"/>
  <c r="O1141" i="839"/>
  <c r="O1140" i="839"/>
  <c r="O1139" i="839"/>
  <c r="O1138" i="839"/>
  <c r="O1137" i="839"/>
  <c r="O1136" i="839"/>
  <c r="O1135" i="839"/>
  <c r="O1134" i="839"/>
  <c r="O1133" i="839"/>
  <c r="O1132" i="839"/>
  <c r="O1131" i="839"/>
  <c r="O1130" i="839"/>
  <c r="O1129" i="839"/>
  <c r="O1128" i="839"/>
  <c r="O1127" i="839"/>
  <c r="O1126" i="839"/>
  <c r="O1125" i="839"/>
  <c r="O1124" i="839"/>
  <c r="O1123" i="839"/>
  <c r="O1122" i="839"/>
  <c r="O1121" i="839"/>
  <c r="O1120" i="839"/>
  <c r="O1119" i="839"/>
  <c r="O1118" i="839"/>
  <c r="O1117" i="839"/>
  <c r="O1021" i="839"/>
  <c r="O1020" i="839"/>
  <c r="O1019" i="839"/>
  <c r="O1018" i="839"/>
  <c r="O1017" i="839"/>
  <c r="O1016" i="839"/>
  <c r="O1015" i="839"/>
  <c r="O1014" i="839"/>
  <c r="O1013" i="839"/>
  <c r="O1012" i="839"/>
  <c r="O1011" i="839"/>
  <c r="O1010" i="839"/>
  <c r="O1009" i="839"/>
  <c r="O1008" i="839"/>
  <c r="O1007" i="839"/>
  <c r="O1006" i="839"/>
  <c r="O1005" i="839"/>
  <c r="O1004" i="839"/>
  <c r="O1003" i="839"/>
  <c r="O1002" i="839"/>
  <c r="O1001" i="839"/>
  <c r="O1000" i="839"/>
  <c r="O999" i="839"/>
  <c r="O998" i="839"/>
  <c r="O997" i="839"/>
  <c r="O996" i="839"/>
  <c r="O995" i="839"/>
  <c r="O994" i="839"/>
  <c r="O993" i="839"/>
  <c r="O992" i="839"/>
  <c r="O991" i="839"/>
  <c r="O990" i="839"/>
  <c r="O989" i="839"/>
  <c r="O988" i="839"/>
  <c r="O987" i="839"/>
  <c r="O986" i="839"/>
  <c r="O985" i="839"/>
  <c r="O984" i="839"/>
  <c r="O983" i="839"/>
  <c r="O982" i="839"/>
  <c r="O981" i="839"/>
  <c r="O980" i="839"/>
  <c r="O979" i="839"/>
  <c r="O978" i="839"/>
  <c r="O977" i="839"/>
  <c r="O976" i="839"/>
  <c r="O975" i="839"/>
  <c r="O974" i="839"/>
  <c r="O973" i="839"/>
  <c r="O972" i="839"/>
  <c r="O971" i="839"/>
  <c r="O970" i="839"/>
  <c r="O969" i="839"/>
  <c r="O968" i="839"/>
  <c r="O967" i="839"/>
  <c r="O966" i="839"/>
  <c r="O965" i="839"/>
  <c r="O964" i="839"/>
  <c r="O963" i="839"/>
  <c r="O962" i="839"/>
  <c r="O961" i="839"/>
  <c r="O960" i="839"/>
  <c r="O959" i="839"/>
  <c r="O958" i="839"/>
  <c r="O957" i="839"/>
  <c r="O956" i="839"/>
  <c r="O955" i="839"/>
  <c r="O954" i="839"/>
  <c r="O953" i="839"/>
  <c r="O952" i="839"/>
  <c r="O951" i="839"/>
  <c r="O950" i="839"/>
  <c r="O949" i="839"/>
  <c r="O948" i="839"/>
  <c r="O947" i="839"/>
  <c r="O946" i="839"/>
  <c r="O945" i="839"/>
  <c r="O944" i="839"/>
  <c r="O943" i="839"/>
  <c r="O942" i="839"/>
  <c r="O941" i="839"/>
  <c r="O940" i="839"/>
  <c r="O939" i="839"/>
  <c r="O938" i="839"/>
  <c r="O937" i="839"/>
  <c r="O936" i="839"/>
  <c r="O935" i="839"/>
  <c r="O934" i="839"/>
  <c r="O933" i="839"/>
  <c r="O932" i="839"/>
  <c r="O931" i="839"/>
  <c r="O815" i="839"/>
  <c r="O814" i="839"/>
  <c r="O813" i="839"/>
  <c r="O812" i="839"/>
  <c r="O811" i="839"/>
  <c r="O810" i="839"/>
  <c r="O809" i="839"/>
  <c r="O808" i="839"/>
  <c r="O807" i="839"/>
  <c r="O806" i="839"/>
  <c r="O805" i="839"/>
  <c r="O804" i="839"/>
  <c r="O803" i="839"/>
  <c r="O802" i="839"/>
  <c r="O801" i="839"/>
  <c r="O800" i="839"/>
  <c r="O799" i="839"/>
  <c r="O798" i="839"/>
  <c r="O797" i="839"/>
  <c r="O796" i="839"/>
  <c r="O795" i="839"/>
  <c r="O794" i="839"/>
  <c r="O793" i="839"/>
  <c r="O792" i="839"/>
  <c r="O791" i="839"/>
  <c r="O790" i="839"/>
  <c r="O789" i="839"/>
  <c r="O788" i="839"/>
  <c r="O787" i="839"/>
  <c r="O786" i="839"/>
  <c r="O785" i="839"/>
  <c r="O784" i="839"/>
  <c r="O783" i="839"/>
  <c r="O782" i="839"/>
  <c r="O781" i="839"/>
  <c r="O780" i="839"/>
  <c r="O779" i="839"/>
  <c r="O778" i="839"/>
  <c r="O777" i="839"/>
  <c r="O776" i="839"/>
  <c r="O775" i="839"/>
  <c r="O774" i="839"/>
  <c r="O773" i="839"/>
  <c r="O772" i="839"/>
  <c r="O771" i="839"/>
  <c r="O770" i="839"/>
  <c r="O769" i="839"/>
  <c r="O768" i="839"/>
  <c r="O767" i="839"/>
  <c r="O766" i="839"/>
  <c r="O765" i="839"/>
  <c r="O764" i="839"/>
  <c r="O763" i="839"/>
  <c r="O762" i="839"/>
  <c r="O761" i="839"/>
  <c r="O760" i="839"/>
  <c r="O759" i="839"/>
  <c r="O758" i="839"/>
  <c r="O757" i="839"/>
  <c r="O756" i="839"/>
  <c r="O755" i="839"/>
  <c r="O754" i="839"/>
  <c r="O753" i="839"/>
  <c r="O655" i="839"/>
  <c r="O654" i="839"/>
  <c r="O653" i="839"/>
  <c r="O652" i="839"/>
  <c r="O651" i="839"/>
  <c r="O650" i="839"/>
  <c r="O649" i="839"/>
  <c r="O648" i="839"/>
  <c r="O647" i="839"/>
  <c r="O646" i="839"/>
  <c r="O645" i="839"/>
  <c r="O644" i="839"/>
  <c r="O643" i="839"/>
  <c r="O642" i="839"/>
  <c r="O641" i="839"/>
  <c r="O640" i="839"/>
  <c r="O639" i="839"/>
  <c r="O638" i="839"/>
  <c r="O637" i="839"/>
  <c r="O636" i="839"/>
  <c r="O635" i="839"/>
  <c r="O634" i="839"/>
  <c r="O633" i="839"/>
  <c r="O632" i="839"/>
  <c r="O631" i="839"/>
  <c r="O630" i="839"/>
  <c r="O629" i="839"/>
  <c r="O628" i="839"/>
  <c r="O627" i="839"/>
  <c r="O626" i="839"/>
  <c r="O625" i="839"/>
  <c r="O624" i="839"/>
  <c r="O623" i="839"/>
  <c r="O622" i="839"/>
  <c r="O621" i="839"/>
  <c r="O620" i="839"/>
  <c r="O619" i="839"/>
  <c r="O618" i="839"/>
  <c r="O617" i="839"/>
  <c r="O616" i="839"/>
  <c r="O615" i="839"/>
  <c r="O614" i="839"/>
  <c r="O613" i="839"/>
  <c r="O612" i="839"/>
  <c r="O611" i="839"/>
  <c r="O610" i="839"/>
  <c r="O609" i="839"/>
  <c r="O608" i="839"/>
  <c r="O607" i="839"/>
  <c r="O606" i="839"/>
  <c r="O605" i="839"/>
  <c r="O604" i="839"/>
  <c r="O603" i="839"/>
  <c r="O602" i="839"/>
  <c r="O601" i="839"/>
  <c r="O600" i="839"/>
  <c r="O599" i="839"/>
  <c r="O598" i="839"/>
  <c r="O597" i="839"/>
  <c r="O596" i="839"/>
  <c r="O595" i="839"/>
  <c r="O594" i="839"/>
  <c r="O593" i="839"/>
  <c r="O592" i="839"/>
  <c r="O591" i="839"/>
  <c r="O590" i="839"/>
  <c r="O589" i="839"/>
  <c r="O588" i="839"/>
  <c r="O587" i="839"/>
  <c r="O586" i="839"/>
  <c r="O585" i="839"/>
  <c r="O584" i="839"/>
  <c r="O583" i="839"/>
  <c r="O582" i="839"/>
  <c r="O581" i="839"/>
  <c r="O580" i="839"/>
  <c r="O579" i="839"/>
  <c r="O578" i="839"/>
  <c r="O577" i="839"/>
  <c r="O576" i="839"/>
  <c r="O575" i="839"/>
  <c r="O574" i="839"/>
  <c r="O573" i="839"/>
  <c r="O572" i="839"/>
  <c r="O571" i="839"/>
  <c r="O570" i="839"/>
  <c r="O569" i="839"/>
  <c r="O568" i="839"/>
  <c r="O567" i="839"/>
  <c r="O566" i="839"/>
  <c r="O565" i="839"/>
  <c r="O564" i="839"/>
  <c r="O563" i="839"/>
  <c r="O562" i="839"/>
  <c r="O561" i="839"/>
  <c r="O560" i="839"/>
  <c r="O559" i="839"/>
  <c r="O558" i="839"/>
  <c r="O557" i="839"/>
  <c r="O556" i="839"/>
  <c r="O555" i="839"/>
  <c r="O554" i="839"/>
  <c r="O553" i="839"/>
  <c r="O552" i="839"/>
  <c r="O551" i="839"/>
  <c r="O550" i="839"/>
  <c r="O549" i="839"/>
  <c r="O548" i="839"/>
  <c r="O547" i="839"/>
  <c r="O546" i="839"/>
  <c r="O545" i="839"/>
  <c r="O544" i="839"/>
  <c r="O543" i="839"/>
  <c r="O542" i="839"/>
  <c r="O541" i="839"/>
  <c r="O540" i="839"/>
  <c r="O539" i="839"/>
  <c r="O538" i="839"/>
  <c r="O537" i="839"/>
  <c r="O536" i="839"/>
  <c r="O535" i="839"/>
  <c r="O534" i="839"/>
  <c r="O533" i="839"/>
  <c r="O532" i="839"/>
  <c r="O531" i="839"/>
  <c r="O530" i="839"/>
  <c r="O529" i="839"/>
  <c r="O528" i="839"/>
  <c r="O527" i="839"/>
  <c r="O526" i="839"/>
  <c r="O525" i="839"/>
  <c r="O524" i="839"/>
  <c r="O523" i="839"/>
  <c r="O522" i="839"/>
  <c r="O521" i="839"/>
  <c r="O520" i="839"/>
  <c r="O519" i="839"/>
  <c r="O518" i="839"/>
  <c r="O517" i="839"/>
  <c r="O516" i="839"/>
  <c r="O515" i="839"/>
  <c r="O514" i="839"/>
  <c r="O513" i="839"/>
  <c r="O512" i="839"/>
  <c r="O511" i="839"/>
  <c r="O510" i="839"/>
  <c r="O487" i="839"/>
  <c r="O486" i="839"/>
  <c r="O485" i="839"/>
  <c r="O484" i="839"/>
  <c r="O483" i="839"/>
  <c r="O482" i="839"/>
  <c r="O481" i="839"/>
  <c r="O480" i="839"/>
  <c r="O479" i="839"/>
  <c r="O478" i="839"/>
  <c r="O477" i="839"/>
  <c r="O476" i="839"/>
  <c r="O475" i="839"/>
  <c r="O474" i="839"/>
  <c r="O473" i="839"/>
  <c r="O472" i="839"/>
  <c r="O471" i="839"/>
  <c r="O470" i="839"/>
  <c r="O469" i="839"/>
  <c r="O468" i="839"/>
  <c r="O467" i="839"/>
  <c r="O466" i="839"/>
  <c r="O465" i="839"/>
  <c r="O464" i="839"/>
  <c r="O463" i="839"/>
  <c r="O462" i="839"/>
  <c r="O461" i="839"/>
  <c r="O460" i="839"/>
  <c r="O459" i="839"/>
  <c r="O458" i="839"/>
  <c r="O457" i="839"/>
  <c r="O456" i="839"/>
  <c r="O455" i="839"/>
  <c r="O454" i="839"/>
  <c r="O453" i="839"/>
  <c r="O452" i="839"/>
  <c r="O451" i="839"/>
  <c r="O450" i="839"/>
  <c r="O449" i="839"/>
  <c r="O448" i="839"/>
  <c r="O447" i="839"/>
  <c r="O446" i="839"/>
  <c r="O445" i="839"/>
  <c r="O444" i="839"/>
  <c r="O443" i="839"/>
  <c r="O442" i="839"/>
  <c r="O441" i="839"/>
  <c r="O440" i="839"/>
  <c r="O439" i="839"/>
  <c r="O438" i="839"/>
  <c r="O437" i="839"/>
  <c r="O436" i="839"/>
  <c r="O435" i="839"/>
  <c r="O434" i="839"/>
  <c r="O433" i="839"/>
  <c r="O432" i="839"/>
  <c r="O431" i="839"/>
  <c r="O430" i="839"/>
  <c r="O429" i="839"/>
  <c r="O428" i="839"/>
  <c r="O427" i="839"/>
  <c r="O426" i="839"/>
  <c r="O425" i="839"/>
  <c r="O424" i="839"/>
  <c r="O423" i="839"/>
  <c r="O422" i="839"/>
  <c r="O421" i="839"/>
  <c r="O420" i="839"/>
  <c r="O419" i="839"/>
  <c r="O418" i="839"/>
  <c r="O417" i="839"/>
  <c r="O416" i="839"/>
  <c r="O415" i="839"/>
  <c r="O414" i="839"/>
  <c r="O413" i="839"/>
  <c r="O412" i="839"/>
  <c r="O411" i="839"/>
  <c r="O410" i="839"/>
  <c r="O409" i="839"/>
  <c r="O408" i="839"/>
  <c r="O407" i="839"/>
  <c r="O406" i="839"/>
  <c r="O405" i="839"/>
  <c r="O404" i="839"/>
  <c r="O403" i="839"/>
  <c r="O402" i="839"/>
  <c r="O401" i="839"/>
  <c r="O400" i="839"/>
  <c r="O399" i="839"/>
  <c r="O398" i="839"/>
  <c r="O397" i="839"/>
  <c r="O396" i="839"/>
  <c r="O395" i="839"/>
  <c r="O394" i="839"/>
  <c r="O393" i="839"/>
  <c r="O392" i="839"/>
  <c r="O391" i="839"/>
  <c r="O390" i="839"/>
  <c r="O389" i="839"/>
  <c r="O388" i="839"/>
  <c r="O387" i="839"/>
  <c r="O386" i="839"/>
  <c r="O385" i="839"/>
  <c r="O384" i="839"/>
  <c r="O383" i="839"/>
  <c r="O382" i="839"/>
  <c r="O381" i="839"/>
  <c r="O380" i="839"/>
  <c r="O379" i="839"/>
  <c r="O378" i="839"/>
  <c r="O377" i="839"/>
  <c r="O376" i="839"/>
  <c r="O375" i="839"/>
  <c r="O374" i="839"/>
  <c r="O373" i="839"/>
  <c r="O372" i="839"/>
  <c r="O371" i="839"/>
  <c r="O370" i="839"/>
  <c r="O369" i="839"/>
  <c r="O368" i="839"/>
  <c r="O367" i="839"/>
  <c r="O366" i="839"/>
  <c r="O365" i="839"/>
  <c r="O364" i="839"/>
  <c r="O363" i="839"/>
  <c r="O362" i="839"/>
  <c r="O361" i="839"/>
  <c r="O360" i="839"/>
  <c r="O359" i="839"/>
  <c r="O358" i="839"/>
  <c r="O357" i="839"/>
  <c r="O356" i="839"/>
  <c r="O355" i="839"/>
  <c r="O354" i="839"/>
  <c r="O353" i="839"/>
  <c r="O352" i="839"/>
  <c r="O351" i="839"/>
  <c r="O350" i="839"/>
  <c r="O349" i="839"/>
  <c r="O348" i="839"/>
  <c r="O347" i="839"/>
  <c r="O346" i="839"/>
  <c r="O345" i="839"/>
  <c r="O344" i="839"/>
  <c r="O343" i="839"/>
  <c r="O342" i="839"/>
  <c r="O341" i="839"/>
  <c r="O340" i="839"/>
  <c r="O339" i="839"/>
  <c r="O338" i="839"/>
  <c r="O337" i="839"/>
  <c r="O336" i="839"/>
  <c r="O335" i="839"/>
  <c r="O334" i="839"/>
  <c r="O333" i="839"/>
  <c r="O332" i="839"/>
  <c r="O331" i="839"/>
  <c r="O330" i="839"/>
  <c r="O329" i="839"/>
  <c r="O328" i="839"/>
  <c r="O327" i="839"/>
  <c r="O326" i="839"/>
  <c r="O325" i="839"/>
  <c r="O324" i="839"/>
  <c r="O323" i="839"/>
  <c r="O322" i="839"/>
  <c r="O321" i="839"/>
  <c r="O320" i="839"/>
  <c r="O319" i="839"/>
  <c r="O318" i="839"/>
  <c r="O317" i="839"/>
  <c r="O316" i="839"/>
  <c r="O315" i="839"/>
  <c r="O314" i="839"/>
  <c r="O313" i="839"/>
  <c r="O312" i="839"/>
  <c r="O311" i="839"/>
  <c r="O310" i="839"/>
  <c r="O309" i="839"/>
  <c r="O308" i="839"/>
  <c r="O307" i="839"/>
  <c r="O306" i="839"/>
  <c r="O305" i="839"/>
  <c r="O304" i="839"/>
  <c r="O303" i="839"/>
  <c r="O302" i="839"/>
  <c r="O301" i="839"/>
  <c r="O300" i="839"/>
  <c r="O299" i="839"/>
  <c r="O298" i="839"/>
  <c r="O297" i="839"/>
  <c r="O296" i="839"/>
  <c r="O295" i="839"/>
  <c r="O294" i="839"/>
  <c r="O293" i="839"/>
  <c r="O292" i="839"/>
  <c r="O291" i="839"/>
  <c r="O290" i="839"/>
  <c r="O289" i="839"/>
  <c r="O288" i="839"/>
  <c r="O287" i="839"/>
  <c r="O286" i="839"/>
  <c r="O285" i="839"/>
  <c r="O284" i="839"/>
  <c r="O283" i="839"/>
  <c r="O282" i="839"/>
  <c r="O281" i="839"/>
  <c r="O280" i="839"/>
  <c r="O279" i="839"/>
  <c r="O278" i="839"/>
  <c r="O277" i="839"/>
  <c r="O276" i="839"/>
  <c r="O275" i="839"/>
  <c r="O48" i="839"/>
  <c r="O47" i="839"/>
  <c r="O46" i="839"/>
  <c r="O45" i="839"/>
  <c r="O43" i="839"/>
  <c r="O42" i="839"/>
  <c r="O41" i="839"/>
  <c r="O40" i="839"/>
  <c r="O39" i="839"/>
  <c r="O38" i="839"/>
  <c r="O37" i="839"/>
  <c r="O36" i="839"/>
  <c r="O35" i="839"/>
  <c r="O34" i="839"/>
  <c r="O33" i="839"/>
  <c r="O32" i="839"/>
  <c r="O31" i="839"/>
  <c r="O30" i="839"/>
  <c r="O29" i="839"/>
  <c r="O28" i="839"/>
  <c r="O27" i="839"/>
  <c r="O26" i="839"/>
  <c r="O25" i="839"/>
  <c r="O24" i="839"/>
  <c r="O23" i="839"/>
  <c r="O22" i="839"/>
  <c r="O21" i="839"/>
  <c r="O20" i="839"/>
  <c r="O19" i="839"/>
  <c r="O18" i="839"/>
  <c r="O17" i="839"/>
  <c r="O16" i="839"/>
  <c r="O15" i="839"/>
  <c r="O14" i="839"/>
  <c r="O13" i="839"/>
  <c r="O12" i="839"/>
  <c r="O11" i="839"/>
  <c r="O10" i="839"/>
  <c r="O9" i="839"/>
  <c r="O8" i="839"/>
  <c r="O7" i="839"/>
  <c r="O6" i="839"/>
  <c r="O5" i="839"/>
  <c r="O4" i="839"/>
  <c r="M889" i="628"/>
  <c r="L889" i="628"/>
  <c r="G889" i="628"/>
  <c r="L633" i="628"/>
  <c r="M633" i="628"/>
  <c r="G633" i="628"/>
  <c r="K122" i="873"/>
  <c r="M122" i="873" s="1"/>
  <c r="J122" i="873"/>
  <c r="L122" i="873" s="1"/>
  <c r="I122" i="873"/>
  <c r="F122" i="873"/>
  <c r="K9" i="873"/>
  <c r="M9" i="873" s="1"/>
  <c r="J9" i="873"/>
  <c r="I9" i="873"/>
  <c r="F9" i="873"/>
  <c r="K20" i="873"/>
  <c r="M20" i="873" s="1"/>
  <c r="J20" i="873"/>
  <c r="L20" i="873" s="1"/>
  <c r="I20" i="873"/>
  <c r="F20" i="873"/>
  <c r="K172" i="873"/>
  <c r="M172" i="873" s="1"/>
  <c r="J172" i="873"/>
  <c r="L172" i="873" s="1"/>
  <c r="I172" i="873"/>
  <c r="F172" i="873"/>
  <c r="M581" i="628"/>
  <c r="L581" i="628"/>
  <c r="G581" i="628"/>
  <c r="N172" i="873" l="1"/>
  <c r="N20" i="873"/>
  <c r="N9" i="873"/>
  <c r="L9" i="873"/>
  <c r="N122" i="873"/>
  <c r="O20" i="873" l="1"/>
  <c r="O122" i="873"/>
  <c r="O9" i="873"/>
  <c r="O172" i="873"/>
  <c r="F74" i="873"/>
  <c r="I74" i="873"/>
  <c r="J74" i="873"/>
  <c r="F106" i="873"/>
  <c r="I106" i="873"/>
  <c r="J106" i="873"/>
  <c r="F33" i="873"/>
  <c r="I33" i="873"/>
  <c r="J33" i="873"/>
  <c r="F94" i="873"/>
  <c r="I94" i="873"/>
  <c r="J94" i="873"/>
  <c r="F155" i="873"/>
  <c r="I155" i="873"/>
  <c r="J155" i="873"/>
  <c r="F167" i="873"/>
  <c r="I167" i="873"/>
  <c r="J167" i="873"/>
  <c r="F240" i="873"/>
  <c r="I240" i="873"/>
  <c r="J240" i="873"/>
  <c r="F169" i="873"/>
  <c r="I169" i="873"/>
  <c r="J169" i="873"/>
  <c r="F222" i="873"/>
  <c r="I222" i="873"/>
  <c r="J222" i="873"/>
  <c r="F126" i="873"/>
  <c r="I126" i="873"/>
  <c r="J126" i="873"/>
  <c r="F51" i="873"/>
  <c r="I51" i="873"/>
  <c r="J51" i="873"/>
  <c r="F188" i="873"/>
  <c r="I188" i="873"/>
  <c r="J188" i="873"/>
  <c r="F146" i="873"/>
  <c r="I146" i="873"/>
  <c r="J146" i="873"/>
  <c r="F183" i="873"/>
  <c r="S183" i="873" s="1"/>
  <c r="I183" i="873"/>
  <c r="V183" i="873" s="1"/>
  <c r="J183" i="873"/>
  <c r="W183" i="873" s="1"/>
  <c r="F179" i="873"/>
  <c r="I179" i="873"/>
  <c r="J179" i="873"/>
  <c r="F22" i="873"/>
  <c r="I22" i="873"/>
  <c r="J22" i="873"/>
  <c r="F235" i="873"/>
  <c r="I235" i="873"/>
  <c r="J235" i="873"/>
  <c r="F246" i="873"/>
  <c r="I246" i="873"/>
  <c r="J246" i="873"/>
  <c r="F81" i="873"/>
  <c r="I81" i="873"/>
  <c r="J81" i="873"/>
  <c r="F221" i="873"/>
  <c r="I221" i="873"/>
  <c r="J221" i="873"/>
  <c r="F17" i="873"/>
  <c r="I17" i="873"/>
  <c r="J17" i="873"/>
  <c r="F68" i="873"/>
  <c r="I68" i="873"/>
  <c r="J68" i="873"/>
  <c r="F14" i="873"/>
  <c r="I14" i="873"/>
  <c r="J14" i="873"/>
  <c r="F247" i="873"/>
  <c r="I247" i="873"/>
  <c r="J247" i="873"/>
  <c r="F160" i="873"/>
  <c r="I160" i="873"/>
  <c r="J160" i="873"/>
  <c r="F170" i="873"/>
  <c r="I170" i="873"/>
  <c r="J170" i="873"/>
  <c r="F15" i="873"/>
  <c r="I15" i="873"/>
  <c r="J15" i="873"/>
  <c r="F144" i="873"/>
  <c r="I144" i="873"/>
  <c r="J144" i="873"/>
  <c r="F231" i="873"/>
  <c r="I231" i="873"/>
  <c r="J231" i="873"/>
  <c r="F261" i="873"/>
  <c r="I261" i="873"/>
  <c r="J261" i="873"/>
  <c r="F97" i="873"/>
  <c r="I97" i="873"/>
  <c r="J97" i="873"/>
  <c r="F43" i="873"/>
  <c r="I43" i="873"/>
  <c r="J43" i="873"/>
  <c r="F262" i="873"/>
  <c r="I262" i="873"/>
  <c r="J262" i="873"/>
  <c r="F2" i="873"/>
  <c r="I2" i="873"/>
  <c r="J2" i="873"/>
  <c r="F93" i="873"/>
  <c r="I93" i="873"/>
  <c r="J93" i="873"/>
  <c r="F149" i="873"/>
  <c r="I149" i="873"/>
  <c r="J149" i="873"/>
  <c r="F253" i="873"/>
  <c r="I253" i="873"/>
  <c r="J253" i="873"/>
  <c r="F185" i="873"/>
  <c r="I185" i="873"/>
  <c r="J185" i="873"/>
  <c r="F108" i="873"/>
  <c r="I108" i="873"/>
  <c r="J108" i="873"/>
  <c r="F234" i="873"/>
  <c r="I234" i="873"/>
  <c r="J234" i="873"/>
  <c r="F229" i="873"/>
  <c r="I229" i="873"/>
  <c r="J229" i="873"/>
  <c r="F88" i="873"/>
  <c r="I88" i="873"/>
  <c r="J88" i="873"/>
  <c r="F148" i="873"/>
  <c r="I148" i="873"/>
  <c r="J148" i="873"/>
  <c r="F238" i="873"/>
  <c r="I238" i="873"/>
  <c r="J238" i="873"/>
  <c r="F191" i="873"/>
  <c r="I191" i="873"/>
  <c r="J191" i="873"/>
  <c r="F265" i="873"/>
  <c r="I265" i="873"/>
  <c r="J265" i="873"/>
  <c r="F41" i="873"/>
  <c r="I41" i="873"/>
  <c r="J41" i="873"/>
  <c r="F215" i="873"/>
  <c r="I215" i="873"/>
  <c r="J215" i="873"/>
  <c r="F72" i="873"/>
  <c r="I72" i="873"/>
  <c r="J72" i="873"/>
  <c r="F158" i="873"/>
  <c r="I158" i="873"/>
  <c r="J158" i="873"/>
  <c r="F124" i="873"/>
  <c r="I124" i="873"/>
  <c r="J124" i="873"/>
  <c r="F30" i="873"/>
  <c r="S30" i="873" s="1"/>
  <c r="I30" i="873"/>
  <c r="V30" i="873" s="1"/>
  <c r="J30" i="873"/>
  <c r="W30" i="873" s="1"/>
  <c r="F210" i="873"/>
  <c r="S210" i="873" s="1"/>
  <c r="I210" i="873"/>
  <c r="V210" i="873" s="1"/>
  <c r="J210" i="873"/>
  <c r="W210" i="873" s="1"/>
  <c r="F42" i="873"/>
  <c r="I42" i="873"/>
  <c r="J42" i="873"/>
  <c r="F60" i="873"/>
  <c r="I60" i="873"/>
  <c r="J60" i="873"/>
  <c r="F25" i="873"/>
  <c r="I25" i="873"/>
  <c r="J25" i="873"/>
  <c r="F258" i="873"/>
  <c r="I258" i="873"/>
  <c r="J258" i="873"/>
  <c r="F138" i="873"/>
  <c r="I138" i="873"/>
  <c r="J138" i="873"/>
  <c r="F104" i="873"/>
  <c r="I104" i="873"/>
  <c r="J104" i="873"/>
  <c r="F67" i="873"/>
  <c r="I67" i="873"/>
  <c r="J67" i="873"/>
  <c r="F40" i="873"/>
  <c r="I40" i="873"/>
  <c r="J40" i="873"/>
  <c r="F204" i="873"/>
  <c r="I204" i="873"/>
  <c r="J204" i="873"/>
  <c r="F129" i="873"/>
  <c r="I129" i="873"/>
  <c r="J129" i="873"/>
  <c r="F113" i="873"/>
  <c r="I113" i="873"/>
  <c r="J113" i="873"/>
  <c r="F225" i="873"/>
  <c r="I225" i="873"/>
  <c r="J225" i="873"/>
  <c r="F71" i="873"/>
  <c r="I71" i="873"/>
  <c r="J71" i="873"/>
  <c r="F119" i="873"/>
  <c r="I119" i="873"/>
  <c r="J119" i="873"/>
  <c r="F85" i="873"/>
  <c r="I85" i="873"/>
  <c r="J85" i="873"/>
  <c r="F143" i="873"/>
  <c r="I143" i="873"/>
  <c r="J143" i="873"/>
  <c r="F174" i="873"/>
  <c r="S174" i="873" s="1"/>
  <c r="I174" i="873"/>
  <c r="V174" i="873" s="1"/>
  <c r="J174" i="873"/>
  <c r="W174" i="873" s="1"/>
  <c r="F61" i="873"/>
  <c r="I61" i="873"/>
  <c r="J61" i="873"/>
  <c r="F140" i="873"/>
  <c r="S140" i="873" s="1"/>
  <c r="I140" i="873"/>
  <c r="V140" i="873" s="1"/>
  <c r="J140" i="873"/>
  <c r="W140" i="873" s="1"/>
  <c r="F35" i="873"/>
  <c r="I35" i="873"/>
  <c r="J35" i="873"/>
  <c r="F39" i="873"/>
  <c r="I39" i="873"/>
  <c r="J39" i="873"/>
  <c r="F255" i="873"/>
  <c r="I255" i="873"/>
  <c r="J255" i="873"/>
  <c r="F203" i="873"/>
  <c r="I203" i="873"/>
  <c r="J203" i="873"/>
  <c r="F38" i="873"/>
  <c r="I38" i="873"/>
  <c r="J38" i="873"/>
  <c r="F213" i="873"/>
  <c r="I213" i="873"/>
  <c r="J213" i="873"/>
  <c r="F245" i="873"/>
  <c r="I245" i="873"/>
  <c r="J245" i="873"/>
  <c r="F50" i="873"/>
  <c r="I50" i="873"/>
  <c r="J50" i="873"/>
  <c r="F180" i="873"/>
  <c r="I180" i="873"/>
  <c r="J180" i="873"/>
  <c r="F53" i="873"/>
  <c r="I53" i="873"/>
  <c r="J53" i="873"/>
  <c r="F78" i="873"/>
  <c r="I78" i="873"/>
  <c r="J78" i="873"/>
  <c r="F187" i="873"/>
  <c r="I187" i="873"/>
  <c r="J187" i="873"/>
  <c r="F36" i="873"/>
  <c r="S36" i="873" s="1"/>
  <c r="I36" i="873"/>
  <c r="V36" i="873" s="1"/>
  <c r="J36" i="873"/>
  <c r="W36" i="873" s="1"/>
  <c r="F239" i="873"/>
  <c r="I239" i="873"/>
  <c r="J239" i="873"/>
  <c r="F18" i="873"/>
  <c r="I18" i="873"/>
  <c r="J18" i="873"/>
  <c r="F118" i="873"/>
  <c r="I118" i="873"/>
  <c r="J118" i="873"/>
  <c r="F147" i="873"/>
  <c r="I147" i="873"/>
  <c r="J147" i="873"/>
  <c r="F127" i="873"/>
  <c r="S127" i="873" s="1"/>
  <c r="I127" i="873"/>
  <c r="V127" i="873" s="1"/>
  <c r="J127" i="873"/>
  <c r="W127" i="873" s="1"/>
  <c r="F52" i="873"/>
  <c r="I52" i="873"/>
  <c r="J52" i="873"/>
  <c r="F105" i="873"/>
  <c r="I105" i="873"/>
  <c r="J105" i="873"/>
  <c r="F136" i="873"/>
  <c r="I136" i="873"/>
  <c r="J136" i="873"/>
  <c r="F216" i="873"/>
  <c r="S216" i="873" s="1"/>
  <c r="I216" i="873"/>
  <c r="V216" i="873" s="1"/>
  <c r="J216" i="873"/>
  <c r="W216" i="873" s="1"/>
  <c r="F114" i="873"/>
  <c r="I114" i="873"/>
  <c r="J114" i="873"/>
  <c r="F150" i="873"/>
  <c r="I150" i="873"/>
  <c r="J150" i="873"/>
  <c r="F26" i="873"/>
  <c r="I26" i="873"/>
  <c r="J26" i="873"/>
  <c r="F65" i="873"/>
  <c r="I65" i="873"/>
  <c r="J65" i="873"/>
  <c r="F153" i="873"/>
  <c r="I153" i="873"/>
  <c r="J153" i="873"/>
  <c r="F199" i="873"/>
  <c r="I199" i="873"/>
  <c r="J199" i="873"/>
  <c r="F99" i="873"/>
  <c r="S99" i="873" s="1"/>
  <c r="I99" i="873"/>
  <c r="V99" i="873" s="1"/>
  <c r="J99" i="873"/>
  <c r="W99" i="873" s="1"/>
  <c r="F232" i="873"/>
  <c r="I232" i="873"/>
  <c r="J232" i="873"/>
  <c r="F236" i="873"/>
  <c r="I236" i="873"/>
  <c r="J236" i="873"/>
  <c r="F109" i="873"/>
  <c r="S109" i="873" s="1"/>
  <c r="I109" i="873"/>
  <c r="V109" i="873" s="1"/>
  <c r="J109" i="873"/>
  <c r="W109" i="873" s="1"/>
  <c r="F101" i="873"/>
  <c r="I101" i="873"/>
  <c r="J101" i="873"/>
  <c r="F164" i="873"/>
  <c r="I164" i="873"/>
  <c r="J164" i="873"/>
  <c r="F206" i="873"/>
  <c r="I206" i="873"/>
  <c r="J206" i="873"/>
  <c r="F244" i="873"/>
  <c r="I244" i="873"/>
  <c r="J244" i="873"/>
  <c r="F7" i="873"/>
  <c r="I7" i="873"/>
  <c r="J7" i="873"/>
  <c r="F267" i="873"/>
  <c r="I267" i="873"/>
  <c r="J267" i="873"/>
  <c r="F175" i="873"/>
  <c r="I175" i="873"/>
  <c r="J175" i="873"/>
  <c r="F31" i="873"/>
  <c r="I31" i="873"/>
  <c r="J31" i="873"/>
  <c r="F5" i="873"/>
  <c r="I5" i="873"/>
  <c r="J5" i="873"/>
  <c r="F4" i="873"/>
  <c r="I4" i="873"/>
  <c r="J4" i="873"/>
  <c r="F212" i="873"/>
  <c r="I212" i="873"/>
  <c r="J212" i="873"/>
  <c r="F46" i="873"/>
  <c r="I46" i="873"/>
  <c r="J46" i="873"/>
  <c r="F3" i="873"/>
  <c r="I3" i="873"/>
  <c r="J3" i="873"/>
  <c r="F83" i="873"/>
  <c r="I83" i="873"/>
  <c r="J83" i="873"/>
  <c r="F98" i="873"/>
  <c r="I98" i="873"/>
  <c r="J98" i="873"/>
  <c r="F193" i="873"/>
  <c r="S193" i="873" s="1"/>
  <c r="I193" i="873"/>
  <c r="V193" i="873" s="1"/>
  <c r="J193" i="873"/>
  <c r="W193" i="873" s="1"/>
  <c r="F137" i="873"/>
  <c r="I137" i="873"/>
  <c r="J137" i="873"/>
  <c r="F141" i="873"/>
  <c r="I141" i="873"/>
  <c r="J141" i="873"/>
  <c r="F89" i="873"/>
  <c r="I89" i="873"/>
  <c r="J89" i="873"/>
  <c r="F192" i="873"/>
  <c r="I192" i="873"/>
  <c r="J192" i="873"/>
  <c r="F168" i="873"/>
  <c r="I168" i="873"/>
  <c r="J168" i="873"/>
  <c r="F100" i="873"/>
  <c r="S100" i="873" s="1"/>
  <c r="I100" i="873"/>
  <c r="V100" i="873" s="1"/>
  <c r="J100" i="873"/>
  <c r="W100" i="873" s="1"/>
  <c r="F102" i="873"/>
  <c r="I102" i="873"/>
  <c r="J102" i="873"/>
  <c r="F208" i="873"/>
  <c r="I208" i="873"/>
  <c r="J208" i="873"/>
  <c r="F128" i="873"/>
  <c r="I128" i="873"/>
  <c r="J128" i="873"/>
  <c r="F37" i="873"/>
  <c r="I37" i="873"/>
  <c r="J37" i="873"/>
  <c r="F86" i="873"/>
  <c r="S86" i="873" s="1"/>
  <c r="I86" i="873"/>
  <c r="V86" i="873" s="1"/>
  <c r="J86" i="873"/>
  <c r="W86" i="873" s="1"/>
  <c r="F241" i="873"/>
  <c r="I241" i="873"/>
  <c r="J241" i="873"/>
  <c r="F79" i="873"/>
  <c r="I79" i="873"/>
  <c r="J79" i="873"/>
  <c r="F254" i="873"/>
  <c r="I254" i="873"/>
  <c r="J254" i="873"/>
  <c r="F268" i="873"/>
  <c r="I268" i="873"/>
  <c r="J268" i="873"/>
  <c r="F56" i="873"/>
  <c r="I56" i="873"/>
  <c r="J56" i="873"/>
  <c r="F162" i="873"/>
  <c r="I162" i="873"/>
  <c r="J162" i="873"/>
  <c r="F6" i="873"/>
  <c r="I6" i="873"/>
  <c r="J6" i="873"/>
  <c r="F130" i="873"/>
  <c r="I130" i="873"/>
  <c r="J130" i="873"/>
  <c r="F47" i="873"/>
  <c r="I47" i="873"/>
  <c r="J47" i="873"/>
  <c r="F271" i="873"/>
  <c r="I271" i="873"/>
  <c r="J271" i="873"/>
  <c r="F76" i="873"/>
  <c r="I76" i="873"/>
  <c r="J76" i="873"/>
  <c r="F257" i="873"/>
  <c r="I257" i="873"/>
  <c r="J257" i="873"/>
  <c r="F195" i="873"/>
  <c r="I195" i="873"/>
  <c r="J195" i="873"/>
  <c r="F115" i="873"/>
  <c r="I115" i="873"/>
  <c r="J115" i="873"/>
  <c r="F256" i="873"/>
  <c r="I256" i="873"/>
  <c r="J256" i="873"/>
  <c r="F145" i="873"/>
  <c r="I145" i="873"/>
  <c r="J145" i="873"/>
  <c r="F27" i="873"/>
  <c r="I27" i="873"/>
  <c r="J27" i="873"/>
  <c r="F103" i="873"/>
  <c r="I103" i="873"/>
  <c r="J103" i="873"/>
  <c r="F228" i="873"/>
  <c r="I228" i="873"/>
  <c r="J228" i="873"/>
  <c r="F178" i="873"/>
  <c r="I178" i="873"/>
  <c r="J178" i="873"/>
  <c r="F12" i="873"/>
  <c r="I12" i="873"/>
  <c r="J12" i="873"/>
  <c r="F24" i="873"/>
  <c r="I24" i="873"/>
  <c r="J24" i="873"/>
  <c r="F198" i="873"/>
  <c r="I198" i="873"/>
  <c r="J198" i="873"/>
  <c r="F44" i="873"/>
  <c r="I44" i="873"/>
  <c r="J44" i="873"/>
  <c r="F70" i="873"/>
  <c r="I70" i="873"/>
  <c r="J70" i="873"/>
  <c r="F64" i="873"/>
  <c r="S64" i="873" s="1"/>
  <c r="I64" i="873"/>
  <c r="V64" i="873" s="1"/>
  <c r="J64" i="873"/>
  <c r="W64" i="873" s="1"/>
  <c r="F32" i="873"/>
  <c r="I32" i="873"/>
  <c r="J32" i="873"/>
  <c r="F69" i="873"/>
  <c r="I69" i="873"/>
  <c r="J69" i="873"/>
  <c r="F218" i="873"/>
  <c r="I218" i="873"/>
  <c r="J218" i="873"/>
  <c r="F62" i="873"/>
  <c r="I62" i="873"/>
  <c r="J62" i="873"/>
  <c r="F23" i="873"/>
  <c r="I23" i="873"/>
  <c r="J23" i="873"/>
  <c r="F57" i="873"/>
  <c r="I57" i="873"/>
  <c r="J57" i="873"/>
  <c r="F176" i="873"/>
  <c r="I176" i="873"/>
  <c r="J176" i="873"/>
  <c r="F139" i="873"/>
  <c r="S139" i="873" s="1"/>
  <c r="I139" i="873"/>
  <c r="V139" i="873" s="1"/>
  <c r="J139" i="873"/>
  <c r="W139" i="873" s="1"/>
  <c r="F166" i="873"/>
  <c r="I166" i="873"/>
  <c r="J166" i="873"/>
  <c r="F249" i="873"/>
  <c r="I249" i="873"/>
  <c r="J249" i="873"/>
  <c r="F233" i="873"/>
  <c r="S233" i="873" s="1"/>
  <c r="I233" i="873"/>
  <c r="V233" i="873" s="1"/>
  <c r="J233" i="873"/>
  <c r="W233" i="873" s="1"/>
  <c r="F73" i="873"/>
  <c r="I73" i="873"/>
  <c r="J73" i="873"/>
  <c r="F226" i="873"/>
  <c r="I226" i="873"/>
  <c r="J226" i="873"/>
  <c r="F156" i="873"/>
  <c r="I156" i="873"/>
  <c r="J156" i="873"/>
  <c r="F189" i="873"/>
  <c r="I189" i="873"/>
  <c r="J189" i="873"/>
  <c r="F112" i="873"/>
  <c r="I112" i="873"/>
  <c r="J112" i="873"/>
  <c r="F211" i="873"/>
  <c r="I211" i="873"/>
  <c r="J211" i="873"/>
  <c r="F182" i="873"/>
  <c r="I182" i="873"/>
  <c r="J182" i="873"/>
  <c r="F250" i="873"/>
  <c r="I250" i="873"/>
  <c r="J250" i="873"/>
  <c r="F248" i="873"/>
  <c r="I248" i="873"/>
  <c r="J248" i="873"/>
  <c r="F242" i="873"/>
  <c r="I242" i="873"/>
  <c r="J242" i="873"/>
  <c r="F263" i="873"/>
  <c r="I263" i="873"/>
  <c r="J263" i="873"/>
  <c r="F251" i="873"/>
  <c r="I251" i="873"/>
  <c r="J251" i="873"/>
  <c r="F13" i="873"/>
  <c r="I13" i="873"/>
  <c r="J13" i="873"/>
  <c r="F131" i="873"/>
  <c r="I131" i="873"/>
  <c r="J131" i="873"/>
  <c r="F95" i="873"/>
  <c r="I95" i="873"/>
  <c r="J95" i="873"/>
  <c r="F120" i="873"/>
  <c r="I120" i="873"/>
  <c r="J120" i="873"/>
  <c r="F29" i="873"/>
  <c r="I29" i="873"/>
  <c r="J29" i="873"/>
  <c r="F16" i="873"/>
  <c r="I16" i="873"/>
  <c r="J16" i="873"/>
  <c r="F184" i="873"/>
  <c r="I184" i="873"/>
  <c r="J184" i="873"/>
  <c r="F269" i="873"/>
  <c r="I269" i="873"/>
  <c r="J269" i="873"/>
  <c r="F159" i="873"/>
  <c r="S159" i="873" s="1"/>
  <c r="I159" i="873"/>
  <c r="V159" i="873" s="1"/>
  <c r="J159" i="873"/>
  <c r="W159" i="873" s="1"/>
  <c r="F82" i="873"/>
  <c r="I82" i="873"/>
  <c r="J82" i="873"/>
  <c r="F135" i="873"/>
  <c r="I135" i="873"/>
  <c r="J135" i="873"/>
  <c r="F49" i="873"/>
  <c r="S49" i="873" s="1"/>
  <c r="I49" i="873"/>
  <c r="V49" i="873" s="1"/>
  <c r="J49" i="873"/>
  <c r="W49" i="873" s="1"/>
  <c r="F266" i="873"/>
  <c r="I266" i="873"/>
  <c r="J266" i="873"/>
  <c r="F55" i="873"/>
  <c r="I55" i="873"/>
  <c r="J55" i="873"/>
  <c r="F80" i="873"/>
  <c r="I80" i="873"/>
  <c r="J80" i="873"/>
  <c r="F75" i="873"/>
  <c r="I75" i="873"/>
  <c r="J75" i="873"/>
  <c r="F111" i="873"/>
  <c r="I111" i="873"/>
  <c r="J111" i="873"/>
  <c r="F48" i="873"/>
  <c r="I48" i="873"/>
  <c r="J48" i="873"/>
  <c r="F96" i="873"/>
  <c r="I96" i="873"/>
  <c r="J96" i="873"/>
  <c r="F21" i="873"/>
  <c r="I21" i="873"/>
  <c r="J21" i="873"/>
  <c r="F87" i="873"/>
  <c r="S87" i="873" s="1"/>
  <c r="I87" i="873"/>
  <c r="V87" i="873" s="1"/>
  <c r="J87" i="873"/>
  <c r="W87" i="873" s="1"/>
  <c r="F214" i="873"/>
  <c r="I214" i="873"/>
  <c r="J214" i="873"/>
  <c r="F227" i="873"/>
  <c r="I227" i="873"/>
  <c r="J227" i="873"/>
  <c r="F243" i="873"/>
  <c r="S243" i="873" s="1"/>
  <c r="I243" i="873"/>
  <c r="V243" i="873" s="1"/>
  <c r="J243" i="873"/>
  <c r="W243" i="873" s="1"/>
  <c r="F171" i="873"/>
  <c r="I171" i="873"/>
  <c r="J171" i="873"/>
  <c r="F260" i="873"/>
  <c r="I260" i="873"/>
  <c r="J260" i="873"/>
  <c r="F107" i="873"/>
  <c r="I107" i="873"/>
  <c r="J107" i="873"/>
  <c r="F202" i="873"/>
  <c r="I202" i="873"/>
  <c r="J202" i="873"/>
  <c r="F219" i="873"/>
  <c r="I219" i="873"/>
  <c r="J219" i="873"/>
  <c r="F186" i="873"/>
  <c r="I186" i="873"/>
  <c r="J186" i="873"/>
  <c r="F123" i="873"/>
  <c r="I123" i="873"/>
  <c r="J123" i="873"/>
  <c r="F181" i="873"/>
  <c r="I181" i="873"/>
  <c r="J181" i="873"/>
  <c r="F259" i="873"/>
  <c r="I259" i="873"/>
  <c r="J259" i="873"/>
  <c r="F121" i="873"/>
  <c r="I121" i="873"/>
  <c r="J121" i="873"/>
  <c r="L64" i="629" l="1"/>
  <c r="D64" i="629" s="1"/>
  <c r="L121" i="629"/>
  <c r="D121" i="629" s="1"/>
  <c r="L199" i="629"/>
  <c r="D199" i="629" s="1"/>
  <c r="L87" i="629"/>
  <c r="D87" i="629" s="1"/>
  <c r="L195" i="629"/>
  <c r="D195" i="629" s="1"/>
  <c r="L24" i="629"/>
  <c r="D24" i="629" s="1"/>
  <c r="L281" i="629"/>
  <c r="D281" i="629" s="1"/>
  <c r="L120" i="629"/>
  <c r="D120" i="629" s="1"/>
  <c r="L266" i="629"/>
  <c r="D266" i="629" s="1"/>
  <c r="L185" i="629"/>
  <c r="D185" i="629" s="1"/>
  <c r="L154" i="629"/>
  <c r="D154" i="629" s="1"/>
  <c r="L290" i="629"/>
  <c r="D290" i="629" s="1"/>
  <c r="L100" i="629"/>
  <c r="D100" i="629" s="1"/>
  <c r="L105" i="629"/>
  <c r="D105" i="629" s="1"/>
  <c r="L222" i="629"/>
  <c r="D222" i="629" s="1"/>
  <c r="L48" i="629"/>
  <c r="D48" i="629" s="1"/>
  <c r="L58" i="629"/>
  <c r="D58" i="629" s="1"/>
  <c r="L203" i="629"/>
  <c r="D203" i="629" s="1"/>
  <c r="L168" i="629"/>
  <c r="D168" i="629" s="1"/>
  <c r="P476" i="926" l="1"/>
  <c r="O3" i="839"/>
  <c r="L22" i="873" l="1"/>
  <c r="K22" i="873"/>
  <c r="M22" i="873" s="1"/>
  <c r="L104" i="873"/>
  <c r="K104" i="873"/>
  <c r="M104" i="873" s="1"/>
  <c r="K78" i="873"/>
  <c r="M78" i="873" s="1"/>
  <c r="L184" i="873"/>
  <c r="K184" i="873"/>
  <c r="L13" i="873"/>
  <c r="K13" i="873"/>
  <c r="M13" i="873" s="1"/>
  <c r="L80" i="873"/>
  <c r="K80" i="873"/>
  <c r="M80" i="873" s="1"/>
  <c r="L248" i="873"/>
  <c r="K248" i="873"/>
  <c r="M248" i="873" s="1"/>
  <c r="L235" i="873"/>
  <c r="K235" i="873"/>
  <c r="M235" i="873" s="1"/>
  <c r="K108" i="873"/>
  <c r="M108" i="873" s="1"/>
  <c r="L255" i="873"/>
  <c r="K255" i="873"/>
  <c r="L188" i="873"/>
  <c r="K188" i="873"/>
  <c r="M188" i="873" s="1"/>
  <c r="L269" i="873"/>
  <c r="K269" i="873"/>
  <c r="M269" i="873" s="1"/>
  <c r="L216" i="873"/>
  <c r="Y216" i="873" s="1"/>
  <c r="K216" i="873"/>
  <c r="N22" i="873"/>
  <c r="N13" i="873"/>
  <c r="L33" i="629"/>
  <c r="D33" i="629" s="1"/>
  <c r="L206" i="629"/>
  <c r="D206" i="629" s="1"/>
  <c r="L102" i="629"/>
  <c r="D102" i="629" s="1"/>
  <c r="L134" i="629"/>
  <c r="D134" i="629" s="1"/>
  <c r="L148" i="629"/>
  <c r="D148" i="629" s="1"/>
  <c r="L77" i="629"/>
  <c r="D77" i="629" s="1"/>
  <c r="L60" i="629"/>
  <c r="D60" i="629" s="1"/>
  <c r="L263" i="629"/>
  <c r="D263" i="629" s="1"/>
  <c r="C765" i="876"/>
  <c r="M216" i="873" l="1"/>
  <c r="Z216" i="873" s="1"/>
  <c r="X216" i="873"/>
  <c r="N188" i="873"/>
  <c r="O188" i="873" s="1"/>
  <c r="N269" i="873"/>
  <c r="O269" i="873" s="1"/>
  <c r="N255" i="873"/>
  <c r="O255" i="873" s="1"/>
  <c r="N80" i="873"/>
  <c r="O80" i="873" s="1"/>
  <c r="N184" i="873"/>
  <c r="O184" i="873" s="1"/>
  <c r="O13" i="873"/>
  <c r="O22" i="873"/>
  <c r="N235" i="873"/>
  <c r="O235" i="873" s="1"/>
  <c r="N248" i="873"/>
  <c r="N104" i="873"/>
  <c r="O104" i="873" s="1"/>
  <c r="N108" i="873"/>
  <c r="O108" i="873" s="1"/>
  <c r="N78" i="873"/>
  <c r="O78" i="873" s="1"/>
  <c r="N216" i="873"/>
  <c r="M255" i="873"/>
  <c r="L108" i="873"/>
  <c r="M184" i="873"/>
  <c r="L78" i="873"/>
  <c r="O216" i="873" l="1"/>
  <c r="AB216" i="873" s="1"/>
  <c r="AA216" i="873"/>
  <c r="O248" i="873"/>
  <c r="K55" i="873" l="1"/>
  <c r="L55" i="873"/>
  <c r="N55" i="873" l="1"/>
  <c r="M55" i="873"/>
  <c r="O55" i="873" l="1"/>
  <c r="K64" i="873" l="1"/>
  <c r="N64" i="873"/>
  <c r="K99" i="873"/>
  <c r="L99" i="873"/>
  <c r="Y99" i="873" s="1"/>
  <c r="K6" i="873"/>
  <c r="L586" i="628"/>
  <c r="M586" i="628"/>
  <c r="G586" i="628"/>
  <c r="M99" i="873" l="1"/>
  <c r="Z99" i="873" s="1"/>
  <c r="X99" i="873"/>
  <c r="O64" i="873"/>
  <c r="AB64" i="873" s="1"/>
  <c r="AA64" i="873"/>
  <c r="M64" i="873"/>
  <c r="Z64" i="873" s="1"/>
  <c r="X64" i="873"/>
  <c r="N6" i="873"/>
  <c r="O6" i="873" s="1"/>
  <c r="N99" i="873"/>
  <c r="AA99" i="873" s="1"/>
  <c r="L64" i="873"/>
  <c r="Y64" i="873" s="1"/>
  <c r="L6" i="873"/>
  <c r="M6" i="873"/>
  <c r="D2" i="839"/>
  <c r="O99" i="873" l="1"/>
  <c r="AB99" i="873" s="1"/>
  <c r="O747" i="926" l="1"/>
  <c r="Q31" i="873" l="1"/>
  <c r="R31" i="873"/>
  <c r="T31" i="873"/>
  <c r="U31" i="873"/>
  <c r="Q32" i="873"/>
  <c r="R32" i="873"/>
  <c r="T32" i="873"/>
  <c r="U32" i="873"/>
  <c r="Q188" i="873"/>
  <c r="R188" i="873"/>
  <c r="T188" i="873"/>
  <c r="U188" i="873"/>
  <c r="Q71" i="873"/>
  <c r="R71" i="873"/>
  <c r="T71" i="873"/>
  <c r="U71" i="873"/>
  <c r="Q160" i="873"/>
  <c r="R160" i="873"/>
  <c r="T160" i="873"/>
  <c r="U160" i="873"/>
  <c r="Q235" i="873"/>
  <c r="R235" i="873"/>
  <c r="T235" i="873"/>
  <c r="U235" i="873"/>
  <c r="Q187" i="873"/>
  <c r="R187" i="873"/>
  <c r="T187" i="873"/>
  <c r="U187" i="873"/>
  <c r="Q93" i="873"/>
  <c r="R93" i="873"/>
  <c r="T93" i="873"/>
  <c r="U93" i="873"/>
  <c r="Q46" i="873"/>
  <c r="R46" i="873"/>
  <c r="T46" i="873"/>
  <c r="U46" i="873"/>
  <c r="Q176" i="873"/>
  <c r="R176" i="873"/>
  <c r="T176" i="873"/>
  <c r="U176" i="873"/>
  <c r="Q2" i="873"/>
  <c r="R2" i="873"/>
  <c r="T2" i="873"/>
  <c r="U2" i="873"/>
  <c r="Q185" i="873"/>
  <c r="R185" i="873"/>
  <c r="T185" i="873"/>
  <c r="U185" i="873"/>
  <c r="Q234" i="873"/>
  <c r="R234" i="873"/>
  <c r="T234" i="873"/>
  <c r="U234" i="873"/>
  <c r="Q130" i="873"/>
  <c r="R130" i="873"/>
  <c r="T130" i="873"/>
  <c r="U130" i="873"/>
  <c r="Q116" i="873"/>
  <c r="R116" i="873"/>
  <c r="T116" i="873"/>
  <c r="U116" i="873"/>
  <c r="Q45" i="873"/>
  <c r="R45" i="873"/>
  <c r="T45" i="873"/>
  <c r="U45" i="873"/>
  <c r="Q117" i="873"/>
  <c r="R117" i="873"/>
  <c r="T117" i="873"/>
  <c r="U117" i="873"/>
  <c r="Q217" i="873"/>
  <c r="R217" i="873"/>
  <c r="T217" i="873"/>
  <c r="U217" i="873"/>
  <c r="Q82" i="873"/>
  <c r="R82" i="873"/>
  <c r="T82" i="873"/>
  <c r="U82" i="873"/>
  <c r="Q101" i="873"/>
  <c r="R101" i="873"/>
  <c r="T101" i="873"/>
  <c r="U101" i="873"/>
  <c r="Q50" i="873"/>
  <c r="R50" i="873"/>
  <c r="T50" i="873"/>
  <c r="U50" i="873"/>
  <c r="Q205" i="873"/>
  <c r="R205" i="873"/>
  <c r="T205" i="873"/>
  <c r="U205" i="873"/>
  <c r="Q201" i="873"/>
  <c r="R201" i="873"/>
  <c r="T201" i="873"/>
  <c r="U201" i="873"/>
  <c r="Q94" i="873"/>
  <c r="R94" i="873"/>
  <c r="T94" i="873"/>
  <c r="U94" i="873"/>
  <c r="Q184" i="873"/>
  <c r="R184" i="873"/>
  <c r="T184" i="873"/>
  <c r="U184" i="873"/>
  <c r="Q88" i="873"/>
  <c r="R88" i="873"/>
  <c r="T88" i="873"/>
  <c r="U88" i="873"/>
  <c r="Q106" i="873"/>
  <c r="R106" i="873"/>
  <c r="T106" i="873"/>
  <c r="U106" i="873"/>
  <c r="Q244" i="873"/>
  <c r="R244" i="873"/>
  <c r="T244" i="873"/>
  <c r="U244" i="873"/>
  <c r="Q170" i="873"/>
  <c r="R170" i="873"/>
  <c r="T170" i="873"/>
  <c r="U170" i="873"/>
  <c r="Q194" i="873"/>
  <c r="R194" i="873"/>
  <c r="T194" i="873"/>
  <c r="U194" i="873"/>
  <c r="Q60" i="873"/>
  <c r="R60" i="873"/>
  <c r="T60" i="873"/>
  <c r="U60" i="873"/>
  <c r="Q250" i="873"/>
  <c r="R250" i="873"/>
  <c r="T250" i="873"/>
  <c r="U250" i="873"/>
  <c r="Q118" i="873"/>
  <c r="R118" i="873"/>
  <c r="T118" i="873"/>
  <c r="U118" i="873"/>
  <c r="Q26" i="873"/>
  <c r="R26" i="873"/>
  <c r="T26" i="873"/>
  <c r="U26" i="873"/>
  <c r="Q186" i="873"/>
  <c r="R186" i="873"/>
  <c r="T186" i="873"/>
  <c r="U186" i="873"/>
  <c r="Q3" i="873"/>
  <c r="R3" i="873"/>
  <c r="T3" i="873"/>
  <c r="U3" i="873"/>
  <c r="Q8" i="873"/>
  <c r="R8" i="873"/>
  <c r="T8" i="873"/>
  <c r="U8" i="873"/>
  <c r="Q246" i="873"/>
  <c r="R246" i="873"/>
  <c r="T246" i="873"/>
  <c r="U246" i="873"/>
  <c r="Q20" i="873"/>
  <c r="R20" i="873"/>
  <c r="T20" i="873"/>
  <c r="U20" i="873"/>
  <c r="Q143" i="873"/>
  <c r="R143" i="873"/>
  <c r="T143" i="873"/>
  <c r="U143" i="873"/>
  <c r="Q249" i="873"/>
  <c r="R249" i="873"/>
  <c r="T249" i="873"/>
  <c r="U249" i="873"/>
  <c r="Q224" i="873"/>
  <c r="R224" i="873"/>
  <c r="T224" i="873"/>
  <c r="U224" i="873"/>
  <c r="Q132" i="873"/>
  <c r="R132" i="873"/>
  <c r="T132" i="873"/>
  <c r="U132" i="873"/>
  <c r="Q195" i="873"/>
  <c r="R195" i="873"/>
  <c r="T195" i="873"/>
  <c r="U195" i="873"/>
  <c r="Q102" i="873"/>
  <c r="R102" i="873"/>
  <c r="T102" i="873"/>
  <c r="U102" i="873"/>
  <c r="Q251" i="873"/>
  <c r="R251" i="873"/>
  <c r="T251" i="873"/>
  <c r="U251" i="873"/>
  <c r="Q115" i="873"/>
  <c r="R115" i="873"/>
  <c r="T115" i="873"/>
  <c r="U115" i="873"/>
  <c r="Q211" i="873"/>
  <c r="R211" i="873"/>
  <c r="T211" i="873"/>
  <c r="U211" i="873"/>
  <c r="Q220" i="873"/>
  <c r="R220" i="873"/>
  <c r="T220" i="873"/>
  <c r="U220" i="873"/>
  <c r="Q161" i="873"/>
  <c r="R161" i="873"/>
  <c r="T161" i="873"/>
  <c r="U161" i="873"/>
  <c r="Q252" i="873"/>
  <c r="R252" i="873"/>
  <c r="T252" i="873"/>
  <c r="U252" i="873"/>
  <c r="Q236" i="873"/>
  <c r="R236" i="873"/>
  <c r="T236" i="873"/>
  <c r="U236" i="873"/>
  <c r="Q119" i="873"/>
  <c r="R119" i="873"/>
  <c r="T119" i="873"/>
  <c r="U119" i="873"/>
  <c r="Q33" i="873"/>
  <c r="R33" i="873"/>
  <c r="T33" i="873"/>
  <c r="U33" i="873"/>
  <c r="Q72" i="873"/>
  <c r="R72" i="873"/>
  <c r="T72" i="873"/>
  <c r="U72" i="873"/>
  <c r="Q264" i="873"/>
  <c r="R264" i="873"/>
  <c r="T264" i="873"/>
  <c r="U264" i="873"/>
  <c r="Q212" i="873"/>
  <c r="R212" i="873"/>
  <c r="T212" i="873"/>
  <c r="U212" i="873"/>
  <c r="Q253" i="873"/>
  <c r="R253" i="873"/>
  <c r="T253" i="873"/>
  <c r="U253" i="873"/>
  <c r="Q110" i="873"/>
  <c r="R110" i="873"/>
  <c r="T110" i="873"/>
  <c r="U110" i="873"/>
  <c r="Q73" i="873"/>
  <c r="R73" i="873"/>
  <c r="T73" i="873"/>
  <c r="U73" i="873"/>
  <c r="Q225" i="873"/>
  <c r="R225" i="873"/>
  <c r="T225" i="873"/>
  <c r="U225" i="873"/>
  <c r="Q9" i="873"/>
  <c r="R9" i="873"/>
  <c r="T9" i="873"/>
  <c r="U9" i="873"/>
  <c r="Q150" i="873"/>
  <c r="R150" i="873"/>
  <c r="T150" i="873"/>
  <c r="U150" i="873"/>
  <c r="Q65" i="873"/>
  <c r="R65" i="873"/>
  <c r="T65" i="873"/>
  <c r="U65" i="873"/>
  <c r="Q177" i="873"/>
  <c r="R177" i="873"/>
  <c r="T177" i="873"/>
  <c r="U177" i="873"/>
  <c r="Q83" i="873"/>
  <c r="R83" i="873"/>
  <c r="T83" i="873"/>
  <c r="U83" i="873"/>
  <c r="Q52" i="873"/>
  <c r="R52" i="873"/>
  <c r="T52" i="873"/>
  <c r="U52" i="873"/>
  <c r="Q141" i="873"/>
  <c r="R141" i="873"/>
  <c r="T141" i="873"/>
  <c r="U141" i="873"/>
  <c r="Q66" i="873"/>
  <c r="R66" i="873"/>
  <c r="T66" i="873"/>
  <c r="U66" i="873"/>
  <c r="Q47" i="873"/>
  <c r="R47" i="873"/>
  <c r="T47" i="873"/>
  <c r="U47" i="873"/>
  <c r="Q254" i="873"/>
  <c r="R254" i="873"/>
  <c r="T254" i="873"/>
  <c r="U254" i="873"/>
  <c r="Q245" i="873"/>
  <c r="R245" i="873"/>
  <c r="T245" i="873"/>
  <c r="U245" i="873"/>
  <c r="Q144" i="873"/>
  <c r="R144" i="873"/>
  <c r="T144" i="873"/>
  <c r="U144" i="873"/>
  <c r="Q165" i="873"/>
  <c r="R165" i="873"/>
  <c r="T165" i="873"/>
  <c r="U165" i="873"/>
  <c r="Q142" i="873"/>
  <c r="R142" i="873"/>
  <c r="T142" i="873"/>
  <c r="U142" i="873"/>
  <c r="Q175" i="873"/>
  <c r="R175" i="873"/>
  <c r="T175" i="873"/>
  <c r="U175" i="873"/>
  <c r="Q57" i="873"/>
  <c r="R57" i="873"/>
  <c r="T57" i="873"/>
  <c r="U57" i="873"/>
  <c r="Q265" i="873"/>
  <c r="R265" i="873"/>
  <c r="T265" i="873"/>
  <c r="U265" i="873"/>
  <c r="Q166" i="873"/>
  <c r="R166" i="873"/>
  <c r="T166" i="873"/>
  <c r="U166" i="873"/>
  <c r="Q162" i="873"/>
  <c r="R162" i="873"/>
  <c r="T162" i="873"/>
  <c r="U162" i="873"/>
  <c r="Q21" i="873"/>
  <c r="R21" i="873"/>
  <c r="T21" i="873"/>
  <c r="U21" i="873"/>
  <c r="Q10" i="873"/>
  <c r="R10" i="873"/>
  <c r="T10" i="873"/>
  <c r="U10" i="873"/>
  <c r="Q196" i="873"/>
  <c r="R196" i="873"/>
  <c r="T196" i="873"/>
  <c r="U196" i="873"/>
  <c r="Q133" i="873"/>
  <c r="R133" i="873"/>
  <c r="T133" i="873"/>
  <c r="U133" i="873"/>
  <c r="Q131" i="873"/>
  <c r="R131" i="873"/>
  <c r="T131" i="873"/>
  <c r="U131" i="873"/>
  <c r="Q120" i="873"/>
  <c r="R120" i="873"/>
  <c r="T120" i="873"/>
  <c r="U120" i="873"/>
  <c r="Q74" i="873"/>
  <c r="R74" i="873"/>
  <c r="T74" i="873"/>
  <c r="U74" i="873"/>
  <c r="Q22" i="873"/>
  <c r="R22" i="873"/>
  <c r="T22" i="873"/>
  <c r="U22" i="873"/>
  <c r="Q202" i="873"/>
  <c r="R202" i="873"/>
  <c r="T202" i="873"/>
  <c r="U202" i="873"/>
  <c r="Q213" i="873"/>
  <c r="R213" i="873"/>
  <c r="T213" i="873"/>
  <c r="U213" i="873"/>
  <c r="Q145" i="873"/>
  <c r="R145" i="873"/>
  <c r="T145" i="873"/>
  <c r="U145" i="873"/>
  <c r="Q266" i="873"/>
  <c r="R266" i="873"/>
  <c r="T266" i="873"/>
  <c r="U266" i="873"/>
  <c r="Q27" i="873"/>
  <c r="R27" i="873"/>
  <c r="T27" i="873"/>
  <c r="U27" i="873"/>
  <c r="Q214" i="873"/>
  <c r="R214" i="873"/>
  <c r="T214" i="873"/>
  <c r="U214" i="873"/>
  <c r="Q267" i="873"/>
  <c r="R267" i="873"/>
  <c r="T267" i="873"/>
  <c r="U267" i="873"/>
  <c r="Q178" i="873"/>
  <c r="R178" i="873"/>
  <c r="T178" i="873"/>
  <c r="U178" i="873"/>
  <c r="Q206" i="873"/>
  <c r="R206" i="873"/>
  <c r="T206" i="873"/>
  <c r="U206" i="873"/>
  <c r="Q37" i="873"/>
  <c r="R37" i="873"/>
  <c r="T37" i="873"/>
  <c r="U37" i="873"/>
  <c r="Q103" i="873"/>
  <c r="R103" i="873"/>
  <c r="T103" i="873"/>
  <c r="U103" i="873"/>
  <c r="Q75" i="873"/>
  <c r="R75" i="873"/>
  <c r="T75" i="873"/>
  <c r="U75" i="873"/>
  <c r="Q207" i="873"/>
  <c r="R207" i="873"/>
  <c r="T207" i="873"/>
  <c r="U207" i="873"/>
  <c r="Q237" i="873"/>
  <c r="R237" i="873"/>
  <c r="T237" i="873"/>
  <c r="U237" i="873"/>
  <c r="Q197" i="873"/>
  <c r="R197" i="873"/>
  <c r="T197" i="873"/>
  <c r="U197" i="873"/>
  <c r="Q76" i="873"/>
  <c r="R76" i="873"/>
  <c r="T76" i="873"/>
  <c r="U76" i="873"/>
  <c r="Q147" i="873"/>
  <c r="R147" i="873"/>
  <c r="T147" i="873"/>
  <c r="U147" i="873"/>
  <c r="Q226" i="873"/>
  <c r="R226" i="873"/>
  <c r="T226" i="873"/>
  <c r="U226" i="873"/>
  <c r="Q179" i="873"/>
  <c r="R179" i="873"/>
  <c r="T179" i="873"/>
  <c r="U179" i="873"/>
  <c r="Q53" i="873"/>
  <c r="R53" i="873"/>
  <c r="T53" i="873"/>
  <c r="U53" i="873"/>
  <c r="Q4" i="873"/>
  <c r="R4" i="873"/>
  <c r="T4" i="873"/>
  <c r="U4" i="873"/>
  <c r="Q121" i="873"/>
  <c r="R121" i="873"/>
  <c r="T121" i="873"/>
  <c r="U121" i="873"/>
  <c r="Q58" i="873"/>
  <c r="R58" i="873"/>
  <c r="T58" i="873"/>
  <c r="U58" i="873"/>
  <c r="Q77" i="873"/>
  <c r="R77" i="873"/>
  <c r="T77" i="873"/>
  <c r="U77" i="873"/>
  <c r="Q255" i="873"/>
  <c r="R255" i="873"/>
  <c r="T255" i="873"/>
  <c r="U255" i="873"/>
  <c r="Q167" i="873"/>
  <c r="R167" i="873"/>
  <c r="T167" i="873"/>
  <c r="U167" i="873"/>
  <c r="Q95" i="873"/>
  <c r="R95" i="873"/>
  <c r="T95" i="873"/>
  <c r="U95" i="873"/>
  <c r="Q5" i="873"/>
  <c r="R5" i="873"/>
  <c r="T5" i="873"/>
  <c r="U5" i="873"/>
  <c r="Q208" i="873"/>
  <c r="R208" i="873"/>
  <c r="T208" i="873"/>
  <c r="U208" i="873"/>
  <c r="Q238" i="873"/>
  <c r="R238" i="873"/>
  <c r="T238" i="873"/>
  <c r="U238" i="873"/>
  <c r="Q171" i="873"/>
  <c r="R171" i="873"/>
  <c r="T171" i="873"/>
  <c r="U171" i="873"/>
  <c r="Q128" i="873"/>
  <c r="R128" i="873"/>
  <c r="T128" i="873"/>
  <c r="U128" i="873"/>
  <c r="Q54" i="873"/>
  <c r="R54" i="873"/>
  <c r="T54" i="873"/>
  <c r="U54" i="873"/>
  <c r="Q134" i="873"/>
  <c r="R134" i="873"/>
  <c r="T134" i="873"/>
  <c r="U134" i="873"/>
  <c r="Q38" i="873"/>
  <c r="R38" i="873"/>
  <c r="T38" i="873"/>
  <c r="U38" i="873"/>
  <c r="Q135" i="873"/>
  <c r="R135" i="873"/>
  <c r="T135" i="873"/>
  <c r="U135" i="873"/>
  <c r="Q104" i="873"/>
  <c r="R104" i="873"/>
  <c r="T104" i="873"/>
  <c r="U104" i="873"/>
  <c r="Q148" i="873"/>
  <c r="R148" i="873"/>
  <c r="T148" i="873"/>
  <c r="U148" i="873"/>
  <c r="Q6" i="873"/>
  <c r="R6" i="873"/>
  <c r="T6" i="873"/>
  <c r="U6" i="873"/>
  <c r="Q96" i="873"/>
  <c r="R96" i="873"/>
  <c r="T96" i="873"/>
  <c r="U96" i="873"/>
  <c r="Q23" i="873"/>
  <c r="R23" i="873"/>
  <c r="T23" i="873"/>
  <c r="U23" i="873"/>
  <c r="Q59" i="873"/>
  <c r="R59" i="873"/>
  <c r="T59" i="873"/>
  <c r="U59" i="873"/>
  <c r="Q39" i="873"/>
  <c r="R39" i="873"/>
  <c r="T39" i="873"/>
  <c r="U39" i="873"/>
  <c r="Q218" i="873"/>
  <c r="R218" i="873"/>
  <c r="T218" i="873"/>
  <c r="U218" i="873"/>
  <c r="Q256" i="873"/>
  <c r="R256" i="873"/>
  <c r="T256" i="873"/>
  <c r="U256" i="873"/>
  <c r="Q215" i="873"/>
  <c r="R215" i="873"/>
  <c r="T215" i="873"/>
  <c r="U215" i="873"/>
  <c r="Q11" i="873"/>
  <c r="R11" i="873"/>
  <c r="T11" i="873"/>
  <c r="U11" i="873"/>
  <c r="Q189" i="873"/>
  <c r="R189" i="873"/>
  <c r="T189" i="873"/>
  <c r="U189" i="873"/>
  <c r="Q24" i="873"/>
  <c r="R24" i="873"/>
  <c r="T24" i="873"/>
  <c r="U24" i="873"/>
  <c r="Q107" i="873"/>
  <c r="R107" i="873"/>
  <c r="T107" i="873"/>
  <c r="U107" i="873"/>
  <c r="Q122" i="873"/>
  <c r="R122" i="873"/>
  <c r="T122" i="873"/>
  <c r="U122" i="873"/>
  <c r="Q18" i="873"/>
  <c r="R18" i="873"/>
  <c r="T18" i="873"/>
  <c r="U18" i="873"/>
  <c r="Q239" i="873"/>
  <c r="R239" i="873"/>
  <c r="T239" i="873"/>
  <c r="U239" i="873"/>
  <c r="Q227" i="873"/>
  <c r="R227" i="873"/>
  <c r="T227" i="873"/>
  <c r="U227" i="873"/>
  <c r="Q78" i="873"/>
  <c r="R78" i="873"/>
  <c r="T78" i="873"/>
  <c r="U78" i="873"/>
  <c r="Q240" i="873"/>
  <c r="R240" i="873"/>
  <c r="T240" i="873"/>
  <c r="U240" i="873"/>
  <c r="Q111" i="873"/>
  <c r="R111" i="873"/>
  <c r="T111" i="873"/>
  <c r="U111" i="873"/>
  <c r="Q268" i="873"/>
  <c r="R268" i="873"/>
  <c r="T268" i="873"/>
  <c r="U268" i="873"/>
  <c r="Q269" i="873"/>
  <c r="R269" i="873"/>
  <c r="T269" i="873"/>
  <c r="U269" i="873"/>
  <c r="Q136" i="873"/>
  <c r="R136" i="873"/>
  <c r="T136" i="873"/>
  <c r="U136" i="873"/>
  <c r="Q241" i="873"/>
  <c r="R241" i="873"/>
  <c r="T241" i="873"/>
  <c r="U241" i="873"/>
  <c r="Q151" i="873"/>
  <c r="R151" i="873"/>
  <c r="T151" i="873"/>
  <c r="U151" i="873"/>
  <c r="Q228" i="873"/>
  <c r="R228" i="873"/>
  <c r="T228" i="873"/>
  <c r="U228" i="873"/>
  <c r="Q257" i="873"/>
  <c r="R257" i="873"/>
  <c r="T257" i="873"/>
  <c r="U257" i="873"/>
  <c r="Q79" i="873"/>
  <c r="R79" i="873"/>
  <c r="T79" i="873"/>
  <c r="U79" i="873"/>
  <c r="Q190" i="873"/>
  <c r="R190" i="873"/>
  <c r="T190" i="873"/>
  <c r="U190" i="873"/>
  <c r="Q28" i="873"/>
  <c r="R28" i="873"/>
  <c r="T28" i="873"/>
  <c r="U28" i="873"/>
  <c r="Q198" i="873"/>
  <c r="R198" i="873"/>
  <c r="T198" i="873"/>
  <c r="U198" i="873"/>
  <c r="Q270" i="873"/>
  <c r="R270" i="873"/>
  <c r="T270" i="873"/>
  <c r="U270" i="873"/>
  <c r="Q258" i="873"/>
  <c r="R258" i="873"/>
  <c r="T258" i="873"/>
  <c r="U258" i="873"/>
  <c r="Q97" i="873"/>
  <c r="R97" i="873"/>
  <c r="T97" i="873"/>
  <c r="U97" i="873"/>
  <c r="Q89" i="873"/>
  <c r="R89" i="873"/>
  <c r="T89" i="873"/>
  <c r="U89" i="873"/>
  <c r="Q259" i="873"/>
  <c r="R259" i="873"/>
  <c r="T259" i="873"/>
  <c r="U259" i="873"/>
  <c r="Q180" i="873"/>
  <c r="R180" i="873"/>
  <c r="T180" i="873"/>
  <c r="U180" i="873"/>
  <c r="Q199" i="873"/>
  <c r="R199" i="873"/>
  <c r="T199" i="873"/>
  <c r="U199" i="873"/>
  <c r="Q34" i="873"/>
  <c r="R34" i="873"/>
  <c r="T34" i="873"/>
  <c r="U34" i="873"/>
  <c r="Q123" i="873"/>
  <c r="R123" i="873"/>
  <c r="T123" i="873"/>
  <c r="U123" i="873"/>
  <c r="Q124" i="873"/>
  <c r="R124" i="873"/>
  <c r="T124" i="873"/>
  <c r="U124" i="873"/>
  <c r="Q260" i="873"/>
  <c r="R260" i="873"/>
  <c r="T260" i="873"/>
  <c r="U260" i="873"/>
  <c r="Q209" i="873"/>
  <c r="R209" i="873"/>
  <c r="T209" i="873"/>
  <c r="U209" i="873"/>
  <c r="Q247" i="873"/>
  <c r="R247" i="873"/>
  <c r="T247" i="873"/>
  <c r="U247" i="873"/>
  <c r="Q12" i="873"/>
  <c r="R12" i="873"/>
  <c r="T12" i="873"/>
  <c r="U12" i="873"/>
  <c r="Q229" i="873"/>
  <c r="R229" i="873"/>
  <c r="T229" i="873"/>
  <c r="U229" i="873"/>
  <c r="Q25" i="873"/>
  <c r="R25" i="873"/>
  <c r="T25" i="873"/>
  <c r="U25" i="873"/>
  <c r="Q80" i="873"/>
  <c r="R80" i="873"/>
  <c r="T80" i="873"/>
  <c r="U80" i="873"/>
  <c r="Q51" i="873"/>
  <c r="R51" i="873"/>
  <c r="T51" i="873"/>
  <c r="U51" i="873"/>
  <c r="Q125" i="873"/>
  <c r="R125" i="873"/>
  <c r="T125" i="873"/>
  <c r="U125" i="873"/>
  <c r="Q168" i="873"/>
  <c r="R168" i="873"/>
  <c r="T168" i="873"/>
  <c r="U168" i="873"/>
  <c r="Q219" i="873"/>
  <c r="R219" i="873"/>
  <c r="T219" i="873"/>
  <c r="U219" i="873"/>
  <c r="Q126" i="873"/>
  <c r="R126" i="873"/>
  <c r="T126" i="873"/>
  <c r="U126" i="873"/>
  <c r="Q221" i="873"/>
  <c r="R221" i="873"/>
  <c r="T221" i="873"/>
  <c r="U221" i="873"/>
  <c r="Q222" i="873"/>
  <c r="R222" i="873"/>
  <c r="T222" i="873"/>
  <c r="U222" i="873"/>
  <c r="Q248" i="873"/>
  <c r="R248" i="873"/>
  <c r="T248" i="873"/>
  <c r="U248" i="873"/>
  <c r="Q40" i="873"/>
  <c r="R40" i="873"/>
  <c r="T40" i="873"/>
  <c r="U40" i="873"/>
  <c r="Q105" i="873"/>
  <c r="R105" i="873"/>
  <c r="T105" i="873"/>
  <c r="U105" i="873"/>
  <c r="Q223" i="873"/>
  <c r="R223" i="873"/>
  <c r="T223" i="873"/>
  <c r="U223" i="873"/>
  <c r="Q163" i="873"/>
  <c r="R163" i="873"/>
  <c r="T163" i="873"/>
  <c r="U163" i="873"/>
  <c r="Q230" i="873"/>
  <c r="R230" i="873"/>
  <c r="T230" i="873"/>
  <c r="U230" i="873"/>
  <c r="Q112" i="873"/>
  <c r="R112" i="873"/>
  <c r="T112" i="873"/>
  <c r="U112" i="873"/>
  <c r="Q113" i="873"/>
  <c r="R113" i="873"/>
  <c r="T113" i="873"/>
  <c r="U113" i="873"/>
  <c r="Q48" i="873"/>
  <c r="R48" i="873"/>
  <c r="T48" i="873"/>
  <c r="U48" i="873"/>
  <c r="Q137" i="873"/>
  <c r="R137" i="873"/>
  <c r="T137" i="873"/>
  <c r="U137" i="873"/>
  <c r="Q261" i="873"/>
  <c r="R261" i="873"/>
  <c r="T261" i="873"/>
  <c r="U261" i="873"/>
  <c r="Q41" i="873"/>
  <c r="R41" i="873"/>
  <c r="T41" i="873"/>
  <c r="U41" i="873"/>
  <c r="Q55" i="873"/>
  <c r="R55" i="873"/>
  <c r="T55" i="873"/>
  <c r="U55" i="873"/>
  <c r="Q231" i="873"/>
  <c r="R231" i="873"/>
  <c r="T231" i="873"/>
  <c r="U231" i="873"/>
  <c r="Q108" i="873"/>
  <c r="R108" i="873"/>
  <c r="T108" i="873"/>
  <c r="U108" i="873"/>
  <c r="Q67" i="873"/>
  <c r="R67" i="873"/>
  <c r="T67" i="873"/>
  <c r="U67" i="873"/>
  <c r="Q90" i="873"/>
  <c r="R90" i="873"/>
  <c r="T90" i="873"/>
  <c r="U90" i="873"/>
  <c r="Q138" i="873"/>
  <c r="R138" i="873"/>
  <c r="T138" i="873"/>
  <c r="U138" i="873"/>
  <c r="Q203" i="873"/>
  <c r="R203" i="873"/>
  <c r="T203" i="873"/>
  <c r="U203" i="873"/>
  <c r="Q152" i="873"/>
  <c r="R152" i="873"/>
  <c r="T152" i="873"/>
  <c r="U152" i="873"/>
  <c r="Q200" i="873"/>
  <c r="R200" i="873"/>
  <c r="T200" i="873"/>
  <c r="U200" i="873"/>
  <c r="Q98" i="873"/>
  <c r="R98" i="873"/>
  <c r="T98" i="873"/>
  <c r="U98" i="873"/>
  <c r="Q129" i="873"/>
  <c r="R129" i="873"/>
  <c r="T129" i="873"/>
  <c r="U129" i="873"/>
  <c r="Q181" i="873"/>
  <c r="R181" i="873"/>
  <c r="T181" i="873"/>
  <c r="U181" i="873"/>
  <c r="Q262" i="873"/>
  <c r="R262" i="873"/>
  <c r="T262" i="873"/>
  <c r="U262" i="873"/>
  <c r="Q35" i="873"/>
  <c r="R35" i="873"/>
  <c r="T35" i="873"/>
  <c r="U35" i="873"/>
  <c r="Q153" i="873"/>
  <c r="R153" i="873"/>
  <c r="T153" i="873"/>
  <c r="U153" i="873"/>
  <c r="Q242" i="873"/>
  <c r="R242" i="873"/>
  <c r="T242" i="873"/>
  <c r="U242" i="873"/>
  <c r="Q68" i="873"/>
  <c r="R68" i="873"/>
  <c r="T68" i="873"/>
  <c r="U68" i="873"/>
  <c r="Q19" i="873"/>
  <c r="R19" i="873"/>
  <c r="T19" i="873"/>
  <c r="U19" i="873"/>
  <c r="Q154" i="873"/>
  <c r="R154" i="873"/>
  <c r="T154" i="873"/>
  <c r="U154" i="873"/>
  <c r="Q13" i="873"/>
  <c r="R13" i="873"/>
  <c r="T13" i="873"/>
  <c r="U13" i="873"/>
  <c r="Q7" i="873"/>
  <c r="R7" i="873"/>
  <c r="T7" i="873"/>
  <c r="U7" i="873"/>
  <c r="Q191" i="873"/>
  <c r="R191" i="873"/>
  <c r="T191" i="873"/>
  <c r="U191" i="873"/>
  <c r="Q114" i="873"/>
  <c r="R114" i="873"/>
  <c r="T114" i="873"/>
  <c r="U114" i="873"/>
  <c r="Q232" i="873"/>
  <c r="R232" i="873"/>
  <c r="T232" i="873"/>
  <c r="U232" i="873"/>
  <c r="Q42" i="873"/>
  <c r="R42" i="873"/>
  <c r="T42" i="873"/>
  <c r="U42" i="873"/>
  <c r="Q172" i="873"/>
  <c r="R172" i="873"/>
  <c r="T172" i="873"/>
  <c r="U172" i="873"/>
  <c r="Q169" i="873"/>
  <c r="R169" i="873"/>
  <c r="T169" i="873"/>
  <c r="U169" i="873"/>
  <c r="Q164" i="873"/>
  <c r="R164" i="873"/>
  <c r="T164" i="873"/>
  <c r="U164" i="873"/>
  <c r="Q14" i="873"/>
  <c r="R14" i="873"/>
  <c r="T14" i="873"/>
  <c r="U14" i="873"/>
  <c r="Q43" i="873"/>
  <c r="R43" i="873"/>
  <c r="T43" i="873"/>
  <c r="U43" i="873"/>
  <c r="Q69" i="873"/>
  <c r="R69" i="873"/>
  <c r="T69" i="873"/>
  <c r="U69" i="873"/>
  <c r="Q155" i="873"/>
  <c r="R155" i="873"/>
  <c r="T155" i="873"/>
  <c r="U155" i="873"/>
  <c r="Q91" i="873"/>
  <c r="R91" i="873"/>
  <c r="T91" i="873"/>
  <c r="U91" i="873"/>
  <c r="Q29" i="873"/>
  <c r="R29" i="873"/>
  <c r="T29" i="873"/>
  <c r="U29" i="873"/>
  <c r="Q15" i="873"/>
  <c r="R15" i="873"/>
  <c r="T15" i="873"/>
  <c r="U15" i="873"/>
  <c r="Q61" i="873"/>
  <c r="R61" i="873"/>
  <c r="T61" i="873"/>
  <c r="U61" i="873"/>
  <c r="Q84" i="873"/>
  <c r="R84" i="873"/>
  <c r="T84" i="873"/>
  <c r="U84" i="873"/>
  <c r="Q173" i="873"/>
  <c r="R173" i="873"/>
  <c r="T173" i="873"/>
  <c r="U173" i="873"/>
  <c r="Q204" i="873"/>
  <c r="R204" i="873"/>
  <c r="T204" i="873"/>
  <c r="U204" i="873"/>
  <c r="Q156" i="873"/>
  <c r="R156" i="873"/>
  <c r="T156" i="873"/>
  <c r="U156" i="873"/>
  <c r="Q16" i="873"/>
  <c r="R16" i="873"/>
  <c r="T16" i="873"/>
  <c r="U16" i="873"/>
  <c r="Q263" i="873"/>
  <c r="R263" i="873"/>
  <c r="T263" i="873"/>
  <c r="U263" i="873"/>
  <c r="Q92" i="873"/>
  <c r="R92" i="873"/>
  <c r="T92" i="873"/>
  <c r="U92" i="873"/>
  <c r="Q157" i="873"/>
  <c r="R157" i="873"/>
  <c r="T157" i="873"/>
  <c r="U157" i="873"/>
  <c r="Q44" i="873"/>
  <c r="R44" i="873"/>
  <c r="T44" i="873"/>
  <c r="U44" i="873"/>
  <c r="Q146" i="873"/>
  <c r="R146" i="873"/>
  <c r="T146" i="873"/>
  <c r="U146" i="873"/>
  <c r="Q81" i="873"/>
  <c r="R81" i="873"/>
  <c r="T81" i="873"/>
  <c r="U81" i="873"/>
  <c r="Q192" i="873"/>
  <c r="R192" i="873"/>
  <c r="T192" i="873"/>
  <c r="U192" i="873"/>
  <c r="Q62" i="873"/>
  <c r="R62" i="873"/>
  <c r="T62" i="873"/>
  <c r="U62" i="873"/>
  <c r="Q182" i="873"/>
  <c r="R182" i="873"/>
  <c r="T182" i="873"/>
  <c r="U182" i="873"/>
  <c r="Q56" i="873"/>
  <c r="R56" i="873"/>
  <c r="T56" i="873"/>
  <c r="U56" i="873"/>
  <c r="Q17" i="873"/>
  <c r="R17" i="873"/>
  <c r="T17" i="873"/>
  <c r="U17" i="873"/>
  <c r="Q271" i="873"/>
  <c r="R271" i="873"/>
  <c r="T271" i="873"/>
  <c r="U271" i="873"/>
  <c r="Q85" i="873"/>
  <c r="R85" i="873"/>
  <c r="T85" i="873"/>
  <c r="U85" i="873"/>
  <c r="Q158" i="873"/>
  <c r="R158" i="873"/>
  <c r="T158" i="873"/>
  <c r="U158" i="873"/>
  <c r="Q149" i="873"/>
  <c r="R149" i="873"/>
  <c r="T149" i="873"/>
  <c r="U149" i="873"/>
  <c r="Q70" i="873"/>
  <c r="R70" i="873"/>
  <c r="T70" i="873"/>
  <c r="U70" i="873"/>
  <c r="Q63" i="873"/>
  <c r="R63" i="873"/>
  <c r="T63" i="873"/>
  <c r="U63" i="873"/>
  <c r="K37" i="873" l="1"/>
  <c r="K107" i="873"/>
  <c r="S177" i="873"/>
  <c r="S96" i="873"/>
  <c r="K178" i="873"/>
  <c r="S112" i="873"/>
  <c r="K212" i="873"/>
  <c r="S40" i="873"/>
  <c r="K67" i="873"/>
  <c r="S117" i="873"/>
  <c r="K119" i="873"/>
  <c r="S241" i="873"/>
  <c r="S106" i="873"/>
  <c r="K182" i="873"/>
  <c r="S188" i="873"/>
  <c r="K186" i="873"/>
  <c r="S178" i="873"/>
  <c r="K244" i="873"/>
  <c r="S255" i="873"/>
  <c r="K61" i="873"/>
  <c r="S267" i="873"/>
  <c r="S254" i="873"/>
  <c r="K166" i="873"/>
  <c r="S122" i="873"/>
  <c r="K79" i="873"/>
  <c r="S236" i="873"/>
  <c r="K43" i="873"/>
  <c r="S24" i="873"/>
  <c r="K60" i="873"/>
  <c r="S143" i="873"/>
  <c r="S6" i="873"/>
  <c r="S195" i="873"/>
  <c r="K89" i="873"/>
  <c r="S148" i="873"/>
  <c r="K138" i="873"/>
  <c r="S263" i="873"/>
  <c r="K193" i="873"/>
  <c r="X193" i="873" s="1"/>
  <c r="S131" i="873"/>
  <c r="K111" i="873"/>
  <c r="W229" i="873"/>
  <c r="S229" i="873"/>
  <c r="K159" i="873"/>
  <c r="X159" i="873" s="1"/>
  <c r="S252" i="873"/>
  <c r="K259" i="873"/>
  <c r="S67" i="873"/>
  <c r="K221" i="873"/>
  <c r="S136" i="873"/>
  <c r="L116" i="629"/>
  <c r="D116" i="629" s="1"/>
  <c r="L230" i="629"/>
  <c r="D230" i="629" s="1"/>
  <c r="L30" i="629"/>
  <c r="D30" i="629" s="1"/>
  <c r="L248" i="629"/>
  <c r="D248" i="629" s="1"/>
  <c r="L225" i="629"/>
  <c r="D225" i="629" s="1"/>
  <c r="L19" i="629"/>
  <c r="D19" i="629" s="1"/>
  <c r="L122" i="629"/>
  <c r="D122" i="629" s="1"/>
  <c r="L216" i="629"/>
  <c r="D216" i="629" s="1"/>
  <c r="L155" i="629"/>
  <c r="D155" i="629" s="1"/>
  <c r="L149" i="629"/>
  <c r="D149" i="629" s="1"/>
  <c r="L55" i="629"/>
  <c r="D55" i="629" s="1"/>
  <c r="L163" i="629"/>
  <c r="D163" i="629" s="1"/>
  <c r="L325" i="628"/>
  <c r="M325" i="628"/>
  <c r="L896" i="628"/>
  <c r="M896" i="628"/>
  <c r="G325" i="628"/>
  <c r="G896" i="628"/>
  <c r="N221" i="873" l="1"/>
  <c r="O221" i="873" s="1"/>
  <c r="N259" i="873"/>
  <c r="O259" i="873" s="1"/>
  <c r="N159" i="873"/>
  <c r="V229" i="873"/>
  <c r="N111" i="873"/>
  <c r="O111" i="873" s="1"/>
  <c r="N193" i="873"/>
  <c r="N138" i="873"/>
  <c r="O138" i="873" s="1"/>
  <c r="N89" i="873"/>
  <c r="O89" i="873" s="1"/>
  <c r="N60" i="873"/>
  <c r="O60" i="873" s="1"/>
  <c r="N43" i="873"/>
  <c r="O43" i="873" s="1"/>
  <c r="N79" i="873"/>
  <c r="O79" i="873" s="1"/>
  <c r="N166" i="873"/>
  <c r="O166" i="873" s="1"/>
  <c r="N61" i="873"/>
  <c r="O61" i="873" s="1"/>
  <c r="N244" i="873"/>
  <c r="O244" i="873" s="1"/>
  <c r="N186" i="873"/>
  <c r="O186" i="873" s="1"/>
  <c r="N182" i="873"/>
  <c r="O182" i="873" s="1"/>
  <c r="N119" i="873"/>
  <c r="O119" i="873" s="1"/>
  <c r="N67" i="873"/>
  <c r="O67" i="873" s="1"/>
  <c r="N212" i="873"/>
  <c r="O212" i="873" s="1"/>
  <c r="N178" i="873"/>
  <c r="O178" i="873" s="1"/>
  <c r="N107" i="873"/>
  <c r="O107" i="873" s="1"/>
  <c r="N37" i="873"/>
  <c r="O37" i="873" s="1"/>
  <c r="L212" i="873"/>
  <c r="M221" i="873"/>
  <c r="M259" i="873"/>
  <c r="M159" i="873"/>
  <c r="Z159" i="873" s="1"/>
  <c r="M111" i="873"/>
  <c r="M193" i="873"/>
  <c r="Z193" i="873" s="1"/>
  <c r="M138" i="873"/>
  <c r="M89" i="873"/>
  <c r="M60" i="873"/>
  <c r="M43" i="873"/>
  <c r="M79" i="873"/>
  <c r="M166" i="873"/>
  <c r="M61" i="873"/>
  <c r="M244" i="873"/>
  <c r="M186" i="873"/>
  <c r="M182" i="873"/>
  <c r="M119" i="873"/>
  <c r="M67" i="873"/>
  <c r="M212" i="873"/>
  <c r="M178" i="873"/>
  <c r="M107" i="873"/>
  <c r="L60" i="873"/>
  <c r="L182" i="873"/>
  <c r="L107" i="873"/>
  <c r="L166" i="873"/>
  <c r="L186" i="873"/>
  <c r="L67" i="873"/>
  <c r="L79" i="873"/>
  <c r="L244" i="873"/>
  <c r="L119" i="873"/>
  <c r="L178" i="873"/>
  <c r="L89" i="873"/>
  <c r="L43" i="873"/>
  <c r="L61" i="873"/>
  <c r="L37" i="873"/>
  <c r="L221" i="873"/>
  <c r="L259" i="873"/>
  <c r="L159" i="873"/>
  <c r="Y159" i="873" s="1"/>
  <c r="L111" i="873"/>
  <c r="L193" i="873"/>
  <c r="Y193" i="873" s="1"/>
  <c r="L138" i="873"/>
  <c r="M37" i="873"/>
  <c r="O159" i="873" l="1"/>
  <c r="AB159" i="873" s="1"/>
  <c r="AA159" i="873"/>
  <c r="O193" i="873"/>
  <c r="AB193" i="873" s="1"/>
  <c r="AA193" i="873"/>
  <c r="F3" i="876"/>
  <c r="K31" i="873" l="1"/>
  <c r="K147" i="873"/>
  <c r="S242" i="873"/>
  <c r="S161" i="873"/>
  <c r="S205" i="873"/>
  <c r="L81" i="629"/>
  <c r="D81" i="629" s="1"/>
  <c r="L179" i="629"/>
  <c r="D179" i="629" s="1"/>
  <c r="L46" i="629"/>
  <c r="D46" i="629" s="1"/>
  <c r="L92" i="629"/>
  <c r="D92" i="629" s="1"/>
  <c r="N31" i="873" l="1"/>
  <c r="O31" i="873" s="1"/>
  <c r="N147" i="873"/>
  <c r="O147" i="873" s="1"/>
  <c r="L31" i="873"/>
  <c r="M31" i="873"/>
  <c r="M147" i="873"/>
  <c r="L147" i="873"/>
  <c r="E15" i="888" l="1"/>
  <c r="C751" i="876" l="1"/>
  <c r="C752" i="876"/>
  <c r="C753" i="876"/>
  <c r="C754" i="876"/>
  <c r="C755" i="876"/>
  <c r="C756" i="876"/>
  <c r="C757" i="876"/>
  <c r="C758" i="876"/>
  <c r="C759" i="876"/>
  <c r="C760" i="876"/>
  <c r="C761" i="876"/>
  <c r="C762" i="876"/>
  <c r="C763" i="876"/>
  <c r="C764" i="876"/>
  <c r="L553" i="628" l="1"/>
  <c r="M553" i="628"/>
  <c r="G553" i="628"/>
  <c r="L339" i="628"/>
  <c r="M339" i="628"/>
  <c r="G339" i="628"/>
  <c r="L109" i="629"/>
  <c r="D109" i="629" s="1"/>
  <c r="C742" i="876"/>
  <c r="C743" i="876"/>
  <c r="C744" i="876"/>
  <c r="C745" i="876"/>
  <c r="C746" i="876"/>
  <c r="C747" i="876"/>
  <c r="C748" i="876"/>
  <c r="C749" i="876"/>
  <c r="C750" i="876"/>
  <c r="K51" i="873" l="1"/>
  <c r="K249" i="873"/>
  <c r="K168" i="873"/>
  <c r="K81" i="873"/>
  <c r="K137" i="873"/>
  <c r="K94" i="873"/>
  <c r="S32" i="873"/>
  <c r="S3" i="873"/>
  <c r="S234" i="873"/>
  <c r="S75" i="873"/>
  <c r="S220" i="873"/>
  <c r="S104" i="873"/>
  <c r="S5" i="873"/>
  <c r="S180" i="873"/>
  <c r="S199" i="873"/>
  <c r="L217" i="629"/>
  <c r="D217" i="629" s="1"/>
  <c r="L133" i="629"/>
  <c r="D133" i="629" s="1"/>
  <c r="L83" i="629"/>
  <c r="D83" i="629" s="1"/>
  <c r="L21" i="629"/>
  <c r="D21" i="629" s="1"/>
  <c r="L31" i="629"/>
  <c r="D31" i="629" s="1"/>
  <c r="L269" i="629"/>
  <c r="D269" i="629" s="1"/>
  <c r="L208" i="629"/>
  <c r="D208" i="629" s="1"/>
  <c r="L175" i="629"/>
  <c r="D175" i="629" s="1"/>
  <c r="L26" i="629"/>
  <c r="D26" i="629" s="1"/>
  <c r="L197" i="629"/>
  <c r="D197" i="629" s="1"/>
  <c r="N249" i="873" l="1"/>
  <c r="O249" i="873" s="1"/>
  <c r="N137" i="873"/>
  <c r="O137" i="873" s="1"/>
  <c r="N168" i="873"/>
  <c r="O168" i="873" s="1"/>
  <c r="N94" i="873"/>
  <c r="O94" i="873" s="1"/>
  <c r="N81" i="873"/>
  <c r="O81" i="873" s="1"/>
  <c r="V32" i="873"/>
  <c r="N51" i="873"/>
  <c r="O51" i="873" s="1"/>
  <c r="M81" i="873"/>
  <c r="L94" i="873"/>
  <c r="L81" i="873"/>
  <c r="M51" i="873"/>
  <c r="M94" i="873"/>
  <c r="L137" i="873"/>
  <c r="L168" i="873"/>
  <c r="M249" i="873"/>
  <c r="L51" i="873"/>
  <c r="W32" i="873"/>
  <c r="M137" i="873"/>
  <c r="M168" i="873"/>
  <c r="L249" i="873"/>
  <c r="L244" i="629"/>
  <c r="D244" i="629" s="1"/>
  <c r="C732" i="876" l="1"/>
  <c r="K114" i="873" l="1"/>
  <c r="K103" i="873"/>
  <c r="K126" i="873"/>
  <c r="K150" i="873"/>
  <c r="K29" i="873"/>
  <c r="S153" i="873"/>
  <c r="S172" i="873"/>
  <c r="S38" i="873"/>
  <c r="S135" i="873"/>
  <c r="L76" i="629"/>
  <c r="D76" i="629" s="1"/>
  <c r="L164" i="629"/>
  <c r="D164" i="629" s="1"/>
  <c r="L198" i="629"/>
  <c r="D198" i="629" s="1"/>
  <c r="L61" i="629"/>
  <c r="D61" i="629" s="1"/>
  <c r="L18" i="629"/>
  <c r="D18" i="629" s="1"/>
  <c r="L86" i="629"/>
  <c r="D86" i="629" s="1"/>
  <c r="C730" i="876"/>
  <c r="C731" i="876"/>
  <c r="C733" i="876"/>
  <c r="C734" i="876"/>
  <c r="C735" i="876"/>
  <c r="C736" i="876"/>
  <c r="C737" i="876"/>
  <c r="C738" i="876"/>
  <c r="C739" i="876"/>
  <c r="C740" i="876"/>
  <c r="C741" i="876"/>
  <c r="C729" i="876"/>
  <c r="N29" i="873" l="1"/>
  <c r="O29" i="873" s="1"/>
  <c r="N103" i="873"/>
  <c r="O103" i="873" s="1"/>
  <c r="N126" i="873"/>
  <c r="O126" i="873" s="1"/>
  <c r="N150" i="873"/>
  <c r="O150" i="873" s="1"/>
  <c r="N114" i="873"/>
  <c r="O114" i="873" s="1"/>
  <c r="M103" i="873"/>
  <c r="M126" i="873"/>
  <c r="L29" i="873"/>
  <c r="L103" i="873"/>
  <c r="M150" i="873"/>
  <c r="M114" i="873"/>
  <c r="L114" i="873"/>
  <c r="M29" i="873"/>
  <c r="L150" i="873"/>
  <c r="L126" i="873"/>
  <c r="C725" i="876" l="1"/>
  <c r="C726" i="876"/>
  <c r="C727" i="876"/>
  <c r="C728" i="876"/>
  <c r="C722" i="876" l="1"/>
  <c r="C723" i="876"/>
  <c r="C724" i="876"/>
  <c r="G352" i="628" l="1"/>
  <c r="M352" i="628" l="1"/>
  <c r="L352" i="628"/>
  <c r="L229" i="628"/>
  <c r="M229" i="628"/>
  <c r="G229" i="628"/>
  <c r="C721" i="876"/>
  <c r="C720" i="876" l="1"/>
  <c r="C718" i="876"/>
  <c r="C719" i="876"/>
  <c r="C716" i="876" l="1"/>
  <c r="C717" i="876"/>
  <c r="C707" i="876" l="1"/>
  <c r="C708" i="876"/>
  <c r="C709" i="876"/>
  <c r="C710" i="876"/>
  <c r="C711" i="876"/>
  <c r="C712" i="876"/>
  <c r="C713" i="876"/>
  <c r="C714" i="876"/>
  <c r="C715" i="876"/>
  <c r="K69" i="873" l="1"/>
  <c r="K268" i="873"/>
  <c r="K242" i="873"/>
  <c r="K254" i="873"/>
  <c r="K27" i="873"/>
  <c r="S56" i="873"/>
  <c r="S84" i="873"/>
  <c r="S46" i="873"/>
  <c r="S215" i="873"/>
  <c r="L108" i="629"/>
  <c r="D108" i="629" s="1"/>
  <c r="L113" i="629"/>
  <c r="D113" i="629" s="1"/>
  <c r="L137" i="629"/>
  <c r="D137" i="629" s="1"/>
  <c r="L145" i="629"/>
  <c r="D145" i="629" s="1"/>
  <c r="L12" i="629"/>
  <c r="D12" i="629" s="1"/>
  <c r="L209" i="629"/>
  <c r="D209" i="629" s="1"/>
  <c r="L268" i="629"/>
  <c r="D268" i="629" s="1"/>
  <c r="L250" i="629"/>
  <c r="D250" i="629" s="1"/>
  <c r="C706" i="876"/>
  <c r="C705" i="876"/>
  <c r="C704" i="876"/>
  <c r="N242" i="873" l="1"/>
  <c r="N69" i="873"/>
  <c r="O69" i="873" s="1"/>
  <c r="N27" i="873"/>
  <c r="O27" i="873" s="1"/>
  <c r="N254" i="873"/>
  <c r="O254" i="873" s="1"/>
  <c r="N268" i="873"/>
  <c r="O268" i="873" s="1"/>
  <c r="L69" i="873"/>
  <c r="M254" i="873"/>
  <c r="M69" i="873"/>
  <c r="L268" i="873"/>
  <c r="M27" i="873"/>
  <c r="L27" i="873"/>
  <c r="L242" i="873"/>
  <c r="M242" i="873"/>
  <c r="L254" i="873"/>
  <c r="M268" i="873"/>
  <c r="O242" i="873" l="1"/>
  <c r="K93" i="873" l="1"/>
  <c r="K124" i="873"/>
  <c r="K120" i="873"/>
  <c r="K240" i="873"/>
  <c r="K87" i="873"/>
  <c r="X87" i="873" s="1"/>
  <c r="K30" i="873"/>
  <c r="X30" i="873" s="1"/>
  <c r="K140" i="873"/>
  <c r="X140" i="873" s="1"/>
  <c r="K181" i="873"/>
  <c r="K158" i="873"/>
  <c r="K38" i="873"/>
  <c r="K32" i="873"/>
  <c r="K16" i="873"/>
  <c r="K128" i="873"/>
  <c r="S232" i="873"/>
  <c r="S175" i="873"/>
  <c r="S77" i="873"/>
  <c r="S256" i="873"/>
  <c r="S269" i="873"/>
  <c r="S42" i="873"/>
  <c r="S35" i="873"/>
  <c r="S12" i="873"/>
  <c r="S79" i="873"/>
  <c r="S132" i="873"/>
  <c r="S145" i="873"/>
  <c r="S95" i="873"/>
  <c r="S57" i="873"/>
  <c r="S26" i="873"/>
  <c r="S20" i="873"/>
  <c r="L50" i="629"/>
  <c r="D50" i="629" s="1"/>
  <c r="L180" i="629"/>
  <c r="D180" i="629" s="1"/>
  <c r="L39" i="629"/>
  <c r="D39" i="629" s="1"/>
  <c r="L285" i="629"/>
  <c r="D285" i="629" s="1"/>
  <c r="L126" i="629"/>
  <c r="D126" i="629" s="1"/>
  <c r="L150" i="629"/>
  <c r="D150" i="629" s="1"/>
  <c r="L5" i="629"/>
  <c r="D5" i="629" s="1"/>
  <c r="L78" i="629"/>
  <c r="D78" i="629" s="1"/>
  <c r="L280" i="629"/>
  <c r="D280" i="629" s="1"/>
  <c r="L240" i="629"/>
  <c r="D240" i="629" s="1"/>
  <c r="L32" i="629"/>
  <c r="D32" i="629" s="1"/>
  <c r="L70" i="629"/>
  <c r="D70" i="629" s="1"/>
  <c r="L251" i="629"/>
  <c r="D251" i="629" s="1"/>
  <c r="N128" i="873" l="1"/>
  <c r="O128" i="873" s="1"/>
  <c r="N124" i="873"/>
  <c r="O124" i="873" s="1"/>
  <c r="N38" i="873"/>
  <c r="O38" i="873" s="1"/>
  <c r="N140" i="873"/>
  <c r="N87" i="873"/>
  <c r="N120" i="873"/>
  <c r="O120" i="873" s="1"/>
  <c r="V57" i="873"/>
  <c r="N32" i="873"/>
  <c r="O32" i="873" s="1"/>
  <c r="N181" i="873"/>
  <c r="N30" i="873"/>
  <c r="N240" i="873"/>
  <c r="N16" i="873"/>
  <c r="O16" i="873" s="1"/>
  <c r="N158" i="873"/>
  <c r="O158" i="873" s="1"/>
  <c r="N93" i="873"/>
  <c r="O93" i="873" s="1"/>
  <c r="L87" i="873"/>
  <c r="Y87" i="873" s="1"/>
  <c r="M240" i="873"/>
  <c r="S185" i="873"/>
  <c r="M16" i="873"/>
  <c r="L32" i="873"/>
  <c r="W57" i="873"/>
  <c r="M158" i="873"/>
  <c r="L181" i="873"/>
  <c r="L240" i="873"/>
  <c r="M93" i="873"/>
  <c r="M32" i="873"/>
  <c r="L38" i="873"/>
  <c r="M128" i="873"/>
  <c r="L16" i="873"/>
  <c r="L158" i="873"/>
  <c r="L93" i="873"/>
  <c r="S170" i="873"/>
  <c r="M181" i="873"/>
  <c r="L140" i="873"/>
  <c r="Y140" i="873" s="1"/>
  <c r="L120" i="873"/>
  <c r="L128" i="873"/>
  <c r="M38" i="873"/>
  <c r="M140" i="873"/>
  <c r="Z140" i="873" s="1"/>
  <c r="M87" i="873"/>
  <c r="Z87" i="873" s="1"/>
  <c r="M120" i="873"/>
  <c r="L124" i="873"/>
  <c r="M30" i="873"/>
  <c r="Z30" i="873" s="1"/>
  <c r="L30" i="873"/>
  <c r="Y30" i="873" s="1"/>
  <c r="M124" i="873"/>
  <c r="O87" i="873" l="1"/>
  <c r="AB87" i="873" s="1"/>
  <c r="AA87" i="873"/>
  <c r="O140" i="873"/>
  <c r="AB140" i="873" s="1"/>
  <c r="AA140" i="873"/>
  <c r="O30" i="873"/>
  <c r="AB30" i="873" s="1"/>
  <c r="AA30" i="873"/>
  <c r="O181" i="873"/>
  <c r="O240" i="873"/>
  <c r="C699" i="876"/>
  <c r="C700" i="876"/>
  <c r="C701" i="876"/>
  <c r="C702" i="876"/>
  <c r="C703" i="876"/>
  <c r="C696" i="876" l="1"/>
  <c r="C697" i="876"/>
  <c r="C698" i="876"/>
  <c r="A3" i="430" l="1"/>
  <c r="C691" i="876" l="1"/>
  <c r="C692" i="876"/>
  <c r="C693" i="876"/>
  <c r="C694" i="876"/>
  <c r="C695" i="876"/>
  <c r="C690" i="876" l="1"/>
  <c r="C689" i="876"/>
  <c r="C688" i="876"/>
  <c r="C687" i="876"/>
  <c r="C686" i="876"/>
  <c r="C676" i="876" l="1"/>
  <c r="C677" i="876"/>
  <c r="C678" i="876"/>
  <c r="C679" i="876"/>
  <c r="C680" i="876"/>
  <c r="C681" i="876"/>
  <c r="C682" i="876"/>
  <c r="C683" i="876"/>
  <c r="C684" i="876"/>
  <c r="C685" i="876"/>
  <c r="C662" i="876" l="1"/>
  <c r="C663" i="876"/>
  <c r="C664" i="876"/>
  <c r="C665" i="876"/>
  <c r="C666" i="876"/>
  <c r="C667" i="876"/>
  <c r="C668" i="876"/>
  <c r="C669" i="876"/>
  <c r="C670" i="876"/>
  <c r="C671" i="876"/>
  <c r="C672" i="876"/>
  <c r="C673" i="876"/>
  <c r="C674" i="876"/>
  <c r="C675" i="876"/>
  <c r="C658" i="876" l="1"/>
  <c r="C659" i="876"/>
  <c r="C660" i="876"/>
  <c r="C661" i="876"/>
  <c r="C657" i="876" l="1"/>
  <c r="C640" i="876" l="1"/>
  <c r="C641" i="876"/>
  <c r="C642" i="876"/>
  <c r="C643" i="876"/>
  <c r="C644" i="876"/>
  <c r="C645" i="876"/>
  <c r="C646" i="876"/>
  <c r="C647" i="876"/>
  <c r="C648" i="876"/>
  <c r="C649" i="876"/>
  <c r="C650" i="876"/>
  <c r="C651" i="876"/>
  <c r="C652" i="876"/>
  <c r="C653" i="876"/>
  <c r="C654" i="876"/>
  <c r="C655" i="876"/>
  <c r="C656" i="876"/>
  <c r="S43" i="873" l="1"/>
  <c r="K210" i="873"/>
  <c r="X210" i="873" s="1"/>
  <c r="N210" i="873" l="1"/>
  <c r="AA210" i="873" s="1"/>
  <c r="L210" i="873"/>
  <c r="Y210" i="873" s="1"/>
  <c r="M210" i="873"/>
  <c r="Z210" i="873" s="1"/>
  <c r="O210" i="873" l="1"/>
  <c r="AB210" i="873" s="1"/>
  <c r="C630" i="876"/>
  <c r="C631" i="876"/>
  <c r="C632" i="876"/>
  <c r="C633" i="876"/>
  <c r="C634" i="876"/>
  <c r="C635" i="876"/>
  <c r="C636" i="876"/>
  <c r="C637" i="876"/>
  <c r="C638" i="876"/>
  <c r="C639" i="876"/>
  <c r="C16" i="876" l="1"/>
  <c r="C17" i="876"/>
  <c r="C73" i="876"/>
  <c r="C74" i="876"/>
  <c r="C114" i="876"/>
  <c r="C193" i="876"/>
  <c r="C282" i="876"/>
  <c r="C381" i="876"/>
  <c r="C382" i="876"/>
  <c r="C458" i="876"/>
  <c r="C569" i="876"/>
  <c r="C103" i="876" l="1"/>
  <c r="C104" i="876"/>
  <c r="C127" i="876"/>
  <c r="C155" i="876"/>
  <c r="C208" i="876"/>
  <c r="C238" i="876"/>
  <c r="C281" i="876"/>
  <c r="C420" i="876"/>
  <c r="C497" i="876"/>
  <c r="C568" i="876"/>
  <c r="C611" i="876"/>
  <c r="C612" i="876"/>
  <c r="C15" i="876" l="1"/>
  <c r="C72" i="876"/>
  <c r="C101" i="876"/>
  <c r="C102" i="876"/>
  <c r="C113" i="876"/>
  <c r="C139" i="876"/>
  <c r="C223" i="876"/>
  <c r="C237" i="876"/>
  <c r="C279" i="876"/>
  <c r="C280" i="876"/>
  <c r="C293" i="876"/>
  <c r="C323" i="876"/>
  <c r="C341" i="876"/>
  <c r="C378" i="876"/>
  <c r="C379" i="876"/>
  <c r="C380" i="876"/>
  <c r="C391" i="876"/>
  <c r="C419" i="876"/>
  <c r="C456" i="876"/>
  <c r="C457" i="876"/>
  <c r="C495" i="876"/>
  <c r="C496" i="876"/>
  <c r="C552" i="876"/>
  <c r="C553" i="876"/>
  <c r="C554" i="876"/>
  <c r="C567" i="876"/>
  <c r="C608" i="876"/>
  <c r="C609" i="876"/>
  <c r="C610" i="876"/>
  <c r="K263" i="873" l="1"/>
  <c r="S103" i="873"/>
  <c r="L114" i="629"/>
  <c r="D114" i="629" s="1"/>
  <c r="L235" i="629"/>
  <c r="D235" i="629" s="1"/>
  <c r="L177" i="629"/>
  <c r="D177" i="629" s="1"/>
  <c r="L260" i="629"/>
  <c r="D260" i="629" s="1"/>
  <c r="C69" i="876"/>
  <c r="C70" i="876"/>
  <c r="C71" i="876"/>
  <c r="C179" i="876"/>
  <c r="C192" i="876"/>
  <c r="C277" i="876"/>
  <c r="C278" i="876"/>
  <c r="C374" i="876"/>
  <c r="C375" i="876"/>
  <c r="C376" i="876"/>
  <c r="C377" i="876"/>
  <c r="C455" i="876"/>
  <c r="C465" i="876"/>
  <c r="C493" i="876"/>
  <c r="C494" i="876"/>
  <c r="C550" i="876"/>
  <c r="C551" i="876"/>
  <c r="C605" i="876"/>
  <c r="C606" i="876"/>
  <c r="C607" i="876"/>
  <c r="C629" i="876"/>
  <c r="N263" i="873" l="1"/>
  <c r="O263" i="873" s="1"/>
  <c r="L263" i="873"/>
  <c r="M263" i="873"/>
  <c r="K191" i="873" l="1"/>
  <c r="K203" i="873"/>
  <c r="K241" i="873"/>
  <c r="W7" i="873"/>
  <c r="S7" i="873"/>
  <c r="S211" i="873"/>
  <c r="S58" i="873"/>
  <c r="S191" i="873"/>
  <c r="S262" i="873"/>
  <c r="S114" i="873"/>
  <c r="W191" i="873" l="1"/>
  <c r="N203" i="873"/>
  <c r="O203" i="873" s="1"/>
  <c r="N191" i="873"/>
  <c r="O191" i="873" s="1"/>
  <c r="V7" i="873"/>
  <c r="N241" i="873"/>
  <c r="O241" i="873" s="1"/>
  <c r="V191" i="873"/>
  <c r="L191" i="873"/>
  <c r="L203" i="873"/>
  <c r="M191" i="873"/>
  <c r="M241" i="873"/>
  <c r="L241" i="873"/>
  <c r="M203" i="873"/>
  <c r="C373" i="876"/>
  <c r="C67" i="876"/>
  <c r="C68" i="876"/>
  <c r="C222" i="876"/>
  <c r="C340" i="876"/>
  <c r="C454" i="876"/>
  <c r="C475" i="876"/>
  <c r="C477" i="876"/>
  <c r="C492" i="876"/>
  <c r="C548" i="876"/>
  <c r="C549" i="876"/>
  <c r="L233" i="629"/>
  <c r="D233" i="629" s="1"/>
  <c r="L98" i="629"/>
  <c r="D98" i="629" s="1"/>
  <c r="L118" i="629"/>
  <c r="D118" i="629" s="1"/>
  <c r="L43" i="629"/>
  <c r="D43" i="629" s="1"/>
  <c r="C245" i="876" l="1"/>
  <c r="C65" i="876" l="1"/>
  <c r="C66" i="876"/>
  <c r="C138" i="876"/>
  <c r="C292" i="876"/>
  <c r="C343" i="876"/>
  <c r="C418" i="876"/>
  <c r="C491" i="876"/>
  <c r="C546" i="876"/>
  <c r="C547" i="876"/>
  <c r="C603" i="876"/>
  <c r="C604" i="876"/>
  <c r="C11" i="876" l="1"/>
  <c r="C12" i="876"/>
  <c r="C13" i="876"/>
  <c r="C14" i="876"/>
  <c r="C59" i="876"/>
  <c r="C60" i="876"/>
  <c r="C61" i="876"/>
  <c r="C62" i="876"/>
  <c r="C63" i="876"/>
  <c r="C64" i="876"/>
  <c r="C99" i="876"/>
  <c r="C100" i="876"/>
  <c r="C115" i="876"/>
  <c r="C137" i="876"/>
  <c r="C201" i="876"/>
  <c r="C236" i="876"/>
  <c r="C244" i="876"/>
  <c r="C274" i="876"/>
  <c r="C275" i="876"/>
  <c r="C276" i="876"/>
  <c r="C291" i="876"/>
  <c r="C305" i="876"/>
  <c r="C322" i="876"/>
  <c r="C371" i="876"/>
  <c r="C372" i="876"/>
  <c r="C390" i="876"/>
  <c r="C447" i="876"/>
  <c r="C448" i="876"/>
  <c r="C449" i="876"/>
  <c r="C450" i="876"/>
  <c r="C451" i="876"/>
  <c r="C452" i="876"/>
  <c r="C453" i="876"/>
  <c r="C540" i="876"/>
  <c r="C541" i="876"/>
  <c r="C542" i="876"/>
  <c r="C543" i="876"/>
  <c r="C544" i="876"/>
  <c r="C545" i="876"/>
  <c r="C566" i="876"/>
  <c r="C601" i="876"/>
  <c r="C602" i="876"/>
  <c r="C628" i="876"/>
  <c r="M18" i="628" l="1"/>
  <c r="N18" i="628" s="1"/>
  <c r="L18" i="628"/>
  <c r="G340" i="628"/>
  <c r="C9" i="876" l="1"/>
  <c r="C10" i="876"/>
  <c r="C49" i="876"/>
  <c r="C50" i="876"/>
  <c r="C51" i="876"/>
  <c r="C52" i="876"/>
  <c r="C53" i="876"/>
  <c r="C54" i="876"/>
  <c r="C55" i="876"/>
  <c r="C56" i="876"/>
  <c r="C57" i="876"/>
  <c r="C58" i="876"/>
  <c r="C96" i="876"/>
  <c r="C97" i="876"/>
  <c r="C98" i="876"/>
  <c r="C134" i="876"/>
  <c r="C142" i="876"/>
  <c r="C171" i="876"/>
  <c r="C172" i="876"/>
  <c r="C200" i="876"/>
  <c r="C220" i="876"/>
  <c r="C221" i="876"/>
  <c r="C235" i="876"/>
  <c r="C243" i="876"/>
  <c r="C286" i="876"/>
  <c r="C320" i="876"/>
  <c r="C321" i="876"/>
  <c r="C339" i="876"/>
  <c r="C366" i="876"/>
  <c r="C367" i="876"/>
  <c r="C368" i="876"/>
  <c r="C369" i="876"/>
  <c r="C370" i="876"/>
  <c r="C387" i="876"/>
  <c r="C388" i="876"/>
  <c r="C389" i="876"/>
  <c r="C416" i="876"/>
  <c r="C417" i="876"/>
  <c r="C444" i="876"/>
  <c r="C445" i="876"/>
  <c r="C446" i="876"/>
  <c r="C464" i="876"/>
  <c r="C471" i="876"/>
  <c r="C472" i="876"/>
  <c r="C473" i="876"/>
  <c r="C537" i="876"/>
  <c r="C538" i="876"/>
  <c r="C539" i="876"/>
  <c r="C598" i="876"/>
  <c r="C599" i="876"/>
  <c r="C600" i="876"/>
  <c r="C625" i="876"/>
  <c r="C626" i="876"/>
  <c r="C627" i="876"/>
  <c r="L19" i="628" l="1"/>
  <c r="M19" i="628"/>
  <c r="C6" i="876" l="1"/>
  <c r="C7" i="876"/>
  <c r="C8" i="876"/>
  <c r="C45" i="876"/>
  <c r="C46" i="876"/>
  <c r="C47" i="876"/>
  <c r="C48" i="876"/>
  <c r="C90" i="876"/>
  <c r="C91" i="876"/>
  <c r="C92" i="876"/>
  <c r="C93" i="876"/>
  <c r="C94" i="876"/>
  <c r="C95" i="876"/>
  <c r="C112" i="876"/>
  <c r="C118" i="876"/>
  <c r="C119" i="876"/>
  <c r="C120" i="876"/>
  <c r="C121" i="876"/>
  <c r="C126" i="876"/>
  <c r="C132" i="876"/>
  <c r="C133" i="876"/>
  <c r="C136" i="876"/>
  <c r="C140" i="876"/>
  <c r="C141" i="876"/>
  <c r="C154" i="876"/>
  <c r="C163" i="876"/>
  <c r="C164" i="876"/>
  <c r="C165" i="876"/>
  <c r="C166" i="876"/>
  <c r="C167" i="876"/>
  <c r="C168" i="876"/>
  <c r="C169" i="876"/>
  <c r="C170" i="876"/>
  <c r="C178" i="876"/>
  <c r="C191" i="876"/>
  <c r="C198" i="876"/>
  <c r="C199" i="876"/>
  <c r="C204" i="876"/>
  <c r="C205" i="876"/>
  <c r="C206" i="876"/>
  <c r="C207" i="876"/>
  <c r="C218" i="876"/>
  <c r="C219" i="876"/>
  <c r="C229" i="876"/>
  <c r="C230" i="876"/>
  <c r="C231" i="876"/>
  <c r="C232" i="876"/>
  <c r="C233" i="876"/>
  <c r="C234" i="876"/>
  <c r="C241" i="876"/>
  <c r="C242" i="876"/>
  <c r="C246" i="876"/>
  <c r="C248" i="876"/>
  <c r="C249" i="876"/>
  <c r="C250" i="876"/>
  <c r="C271" i="876"/>
  <c r="C272" i="876"/>
  <c r="C273" i="876"/>
  <c r="C289" i="876"/>
  <c r="C290" i="876"/>
  <c r="C310" i="876"/>
  <c r="C311" i="876"/>
  <c r="C312" i="876"/>
  <c r="C313" i="876"/>
  <c r="C314" i="876"/>
  <c r="C315" i="876"/>
  <c r="C316" i="876"/>
  <c r="C317" i="876"/>
  <c r="C318" i="876"/>
  <c r="C319" i="876"/>
  <c r="C338" i="876"/>
  <c r="C358" i="876"/>
  <c r="C359" i="876"/>
  <c r="C360" i="876"/>
  <c r="C361" i="876"/>
  <c r="C362" i="876"/>
  <c r="C363" i="876"/>
  <c r="C364" i="876"/>
  <c r="C365" i="876"/>
  <c r="C385" i="876"/>
  <c r="C386" i="876"/>
  <c r="C407" i="876"/>
  <c r="C408" i="876"/>
  <c r="C409" i="876"/>
  <c r="C410" i="876"/>
  <c r="C411" i="876"/>
  <c r="C412" i="876"/>
  <c r="C413" i="876"/>
  <c r="C414" i="876"/>
  <c r="C415" i="876"/>
  <c r="C441" i="876"/>
  <c r="C442" i="876"/>
  <c r="C443" i="876"/>
  <c r="C461" i="876"/>
  <c r="C462" i="876"/>
  <c r="C463" i="876"/>
  <c r="C469" i="876"/>
  <c r="C470" i="876"/>
  <c r="C474" i="876"/>
  <c r="C489" i="876"/>
  <c r="C490" i="876"/>
  <c r="C527" i="876"/>
  <c r="C528" i="876"/>
  <c r="C529" i="876"/>
  <c r="C530" i="876"/>
  <c r="C531" i="876"/>
  <c r="C532" i="876"/>
  <c r="C533" i="876"/>
  <c r="C534" i="876"/>
  <c r="C535" i="876"/>
  <c r="C536" i="876"/>
  <c r="C571" i="876"/>
  <c r="C572" i="876"/>
  <c r="C573" i="876"/>
  <c r="C574" i="876"/>
  <c r="C575" i="876"/>
  <c r="C576" i="876"/>
  <c r="C577" i="876"/>
  <c r="C578" i="876"/>
  <c r="C595" i="876"/>
  <c r="C596" i="876"/>
  <c r="C597" i="876"/>
  <c r="C618" i="876"/>
  <c r="C619" i="876"/>
  <c r="C620" i="876"/>
  <c r="C621" i="876"/>
  <c r="C622" i="876"/>
  <c r="C623" i="876"/>
  <c r="C624" i="876"/>
  <c r="C617" i="876" l="1"/>
  <c r="C460" i="876"/>
  <c r="C440" i="876"/>
  <c r="C439" i="876"/>
  <c r="C438" i="876"/>
  <c r="C406" i="876"/>
  <c r="C304" i="876"/>
  <c r="C203" i="876"/>
  <c r="C44" i="876"/>
  <c r="C43" i="876"/>
  <c r="L395" i="628" l="1"/>
  <c r="C488" i="876" l="1"/>
  <c r="C357" i="876"/>
  <c r="C270" i="876"/>
  <c r="C269" i="876"/>
  <c r="C42" i="876"/>
  <c r="L171" i="629" l="1"/>
  <c r="D171" i="629" s="1"/>
  <c r="C487" i="876" l="1"/>
  <c r="C486" i="876"/>
  <c r="C405" i="876"/>
  <c r="C337" i="876"/>
  <c r="C303" i="876"/>
  <c r="C268" i="876"/>
  <c r="C267" i="876"/>
  <c r="C197" i="876" l="1"/>
  <c r="C336" i="876" l="1"/>
  <c r="C89" i="876"/>
  <c r="C594" i="876" l="1"/>
  <c r="C593" i="876"/>
  <c r="F272" i="876"/>
  <c r="F273" i="876"/>
  <c r="F274" i="876"/>
  <c r="F301" i="876"/>
  <c r="F302" i="876"/>
  <c r="F48" i="876"/>
  <c r="F175" i="876"/>
  <c r="F104" i="876"/>
  <c r="F140" i="876"/>
  <c r="F141" i="876"/>
  <c r="F157" i="876"/>
  <c r="F176" i="876"/>
  <c r="F207" i="876"/>
  <c r="F243" i="876"/>
  <c r="F244" i="876"/>
  <c r="F31" i="876"/>
  <c r="F142" i="876"/>
  <c r="F143" i="876"/>
  <c r="F191" i="876"/>
  <c r="F245" i="876"/>
  <c r="F32" i="876"/>
  <c r="C526" i="876"/>
  <c r="C525" i="876"/>
  <c r="C524" i="876"/>
  <c r="C523" i="876"/>
  <c r="C485" i="876"/>
  <c r="C437" i="876"/>
  <c r="C436" i="876"/>
  <c r="C404" i="876"/>
  <c r="C403" i="876"/>
  <c r="C356" i="876"/>
  <c r="C355" i="876"/>
  <c r="C335" i="876"/>
  <c r="F298" i="876"/>
  <c r="F299" i="876"/>
  <c r="F300" i="876"/>
  <c r="F303" i="876"/>
  <c r="F304" i="876"/>
  <c r="F305" i="876"/>
  <c r="F306" i="876"/>
  <c r="F120" i="876"/>
  <c r="F172" i="876"/>
  <c r="F173" i="876"/>
  <c r="F53" i="876"/>
  <c r="F54" i="876"/>
  <c r="F55" i="876"/>
  <c r="F139" i="876"/>
  <c r="F174" i="876"/>
  <c r="F189" i="876"/>
  <c r="F190" i="876"/>
  <c r="F205" i="876"/>
  <c r="F206" i="876"/>
  <c r="F224" i="876"/>
  <c r="F225" i="876"/>
  <c r="F242" i="876"/>
  <c r="F271" i="876"/>
  <c r="C266" i="876" l="1"/>
  <c r="C111" i="876"/>
  <c r="C110" i="876"/>
  <c r="C109" i="876"/>
  <c r="C334" i="876"/>
  <c r="C333" i="876"/>
  <c r="C228" i="876"/>
  <c r="C217" i="876"/>
  <c r="C153" i="876"/>
  <c r="C522" i="876" l="1"/>
  <c r="C468" i="876"/>
  <c r="C354" i="876"/>
  <c r="C332" i="876"/>
  <c r="C265" i="876"/>
  <c r="C152" i="876"/>
  <c r="C88" i="876"/>
  <c r="C592" i="876" l="1"/>
  <c r="C591" i="876"/>
  <c r="C565" i="876"/>
  <c r="C564" i="876"/>
  <c r="C353" i="876" l="1"/>
  <c r="C309" i="876"/>
  <c r="C302" i="876"/>
  <c r="C41" i="876"/>
  <c r="C590" i="876" l="1"/>
  <c r="C616" i="876"/>
  <c r="C563" i="876"/>
  <c r="C151" i="876"/>
  <c r="C150" i="876"/>
  <c r="C87" i="876"/>
  <c r="C216" i="876" l="1"/>
  <c r="C400" i="876" l="1"/>
  <c r="C434" i="876"/>
  <c r="C519" i="876"/>
  <c r="C520" i="876"/>
  <c r="C521" i="876"/>
  <c r="C162" i="876"/>
  <c r="C331" i="876"/>
  <c r="C350" i="876"/>
  <c r="C351" i="876"/>
  <c r="C352" i="876"/>
  <c r="C401" i="876"/>
  <c r="C402" i="876"/>
  <c r="C435" i="876"/>
  <c r="C484" i="876"/>
  <c r="C75" i="876"/>
  <c r="C86" i="876"/>
  <c r="C131" i="876"/>
  <c r="C135" i="876"/>
  <c r="C301" i="876"/>
  <c r="C349" i="876"/>
  <c r="C398" i="876"/>
  <c r="C399" i="876"/>
  <c r="L277" i="628" l="1"/>
  <c r="M277" i="628"/>
  <c r="G277" i="628"/>
  <c r="L505" i="628"/>
  <c r="M505" i="628"/>
  <c r="G505" i="628"/>
  <c r="L824" i="628"/>
  <c r="M824" i="628"/>
  <c r="G824" i="628"/>
  <c r="L823" i="628"/>
  <c r="M823" i="628"/>
  <c r="G823" i="628"/>
  <c r="L966" i="628"/>
  <c r="M966" i="628"/>
  <c r="G966" i="628"/>
  <c r="L960" i="628"/>
  <c r="M960" i="628"/>
  <c r="G960" i="628"/>
  <c r="L947" i="628"/>
  <c r="M947" i="628"/>
  <c r="G947" i="628"/>
  <c r="L1049" i="628"/>
  <c r="M1049" i="628"/>
  <c r="G1049" i="628"/>
  <c r="C518" i="876"/>
  <c r="F6" i="876"/>
  <c r="F44" i="876"/>
  <c r="F61" i="876"/>
  <c r="F73" i="876"/>
  <c r="F137" i="876"/>
  <c r="F182" i="876"/>
  <c r="F193" i="876"/>
  <c r="F266" i="876"/>
  <c r="F282" i="876"/>
  <c r="F111" i="876"/>
  <c r="F112" i="876"/>
  <c r="F113" i="876"/>
  <c r="F29" i="876"/>
  <c r="C5" i="876"/>
  <c r="C85" i="876"/>
  <c r="C125" i="876"/>
  <c r="C149" i="876"/>
  <c r="C264" i="876"/>
  <c r="C348" i="876"/>
  <c r="C384" i="876"/>
  <c r="C562" i="876"/>
  <c r="C213" i="876"/>
  <c r="C214" i="876"/>
  <c r="C215" i="876"/>
  <c r="C40" i="876"/>
  <c r="L152" i="629" l="1"/>
  <c r="D152" i="629" s="1"/>
  <c r="L128" i="629"/>
  <c r="D128" i="629" s="1"/>
  <c r="L11" i="629"/>
  <c r="D11" i="629" s="1"/>
  <c r="L104" i="629"/>
  <c r="D104" i="629" s="1"/>
  <c r="L277" i="629"/>
  <c r="D277" i="629" s="1"/>
  <c r="L213" i="629"/>
  <c r="D213" i="629" s="1"/>
  <c r="L129" i="629"/>
  <c r="D129" i="629" s="1"/>
  <c r="L59" i="629"/>
  <c r="D59" i="629" s="1"/>
  <c r="L398" i="628"/>
  <c r="M398" i="628"/>
  <c r="L233" i="628"/>
  <c r="M233" i="628"/>
  <c r="L40" i="628"/>
  <c r="M40" i="628"/>
  <c r="L55" i="628"/>
  <c r="M55" i="628"/>
  <c r="G55" i="628"/>
  <c r="G40" i="628"/>
  <c r="G233" i="628"/>
  <c r="G398" i="628"/>
  <c r="L140" i="629"/>
  <c r="D140" i="629" s="1"/>
  <c r="L286" i="629"/>
  <c r="D286" i="629" s="1"/>
  <c r="L284" i="629"/>
  <c r="D284" i="629" s="1"/>
  <c r="L88" i="629"/>
  <c r="D88" i="629" s="1"/>
  <c r="L115" i="629"/>
  <c r="D115" i="629" s="1"/>
  <c r="L261" i="629"/>
  <c r="D261" i="629" s="1"/>
  <c r="L258" i="629"/>
  <c r="D258" i="629" s="1"/>
  <c r="L196" i="629"/>
  <c r="D196" i="629" s="1"/>
  <c r="L254" i="629"/>
  <c r="D254" i="629" s="1"/>
  <c r="L224" i="629"/>
  <c r="D224" i="629" s="1"/>
  <c r="L6" i="629"/>
  <c r="D6" i="629" s="1"/>
  <c r="L187" i="629"/>
  <c r="D187" i="629" s="1"/>
  <c r="L143" i="629"/>
  <c r="D143" i="629" s="1"/>
  <c r="L15" i="629"/>
  <c r="D15" i="629" s="1"/>
  <c r="L80" i="629"/>
  <c r="D80" i="629" s="1"/>
  <c r="L37" i="629"/>
  <c r="D37" i="629" s="1"/>
  <c r="L276" i="629"/>
  <c r="D276" i="629" s="1"/>
  <c r="L4" i="629"/>
  <c r="D4" i="629" s="1"/>
  <c r="L54" i="629"/>
  <c r="D54" i="629" s="1"/>
  <c r="L227" i="629"/>
  <c r="D227" i="629" s="1"/>
  <c r="L189" i="629"/>
  <c r="D189" i="629" s="1"/>
  <c r="L41" i="629"/>
  <c r="D41" i="629" s="1"/>
  <c r="L67" i="629"/>
  <c r="D67" i="629" s="1"/>
  <c r="L47" i="629"/>
  <c r="D47" i="629" s="1"/>
  <c r="L146" i="629"/>
  <c r="D146" i="629" s="1"/>
  <c r="L79" i="629"/>
  <c r="D79" i="629" s="1"/>
  <c r="L127" i="629"/>
  <c r="D127" i="629" s="1"/>
  <c r="L212" i="629"/>
  <c r="D212" i="629" s="1"/>
  <c r="L117" i="629"/>
  <c r="D117" i="629" s="1"/>
  <c r="L139" i="629"/>
  <c r="D139" i="629" s="1"/>
  <c r="L232" i="629"/>
  <c r="D232" i="629" s="1"/>
  <c r="L252" i="629"/>
  <c r="D252" i="629" s="1"/>
  <c r="L141" i="629"/>
  <c r="D141" i="629" s="1"/>
  <c r="L270" i="629"/>
  <c r="D270" i="629" s="1"/>
  <c r="L274" i="629"/>
  <c r="D274" i="629" s="1"/>
  <c r="L190" i="629"/>
  <c r="D190" i="629" s="1"/>
  <c r="L215" i="629"/>
  <c r="D215" i="629" s="1"/>
  <c r="L136" i="629"/>
  <c r="D136" i="629" s="1"/>
  <c r="L186" i="629"/>
  <c r="D186" i="629" s="1"/>
  <c r="L214" i="629"/>
  <c r="D214" i="629" s="1"/>
  <c r="L74" i="629"/>
  <c r="D74" i="629" s="1"/>
  <c r="L97" i="629"/>
  <c r="D97" i="629" s="1"/>
  <c r="L9" i="629"/>
  <c r="D9" i="629" s="1"/>
  <c r="L63" i="629"/>
  <c r="D63" i="629" s="1"/>
  <c r="L201" i="629"/>
  <c r="D201" i="629" s="1"/>
  <c r="L262" i="629"/>
  <c r="D262" i="629" s="1"/>
  <c r="L237" i="629"/>
  <c r="D237" i="629" s="1"/>
  <c r="L279" i="629"/>
  <c r="D279" i="629" s="1"/>
  <c r="L259" i="629"/>
  <c r="D259" i="629" s="1"/>
  <c r="L110" i="629"/>
  <c r="D110" i="629" s="1"/>
  <c r="L10" i="629"/>
  <c r="D10" i="629" s="1"/>
  <c r="L283" i="629"/>
  <c r="D283" i="629" s="1"/>
  <c r="L7" i="629"/>
  <c r="D7" i="629" s="1"/>
  <c r="L68" i="629"/>
  <c r="D68" i="629" s="1"/>
  <c r="L228" i="629"/>
  <c r="D228" i="629" s="1"/>
  <c r="L253" i="629"/>
  <c r="D253" i="629" s="1"/>
  <c r="L13" i="629"/>
  <c r="D13" i="629" s="1"/>
  <c r="L257" i="629"/>
  <c r="D257" i="629" s="1"/>
  <c r="L183" i="629"/>
  <c r="D183" i="629" s="1"/>
  <c r="L20" i="629"/>
  <c r="D20" i="629" s="1"/>
  <c r="L132" i="629"/>
  <c r="D132" i="629" s="1"/>
  <c r="L205" i="629"/>
  <c r="D205" i="629" s="1"/>
  <c r="L28" i="629"/>
  <c r="D28" i="629" s="1"/>
  <c r="L231" i="629"/>
  <c r="D231" i="629" s="1"/>
  <c r="L8" i="629"/>
  <c r="D8" i="629" s="1"/>
  <c r="L220" i="629"/>
  <c r="D220" i="629" s="1"/>
  <c r="L194" i="629"/>
  <c r="D194" i="629" s="1"/>
  <c r="L243" i="629"/>
  <c r="D243" i="629" s="1"/>
  <c r="L51" i="629"/>
  <c r="D51" i="629" s="1"/>
  <c r="L135" i="629"/>
  <c r="D135" i="629" s="1"/>
  <c r="L158" i="629"/>
  <c r="D158" i="629" s="1"/>
  <c r="L182" i="629"/>
  <c r="D182" i="629" s="1"/>
  <c r="L95" i="629"/>
  <c r="D95" i="629" s="1"/>
  <c r="L219" i="629"/>
  <c r="D219" i="629" s="1"/>
  <c r="L289" i="629"/>
  <c r="D289" i="629" s="1"/>
  <c r="L44" i="629"/>
  <c r="D44" i="629" s="1"/>
  <c r="L96" i="629"/>
  <c r="D96" i="629" s="1"/>
  <c r="L123" i="629"/>
  <c r="D123" i="629" s="1"/>
  <c r="L256" i="629"/>
  <c r="D256" i="629" s="1"/>
  <c r="L272" i="629"/>
  <c r="D272" i="629" s="1"/>
  <c r="L82" i="629"/>
  <c r="D82" i="629" s="1"/>
  <c r="L241" i="629"/>
  <c r="D241" i="629" s="1"/>
  <c r="L57" i="629"/>
  <c r="D57" i="629" s="1"/>
  <c r="L207" i="629"/>
  <c r="D207" i="629" s="1"/>
  <c r="L184" i="629"/>
  <c r="D184" i="629" s="1"/>
  <c r="L221" i="629"/>
  <c r="D221" i="629" s="1"/>
  <c r="L192" i="629"/>
  <c r="D192" i="629" s="1"/>
  <c r="L22" i="629"/>
  <c r="D22" i="629" s="1"/>
  <c r="L131" i="629"/>
  <c r="D131" i="629" s="1"/>
  <c r="L278" i="629"/>
  <c r="D278" i="629" s="1"/>
  <c r="L245" i="629"/>
  <c r="D245" i="629" s="1"/>
  <c r="L174" i="629"/>
  <c r="D174" i="629" s="1"/>
  <c r="L275" i="629"/>
  <c r="D275" i="629" s="1"/>
  <c r="L282" i="629"/>
  <c r="D282" i="629" s="1"/>
  <c r="L151" i="629"/>
  <c r="D151" i="629" s="1"/>
  <c r="L161" i="629"/>
  <c r="D161" i="629" s="1"/>
  <c r="L119" i="629"/>
  <c r="D119" i="629" s="1"/>
  <c r="L165" i="629"/>
  <c r="D165" i="629" s="1"/>
  <c r="L202" i="629"/>
  <c r="D202" i="629" s="1"/>
  <c r="L265" i="629"/>
  <c r="D265" i="629" s="1"/>
  <c r="L271" i="629"/>
  <c r="D271" i="629" s="1"/>
  <c r="L273" i="629"/>
  <c r="D273" i="629" s="1"/>
  <c r="L188" i="629"/>
  <c r="D188" i="629" s="1"/>
  <c r="L239" i="629"/>
  <c r="D239" i="629" s="1"/>
  <c r="L2" i="629"/>
  <c r="D2" i="629" s="1"/>
  <c r="L69" i="629"/>
  <c r="D69" i="629" s="1"/>
  <c r="L238" i="629"/>
  <c r="D238" i="629" s="1"/>
  <c r="L167" i="629"/>
  <c r="D167" i="629" s="1"/>
  <c r="L166" i="629"/>
  <c r="D166" i="629" s="1"/>
  <c r="L49" i="629"/>
  <c r="D49" i="629" s="1"/>
  <c r="L62" i="629"/>
  <c r="D62" i="629" s="1"/>
  <c r="L157" i="629"/>
  <c r="D157" i="629" s="1"/>
  <c r="L193" i="629"/>
  <c r="D193" i="629" s="1"/>
  <c r="L147" i="629"/>
  <c r="D147" i="629" s="1"/>
  <c r="L247" i="629"/>
  <c r="D247" i="629" s="1"/>
  <c r="L138" i="629"/>
  <c r="D138" i="629" s="1"/>
  <c r="L169" i="629"/>
  <c r="D169" i="629" s="1"/>
  <c r="L176" i="629"/>
  <c r="D176" i="629" s="1"/>
  <c r="L42" i="629"/>
  <c r="D42" i="629" s="1"/>
  <c r="L23" i="629"/>
  <c r="D23" i="629" s="1"/>
  <c r="L130" i="629"/>
  <c r="D130" i="629" s="1"/>
  <c r="L288" i="629"/>
  <c r="D288" i="629" s="1"/>
  <c r="L91" i="629"/>
  <c r="D91" i="629" s="1"/>
  <c r="L107" i="629"/>
  <c r="D107" i="629" s="1"/>
  <c r="L34" i="629"/>
  <c r="D34" i="629" s="1"/>
  <c r="L16" i="629"/>
  <c r="D16" i="629" s="1"/>
  <c r="L264" i="629"/>
  <c r="D264" i="629" s="1"/>
  <c r="L84" i="629"/>
  <c r="D84" i="629" s="1"/>
  <c r="L234" i="629"/>
  <c r="D234" i="629" s="1"/>
  <c r="L25" i="629"/>
  <c r="D25" i="629" s="1"/>
  <c r="L3" i="629"/>
  <c r="D3" i="629" s="1"/>
  <c r="L191" i="629"/>
  <c r="D191" i="629" s="1"/>
  <c r="L106" i="629"/>
  <c r="D106" i="629" s="1"/>
  <c r="C433" i="876"/>
  <c r="C517" i="876"/>
  <c r="C429" i="876"/>
  <c r="C430" i="876"/>
  <c r="C431" i="876"/>
  <c r="C512" i="876"/>
  <c r="C513" i="876"/>
  <c r="C514" i="876"/>
  <c r="C515" i="876"/>
  <c r="C561" i="876"/>
  <c r="C588" i="876"/>
  <c r="C589" i="876"/>
  <c r="C212" i="876"/>
  <c r="C148" i="876"/>
  <c r="C177" i="876"/>
  <c r="C189" i="876"/>
  <c r="C190" i="876"/>
  <c r="C247" i="876"/>
  <c r="C263" i="876"/>
  <c r="C300" i="876"/>
  <c r="C308" i="876"/>
  <c r="C432" i="876"/>
  <c r="C516" i="876"/>
  <c r="C555" i="876"/>
  <c r="C4" i="876"/>
  <c r="C39" i="876"/>
  <c r="C130" i="876"/>
  <c r="C161" i="876"/>
  <c r="F100" i="876"/>
  <c r="F123" i="876"/>
  <c r="F136" i="876"/>
  <c r="F154" i="876"/>
  <c r="F161" i="876"/>
  <c r="F220" i="876"/>
  <c r="F264" i="876"/>
  <c r="F275" i="876"/>
  <c r="F5" i="876"/>
  <c r="F28" i="876"/>
  <c r="F64" i="876"/>
  <c r="F83" i="876"/>
  <c r="F221" i="876"/>
  <c r="H55" i="628" l="1"/>
  <c r="H398" i="628"/>
  <c r="H233" i="628"/>
  <c r="H40" i="628"/>
  <c r="H419" i="628"/>
  <c r="H1055" i="628"/>
  <c r="H3" i="628"/>
  <c r="H15" i="628"/>
  <c r="H1057" i="628"/>
  <c r="H2" i="628"/>
  <c r="H1054" i="628"/>
  <c r="H851" i="628"/>
  <c r="H581" i="628"/>
  <c r="H633" i="628"/>
  <c r="H889" i="628"/>
  <c r="H586" i="628"/>
  <c r="H896" i="628"/>
  <c r="H325" i="628"/>
  <c r="H38" i="628"/>
  <c r="H45" i="628"/>
  <c r="H1049" i="628"/>
  <c r="H553" i="628"/>
  <c r="H339" i="628"/>
  <c r="H352" i="628"/>
  <c r="H229" i="628"/>
  <c r="H18" i="628"/>
  <c r="H19" i="628"/>
  <c r="H34" i="628"/>
  <c r="H824" i="628"/>
  <c r="H960" i="628"/>
  <c r="H947" i="628"/>
  <c r="H505" i="628"/>
  <c r="H966" i="628"/>
  <c r="H823" i="628"/>
  <c r="H277" i="628"/>
  <c r="F89" i="876"/>
  <c r="F99" i="876"/>
  <c r="L50" i="628" l="1"/>
  <c r="M50" i="628"/>
  <c r="L23" i="628"/>
  <c r="M23" i="628"/>
  <c r="L30" i="628"/>
  <c r="M30" i="628"/>
  <c r="G276" i="628" l="1"/>
  <c r="G50" i="628"/>
  <c r="G23" i="628"/>
  <c r="H30" i="628"/>
  <c r="H23" i="628"/>
  <c r="H50" i="628"/>
  <c r="G30" i="628"/>
  <c r="F110" i="876" l="1"/>
  <c r="F72" i="876"/>
  <c r="F262" i="876" l="1"/>
  <c r="F263" i="876"/>
  <c r="F281" i="876"/>
  <c r="F296" i="876"/>
  <c r="F297" i="876"/>
  <c r="C227" i="876" l="1"/>
  <c r="C186" i="876"/>
  <c r="F26" i="876"/>
  <c r="F27" i="876"/>
  <c r="F60" i="876"/>
  <c r="F88" i="876"/>
  <c r="F96" i="876"/>
  <c r="F97" i="876"/>
  <c r="F98" i="876"/>
  <c r="F118" i="876"/>
  <c r="F153" i="876"/>
  <c r="F177" i="876"/>
  <c r="F199" i="876"/>
  <c r="F217" i="876"/>
  <c r="F218" i="876"/>
  <c r="F219" i="876"/>
  <c r="F260" i="876"/>
  <c r="F261" i="876"/>
  <c r="C38" i="876"/>
  <c r="C124" i="876"/>
  <c r="C176" i="876"/>
  <c r="C187" i="876"/>
  <c r="C188" i="876"/>
  <c r="C226" i="876"/>
  <c r="C299" i="876"/>
  <c r="C342" i="876"/>
  <c r="C397" i="876"/>
  <c r="F19" i="876" l="1"/>
  <c r="F20" i="876"/>
  <c r="F21" i="876"/>
  <c r="F22" i="876"/>
  <c r="F23" i="876"/>
  <c r="F24" i="876"/>
  <c r="F25" i="876"/>
  <c r="F42" i="876"/>
  <c r="F43" i="876"/>
  <c r="F109" i="876"/>
  <c r="F134" i="876"/>
  <c r="F135" i="876"/>
  <c r="F148" i="876"/>
  <c r="F180" i="876"/>
  <c r="F181" i="876"/>
  <c r="F215" i="876"/>
  <c r="F216" i="876"/>
  <c r="F234" i="876"/>
  <c r="F240" i="876"/>
  <c r="F258" i="876"/>
  <c r="F259" i="876"/>
  <c r="F280" i="876"/>
  <c r="F294" i="876"/>
  <c r="F295" i="876"/>
  <c r="F257" i="876"/>
  <c r="F276" i="876"/>
  <c r="F293" i="876" l="1"/>
  <c r="C31" i="876"/>
  <c r="C32" i="876"/>
  <c r="C33" i="876"/>
  <c r="C34" i="876"/>
  <c r="C35" i="876"/>
  <c r="C36" i="876"/>
  <c r="C83" i="876"/>
  <c r="C84" i="876"/>
  <c r="C211" i="876"/>
  <c r="C261" i="876"/>
  <c r="C262" i="876"/>
  <c r="C294" i="876"/>
  <c r="C346" i="876"/>
  <c r="C347" i="876"/>
  <c r="C427" i="876"/>
  <c r="C428" i="876"/>
  <c r="C476" i="876"/>
  <c r="C483" i="876"/>
  <c r="C510" i="876"/>
  <c r="C511" i="876"/>
  <c r="C560" i="876"/>
  <c r="C586" i="876"/>
  <c r="C587" i="876"/>
  <c r="C37" i="876"/>
  <c r="C30" i="876" l="1"/>
  <c r="C585" i="876"/>
  <c r="C509" i="876"/>
  <c r="C508" i="876"/>
  <c r="C507" i="876"/>
  <c r="C426" i="876"/>
  <c r="C396" i="876"/>
  <c r="C383" i="876"/>
  <c r="C307" i="876"/>
  <c r="C298" i="876"/>
  <c r="C297" i="876"/>
  <c r="C260" i="876"/>
  <c r="C259" i="876"/>
  <c r="C202" i="876"/>
  <c r="C185" i="876"/>
  <c r="C160" i="876"/>
  <c r="C147" i="876"/>
  <c r="C117" i="876"/>
  <c r="C82" i="876"/>
  <c r="C29" i="876"/>
  <c r="F17" i="876"/>
  <c r="F18" i="876"/>
  <c r="F41" i="876"/>
  <c r="F57" i="876"/>
  <c r="F71" i="876"/>
  <c r="F82" i="876"/>
  <c r="F95" i="876"/>
  <c r="F105" i="876"/>
  <c r="F132" i="876"/>
  <c r="F133" i="876"/>
  <c r="F151" i="876"/>
  <c r="F152" i="876"/>
  <c r="F160" i="876"/>
  <c r="F192" i="876"/>
  <c r="F198" i="876"/>
  <c r="F214" i="876"/>
  <c r="F255" i="876"/>
  <c r="F256" i="876"/>
  <c r="C28" i="876"/>
  <c r="F129" i="876" l="1"/>
  <c r="F58" i="876"/>
  <c r="F130" i="876"/>
  <c r="F10" i="876"/>
  <c r="F11" i="876"/>
  <c r="F131" i="876"/>
  <c r="F210" i="876"/>
  <c r="F211" i="876"/>
  <c r="F250" i="876"/>
  <c r="F277" i="876"/>
  <c r="F12" i="876"/>
  <c r="F38" i="876"/>
  <c r="F39" i="876"/>
  <c r="F63" i="876"/>
  <c r="F69" i="876"/>
  <c r="F92" i="876"/>
  <c r="F144" i="876"/>
  <c r="F145" i="876"/>
  <c r="F168" i="876"/>
  <c r="F196" i="876"/>
  <c r="F236" i="876"/>
  <c r="F237" i="876"/>
  <c r="F238" i="876"/>
  <c r="F251" i="876"/>
  <c r="F291" i="876"/>
  <c r="F4" i="876"/>
  <c r="F13" i="876"/>
  <c r="F14" i="876"/>
  <c r="F15" i="876"/>
  <c r="F16" i="876"/>
  <c r="F40" i="876"/>
  <c r="F50" i="876"/>
  <c r="F51" i="876"/>
  <c r="F52" i="876"/>
  <c r="F70" i="876"/>
  <c r="F81" i="876"/>
  <c r="F93" i="876"/>
  <c r="F94" i="876"/>
  <c r="F103" i="876"/>
  <c r="F169" i="876"/>
  <c r="F197" i="876"/>
  <c r="F212" i="876"/>
  <c r="F213" i="876"/>
  <c r="F239" i="876"/>
  <c r="F252" i="876"/>
  <c r="F253" i="876"/>
  <c r="F254" i="876"/>
  <c r="F278" i="876"/>
  <c r="F279" i="876"/>
  <c r="F292" i="876"/>
  <c r="L1041" i="628" l="1"/>
  <c r="M1041" i="628"/>
  <c r="H1041" i="628"/>
  <c r="G1041" i="628"/>
  <c r="M1045" i="628"/>
  <c r="H1045" i="628"/>
  <c r="G1045" i="628"/>
  <c r="M510" i="628"/>
  <c r="H510" i="628"/>
  <c r="G510" i="628"/>
  <c r="L243" i="628"/>
  <c r="M243" i="628"/>
  <c r="G243" i="628"/>
  <c r="L240" i="628"/>
  <c r="M240" i="628"/>
  <c r="H240" i="628"/>
  <c r="H243" i="628"/>
  <c r="G240" i="628"/>
  <c r="L101" i="628"/>
  <c r="M101" i="628"/>
  <c r="H101" i="628"/>
  <c r="G101" i="628"/>
  <c r="C582" i="876" l="1"/>
  <c r="F232" i="876"/>
  <c r="C26" i="876" l="1"/>
  <c r="C27" i="876"/>
  <c r="C81" i="876"/>
  <c r="C106" i="876"/>
  <c r="C107" i="876"/>
  <c r="C108" i="876"/>
  <c r="C146" i="876"/>
  <c r="C159" i="876"/>
  <c r="C183" i="876"/>
  <c r="C184" i="876"/>
  <c r="C196" i="876"/>
  <c r="C330" i="876"/>
  <c r="C395" i="876"/>
  <c r="C424" i="876"/>
  <c r="C425" i="876"/>
  <c r="C482" i="876"/>
  <c r="C504" i="876"/>
  <c r="C505" i="876"/>
  <c r="C506" i="876"/>
  <c r="C558" i="876"/>
  <c r="C559" i="876"/>
  <c r="C584" i="876"/>
  <c r="C614" i="876"/>
  <c r="C615" i="876"/>
  <c r="G954" i="628" l="1"/>
  <c r="G953" i="628"/>
  <c r="G860" i="628"/>
  <c r="G821" i="628"/>
  <c r="G806" i="628"/>
  <c r="L39" i="628"/>
  <c r="L806" i="628"/>
  <c r="L821" i="628"/>
  <c r="L860" i="628"/>
  <c r="L953" i="628"/>
  <c r="L954" i="628"/>
  <c r="L510" i="628"/>
  <c r="L1045" i="628"/>
  <c r="M39" i="628"/>
  <c r="M806" i="628"/>
  <c r="M821" i="628"/>
  <c r="M860" i="628"/>
  <c r="M953" i="628"/>
  <c r="M954" i="628"/>
  <c r="H39" i="628"/>
  <c r="H806" i="628"/>
  <c r="H821" i="628"/>
  <c r="H860" i="628"/>
  <c r="H953" i="628"/>
  <c r="H954" i="628"/>
  <c r="G39" i="628"/>
  <c r="K46" i="873" l="1"/>
  <c r="W16" i="873"/>
  <c r="S16" i="873"/>
  <c r="S268" i="873"/>
  <c r="K23" i="873"/>
  <c r="S182" i="873"/>
  <c r="N23" i="873" l="1"/>
  <c r="O23" i="873" s="1"/>
  <c r="V16" i="873"/>
  <c r="N46" i="873"/>
  <c r="O46" i="873" s="1"/>
  <c r="L23" i="873"/>
  <c r="L46" i="873"/>
  <c r="M23" i="873"/>
  <c r="M46" i="873"/>
  <c r="K141" i="873"/>
  <c r="K189" i="873"/>
  <c r="W181" i="873"/>
  <c r="K228" i="873"/>
  <c r="K88" i="873"/>
  <c r="K131" i="873"/>
  <c r="K227" i="873"/>
  <c r="K253" i="873"/>
  <c r="V195" i="873"/>
  <c r="K41" i="873"/>
  <c r="V268" i="873"/>
  <c r="K175" i="873"/>
  <c r="K135" i="873"/>
  <c r="X172" i="873" s="1"/>
  <c r="W172" i="873"/>
  <c r="K36" i="873"/>
  <c r="X36" i="873" s="1"/>
  <c r="W178" i="873"/>
  <c r="K231" i="873"/>
  <c r="K169" i="873"/>
  <c r="V185" i="873"/>
  <c r="K95" i="873"/>
  <c r="K222" i="873"/>
  <c r="K129" i="873"/>
  <c r="K98" i="873"/>
  <c r="W215" i="873"/>
  <c r="V215" i="873"/>
  <c r="K15" i="873"/>
  <c r="W203" i="873"/>
  <c r="K187" i="873"/>
  <c r="W267" i="873"/>
  <c r="V267" i="873"/>
  <c r="K257" i="873"/>
  <c r="K121" i="873"/>
  <c r="K195" i="873"/>
  <c r="K21" i="873"/>
  <c r="X191" i="873" s="1"/>
  <c r="K102" i="873"/>
  <c r="K112" i="873"/>
  <c r="K101" i="873"/>
  <c r="K115" i="873"/>
  <c r="X241" i="873" s="1"/>
  <c r="W241" i="873"/>
  <c r="V241" i="873"/>
  <c r="W91" i="873"/>
  <c r="K56" i="873"/>
  <c r="K266" i="873"/>
  <c r="K7" i="873"/>
  <c r="K106" i="873"/>
  <c r="S156" i="873"/>
  <c r="S181" i="873"/>
  <c r="S213" i="873"/>
  <c r="S224" i="873"/>
  <c r="S214" i="873"/>
  <c r="S152" i="873"/>
  <c r="S62" i="873"/>
  <c r="S189" i="873"/>
  <c r="S258" i="873"/>
  <c r="S230" i="873"/>
  <c r="S93" i="873"/>
  <c r="S118" i="873"/>
  <c r="S47" i="873"/>
  <c r="S29" i="873"/>
  <c r="S133" i="873"/>
  <c r="S248" i="873"/>
  <c r="S250" i="873"/>
  <c r="S66" i="873"/>
  <c r="S163" i="873"/>
  <c r="S37" i="873"/>
  <c r="S141" i="873"/>
  <c r="S121" i="873"/>
  <c r="S111" i="873"/>
  <c r="S115" i="873"/>
  <c r="S203" i="873"/>
  <c r="S50" i="873"/>
  <c r="S240" i="873"/>
  <c r="S142" i="873"/>
  <c r="S270" i="873"/>
  <c r="S78" i="873"/>
  <c r="S204" i="873"/>
  <c r="S246" i="873"/>
  <c r="S196" i="873"/>
  <c r="S259" i="873"/>
  <c r="S91" i="873"/>
  <c r="S4" i="873"/>
  <c r="S65" i="873"/>
  <c r="S247" i="873"/>
  <c r="C25" i="876"/>
  <c r="C24" i="876"/>
  <c r="C3" i="876"/>
  <c r="C613" i="876"/>
  <c r="C583" i="876"/>
  <c r="C503" i="876"/>
  <c r="C481" i="876"/>
  <c r="C480" i="876"/>
  <c r="C479" i="876"/>
  <c r="C394" i="876"/>
  <c r="C329" i="876"/>
  <c r="C284" i="876"/>
  <c r="C283" i="876"/>
  <c r="C182" i="876"/>
  <c r="C145" i="876"/>
  <c r="C129" i="876"/>
  <c r="C80" i="876"/>
  <c r="C79" i="876"/>
  <c r="C23" i="876"/>
  <c r="X181" i="873" l="1"/>
  <c r="X32" i="873"/>
  <c r="V220" i="873"/>
  <c r="W156" i="873"/>
  <c r="V172" i="873"/>
  <c r="W204" i="873"/>
  <c r="V12" i="873"/>
  <c r="V234" i="873"/>
  <c r="V178" i="873"/>
  <c r="W62" i="873"/>
  <c r="W195" i="873"/>
  <c r="W65" i="873"/>
  <c r="W185" i="873"/>
  <c r="W220" i="873"/>
  <c r="W214" i="873"/>
  <c r="W268" i="873"/>
  <c r="W93" i="873"/>
  <c r="W12" i="873"/>
  <c r="W234" i="873"/>
  <c r="X93" i="873"/>
  <c r="N266" i="873"/>
  <c r="O266" i="873" s="1"/>
  <c r="N115" i="873"/>
  <c r="N21" i="873"/>
  <c r="N187" i="873"/>
  <c r="N95" i="873"/>
  <c r="N231" i="873"/>
  <c r="O231" i="873" s="1"/>
  <c r="N175" i="873"/>
  <c r="O175" i="873" s="1"/>
  <c r="N227" i="873"/>
  <c r="O227" i="873" s="1"/>
  <c r="N228" i="873"/>
  <c r="O228" i="873" s="1"/>
  <c r="N7" i="873"/>
  <c r="O7" i="873" s="1"/>
  <c r="V91" i="873"/>
  <c r="V204" i="873"/>
  <c r="N102" i="873"/>
  <c r="O102" i="873" s="1"/>
  <c r="N257" i="873"/>
  <c r="O257" i="873" s="1"/>
  <c r="V111" i="873"/>
  <c r="N222" i="873"/>
  <c r="O222" i="873" s="1"/>
  <c r="V93" i="873"/>
  <c r="N135" i="873"/>
  <c r="AA172" i="873" s="1"/>
  <c r="V62" i="873"/>
  <c r="N253" i="873"/>
  <c r="N88" i="873"/>
  <c r="O88" i="873" s="1"/>
  <c r="N141" i="873"/>
  <c r="O141" i="873" s="1"/>
  <c r="N106" i="873"/>
  <c r="O106" i="873" s="1"/>
  <c r="V4" i="873"/>
  <c r="N56" i="873"/>
  <c r="O56" i="873" s="1"/>
  <c r="N112" i="873"/>
  <c r="O112" i="873" s="1"/>
  <c r="N121" i="873"/>
  <c r="O121" i="873" s="1"/>
  <c r="N98" i="873"/>
  <c r="N129" i="873"/>
  <c r="O129" i="873" s="1"/>
  <c r="N169" i="873"/>
  <c r="N36" i="873"/>
  <c r="AA36" i="873" s="1"/>
  <c r="N41" i="873"/>
  <c r="O41" i="873" s="1"/>
  <c r="N131" i="873"/>
  <c r="O131" i="873" s="1"/>
  <c r="V156" i="873"/>
  <c r="N189" i="873"/>
  <c r="O189" i="873" s="1"/>
  <c r="V65" i="873"/>
  <c r="N101" i="873"/>
  <c r="O101" i="873" s="1"/>
  <c r="N195" i="873"/>
  <c r="O195" i="873" s="1"/>
  <c r="V203" i="873"/>
  <c r="N15" i="873"/>
  <c r="O15" i="873" s="1"/>
  <c r="V214" i="873"/>
  <c r="V181" i="873"/>
  <c r="M115" i="873"/>
  <c r="L106" i="873"/>
  <c r="L56" i="873"/>
  <c r="W4" i="873"/>
  <c r="L112" i="873"/>
  <c r="M129" i="873"/>
  <c r="M21" i="873"/>
  <c r="Z191" i="873" s="1"/>
  <c r="M257" i="873"/>
  <c r="M106" i="873"/>
  <c r="M56" i="873"/>
  <c r="M112" i="873"/>
  <c r="L187" i="873"/>
  <c r="M266" i="873"/>
  <c r="X111" i="873"/>
  <c r="L129" i="873"/>
  <c r="L266" i="873"/>
  <c r="L115" i="873"/>
  <c r="L21" i="873"/>
  <c r="Y191" i="873" s="1"/>
  <c r="L257" i="873"/>
  <c r="M187" i="873"/>
  <c r="W111" i="873"/>
  <c r="M7" i="873"/>
  <c r="M101" i="873"/>
  <c r="M102" i="873"/>
  <c r="M195" i="873"/>
  <c r="M121" i="873"/>
  <c r="M15" i="873"/>
  <c r="M98" i="873"/>
  <c r="L95" i="873"/>
  <c r="L231" i="873"/>
  <c r="L36" i="873"/>
  <c r="Y36" i="873" s="1"/>
  <c r="L175" i="873"/>
  <c r="L227" i="873"/>
  <c r="L131" i="873"/>
  <c r="L228" i="873"/>
  <c r="L189" i="873"/>
  <c r="L7" i="873"/>
  <c r="L101" i="873"/>
  <c r="L102" i="873"/>
  <c r="L195" i="873"/>
  <c r="L121" i="873"/>
  <c r="L15" i="873"/>
  <c r="L98" i="873"/>
  <c r="L222" i="873"/>
  <c r="M95" i="873"/>
  <c r="L169" i="873"/>
  <c r="M231" i="873"/>
  <c r="M36" i="873"/>
  <c r="Z36" i="873" s="1"/>
  <c r="L135" i="873"/>
  <c r="Y172" i="873" s="1"/>
  <c r="M175" i="873"/>
  <c r="L41" i="873"/>
  <c r="L253" i="873"/>
  <c r="M227" i="873"/>
  <c r="M131" i="873"/>
  <c r="L88" i="873"/>
  <c r="M228" i="873"/>
  <c r="M189" i="873"/>
  <c r="L141" i="873"/>
  <c r="M222" i="873"/>
  <c r="M169" i="873"/>
  <c r="M135" i="873"/>
  <c r="Z172" i="873" s="1"/>
  <c r="M41" i="873"/>
  <c r="M253" i="873"/>
  <c r="M88" i="873"/>
  <c r="M141" i="873"/>
  <c r="AA181" i="873"/>
  <c r="Y181" i="873" l="1"/>
  <c r="Z181" i="873"/>
  <c r="O21" i="873"/>
  <c r="AB191" i="873" s="1"/>
  <c r="AA191" i="873"/>
  <c r="Z32" i="873"/>
  <c r="Y32" i="873"/>
  <c r="AA32" i="873"/>
  <c r="O98" i="873"/>
  <c r="O187" i="873"/>
  <c r="O253" i="873"/>
  <c r="Y111" i="873"/>
  <c r="Z111" i="873"/>
  <c r="O169" i="873"/>
  <c r="O135" i="873"/>
  <c r="O95" i="873"/>
  <c r="O115" i="873"/>
  <c r="AB241" i="873" s="1"/>
  <c r="AA241" i="873"/>
  <c r="Y241" i="873"/>
  <c r="Z93" i="873"/>
  <c r="Y93" i="873"/>
  <c r="O36" i="873"/>
  <c r="Z241" i="873"/>
  <c r="AB111" i="873"/>
  <c r="AA111" i="873"/>
  <c r="AA93" i="873"/>
  <c r="AB181" i="873"/>
  <c r="AB32" i="873" l="1"/>
  <c r="AB36" i="873"/>
  <c r="AB93" i="873"/>
  <c r="AB172" i="873"/>
  <c r="C557" i="876"/>
  <c r="C502" i="876"/>
  <c r="C423" i="876"/>
  <c r="C422" i="876"/>
  <c r="C258" i="876"/>
  <c r="C22" i="876"/>
  <c r="C21" i="876"/>
  <c r="C122" i="876"/>
  <c r="L408" i="628" l="1"/>
  <c r="M408" i="628"/>
  <c r="H408" i="628"/>
  <c r="G408" i="628"/>
  <c r="G335" i="628" l="1"/>
  <c r="G315" i="628"/>
  <c r="G90" i="628"/>
  <c r="G88" i="628"/>
  <c r="G44" i="628"/>
  <c r="G70" i="628"/>
  <c r="M335" i="628"/>
  <c r="M315" i="628"/>
  <c r="K335" i="628"/>
  <c r="L335" i="628" s="1"/>
  <c r="K315" i="628"/>
  <c r="L315" i="628" s="1"/>
  <c r="K90" i="628"/>
  <c r="L90" i="628" s="1"/>
  <c r="K88" i="628"/>
  <c r="L88" i="628" s="1"/>
  <c r="K44" i="628"/>
  <c r="L44" i="628" s="1"/>
  <c r="K70" i="628"/>
  <c r="L70" i="628" s="1"/>
  <c r="H335" i="628"/>
  <c r="H315" i="628"/>
  <c r="H90" i="628"/>
  <c r="G952" i="628"/>
  <c r="H88" i="628"/>
  <c r="H44" i="628"/>
  <c r="H70" i="628"/>
  <c r="H952" i="628"/>
  <c r="M952" i="628"/>
  <c r="L952" i="628"/>
  <c r="M88" i="628"/>
  <c r="M44" i="628"/>
  <c r="M70" i="628"/>
  <c r="H459" i="628"/>
  <c r="G459" i="628"/>
  <c r="M90" i="628"/>
  <c r="M459" i="628"/>
  <c r="L459" i="628"/>
  <c r="M819" i="628"/>
  <c r="L819" i="628"/>
  <c r="H819" i="628"/>
  <c r="G819" i="628"/>
  <c r="C257" i="876"/>
  <c r="C256" i="876"/>
  <c r="C210" i="876"/>
  <c r="C195" i="876"/>
  <c r="C175" i="876"/>
  <c r="C158" i="876"/>
  <c r="C144" i="876"/>
  <c r="C116" i="876"/>
  <c r="C78" i="876"/>
  <c r="C77" i="876"/>
  <c r="F108" i="876"/>
  <c r="F102" i="876"/>
  <c r="F87" i="876"/>
  <c r="F80" i="876"/>
  <c r="F68" i="876"/>
  <c r="F56" i="876"/>
  <c r="F37" i="876"/>
  <c r="F36" i="876"/>
  <c r="F179" i="876"/>
  <c r="F290" i="876"/>
  <c r="F249" i="876"/>
  <c r="F167" i="876"/>
  <c r="F166" i="876"/>
  <c r="F165" i="876"/>
  <c r="F159" i="876"/>
  <c r="F147" i="876"/>
  <c r="F146" i="876"/>
  <c r="F128" i="876"/>
  <c r="F119" i="876"/>
  <c r="F91" i="876"/>
  <c r="F86" i="876"/>
  <c r="F9" i="876"/>
  <c r="F231" i="876"/>
  <c r="F195" i="876"/>
  <c r="F150" i="876"/>
  <c r="F127" i="876"/>
  <c r="F126" i="876"/>
  <c r="F289" i="876"/>
  <c r="F288" i="876"/>
  <c r="F287" i="876"/>
  <c r="F286" i="876"/>
  <c r="F248" i="876"/>
  <c r="F247" i="876"/>
  <c r="F246" i="876"/>
  <c r="F235" i="876"/>
  <c r="F229" i="876"/>
  <c r="F209" i="876"/>
  <c r="F194" i="876"/>
  <c r="F178" i="876"/>
  <c r="F164" i="876"/>
  <c r="F163" i="876"/>
  <c r="F149" i="876"/>
  <c r="F125" i="876"/>
  <c r="F124" i="876"/>
  <c r="F122" i="876"/>
  <c r="F121" i="876"/>
  <c r="F117" i="876"/>
  <c r="F116" i="876"/>
  <c r="F107" i="876"/>
  <c r="F101" i="876"/>
  <c r="F90" i="876"/>
  <c r="F85" i="876"/>
  <c r="F79" i="876"/>
  <c r="F78" i="876"/>
  <c r="F67" i="876"/>
  <c r="F62" i="876"/>
  <c r="F59" i="876"/>
  <c r="F49" i="876"/>
  <c r="F35" i="876"/>
  <c r="F8" i="876"/>
  <c r="F7" i="876"/>
  <c r="C345" i="876"/>
  <c r="C556" i="876"/>
  <c r="C501" i="876"/>
  <c r="C328" i="876"/>
  <c r="C327" i="876"/>
  <c r="C326" i="876"/>
  <c r="C306" i="876"/>
  <c r="C288" i="876"/>
  <c r="C287" i="876"/>
  <c r="C255" i="876"/>
  <c r="C181" i="876"/>
  <c r="C174" i="876"/>
  <c r="C20" i="876"/>
  <c r="C466" i="876"/>
  <c r="C393" i="876"/>
  <c r="C296" i="876"/>
  <c r="C254" i="876"/>
  <c r="C253" i="876"/>
  <c r="C581" i="876"/>
  <c r="C580" i="876"/>
  <c r="C579" i="876"/>
  <c r="C570" i="876"/>
  <c r="C500" i="876"/>
  <c r="C499" i="876"/>
  <c r="C498" i="876"/>
  <c r="C478" i="876"/>
  <c r="C459" i="876"/>
  <c r="C421" i="876"/>
  <c r="C392" i="876"/>
  <c r="C344" i="876"/>
  <c r="C325" i="876"/>
  <c r="C324" i="876"/>
  <c r="C295" i="876"/>
  <c r="C252" i="876"/>
  <c r="C251" i="876"/>
  <c r="C240" i="876"/>
  <c r="C239" i="876"/>
  <c r="C225" i="876"/>
  <c r="C224" i="876"/>
  <c r="C209" i="876"/>
  <c r="C194" i="876"/>
  <c r="C180" i="876"/>
  <c r="C173" i="876"/>
  <c r="C157" i="876"/>
  <c r="C156" i="876"/>
  <c r="C143" i="876"/>
  <c r="C128" i="876"/>
  <c r="C123" i="876"/>
  <c r="C105" i="876"/>
  <c r="C76" i="876"/>
  <c r="C19" i="876"/>
  <c r="C18" i="876"/>
  <c r="C2" i="876"/>
  <c r="O2" i="839" l="1"/>
  <c r="G805" i="628"/>
  <c r="M805" i="628"/>
  <c r="L805" i="628"/>
  <c r="M563" i="628"/>
  <c r="L563" i="628"/>
  <c r="G563" i="628"/>
  <c r="M2" i="628"/>
  <c r="L2" i="628"/>
  <c r="H805" i="628" l="1"/>
  <c r="H563" i="628"/>
  <c r="L792" i="628"/>
  <c r="M792" i="628"/>
  <c r="H792" i="628"/>
  <c r="G792" i="628"/>
  <c r="L516" i="628"/>
  <c r="M516" i="628"/>
  <c r="H516" i="628"/>
  <c r="G24" i="628"/>
  <c r="M826" i="628" l="1"/>
  <c r="L826" i="628"/>
  <c r="G826" i="628"/>
  <c r="M812" i="628"/>
  <c r="L812" i="628"/>
  <c r="G812" i="628"/>
  <c r="M399" i="628"/>
  <c r="L399" i="628"/>
  <c r="G399" i="628"/>
  <c r="M32" i="628"/>
  <c r="L32" i="628"/>
  <c r="G32" i="628"/>
  <c r="M31" i="628"/>
  <c r="L31" i="628"/>
  <c r="G31" i="628"/>
  <c r="M42" i="628" l="1"/>
  <c r="L42" i="628"/>
  <c r="G42" i="628"/>
  <c r="M16" i="628"/>
  <c r="L16" i="628"/>
  <c r="G16" i="628"/>
  <c r="K39" i="873" l="1"/>
  <c r="K239" i="873"/>
  <c r="K260" i="873"/>
  <c r="K70" i="873"/>
  <c r="K206" i="873"/>
  <c r="K176" i="873"/>
  <c r="K65" i="873"/>
  <c r="W58" i="873"/>
  <c r="W63" i="873"/>
  <c r="K109" i="873"/>
  <c r="X109" i="873" s="1"/>
  <c r="K155" i="873"/>
  <c r="K5" i="873"/>
  <c r="W108" i="873"/>
  <c r="K97" i="873"/>
  <c r="K214" i="873"/>
  <c r="K146" i="873"/>
  <c r="X146" i="873" s="1"/>
  <c r="W146" i="873"/>
  <c r="K71" i="873"/>
  <c r="K76" i="873"/>
  <c r="K170" i="873"/>
  <c r="K26" i="873"/>
  <c r="K113" i="873"/>
  <c r="K160" i="873"/>
  <c r="X203" i="873" s="1"/>
  <c r="K86" i="873"/>
  <c r="X86" i="873" s="1"/>
  <c r="K73" i="873"/>
  <c r="W188" i="873"/>
  <c r="K75" i="873"/>
  <c r="K74" i="873"/>
  <c r="W224" i="873"/>
  <c r="K261" i="873"/>
  <c r="K256" i="873"/>
  <c r="K100" i="873"/>
  <c r="X100" i="873" s="1"/>
  <c r="K17" i="873"/>
  <c r="K215" i="873"/>
  <c r="X215" i="873" s="1"/>
  <c r="K127" i="873"/>
  <c r="X127" i="873" s="1"/>
  <c r="W70" i="873"/>
  <c r="K250" i="873"/>
  <c r="W149" i="873"/>
  <c r="K211" i="873"/>
  <c r="W152" i="873"/>
  <c r="K33" i="873"/>
  <c r="K208" i="873"/>
  <c r="X268" i="873" s="1"/>
  <c r="K130" i="873"/>
  <c r="K4" i="873"/>
  <c r="K243" i="873"/>
  <c r="X243" i="873" s="1"/>
  <c r="W85" i="873"/>
  <c r="K57" i="873"/>
  <c r="K24" i="873"/>
  <c r="K180" i="873"/>
  <c r="W69" i="873"/>
  <c r="K96" i="873"/>
  <c r="K236" i="873"/>
  <c r="K62" i="873"/>
  <c r="K25" i="873"/>
  <c r="K145" i="873"/>
  <c r="K174" i="873"/>
  <c r="X174" i="873" s="1"/>
  <c r="K179" i="873"/>
  <c r="W44" i="873"/>
  <c r="K148" i="873"/>
  <c r="X161" i="873" s="1"/>
  <c r="W161" i="873"/>
  <c r="K204" i="873"/>
  <c r="W20" i="873"/>
  <c r="K48" i="873"/>
  <c r="W271" i="873"/>
  <c r="K262" i="873"/>
  <c r="K149" i="873"/>
  <c r="X195" i="873" s="1"/>
  <c r="K143" i="873"/>
  <c r="K12" i="873"/>
  <c r="K185" i="873"/>
  <c r="X185" i="873" s="1"/>
  <c r="W50" i="873"/>
  <c r="K213" i="873"/>
  <c r="W124" i="873"/>
  <c r="K199" i="873"/>
  <c r="K246" i="873"/>
  <c r="K139" i="873"/>
  <c r="X139" i="873" s="1"/>
  <c r="W182" i="873"/>
  <c r="K258" i="873"/>
  <c r="K198" i="873"/>
  <c r="K52" i="873"/>
  <c r="K136" i="873"/>
  <c r="K2" i="873"/>
  <c r="W38" i="873"/>
  <c r="K162" i="873"/>
  <c r="K171" i="873"/>
  <c r="W46" i="873"/>
  <c r="K251" i="873"/>
  <c r="K245" i="873"/>
  <c r="K83" i="873"/>
  <c r="K271" i="873"/>
  <c r="W258" i="873"/>
  <c r="K47" i="873"/>
  <c r="K53" i="873"/>
  <c r="K167" i="873"/>
  <c r="K40" i="873"/>
  <c r="K192" i="873"/>
  <c r="K233" i="873"/>
  <c r="W118" i="873"/>
  <c r="K42" i="873"/>
  <c r="K144" i="873"/>
  <c r="W5" i="873"/>
  <c r="K14" i="873"/>
  <c r="W98" i="873"/>
  <c r="K238" i="873"/>
  <c r="W252" i="873"/>
  <c r="K44" i="873"/>
  <c r="K82" i="873"/>
  <c r="K229" i="873"/>
  <c r="X229" i="873" s="1"/>
  <c r="W211" i="873"/>
  <c r="K72" i="873"/>
  <c r="W173" i="873"/>
  <c r="K35" i="873"/>
  <c r="K156" i="873"/>
  <c r="W11" i="873"/>
  <c r="K267" i="873"/>
  <c r="X204" i="873" s="1"/>
  <c r="K153" i="873"/>
  <c r="K118" i="873"/>
  <c r="X103" i="873" s="1"/>
  <c r="W103" i="873"/>
  <c r="K183" i="873"/>
  <c r="X183" i="873" s="1"/>
  <c r="K105" i="873"/>
  <c r="W131" i="873"/>
  <c r="W236" i="873"/>
  <c r="K18" i="873"/>
  <c r="W37" i="873"/>
  <c r="K219" i="873"/>
  <c r="K68" i="873"/>
  <c r="K247" i="873"/>
  <c r="K265" i="873"/>
  <c r="K164" i="873"/>
  <c r="W141" i="873"/>
  <c r="K202" i="873"/>
  <c r="W250" i="873"/>
  <c r="K123" i="873"/>
  <c r="W56" i="873"/>
  <c r="K49" i="873"/>
  <c r="K218" i="873"/>
  <c r="X248" i="873" s="1"/>
  <c r="W248" i="873"/>
  <c r="K225" i="873"/>
  <c r="W75" i="873"/>
  <c r="K234" i="873"/>
  <c r="X234" i="873" s="1"/>
  <c r="K50" i="873"/>
  <c r="W145" i="873"/>
  <c r="W196" i="873"/>
  <c r="W125" i="873"/>
  <c r="K3" i="873"/>
  <c r="K232" i="873"/>
  <c r="K85" i="873"/>
  <c r="X178" i="873" s="1"/>
  <c r="W168" i="873"/>
  <c r="K226" i="873"/>
  <c r="X267" i="873" l="1"/>
  <c r="X149" i="873"/>
  <c r="X57" i="873"/>
  <c r="X7" i="873"/>
  <c r="X49" i="873"/>
  <c r="X91" i="873"/>
  <c r="X233" i="873"/>
  <c r="X58" i="873"/>
  <c r="X65" i="873"/>
  <c r="X118" i="873"/>
  <c r="X250" i="873"/>
  <c r="X131" i="873"/>
  <c r="X182" i="873"/>
  <c r="X98" i="873"/>
  <c r="X37" i="873"/>
  <c r="X258" i="873"/>
  <c r="X46" i="873"/>
  <c r="X4" i="873"/>
  <c r="X62" i="873"/>
  <c r="X16" i="873"/>
  <c r="X38" i="873"/>
  <c r="X156" i="873"/>
  <c r="X152" i="873"/>
  <c r="X70" i="873"/>
  <c r="X63" i="873"/>
  <c r="X214" i="873"/>
  <c r="X168" i="873"/>
  <c r="X252" i="873"/>
  <c r="X145" i="873"/>
  <c r="X20" i="873"/>
  <c r="X236" i="873"/>
  <c r="X75" i="873"/>
  <c r="X56" i="873"/>
  <c r="X50" i="873"/>
  <c r="X141" i="873"/>
  <c r="X211" i="873"/>
  <c r="X220" i="873"/>
  <c r="X271" i="873"/>
  <c r="X12" i="873"/>
  <c r="X125" i="873"/>
  <c r="X124" i="873"/>
  <c r="X196" i="873"/>
  <c r="X11" i="873"/>
  <c r="X85" i="873"/>
  <c r="X108" i="873"/>
  <c r="X224" i="873"/>
  <c r="X5" i="873"/>
  <c r="X246" i="873"/>
  <c r="X44" i="873"/>
  <c r="X117" i="873"/>
  <c r="X188" i="873"/>
  <c r="X173" i="873"/>
  <c r="X69" i="873"/>
  <c r="W117" i="873"/>
  <c r="W246" i="873"/>
  <c r="W133" i="873"/>
  <c r="W115" i="873"/>
  <c r="W95" i="873"/>
  <c r="W17" i="873"/>
  <c r="W170" i="873"/>
  <c r="W221" i="873"/>
  <c r="W104" i="873"/>
  <c r="W142" i="873"/>
  <c r="W26" i="873"/>
  <c r="W66" i="873"/>
  <c r="W256" i="873"/>
  <c r="W3" i="873"/>
  <c r="W254" i="873"/>
  <c r="W132" i="873"/>
  <c r="W96" i="873"/>
  <c r="W205" i="873"/>
  <c r="W77" i="873"/>
  <c r="W187" i="873"/>
  <c r="X133" i="873"/>
  <c r="X115" i="873"/>
  <c r="X95" i="873"/>
  <c r="X17" i="873"/>
  <c r="X170" i="873"/>
  <c r="X221" i="873"/>
  <c r="X104" i="873"/>
  <c r="X142" i="873"/>
  <c r="X26" i="873"/>
  <c r="X66" i="873"/>
  <c r="X256" i="873"/>
  <c r="X3" i="873"/>
  <c r="X254" i="873"/>
  <c r="X132" i="873"/>
  <c r="X96" i="873"/>
  <c r="X205" i="873"/>
  <c r="X77" i="873"/>
  <c r="X187" i="873"/>
  <c r="W126" i="873"/>
  <c r="W106" i="873"/>
  <c r="W270" i="873"/>
  <c r="W48" i="873"/>
  <c r="W213" i="873"/>
  <c r="W129" i="873"/>
  <c r="W84" i="873"/>
  <c r="W143" i="873"/>
  <c r="W177" i="873"/>
  <c r="W231" i="873"/>
  <c r="W219" i="873"/>
  <c r="W158" i="873"/>
  <c r="W47" i="873"/>
  <c r="W121" i="873"/>
  <c r="W255" i="873"/>
  <c r="W175" i="873"/>
  <c r="W81" i="873"/>
  <c r="W192" i="873"/>
  <c r="X126" i="873"/>
  <c r="X106" i="873"/>
  <c r="X270" i="873"/>
  <c r="X48" i="873"/>
  <c r="X213" i="873"/>
  <c r="X129" i="873"/>
  <c r="X84" i="873"/>
  <c r="X143" i="873"/>
  <c r="X177" i="873"/>
  <c r="X231" i="873"/>
  <c r="X219" i="873"/>
  <c r="X158" i="873"/>
  <c r="X47" i="873"/>
  <c r="X121" i="873"/>
  <c r="X255" i="873"/>
  <c r="X175" i="873"/>
  <c r="X81" i="873"/>
  <c r="X192" i="873"/>
  <c r="W113" i="873"/>
  <c r="W157" i="873"/>
  <c r="X92" i="873"/>
  <c r="X190" i="873"/>
  <c r="X55" i="873"/>
  <c r="X157" i="873"/>
  <c r="X90" i="873"/>
  <c r="X113" i="873"/>
  <c r="W92" i="873"/>
  <c r="W190" i="873"/>
  <c r="W55" i="873"/>
  <c r="W90" i="873"/>
  <c r="W164" i="873"/>
  <c r="W232" i="873"/>
  <c r="W80" i="873"/>
  <c r="W180" i="873"/>
  <c r="W151" i="873"/>
  <c r="W189" i="873"/>
  <c r="W40" i="873"/>
  <c r="W14" i="873"/>
  <c r="W42" i="873"/>
  <c r="W15" i="873"/>
  <c r="W29" i="873"/>
  <c r="W105" i="873"/>
  <c r="W68" i="873"/>
  <c r="W262" i="873"/>
  <c r="W97" i="873"/>
  <c r="W269" i="873"/>
  <c r="W51" i="873"/>
  <c r="W199" i="873"/>
  <c r="W19" i="873"/>
  <c r="W35" i="873"/>
  <c r="W137" i="873"/>
  <c r="W163" i="873"/>
  <c r="W222" i="873"/>
  <c r="W247" i="873"/>
  <c r="W261" i="873"/>
  <c r="W230" i="873"/>
  <c r="W28" i="873"/>
  <c r="W78" i="873"/>
  <c r="W155" i="873"/>
  <c r="W43" i="873"/>
  <c r="W154" i="873"/>
  <c r="W153" i="873"/>
  <c r="W138" i="873"/>
  <c r="W257" i="873"/>
  <c r="W122" i="873"/>
  <c r="W13" i="873"/>
  <c r="W242" i="873"/>
  <c r="X123" i="873"/>
  <c r="X80" i="873"/>
  <c r="X180" i="873"/>
  <c r="X151" i="873"/>
  <c r="X189" i="873"/>
  <c r="X40" i="873"/>
  <c r="X14" i="873"/>
  <c r="X42" i="873"/>
  <c r="X15" i="873"/>
  <c r="X29" i="873"/>
  <c r="X105" i="873"/>
  <c r="X68" i="873"/>
  <c r="X262" i="873"/>
  <c r="X97" i="873"/>
  <c r="X269" i="873"/>
  <c r="X51" i="873"/>
  <c r="X199" i="873"/>
  <c r="X19" i="873"/>
  <c r="X35" i="873"/>
  <c r="X137" i="873"/>
  <c r="X163" i="873"/>
  <c r="X222" i="873"/>
  <c r="X247" i="873"/>
  <c r="X261" i="873"/>
  <c r="X230" i="873"/>
  <c r="X28" i="873"/>
  <c r="X78" i="873"/>
  <c r="X155" i="873"/>
  <c r="X43" i="873"/>
  <c r="X154" i="873"/>
  <c r="X153" i="873"/>
  <c r="X138" i="873"/>
  <c r="X257" i="873"/>
  <c r="X122" i="873"/>
  <c r="X13" i="873"/>
  <c r="X242" i="873"/>
  <c r="W123" i="873"/>
  <c r="W25" i="873"/>
  <c r="W259" i="873"/>
  <c r="W200" i="873"/>
  <c r="W67" i="873"/>
  <c r="W169" i="873"/>
  <c r="W114" i="873"/>
  <c r="W112" i="873"/>
  <c r="W263" i="873"/>
  <c r="W79" i="873"/>
  <c r="W18" i="873"/>
  <c r="W148" i="873"/>
  <c r="W228" i="873"/>
  <c r="W24" i="873"/>
  <c r="W41" i="873"/>
  <c r="W107" i="873"/>
  <c r="W135" i="873"/>
  <c r="W223" i="873"/>
  <c r="W34" i="873"/>
  <c r="W61" i="873"/>
  <c r="W89" i="873"/>
  <c r="W136" i="873"/>
  <c r="W260" i="873"/>
  <c r="W209" i="873"/>
  <c r="W239" i="873"/>
  <c r="W6" i="873"/>
  <c r="W227" i="873"/>
  <c r="W198" i="873"/>
  <c r="W240" i="873"/>
  <c r="X164" i="873"/>
  <c r="X232" i="873"/>
  <c r="X25" i="873"/>
  <c r="X259" i="873"/>
  <c r="X200" i="873"/>
  <c r="X67" i="873"/>
  <c r="X169" i="873"/>
  <c r="X114" i="873"/>
  <c r="X112" i="873"/>
  <c r="X263" i="873"/>
  <c r="X79" i="873"/>
  <c r="X18" i="873"/>
  <c r="X148" i="873"/>
  <c r="X228" i="873"/>
  <c r="X24" i="873"/>
  <c r="X41" i="873"/>
  <c r="X107" i="873"/>
  <c r="X135" i="873"/>
  <c r="X223" i="873"/>
  <c r="X34" i="873"/>
  <c r="X61" i="873"/>
  <c r="X89" i="873"/>
  <c r="X136" i="873"/>
  <c r="X260" i="873"/>
  <c r="X209" i="873"/>
  <c r="X239" i="873"/>
  <c r="X6" i="873"/>
  <c r="X227" i="873"/>
  <c r="X198" i="873"/>
  <c r="X240" i="873"/>
  <c r="L232" i="873"/>
  <c r="W119" i="873"/>
  <c r="L202" i="873"/>
  <c r="W166" i="873"/>
  <c r="L265" i="873"/>
  <c r="W171" i="873"/>
  <c r="W212" i="873"/>
  <c r="L139" i="873"/>
  <c r="Y139" i="873" s="1"/>
  <c r="W59" i="873"/>
  <c r="W226" i="873"/>
  <c r="L185" i="873"/>
  <c r="Y185" i="873" s="1"/>
  <c r="W102" i="873"/>
  <c r="W71" i="873"/>
  <c r="L204" i="873"/>
  <c r="W110" i="873"/>
  <c r="L130" i="873"/>
  <c r="W9" i="873"/>
  <c r="L71" i="873"/>
  <c r="W160" i="873"/>
  <c r="L176" i="873"/>
  <c r="W88" i="873"/>
  <c r="L206" i="873"/>
  <c r="W179" i="873"/>
  <c r="X265" i="873"/>
  <c r="M234" i="873"/>
  <c r="Z234" i="873" s="1"/>
  <c r="X237" i="873"/>
  <c r="M202" i="873"/>
  <c r="X166" i="873"/>
  <c r="M265" i="873"/>
  <c r="M219" i="873"/>
  <c r="X162" i="873"/>
  <c r="X245" i="873"/>
  <c r="X266" i="873"/>
  <c r="X171" i="873"/>
  <c r="X212" i="873"/>
  <c r="M40" i="873"/>
  <c r="M271" i="873"/>
  <c r="X128" i="873"/>
  <c r="M245" i="873"/>
  <c r="M2" i="873"/>
  <c r="X184" i="873"/>
  <c r="M198" i="873"/>
  <c r="X45" i="873"/>
  <c r="M139" i="873"/>
  <c r="Z139" i="873" s="1"/>
  <c r="X59" i="873"/>
  <c r="M246" i="873"/>
  <c r="X253" i="873"/>
  <c r="X226" i="873"/>
  <c r="M185" i="873"/>
  <c r="Z185" i="873" s="1"/>
  <c r="X102" i="873"/>
  <c r="X71" i="873"/>
  <c r="X238" i="873"/>
  <c r="M204" i="873"/>
  <c r="X110" i="873"/>
  <c r="M174" i="873"/>
  <c r="Z174" i="873" s="1"/>
  <c r="X251" i="873"/>
  <c r="X186" i="873"/>
  <c r="M236" i="873"/>
  <c r="M57" i="873"/>
  <c r="X54" i="873"/>
  <c r="M130" i="873"/>
  <c r="X9" i="873"/>
  <c r="M261" i="873"/>
  <c r="X10" i="873"/>
  <c r="M75" i="873"/>
  <c r="X194" i="873"/>
  <c r="M73" i="873"/>
  <c r="X82" i="873"/>
  <c r="M160" i="873"/>
  <c r="X176" i="873"/>
  <c r="M170" i="873"/>
  <c r="X2" i="873"/>
  <c r="M71" i="873"/>
  <c r="X160" i="873"/>
  <c r="M155" i="873"/>
  <c r="X249" i="873"/>
  <c r="M176" i="873"/>
  <c r="X88" i="873"/>
  <c r="M206" i="873"/>
  <c r="X179" i="873"/>
  <c r="M239" i="873"/>
  <c r="X8" i="873"/>
  <c r="X53" i="873"/>
  <c r="W265" i="873"/>
  <c r="L234" i="873"/>
  <c r="Y234" i="873" s="1"/>
  <c r="W237" i="873"/>
  <c r="L219" i="873"/>
  <c r="W162" i="873"/>
  <c r="W245" i="873"/>
  <c r="L40" i="873"/>
  <c r="L2" i="873"/>
  <c r="W184" i="873"/>
  <c r="L198" i="873"/>
  <c r="W45" i="873"/>
  <c r="L246" i="873"/>
  <c r="Y201" i="873" s="1"/>
  <c r="W253" i="873"/>
  <c r="W238" i="873"/>
  <c r="L261" i="873"/>
  <c r="W10" i="873"/>
  <c r="L75" i="873"/>
  <c r="W194" i="873"/>
  <c r="L73" i="873"/>
  <c r="W82" i="873"/>
  <c r="L160" i="873"/>
  <c r="Y203" i="873" s="1"/>
  <c r="W176" i="873"/>
  <c r="L170" i="873"/>
  <c r="W2" i="873"/>
  <c r="W53" i="873"/>
  <c r="M226" i="873"/>
  <c r="X116" i="873"/>
  <c r="M232" i="873"/>
  <c r="X119" i="873"/>
  <c r="L3" i="873"/>
  <c r="W94" i="873"/>
  <c r="W207" i="873"/>
  <c r="W201" i="873"/>
  <c r="L225" i="873"/>
  <c r="W208" i="873"/>
  <c r="W33" i="873"/>
  <c r="L164" i="873"/>
  <c r="W120" i="873"/>
  <c r="L18" i="873"/>
  <c r="W21" i="873"/>
  <c r="L105" i="873"/>
  <c r="W197" i="873"/>
  <c r="L229" i="873"/>
  <c r="Y229" i="873" s="1"/>
  <c r="W144" i="873"/>
  <c r="L82" i="873"/>
  <c r="W27" i="873"/>
  <c r="W23" i="873"/>
  <c r="W72" i="873"/>
  <c r="L233" i="873"/>
  <c r="W264" i="873"/>
  <c r="L167" i="873"/>
  <c r="W76" i="873"/>
  <c r="L47" i="873"/>
  <c r="L83" i="873"/>
  <c r="W74" i="873"/>
  <c r="L171" i="873"/>
  <c r="W244" i="873"/>
  <c r="L52" i="873"/>
  <c r="L258" i="873"/>
  <c r="W147" i="873"/>
  <c r="W22" i="873"/>
  <c r="L199" i="873"/>
  <c r="W217" i="873"/>
  <c r="L12" i="873"/>
  <c r="W83" i="873"/>
  <c r="L149" i="873"/>
  <c r="W202" i="873"/>
  <c r="W235" i="873"/>
  <c r="W206" i="873"/>
  <c r="L25" i="873"/>
  <c r="Y177" i="873" s="1"/>
  <c r="W73" i="873"/>
  <c r="L24" i="873"/>
  <c r="W165" i="873"/>
  <c r="W225" i="873"/>
  <c r="L74" i="873"/>
  <c r="W150" i="873"/>
  <c r="W52" i="873"/>
  <c r="L113" i="873"/>
  <c r="W167" i="873"/>
  <c r="L26" i="873"/>
  <c r="W31" i="873"/>
  <c r="L97" i="873"/>
  <c r="W39" i="873"/>
  <c r="L109" i="873"/>
  <c r="Y109" i="873" s="1"/>
  <c r="W60" i="873"/>
  <c r="L65" i="873"/>
  <c r="W218" i="873"/>
  <c r="L260" i="873"/>
  <c r="W101" i="873"/>
  <c r="W134" i="873"/>
  <c r="L226" i="873"/>
  <c r="W116" i="873"/>
  <c r="W266" i="873"/>
  <c r="L271" i="873"/>
  <c r="W128" i="873"/>
  <c r="L245" i="873"/>
  <c r="L174" i="873"/>
  <c r="Y174" i="873" s="1"/>
  <c r="W251" i="873"/>
  <c r="W186" i="873"/>
  <c r="L236" i="873"/>
  <c r="L57" i="873"/>
  <c r="W54" i="873"/>
  <c r="L155" i="873"/>
  <c r="W249" i="873"/>
  <c r="L239" i="873"/>
  <c r="W8" i="873"/>
  <c r="W130" i="873"/>
  <c r="X130" i="873"/>
  <c r="M3" i="873"/>
  <c r="X94" i="873"/>
  <c r="X207" i="873"/>
  <c r="Z201" i="873"/>
  <c r="X201" i="873"/>
  <c r="M225" i="873"/>
  <c r="X208" i="873"/>
  <c r="X33" i="873"/>
  <c r="M164" i="873"/>
  <c r="X120" i="873"/>
  <c r="M18" i="873"/>
  <c r="X21" i="873"/>
  <c r="M105" i="873"/>
  <c r="X197" i="873"/>
  <c r="M229" i="873"/>
  <c r="X144" i="873"/>
  <c r="M82" i="873"/>
  <c r="X27" i="873"/>
  <c r="X23" i="873"/>
  <c r="X72" i="873"/>
  <c r="M233" i="873"/>
  <c r="X264" i="873"/>
  <c r="M167" i="873"/>
  <c r="X76" i="873"/>
  <c r="M47" i="873"/>
  <c r="M83" i="873"/>
  <c r="X74" i="873"/>
  <c r="M171" i="873"/>
  <c r="X244" i="873"/>
  <c r="M52" i="873"/>
  <c r="M258" i="873"/>
  <c r="X147" i="873"/>
  <c r="X22" i="873"/>
  <c r="M199" i="873"/>
  <c r="X217" i="873"/>
  <c r="M12" i="873"/>
  <c r="X83" i="873"/>
  <c r="M149" i="873"/>
  <c r="X202" i="873"/>
  <c r="Z235" i="873"/>
  <c r="X235" i="873"/>
  <c r="X206" i="873"/>
  <c r="M25" i="873"/>
  <c r="Z177" i="873" s="1"/>
  <c r="X73" i="873"/>
  <c r="M24" i="873"/>
  <c r="X165" i="873"/>
  <c r="X225" i="873"/>
  <c r="M74" i="873"/>
  <c r="X150" i="873"/>
  <c r="X52" i="873"/>
  <c r="M113" i="873"/>
  <c r="X167" i="873"/>
  <c r="M26" i="873"/>
  <c r="X31" i="873"/>
  <c r="M97" i="873"/>
  <c r="X39" i="873"/>
  <c r="M109" i="873"/>
  <c r="Z109" i="873" s="1"/>
  <c r="X60" i="873"/>
  <c r="M65" i="873"/>
  <c r="X218" i="873"/>
  <c r="M260" i="873"/>
  <c r="X101" i="873"/>
  <c r="X134" i="873"/>
  <c r="L49" i="873"/>
  <c r="L68" i="873"/>
  <c r="L118" i="873"/>
  <c r="L156" i="873"/>
  <c r="L44" i="873"/>
  <c r="L144" i="873"/>
  <c r="L162" i="873"/>
  <c r="L136" i="873"/>
  <c r="L33" i="873"/>
  <c r="L70" i="873"/>
  <c r="M85" i="873"/>
  <c r="Z178" i="873" s="1"/>
  <c r="M50" i="873"/>
  <c r="M49" i="873"/>
  <c r="M68" i="873"/>
  <c r="M118" i="873"/>
  <c r="M156" i="873"/>
  <c r="M35" i="873"/>
  <c r="M72" i="873"/>
  <c r="M44" i="873"/>
  <c r="M14" i="873"/>
  <c r="M144" i="873"/>
  <c r="M53" i="873"/>
  <c r="M162" i="873"/>
  <c r="M136" i="873"/>
  <c r="M143" i="873"/>
  <c r="M48" i="873"/>
  <c r="M148" i="873"/>
  <c r="Z161" i="873" s="1"/>
  <c r="M179" i="873"/>
  <c r="M145" i="873"/>
  <c r="M62" i="873"/>
  <c r="M96" i="873"/>
  <c r="M243" i="873"/>
  <c r="Z243" i="873" s="1"/>
  <c r="M33" i="873"/>
  <c r="M250" i="873"/>
  <c r="M215" i="873"/>
  <c r="Z215" i="873" s="1"/>
  <c r="M100" i="873"/>
  <c r="Z100" i="873" s="1"/>
  <c r="M214" i="873"/>
  <c r="M5" i="873"/>
  <c r="M70" i="873"/>
  <c r="L85" i="873"/>
  <c r="Y178" i="873" s="1"/>
  <c r="L35" i="873"/>
  <c r="L14" i="873"/>
  <c r="L143" i="873"/>
  <c r="L148" i="873"/>
  <c r="Y161" i="873" s="1"/>
  <c r="L145" i="873"/>
  <c r="L62" i="873"/>
  <c r="L243" i="873"/>
  <c r="L250" i="873"/>
  <c r="L218" i="873"/>
  <c r="Y248" i="873" s="1"/>
  <c r="L123" i="873"/>
  <c r="L247" i="873"/>
  <c r="L183" i="873"/>
  <c r="Y183" i="873" s="1"/>
  <c r="L153" i="873"/>
  <c r="L267" i="873"/>
  <c r="L238" i="873"/>
  <c r="L42" i="873"/>
  <c r="L192" i="873"/>
  <c r="L251" i="873"/>
  <c r="L213" i="873"/>
  <c r="L262" i="873"/>
  <c r="L180" i="873"/>
  <c r="L4" i="873"/>
  <c r="L208" i="873"/>
  <c r="L211" i="873"/>
  <c r="L127" i="873"/>
  <c r="L17" i="873"/>
  <c r="L256" i="873"/>
  <c r="L86" i="873"/>
  <c r="Y86" i="873" s="1"/>
  <c r="L76" i="873"/>
  <c r="L146" i="873"/>
  <c r="Y146" i="873" s="1"/>
  <c r="L39" i="873"/>
  <c r="L50" i="873"/>
  <c r="L72" i="873"/>
  <c r="L53" i="873"/>
  <c r="L48" i="873"/>
  <c r="L179" i="873"/>
  <c r="L96" i="873"/>
  <c r="L215" i="873"/>
  <c r="Y215" i="873" s="1"/>
  <c r="L100" i="873"/>
  <c r="Y100" i="873" s="1"/>
  <c r="L214" i="873"/>
  <c r="L5" i="873"/>
  <c r="M218" i="873"/>
  <c r="Z248" i="873" s="1"/>
  <c r="M123" i="873"/>
  <c r="M247" i="873"/>
  <c r="M183" i="873"/>
  <c r="Z183" i="873" s="1"/>
  <c r="M153" i="873"/>
  <c r="M267" i="873"/>
  <c r="M238" i="873"/>
  <c r="M42" i="873"/>
  <c r="M192" i="873"/>
  <c r="M251" i="873"/>
  <c r="M213" i="873"/>
  <c r="M262" i="873"/>
  <c r="M180" i="873"/>
  <c r="M4" i="873"/>
  <c r="M208" i="873"/>
  <c r="Z268" i="873" s="1"/>
  <c r="M211" i="873"/>
  <c r="M127" i="873"/>
  <c r="Z127" i="873" s="1"/>
  <c r="M17" i="873"/>
  <c r="M256" i="873"/>
  <c r="M86" i="873"/>
  <c r="Z86" i="873" s="1"/>
  <c r="M76" i="873"/>
  <c r="M146" i="873"/>
  <c r="Z146" i="873" s="1"/>
  <c r="M39" i="873"/>
  <c r="V242" i="873"/>
  <c r="V58" i="873"/>
  <c r="V240" i="873"/>
  <c r="V6" i="873"/>
  <c r="V224" i="873"/>
  <c r="V43" i="873"/>
  <c r="V230" i="873"/>
  <c r="V161" i="873"/>
  <c r="V20" i="873"/>
  <c r="V84" i="873"/>
  <c r="V247" i="873"/>
  <c r="V50" i="873"/>
  <c r="V35" i="873"/>
  <c r="V199" i="873"/>
  <c r="V148" i="873"/>
  <c r="V213" i="873"/>
  <c r="V46" i="873"/>
  <c r="V258" i="873"/>
  <c r="V79" i="873"/>
  <c r="V118" i="873"/>
  <c r="V262" i="873"/>
  <c r="V5" i="873"/>
  <c r="V211" i="873"/>
  <c r="V29" i="873"/>
  <c r="V104" i="873"/>
  <c r="V114" i="873"/>
  <c r="V67" i="873"/>
  <c r="V103" i="873"/>
  <c r="V40" i="873"/>
  <c r="V236" i="873"/>
  <c r="V37" i="873"/>
  <c r="V106" i="873"/>
  <c r="V170" i="873"/>
  <c r="V141" i="873"/>
  <c r="V250" i="873"/>
  <c r="V75" i="873"/>
  <c r="V196" i="873"/>
  <c r="S130" i="873"/>
  <c r="S116" i="873"/>
  <c r="S168" i="873"/>
  <c r="S119" i="873"/>
  <c r="S94" i="873"/>
  <c r="S125" i="873"/>
  <c r="S207" i="873"/>
  <c r="S265" i="873"/>
  <c r="S201" i="873"/>
  <c r="S164" i="873"/>
  <c r="S237" i="873"/>
  <c r="S208" i="873"/>
  <c r="S80" i="873"/>
  <c r="S123" i="873"/>
  <c r="S151" i="873"/>
  <c r="S33" i="873"/>
  <c r="S166" i="873"/>
  <c r="S120" i="873"/>
  <c r="S25" i="873"/>
  <c r="S17" i="873"/>
  <c r="S126" i="873"/>
  <c r="S162" i="873"/>
  <c r="S21" i="873"/>
  <c r="S245" i="873"/>
  <c r="S197" i="873"/>
  <c r="S90" i="873"/>
  <c r="S266" i="873"/>
  <c r="S200" i="873"/>
  <c r="S169" i="873"/>
  <c r="S14" i="873"/>
  <c r="S221" i="873"/>
  <c r="S11" i="873"/>
  <c r="S113" i="873"/>
  <c r="S15" i="873"/>
  <c r="S173" i="873"/>
  <c r="S144" i="873"/>
  <c r="S27" i="873"/>
  <c r="S105" i="873"/>
  <c r="S98" i="873"/>
  <c r="S23" i="873"/>
  <c r="S68" i="873"/>
  <c r="S171" i="873"/>
  <c r="S72" i="873"/>
  <c r="S97" i="873"/>
  <c r="S264" i="873"/>
  <c r="S212" i="873"/>
  <c r="S76" i="873"/>
  <c r="S92" i="873"/>
  <c r="S128" i="873"/>
  <c r="S74" i="873"/>
  <c r="S157" i="873"/>
  <c r="S190" i="873"/>
  <c r="S244" i="873"/>
  <c r="S48" i="873"/>
  <c r="S18" i="873"/>
  <c r="S51" i="873"/>
  <c r="S228" i="873"/>
  <c r="S184" i="873"/>
  <c r="S41" i="873"/>
  <c r="S19" i="873"/>
  <c r="S45" i="873"/>
  <c r="S147" i="873"/>
  <c r="S55" i="873"/>
  <c r="S107" i="873"/>
  <c r="S59" i="873"/>
  <c r="S22" i="873"/>
  <c r="S253" i="873"/>
  <c r="S217" i="873"/>
  <c r="S226" i="873"/>
  <c r="S124" i="873"/>
  <c r="S102" i="873"/>
  <c r="S137" i="873"/>
  <c r="S83" i="873"/>
  <c r="S222" i="873"/>
  <c r="S202" i="873"/>
  <c r="S223" i="873"/>
  <c r="S271" i="873"/>
  <c r="S235" i="873"/>
  <c r="S71" i="873"/>
  <c r="S129" i="873"/>
  <c r="S238" i="873"/>
  <c r="S206" i="873"/>
  <c r="S110" i="873"/>
  <c r="S34" i="873"/>
  <c r="S261" i="873"/>
  <c r="S44" i="873"/>
  <c r="S251" i="873"/>
  <c r="S73" i="873"/>
  <c r="S186" i="873"/>
  <c r="S231" i="873"/>
  <c r="S61" i="873"/>
  <c r="S69" i="873"/>
  <c r="S165" i="873"/>
  <c r="S54" i="873"/>
  <c r="S225" i="873"/>
  <c r="S85" i="873"/>
  <c r="S219" i="873"/>
  <c r="S9" i="873"/>
  <c r="S158" i="873"/>
  <c r="S28" i="873"/>
  <c r="S89" i="873"/>
  <c r="S149" i="873"/>
  <c r="S70" i="873"/>
  <c r="S155" i="873"/>
  <c r="S260" i="873"/>
  <c r="S154" i="873"/>
  <c r="S209" i="873"/>
  <c r="S10" i="873"/>
  <c r="S150" i="873"/>
  <c r="S194" i="873"/>
  <c r="S52" i="873"/>
  <c r="S82" i="873"/>
  <c r="S239" i="873"/>
  <c r="S176" i="873"/>
  <c r="S167" i="873"/>
  <c r="S138" i="873"/>
  <c r="S31" i="873"/>
  <c r="S2" i="873"/>
  <c r="S227" i="873"/>
  <c r="S257" i="873"/>
  <c r="S160" i="873"/>
  <c r="S146" i="873"/>
  <c r="S198" i="873"/>
  <c r="S39" i="873"/>
  <c r="S108" i="873"/>
  <c r="S249" i="873"/>
  <c r="S60" i="873"/>
  <c r="S63" i="873"/>
  <c r="S88" i="873"/>
  <c r="S218" i="873"/>
  <c r="S179" i="873"/>
  <c r="S81" i="873"/>
  <c r="S13" i="873"/>
  <c r="S101" i="873"/>
  <c r="S8" i="873"/>
  <c r="S134" i="873"/>
  <c r="S53" i="873"/>
  <c r="S192" i="873"/>
  <c r="Z149" i="873" l="1"/>
  <c r="Y149" i="873"/>
  <c r="Y267" i="873"/>
  <c r="Z267" i="873"/>
  <c r="Z7" i="873"/>
  <c r="Z49" i="873"/>
  <c r="Y7" i="873"/>
  <c r="Y49" i="873"/>
  <c r="Y58" i="873"/>
  <c r="Y65" i="873"/>
  <c r="Z214" i="873"/>
  <c r="Z204" i="873"/>
  <c r="Y81" i="873"/>
  <c r="Y243" i="873"/>
  <c r="Z58" i="873"/>
  <c r="Z65" i="873"/>
  <c r="Z256" i="873"/>
  <c r="Z220" i="873"/>
  <c r="Z229" i="873"/>
  <c r="Y91" i="873"/>
  <c r="Y233" i="873"/>
  <c r="Y70" i="873"/>
  <c r="Y127" i="873"/>
  <c r="Y214" i="873"/>
  <c r="Y204" i="873"/>
  <c r="Z225" i="873"/>
  <c r="Z91" i="873"/>
  <c r="Z233" i="873"/>
  <c r="Y256" i="873"/>
  <c r="Z182" i="873"/>
  <c r="Y16" i="873"/>
  <c r="Z152" i="873"/>
  <c r="Z70" i="873"/>
  <c r="Z56" i="873"/>
  <c r="Z16" i="873"/>
  <c r="Z11" i="873"/>
  <c r="Z60" i="873"/>
  <c r="Y182" i="873"/>
  <c r="Y156" i="873"/>
  <c r="Y152" i="873"/>
  <c r="Y98" i="873"/>
  <c r="Z81" i="873"/>
  <c r="Y63" i="873"/>
  <c r="Z156" i="873"/>
  <c r="Z4" i="873"/>
  <c r="Y115" i="873"/>
  <c r="Z115" i="873"/>
  <c r="Z63" i="873"/>
  <c r="Y62" i="873"/>
  <c r="Y121" i="873"/>
  <c r="Z176" i="873"/>
  <c r="Z203" i="873"/>
  <c r="Z98" i="873"/>
  <c r="Y4" i="873"/>
  <c r="Z62" i="873"/>
  <c r="Z121" i="873"/>
  <c r="Y220" i="873"/>
  <c r="Y38" i="873"/>
  <c r="Z38" i="873"/>
  <c r="Z108" i="873"/>
  <c r="Y145" i="873"/>
  <c r="Y11" i="873"/>
  <c r="Y192" i="873"/>
  <c r="Y56" i="873"/>
  <c r="Z145" i="873"/>
  <c r="Z231" i="873"/>
  <c r="Z124" i="873"/>
  <c r="Z252" i="873"/>
  <c r="Y124" i="873"/>
  <c r="Y252" i="873"/>
  <c r="Y125" i="873"/>
  <c r="Y103" i="873"/>
  <c r="Y179" i="873"/>
  <c r="Y158" i="873"/>
  <c r="Y268" i="873"/>
  <c r="Z85" i="873"/>
  <c r="Z39" i="873"/>
  <c r="Z167" i="873"/>
  <c r="Z132" i="873"/>
  <c r="Z195" i="873"/>
  <c r="Y8" i="873"/>
  <c r="Z59" i="873"/>
  <c r="Y108" i="873"/>
  <c r="Y213" i="873"/>
  <c r="Y85" i="873"/>
  <c r="Z213" i="873"/>
  <c r="Z103" i="873"/>
  <c r="Y271" i="873"/>
  <c r="Y12" i="873"/>
  <c r="Y53" i="873"/>
  <c r="Z53" i="873"/>
  <c r="Z179" i="873"/>
  <c r="Y132" i="873"/>
  <c r="Y195" i="873"/>
  <c r="Z271" i="873"/>
  <c r="Z12" i="873"/>
  <c r="Y39" i="873"/>
  <c r="Y167" i="873"/>
  <c r="Z175" i="873"/>
  <c r="Z57" i="873"/>
  <c r="Y175" i="873"/>
  <c r="Y57" i="873"/>
  <c r="Y59" i="873"/>
  <c r="Y54" i="873"/>
  <c r="Y69" i="873"/>
  <c r="Z125" i="873"/>
  <c r="Y249" i="873"/>
  <c r="Z219" i="873"/>
  <c r="Y44" i="873"/>
  <c r="Z192" i="873"/>
  <c r="Z158" i="873"/>
  <c r="Z44" i="873"/>
  <c r="Z173" i="873"/>
  <c r="Z69" i="873"/>
  <c r="Y168" i="873"/>
  <c r="V117" i="873"/>
  <c r="V263" i="873"/>
  <c r="V26" i="873"/>
  <c r="V78" i="873"/>
  <c r="V188" i="873"/>
  <c r="Y219" i="873"/>
  <c r="Z168" i="873"/>
  <c r="Z83" i="873"/>
  <c r="Y147" i="873"/>
  <c r="V131" i="873"/>
  <c r="V270" i="873"/>
  <c r="V163" i="873"/>
  <c r="V232" i="873"/>
  <c r="V145" i="873"/>
  <c r="V136" i="873"/>
  <c r="V152" i="873"/>
  <c r="V47" i="873"/>
  <c r="V121" i="873"/>
  <c r="V255" i="873"/>
  <c r="V175" i="873"/>
  <c r="Y113" i="873"/>
  <c r="Y17" i="873"/>
  <c r="Y170" i="873"/>
  <c r="Z218" i="873"/>
  <c r="Y101" i="873"/>
  <c r="Y83" i="873"/>
  <c r="Y194" i="873"/>
  <c r="Z54" i="873"/>
  <c r="Z226" i="873"/>
  <c r="Z128" i="873"/>
  <c r="Z258" i="873"/>
  <c r="Z212" i="873"/>
  <c r="V133" i="873"/>
  <c r="V115" i="873"/>
  <c r="V189" i="873"/>
  <c r="V56" i="873"/>
  <c r="V95" i="873"/>
  <c r="V142" i="873"/>
  <c r="V205" i="873"/>
  <c r="V153" i="873"/>
  <c r="V187" i="873"/>
  <c r="Y221" i="873"/>
  <c r="Y104" i="873"/>
  <c r="Y126" i="873"/>
  <c r="Y106" i="873"/>
  <c r="Z165" i="873"/>
  <c r="Z144" i="873"/>
  <c r="Z211" i="873"/>
  <c r="Z21" i="873"/>
  <c r="Z37" i="873"/>
  <c r="Y52" i="873"/>
  <c r="Z266" i="873"/>
  <c r="Z162" i="873"/>
  <c r="Z166" i="873"/>
  <c r="Y226" i="873"/>
  <c r="Y212" i="873"/>
  <c r="V259" i="873"/>
  <c r="V42" i="873"/>
  <c r="V269" i="873"/>
  <c r="V246" i="873"/>
  <c r="V143" i="873"/>
  <c r="V177" i="873"/>
  <c r="Z17" i="873"/>
  <c r="Z170" i="873"/>
  <c r="Y173" i="873"/>
  <c r="Y231" i="873"/>
  <c r="Z101" i="873"/>
  <c r="Z217" i="873"/>
  <c r="Z147" i="873"/>
  <c r="Y266" i="873"/>
  <c r="Y218" i="873"/>
  <c r="Y144" i="873"/>
  <c r="Y211" i="873"/>
  <c r="Y21" i="873"/>
  <c r="Y37" i="873"/>
  <c r="Y45" i="873"/>
  <c r="Y162" i="873"/>
  <c r="Z194" i="873"/>
  <c r="Z45" i="873"/>
  <c r="V180" i="873"/>
  <c r="V248" i="873"/>
  <c r="V112" i="873"/>
  <c r="V252" i="873"/>
  <c r="V66" i="873"/>
  <c r="V256" i="873"/>
  <c r="V24" i="873"/>
  <c r="V38" i="873"/>
  <c r="V135" i="873"/>
  <c r="V182" i="873"/>
  <c r="V3" i="873"/>
  <c r="V254" i="873"/>
  <c r="V132" i="873"/>
  <c r="V96" i="873"/>
  <c r="V77" i="873"/>
  <c r="V122" i="873"/>
  <c r="Z221" i="873"/>
  <c r="Z104" i="873"/>
  <c r="Y129" i="873"/>
  <c r="Y84" i="873"/>
  <c r="Z129" i="873"/>
  <c r="Z84" i="873"/>
  <c r="Z126" i="873"/>
  <c r="Z106" i="873"/>
  <c r="Z52" i="873"/>
  <c r="Y128" i="873"/>
  <c r="Y258" i="873"/>
  <c r="Y166" i="873"/>
  <c r="Y176" i="873"/>
  <c r="Z55" i="873"/>
  <c r="Z41" i="873"/>
  <c r="Z223" i="873"/>
  <c r="Y48" i="873"/>
  <c r="Z260" i="873"/>
  <c r="Y92" i="873"/>
  <c r="Y41" i="873"/>
  <c r="Y60" i="873"/>
  <c r="Y225" i="873"/>
  <c r="Z249" i="873"/>
  <c r="Z157" i="873"/>
  <c r="Y235" i="873"/>
  <c r="Z8" i="873"/>
  <c r="Y260" i="873"/>
  <c r="Z239" i="873"/>
  <c r="Z6" i="873"/>
  <c r="Z89" i="873"/>
  <c r="Z136" i="873"/>
  <c r="Z261" i="873"/>
  <c r="Z230" i="873"/>
  <c r="Z79" i="873"/>
  <c r="Z151" i="873"/>
  <c r="Z189" i="873"/>
  <c r="Y154" i="873"/>
  <c r="Y153" i="873"/>
  <c r="Y14" i="873"/>
  <c r="Y42" i="873"/>
  <c r="Y18" i="873"/>
  <c r="Y148" i="873"/>
  <c r="Y112" i="873"/>
  <c r="Y40" i="873"/>
  <c r="Y15" i="873"/>
  <c r="Y29" i="873"/>
  <c r="Z13" i="873"/>
  <c r="Z242" i="873"/>
  <c r="Z257" i="873"/>
  <c r="Z122" i="873"/>
  <c r="Z190" i="873"/>
  <c r="Y137" i="873"/>
  <c r="Y163" i="873"/>
  <c r="Y190" i="873"/>
  <c r="Z209" i="873"/>
  <c r="Z228" i="873"/>
  <c r="Z24" i="873"/>
  <c r="Z263" i="873"/>
  <c r="Z169" i="873"/>
  <c r="Z114" i="873"/>
  <c r="Z80" i="873"/>
  <c r="Z180" i="873"/>
  <c r="Y198" i="873"/>
  <c r="Y240" i="873"/>
  <c r="Y155" i="873"/>
  <c r="Y43" i="873"/>
  <c r="Y164" i="873"/>
  <c r="Y232" i="873"/>
  <c r="Y227" i="873"/>
  <c r="Y107" i="873"/>
  <c r="Y135" i="873"/>
  <c r="Y157" i="873"/>
  <c r="Y34" i="873"/>
  <c r="Y200" i="873"/>
  <c r="Y67" i="873"/>
  <c r="Z138" i="873"/>
  <c r="Z28" i="873"/>
  <c r="Z78" i="873"/>
  <c r="Z19" i="873"/>
  <c r="Z35" i="873"/>
  <c r="Z92" i="873"/>
  <c r="Z105" i="873"/>
  <c r="Z14" i="873"/>
  <c r="Z42" i="873"/>
  <c r="Z25" i="873"/>
  <c r="Z259" i="873"/>
  <c r="Y13" i="873"/>
  <c r="Y242" i="873"/>
  <c r="Y55" i="873"/>
  <c r="Y97" i="873"/>
  <c r="Y269" i="873"/>
  <c r="Y90" i="873"/>
  <c r="Z134" i="873"/>
  <c r="Z31" i="873"/>
  <c r="Z47" i="873"/>
  <c r="Z73" i="873"/>
  <c r="Z143" i="873"/>
  <c r="Z244" i="873"/>
  <c r="Z46" i="873"/>
  <c r="Z264" i="873"/>
  <c r="Z26" i="873"/>
  <c r="Z23" i="873"/>
  <c r="Z5" i="873"/>
  <c r="Z33" i="873"/>
  <c r="Z250" i="873"/>
  <c r="Z94" i="873"/>
  <c r="Y130" i="873"/>
  <c r="Y251" i="873"/>
  <c r="Y205" i="873"/>
  <c r="Y270" i="873"/>
  <c r="Y116" i="873"/>
  <c r="Y150" i="873"/>
  <c r="Y224" i="873"/>
  <c r="Y165" i="873"/>
  <c r="Y206" i="873"/>
  <c r="Y202" i="873"/>
  <c r="Y254" i="873"/>
  <c r="Y3" i="873"/>
  <c r="Y22" i="873"/>
  <c r="Y74" i="873"/>
  <c r="Y66" i="873"/>
  <c r="Y76" i="873"/>
  <c r="Y72" i="873"/>
  <c r="Y118" i="873"/>
  <c r="Y27" i="873"/>
  <c r="Y142" i="873"/>
  <c r="Y197" i="873"/>
  <c r="Y131" i="873"/>
  <c r="Y120" i="873"/>
  <c r="Y141" i="873"/>
  <c r="Y208" i="873"/>
  <c r="Y75" i="873"/>
  <c r="Y207" i="873"/>
  <c r="Y196" i="873"/>
  <c r="Z119" i="873"/>
  <c r="Y238" i="873"/>
  <c r="Y253" i="873"/>
  <c r="Y246" i="873"/>
  <c r="Y184" i="873"/>
  <c r="Y245" i="873"/>
  <c r="Y236" i="873"/>
  <c r="Y237" i="873"/>
  <c r="Y133" i="873"/>
  <c r="Z2" i="873"/>
  <c r="Z82" i="873"/>
  <c r="Z188" i="873"/>
  <c r="Z10" i="873"/>
  <c r="Z186" i="873"/>
  <c r="Z77" i="873"/>
  <c r="Z238" i="873"/>
  <c r="Z184" i="873"/>
  <c r="Z245" i="873"/>
  <c r="Z236" i="873"/>
  <c r="Z95" i="873"/>
  <c r="Z237" i="873"/>
  <c r="Z133" i="873"/>
  <c r="Y160" i="873"/>
  <c r="Y255" i="873"/>
  <c r="Y110" i="873"/>
  <c r="Y20" i="873"/>
  <c r="Y102" i="873"/>
  <c r="Y50" i="873"/>
  <c r="Y171" i="873"/>
  <c r="Z18" i="873"/>
  <c r="Z148" i="873"/>
  <c r="Z112" i="873"/>
  <c r="Z40" i="873"/>
  <c r="Y257" i="873"/>
  <c r="Y122" i="873"/>
  <c r="Y61" i="873"/>
  <c r="Y239" i="873"/>
  <c r="Y6" i="873"/>
  <c r="Y89" i="873"/>
  <c r="Y136" i="873"/>
  <c r="Y261" i="873"/>
  <c r="Y230" i="873"/>
  <c r="Y79" i="873"/>
  <c r="Y151" i="873"/>
  <c r="Y189" i="873"/>
  <c r="Y222" i="873"/>
  <c r="Y247" i="873"/>
  <c r="Y25" i="873"/>
  <c r="Y259" i="873"/>
  <c r="Z154" i="873"/>
  <c r="Z153" i="873"/>
  <c r="Z222" i="873"/>
  <c r="Z247" i="873"/>
  <c r="Z51" i="873"/>
  <c r="Z199" i="873"/>
  <c r="Z97" i="873"/>
  <c r="Z269" i="873"/>
  <c r="Z200" i="873"/>
  <c r="Z67" i="873"/>
  <c r="Z123" i="873"/>
  <c r="Y28" i="873"/>
  <c r="Y78" i="873"/>
  <c r="Y19" i="873"/>
  <c r="Y35" i="873"/>
  <c r="Y68" i="873"/>
  <c r="Y262" i="873"/>
  <c r="Z227" i="873"/>
  <c r="Z107" i="873"/>
  <c r="Z135" i="873"/>
  <c r="Z113" i="873"/>
  <c r="Y138" i="873"/>
  <c r="Y209" i="873"/>
  <c r="Y223" i="873"/>
  <c r="Y228" i="873"/>
  <c r="Y24" i="873"/>
  <c r="Y263" i="873"/>
  <c r="Y169" i="873"/>
  <c r="Y114" i="873"/>
  <c r="Y80" i="873"/>
  <c r="Y180" i="873"/>
  <c r="Z198" i="873"/>
  <c r="Z240" i="873"/>
  <c r="Z155" i="873"/>
  <c r="Z43" i="873"/>
  <c r="Z61" i="873"/>
  <c r="Z34" i="873"/>
  <c r="Z137" i="873"/>
  <c r="Z163" i="873"/>
  <c r="Z48" i="873"/>
  <c r="Z68" i="873"/>
  <c r="Z262" i="873"/>
  <c r="Z15" i="873"/>
  <c r="Z29" i="873"/>
  <c r="Z90" i="873"/>
  <c r="Z164" i="873"/>
  <c r="Z232" i="873"/>
  <c r="Y51" i="873"/>
  <c r="Y199" i="873"/>
  <c r="Y105" i="873"/>
  <c r="Y123" i="873"/>
  <c r="Z150" i="873"/>
  <c r="Z224" i="873"/>
  <c r="Z206" i="873"/>
  <c r="Z202" i="873"/>
  <c r="Z254" i="873"/>
  <c r="Z3" i="873"/>
  <c r="Z22" i="873"/>
  <c r="Z74" i="873"/>
  <c r="Z66" i="873"/>
  <c r="Z76" i="873"/>
  <c r="Z72" i="873"/>
  <c r="Z118" i="873"/>
  <c r="Z27" i="873"/>
  <c r="Z142" i="873"/>
  <c r="Z197" i="873"/>
  <c r="Z131" i="873"/>
  <c r="Z120" i="873"/>
  <c r="Z141" i="873"/>
  <c r="Z208" i="873"/>
  <c r="Z75" i="873"/>
  <c r="Z207" i="873"/>
  <c r="Z196" i="873"/>
  <c r="Z130" i="873"/>
  <c r="Y186" i="873"/>
  <c r="Y77" i="873"/>
  <c r="Y134" i="873"/>
  <c r="Y31" i="873"/>
  <c r="Y47" i="873"/>
  <c r="Y73" i="873"/>
  <c r="Y143" i="873"/>
  <c r="Y217" i="873"/>
  <c r="Y244" i="873"/>
  <c r="Y46" i="873"/>
  <c r="Y264" i="873"/>
  <c r="Y26" i="873"/>
  <c r="Y23" i="873"/>
  <c r="Y5" i="873"/>
  <c r="Y33" i="873"/>
  <c r="Y250" i="873"/>
  <c r="Y94" i="873"/>
  <c r="Z116" i="873"/>
  <c r="Y2" i="873"/>
  <c r="Y82" i="873"/>
  <c r="Y188" i="873"/>
  <c r="Y10" i="873"/>
  <c r="Y117" i="873"/>
  <c r="Y265" i="873"/>
  <c r="Z88" i="873"/>
  <c r="Z187" i="873"/>
  <c r="Z160" i="873"/>
  <c r="Z255" i="873"/>
  <c r="Z9" i="873"/>
  <c r="Z251" i="873"/>
  <c r="Z205" i="873"/>
  <c r="Z110" i="873"/>
  <c r="Z20" i="873"/>
  <c r="Z71" i="873"/>
  <c r="Z96" i="873"/>
  <c r="Z102" i="873"/>
  <c r="Z50" i="873"/>
  <c r="Z253" i="873"/>
  <c r="Z246" i="873"/>
  <c r="Z270" i="873"/>
  <c r="Z117" i="873"/>
  <c r="Z171" i="873"/>
  <c r="Z265" i="873"/>
  <c r="Y88" i="873"/>
  <c r="Y187" i="873"/>
  <c r="Y9" i="873"/>
  <c r="Y71" i="873"/>
  <c r="Y96" i="873"/>
  <c r="Y95" i="873"/>
  <c r="Y119" i="873"/>
  <c r="V116" i="873"/>
  <c r="N226" i="873"/>
  <c r="V125" i="873"/>
  <c r="V164" i="873"/>
  <c r="N50" i="873"/>
  <c r="V123" i="873"/>
  <c r="N49" i="873"/>
  <c r="V120" i="873"/>
  <c r="N164" i="873"/>
  <c r="V197" i="873"/>
  <c r="N105" i="873"/>
  <c r="V200" i="873"/>
  <c r="V221" i="873"/>
  <c r="N267" i="873"/>
  <c r="V173" i="873"/>
  <c r="N72" i="873"/>
  <c r="O72" i="873" s="1"/>
  <c r="N238" i="873"/>
  <c r="N42" i="873"/>
  <c r="V264" i="873"/>
  <c r="N233" i="873"/>
  <c r="V76" i="873"/>
  <c r="N167" i="873"/>
  <c r="V244" i="873"/>
  <c r="N171" i="873"/>
  <c r="V228" i="873"/>
  <c r="N52" i="873"/>
  <c r="O52" i="873" s="1"/>
  <c r="V107" i="873"/>
  <c r="V217" i="873"/>
  <c r="N199" i="873"/>
  <c r="O199" i="873" s="1"/>
  <c r="V202" i="873"/>
  <c r="N149" i="873"/>
  <c r="V235" i="873"/>
  <c r="V206" i="873"/>
  <c r="V44" i="873"/>
  <c r="N179" i="873"/>
  <c r="O179" i="873" s="1"/>
  <c r="V73" i="873"/>
  <c r="N25" i="873"/>
  <c r="AA177" i="873" s="1"/>
  <c r="V61" i="873"/>
  <c r="N96" i="873"/>
  <c r="V225" i="873"/>
  <c r="V158" i="873"/>
  <c r="N208" i="873"/>
  <c r="V70" i="873"/>
  <c r="N127" i="873"/>
  <c r="V209" i="873"/>
  <c r="N256" i="873"/>
  <c r="O256" i="873" s="1"/>
  <c r="V52" i="873"/>
  <c r="V167" i="873"/>
  <c r="N113" i="873"/>
  <c r="O113" i="873" s="1"/>
  <c r="V227" i="873"/>
  <c r="N76" i="873"/>
  <c r="O76" i="873" s="1"/>
  <c r="V198" i="873"/>
  <c r="N214" i="873"/>
  <c r="V60" i="873"/>
  <c r="N109" i="873"/>
  <c r="V218" i="873"/>
  <c r="V101" i="873"/>
  <c r="N260" i="873"/>
  <c r="V168" i="873"/>
  <c r="N85" i="873"/>
  <c r="V207" i="873"/>
  <c r="V237" i="873"/>
  <c r="N234" i="873"/>
  <c r="AA234" i="873" s="1"/>
  <c r="V151" i="873"/>
  <c r="N123" i="873"/>
  <c r="N265" i="873"/>
  <c r="V162" i="873"/>
  <c r="N219" i="873"/>
  <c r="N183" i="873"/>
  <c r="AA183" i="873" s="1"/>
  <c r="V11" i="873"/>
  <c r="N156" i="873"/>
  <c r="O156" i="873" s="1"/>
  <c r="V144" i="873"/>
  <c r="N229" i="873"/>
  <c r="AA229" i="873" s="1"/>
  <c r="V98" i="873"/>
  <c r="N14" i="873"/>
  <c r="O14" i="873" s="1"/>
  <c r="V171" i="873"/>
  <c r="V212" i="873"/>
  <c r="V92" i="873"/>
  <c r="N53" i="873"/>
  <c r="N245" i="873"/>
  <c r="V48" i="873"/>
  <c r="V184" i="873"/>
  <c r="N2" i="873"/>
  <c r="O2" i="873" s="1"/>
  <c r="V45" i="873"/>
  <c r="N198" i="873"/>
  <c r="O198" i="873" s="1"/>
  <c r="V59" i="873"/>
  <c r="N139" i="873"/>
  <c r="V226" i="873"/>
  <c r="V137" i="873"/>
  <c r="V71" i="873"/>
  <c r="V110" i="873"/>
  <c r="N204" i="873"/>
  <c r="N174" i="873"/>
  <c r="V186" i="873"/>
  <c r="V69" i="873"/>
  <c r="N180" i="873"/>
  <c r="V85" i="873"/>
  <c r="N243" i="873"/>
  <c r="V28" i="873"/>
  <c r="N33" i="873"/>
  <c r="V155" i="873"/>
  <c r="N215" i="873"/>
  <c r="AA215" i="873" s="1"/>
  <c r="V10" i="873"/>
  <c r="N261" i="873"/>
  <c r="O261" i="873" s="1"/>
  <c r="V82" i="873"/>
  <c r="N73" i="873"/>
  <c r="V138" i="873"/>
  <c r="V257" i="873"/>
  <c r="V39" i="873"/>
  <c r="N97" i="873"/>
  <c r="O97" i="873" s="1"/>
  <c r="V63" i="873"/>
  <c r="V179" i="873"/>
  <c r="N206" i="873"/>
  <c r="O206" i="873" s="1"/>
  <c r="V8" i="873"/>
  <c r="N239" i="873"/>
  <c r="O239" i="873" s="1"/>
  <c r="V119" i="873"/>
  <c r="N232" i="873"/>
  <c r="O232" i="873" s="1"/>
  <c r="V265" i="873"/>
  <c r="V208" i="873"/>
  <c r="N225" i="873"/>
  <c r="V33" i="873"/>
  <c r="V25" i="873"/>
  <c r="V21" i="873"/>
  <c r="N18" i="873"/>
  <c r="AA18" i="873" s="1"/>
  <c r="V90" i="873"/>
  <c r="N118" i="873"/>
  <c r="V169" i="873"/>
  <c r="N153" i="873"/>
  <c r="AA200" i="873" s="1"/>
  <c r="V113" i="873"/>
  <c r="V27" i="873"/>
  <c r="N82" i="873"/>
  <c r="V23" i="873"/>
  <c r="V72" i="873"/>
  <c r="N192" i="873"/>
  <c r="N47" i="873"/>
  <c r="O47" i="873" s="1"/>
  <c r="V157" i="873"/>
  <c r="N251" i="873"/>
  <c r="O251" i="873" s="1"/>
  <c r="V18" i="873"/>
  <c r="V41" i="873"/>
  <c r="V147" i="873"/>
  <c r="N258" i="873"/>
  <c r="O258" i="873" s="1"/>
  <c r="V22" i="873"/>
  <c r="V124" i="873"/>
  <c r="N213" i="873"/>
  <c r="O213" i="873" s="1"/>
  <c r="V83" i="873"/>
  <c r="N12" i="873"/>
  <c r="O12" i="873" s="1"/>
  <c r="V223" i="873"/>
  <c r="N262" i="873"/>
  <c r="O262" i="873" s="1"/>
  <c r="V129" i="873"/>
  <c r="N48" i="873"/>
  <c r="V34" i="873"/>
  <c r="N148" i="873"/>
  <c r="N145" i="873"/>
  <c r="O145" i="873" s="1"/>
  <c r="V231" i="873"/>
  <c r="N62" i="873"/>
  <c r="O62" i="873" s="1"/>
  <c r="V165" i="873"/>
  <c r="N24" i="873"/>
  <c r="O24" i="873" s="1"/>
  <c r="V219" i="873"/>
  <c r="N4" i="873"/>
  <c r="O4" i="873" s="1"/>
  <c r="V89" i="873"/>
  <c r="N211" i="873"/>
  <c r="AA154" i="873" s="1"/>
  <c r="V260" i="873"/>
  <c r="N17" i="873"/>
  <c r="O17" i="873" s="1"/>
  <c r="V150" i="873"/>
  <c r="N74" i="873"/>
  <c r="V239" i="873"/>
  <c r="N86" i="873"/>
  <c r="V31" i="873"/>
  <c r="N26" i="873"/>
  <c r="V160" i="873"/>
  <c r="N71" i="873"/>
  <c r="V108" i="873"/>
  <c r="N5" i="873"/>
  <c r="O5" i="873" s="1"/>
  <c r="N65" i="873"/>
  <c r="AA65" i="873" s="1"/>
  <c r="V81" i="873"/>
  <c r="V134" i="873"/>
  <c r="V126" i="873"/>
  <c r="N68" i="873"/>
  <c r="V192" i="873"/>
  <c r="N39" i="873"/>
  <c r="O39" i="873" s="1"/>
  <c r="V130" i="873"/>
  <c r="V94" i="873"/>
  <c r="N3" i="873"/>
  <c r="O3" i="873" s="1"/>
  <c r="V201" i="873"/>
  <c r="V80" i="873"/>
  <c r="N218" i="873"/>
  <c r="AA248" i="873" s="1"/>
  <c r="V166" i="873"/>
  <c r="N202" i="873"/>
  <c r="O202" i="873" s="1"/>
  <c r="V17" i="873"/>
  <c r="N247" i="873"/>
  <c r="V245" i="873"/>
  <c r="V266" i="873"/>
  <c r="V14" i="873"/>
  <c r="V15" i="873"/>
  <c r="N35" i="873"/>
  <c r="V105" i="873"/>
  <c r="N44" i="873"/>
  <c r="O44" i="873" s="1"/>
  <c r="V68" i="873"/>
  <c r="N144" i="873"/>
  <c r="V97" i="873"/>
  <c r="N40" i="873"/>
  <c r="V128" i="873"/>
  <c r="N271" i="873"/>
  <c r="V190" i="873"/>
  <c r="V51" i="873"/>
  <c r="N162" i="873"/>
  <c r="V19" i="873"/>
  <c r="N136" i="873"/>
  <c r="V55" i="873"/>
  <c r="V253" i="873"/>
  <c r="N246" i="873"/>
  <c r="V102" i="873"/>
  <c r="N185" i="873"/>
  <c r="AA185" i="873" s="1"/>
  <c r="V222" i="873"/>
  <c r="N143" i="873"/>
  <c r="V271" i="873"/>
  <c r="V238" i="873"/>
  <c r="V261" i="873"/>
  <c r="V251" i="873"/>
  <c r="N236" i="873"/>
  <c r="V54" i="873"/>
  <c r="N57" i="873"/>
  <c r="O57" i="873" s="1"/>
  <c r="V9" i="873"/>
  <c r="N130" i="873"/>
  <c r="O130" i="873" s="1"/>
  <c r="V149" i="873"/>
  <c r="N250" i="873"/>
  <c r="O250" i="873" s="1"/>
  <c r="V154" i="873"/>
  <c r="N100" i="873"/>
  <c r="AA100" i="873" s="1"/>
  <c r="V194" i="873"/>
  <c r="N75" i="873"/>
  <c r="O75" i="873" s="1"/>
  <c r="V176" i="873"/>
  <c r="N160" i="873"/>
  <c r="AA160" i="873" s="1"/>
  <c r="V2" i="873"/>
  <c r="N170" i="873"/>
  <c r="O170" i="873" s="1"/>
  <c r="V146" i="873"/>
  <c r="N146" i="873"/>
  <c r="O146" i="873" s="1"/>
  <c r="V249" i="873"/>
  <c r="N155" i="873"/>
  <c r="O155" i="873" s="1"/>
  <c r="V88" i="873"/>
  <c r="N176" i="873"/>
  <c r="O176" i="873" s="1"/>
  <c r="V13" i="873"/>
  <c r="N70" i="873"/>
  <c r="V53" i="873"/>
  <c r="V74" i="873"/>
  <c r="N83" i="873"/>
  <c r="S187" i="873"/>
  <c r="AA173" i="873"/>
  <c r="AA137" i="873"/>
  <c r="AA146" i="873" l="1"/>
  <c r="AA256" i="873"/>
  <c r="AA14" i="873"/>
  <c r="O243" i="873"/>
  <c r="AB243" i="873" s="1"/>
  <c r="AA243" i="873"/>
  <c r="O109" i="873"/>
  <c r="AB109" i="873" s="1"/>
  <c r="AA109" i="873"/>
  <c r="O127" i="873"/>
  <c r="AB127" i="873" s="1"/>
  <c r="AA127" i="873"/>
  <c r="AA91" i="873"/>
  <c r="AA233" i="873"/>
  <c r="O174" i="873"/>
  <c r="AB174" i="873" s="1"/>
  <c r="AA174" i="873"/>
  <c r="AA204" i="873"/>
  <c r="AA7" i="873"/>
  <c r="AA49" i="873"/>
  <c r="AA151" i="873"/>
  <c r="AA86" i="873"/>
  <c r="O139" i="873"/>
  <c r="AB139" i="873" s="1"/>
  <c r="AA139" i="873"/>
  <c r="AA98" i="873"/>
  <c r="AA108" i="873"/>
  <c r="O85" i="873"/>
  <c r="AB178" i="873" s="1"/>
  <c r="AA178" i="873"/>
  <c r="AA4" i="873"/>
  <c r="AA220" i="873"/>
  <c r="AA115" i="873"/>
  <c r="AA228" i="873"/>
  <c r="O160" i="873"/>
  <c r="AB203" i="873" s="1"/>
  <c r="AA203" i="873"/>
  <c r="AA121" i="873"/>
  <c r="AA152" i="873"/>
  <c r="AA156" i="873"/>
  <c r="AA16" i="873"/>
  <c r="AA182" i="873"/>
  <c r="AA11" i="873"/>
  <c r="AA212" i="873"/>
  <c r="AA59" i="873"/>
  <c r="AA89" i="873"/>
  <c r="AA15" i="873"/>
  <c r="AA39" i="873"/>
  <c r="AA221" i="873"/>
  <c r="AA126" i="873"/>
  <c r="AA38" i="873"/>
  <c r="AA175" i="873"/>
  <c r="AA57" i="873"/>
  <c r="O219" i="873"/>
  <c r="AA56" i="873"/>
  <c r="O260" i="873"/>
  <c r="AB62" i="873" s="1"/>
  <c r="AA62" i="873"/>
  <c r="AA252" i="873"/>
  <c r="O180" i="873"/>
  <c r="AA214" i="873"/>
  <c r="AA12" i="873"/>
  <c r="O53" i="873"/>
  <c r="AA267" i="873"/>
  <c r="AA145" i="873"/>
  <c r="O208" i="873"/>
  <c r="AB268" i="873" s="1"/>
  <c r="AA268" i="873"/>
  <c r="AA132" i="873"/>
  <c r="AA195" i="873"/>
  <c r="AA97" i="873"/>
  <c r="AA168" i="873"/>
  <c r="AA69" i="873"/>
  <c r="AA129" i="873"/>
  <c r="AA45" i="873"/>
  <c r="AA88" i="873"/>
  <c r="O271" i="873"/>
  <c r="AB116" i="873" s="1"/>
  <c r="AA258" i="873"/>
  <c r="O148" i="873"/>
  <c r="AB161" i="873" s="1"/>
  <c r="AA161" i="873"/>
  <c r="O18" i="873"/>
  <c r="AB37" i="873" s="1"/>
  <c r="AA37" i="873"/>
  <c r="AA213" i="873"/>
  <c r="O229" i="873"/>
  <c r="AA211" i="873"/>
  <c r="O267" i="873"/>
  <c r="AA104" i="873"/>
  <c r="O65" i="873"/>
  <c r="AA58" i="873"/>
  <c r="AA125" i="873"/>
  <c r="O247" i="873"/>
  <c r="AB170" i="873" s="1"/>
  <c r="AA170" i="873"/>
  <c r="O48" i="873"/>
  <c r="AA84" i="873"/>
  <c r="O118" i="873"/>
  <c r="AB103" i="873" s="1"/>
  <c r="AA103" i="873"/>
  <c r="O68" i="873"/>
  <c r="AB68" i="873" s="1"/>
  <c r="AA106" i="873"/>
  <c r="AA158" i="873"/>
  <c r="AA261" i="873"/>
  <c r="AA90" i="873"/>
  <c r="AA164" i="873"/>
  <c r="AA44" i="873"/>
  <c r="AA123" i="873"/>
  <c r="AA2" i="873"/>
  <c r="AA107" i="873"/>
  <c r="AA198" i="873"/>
  <c r="AA73" i="873"/>
  <c r="AA34" i="873"/>
  <c r="AA28" i="873"/>
  <c r="AA51" i="873"/>
  <c r="AA10" i="873"/>
  <c r="AA116" i="873"/>
  <c r="AA209" i="873"/>
  <c r="AA138" i="873"/>
  <c r="AA55" i="873"/>
  <c r="AA208" i="873"/>
  <c r="AA41" i="873"/>
  <c r="AA184" i="873"/>
  <c r="AA105" i="873"/>
  <c r="AA61" i="873"/>
  <c r="AA271" i="873"/>
  <c r="AA113" i="873"/>
  <c r="AA157" i="873"/>
  <c r="AA92" i="873"/>
  <c r="O86" i="873"/>
  <c r="AA6" i="873"/>
  <c r="AA148" i="873"/>
  <c r="AA118" i="873"/>
  <c r="O82" i="873"/>
  <c r="AB82" i="873" s="1"/>
  <c r="AA142" i="873"/>
  <c r="O153" i="873"/>
  <c r="AB114" i="873" s="1"/>
  <c r="AA114" i="873"/>
  <c r="AA250" i="873"/>
  <c r="AA122" i="873"/>
  <c r="O73" i="873"/>
  <c r="AB188" i="873" s="1"/>
  <c r="AA188" i="873"/>
  <c r="O215" i="873"/>
  <c r="AA43" i="873"/>
  <c r="AA77" i="873"/>
  <c r="O204" i="873"/>
  <c r="AB20" i="873" s="1"/>
  <c r="AA20" i="873"/>
  <c r="O123" i="873"/>
  <c r="AB123" i="873" s="1"/>
  <c r="AA189" i="873"/>
  <c r="AA196" i="873"/>
  <c r="O25" i="873"/>
  <c r="AA143" i="873"/>
  <c r="O149" i="873"/>
  <c r="AB195" i="873" s="1"/>
  <c r="AA254" i="873"/>
  <c r="O171" i="873"/>
  <c r="AB46" i="873" s="1"/>
  <c r="AA46" i="873"/>
  <c r="O233" i="873"/>
  <c r="AB233" i="873" s="1"/>
  <c r="AA26" i="873"/>
  <c r="O238" i="873"/>
  <c r="AB238" i="873" s="1"/>
  <c r="AA112" i="873"/>
  <c r="O105" i="873"/>
  <c r="AB105" i="873" s="1"/>
  <c r="AA131" i="873"/>
  <c r="O49" i="873"/>
  <c r="O83" i="873"/>
  <c r="AA66" i="873"/>
  <c r="O70" i="873"/>
  <c r="AB242" i="873" s="1"/>
  <c r="AA242" i="873"/>
  <c r="AA205" i="873"/>
  <c r="O143" i="873"/>
  <c r="AA247" i="873"/>
  <c r="O246" i="873"/>
  <c r="AB246" i="873" s="1"/>
  <c r="AA246" i="873"/>
  <c r="O136" i="873"/>
  <c r="AA35" i="873"/>
  <c r="O40" i="873"/>
  <c r="AB117" i="873" s="1"/>
  <c r="AA117" i="873"/>
  <c r="O144" i="873"/>
  <c r="AB262" i="873" s="1"/>
  <c r="AA262" i="873"/>
  <c r="O35" i="873"/>
  <c r="AB29" i="873" s="1"/>
  <c r="AA29" i="873"/>
  <c r="O218" i="873"/>
  <c r="AB138" i="873" s="1"/>
  <c r="AA180" i="873"/>
  <c r="O71" i="873"/>
  <c r="AB57" i="873" s="1"/>
  <c r="AA255" i="873"/>
  <c r="AA192" i="873"/>
  <c r="AA25" i="873"/>
  <c r="O100" i="873"/>
  <c r="AA153" i="873"/>
  <c r="O236" i="873"/>
  <c r="AB187" i="873" s="1"/>
  <c r="AA230" i="873"/>
  <c r="O185" i="873"/>
  <c r="AA50" i="873"/>
  <c r="O162" i="873"/>
  <c r="AB162" i="873" s="1"/>
  <c r="AA199" i="873"/>
  <c r="AA269" i="873"/>
  <c r="AA42" i="873"/>
  <c r="AA236" i="873"/>
  <c r="O26" i="873"/>
  <c r="AB257" i="873" s="1"/>
  <c r="AA47" i="873"/>
  <c r="O74" i="873"/>
  <c r="AB74" i="873" s="1"/>
  <c r="AA224" i="873"/>
  <c r="O211" i="873"/>
  <c r="AB129" i="873" s="1"/>
  <c r="AA136" i="873"/>
  <c r="O192" i="873"/>
  <c r="AB79" i="873" s="1"/>
  <c r="AA79" i="873"/>
  <c r="AA5" i="873"/>
  <c r="AA259" i="873"/>
  <c r="O225" i="873"/>
  <c r="AB75" i="873" s="1"/>
  <c r="AA75" i="873"/>
  <c r="O33" i="873"/>
  <c r="AB78" i="873" s="1"/>
  <c r="AA78" i="873"/>
  <c r="AA96" i="873"/>
  <c r="AA163" i="873"/>
  <c r="O245" i="873"/>
  <c r="AA270" i="873"/>
  <c r="O183" i="873"/>
  <c r="AA40" i="873"/>
  <c r="O265" i="873"/>
  <c r="AB11" i="873" s="1"/>
  <c r="AA95" i="873"/>
  <c r="O234" i="873"/>
  <c r="AA133" i="873"/>
  <c r="O214" i="873"/>
  <c r="AB25" i="873" s="1"/>
  <c r="AA240" i="873"/>
  <c r="O96" i="873"/>
  <c r="AB63" i="873" s="1"/>
  <c r="AA3" i="873"/>
  <c r="AA135" i="873"/>
  <c r="AA24" i="873"/>
  <c r="O167" i="873"/>
  <c r="AB244" i="873" s="1"/>
  <c r="O42" i="873"/>
  <c r="AA263" i="873"/>
  <c r="AA67" i="873"/>
  <c r="O164" i="873"/>
  <c r="AA141" i="873"/>
  <c r="O50" i="873"/>
  <c r="AB27" i="873" s="1"/>
  <c r="AA232" i="873"/>
  <c r="O226" i="873"/>
  <c r="AA85" i="873"/>
  <c r="AA171" i="873"/>
  <c r="AA155" i="873"/>
  <c r="AA238" i="873"/>
  <c r="AA74" i="873"/>
  <c r="AA21" i="873"/>
  <c r="AA260" i="873"/>
  <c r="AA48" i="873"/>
  <c r="AA257" i="873"/>
  <c r="AA13" i="873"/>
  <c r="AA219" i="873"/>
  <c r="AA202" i="873"/>
  <c r="AA33" i="873"/>
  <c r="AA149" i="873"/>
  <c r="AA239" i="873"/>
  <c r="AA124" i="873"/>
  <c r="AA169" i="873"/>
  <c r="AA80" i="873"/>
  <c r="AA63" i="873"/>
  <c r="AA70" i="873"/>
  <c r="AA223" i="873"/>
  <c r="AA134" i="873"/>
  <c r="AA82" i="873"/>
  <c r="AA222" i="873"/>
  <c r="AA190" i="873"/>
  <c r="AA17" i="873"/>
  <c r="AA231" i="873"/>
  <c r="AA19" i="873"/>
  <c r="AA244" i="873"/>
  <c r="AA249" i="873"/>
  <c r="AA226" i="873"/>
  <c r="AA68" i="873"/>
  <c r="AA227" i="873"/>
  <c r="AA81" i="873"/>
  <c r="AA186" i="873"/>
  <c r="AA128" i="873"/>
  <c r="AA264" i="873"/>
  <c r="AA217" i="873"/>
  <c r="AA27" i="873"/>
  <c r="AA53" i="873"/>
  <c r="AA31" i="873"/>
  <c r="AA167" i="873"/>
  <c r="AA147" i="873"/>
  <c r="AB266" i="873"/>
  <c r="AA266" i="873"/>
  <c r="AA72" i="873"/>
  <c r="AB176" i="873"/>
  <c r="AA176" i="873"/>
  <c r="AA120" i="873"/>
  <c r="AA119" i="873"/>
  <c r="AB235" i="873"/>
  <c r="AA235" i="873"/>
  <c r="AA22" i="873"/>
  <c r="AA76" i="873"/>
  <c r="AA144" i="873"/>
  <c r="AA245" i="873"/>
  <c r="AB166" i="873"/>
  <c r="AA166" i="873"/>
  <c r="AA201" i="873"/>
  <c r="AB130" i="873"/>
  <c r="AA130" i="873"/>
  <c r="AA52" i="873"/>
  <c r="AB165" i="873"/>
  <c r="AA165" i="873"/>
  <c r="AB110" i="873"/>
  <c r="AA110" i="873"/>
  <c r="AB102" i="873"/>
  <c r="AA102" i="873"/>
  <c r="AA9" i="873"/>
  <c r="AB8" i="873"/>
  <c r="AA8" i="873"/>
  <c r="AA225" i="873"/>
  <c r="AA206" i="873"/>
  <c r="AA94" i="873"/>
  <c r="AA179" i="873"/>
  <c r="AB54" i="873"/>
  <c r="AA54" i="873"/>
  <c r="AA83" i="873"/>
  <c r="AB23" i="873"/>
  <c r="AA23" i="873"/>
  <c r="AA162" i="873"/>
  <c r="AB207" i="873"/>
  <c r="AA207" i="873"/>
  <c r="AA71" i="873"/>
  <c r="AB253" i="873"/>
  <c r="AA253" i="873"/>
  <c r="AB197" i="873"/>
  <c r="AA197" i="873"/>
  <c r="AB237" i="873"/>
  <c r="AA237" i="873"/>
  <c r="AA60" i="873"/>
  <c r="AA251" i="873"/>
  <c r="AA265" i="873"/>
  <c r="AA218" i="873"/>
  <c r="AA194" i="873"/>
  <c r="AA150" i="873"/>
  <c r="AA101" i="873"/>
  <c r="AA187" i="873"/>
  <c r="AB209" i="873"/>
  <c r="AB34" i="873"/>
  <c r="AB107" i="873"/>
  <c r="AB228" i="873"/>
  <c r="AB157" i="873"/>
  <c r="AB69" i="873"/>
  <c r="AB137" i="873"/>
  <c r="AB98" i="873"/>
  <c r="AB124" i="873"/>
  <c r="AB51" i="873"/>
  <c r="AB17" i="873"/>
  <c r="AB80" i="873"/>
  <c r="AB15" i="873"/>
  <c r="AB126" i="873"/>
  <c r="AB198" i="873"/>
  <c r="AB168" i="873"/>
  <c r="AB44" i="873"/>
  <c r="AB19" i="873"/>
  <c r="AB97" i="873"/>
  <c r="AB28" i="873"/>
  <c r="AB146" i="873"/>
  <c r="AB134" i="873"/>
  <c r="AB39" i="873"/>
  <c r="AB89" i="873"/>
  <c r="AB59" i="873"/>
  <c r="AB13" i="873"/>
  <c r="AB45" i="873"/>
  <c r="AB212" i="873"/>
  <c r="AB173" i="873"/>
  <c r="AB88" i="873"/>
  <c r="AB2" i="873"/>
  <c r="AB10" i="873"/>
  <c r="AB184" i="873"/>
  <c r="AB92" i="873"/>
  <c r="AB249" i="873"/>
  <c r="AB155" i="873"/>
  <c r="AB61" i="873"/>
  <c r="AB144" i="873" l="1"/>
  <c r="AB73" i="873"/>
  <c r="AB160" i="873"/>
  <c r="AB247" i="873"/>
  <c r="AB149" i="873"/>
  <c r="AB18" i="873"/>
  <c r="AB260" i="873"/>
  <c r="AB192" i="873"/>
  <c r="AB225" i="873"/>
  <c r="AB171" i="873"/>
  <c r="AB208" i="873"/>
  <c r="AB33" i="873"/>
  <c r="AB265" i="873"/>
  <c r="AB267" i="873"/>
  <c r="AB48" i="873"/>
  <c r="AB70" i="873"/>
  <c r="AB90" i="873"/>
  <c r="AB230" i="873"/>
  <c r="AB234" i="873"/>
  <c r="AB40" i="873"/>
  <c r="AB183" i="873"/>
  <c r="AB118" i="873"/>
  <c r="AB6" i="873"/>
  <c r="AB86" i="873"/>
  <c r="AB58" i="873"/>
  <c r="AB65" i="873"/>
  <c r="AB221" i="873"/>
  <c r="AB229" i="873"/>
  <c r="AB250" i="873"/>
  <c r="AB50" i="873"/>
  <c r="AB185" i="873"/>
  <c r="AB85" i="873"/>
  <c r="AB214" i="873"/>
  <c r="AB219" i="873"/>
  <c r="AB153" i="873"/>
  <c r="AB100" i="873"/>
  <c r="AB7" i="873"/>
  <c r="AB49" i="873"/>
  <c r="AB83" i="873"/>
  <c r="AB264" i="873"/>
  <c r="AB215" i="873"/>
  <c r="AB163" i="873"/>
  <c r="AB224" i="873"/>
  <c r="AB131" i="873"/>
  <c r="AB60" i="873"/>
  <c r="AB200" i="873"/>
  <c r="AB120" i="873"/>
  <c r="AB218" i="873"/>
  <c r="AB206" i="873"/>
  <c r="AB81" i="873"/>
  <c r="AB22" i="873"/>
  <c r="AB263" i="873"/>
  <c r="AB16" i="873"/>
  <c r="AB42" i="873"/>
  <c r="AB199" i="873"/>
  <c r="AB14" i="873"/>
  <c r="AB154" i="873"/>
  <c r="AB245" i="873"/>
  <c r="AB104" i="873"/>
  <c r="AB204" i="873"/>
  <c r="AB213" i="873"/>
  <c r="AB271" i="873"/>
  <c r="AB164" i="873"/>
  <c r="AB223" i="873"/>
  <c r="AB108" i="873"/>
  <c r="AB231" i="873"/>
  <c r="AB91" i="873"/>
  <c r="AB106" i="873"/>
  <c r="AB258" i="873"/>
  <c r="AB12" i="873"/>
  <c r="AB167" i="873"/>
  <c r="AB21" i="873"/>
  <c r="AB194" i="873"/>
  <c r="AB251" i="873"/>
  <c r="AB186" i="873"/>
  <c r="AB53" i="873"/>
  <c r="AB240" i="873"/>
  <c r="AB270" i="873"/>
  <c r="AB227" i="873"/>
  <c r="AB101" i="873"/>
  <c r="AB179" i="873"/>
  <c r="AB95" i="873"/>
  <c r="AB222" i="873"/>
  <c r="AB125" i="873"/>
  <c r="AB151" i="873"/>
  <c r="AB94" i="873"/>
  <c r="AB261" i="873"/>
  <c r="AB150" i="873"/>
  <c r="AB71" i="873"/>
  <c r="AB236" i="873"/>
  <c r="AB67" i="873"/>
  <c r="AB35" i="873"/>
  <c r="AB4" i="873"/>
  <c r="AB148" i="873"/>
  <c r="AB196" i="873"/>
  <c r="AB84" i="873"/>
  <c r="AB156" i="873"/>
  <c r="AB211" i="873"/>
  <c r="AB220" i="873"/>
  <c r="AB141" i="873"/>
  <c r="AB43" i="873"/>
  <c r="AB128" i="873"/>
  <c r="AB201" i="873"/>
  <c r="AB76" i="873"/>
  <c r="AB9" i="873"/>
  <c r="AB269" i="873"/>
  <c r="AB169" i="873"/>
  <c r="AB226" i="873"/>
  <c r="AB52" i="873"/>
  <c r="AB217" i="873"/>
  <c r="AB72" i="873"/>
  <c r="AB5" i="873"/>
  <c r="AB190" i="873"/>
  <c r="AB41" i="873"/>
  <c r="AB158" i="873"/>
  <c r="AB113" i="873"/>
  <c r="AB239" i="873"/>
  <c r="AB119" i="873"/>
  <c r="AB147" i="873"/>
  <c r="AB31" i="873"/>
  <c r="AB202" i="873"/>
  <c r="AB55" i="873"/>
  <c r="AB24" i="873"/>
  <c r="AB38" i="873"/>
  <c r="AB3" i="873"/>
  <c r="AB96" i="873"/>
  <c r="AB255" i="873"/>
  <c r="AB175" i="873"/>
  <c r="AB205" i="873"/>
  <c r="AB66" i="873"/>
  <c r="AB256" i="873"/>
  <c r="AB26" i="873"/>
  <c r="AB254" i="873"/>
  <c r="AB132" i="873"/>
  <c r="AB77" i="873"/>
  <c r="AB142" i="873"/>
  <c r="AB232" i="873"/>
  <c r="AB145" i="873"/>
  <c r="AB135" i="873"/>
  <c r="AB182" i="873"/>
  <c r="AB133" i="873"/>
  <c r="AB115" i="873"/>
  <c r="AB259" i="873"/>
  <c r="AB136" i="873"/>
  <c r="AB152" i="873"/>
  <c r="AB47" i="873"/>
  <c r="AB121" i="873"/>
  <c r="AB180" i="873"/>
  <c r="AB248" i="873"/>
  <c r="AB112" i="873"/>
  <c r="AB252" i="873"/>
  <c r="AB143" i="873"/>
  <c r="AB177" i="873"/>
  <c r="AB189" i="873"/>
  <c r="AB56" i="873"/>
  <c r="AB122" i="873"/>
  <c r="M910" i="628"/>
  <c r="L910" i="628"/>
  <c r="G910" i="628"/>
  <c r="M807" i="628" l="1"/>
  <c r="L807" i="628"/>
  <c r="G807" i="628"/>
  <c r="M957" i="628" l="1"/>
  <c r="L957" i="628"/>
  <c r="G957" i="628"/>
  <c r="G1029" i="628" l="1"/>
  <c r="M1029" i="628"/>
  <c r="L1029" i="628"/>
  <c r="M640" i="628" l="1"/>
  <c r="L640" i="628"/>
  <c r="G640" i="628"/>
  <c r="M26" i="628"/>
  <c r="L26" i="628"/>
  <c r="G26" i="628"/>
  <c r="G477" i="628" l="1"/>
  <c r="M477" i="628" l="1"/>
  <c r="L477" i="628"/>
  <c r="M969" i="628" l="1"/>
  <c r="L969" i="628"/>
  <c r="G948" i="628"/>
  <c r="G969" i="628"/>
  <c r="M385" i="628"/>
  <c r="L385" i="628"/>
  <c r="G385" i="628"/>
  <c r="M46" i="628"/>
  <c r="L46" i="628"/>
  <c r="G46" i="628"/>
  <c r="L253" i="628" l="1"/>
  <c r="M253" i="628"/>
  <c r="G516" i="628"/>
  <c r="G253" i="628"/>
  <c r="L24" i="628"/>
  <c r="M24" i="628"/>
  <c r="G1016" i="628" l="1"/>
  <c r="H826" i="628" l="1"/>
  <c r="H812" i="628"/>
  <c r="H399" i="628"/>
  <c r="H32" i="628"/>
  <c r="H31" i="628"/>
  <c r="H42" i="628"/>
  <c r="H16" i="628"/>
  <c r="H4" i="628"/>
  <c r="H910" i="628"/>
  <c r="H807" i="628"/>
  <c r="H957" i="628"/>
  <c r="H1029" i="628"/>
  <c r="H640" i="628"/>
  <c r="H26" i="628"/>
  <c r="H477" i="628"/>
  <c r="H385" i="628"/>
  <c r="H46" i="628"/>
  <c r="H969" i="628"/>
  <c r="H253" i="628"/>
  <c r="H24" i="628"/>
  <c r="G418" i="628" l="1"/>
  <c r="L418" i="628"/>
  <c r="M418" i="628"/>
  <c r="G22" i="628" l="1"/>
  <c r="G58" i="628"/>
  <c r="G83" i="628"/>
  <c r="G93" i="628"/>
  <c r="G100" i="628"/>
  <c r="G102" i="628"/>
  <c r="G282" i="628"/>
  <c r="G284" i="628"/>
  <c r="G298" i="628"/>
  <c r="G320" i="628"/>
  <c r="G627" i="628"/>
  <c r="G636" i="628"/>
  <c r="G715" i="628"/>
  <c r="G717" i="628"/>
  <c r="G959" i="628"/>
  <c r="G998" i="628"/>
  <c r="G1000" i="628"/>
  <c r="G1024" i="628"/>
  <c r="M22" i="628"/>
  <c r="M58" i="628"/>
  <c r="M83" i="628"/>
  <c r="M93" i="628"/>
  <c r="M100" i="628"/>
  <c r="M102" i="628"/>
  <c r="M282" i="628"/>
  <c r="M284" i="628"/>
  <c r="M298" i="628"/>
  <c r="M320" i="628"/>
  <c r="M627" i="628"/>
  <c r="M636" i="628"/>
  <c r="M715" i="628"/>
  <c r="M717" i="628"/>
  <c r="M959" i="628"/>
  <c r="M998" i="628"/>
  <c r="M1000" i="628"/>
  <c r="M1024" i="628"/>
  <c r="L22" i="628"/>
  <c r="L1024" i="628"/>
  <c r="L1000" i="628"/>
  <c r="L998" i="628"/>
  <c r="L959" i="628"/>
  <c r="L717" i="628"/>
  <c r="L715" i="628"/>
  <c r="L636" i="628"/>
  <c r="L627" i="628"/>
  <c r="L320" i="628"/>
  <c r="L298" i="628"/>
  <c r="L284" i="628"/>
  <c r="L282" i="628"/>
  <c r="L102" i="628"/>
  <c r="L100" i="628"/>
  <c r="L93" i="628"/>
  <c r="L83" i="628"/>
  <c r="L58" i="628"/>
  <c r="M497" i="628" l="1"/>
  <c r="L497" i="628"/>
  <c r="G497" i="628"/>
  <c r="M922" i="628" l="1"/>
  <c r="L922" i="628"/>
  <c r="G922" i="628"/>
  <c r="G450" i="628" l="1"/>
  <c r="M680" i="628" l="1"/>
  <c r="L680" i="628"/>
  <c r="G680" i="628"/>
  <c r="G670" i="628"/>
  <c r="M450" i="628"/>
  <c r="L450" i="628"/>
  <c r="M416" i="628"/>
  <c r="L416" i="628"/>
  <c r="G416" i="628"/>
  <c r="M337" i="628"/>
  <c r="L337" i="628"/>
  <c r="G337" i="628"/>
  <c r="M312" i="628"/>
  <c r="L312" i="628"/>
  <c r="G312" i="628"/>
  <c r="M158" i="628" l="1"/>
  <c r="L158" i="628"/>
  <c r="G158" i="628"/>
  <c r="G808" i="628" l="1"/>
  <c r="G623" i="628"/>
  <c r="M808" i="628" l="1"/>
  <c r="L808" i="628"/>
  <c r="M623" i="628"/>
  <c r="L623" i="628"/>
  <c r="G1018" i="628" l="1"/>
  <c r="G818" i="628"/>
  <c r="G98" i="628"/>
  <c r="M1018" i="628"/>
  <c r="L1018" i="628"/>
  <c r="M818" i="628"/>
  <c r="L818" i="628"/>
  <c r="M98" i="628"/>
  <c r="L98" i="628"/>
  <c r="M822" i="628" l="1"/>
  <c r="L822" i="628"/>
  <c r="G822" i="628" l="1"/>
  <c r="M892" i="628"/>
  <c r="L892" i="628"/>
  <c r="G892" i="628"/>
  <c r="M160" i="628"/>
  <c r="L160" i="628"/>
  <c r="G160" i="628"/>
  <c r="M62" i="628"/>
  <c r="M65" i="628"/>
  <c r="L62" i="628"/>
  <c r="L65" i="628"/>
  <c r="G62" i="628"/>
  <c r="G65" i="628"/>
  <c r="G903" i="628" l="1"/>
  <c r="L903" i="628" l="1"/>
  <c r="M903" i="628"/>
  <c r="L799" i="628" l="1"/>
  <c r="M799" i="628"/>
  <c r="G799" i="628"/>
  <c r="M866" i="628" l="1"/>
  <c r="L866" i="628"/>
  <c r="G866" i="628"/>
  <c r="M564" i="628"/>
  <c r="L564" i="628"/>
  <c r="G564" i="628"/>
  <c r="M515" i="628"/>
  <c r="L515" i="628"/>
  <c r="G515" i="628"/>
  <c r="M17" i="628" l="1"/>
  <c r="L17" i="628"/>
  <c r="G17" i="628"/>
  <c r="M828" i="628" l="1"/>
  <c r="L828" i="628"/>
  <c r="G828" i="628"/>
  <c r="M850" i="628"/>
  <c r="L850" i="628"/>
  <c r="G850" i="628"/>
  <c r="M348" i="628"/>
  <c r="L348" i="628"/>
  <c r="G348" i="628"/>
  <c r="M615" i="628" l="1"/>
  <c r="L615" i="628"/>
  <c r="L804" i="628"/>
  <c r="M804" i="628"/>
  <c r="G804" i="628"/>
  <c r="G615" i="628"/>
  <c r="M948" i="628" l="1"/>
  <c r="L948" i="628"/>
  <c r="M950" i="628"/>
  <c r="L950" i="628"/>
  <c r="G950" i="628"/>
  <c r="M787" i="628"/>
  <c r="L787" i="628"/>
  <c r="G787" i="628"/>
  <c r="M468" i="628"/>
  <c r="L468" i="628"/>
  <c r="G468" i="628"/>
  <c r="M684" i="628" l="1"/>
  <c r="L684" i="628"/>
  <c r="G684" i="628"/>
  <c r="M674" i="628"/>
  <c r="L674" i="628"/>
  <c r="G674" i="628"/>
  <c r="M37" i="628"/>
  <c r="L37" i="628"/>
  <c r="G37" i="628"/>
  <c r="M28" i="628"/>
  <c r="L28" i="628"/>
  <c r="G28" i="628"/>
  <c r="G513" i="628" l="1"/>
  <c r="M513" i="628" l="1"/>
  <c r="L513" i="628"/>
  <c r="L783" i="628" l="1"/>
  <c r="M783" i="628"/>
  <c r="M215" i="628"/>
  <c r="L215" i="628"/>
  <c r="L901" i="628"/>
  <c r="M901" i="628"/>
  <c r="M672" i="628"/>
  <c r="L672" i="628"/>
  <c r="G215" i="628" l="1"/>
  <c r="G672" i="628"/>
  <c r="G783" i="628"/>
  <c r="G901" i="628"/>
  <c r="G793" i="628" l="1"/>
  <c r="G1012" i="628"/>
  <c r="G671" i="628"/>
  <c r="G386" i="628"/>
  <c r="G35" i="628"/>
  <c r="M35" i="628" l="1"/>
  <c r="L35" i="628"/>
  <c r="M671" i="628"/>
  <c r="L671" i="628"/>
  <c r="M793" i="628"/>
  <c r="L793" i="628"/>
  <c r="M1012" i="628"/>
  <c r="L1012" i="628"/>
  <c r="M386" i="628"/>
  <c r="L386" i="628"/>
  <c r="M105" i="628" l="1"/>
  <c r="L105" i="628"/>
  <c r="G105" i="628"/>
  <c r="M53" i="628"/>
  <c r="L53" i="628"/>
  <c r="G53" i="628"/>
  <c r="G279" i="628" l="1"/>
  <c r="M231" i="628"/>
  <c r="L231" i="628"/>
  <c r="G231" i="628"/>
  <c r="G446" i="628" l="1"/>
  <c r="G865" i="628" l="1"/>
  <c r="M865" i="628" l="1"/>
  <c r="L865" i="628"/>
  <c r="M446" i="628"/>
  <c r="L446" i="628"/>
  <c r="G414" i="628" l="1"/>
  <c r="G341" i="628" l="1"/>
  <c r="L414" i="628" l="1"/>
  <c r="M414" i="628"/>
  <c r="M341" i="628"/>
  <c r="L341" i="628"/>
  <c r="G342" i="628" l="1"/>
  <c r="G814" i="628"/>
  <c r="G222" i="628"/>
  <c r="M814" i="628" l="1"/>
  <c r="L814" i="628"/>
  <c r="M342" i="628"/>
  <c r="L342" i="628"/>
  <c r="M222" i="628"/>
  <c r="L222" i="628"/>
  <c r="G506" i="628" l="1"/>
  <c r="M506" i="628"/>
  <c r="L506" i="628"/>
  <c r="G840" i="628"/>
  <c r="M840" i="628"/>
  <c r="L840" i="628"/>
  <c r="M885" i="628"/>
  <c r="L885" i="628"/>
  <c r="G885" i="628"/>
  <c r="M66" i="628"/>
  <c r="N66" i="628" s="1"/>
  <c r="L66" i="628"/>
  <c r="G66" i="628"/>
  <c r="M51" i="628"/>
  <c r="L51" i="628"/>
  <c r="G51" i="628"/>
  <c r="G73" i="628"/>
  <c r="M73" i="628"/>
  <c r="L73" i="628"/>
  <c r="M264" i="628"/>
  <c r="L264" i="628"/>
  <c r="G264" i="628"/>
  <c r="G462" i="628"/>
  <c r="M462" i="628"/>
  <c r="L462" i="628"/>
  <c r="M453" i="628"/>
  <c r="L453" i="628"/>
  <c r="G453" i="628"/>
  <c r="G949" i="628" l="1"/>
  <c r="G1027" i="628"/>
  <c r="G951" i="628"/>
  <c r="G811" i="628"/>
  <c r="G80" i="628"/>
  <c r="M80" i="628" l="1"/>
  <c r="L80" i="628"/>
  <c r="M811" i="628"/>
  <c r="L811" i="628"/>
  <c r="M951" i="628" l="1"/>
  <c r="L951" i="628"/>
  <c r="G1037" i="628" l="1"/>
  <c r="G1014" i="628" l="1"/>
  <c r="G982" i="628"/>
  <c r="G471" i="628"/>
  <c r="G59" i="628"/>
  <c r="M1014" i="628" l="1"/>
  <c r="L1014" i="628"/>
  <c r="M471" i="628"/>
  <c r="L471" i="628"/>
  <c r="M59" i="628"/>
  <c r="L59" i="628"/>
  <c r="G473" i="628" l="1"/>
  <c r="L473" i="628"/>
  <c r="M473" i="628"/>
  <c r="M982" i="628" l="1"/>
  <c r="L982" i="628"/>
  <c r="M476" i="628" l="1"/>
  <c r="L476" i="628"/>
  <c r="G1056" i="628" l="1"/>
  <c r="G968" i="628"/>
  <c r="G1032" i="628"/>
  <c r="G789" i="628"/>
  <c r="G413" i="628"/>
  <c r="G474" i="628"/>
  <c r="G103" i="628"/>
  <c r="G97" i="628"/>
  <c r="M103" i="628" l="1"/>
  <c r="L103" i="628"/>
  <c r="M97" i="628"/>
  <c r="L97" i="628"/>
  <c r="M413" i="628"/>
  <c r="L413" i="628"/>
  <c r="M474" i="628"/>
  <c r="L474" i="628"/>
  <c r="M789" i="628"/>
  <c r="L789" i="628"/>
  <c r="M968" i="628"/>
  <c r="L968" i="628"/>
  <c r="M1032" i="628"/>
  <c r="L1032" i="628"/>
  <c r="M1056" i="628"/>
  <c r="N1056" i="628" s="1"/>
  <c r="L1056" i="628"/>
  <c r="G983" i="628" l="1"/>
  <c r="G552" i="628"/>
  <c r="G631" i="628"/>
  <c r="G424" i="628"/>
  <c r="G87" i="628"/>
  <c r="M983" i="628" l="1"/>
  <c r="L983" i="628"/>
  <c r="M631" i="628"/>
  <c r="L631" i="628"/>
  <c r="M552" i="628"/>
  <c r="L552" i="628"/>
  <c r="M424" i="628"/>
  <c r="L424" i="628"/>
  <c r="M87" i="628"/>
  <c r="L87" i="628"/>
  <c r="H418" i="628" l="1"/>
  <c r="H83" i="628"/>
  <c r="H1024" i="628"/>
  <c r="H102" i="628"/>
  <c r="H320" i="628"/>
  <c r="H284" i="628"/>
  <c r="H998" i="628"/>
  <c r="H717" i="628"/>
  <c r="H627" i="628"/>
  <c r="H100" i="628"/>
  <c r="H58" i="628"/>
  <c r="H1000" i="628"/>
  <c r="H959" i="628"/>
  <c r="H298" i="628"/>
  <c r="H282" i="628"/>
  <c r="H93" i="628"/>
  <c r="H636" i="628"/>
  <c r="H22" i="628"/>
  <c r="H715" i="628"/>
  <c r="H497" i="628"/>
  <c r="H922" i="628"/>
  <c r="H680" i="628"/>
  <c r="H416" i="628"/>
  <c r="H337" i="628"/>
  <c r="H312" i="628"/>
  <c r="H450" i="628"/>
  <c r="H158" i="628"/>
  <c r="H808" i="628"/>
  <c r="H623" i="628"/>
  <c r="H98" i="628"/>
  <c r="H818" i="628"/>
  <c r="H1018" i="628"/>
  <c r="H53" i="628"/>
  <c r="H62" i="628"/>
  <c r="H892" i="628"/>
  <c r="H160" i="628"/>
  <c r="H903" i="628"/>
  <c r="H799" i="628"/>
  <c r="H866" i="628"/>
  <c r="H564" i="628"/>
  <c r="H515" i="628"/>
  <c r="H17" i="628"/>
  <c r="H828" i="628"/>
  <c r="H348" i="628"/>
  <c r="H850" i="628"/>
  <c r="H804" i="628"/>
  <c r="H615" i="628"/>
  <c r="H948" i="628"/>
  <c r="H950" i="628"/>
  <c r="H787" i="628"/>
  <c r="H468" i="628"/>
  <c r="H37" i="628"/>
  <c r="H28" i="628"/>
  <c r="H684" i="628"/>
  <c r="H674" i="628"/>
  <c r="H513" i="628"/>
  <c r="H822" i="628"/>
  <c r="H65" i="628"/>
  <c r="H215" i="628"/>
  <c r="H783" i="628"/>
  <c r="H672" i="628"/>
  <c r="H901" i="628"/>
  <c r="H105" i="628"/>
  <c r="H793" i="628"/>
  <c r="H671" i="628"/>
  <c r="H35" i="628"/>
  <c r="H386" i="628"/>
  <c r="H1012" i="628"/>
  <c r="H865" i="628"/>
  <c r="H231" i="628"/>
  <c r="H446" i="628"/>
  <c r="H414" i="628"/>
  <c r="H341" i="628"/>
  <c r="H814" i="628"/>
  <c r="H342" i="628"/>
  <c r="H222" i="628"/>
  <c r="H885" i="628"/>
  <c r="H51" i="628"/>
  <c r="H462" i="628"/>
  <c r="H506" i="628"/>
  <c r="H264" i="628"/>
  <c r="H66" i="628"/>
  <c r="H840" i="628"/>
  <c r="H73" i="628"/>
  <c r="H453" i="628"/>
  <c r="H80" i="628"/>
  <c r="H811" i="628"/>
  <c r="H951" i="628"/>
  <c r="H59" i="628"/>
  <c r="H471" i="628"/>
  <c r="H473" i="628"/>
  <c r="H982" i="628"/>
  <c r="H1014" i="628"/>
  <c r="H476" i="628"/>
  <c r="H474" i="628"/>
  <c r="H413" i="628"/>
  <c r="H97" i="628"/>
  <c r="H103" i="628"/>
  <c r="H789" i="628"/>
  <c r="H1032" i="628"/>
  <c r="H968" i="628"/>
  <c r="H1056" i="628"/>
  <c r="H983" i="628"/>
  <c r="H631" i="628"/>
  <c r="H552" i="628"/>
  <c r="H424" i="628"/>
  <c r="H87" i="628"/>
  <c r="L946" i="628" l="1"/>
  <c r="M946" i="628"/>
  <c r="L157" i="628"/>
  <c r="M157" i="628"/>
  <c r="L479" i="628"/>
  <c r="M479" i="628"/>
  <c r="L404" i="628"/>
  <c r="M404" i="628"/>
  <c r="M29" i="628"/>
  <c r="L29" i="628"/>
  <c r="L996" i="628"/>
  <c r="M996" i="628"/>
  <c r="G479" i="628"/>
  <c r="G996" i="628"/>
  <c r="G946" i="628"/>
  <c r="G404" i="628"/>
  <c r="G157" i="628"/>
  <c r="G29" i="628"/>
  <c r="M411" i="628" l="1"/>
  <c r="L411" i="628"/>
  <c r="G251" i="628" l="1"/>
  <c r="G888" i="628" l="1"/>
  <c r="G171" i="628" l="1"/>
  <c r="G1023" i="628"/>
  <c r="G905" i="628"/>
  <c r="G522" i="628"/>
  <c r="G411" i="628"/>
  <c r="G452" i="628"/>
  <c r="G305" i="628"/>
  <c r="G273" i="628"/>
  <c r="M905" i="628" l="1"/>
  <c r="L905" i="628"/>
  <c r="M522" i="628"/>
  <c r="L522" i="628"/>
  <c r="M452" i="628"/>
  <c r="L452" i="628"/>
  <c r="M305" i="628"/>
  <c r="L305" i="628"/>
  <c r="M273" i="628"/>
  <c r="L273" i="628"/>
  <c r="M888" i="628"/>
  <c r="L888" i="628"/>
  <c r="M1023" i="628"/>
  <c r="L1023" i="628"/>
  <c r="M795" i="628" l="1"/>
  <c r="L795" i="628"/>
  <c r="M815" i="628"/>
  <c r="L815" i="628"/>
  <c r="G784" i="628" l="1"/>
  <c r="G815" i="628"/>
  <c r="G795" i="628"/>
  <c r="G844" i="628" l="1"/>
  <c r="G884" i="628"/>
  <c r="G895" i="628"/>
  <c r="M884" i="628" l="1"/>
  <c r="L884" i="628"/>
  <c r="M844" i="628"/>
  <c r="L844" i="628"/>
  <c r="M784" i="628"/>
  <c r="L784" i="628"/>
  <c r="M163" i="628" l="1"/>
  <c r="G927" i="628" l="1"/>
  <c r="G1051" i="628"/>
  <c r="G992" i="628"/>
  <c r="G810" i="628"/>
  <c r="G1021" i="628"/>
  <c r="G909" i="628"/>
  <c r="G847" i="628"/>
  <c r="G908" i="628"/>
  <c r="G838" i="628"/>
  <c r="G613" i="628"/>
  <c r="G576" i="628"/>
  <c r="G575" i="628"/>
  <c r="G642" i="628"/>
  <c r="G551" i="628"/>
  <c r="G607" i="628"/>
  <c r="G588" i="628"/>
  <c r="G584" i="628"/>
  <c r="G573" i="628"/>
  <c r="G559" i="628"/>
  <c r="G556" i="628"/>
  <c r="G496" i="628"/>
  <c r="G392" i="628"/>
  <c r="G68" i="628"/>
  <c r="G77" i="628"/>
  <c r="G163" i="628"/>
  <c r="M1051" i="628"/>
  <c r="L1051" i="628"/>
  <c r="M992" i="628"/>
  <c r="L992" i="628"/>
  <c r="M927" i="628"/>
  <c r="L927" i="628"/>
  <c r="L909" i="628"/>
  <c r="M909" i="628"/>
  <c r="M908" i="628"/>
  <c r="L908" i="628"/>
  <c r="M847" i="628"/>
  <c r="L847" i="628"/>
  <c r="M838" i="628"/>
  <c r="L838" i="628"/>
  <c r="L848" i="628"/>
  <c r="M810" i="628"/>
  <c r="L810" i="628"/>
  <c r="M642" i="628" l="1"/>
  <c r="L642" i="628"/>
  <c r="M613" i="628"/>
  <c r="L613" i="628"/>
  <c r="M607" i="628"/>
  <c r="L607" i="628"/>
  <c r="M588" i="628"/>
  <c r="L588" i="628"/>
  <c r="M584" i="628"/>
  <c r="L584" i="628"/>
  <c r="M573" i="628"/>
  <c r="L573" i="628"/>
  <c r="M559" i="628"/>
  <c r="L559" i="628"/>
  <c r="M556" i="628"/>
  <c r="L556" i="628"/>
  <c r="M496" i="628"/>
  <c r="L496" i="628"/>
  <c r="M392" i="628"/>
  <c r="L392" i="628"/>
  <c r="G260" i="628"/>
  <c r="G257" i="628"/>
  <c r="M260" i="628"/>
  <c r="M257" i="628"/>
  <c r="L260" i="628"/>
  <c r="L257" i="628"/>
  <c r="G224" i="628"/>
  <c r="G225" i="628"/>
  <c r="M225" i="628"/>
  <c r="L225" i="628"/>
  <c r="L163" i="628"/>
  <c r="L77" i="628"/>
  <c r="M77" i="628"/>
  <c r="L68" i="628"/>
  <c r="M68" i="628"/>
  <c r="H29" i="628" l="1"/>
  <c r="H157" i="628"/>
  <c r="H404" i="628"/>
  <c r="H479" i="628"/>
  <c r="H946" i="628"/>
  <c r="H996" i="628"/>
  <c r="H1047" i="628"/>
  <c r="H522" i="628"/>
  <c r="H1023" i="628"/>
  <c r="H905" i="628"/>
  <c r="H888" i="628"/>
  <c r="H452" i="628"/>
  <c r="H273" i="628"/>
  <c r="H411" i="628"/>
  <c r="H305" i="628"/>
  <c r="H514" i="628"/>
  <c r="H815" i="628"/>
  <c r="H75" i="628"/>
  <c r="H795" i="628"/>
  <c r="H784" i="628"/>
  <c r="H844" i="628"/>
  <c r="H884" i="628"/>
  <c r="H641" i="628"/>
  <c r="H319" i="628"/>
  <c r="H91" i="628"/>
  <c r="H461" i="628"/>
  <c r="H613" i="628"/>
  <c r="H77" i="628"/>
  <c r="H257" i="628"/>
  <c r="H573" i="628"/>
  <c r="H909" i="628"/>
  <c r="H810" i="628"/>
  <c r="H838" i="628"/>
  <c r="H927" i="628"/>
  <c r="H992" i="628"/>
  <c r="H1051" i="628"/>
  <c r="H908" i="628"/>
  <c r="H847" i="628"/>
  <c r="H68" i="628"/>
  <c r="H163" i="628"/>
  <c r="H260" i="628"/>
  <c r="H559" i="628"/>
  <c r="H607" i="628"/>
  <c r="H392" i="628"/>
  <c r="H556" i="628"/>
  <c r="H588" i="628"/>
  <c r="H225" i="628"/>
  <c r="H496" i="628"/>
  <c r="H584" i="628"/>
  <c r="H642" i="628"/>
  <c r="M574" i="628" l="1"/>
  <c r="L574" i="628"/>
  <c r="M994" i="628"/>
  <c r="M997" i="628"/>
  <c r="L994" i="628" l="1"/>
  <c r="L997" i="628"/>
  <c r="H989" i="628"/>
  <c r="H994" i="628"/>
  <c r="H997" i="628"/>
  <c r="G989" i="628"/>
  <c r="G994" i="628"/>
  <c r="G997" i="628"/>
  <c r="G620" i="628"/>
  <c r="G987" i="628"/>
  <c r="M899" i="628"/>
  <c r="M918" i="628"/>
  <c r="M904" i="628"/>
  <c r="L899" i="628"/>
  <c r="L918" i="628"/>
  <c r="L904" i="628"/>
  <c r="H899" i="628"/>
  <c r="H918" i="628"/>
  <c r="H904" i="628"/>
  <c r="G899" i="628"/>
  <c r="G918" i="628"/>
  <c r="G904" i="628"/>
  <c r="G610" i="628"/>
  <c r="M1043" i="628"/>
  <c r="L1043" i="628"/>
  <c r="H1043" i="628"/>
  <c r="G1043" i="628"/>
  <c r="M1005" i="628"/>
  <c r="L1005" i="628"/>
  <c r="H1005" i="628"/>
  <c r="G1005" i="628"/>
  <c r="G955" i="628"/>
  <c r="M958" i="628"/>
  <c r="L958" i="628"/>
  <c r="H958" i="628"/>
  <c r="G958" i="628"/>
  <c r="M965" i="628"/>
  <c r="L965" i="628"/>
  <c r="H965" i="628"/>
  <c r="G965" i="628"/>
  <c r="M1026" i="628"/>
  <c r="L1026" i="628"/>
  <c r="H1035" i="628"/>
  <c r="H1026" i="628"/>
  <c r="G1035" i="628"/>
  <c r="G1026" i="628"/>
  <c r="M790" i="628"/>
  <c r="L790" i="628"/>
  <c r="H790" i="628"/>
  <c r="G790" i="628"/>
  <c r="M791" i="628"/>
  <c r="L791" i="628"/>
  <c r="M677" i="628"/>
  <c r="L677" i="628"/>
  <c r="M678" i="628"/>
  <c r="L678" i="628"/>
  <c r="H791" i="628"/>
  <c r="G791" i="628"/>
  <c r="H677" i="628"/>
  <c r="H678" i="628"/>
  <c r="G677" i="628"/>
  <c r="G678" i="628"/>
  <c r="M619" i="628"/>
  <c r="L619" i="628"/>
  <c r="M629" i="628"/>
  <c r="L629" i="628"/>
  <c r="M616" i="628"/>
  <c r="L616" i="628"/>
  <c r="M612" i="628"/>
  <c r="L612" i="628"/>
  <c r="M624" i="628"/>
  <c r="L624" i="628"/>
  <c r="H619" i="628" l="1"/>
  <c r="H629" i="628"/>
  <c r="H616" i="628"/>
  <c r="H612" i="628"/>
  <c r="H624" i="628"/>
  <c r="G619" i="628"/>
  <c r="G629" i="628"/>
  <c r="G616" i="628"/>
  <c r="G612" i="628"/>
  <c r="G624" i="628"/>
  <c r="M606" i="628"/>
  <c r="L606" i="628"/>
  <c r="H606" i="628"/>
  <c r="G606" i="628"/>
  <c r="M609" i="628"/>
  <c r="L609" i="628"/>
  <c r="H609" i="628"/>
  <c r="G609" i="628"/>
  <c r="M570" i="628"/>
  <c r="M568" i="628"/>
  <c r="M566" i="628"/>
  <c r="L570" i="628"/>
  <c r="L568" i="628"/>
  <c r="L566" i="628"/>
  <c r="H570" i="628"/>
  <c r="H568" i="628"/>
  <c r="H566" i="628"/>
  <c r="G570" i="628"/>
  <c r="G568" i="628"/>
  <c r="G566" i="628"/>
  <c r="H574" i="628"/>
  <c r="G574" i="628"/>
  <c r="G455" i="628"/>
  <c r="M504" i="628"/>
  <c r="M502" i="628"/>
  <c r="L504" i="628"/>
  <c r="L502" i="628"/>
  <c r="H504" i="628"/>
  <c r="H502" i="628"/>
  <c r="G504" i="628"/>
  <c r="G502" i="628"/>
  <c r="M519" i="628"/>
  <c r="L519" i="628"/>
  <c r="H519" i="628"/>
  <c r="G519" i="628"/>
  <c r="M503" i="628"/>
  <c r="L503" i="628"/>
  <c r="H503" i="628"/>
  <c r="G503" i="628"/>
  <c r="L402" i="628"/>
  <c r="M402" i="628"/>
  <c r="M410" i="628"/>
  <c r="L410" i="628"/>
  <c r="H402" i="628"/>
  <c r="H410" i="628"/>
  <c r="G402" i="628"/>
  <c r="G410" i="628"/>
  <c r="M467" i="628"/>
  <c r="L467" i="628"/>
  <c r="H467" i="628"/>
  <c r="G467" i="628"/>
  <c r="G460" i="628"/>
  <c r="H460" i="628"/>
  <c r="L460" i="628"/>
  <c r="M460" i="628"/>
  <c r="M457" i="628"/>
  <c r="L457" i="628"/>
  <c r="H457" i="628"/>
  <c r="G457" i="628"/>
  <c r="M396" i="628"/>
  <c r="L396" i="628"/>
  <c r="H396" i="628"/>
  <c r="G396" i="628"/>
  <c r="M345" i="628"/>
  <c r="L345" i="628"/>
  <c r="H345" i="628"/>
  <c r="G345" i="628"/>
  <c r="M322" i="628"/>
  <c r="L322" i="628"/>
  <c r="H322" i="628"/>
  <c r="G322" i="628"/>
  <c r="M323" i="628"/>
  <c r="L323" i="628"/>
  <c r="H323" i="628"/>
  <c r="G323" i="628"/>
  <c r="M281" i="628"/>
  <c r="L281" i="628"/>
  <c r="H281" i="628"/>
  <c r="G281" i="628"/>
  <c r="M214" i="628"/>
  <c r="L214" i="628"/>
  <c r="H214" i="628"/>
  <c r="G214" i="628"/>
  <c r="M220" i="628"/>
  <c r="L220" i="628"/>
  <c r="H220" i="628"/>
  <c r="G220" i="628"/>
  <c r="M241" i="628"/>
  <c r="L241" i="628"/>
  <c r="H241" i="628"/>
  <c r="G241" i="628"/>
  <c r="M161" i="628"/>
  <c r="L161" i="628"/>
  <c r="H161" i="628"/>
  <c r="G161" i="628"/>
  <c r="M84" i="628"/>
  <c r="L84" i="628"/>
  <c r="H84" i="628"/>
  <c r="G84" i="628"/>
  <c r="M89" i="628"/>
  <c r="L89" i="628"/>
  <c r="H89" i="628"/>
  <c r="G89" i="628"/>
  <c r="M71" i="628"/>
  <c r="L71" i="628"/>
  <c r="H71" i="628"/>
  <c r="G71" i="628"/>
  <c r="M75" i="628"/>
  <c r="L75" i="628"/>
  <c r="G75" i="628"/>
  <c r="L417" i="628" l="1"/>
  <c r="M417" i="628"/>
  <c r="G785" i="628"/>
  <c r="G417" i="628"/>
  <c r="G167" i="628" l="1"/>
  <c r="G85" i="628" l="1"/>
  <c r="G250" i="628"/>
  <c r="G249" i="628"/>
  <c r="G74" i="628"/>
  <c r="G33" i="628"/>
  <c r="G63" i="628"/>
  <c r="G67" i="628"/>
  <c r="G1007" i="628"/>
  <c r="G1053" i="628"/>
  <c r="G1048" i="628"/>
  <c r="G268" i="628"/>
  <c r="G980" i="628"/>
  <c r="G266" i="628"/>
  <c r="G991" i="628"/>
  <c r="G914" i="628"/>
  <c r="G218" i="628"/>
  <c r="G307" i="628"/>
  <c r="G316" i="628"/>
  <c r="G1019" i="628"/>
  <c r="G1020" i="628"/>
  <c r="G1015" i="628"/>
  <c r="G1030" i="628"/>
  <c r="G894" i="628"/>
  <c r="G580" i="628"/>
  <c r="G469" i="628"/>
  <c r="G472" i="628"/>
  <c r="G470" i="628"/>
  <c r="G349" i="628"/>
  <c r="G330" i="628"/>
  <c r="G324" i="628"/>
  <c r="G326" i="628"/>
  <c r="G328" i="628"/>
  <c r="M1019" i="628" l="1"/>
  <c r="M1020" i="628"/>
  <c r="M1015" i="628"/>
  <c r="M1030" i="628"/>
  <c r="M894" i="628"/>
  <c r="M580" i="628"/>
  <c r="M469" i="628"/>
  <c r="M472" i="628"/>
  <c r="M470" i="628"/>
  <c r="M349" i="628"/>
  <c r="M330" i="628"/>
  <c r="M324" i="628"/>
  <c r="M326" i="628"/>
  <c r="L1019" i="628"/>
  <c r="L1020" i="628"/>
  <c r="L1015" i="628"/>
  <c r="L1030" i="628"/>
  <c r="L894" i="628"/>
  <c r="L580" i="628"/>
  <c r="L469" i="628"/>
  <c r="L472" i="628"/>
  <c r="L470" i="628"/>
  <c r="L349" i="628"/>
  <c r="L330" i="628"/>
  <c r="L324" i="628"/>
  <c r="L326" i="628"/>
  <c r="M987" i="628"/>
  <c r="L987" i="628"/>
  <c r="L1053" i="628"/>
  <c r="M1053" i="628"/>
  <c r="L785" i="628"/>
  <c r="M785" i="628"/>
  <c r="L980" i="628"/>
  <c r="M980" i="628"/>
  <c r="L991" i="628"/>
  <c r="M991" i="628"/>
  <c r="M328" i="628"/>
  <c r="L328" i="628"/>
  <c r="M307" i="628"/>
  <c r="L307" i="628"/>
  <c r="M268" i="628"/>
  <c r="L268" i="628"/>
  <c r="M266" i="628"/>
  <c r="L266" i="628"/>
  <c r="M250" i="628"/>
  <c r="M249" i="628"/>
  <c r="L250" i="628"/>
  <c r="L249" i="628"/>
  <c r="M218" i="628"/>
  <c r="L218" i="628"/>
  <c r="M85" i="628"/>
  <c r="L85" i="628"/>
  <c r="M67" i="628"/>
  <c r="L67" i="628"/>
  <c r="L74" i="628"/>
  <c r="M74" i="628"/>
  <c r="M63" i="628"/>
  <c r="L63" i="628"/>
  <c r="M670" i="628" l="1"/>
  <c r="L670" i="628"/>
  <c r="M895" i="628" l="1"/>
  <c r="L895" i="628"/>
  <c r="M610" i="628"/>
  <c r="L610" i="628"/>
  <c r="M914" i="628"/>
  <c r="L914" i="628"/>
  <c r="M949" i="628"/>
  <c r="M955" i="628"/>
  <c r="L949" i="628"/>
  <c r="L955" i="628"/>
  <c r="M989" i="628"/>
  <c r="L989" i="628"/>
  <c r="M1048" i="628"/>
  <c r="L1048" i="628"/>
  <c r="M1021" i="628"/>
  <c r="M1016" i="628"/>
  <c r="M1037" i="628"/>
  <c r="L1016" i="628"/>
  <c r="L1037" i="628"/>
  <c r="L1021" i="628"/>
  <c r="M1035" i="628"/>
  <c r="L1035" i="628"/>
  <c r="M1027" i="628"/>
  <c r="L1027" i="628"/>
  <c r="M1007" i="628"/>
  <c r="L1007" i="628"/>
  <c r="M620" i="628"/>
  <c r="L620" i="628"/>
  <c r="M575" i="628"/>
  <c r="L575" i="628"/>
  <c r="M576" i="628"/>
  <c r="L576" i="628"/>
  <c r="M551" i="628"/>
  <c r="L551" i="628"/>
  <c r="M455" i="628"/>
  <c r="L455" i="628"/>
  <c r="M340" i="628"/>
  <c r="L340" i="628"/>
  <c r="M316" i="628"/>
  <c r="L316" i="628"/>
  <c r="M279" i="628"/>
  <c r="M276" i="628"/>
  <c r="L279" i="628"/>
  <c r="L276" i="628"/>
  <c r="M251" i="628"/>
  <c r="L251" i="628"/>
  <c r="M224" i="628"/>
  <c r="L224" i="628"/>
  <c r="M167" i="628"/>
  <c r="L167" i="628"/>
  <c r="M171" i="628"/>
  <c r="L171" i="628"/>
  <c r="M33" i="628"/>
  <c r="L72" i="628"/>
  <c r="L33" i="628"/>
  <c r="G964" i="628" l="1"/>
  <c r="G848" i="628" l="1"/>
  <c r="G862" i="628"/>
  <c r="G858" i="628"/>
  <c r="G902" i="628" l="1"/>
  <c r="G906" i="628"/>
  <c r="M964" i="628" l="1"/>
  <c r="L964" i="628"/>
  <c r="M902" i="628"/>
  <c r="L902" i="628"/>
  <c r="M906" i="628"/>
  <c r="L906" i="628"/>
  <c r="M848" i="628"/>
  <c r="M862" i="628"/>
  <c r="L862" i="628"/>
  <c r="L858" i="628"/>
  <c r="M858" i="628"/>
  <c r="M1031" i="628" l="1"/>
  <c r="L1031" i="628"/>
  <c r="G1031" i="628"/>
  <c r="L967" i="628"/>
  <c r="M967" i="628"/>
  <c r="G967" i="628"/>
  <c r="M956" i="628"/>
  <c r="L956" i="628"/>
  <c r="G956" i="628"/>
  <c r="M685" i="628"/>
  <c r="L685" i="628"/>
  <c r="G685" i="628"/>
  <c r="M621" i="628"/>
  <c r="L621" i="628"/>
  <c r="G621" i="628"/>
  <c r="L511" i="628"/>
  <c r="M511" i="628"/>
  <c r="G511" i="628"/>
  <c r="L391" i="628"/>
  <c r="M391" i="628"/>
  <c r="G391" i="628"/>
  <c r="L248" i="628"/>
  <c r="M248" i="628"/>
  <c r="G248" i="628"/>
  <c r="L86" i="628"/>
  <c r="M86" i="628"/>
  <c r="G86" i="628"/>
  <c r="L52" i="628"/>
  <c r="M52" i="628"/>
  <c r="G52" i="628"/>
  <c r="L48" i="628"/>
  <c r="M48" i="628"/>
  <c r="G48" i="628"/>
  <c r="L853" i="628" l="1"/>
  <c r="M853" i="628"/>
  <c r="G853" i="628"/>
  <c r="L863" i="628"/>
  <c r="M863" i="628"/>
  <c r="G863" i="628"/>
  <c r="L380" i="628"/>
  <c r="M380" i="628"/>
  <c r="G380" i="628"/>
  <c r="M800" i="628"/>
  <c r="L800" i="628"/>
  <c r="G800" i="628"/>
  <c r="L924" i="628"/>
  <c r="M924" i="628"/>
  <c r="G924" i="628"/>
  <c r="H1020" i="628" l="1"/>
  <c r="H991" i="628"/>
  <c r="H580" i="628"/>
  <c r="H417" i="628"/>
  <c r="H324" i="628"/>
  <c r="H328" i="628"/>
  <c r="H67" i="628"/>
  <c r="H330" i="628"/>
  <c r="H63" i="628"/>
  <c r="H1030" i="628"/>
  <c r="H980" i="628"/>
  <c r="H472" i="628"/>
  <c r="H349" i="628"/>
  <c r="H266" i="628"/>
  <c r="H85" i="628"/>
  <c r="H470" i="628"/>
  <c r="H250" i="628"/>
  <c r="H1053" i="628"/>
  <c r="H1015" i="628"/>
  <c r="H894" i="628"/>
  <c r="H268" i="628"/>
  <c r="H1019" i="628"/>
  <c r="H987" i="628"/>
  <c r="H785" i="628"/>
  <c r="H469" i="628"/>
  <c r="H326" i="628"/>
  <c r="H307" i="628"/>
  <c r="H249" i="628"/>
  <c r="H74" i="628"/>
  <c r="H218" i="628"/>
  <c r="H670" i="628"/>
  <c r="H575" i="628"/>
  <c r="H576" i="628"/>
  <c r="H25" i="628"/>
  <c r="H610" i="628"/>
  <c r="H949" i="628"/>
  <c r="H1021" i="628"/>
  <c r="H895" i="628"/>
  <c r="H955" i="628"/>
  <c r="H1016" i="628"/>
  <c r="H1007" i="628"/>
  <c r="H620" i="628"/>
  <c r="H279" i="628"/>
  <c r="H1037" i="628"/>
  <c r="H1027" i="628"/>
  <c r="H630" i="628"/>
  <c r="H455" i="628"/>
  <c r="H316" i="628"/>
  <c r="H276" i="628"/>
  <c r="H224" i="628"/>
  <c r="H914" i="628"/>
  <c r="H1048" i="628"/>
  <c r="H551" i="628"/>
  <c r="H340" i="628"/>
  <c r="H251" i="628"/>
  <c r="H33" i="628"/>
  <c r="H167" i="628"/>
  <c r="H171" i="628"/>
  <c r="H902" i="628"/>
  <c r="H964" i="628"/>
  <c r="H862" i="628"/>
  <c r="H848" i="628"/>
  <c r="H858" i="628"/>
  <c r="H906" i="628"/>
  <c r="H1031" i="628"/>
  <c r="H391" i="628"/>
  <c r="H52" i="628"/>
  <c r="H956" i="628"/>
  <c r="H685" i="628"/>
  <c r="H86" i="628"/>
  <c r="H621" i="628"/>
  <c r="H967" i="628"/>
  <c r="H511" i="628"/>
  <c r="H248" i="628"/>
  <c r="H48" i="628"/>
  <c r="H853" i="628"/>
  <c r="H924" i="628"/>
  <c r="H800" i="628"/>
  <c r="H380" i="628"/>
  <c r="K111" i="629" s="1"/>
  <c r="M111" i="629" s="1"/>
  <c r="H863" i="628"/>
  <c r="M820" i="628" l="1"/>
  <c r="L820" i="628"/>
  <c r="H820" i="628"/>
  <c r="G820" i="628"/>
  <c r="M96" i="628"/>
  <c r="L96" i="628"/>
  <c r="H96" i="628"/>
  <c r="G96" i="628"/>
  <c r="L1039" i="628"/>
  <c r="M1039" i="628"/>
  <c r="H1039" i="628"/>
  <c r="G1039" i="628"/>
  <c r="G475" i="628"/>
  <c r="H475" i="628"/>
  <c r="L475" i="628"/>
  <c r="M475" i="628"/>
  <c r="G338" i="628"/>
  <c r="H338" i="628"/>
  <c r="L338" i="628"/>
  <c r="M338" i="628"/>
  <c r="G1036" i="628"/>
  <c r="H1036" i="628"/>
  <c r="L1036" i="628"/>
  <c r="M1036" i="628"/>
  <c r="G72" i="628"/>
  <c r="H72" i="628"/>
  <c r="M72" i="628"/>
  <c r="G861" i="628"/>
  <c r="H861" i="628"/>
  <c r="L861" i="628"/>
  <c r="M861" i="628"/>
  <c r="G69" i="628"/>
  <c r="H69" i="628"/>
  <c r="L69" i="628"/>
  <c r="M69" i="628"/>
  <c r="G1006" i="628"/>
  <c r="H1006" i="628"/>
  <c r="L1006" i="628"/>
  <c r="M1006" i="628"/>
  <c r="G381" i="628"/>
  <c r="H381" i="628"/>
  <c r="L381" i="628"/>
  <c r="M381" i="628"/>
  <c r="L1040" i="628" l="1"/>
  <c r="M1040" i="628"/>
  <c r="H1040" i="628"/>
  <c r="G1040" i="628"/>
  <c r="L272" i="628"/>
  <c r="M272" i="628"/>
  <c r="H272" i="628"/>
  <c r="G272" i="628"/>
  <c r="L841" i="628"/>
  <c r="M841" i="628"/>
  <c r="H841" i="628"/>
  <c r="G841" i="628"/>
  <c r="L164" i="628"/>
  <c r="M164" i="628"/>
  <c r="H164" i="628"/>
  <c r="G164" i="628"/>
  <c r="L565" i="628"/>
  <c r="M565" i="628"/>
  <c r="H565" i="628"/>
  <c r="G565" i="628"/>
  <c r="L321" i="628" l="1"/>
  <c r="M321" i="628"/>
  <c r="H321" i="628"/>
  <c r="G321" i="628"/>
  <c r="L1002" i="628"/>
  <c r="M1002" i="628"/>
  <c r="H1002" i="628"/>
  <c r="G1002" i="628"/>
  <c r="L228" i="628"/>
  <c r="M228" i="628"/>
  <c r="H228" i="628"/>
  <c r="G228" i="628"/>
  <c r="L1050" i="628"/>
  <c r="M1050" i="628"/>
  <c r="H1050" i="628"/>
  <c r="G1050" i="628"/>
  <c r="G94" i="628"/>
  <c r="L94" i="628"/>
  <c r="M94" i="628"/>
  <c r="H94" i="628"/>
  <c r="L781" i="628"/>
  <c r="M781" i="628"/>
  <c r="H781" i="628"/>
  <c r="G781" i="628"/>
  <c r="L634" i="628"/>
  <c r="M634" i="628"/>
  <c r="H634" i="628"/>
  <c r="G634" i="628"/>
  <c r="L984" i="628"/>
  <c r="M984" i="628"/>
  <c r="H984" i="628"/>
  <c r="G984" i="628"/>
  <c r="L913" i="628"/>
  <c r="M913" i="628"/>
  <c r="H913" i="628"/>
  <c r="G913" i="628"/>
  <c r="L403" i="628"/>
  <c r="M403" i="628"/>
  <c r="H403" i="628"/>
  <c r="G403" i="628"/>
  <c r="L387" i="628"/>
  <c r="M387" i="628"/>
  <c r="H387" i="628"/>
  <c r="G387" i="628"/>
  <c r="L271" i="628"/>
  <c r="M271" i="628"/>
  <c r="H271" i="628"/>
  <c r="G271" i="628"/>
  <c r="L1017" i="628"/>
  <c r="M1017" i="628"/>
  <c r="H1017" i="628"/>
  <c r="G1017" i="628"/>
  <c r="L261" i="628"/>
  <c r="M261" i="628"/>
  <c r="H261" i="628"/>
  <c r="G261" i="628"/>
  <c r="L259" i="628"/>
  <c r="M259" i="628"/>
  <c r="H259" i="628"/>
  <c r="G259" i="628"/>
  <c r="L925" i="628"/>
  <c r="M925" i="628"/>
  <c r="H925" i="628"/>
  <c r="G925" i="628"/>
  <c r="M99" i="628" l="1"/>
  <c r="H99" i="628"/>
  <c r="G99" i="628"/>
  <c r="L849" i="628"/>
  <c r="M849" i="628"/>
  <c r="H849" i="628"/>
  <c r="G849" i="628"/>
  <c r="M990" i="628"/>
  <c r="L990" i="628"/>
  <c r="H990" i="628"/>
  <c r="G990" i="628"/>
  <c r="M617" i="628"/>
  <c r="L617" i="628"/>
  <c r="H617" i="628"/>
  <c r="G617" i="628"/>
  <c r="M3" i="628" l="1"/>
  <c r="M4" i="628"/>
  <c r="N4" i="628" s="1"/>
  <c r="M6" i="628"/>
  <c r="M7" i="628"/>
  <c r="M8" i="628"/>
  <c r="M9" i="628"/>
  <c r="M10" i="628"/>
  <c r="M11" i="628"/>
  <c r="M12" i="628"/>
  <c r="M5" i="628"/>
  <c r="M14" i="628"/>
  <c r="M15" i="628"/>
  <c r="N15" i="628" s="1"/>
  <c r="M20" i="628"/>
  <c r="M13" i="628"/>
  <c r="M21" i="628"/>
  <c r="M27" i="628"/>
  <c r="M34" i="628"/>
  <c r="M36" i="628"/>
  <c r="N36" i="628" s="1"/>
  <c r="M38" i="628"/>
  <c r="M41" i="628"/>
  <c r="M43" i="628"/>
  <c r="M45" i="628"/>
  <c r="M25" i="628"/>
  <c r="M49" i="628"/>
  <c r="M54" i="628"/>
  <c r="M56" i="628"/>
  <c r="M47" i="628"/>
  <c r="M60" i="628"/>
  <c r="M57" i="628"/>
  <c r="M61" i="628"/>
  <c r="N61" i="628" s="1"/>
  <c r="M76" i="628"/>
  <c r="M78" i="628"/>
  <c r="M79" i="628"/>
  <c r="M81" i="628"/>
  <c r="M64" i="628"/>
  <c r="M92" i="628"/>
  <c r="M104" i="628"/>
  <c r="M91" i="628"/>
  <c r="M106" i="628"/>
  <c r="M107" i="628"/>
  <c r="M109" i="628"/>
  <c r="M110" i="628"/>
  <c r="M111" i="628"/>
  <c r="M112" i="628"/>
  <c r="M113" i="628"/>
  <c r="M114" i="628"/>
  <c r="M108" i="628"/>
  <c r="M116" i="628"/>
  <c r="M117" i="628"/>
  <c r="M118" i="628"/>
  <c r="M119" i="628"/>
  <c r="M120" i="628"/>
  <c r="M121" i="628"/>
  <c r="M115" i="628"/>
  <c r="M122" i="628"/>
  <c r="M123" i="628"/>
  <c r="M125" i="628"/>
  <c r="M124" i="628"/>
  <c r="M128" i="628"/>
  <c r="M126" i="628"/>
  <c r="M131" i="628"/>
  <c r="M130" i="628"/>
  <c r="M133" i="628"/>
  <c r="M134" i="628"/>
  <c r="M132" i="628"/>
  <c r="M136" i="628"/>
  <c r="M138" i="628"/>
  <c r="M140" i="628"/>
  <c r="M137" i="628"/>
  <c r="M141" i="628"/>
  <c r="M142" i="628"/>
  <c r="M144" i="628"/>
  <c r="M145" i="628"/>
  <c r="M143" i="628"/>
  <c r="M146" i="628"/>
  <c r="M147" i="628"/>
  <c r="M148" i="628"/>
  <c r="M150" i="628"/>
  <c r="M152" i="628"/>
  <c r="M149" i="628"/>
  <c r="M154" i="628"/>
  <c r="M155" i="628"/>
  <c r="M159" i="628"/>
  <c r="M162" i="628"/>
  <c r="M166" i="628"/>
  <c r="M168" i="628"/>
  <c r="M153" i="628"/>
  <c r="M170" i="628"/>
  <c r="M156" i="628"/>
  <c r="M174" i="628"/>
  <c r="M175" i="628"/>
  <c r="M177" i="628"/>
  <c r="M178" i="628"/>
  <c r="M169" i="628"/>
  <c r="M180" i="628"/>
  <c r="M181" i="628"/>
  <c r="M182" i="628"/>
  <c r="M183" i="628"/>
  <c r="M184" i="628"/>
  <c r="M172" i="628"/>
  <c r="M186" i="628"/>
  <c r="M179" i="628"/>
  <c r="M185" i="628"/>
  <c r="M176" i="628"/>
  <c r="M189" i="628"/>
  <c r="M191" i="628"/>
  <c r="M192" i="628"/>
  <c r="M187" i="628"/>
  <c r="M194" i="628"/>
  <c r="M188" i="628"/>
  <c r="M196" i="628"/>
  <c r="M190" i="628"/>
  <c r="M198" i="628"/>
  <c r="M193" i="628"/>
  <c r="M201" i="628"/>
  <c r="M195" i="628"/>
  <c r="M197" i="628"/>
  <c r="M204" i="628"/>
  <c r="M205" i="628"/>
  <c r="M206" i="628"/>
  <c r="M199" i="628"/>
  <c r="M202" i="628"/>
  <c r="M203" i="628"/>
  <c r="M209" i="628"/>
  <c r="M210" i="628"/>
  <c r="M211" i="628"/>
  <c r="M212" i="628"/>
  <c r="M217" i="628"/>
  <c r="M207" i="628"/>
  <c r="M223" i="628"/>
  <c r="M226" i="628"/>
  <c r="M208" i="628"/>
  <c r="M230" i="628"/>
  <c r="M200" i="628"/>
  <c r="M234" i="628"/>
  <c r="M236" i="628"/>
  <c r="M237" i="628"/>
  <c r="M239" i="628"/>
  <c r="M242" i="628"/>
  <c r="M213" i="628"/>
  <c r="M247" i="628"/>
  <c r="M252" i="628"/>
  <c r="M254" i="628"/>
  <c r="M255" i="628"/>
  <c r="M219" i="628"/>
  <c r="M227" i="628"/>
  <c r="M263" i="628"/>
  <c r="M265" i="628"/>
  <c r="M267" i="628"/>
  <c r="M269" i="628"/>
  <c r="M232" i="628"/>
  <c r="M235" i="628"/>
  <c r="M275" i="628"/>
  <c r="M244" i="628"/>
  <c r="M280" i="628"/>
  <c r="M246" i="628"/>
  <c r="M285" i="628"/>
  <c r="M286" i="628"/>
  <c r="M287" i="628"/>
  <c r="M256" i="628"/>
  <c r="M289" i="628"/>
  <c r="M262" i="628"/>
  <c r="M291" i="628"/>
  <c r="M292" i="628"/>
  <c r="M293" i="628"/>
  <c r="M294" i="628"/>
  <c r="M295" i="628"/>
  <c r="M270" i="628"/>
  <c r="M297" i="628"/>
  <c r="M299" i="628"/>
  <c r="M300" i="628"/>
  <c r="M274" i="628"/>
  <c r="M302" i="628"/>
  <c r="M278" i="628"/>
  <c r="M304" i="628"/>
  <c r="M306" i="628"/>
  <c r="M283" i="628"/>
  <c r="N283" i="628" s="1"/>
  <c r="M309" i="628"/>
  <c r="M310" i="628"/>
  <c r="M288" i="628"/>
  <c r="M313" i="628"/>
  <c r="M317" i="628"/>
  <c r="M290" i="628"/>
  <c r="M296" i="628"/>
  <c r="M327" i="628"/>
  <c r="M329" i="628"/>
  <c r="M331" i="628"/>
  <c r="M332" i="628"/>
  <c r="M301" i="628"/>
  <c r="M334" i="628"/>
  <c r="M336" i="628"/>
  <c r="M343" i="628"/>
  <c r="M344" i="628"/>
  <c r="M346" i="628"/>
  <c r="M303" i="628"/>
  <c r="M350" i="628"/>
  <c r="N350" i="628" s="1"/>
  <c r="M351" i="628"/>
  <c r="M353" i="628"/>
  <c r="M354" i="628"/>
  <c r="M355" i="628"/>
  <c r="M357" i="628"/>
  <c r="M359" i="628"/>
  <c r="M360" i="628"/>
  <c r="M361" i="628"/>
  <c r="M308" i="628"/>
  <c r="M364" i="628"/>
  <c r="M365" i="628"/>
  <c r="M366" i="628"/>
  <c r="M367" i="628"/>
  <c r="M311" i="628"/>
  <c r="M318" i="628"/>
  <c r="M370" i="628"/>
  <c r="M371" i="628"/>
  <c r="M319" i="628"/>
  <c r="M374" i="628"/>
  <c r="M375" i="628"/>
  <c r="M333" i="628"/>
  <c r="M377" i="628"/>
  <c r="M378" i="628"/>
  <c r="M347" i="628"/>
  <c r="M362" i="628"/>
  <c r="M384" i="628"/>
  <c r="M388" i="628"/>
  <c r="M389" i="628"/>
  <c r="M363" i="628"/>
  <c r="M393" i="628"/>
  <c r="M394" i="628"/>
  <c r="M358" i="628"/>
  <c r="M397" i="628"/>
  <c r="M401" i="628"/>
  <c r="M405" i="628"/>
  <c r="M406" i="628"/>
  <c r="M368" i="628"/>
  <c r="M409" i="628"/>
  <c r="M412" i="628"/>
  <c r="M415" i="628"/>
  <c r="M420" i="628"/>
  <c r="M369" i="628"/>
  <c r="M421" i="628"/>
  <c r="M422" i="628"/>
  <c r="M423" i="628"/>
  <c r="M426" i="628"/>
  <c r="M372" i="628"/>
  <c r="M428" i="628"/>
  <c r="M429" i="628"/>
  <c r="M430" i="628"/>
  <c r="M431" i="628"/>
  <c r="M432" i="628"/>
  <c r="M376" i="628"/>
  <c r="M379" i="628"/>
  <c r="M435" i="628"/>
  <c r="M437" i="628"/>
  <c r="M438" i="628"/>
  <c r="M439" i="628"/>
  <c r="M382" i="628"/>
  <c r="M442" i="628"/>
  <c r="M443" i="628"/>
  <c r="M444" i="628"/>
  <c r="M445" i="628"/>
  <c r="M383" i="628"/>
  <c r="M448" i="628"/>
  <c r="M449" i="628"/>
  <c r="M454" i="628"/>
  <c r="M456" i="628"/>
  <c r="M458" i="628"/>
  <c r="M390" i="628"/>
  <c r="M463" i="628"/>
  <c r="M466" i="628"/>
  <c r="M465" i="628"/>
  <c r="M483" i="628"/>
  <c r="M395" i="628"/>
  <c r="M480" i="628"/>
  <c r="M481" i="628"/>
  <c r="M482" i="628"/>
  <c r="M400" i="628"/>
  <c r="M485" i="628"/>
  <c r="M407" i="628"/>
  <c r="M487" i="628"/>
  <c r="M427" i="628"/>
  <c r="M489" i="628"/>
  <c r="M425" i="628"/>
  <c r="M433" i="628"/>
  <c r="M494" i="628"/>
  <c r="M495" i="628"/>
  <c r="M498" i="628"/>
  <c r="M507" i="628"/>
  <c r="M501" i="628"/>
  <c r="M440" i="628"/>
  <c r="M508" i="628"/>
  <c r="M512" i="628"/>
  <c r="M514" i="628"/>
  <c r="M434" i="628"/>
  <c r="M518" i="628"/>
  <c r="M436" i="628"/>
  <c r="M521" i="628"/>
  <c r="M447" i="628"/>
  <c r="M523" i="628"/>
  <c r="M451" i="628"/>
  <c r="M525" i="628"/>
  <c r="M461" i="628"/>
  <c r="M527" i="628"/>
  <c r="M478" i="628"/>
  <c r="M529" i="628"/>
  <c r="M484" i="628"/>
  <c r="M486" i="628"/>
  <c r="M532" i="628"/>
  <c r="M533" i="628"/>
  <c r="M534" i="628"/>
  <c r="M535" i="628"/>
  <c r="M536" i="628"/>
  <c r="M537" i="628"/>
  <c r="M538" i="628"/>
  <c r="M539" i="628"/>
  <c r="M540" i="628"/>
  <c r="M488" i="628"/>
  <c r="M542" i="628"/>
  <c r="M544" i="628"/>
  <c r="M545" i="628"/>
  <c r="M500" i="628"/>
  <c r="M491" i="628"/>
  <c r="M548" i="628"/>
  <c r="M549" i="628"/>
  <c r="M509" i="628"/>
  <c r="M517" i="628"/>
  <c r="M560" i="628"/>
  <c r="M557" i="628"/>
  <c r="M520" i="628"/>
  <c r="M561" i="628"/>
  <c r="M528" i="628"/>
  <c r="M567" i="628"/>
  <c r="M524" i="628"/>
  <c r="M571" i="628"/>
  <c r="M572" i="628"/>
  <c r="M577" i="628"/>
  <c r="M578" i="628"/>
  <c r="M579" i="628"/>
  <c r="M585" i="628"/>
  <c r="M582" i="628"/>
  <c r="M583" i="628"/>
  <c r="M526" i="628"/>
  <c r="M587" i="628"/>
  <c r="M589" i="628"/>
  <c r="M594" i="628"/>
  <c r="M593" i="628"/>
  <c r="M546" i="628"/>
  <c r="M530" i="628"/>
  <c r="M596" i="628"/>
  <c r="M597" i="628"/>
  <c r="M598" i="628"/>
  <c r="M599" i="628"/>
  <c r="M600" i="628"/>
  <c r="M601" i="628"/>
  <c r="M602" i="628"/>
  <c r="M608" i="628"/>
  <c r="M605" i="628"/>
  <c r="M531" i="628"/>
  <c r="M614" i="628"/>
  <c r="M541" i="628"/>
  <c r="M625" i="628"/>
  <c r="M547" i="628"/>
  <c r="M550" i="628"/>
  <c r="N550" i="628" s="1"/>
  <c r="M630" i="628"/>
  <c r="M555" i="628"/>
  <c r="M637" i="628"/>
  <c r="M635" i="628"/>
  <c r="M554" i="628"/>
  <c r="M558" i="628"/>
  <c r="M562" i="628"/>
  <c r="M643" i="628"/>
  <c r="M569" i="628"/>
  <c r="M644" i="628"/>
  <c r="M645" i="628"/>
  <c r="M646" i="628"/>
  <c r="M590" i="628"/>
  <c r="M649" i="628"/>
  <c r="M650" i="628"/>
  <c r="M651" i="628"/>
  <c r="M591" i="628"/>
  <c r="M653" i="628"/>
  <c r="M654" i="628"/>
  <c r="M603" i="628"/>
  <c r="M595" i="628"/>
  <c r="M657" i="628"/>
  <c r="M658" i="628"/>
  <c r="M659" i="628"/>
  <c r="M660" i="628"/>
  <c r="M661" i="628"/>
  <c r="M662" i="628"/>
  <c r="M663" i="628"/>
  <c r="M664" i="628"/>
  <c r="M665" i="628"/>
  <c r="M666" i="628"/>
  <c r="M667" i="628"/>
  <c r="M669" i="628"/>
  <c r="M676" i="628"/>
  <c r="M675" i="628"/>
  <c r="M611" i="628"/>
  <c r="M618" i="628"/>
  <c r="M626" i="628"/>
  <c r="M682" i="628"/>
  <c r="M692" i="628"/>
  <c r="M686" i="628"/>
  <c r="M687" i="628"/>
  <c r="M688" i="628"/>
  <c r="M689" i="628"/>
  <c r="M690" i="628"/>
  <c r="M691" i="628"/>
  <c r="M693" i="628"/>
  <c r="M694" i="628"/>
  <c r="M695" i="628"/>
  <c r="M628" i="628"/>
  <c r="M632" i="628"/>
  <c r="M697" i="628"/>
  <c r="M698" i="628"/>
  <c r="M699" i="628"/>
  <c r="M638" i="628"/>
  <c r="M701" i="628"/>
  <c r="M703" i="628"/>
  <c r="M704" i="628"/>
  <c r="M705" i="628"/>
  <c r="M706" i="628"/>
  <c r="M641" i="628"/>
  <c r="M707" i="628"/>
  <c r="M639" i="628"/>
  <c r="M709" i="628"/>
  <c r="M710" i="628"/>
  <c r="M652" i="628"/>
  <c r="M647" i="628"/>
  <c r="M714" i="628"/>
  <c r="M716" i="628"/>
  <c r="M648" i="628"/>
  <c r="M668" i="628"/>
  <c r="M719" i="628"/>
  <c r="M720" i="628"/>
  <c r="M721" i="628"/>
  <c r="M722" i="628"/>
  <c r="M724" i="628"/>
  <c r="M725" i="628"/>
  <c r="M655" i="628"/>
  <c r="M727" i="628"/>
  <c r="M728" i="628"/>
  <c r="M656" i="628"/>
  <c r="M731" i="628"/>
  <c r="M732" i="628"/>
  <c r="M673" i="628"/>
  <c r="M734" i="628"/>
  <c r="M735" i="628"/>
  <c r="M736" i="628"/>
  <c r="M737" i="628"/>
  <c r="M738" i="628"/>
  <c r="M679" i="628"/>
  <c r="M681" i="628"/>
  <c r="M683" i="628"/>
  <c r="M702" i="628"/>
  <c r="M696" i="628"/>
  <c r="M745" i="628"/>
  <c r="M746" i="628"/>
  <c r="M747" i="628"/>
  <c r="M700" i="628"/>
  <c r="M750" i="628"/>
  <c r="M751" i="628"/>
  <c r="M713" i="628"/>
  <c r="M753" i="628"/>
  <c r="M708" i="628"/>
  <c r="M755" i="628"/>
  <c r="M756" i="628"/>
  <c r="M758" i="628"/>
  <c r="M759" i="628"/>
  <c r="M711" i="628"/>
  <c r="M712" i="628"/>
  <c r="M762" i="628"/>
  <c r="M764" i="628"/>
  <c r="M765" i="628"/>
  <c r="M730" i="628"/>
  <c r="M718" i="628"/>
  <c r="M723" i="628"/>
  <c r="M726" i="628"/>
  <c r="M769" i="628"/>
  <c r="M749" i="628"/>
  <c r="M772" i="628"/>
  <c r="M773" i="628"/>
  <c r="M774" i="628"/>
  <c r="M733" i="628"/>
  <c r="M776" i="628"/>
  <c r="M739" i="628"/>
  <c r="M778" i="628"/>
  <c r="M779" i="628"/>
  <c r="M780" i="628"/>
  <c r="M782" i="628"/>
  <c r="M740" i="628"/>
  <c r="M794" i="628"/>
  <c r="M797" i="628"/>
  <c r="M798" i="628"/>
  <c r="M801" i="628"/>
  <c r="M802" i="628"/>
  <c r="M741" i="628"/>
  <c r="M803" i="628"/>
  <c r="M813" i="628"/>
  <c r="M817" i="628"/>
  <c r="M816" i="628"/>
  <c r="M825" i="628"/>
  <c r="M742" i="628"/>
  <c r="M827" i="628"/>
  <c r="M743" i="628"/>
  <c r="M830" i="628"/>
  <c r="M748" i="628"/>
  <c r="M833" i="628"/>
  <c r="M752" i="628"/>
  <c r="M836" i="628"/>
  <c r="M754" i="628"/>
  <c r="M760" i="628"/>
  <c r="M845" i="628"/>
  <c r="M761" i="628"/>
  <c r="M851" i="628"/>
  <c r="M852" i="628"/>
  <c r="M763" i="628"/>
  <c r="M857" i="628"/>
  <c r="M856" i="628"/>
  <c r="M859" i="628"/>
  <c r="M766" i="628"/>
  <c r="M767" i="628"/>
  <c r="M786" i="628"/>
  <c r="M868" i="628"/>
  <c r="M869" i="628"/>
  <c r="M870" i="628"/>
  <c r="M768" i="628"/>
  <c r="M872" i="628"/>
  <c r="M873" i="628"/>
  <c r="M875" i="628"/>
  <c r="M770" i="628"/>
  <c r="M775" i="628"/>
  <c r="M777" i="628"/>
  <c r="M880" i="628"/>
  <c r="M788" i="628"/>
  <c r="M809" i="628"/>
  <c r="M883" i="628"/>
  <c r="M890" i="628"/>
  <c r="M891" i="628"/>
  <c r="M893" i="628"/>
  <c r="M897" i="628"/>
  <c r="M907" i="628"/>
  <c r="M831" i="628"/>
  <c r="M916" i="628"/>
  <c r="M917" i="628"/>
  <c r="M919" i="628"/>
  <c r="M829" i="628"/>
  <c r="M920" i="628"/>
  <c r="M921" i="628"/>
  <c r="M832" i="628"/>
  <c r="M928" i="628"/>
  <c r="M930" i="628"/>
  <c r="M842" i="628"/>
  <c r="M935" i="628"/>
  <c r="M837" i="628"/>
  <c r="M843" i="628"/>
  <c r="M846" i="628"/>
  <c r="M939" i="628"/>
  <c r="M854" i="628"/>
  <c r="M944" i="628"/>
  <c r="M867" i="628"/>
  <c r="N867" i="628" s="1"/>
  <c r="M864" i="628"/>
  <c r="M877" i="628"/>
  <c r="M970" i="628"/>
  <c r="M973" i="628"/>
  <c r="M871" i="628"/>
  <c r="M876" i="628"/>
  <c r="M974" i="628"/>
  <c r="M886" i="628"/>
  <c r="M976" i="628"/>
  <c r="M977" i="628"/>
  <c r="M978" i="628"/>
  <c r="M979" i="628"/>
  <c r="M878" i="628"/>
  <c r="M988" i="628"/>
  <c r="M881" i="628"/>
  <c r="M999" i="628"/>
  <c r="M882" i="628"/>
  <c r="M898" i="628"/>
  <c r="M911" i="628"/>
  <c r="M1009" i="628"/>
  <c r="M1008" i="628"/>
  <c r="M915" i="628"/>
  <c r="M1010" i="628"/>
  <c r="M929" i="628"/>
  <c r="M1022" i="628"/>
  <c r="M1033" i="628"/>
  <c r="M1034" i="628"/>
  <c r="M1038" i="628"/>
  <c r="M1042" i="628"/>
  <c r="M923" i="628"/>
  <c r="M1046" i="628"/>
  <c r="M926" i="628"/>
  <c r="M1052" i="628"/>
  <c r="M931" i="628"/>
  <c r="M932" i="628"/>
  <c r="M937" i="628"/>
  <c r="M945" i="628"/>
  <c r="M938" i="628"/>
  <c r="M940" i="628"/>
  <c r="M942" i="628"/>
  <c r="M943" i="628"/>
  <c r="M961" i="628"/>
  <c r="M962" i="628"/>
  <c r="M963" i="628"/>
  <c r="M971" i="628"/>
  <c r="M981" i="628"/>
  <c r="M975" i="628"/>
  <c r="M986" i="628"/>
  <c r="N986" i="628" s="1"/>
  <c r="M995" i="628"/>
  <c r="M1001" i="628"/>
  <c r="M1003" i="628"/>
  <c r="M1004" i="628"/>
  <c r="M1013" i="628"/>
  <c r="M1011" i="628"/>
  <c r="M1025" i="628"/>
  <c r="M1028" i="628"/>
  <c r="M1044" i="628"/>
  <c r="M1047" i="628"/>
  <c r="M1058" i="628"/>
  <c r="M744" i="628"/>
  <c r="M592" i="628"/>
  <c r="M972" i="628"/>
  <c r="M173" i="628"/>
  <c r="M127" i="628"/>
  <c r="M604" i="628"/>
  <c r="M356" i="628"/>
  <c r="M129" i="628"/>
  <c r="M729" i="628"/>
  <c r="M879" i="628"/>
  <c r="M135" i="628"/>
  <c r="M757" i="628"/>
  <c r="M258" i="628"/>
  <c r="M373" i="628"/>
  <c r="M139" i="628"/>
  <c r="M933" i="628"/>
  <c r="M855" i="628"/>
  <c r="M314" i="628"/>
  <c r="M441" i="628"/>
  <c r="M622" i="628"/>
  <c r="M934" i="628"/>
  <c r="M834" i="628"/>
  <c r="M216" i="628"/>
  <c r="M835" i="628"/>
  <c r="M887" i="628"/>
  <c r="M936" i="628"/>
  <c r="M490" i="628"/>
  <c r="M492" i="628"/>
  <c r="M151" i="628"/>
  <c r="M771" i="628"/>
  <c r="M493" i="628"/>
  <c r="M985" i="628"/>
  <c r="M95" i="628"/>
  <c r="M874" i="628"/>
  <c r="M941" i="628"/>
  <c r="M543" i="628"/>
  <c r="M912" i="628"/>
  <c r="M238" i="628"/>
  <c r="M900" i="628"/>
  <c r="M499" i="628"/>
  <c r="M993" i="628"/>
  <c r="M82" i="628"/>
  <c r="M221" i="628"/>
  <c r="M464" i="628"/>
  <c r="M165" i="628"/>
  <c r="M796" i="628"/>
  <c r="M245" i="628"/>
  <c r="M839" i="628"/>
  <c r="N25" i="628" l="1"/>
  <c r="N641" i="628"/>
  <c r="N319" i="628"/>
  <c r="N461" i="628"/>
  <c r="N161" i="628"/>
  <c r="N91" i="628"/>
  <c r="N1020" i="628"/>
  <c r="N469" i="628"/>
  <c r="N387" i="628"/>
  <c r="N1050" i="628"/>
  <c r="N983" i="628"/>
  <c r="N853" i="628"/>
  <c r="N403" i="628"/>
  <c r="N323" i="628"/>
  <c r="N214" i="628"/>
  <c r="N851" i="628"/>
  <c r="N588" i="628"/>
  <c r="N410" i="628"/>
  <c r="N33" i="628"/>
  <c r="N85" i="628"/>
  <c r="N455" i="628"/>
  <c r="N338" i="628"/>
  <c r="N790" i="628"/>
  <c r="N273" i="628"/>
  <c r="N918" i="628"/>
  <c r="N1051" i="628"/>
  <c r="N1017" i="628"/>
  <c r="N460" i="628"/>
  <c r="N89" i="628"/>
  <c r="N1031" i="628"/>
  <c r="N902" i="628"/>
  <c r="N967" i="628"/>
  <c r="N503" i="628"/>
  <c r="N352" i="628"/>
  <c r="N171" i="628"/>
  <c r="N909" i="628"/>
  <c r="N610" i="628"/>
  <c r="N568" i="628"/>
  <c r="N908" i="628"/>
  <c r="N418" i="628"/>
  <c r="N955" i="628"/>
  <c r="N634" i="628"/>
  <c r="N339" i="628"/>
  <c r="N496" i="628"/>
  <c r="N381" i="628"/>
  <c r="N328" i="628"/>
  <c r="N892" i="628"/>
  <c r="N678" i="628"/>
  <c r="N575" i="628"/>
  <c r="N895" i="628"/>
  <c r="N514" i="628"/>
  <c r="N164" i="628"/>
  <c r="N45" i="628"/>
  <c r="N914" i="628"/>
  <c r="N105" i="628"/>
  <c r="N160" i="628"/>
  <c r="N80" i="628"/>
  <c r="N1035" i="628"/>
  <c r="N982" i="628"/>
  <c r="N904" i="628"/>
  <c r="N474" i="628"/>
  <c r="N220" i="628"/>
  <c r="N997" i="628"/>
  <c r="N906" i="628"/>
  <c r="N609" i="628"/>
  <c r="N572" i="628"/>
  <c r="N157" i="628"/>
  <c r="N75" i="628"/>
  <c r="N241" i="628"/>
  <c r="N677" i="628"/>
  <c r="N261" i="628"/>
  <c r="N1054" i="628"/>
  <c r="N380" i="628"/>
  <c r="N167" i="628"/>
  <c r="N71" i="628"/>
  <c r="N218" i="628"/>
  <c r="L3" i="628"/>
  <c r="L4" i="628"/>
  <c r="L6" i="628"/>
  <c r="L7" i="628"/>
  <c r="L8" i="628"/>
  <c r="L9" i="628"/>
  <c r="L10" i="628"/>
  <c r="L11" i="628"/>
  <c r="L12" i="628"/>
  <c r="L5" i="628"/>
  <c r="L14" i="628"/>
  <c r="L15" i="628"/>
  <c r="L20" i="628"/>
  <c r="L13" i="628"/>
  <c r="L21" i="628"/>
  <c r="L27" i="628"/>
  <c r="L34" i="628"/>
  <c r="L36" i="628"/>
  <c r="L38" i="628"/>
  <c r="L41" i="628"/>
  <c r="L43" i="628"/>
  <c r="L45" i="628"/>
  <c r="L25" i="628"/>
  <c r="L49" i="628"/>
  <c r="L54" i="628"/>
  <c r="L56" i="628"/>
  <c r="L47" i="628"/>
  <c r="L60" i="628"/>
  <c r="L57" i="628"/>
  <c r="L61" i="628"/>
  <c r="L76" i="628"/>
  <c r="L78" i="628"/>
  <c r="L79" i="628"/>
  <c r="L81" i="628"/>
  <c r="L64" i="628"/>
  <c r="L92" i="628"/>
  <c r="L104" i="628"/>
  <c r="L91" i="628"/>
  <c r="L106" i="628"/>
  <c r="L107" i="628"/>
  <c r="L109" i="628"/>
  <c r="L110" i="628"/>
  <c r="L111" i="628"/>
  <c r="L112" i="628"/>
  <c r="L113" i="628"/>
  <c r="L114" i="628"/>
  <c r="L108" i="628"/>
  <c r="L116" i="628"/>
  <c r="L117" i="628"/>
  <c r="L118" i="628"/>
  <c r="L119" i="628"/>
  <c r="L120" i="628"/>
  <c r="L121" i="628"/>
  <c r="L115" i="628"/>
  <c r="L122" i="628"/>
  <c r="L123" i="628"/>
  <c r="L125" i="628"/>
  <c r="L124" i="628"/>
  <c r="L128" i="628"/>
  <c r="L126" i="628"/>
  <c r="L131" i="628"/>
  <c r="L130" i="628"/>
  <c r="L133" i="628"/>
  <c r="L134" i="628"/>
  <c r="L132" i="628"/>
  <c r="L136" i="628"/>
  <c r="L138" i="628"/>
  <c r="L140" i="628"/>
  <c r="L137" i="628"/>
  <c r="L141" i="628"/>
  <c r="L142" i="628"/>
  <c r="L144" i="628"/>
  <c r="L145" i="628"/>
  <c r="L143" i="628"/>
  <c r="L146" i="628"/>
  <c r="L147" i="628"/>
  <c r="L148" i="628"/>
  <c r="L150" i="628"/>
  <c r="L152" i="628"/>
  <c r="L149" i="628"/>
  <c r="L154" i="628"/>
  <c r="L155" i="628"/>
  <c r="L159" i="628"/>
  <c r="L162" i="628"/>
  <c r="L166" i="628"/>
  <c r="L168" i="628"/>
  <c r="L153" i="628"/>
  <c r="L170" i="628"/>
  <c r="L156" i="628"/>
  <c r="L174" i="628"/>
  <c r="L175" i="628"/>
  <c r="L177" i="628"/>
  <c r="L178" i="628"/>
  <c r="L169" i="628"/>
  <c r="L180" i="628"/>
  <c r="L181" i="628"/>
  <c r="L182" i="628"/>
  <c r="L183" i="628"/>
  <c r="L184" i="628"/>
  <c r="L172" i="628"/>
  <c r="L186" i="628"/>
  <c r="L179" i="628"/>
  <c r="L185" i="628"/>
  <c r="L176" i="628"/>
  <c r="L189" i="628"/>
  <c r="L191" i="628"/>
  <c r="L192" i="628"/>
  <c r="L187" i="628"/>
  <c r="L194" i="628"/>
  <c r="L188" i="628"/>
  <c r="L196" i="628"/>
  <c r="L190" i="628"/>
  <c r="L198" i="628"/>
  <c r="L193" i="628"/>
  <c r="L201" i="628"/>
  <c r="L195" i="628"/>
  <c r="L197" i="628"/>
  <c r="L204" i="628"/>
  <c r="L205" i="628"/>
  <c r="L206" i="628"/>
  <c r="L199" i="628"/>
  <c r="L202" i="628"/>
  <c r="L203" i="628"/>
  <c r="L209" i="628"/>
  <c r="L210" i="628"/>
  <c r="L211" i="628"/>
  <c r="L212" i="628"/>
  <c r="L217" i="628"/>
  <c r="L207" i="628"/>
  <c r="L223" i="628"/>
  <c r="L226" i="628"/>
  <c r="L208" i="628"/>
  <c r="L230" i="628"/>
  <c r="L200" i="628"/>
  <c r="L234" i="628"/>
  <c r="L236" i="628"/>
  <c r="L237" i="628"/>
  <c r="L239" i="628"/>
  <c r="L242" i="628"/>
  <c r="L213" i="628"/>
  <c r="L247" i="628"/>
  <c r="L252" i="628"/>
  <c r="L254" i="628"/>
  <c r="L255" i="628"/>
  <c r="L219" i="628"/>
  <c r="L227" i="628"/>
  <c r="L263" i="628"/>
  <c r="L265" i="628"/>
  <c r="L267" i="628"/>
  <c r="L269" i="628"/>
  <c r="L232" i="628"/>
  <c r="L235" i="628"/>
  <c r="L275" i="628"/>
  <c r="L244" i="628"/>
  <c r="L280" i="628"/>
  <c r="L246" i="628"/>
  <c r="L285" i="628"/>
  <c r="L286" i="628"/>
  <c r="L287" i="628"/>
  <c r="L256" i="628"/>
  <c r="L289" i="628"/>
  <c r="L262" i="628"/>
  <c r="L291" i="628"/>
  <c r="L292" i="628"/>
  <c r="L293" i="628"/>
  <c r="L294" i="628"/>
  <c r="L295" i="628"/>
  <c r="L270" i="628"/>
  <c r="L297" i="628"/>
  <c r="L299" i="628"/>
  <c r="L300" i="628"/>
  <c r="L274" i="628"/>
  <c r="L302" i="628"/>
  <c r="L278" i="628"/>
  <c r="L304" i="628"/>
  <c r="L306" i="628"/>
  <c r="L283" i="628"/>
  <c r="L309" i="628"/>
  <c r="L310" i="628"/>
  <c r="L288" i="628"/>
  <c r="L313" i="628"/>
  <c r="L317" i="628"/>
  <c r="L290" i="628"/>
  <c r="L296" i="628"/>
  <c r="L327" i="628"/>
  <c r="L329" i="628"/>
  <c r="L331" i="628"/>
  <c r="L332" i="628"/>
  <c r="L301" i="628"/>
  <c r="L334" i="628"/>
  <c r="L336" i="628"/>
  <c r="L343" i="628"/>
  <c r="L344" i="628"/>
  <c r="L346" i="628"/>
  <c r="L303" i="628"/>
  <c r="L350" i="628"/>
  <c r="L351" i="628"/>
  <c r="L353" i="628"/>
  <c r="L354" i="628"/>
  <c r="L355" i="628"/>
  <c r="L357" i="628"/>
  <c r="L359" i="628"/>
  <c r="L360" i="628"/>
  <c r="L361" i="628"/>
  <c r="L308" i="628"/>
  <c r="L364" i="628"/>
  <c r="L365" i="628"/>
  <c r="L366" i="628"/>
  <c r="L367" i="628"/>
  <c r="L311" i="628"/>
  <c r="L318" i="628"/>
  <c r="L370" i="628"/>
  <c r="L371" i="628"/>
  <c r="L319" i="628"/>
  <c r="L374" i="628"/>
  <c r="L375" i="628"/>
  <c r="L333" i="628"/>
  <c r="L377" i="628"/>
  <c r="L378" i="628"/>
  <c r="L347" i="628"/>
  <c r="L362" i="628"/>
  <c r="L384" i="628"/>
  <c r="L388" i="628"/>
  <c r="L389" i="628"/>
  <c r="L363" i="628"/>
  <c r="L393" i="628"/>
  <c r="L394" i="628"/>
  <c r="L358" i="628"/>
  <c r="L397" i="628"/>
  <c r="L401" i="628"/>
  <c r="L405" i="628"/>
  <c r="L406" i="628"/>
  <c r="L368" i="628"/>
  <c r="L409" i="628"/>
  <c r="L412" i="628"/>
  <c r="L415" i="628"/>
  <c r="L420" i="628"/>
  <c r="L369" i="628"/>
  <c r="L421" i="628"/>
  <c r="L422" i="628"/>
  <c r="L423" i="628"/>
  <c r="L426" i="628"/>
  <c r="L372" i="628"/>
  <c r="L428" i="628"/>
  <c r="L429" i="628"/>
  <c r="L430" i="628"/>
  <c r="L431" i="628"/>
  <c r="L432" i="628"/>
  <c r="L376" i="628"/>
  <c r="L379" i="628"/>
  <c r="L435" i="628"/>
  <c r="L437" i="628"/>
  <c r="L438" i="628"/>
  <c r="L439" i="628"/>
  <c r="L382" i="628"/>
  <c r="L442" i="628"/>
  <c r="L443" i="628"/>
  <c r="L444" i="628"/>
  <c r="L445" i="628"/>
  <c r="L383" i="628"/>
  <c r="L448" i="628"/>
  <c r="L449" i="628"/>
  <c r="L454" i="628"/>
  <c r="L456" i="628"/>
  <c r="L458" i="628"/>
  <c r="L390" i="628"/>
  <c r="L463" i="628"/>
  <c r="L466" i="628"/>
  <c r="L465" i="628"/>
  <c r="L483" i="628"/>
  <c r="L480" i="628"/>
  <c r="L481" i="628"/>
  <c r="L482" i="628"/>
  <c r="L400" i="628"/>
  <c r="L485" i="628"/>
  <c r="L407" i="628"/>
  <c r="L487" i="628"/>
  <c r="L427" i="628"/>
  <c r="L489" i="628"/>
  <c r="L425" i="628"/>
  <c r="L433" i="628"/>
  <c r="L494" i="628"/>
  <c r="L495" i="628"/>
  <c r="L498" i="628"/>
  <c r="L507" i="628"/>
  <c r="L501" i="628"/>
  <c r="L440" i="628"/>
  <c r="L508" i="628"/>
  <c r="L512" i="628"/>
  <c r="L514" i="628"/>
  <c r="L434" i="628"/>
  <c r="L518" i="628"/>
  <c r="L436" i="628"/>
  <c r="L521" i="628"/>
  <c r="L447" i="628"/>
  <c r="L523" i="628"/>
  <c r="L451" i="628"/>
  <c r="L525" i="628"/>
  <c r="L461" i="628"/>
  <c r="L527" i="628"/>
  <c r="L478" i="628"/>
  <c r="L529" i="628"/>
  <c r="L484" i="628"/>
  <c r="L486" i="628"/>
  <c r="L532" i="628"/>
  <c r="L533" i="628"/>
  <c r="L534" i="628"/>
  <c r="L535" i="628"/>
  <c r="L536" i="628"/>
  <c r="L537" i="628"/>
  <c r="L538" i="628"/>
  <c r="L539" i="628"/>
  <c r="L540" i="628"/>
  <c r="L488" i="628"/>
  <c r="L542" i="628"/>
  <c r="L544" i="628"/>
  <c r="L545" i="628"/>
  <c r="L500" i="628"/>
  <c r="L491" i="628"/>
  <c r="L548" i="628"/>
  <c r="L549" i="628"/>
  <c r="L509" i="628"/>
  <c r="L517" i="628"/>
  <c r="L560" i="628"/>
  <c r="L557" i="628"/>
  <c r="L520" i="628"/>
  <c r="L561" i="628"/>
  <c r="L528" i="628"/>
  <c r="L567" i="628"/>
  <c r="L524" i="628"/>
  <c r="L571" i="628"/>
  <c r="L572" i="628"/>
  <c r="L577" i="628"/>
  <c r="L578" i="628"/>
  <c r="L579" i="628"/>
  <c r="L585" i="628"/>
  <c r="L582" i="628"/>
  <c r="L583" i="628"/>
  <c r="L526" i="628"/>
  <c r="L587" i="628"/>
  <c r="L589" i="628"/>
  <c r="L594" i="628"/>
  <c r="L593" i="628"/>
  <c r="L546" i="628"/>
  <c r="L530" i="628"/>
  <c r="L596" i="628"/>
  <c r="L597" i="628"/>
  <c r="L598" i="628"/>
  <c r="L599" i="628"/>
  <c r="L600" i="628"/>
  <c r="L601" i="628"/>
  <c r="L602" i="628"/>
  <c r="L608" i="628"/>
  <c r="L605" i="628"/>
  <c r="L531" i="628"/>
  <c r="L614" i="628"/>
  <c r="L541" i="628"/>
  <c r="L625" i="628"/>
  <c r="L547" i="628"/>
  <c r="L550" i="628"/>
  <c r="L630" i="628"/>
  <c r="L555" i="628"/>
  <c r="L637" i="628"/>
  <c r="L635" i="628"/>
  <c r="L554" i="628"/>
  <c r="L558" i="628"/>
  <c r="L562" i="628"/>
  <c r="L643" i="628"/>
  <c r="L569" i="628"/>
  <c r="L644" i="628"/>
  <c r="L645" i="628"/>
  <c r="L646" i="628"/>
  <c r="L590" i="628"/>
  <c r="L649" i="628"/>
  <c r="L650" i="628"/>
  <c r="L651" i="628"/>
  <c r="L591" i="628"/>
  <c r="L653" i="628"/>
  <c r="L654" i="628"/>
  <c r="L603" i="628"/>
  <c r="L595" i="628"/>
  <c r="L657" i="628"/>
  <c r="L658" i="628"/>
  <c r="L659" i="628"/>
  <c r="L660" i="628"/>
  <c r="L661" i="628"/>
  <c r="L662" i="628"/>
  <c r="L663" i="628"/>
  <c r="L664" i="628"/>
  <c r="L665" i="628"/>
  <c r="L666" i="628"/>
  <c r="L667" i="628"/>
  <c r="L669" i="628"/>
  <c r="L676" i="628"/>
  <c r="L675" i="628"/>
  <c r="L611" i="628"/>
  <c r="L618" i="628"/>
  <c r="L626" i="628"/>
  <c r="L682" i="628"/>
  <c r="L692" i="628"/>
  <c r="L686" i="628"/>
  <c r="L687" i="628"/>
  <c r="L688" i="628"/>
  <c r="L689" i="628"/>
  <c r="L690" i="628"/>
  <c r="L691" i="628"/>
  <c r="L693" i="628"/>
  <c r="L694" i="628"/>
  <c r="L695" i="628"/>
  <c r="L628" i="628"/>
  <c r="L632" i="628"/>
  <c r="L697" i="628"/>
  <c r="L698" i="628"/>
  <c r="L699" i="628"/>
  <c r="L638" i="628"/>
  <c r="L701" i="628"/>
  <c r="L703" i="628"/>
  <c r="L704" i="628"/>
  <c r="L705" i="628"/>
  <c r="L706" i="628"/>
  <c r="L641" i="628"/>
  <c r="L707" i="628"/>
  <c r="L639" i="628"/>
  <c r="L709" i="628"/>
  <c r="L710" i="628"/>
  <c r="L652" i="628"/>
  <c r="L647" i="628"/>
  <c r="L714" i="628"/>
  <c r="L716" i="628"/>
  <c r="L648" i="628"/>
  <c r="L668" i="628"/>
  <c r="L719" i="628"/>
  <c r="L720" i="628"/>
  <c r="L721" i="628"/>
  <c r="L722" i="628"/>
  <c r="L724" i="628"/>
  <c r="L725" i="628"/>
  <c r="L655" i="628"/>
  <c r="L727" i="628"/>
  <c r="L728" i="628"/>
  <c r="L656" i="628"/>
  <c r="L731" i="628"/>
  <c r="L732" i="628"/>
  <c r="L673" i="628"/>
  <c r="L734" i="628"/>
  <c r="L735" i="628"/>
  <c r="L736" i="628"/>
  <c r="L737" i="628"/>
  <c r="L738" i="628"/>
  <c r="L679" i="628"/>
  <c r="L681" i="628"/>
  <c r="L683" i="628"/>
  <c r="L702" i="628"/>
  <c r="L696" i="628"/>
  <c r="L745" i="628"/>
  <c r="L746" i="628"/>
  <c r="L747" i="628"/>
  <c r="L700" i="628"/>
  <c r="L750" i="628"/>
  <c r="L751" i="628"/>
  <c r="L713" i="628"/>
  <c r="L753" i="628"/>
  <c r="L708" i="628"/>
  <c r="L755" i="628"/>
  <c r="L756" i="628"/>
  <c r="L758" i="628"/>
  <c r="L759" i="628"/>
  <c r="L711" i="628"/>
  <c r="L712" i="628"/>
  <c r="L762" i="628"/>
  <c r="L764" i="628"/>
  <c r="L765" i="628"/>
  <c r="L730" i="628"/>
  <c r="L718" i="628"/>
  <c r="L723" i="628"/>
  <c r="L726" i="628"/>
  <c r="L769" i="628"/>
  <c r="L749" i="628"/>
  <c r="L772" i="628"/>
  <c r="L773" i="628"/>
  <c r="L774" i="628"/>
  <c r="L733" i="628"/>
  <c r="L776" i="628"/>
  <c r="L739" i="628"/>
  <c r="L778" i="628"/>
  <c r="L779" i="628"/>
  <c r="L780" i="628"/>
  <c r="L782" i="628"/>
  <c r="L740" i="628"/>
  <c r="L794" i="628"/>
  <c r="L797" i="628"/>
  <c r="L798" i="628"/>
  <c r="L801" i="628"/>
  <c r="L802" i="628"/>
  <c r="L741" i="628"/>
  <c r="L803" i="628"/>
  <c r="L813" i="628"/>
  <c r="L817" i="628"/>
  <c r="L816" i="628"/>
  <c r="L825" i="628"/>
  <c r="L742" i="628"/>
  <c r="L827" i="628"/>
  <c r="L743" i="628"/>
  <c r="L830" i="628"/>
  <c r="L748" i="628"/>
  <c r="L833" i="628"/>
  <c r="L752" i="628"/>
  <c r="L836" i="628"/>
  <c r="L754" i="628"/>
  <c r="L760" i="628"/>
  <c r="L845" i="628"/>
  <c r="L761" i="628"/>
  <c r="L851" i="628"/>
  <c r="L852" i="628"/>
  <c r="L763" i="628"/>
  <c r="L857" i="628"/>
  <c r="L856" i="628"/>
  <c r="L859" i="628"/>
  <c r="L766" i="628"/>
  <c r="L767" i="628"/>
  <c r="L786" i="628"/>
  <c r="L868" i="628"/>
  <c r="L869" i="628"/>
  <c r="L870" i="628"/>
  <c r="L768" i="628"/>
  <c r="L872" i="628"/>
  <c r="L873" i="628"/>
  <c r="L875" i="628"/>
  <c r="L770" i="628"/>
  <c r="L775" i="628"/>
  <c r="L777" i="628"/>
  <c r="L880" i="628"/>
  <c r="L788" i="628"/>
  <c r="L809" i="628"/>
  <c r="L883" i="628"/>
  <c r="L890" i="628"/>
  <c r="L891" i="628"/>
  <c r="L893" i="628"/>
  <c r="L897" i="628"/>
  <c r="L907" i="628"/>
  <c r="L831" i="628"/>
  <c r="L916" i="628"/>
  <c r="L917" i="628"/>
  <c r="L919" i="628"/>
  <c r="L829" i="628"/>
  <c r="L920" i="628"/>
  <c r="L921" i="628"/>
  <c r="L832" i="628"/>
  <c r="L928" i="628"/>
  <c r="L930" i="628"/>
  <c r="L842" i="628"/>
  <c r="L935" i="628"/>
  <c r="L837" i="628"/>
  <c r="L843" i="628"/>
  <c r="L846" i="628"/>
  <c r="L939" i="628"/>
  <c r="L854" i="628"/>
  <c r="L944" i="628"/>
  <c r="L867" i="628"/>
  <c r="L864" i="628"/>
  <c r="L877" i="628"/>
  <c r="L970" i="628"/>
  <c r="L973" i="628"/>
  <c r="L871" i="628"/>
  <c r="L876" i="628"/>
  <c r="L974" i="628"/>
  <c r="L886" i="628"/>
  <c r="L976" i="628"/>
  <c r="L977" i="628"/>
  <c r="L978" i="628"/>
  <c r="L979" i="628"/>
  <c r="L878" i="628"/>
  <c r="L988" i="628"/>
  <c r="L881" i="628"/>
  <c r="L999" i="628"/>
  <c r="L882" i="628"/>
  <c r="L898" i="628"/>
  <c r="L911" i="628"/>
  <c r="L1009" i="628"/>
  <c r="L1008" i="628"/>
  <c r="L915" i="628"/>
  <c r="L1010" i="628"/>
  <c r="L929" i="628"/>
  <c r="L1022" i="628"/>
  <c r="L1033" i="628"/>
  <c r="L1034" i="628"/>
  <c r="L1038" i="628"/>
  <c r="L1042" i="628"/>
  <c r="L923" i="628"/>
  <c r="L1046" i="628"/>
  <c r="L926" i="628"/>
  <c r="L1052" i="628"/>
  <c r="L931" i="628"/>
  <c r="L932" i="628"/>
  <c r="L937" i="628"/>
  <c r="L945" i="628"/>
  <c r="L938" i="628"/>
  <c r="L940" i="628"/>
  <c r="L942" i="628"/>
  <c r="L943" i="628"/>
  <c r="L961" i="628"/>
  <c r="L962" i="628"/>
  <c r="L963" i="628"/>
  <c r="L971" i="628"/>
  <c r="L981" i="628"/>
  <c r="L975" i="628"/>
  <c r="L986" i="628"/>
  <c r="L995" i="628"/>
  <c r="L1001" i="628"/>
  <c r="L1003" i="628"/>
  <c r="L1004" i="628"/>
  <c r="L1013" i="628"/>
  <c r="L1011" i="628"/>
  <c r="L1025" i="628"/>
  <c r="L1028" i="628"/>
  <c r="L1044" i="628"/>
  <c r="L1047" i="628"/>
  <c r="L1058" i="628"/>
  <c r="L744" i="628"/>
  <c r="L592" i="628"/>
  <c r="L972" i="628"/>
  <c r="L173" i="628"/>
  <c r="L127" i="628"/>
  <c r="L604" i="628"/>
  <c r="L356" i="628"/>
  <c r="L129" i="628"/>
  <c r="L729" i="628"/>
  <c r="L879" i="628"/>
  <c r="L135" i="628"/>
  <c r="L757" i="628"/>
  <c r="L258" i="628"/>
  <c r="L373" i="628"/>
  <c r="L139" i="628"/>
  <c r="L933" i="628"/>
  <c r="L855" i="628"/>
  <c r="L314" i="628"/>
  <c r="L441" i="628"/>
  <c r="L622" i="628"/>
  <c r="L934" i="628"/>
  <c r="L834" i="628"/>
  <c r="L216" i="628"/>
  <c r="L835" i="628"/>
  <c r="L887" i="628"/>
  <c r="L936" i="628"/>
  <c r="L490" i="628"/>
  <c r="L492" i="628"/>
  <c r="L151" i="628"/>
  <c r="L771" i="628"/>
  <c r="L493" i="628"/>
  <c r="L985" i="628"/>
  <c r="L95" i="628"/>
  <c r="L874" i="628"/>
  <c r="L941" i="628"/>
  <c r="L543" i="628"/>
  <c r="L912" i="628"/>
  <c r="L238" i="628"/>
  <c r="L900" i="628"/>
  <c r="L499" i="628"/>
  <c r="L993" i="628"/>
  <c r="L82" i="628"/>
  <c r="L221" i="628"/>
  <c r="L464" i="628"/>
  <c r="L165" i="628"/>
  <c r="L796" i="628"/>
  <c r="L245" i="628"/>
  <c r="L839" i="628"/>
  <c r="N560" i="628" l="1"/>
  <c r="H839" i="628"/>
  <c r="G839" i="628"/>
  <c r="H245" i="628"/>
  <c r="G245" i="628"/>
  <c r="H796" i="628"/>
  <c r="G796" i="628"/>
  <c r="H165" i="628"/>
  <c r="G165" i="628"/>
  <c r="H464" i="628"/>
  <c r="G464" i="628"/>
  <c r="H221" i="628"/>
  <c r="G221" i="628"/>
  <c r="H82" i="628"/>
  <c r="G82" i="628"/>
  <c r="H993" i="628"/>
  <c r="G993" i="628"/>
  <c r="H499" i="628"/>
  <c r="G499" i="628"/>
  <c r="H900" i="628"/>
  <c r="N900" i="628" s="1"/>
  <c r="G900" i="628"/>
  <c r="H238" i="628"/>
  <c r="G238" i="628"/>
  <c r="H912" i="628"/>
  <c r="N912" i="628" s="1"/>
  <c r="G912" i="628"/>
  <c r="N82" i="628" l="1"/>
  <c r="H500" i="628"/>
  <c r="N500" i="628" l="1"/>
  <c r="H543" i="628"/>
  <c r="G543" i="628"/>
  <c r="H941" i="628"/>
  <c r="G941" i="628"/>
  <c r="H874" i="628"/>
  <c r="G874" i="628"/>
  <c r="H95" i="628"/>
  <c r="G95" i="628"/>
  <c r="H985" i="628"/>
  <c r="G985" i="628"/>
  <c r="H493" i="628"/>
  <c r="G493" i="628"/>
  <c r="H771" i="628"/>
  <c r="G771" i="628"/>
  <c r="H151" i="628"/>
  <c r="G151" i="628"/>
  <c r="H492" i="628"/>
  <c r="G492" i="628"/>
  <c r="H490" i="628"/>
  <c r="G490" i="628"/>
  <c r="H936" i="628"/>
  <c r="G936" i="628"/>
  <c r="H887" i="628"/>
  <c r="N887" i="628" s="1"/>
  <c r="G887" i="628"/>
  <c r="H835" i="628"/>
  <c r="G835" i="628"/>
  <c r="H216" i="628"/>
  <c r="G216" i="628"/>
  <c r="H834" i="628"/>
  <c r="G834" i="628"/>
  <c r="H934" i="628"/>
  <c r="G934" i="628"/>
  <c r="H622" i="628"/>
  <c r="G622" i="628"/>
  <c r="H441" i="628"/>
  <c r="G441" i="628"/>
  <c r="H314" i="628"/>
  <c r="G314" i="628"/>
  <c r="H855" i="628"/>
  <c r="G855" i="628"/>
  <c r="H933" i="628"/>
  <c r="G933" i="628"/>
  <c r="H139" i="628"/>
  <c r="G139" i="628"/>
  <c r="H373" i="628"/>
  <c r="G373" i="628"/>
  <c r="H258" i="628"/>
  <c r="G258" i="628"/>
  <c r="H757" i="628"/>
  <c r="G757" i="628"/>
  <c r="H135" i="628"/>
  <c r="G135" i="628"/>
  <c r="H879" i="628"/>
  <c r="G879" i="628"/>
  <c r="H729" i="628"/>
  <c r="G729" i="628"/>
  <c r="H129" i="628"/>
  <c r="G129" i="628"/>
  <c r="H356" i="628"/>
  <c r="G356" i="628"/>
  <c r="H604" i="628"/>
  <c r="N604" i="628" s="1"/>
  <c r="G604" i="628"/>
  <c r="H127" i="628"/>
  <c r="G127" i="628"/>
  <c r="H173" i="628"/>
  <c r="G173" i="628"/>
  <c r="H972" i="628"/>
  <c r="G972" i="628"/>
  <c r="H592" i="628"/>
  <c r="G592" i="628"/>
  <c r="H744" i="628"/>
  <c r="G744" i="628"/>
  <c r="N985" i="628" l="1"/>
  <c r="G213" i="628"/>
  <c r="G591" i="628"/>
  <c r="G400" i="628"/>
  <c r="G3" i="628"/>
  <c r="G648" i="628"/>
  <c r="G425" i="628"/>
  <c r="G723" i="628"/>
  <c r="G673" i="628"/>
  <c r="G1025" i="628"/>
  <c r="G932" i="628"/>
  <c r="G235" i="628"/>
  <c r="G1028" i="628"/>
  <c r="G763" i="628"/>
  <c r="G244" i="628"/>
  <c r="G362" i="628"/>
  <c r="G363" i="628"/>
  <c r="G383" i="628"/>
  <c r="G436" i="628"/>
  <c r="G926" i="628"/>
  <c r="G156" i="628"/>
  <c r="G190" i="628"/>
  <c r="G898" i="628"/>
  <c r="G942" i="628"/>
  <c r="G943" i="628"/>
  <c r="G915" i="628"/>
  <c r="G550" i="628" l="1"/>
  <c r="G1058" i="628"/>
  <c r="G1001" i="628"/>
  <c r="G981" i="628"/>
  <c r="G786" i="628"/>
  <c r="G730" i="628"/>
  <c r="G713" i="628"/>
  <c r="G755" i="628"/>
  <c r="G882" i="628"/>
  <c r="G881" i="628"/>
  <c r="G883" i="628"/>
  <c r="G890" i="628"/>
  <c r="G891" i="628"/>
  <c r="G897" i="628"/>
  <c r="G911" i="628"/>
  <c r="G916" i="628"/>
  <c r="G919" i="628"/>
  <c r="G923" i="628"/>
  <c r="G928" i="628"/>
  <c r="G294" i="628"/>
  <c r="G534" i="628"/>
  <c r="G343" i="628"/>
  <c r="G813" i="628"/>
  <c r="G202" i="628"/>
  <c r="G711" i="628"/>
  <c r="G597" i="628"/>
  <c r="G256" i="628"/>
  <c r="G354" i="628"/>
  <c r="G544" i="628"/>
  <c r="G1034" i="628"/>
  <c r="G350" i="628"/>
  <c r="G754" i="628"/>
  <c r="G382" i="628"/>
  <c r="G971" i="628"/>
  <c r="G867" i="628"/>
  <c r="G197" i="628"/>
  <c r="G773" i="628"/>
  <c r="G929" i="628"/>
  <c r="G394" i="628"/>
  <c r="G635" i="628"/>
  <c r="G973" i="628"/>
  <c r="G263" i="628"/>
  <c r="G116" i="628"/>
  <c r="G780" i="628"/>
  <c r="G347" i="628"/>
  <c r="G303" i="628"/>
  <c r="G527" i="628"/>
  <c r="G227" i="628"/>
  <c r="G304" i="628"/>
  <c r="G301" i="628"/>
  <c r="G939" i="628"/>
  <c r="G797" i="628"/>
  <c r="G195" i="628"/>
  <c r="G647" i="628"/>
  <c r="G463" i="628"/>
  <c r="G351" i="628"/>
  <c r="G656" i="628"/>
  <c r="G577" i="628"/>
  <c r="G365" i="628"/>
  <c r="G123" i="628"/>
  <c r="G378" i="628"/>
  <c r="G182" i="628"/>
  <c r="G358" i="628"/>
  <c r="G14" i="628"/>
  <c r="G60" i="628"/>
  <c r="G234" i="628"/>
  <c r="G831" i="628"/>
  <c r="G371" i="628"/>
  <c r="G665" i="628"/>
  <c r="G751" i="628"/>
  <c r="G136" i="628"/>
  <c r="G562" i="628"/>
  <c r="G429" i="628"/>
  <c r="G859" i="628"/>
  <c r="G110" i="628"/>
  <c r="G176" i="628"/>
  <c r="G728" i="628"/>
  <c r="G412" i="628"/>
  <c r="G719" i="628"/>
  <c r="G666" i="628"/>
  <c r="G137" i="628"/>
  <c r="G1003" i="628"/>
  <c r="G466" i="628"/>
  <c r="G676" i="628"/>
  <c r="G254" i="628"/>
  <c r="G6" i="628"/>
  <c r="G142" i="628"/>
  <c r="G661" i="628"/>
  <c r="G11" i="628"/>
  <c r="G931" i="628"/>
  <c r="G223" i="628"/>
  <c r="G638" i="628"/>
  <c r="G669" i="628"/>
  <c r="G703" i="628"/>
  <c r="G772" i="628"/>
  <c r="G205" i="628"/>
  <c r="G737" i="628"/>
  <c r="G769" i="628"/>
  <c r="G682" i="628"/>
  <c r="G483" i="628"/>
  <c r="G484" i="628"/>
  <c r="G724" i="628"/>
  <c r="G181" i="628"/>
  <c r="G594" i="628"/>
  <c r="G832" i="628"/>
  <c r="G692" i="628"/>
  <c r="G977" i="628"/>
  <c r="G742" i="628"/>
  <c r="G107" i="628"/>
  <c r="G687" i="628"/>
  <c r="G854" i="628"/>
  <c r="G117" i="628"/>
  <c r="G514" i="628"/>
  <c r="G689" i="628"/>
  <c r="G611" i="628"/>
  <c r="G722" i="628"/>
  <c r="G691" i="628"/>
  <c r="G745" i="628"/>
  <c r="G155" i="628"/>
  <c r="G57" i="628"/>
  <c r="G206" i="628"/>
  <c r="G521" i="628"/>
  <c r="G520" i="628"/>
  <c r="G937" i="628"/>
  <c r="G803" i="628"/>
  <c r="G406" i="628"/>
  <c r="G421" i="628"/>
  <c r="G246" i="628"/>
  <c r="G979" i="628"/>
  <c r="G179" i="628"/>
  <c r="G935" i="628"/>
  <c r="G945" i="628"/>
  <c r="G274" i="628"/>
  <c r="G288" i="628"/>
  <c r="G578" i="628"/>
  <c r="G705" i="628"/>
  <c r="G765" i="628"/>
  <c r="G270" i="628"/>
  <c r="G196" i="628"/>
  <c r="G210" i="628"/>
  <c r="G311" i="628"/>
  <c r="G334" i="628"/>
  <c r="G999" i="628"/>
  <c r="G579" i="628"/>
  <c r="G1004" i="628"/>
  <c r="G174" i="628"/>
  <c r="G1013" i="628"/>
  <c r="G539" i="628"/>
  <c r="G390" i="628"/>
  <c r="G495" i="628"/>
  <c r="G554" i="628"/>
  <c r="G25" i="628"/>
  <c r="G1022" i="628"/>
  <c r="G1009" i="628"/>
  <c r="G427" i="628"/>
  <c r="G317" i="628"/>
  <c r="G384" i="628"/>
  <c r="G431" i="628"/>
  <c r="G465" i="628"/>
  <c r="G707" i="628"/>
  <c r="G172" i="628"/>
  <c r="G726" i="628"/>
  <c r="G873" i="628"/>
  <c r="G708" i="628"/>
  <c r="G21" i="628"/>
  <c r="G149" i="628"/>
  <c r="G145" i="628"/>
  <c r="G433" i="628"/>
  <c r="G524" i="628"/>
  <c r="G940" i="628"/>
  <c r="G186" i="628"/>
  <c r="G428" i="628"/>
  <c r="G437" i="628"/>
  <c r="G444" i="628"/>
  <c r="G501" i="628"/>
  <c r="G512" i="628"/>
  <c r="G558" i="628"/>
  <c r="G721" i="628"/>
  <c r="G816" i="628"/>
  <c r="G318" i="628"/>
  <c r="G275" i="628"/>
  <c r="G189" i="628"/>
  <c r="G976" i="628"/>
  <c r="G587" i="628"/>
  <c r="G704" i="628"/>
  <c r="G531" i="628"/>
  <c r="G193" i="628"/>
  <c r="G546" i="628"/>
  <c r="G486" i="628"/>
  <c r="G120" i="628"/>
  <c r="G141" i="628"/>
  <c r="G498" i="628"/>
  <c r="G750" i="628"/>
  <c r="G78" i="628"/>
  <c r="G710" i="628"/>
  <c r="G118" i="628"/>
  <c r="G140" i="628"/>
  <c r="G148" i="628"/>
  <c r="G595" i="628"/>
  <c r="G283" i="628"/>
  <c r="G278" i="628"/>
  <c r="G690" i="628"/>
  <c r="G760" i="628"/>
  <c r="G377" i="628"/>
  <c r="G482" i="628"/>
  <c r="G286" i="628"/>
  <c r="G961" i="628"/>
  <c r="G443" i="628"/>
  <c r="G540" i="628"/>
  <c r="G593" i="628"/>
  <c r="G481" i="628"/>
  <c r="G344" i="628"/>
  <c r="G535" i="628"/>
  <c r="G1042" i="628"/>
  <c r="G523" i="628"/>
  <c r="G596" i="628"/>
  <c r="G280" i="628"/>
  <c r="G598" i="628"/>
  <c r="G762" i="628"/>
  <c r="G877" i="628"/>
  <c r="G599" i="628"/>
  <c r="G92" i="628"/>
  <c r="G600" i="628"/>
  <c r="G995" i="628"/>
  <c r="G530" i="628"/>
  <c r="G601" i="628"/>
  <c r="G698" i="628"/>
  <c r="G798" i="628"/>
  <c r="G700" i="628"/>
  <c r="G921" i="628"/>
  <c r="G740" i="628"/>
  <c r="G415" i="628"/>
  <c r="G442" i="628"/>
  <c r="G602" i="628"/>
  <c r="G122" i="628"/>
  <c r="G255" i="628"/>
  <c r="G440" i="628"/>
  <c r="G864" i="628"/>
  <c r="G538" i="628"/>
  <c r="G374" i="628"/>
  <c r="G930" i="628"/>
  <c r="G445" i="628"/>
  <c r="G697" i="628"/>
  <c r="G297" i="628"/>
  <c r="G731" i="628"/>
  <c r="G732" i="628"/>
  <c r="G547" i="628"/>
  <c r="G870" i="628"/>
  <c r="G128" i="628"/>
  <c r="G657" i="628"/>
  <c r="G716" i="628"/>
  <c r="G147" i="628"/>
  <c r="G130" i="628"/>
  <c r="G420" i="628"/>
  <c r="G768" i="628"/>
  <c r="G507" i="628"/>
  <c r="G252" i="628"/>
  <c r="G265" i="628"/>
  <c r="G269" i="628"/>
  <c r="G608" i="628"/>
  <c r="G79" i="628"/>
  <c r="G329" i="628"/>
  <c r="G509" i="628"/>
  <c r="G536" i="628"/>
  <c r="G605" i="628"/>
  <c r="G109" i="628"/>
  <c r="G192" i="628"/>
  <c r="G366" i="628"/>
  <c r="G423" i="628"/>
  <c r="G614" i="628"/>
  <c r="G461" i="628"/>
  <c r="G379" i="628"/>
  <c r="G720" i="628"/>
  <c r="G121" i="628"/>
  <c r="G537" i="628"/>
  <c r="G825" i="628"/>
  <c r="G494" i="628"/>
  <c r="G112" i="628"/>
  <c r="G766" i="628"/>
  <c r="G549" i="628"/>
  <c r="G836" i="628"/>
  <c r="G12" i="628"/>
  <c r="G119" i="628"/>
  <c r="G430" i="628"/>
  <c r="G920" i="628"/>
  <c r="G306" i="628"/>
  <c r="G357" i="628"/>
  <c r="G448" i="628"/>
  <c r="G545" i="628"/>
  <c r="G487" i="628"/>
  <c r="G625" i="628"/>
  <c r="G752" i="628"/>
  <c r="G626" i="628"/>
  <c r="G560" i="628"/>
  <c r="G746" i="628"/>
  <c r="G232" i="628"/>
  <c r="G435" i="628"/>
  <c r="G654" i="628"/>
  <c r="G764" i="628"/>
  <c r="G376" i="628"/>
  <c r="G699" i="628"/>
  <c r="G767" i="628"/>
  <c r="G49" i="628"/>
  <c r="G370" i="628"/>
  <c r="G422" i="628"/>
  <c r="G727" i="628"/>
  <c r="G827" i="628"/>
  <c r="G106" i="628"/>
  <c r="G557" i="628"/>
  <c r="G7" i="628"/>
  <c r="G438" i="628"/>
  <c r="G15" i="628"/>
  <c r="G302" i="628"/>
  <c r="G725" i="628"/>
  <c r="G185" i="628"/>
  <c r="G20" i="628"/>
  <c r="G34" i="628"/>
  <c r="G388" i="628"/>
  <c r="G217" i="628"/>
  <c r="G449" i="628"/>
  <c r="G630" i="628"/>
  <c r="G759" i="628"/>
  <c r="G663" i="628"/>
  <c r="G871" i="628"/>
  <c r="G178" i="628"/>
  <c r="G491" i="628"/>
  <c r="G236" i="628"/>
  <c r="G203" i="628"/>
  <c r="G409" i="628"/>
  <c r="G219" i="628"/>
  <c r="G788" i="628"/>
  <c r="G488" i="628"/>
  <c r="G287" i="628"/>
  <c r="G434" i="628"/>
  <c r="G644" i="628"/>
  <c r="G184" i="628"/>
  <c r="G108" i="628"/>
  <c r="G653" i="628"/>
  <c r="G775" i="628"/>
  <c r="G893" i="628"/>
  <c r="G458" i="628"/>
  <c r="G857" i="628"/>
  <c r="G1046" i="628"/>
  <c r="G41" i="628"/>
  <c r="G643" i="628"/>
  <c r="G555" i="628"/>
  <c r="G454" i="628"/>
  <c r="G489" i="628"/>
  <c r="G572" i="628"/>
  <c r="G679" i="628"/>
  <c r="G641" i="628"/>
  <c r="G817" i="628"/>
  <c r="G177" i="628"/>
  <c r="G401" i="628"/>
  <c r="G191" i="628"/>
  <c r="G124" i="628"/>
  <c r="G645" i="628"/>
  <c r="G353" i="628"/>
  <c r="G970" i="628"/>
  <c r="G974" i="628"/>
  <c r="G208" i="628"/>
  <c r="G432" i="628"/>
  <c r="G646" i="628"/>
  <c r="G988" i="628"/>
  <c r="G369" i="628"/>
  <c r="G180" i="628"/>
  <c r="G652" i="628"/>
  <c r="G8" i="628"/>
  <c r="G54" i="628"/>
  <c r="G162" i="628"/>
  <c r="G333" i="628"/>
  <c r="G851" i="628"/>
  <c r="G693" i="628"/>
  <c r="G198" i="628"/>
  <c r="G359" i="628"/>
  <c r="G639" i="628"/>
  <c r="G852" i="628"/>
  <c r="G583" i="628"/>
  <c r="G126" i="628"/>
  <c r="G779" i="628"/>
  <c r="G590" i="628"/>
  <c r="G758" i="628"/>
  <c r="G963" i="628"/>
  <c r="G262" i="628"/>
  <c r="G2" i="628"/>
  <c r="G683" i="628"/>
  <c r="G701" i="628"/>
  <c r="G144" i="628"/>
  <c r="G199" i="628"/>
  <c r="G938" i="628"/>
  <c r="G756" i="628"/>
  <c r="G735" i="628"/>
  <c r="G76" i="628"/>
  <c r="G845" i="628"/>
  <c r="G389" i="628"/>
  <c r="G169" i="628"/>
  <c r="G293" i="628"/>
  <c r="G962" i="628"/>
  <c r="G528" i="628"/>
  <c r="G395" i="628"/>
  <c r="G733" i="628"/>
  <c r="G9" i="628"/>
  <c r="G131" i="628"/>
  <c r="G319" i="628"/>
  <c r="G153" i="628"/>
  <c r="G331" i="628"/>
  <c r="G375" i="628"/>
  <c r="G289" i="628"/>
  <c r="G869" i="628"/>
  <c r="G829" i="628"/>
  <c r="G542" i="628"/>
  <c r="G668" i="628"/>
  <c r="G846" i="628"/>
  <c r="G782" i="628"/>
  <c r="G175" i="628"/>
  <c r="G526" i="628"/>
  <c r="G114" i="628"/>
  <c r="G886" i="628"/>
  <c r="G856" i="628"/>
  <c r="G843" i="628"/>
  <c r="G1038" i="628"/>
  <c r="G809" i="628"/>
  <c r="G134" i="628"/>
  <c r="G138" i="628"/>
  <c r="G143" i="628"/>
  <c r="G658" i="628"/>
  <c r="G4" i="628"/>
  <c r="G125" i="628"/>
  <c r="G917" i="628"/>
  <c r="G313" i="628"/>
  <c r="G794" i="628"/>
  <c r="G290" i="628"/>
  <c r="G533" i="628"/>
  <c r="G833" i="628"/>
  <c r="G367" i="628"/>
  <c r="G397" i="628"/>
  <c r="G776" i="628"/>
  <c r="G876" i="628"/>
  <c r="G104" i="628"/>
  <c r="G150" i="628"/>
  <c r="G5" i="628"/>
  <c r="G694" i="628"/>
  <c r="G187" i="628"/>
  <c r="G360" i="628"/>
  <c r="G880" i="628"/>
  <c r="G299" i="628"/>
  <c r="G944" i="628"/>
  <c r="G327" i="628"/>
  <c r="G842" i="628"/>
  <c r="G111" i="628"/>
  <c r="G43" i="628"/>
  <c r="G204" i="628"/>
  <c r="G485" i="628"/>
  <c r="G628" i="628"/>
  <c r="G706" i="628"/>
  <c r="G36" i="628"/>
  <c r="G712" i="628"/>
  <c r="G295" i="628"/>
  <c r="G878" i="628"/>
  <c r="G868" i="628"/>
  <c r="G115" i="628"/>
  <c r="G64" i="628"/>
  <c r="G132" i="628"/>
  <c r="G133" i="628"/>
  <c r="G209" i="628"/>
  <c r="G774" i="628"/>
  <c r="G517" i="628"/>
  <c r="G872" i="628"/>
  <c r="G292" i="628"/>
  <c r="G761" i="628"/>
  <c r="G332" i="628"/>
  <c r="G405" i="628"/>
  <c r="G439" i="628"/>
  <c r="G618" i="628"/>
  <c r="G525" i="628"/>
  <c r="G567" i="628"/>
  <c r="G695" i="628"/>
  <c r="G734" i="628"/>
  <c r="G743" i="628"/>
  <c r="G508" i="628"/>
  <c r="G532" i="628"/>
  <c r="G681" i="628"/>
  <c r="G830" i="628"/>
  <c r="G907" i="628"/>
  <c r="G741" i="628"/>
  <c r="G364" i="628"/>
  <c r="G239" i="628"/>
  <c r="G518" i="628"/>
  <c r="G541" i="628"/>
  <c r="G13" i="628"/>
  <c r="G975" i="628"/>
  <c r="G662" i="628"/>
  <c r="G500" i="628"/>
  <c r="G113" i="628"/>
  <c r="G336" i="628"/>
  <c r="G548" i="628"/>
  <c r="G426" i="628"/>
  <c r="G778" i="628"/>
  <c r="G56" i="628"/>
  <c r="G170" i="628"/>
  <c r="G585" i="628"/>
  <c r="G582" i="628"/>
  <c r="G736" i="628"/>
  <c r="G291" i="628"/>
  <c r="G1010" i="628"/>
  <c r="G1044" i="628"/>
  <c r="G407" i="628"/>
  <c r="G212" i="628"/>
  <c r="G480" i="628"/>
  <c r="G561" i="628"/>
  <c r="G368" i="628"/>
  <c r="G27" i="628"/>
  <c r="G166" i="628"/>
  <c r="G753" i="628"/>
  <c r="G667" i="628"/>
  <c r="G242" i="628"/>
  <c r="G146" i="628"/>
  <c r="G478" i="628"/>
  <c r="G201" i="628"/>
  <c r="G296" i="628"/>
  <c r="G1047" i="628"/>
  <c r="G1011" i="628"/>
  <c r="G986" i="628"/>
  <c r="G91" i="628"/>
  <c r="G61" i="628"/>
  <c r="G571" i="628"/>
  <c r="G738" i="628"/>
  <c r="G152" i="628"/>
  <c r="G777" i="628"/>
  <c r="G688" i="628"/>
  <c r="G747" i="628"/>
  <c r="G837" i="628"/>
  <c r="G569" i="628"/>
  <c r="G207" i="628"/>
  <c r="G38" i="628"/>
  <c r="G749" i="628"/>
  <c r="G589" i="628"/>
  <c r="G714" i="628"/>
  <c r="G632" i="628"/>
  <c r="G637" i="628"/>
  <c r="G451" i="628"/>
  <c r="G709" i="628"/>
  <c r="G188" i="628"/>
  <c r="G456" i="628"/>
  <c r="G309" i="628"/>
  <c r="G748" i="628"/>
  <c r="G247" i="628"/>
  <c r="G168" i="628"/>
  <c r="G237" i="628"/>
  <c r="G802" i="628"/>
  <c r="G603" i="628"/>
  <c r="G1033" i="628"/>
  <c r="G230" i="628"/>
  <c r="G346" i="628"/>
  <c r="G651" i="628"/>
  <c r="G1008" i="628"/>
  <c r="G696" i="628"/>
  <c r="G655" i="628"/>
  <c r="G45" i="628"/>
  <c r="G675" i="628"/>
  <c r="G361" i="628"/>
  <c r="G211" i="628"/>
  <c r="G718" i="628"/>
  <c r="G200" i="628"/>
  <c r="G649" i="628"/>
  <c r="G978" i="628"/>
  <c r="G355" i="628"/>
  <c r="G285" i="628"/>
  <c r="G801" i="628"/>
  <c r="G659" i="628"/>
  <c r="G702" i="628"/>
  <c r="G300" i="628"/>
  <c r="G660" i="628"/>
  <c r="G686" i="628"/>
  <c r="G770" i="628"/>
  <c r="G226" i="628"/>
  <c r="G372" i="628"/>
  <c r="G664" i="628"/>
  <c r="G267" i="628"/>
  <c r="G310" i="628"/>
  <c r="G183" i="628"/>
  <c r="G47" i="628"/>
  <c r="G308" i="628"/>
  <c r="G393" i="628"/>
  <c r="G739" i="628"/>
  <c r="G154" i="628"/>
  <c r="G81" i="628"/>
  <c r="G529" i="628"/>
  <c r="G1052" i="628"/>
  <c r="G447" i="628"/>
  <c r="G194" i="628"/>
  <c r="G10" i="628"/>
  <c r="G875" i="628"/>
  <c r="G159" i="628"/>
  <c r="G650" i="628"/>
  <c r="H213" i="628" l="1"/>
  <c r="H400" i="628"/>
  <c r="H648" i="628"/>
  <c r="H723" i="628"/>
  <c r="H1025" i="628"/>
  <c r="H235" i="628"/>
  <c r="H763" i="628"/>
  <c r="H362" i="628"/>
  <c r="H383" i="628"/>
  <c r="H926" i="628"/>
  <c r="H190" i="628"/>
  <c r="H942" i="628"/>
  <c r="H915" i="628"/>
  <c r="N915" i="628" s="1"/>
  <c r="H591" i="628"/>
  <c r="H425" i="628"/>
  <c r="H673" i="628"/>
  <c r="N673" i="628" s="1"/>
  <c r="H932" i="628"/>
  <c r="H1028" i="628"/>
  <c r="K53" i="629" s="1"/>
  <c r="M53" i="629" s="1"/>
  <c r="H244" i="628"/>
  <c r="H363" i="628"/>
  <c r="H436" i="628"/>
  <c r="H156" i="628"/>
  <c r="H898" i="628"/>
  <c r="H943" i="628"/>
  <c r="H1058" i="628"/>
  <c r="H881" i="628"/>
  <c r="H891" i="628"/>
  <c r="H916" i="628"/>
  <c r="H923" i="628"/>
  <c r="H550" i="628"/>
  <c r="H1001" i="628"/>
  <c r="N1001" i="628" s="1"/>
  <c r="H981" i="628"/>
  <c r="N981" i="628" s="1"/>
  <c r="H786" i="628"/>
  <c r="H730" i="628"/>
  <c r="H713" i="628"/>
  <c r="H755" i="628"/>
  <c r="H882" i="628"/>
  <c r="H883" i="628"/>
  <c r="H890" i="628"/>
  <c r="N890" i="628" s="1"/>
  <c r="H897" i="628"/>
  <c r="N897" i="628" s="1"/>
  <c r="H911" i="628"/>
  <c r="H919" i="628"/>
  <c r="H928" i="628"/>
  <c r="H294" i="628"/>
  <c r="H534" i="628"/>
  <c r="H343" i="628"/>
  <c r="H813" i="628"/>
  <c r="H202" i="628"/>
  <c r="H711" i="628"/>
  <c r="H597" i="628"/>
  <c r="H256" i="628"/>
  <c r="N256" i="628" s="1"/>
  <c r="H354" i="628"/>
  <c r="H544" i="628"/>
  <c r="H1034" i="628"/>
  <c r="H350" i="628"/>
  <c r="K210" i="629" s="1"/>
  <c r="M210" i="629" s="1"/>
  <c r="H754" i="628"/>
  <c r="H382" i="628"/>
  <c r="H971" i="628"/>
  <c r="H867" i="628"/>
  <c r="H197" i="628"/>
  <c r="H773" i="628"/>
  <c r="H929" i="628"/>
  <c r="N929" i="628" s="1"/>
  <c r="H394" i="628"/>
  <c r="H635" i="628"/>
  <c r="H973" i="628"/>
  <c r="N973" i="628" s="1"/>
  <c r="H263" i="628"/>
  <c r="H116" i="628"/>
  <c r="H780" i="628"/>
  <c r="H347" i="628"/>
  <c r="H303" i="628"/>
  <c r="H527" i="628"/>
  <c r="H227" i="628"/>
  <c r="H304" i="628"/>
  <c r="H301" i="628"/>
  <c r="N301" i="628" s="1"/>
  <c r="H939" i="628"/>
  <c r="H797" i="628"/>
  <c r="N797" i="628" s="1"/>
  <c r="H195" i="628"/>
  <c r="H647" i="628"/>
  <c r="H463" i="628"/>
  <c r="N463" i="628" s="1"/>
  <c r="H351" i="628"/>
  <c r="N351" i="628" s="1"/>
  <c r="H656" i="628"/>
  <c r="N1047" i="628" s="1"/>
  <c r="H577" i="628"/>
  <c r="N577" i="628" s="1"/>
  <c r="H365" i="628"/>
  <c r="H123" i="628"/>
  <c r="H378" i="628"/>
  <c r="N378" i="628" s="1"/>
  <c r="H182" i="628"/>
  <c r="H358" i="628"/>
  <c r="H14" i="628"/>
  <c r="H60" i="628"/>
  <c r="H234" i="628"/>
  <c r="H831" i="628"/>
  <c r="H371" i="628"/>
  <c r="H665" i="628"/>
  <c r="H751" i="628"/>
  <c r="H136" i="628"/>
  <c r="H562" i="628"/>
  <c r="N562" i="628" s="1"/>
  <c r="H429" i="628"/>
  <c r="H859" i="628"/>
  <c r="H110" i="628"/>
  <c r="H176" i="628"/>
  <c r="N176" i="628" s="1"/>
  <c r="H728" i="628"/>
  <c r="H412" i="628"/>
  <c r="H719" i="628"/>
  <c r="H666" i="628"/>
  <c r="H137" i="628"/>
  <c r="H1003" i="628"/>
  <c r="H466" i="628"/>
  <c r="N466" i="628" s="1"/>
  <c r="H676" i="628"/>
  <c r="H254" i="628"/>
  <c r="H6" i="628"/>
  <c r="H142" i="628"/>
  <c r="H661" i="628"/>
  <c r="H11" i="628"/>
  <c r="H931" i="628"/>
  <c r="H223" i="628"/>
  <c r="H638" i="628"/>
  <c r="H669" i="628"/>
  <c r="H703" i="628"/>
  <c r="H772" i="628"/>
  <c r="H205" i="628"/>
  <c r="H737" i="628"/>
  <c r="H769" i="628"/>
  <c r="H682" i="628"/>
  <c r="H483" i="628"/>
  <c r="N483" i="628" s="1"/>
  <c r="H484" i="628"/>
  <c r="H724" i="628"/>
  <c r="H181" i="628"/>
  <c r="H594" i="628"/>
  <c r="H832" i="628"/>
  <c r="H692" i="628"/>
  <c r="H977" i="628"/>
  <c r="H742" i="628"/>
  <c r="H107" i="628"/>
  <c r="N107" i="628" s="1"/>
  <c r="H687" i="628"/>
  <c r="H854" i="628"/>
  <c r="H117" i="628"/>
  <c r="H689" i="628"/>
  <c r="H611" i="628"/>
  <c r="N611" i="628" s="1"/>
  <c r="H722" i="628"/>
  <c r="H691" i="628"/>
  <c r="H745" i="628"/>
  <c r="H155" i="628"/>
  <c r="H57" i="628"/>
  <c r="H206" i="628"/>
  <c r="H521" i="628"/>
  <c r="H520" i="628"/>
  <c r="H937" i="628"/>
  <c r="H803" i="628"/>
  <c r="H406" i="628"/>
  <c r="H421" i="628"/>
  <c r="N421" i="628" s="1"/>
  <c r="H246" i="628"/>
  <c r="H979" i="628"/>
  <c r="H179" i="628"/>
  <c r="H935" i="628"/>
  <c r="H945" i="628"/>
  <c r="H274" i="628"/>
  <c r="N274" i="628" s="1"/>
  <c r="H288" i="628"/>
  <c r="H578" i="628"/>
  <c r="H705" i="628"/>
  <c r="H765" i="628"/>
  <c r="H270" i="628"/>
  <c r="H196" i="628"/>
  <c r="H210" i="628"/>
  <c r="H311" i="628"/>
  <c r="H334" i="628"/>
  <c r="H999" i="628"/>
  <c r="H579" i="628"/>
  <c r="H1004" i="628"/>
  <c r="N1004" i="628" s="1"/>
  <c r="H174" i="628"/>
  <c r="H1013" i="628"/>
  <c r="N1013" i="628" s="1"/>
  <c r="H539" i="628"/>
  <c r="H390" i="628"/>
  <c r="H495" i="628"/>
  <c r="H554" i="628"/>
  <c r="N554" i="628" s="1"/>
  <c r="H1022" i="628"/>
  <c r="N1022" i="628" s="1"/>
  <c r="H1009" i="628"/>
  <c r="N1009" i="628" s="1"/>
  <c r="H427" i="628"/>
  <c r="N427" i="628" s="1"/>
  <c r="H317" i="628"/>
  <c r="H384" i="628"/>
  <c r="N384" i="628" s="1"/>
  <c r="H431" i="628"/>
  <c r="H465" i="628"/>
  <c r="H707" i="628"/>
  <c r="H172" i="628"/>
  <c r="H726" i="628"/>
  <c r="H873" i="628"/>
  <c r="H708" i="628"/>
  <c r="H21" i="628"/>
  <c r="N21" i="628" s="1"/>
  <c r="H149" i="628"/>
  <c r="H145" i="628"/>
  <c r="H433" i="628"/>
  <c r="N433" i="628" s="1"/>
  <c r="H524" i="628"/>
  <c r="H940" i="628"/>
  <c r="H186" i="628"/>
  <c r="H428" i="628"/>
  <c r="H437" i="628"/>
  <c r="H444" i="628"/>
  <c r="H501" i="628"/>
  <c r="H512" i="628"/>
  <c r="H558" i="628"/>
  <c r="H721" i="628"/>
  <c r="H816" i="628"/>
  <c r="H318" i="628"/>
  <c r="N318" i="628" s="1"/>
  <c r="H275" i="628"/>
  <c r="H189" i="628"/>
  <c r="H976" i="628"/>
  <c r="H587" i="628"/>
  <c r="K173" i="629" s="1"/>
  <c r="M173" i="629" s="1"/>
  <c r="H704" i="628"/>
  <c r="H531" i="628"/>
  <c r="H193" i="628"/>
  <c r="H546" i="628"/>
  <c r="H486" i="628"/>
  <c r="H120" i="628"/>
  <c r="H141" i="628"/>
  <c r="H498" i="628"/>
  <c r="H750" i="628"/>
  <c r="H78" i="628"/>
  <c r="H710" i="628"/>
  <c r="H118" i="628"/>
  <c r="H140" i="628"/>
  <c r="H148" i="628"/>
  <c r="H595" i="628"/>
  <c r="H283" i="628"/>
  <c r="H278" i="628"/>
  <c r="H690" i="628"/>
  <c r="H760" i="628"/>
  <c r="H377" i="628"/>
  <c r="N377" i="628" s="1"/>
  <c r="H482" i="628"/>
  <c r="H286" i="628"/>
  <c r="H961" i="628"/>
  <c r="N961" i="628" s="1"/>
  <c r="H443" i="628"/>
  <c r="H540" i="628"/>
  <c r="H593" i="628"/>
  <c r="H481" i="628"/>
  <c r="H344" i="628"/>
  <c r="N344" i="628" s="1"/>
  <c r="H535" i="628"/>
  <c r="H1042" i="628"/>
  <c r="H523" i="628"/>
  <c r="H596" i="628"/>
  <c r="H280" i="628"/>
  <c r="H598" i="628"/>
  <c r="H762" i="628"/>
  <c r="H877" i="628"/>
  <c r="H599" i="628"/>
  <c r="H92" i="628"/>
  <c r="N92" i="628" s="1"/>
  <c r="H600" i="628"/>
  <c r="H995" i="628"/>
  <c r="N995" i="628" s="1"/>
  <c r="H530" i="628"/>
  <c r="H601" i="628"/>
  <c r="H698" i="628"/>
  <c r="H798" i="628"/>
  <c r="H700" i="628"/>
  <c r="H921" i="628"/>
  <c r="H740" i="628"/>
  <c r="H415" i="628"/>
  <c r="H442" i="628"/>
  <c r="H602" i="628"/>
  <c r="H122" i="628"/>
  <c r="H255" i="628"/>
  <c r="H440" i="628"/>
  <c r="H864" i="628"/>
  <c r="H538" i="628"/>
  <c r="H374" i="628"/>
  <c r="H930" i="628"/>
  <c r="H445" i="628"/>
  <c r="H697" i="628"/>
  <c r="H297" i="628"/>
  <c r="H731" i="628"/>
  <c r="H732" i="628"/>
  <c r="H547" i="628"/>
  <c r="H870" i="628"/>
  <c r="H128" i="628"/>
  <c r="H657" i="628"/>
  <c r="H716" i="628"/>
  <c r="H147" i="628"/>
  <c r="H130" i="628"/>
  <c r="K38" i="629" s="1"/>
  <c r="M38" i="629" s="1"/>
  <c r="H420" i="628"/>
  <c r="H768" i="628"/>
  <c r="H507" i="628"/>
  <c r="H252" i="628"/>
  <c r="N252" i="628" s="1"/>
  <c r="H265" i="628"/>
  <c r="H269" i="628"/>
  <c r="H608" i="628"/>
  <c r="H79" i="628"/>
  <c r="H329" i="628"/>
  <c r="H509" i="628"/>
  <c r="H536" i="628"/>
  <c r="H605" i="628"/>
  <c r="H109" i="628"/>
  <c r="H192" i="628"/>
  <c r="H366" i="628"/>
  <c r="H423" i="628"/>
  <c r="H614" i="628"/>
  <c r="H379" i="628"/>
  <c r="H720" i="628"/>
  <c r="H121" i="628"/>
  <c r="H537" i="628"/>
  <c r="H825" i="628"/>
  <c r="H494" i="628"/>
  <c r="H112" i="628"/>
  <c r="H766" i="628"/>
  <c r="H549" i="628"/>
  <c r="H836" i="628"/>
  <c r="H12" i="628"/>
  <c r="H119" i="628"/>
  <c r="H430" i="628"/>
  <c r="H920" i="628"/>
  <c r="H306" i="628"/>
  <c r="N306" i="628" s="1"/>
  <c r="H357" i="628"/>
  <c r="H448" i="628"/>
  <c r="H545" i="628"/>
  <c r="H487" i="628"/>
  <c r="H625" i="628"/>
  <c r="N625" i="628" s="1"/>
  <c r="H752" i="628"/>
  <c r="H626" i="628"/>
  <c r="H560" i="628"/>
  <c r="H746" i="628"/>
  <c r="H232" i="628"/>
  <c r="H435" i="628"/>
  <c r="H654" i="628"/>
  <c r="H764" i="628"/>
  <c r="H376" i="628"/>
  <c r="H699" i="628"/>
  <c r="H767" i="628"/>
  <c r="H49" i="628"/>
  <c r="H370" i="628"/>
  <c r="H422" i="628"/>
  <c r="H727" i="628"/>
  <c r="N1019" i="628" s="1"/>
  <c r="H827" i="628"/>
  <c r="H106" i="628"/>
  <c r="N106" i="628" s="1"/>
  <c r="H557" i="628"/>
  <c r="H7" i="628"/>
  <c r="H438" i="628"/>
  <c r="H302" i="628"/>
  <c r="H725" i="628"/>
  <c r="H185" i="628"/>
  <c r="H20" i="628"/>
  <c r="N20" i="628" s="1"/>
  <c r="H388" i="628"/>
  <c r="N388" i="628" s="1"/>
  <c r="H217" i="628"/>
  <c r="H449" i="628"/>
  <c r="H759" i="628"/>
  <c r="H663" i="628"/>
  <c r="H871" i="628"/>
  <c r="H178" i="628"/>
  <c r="H491" i="628"/>
  <c r="H236" i="628"/>
  <c r="N236" i="628" s="1"/>
  <c r="H203" i="628"/>
  <c r="H409" i="628"/>
  <c r="H219" i="628"/>
  <c r="N219" i="628" s="1"/>
  <c r="H788" i="628"/>
  <c r="H488" i="628"/>
  <c r="H287" i="628"/>
  <c r="H434" i="628"/>
  <c r="H644" i="628"/>
  <c r="H184" i="628"/>
  <c r="H108" i="628"/>
  <c r="K36" i="629" s="1"/>
  <c r="M36" i="629" s="1"/>
  <c r="H653" i="628"/>
  <c r="H775" i="628"/>
  <c r="H893" i="628"/>
  <c r="H458" i="628"/>
  <c r="H857" i="628"/>
  <c r="H1046" i="628"/>
  <c r="H41" i="628"/>
  <c r="H643" i="628"/>
  <c r="H555" i="628"/>
  <c r="H454" i="628"/>
  <c r="H489" i="628"/>
  <c r="H572" i="628"/>
  <c r="H679" i="628"/>
  <c r="H817" i="628"/>
  <c r="N817" i="628" s="1"/>
  <c r="H177" i="628"/>
  <c r="H401" i="628"/>
  <c r="H191" i="628"/>
  <c r="H124" i="628"/>
  <c r="H645" i="628"/>
  <c r="H353" i="628"/>
  <c r="H970" i="628"/>
  <c r="N970" i="628" s="1"/>
  <c r="H974" i="628"/>
  <c r="H208" i="628"/>
  <c r="H432" i="628"/>
  <c r="H646" i="628"/>
  <c r="H988" i="628"/>
  <c r="H369" i="628"/>
  <c r="H180" i="628"/>
  <c r="H652" i="628"/>
  <c r="H8" i="628"/>
  <c r="H54" i="628"/>
  <c r="N54" i="628" s="1"/>
  <c r="H162" i="628"/>
  <c r="H333" i="628"/>
  <c r="N333" i="628" s="1"/>
  <c r="H693" i="628"/>
  <c r="H198" i="628"/>
  <c r="H359" i="628"/>
  <c r="H639" i="628"/>
  <c r="N639" i="628" s="1"/>
  <c r="H852" i="628"/>
  <c r="N852" i="628" s="1"/>
  <c r="H583" i="628"/>
  <c r="H126" i="628"/>
  <c r="H779" i="628"/>
  <c r="H590" i="628"/>
  <c r="N590" i="628" s="1"/>
  <c r="H758" i="628"/>
  <c r="H963" i="628"/>
  <c r="H262" i="628"/>
  <c r="N262" i="628" s="1"/>
  <c r="H683" i="628"/>
  <c r="N683" i="628" s="1"/>
  <c r="H701" i="628"/>
  <c r="H144" i="628"/>
  <c r="H199" i="628"/>
  <c r="H938" i="628"/>
  <c r="H756" i="628"/>
  <c r="H735" i="628"/>
  <c r="H76" i="628"/>
  <c r="H845" i="628"/>
  <c r="H389" i="628"/>
  <c r="H169" i="628"/>
  <c r="H293" i="628"/>
  <c r="H962" i="628"/>
  <c r="H528" i="628"/>
  <c r="H395" i="628"/>
  <c r="H733" i="628"/>
  <c r="H9" i="628"/>
  <c r="H131" i="628"/>
  <c r="H153" i="628"/>
  <c r="H331" i="628"/>
  <c r="H375" i="628"/>
  <c r="H289" i="628"/>
  <c r="H869" i="628"/>
  <c r="H829" i="628"/>
  <c r="H542" i="628"/>
  <c r="H668" i="628"/>
  <c r="N668" i="628" s="1"/>
  <c r="H846" i="628"/>
  <c r="N846" i="628" s="1"/>
  <c r="H782" i="628"/>
  <c r="H175" i="628"/>
  <c r="H526" i="628"/>
  <c r="H114" i="628"/>
  <c r="H886" i="628"/>
  <c r="H856" i="628"/>
  <c r="H843" i="628"/>
  <c r="H1038" i="628"/>
  <c r="H809" i="628"/>
  <c r="N809" i="628" s="1"/>
  <c r="H134" i="628"/>
  <c r="H138" i="628"/>
  <c r="H143" i="628"/>
  <c r="N275" i="628" s="1"/>
  <c r="H658" i="628"/>
  <c r="H125" i="628"/>
  <c r="H917" i="628"/>
  <c r="H313" i="628"/>
  <c r="H794" i="628"/>
  <c r="N794" i="628" s="1"/>
  <c r="H290" i="628"/>
  <c r="H533" i="628"/>
  <c r="H833" i="628"/>
  <c r="H367" i="628"/>
  <c r="H397" i="628"/>
  <c r="N397" i="628" s="1"/>
  <c r="H776" i="628"/>
  <c r="H876" i="628"/>
  <c r="H104" i="628"/>
  <c r="H150" i="628"/>
  <c r="H5" i="628"/>
  <c r="H694" i="628"/>
  <c r="H187" i="628"/>
  <c r="H360" i="628"/>
  <c r="H880" i="628"/>
  <c r="H299" i="628"/>
  <c r="H944" i="628"/>
  <c r="H327" i="628"/>
  <c r="N327" i="628" s="1"/>
  <c r="H842" i="628"/>
  <c r="H111" i="628"/>
  <c r="H43" i="628"/>
  <c r="H204" i="628"/>
  <c r="H485" i="628"/>
  <c r="H628" i="628"/>
  <c r="H706" i="628"/>
  <c r="H36" i="628"/>
  <c r="H712" i="628"/>
  <c r="H295" i="628"/>
  <c r="H878" i="628"/>
  <c r="H868" i="628"/>
  <c r="H115" i="628"/>
  <c r="N115" i="628" s="1"/>
  <c r="H64" i="628"/>
  <c r="N64" i="628" s="1"/>
  <c r="H132" i="628"/>
  <c r="H133" i="628"/>
  <c r="H209" i="628"/>
  <c r="H774" i="628"/>
  <c r="H517" i="628"/>
  <c r="N517" i="628" s="1"/>
  <c r="H872" i="628"/>
  <c r="H292" i="628"/>
  <c r="H761" i="628"/>
  <c r="H332" i="628"/>
  <c r="H405" i="628"/>
  <c r="H439" i="628"/>
  <c r="H618" i="628"/>
  <c r="K183" i="629" s="1"/>
  <c r="M183" i="629" s="1"/>
  <c r="H525" i="628"/>
  <c r="H567" i="628"/>
  <c r="H695" i="628"/>
  <c r="H734" i="628"/>
  <c r="H743" i="628"/>
  <c r="H508" i="628"/>
  <c r="H532" i="628"/>
  <c r="H681" i="628"/>
  <c r="H830" i="628"/>
  <c r="H907" i="628"/>
  <c r="N907" i="628" s="1"/>
  <c r="H741" i="628"/>
  <c r="H364" i="628"/>
  <c r="H239" i="628"/>
  <c r="H518" i="628"/>
  <c r="H541" i="628"/>
  <c r="H13" i="628"/>
  <c r="H975" i="628"/>
  <c r="H662" i="628"/>
  <c r="H113" i="628"/>
  <c r="H336" i="628"/>
  <c r="N336" i="628" s="1"/>
  <c r="H548" i="628"/>
  <c r="H426" i="628"/>
  <c r="H778" i="628"/>
  <c r="H56" i="628"/>
  <c r="N56" i="628" s="1"/>
  <c r="H170" i="628"/>
  <c r="H585" i="628"/>
  <c r="N585" i="628" s="1"/>
  <c r="H582" i="628"/>
  <c r="N582" i="628" s="1"/>
  <c r="H736" i="628"/>
  <c r="H291" i="628"/>
  <c r="H1010" i="628"/>
  <c r="H1044" i="628"/>
  <c r="H407" i="628"/>
  <c r="N407" i="628" s="1"/>
  <c r="H212" i="628"/>
  <c r="H480" i="628"/>
  <c r="K200" i="629" s="1"/>
  <c r="M200" i="629" s="1"/>
  <c r="H561" i="628"/>
  <c r="H368" i="628"/>
  <c r="H27" i="628"/>
  <c r="N27" i="628" s="1"/>
  <c r="H166" i="628"/>
  <c r="K99" i="629" s="1"/>
  <c r="M99" i="629" s="1"/>
  <c r="H753" i="628"/>
  <c r="H667" i="628"/>
  <c r="H242" i="628"/>
  <c r="H146" i="628"/>
  <c r="H478" i="628"/>
  <c r="H201" i="628"/>
  <c r="H296" i="628"/>
  <c r="H1011" i="628"/>
  <c r="H986" i="628"/>
  <c r="H61" i="628"/>
  <c r="H571" i="628"/>
  <c r="H738" i="628"/>
  <c r="H152" i="628"/>
  <c r="H777" i="628"/>
  <c r="H688" i="628"/>
  <c r="H747" i="628"/>
  <c r="H837" i="628"/>
  <c r="H569" i="628"/>
  <c r="N569" i="628" s="1"/>
  <c r="H207" i="628"/>
  <c r="H749" i="628"/>
  <c r="H589" i="628"/>
  <c r="H714" i="628"/>
  <c r="H632" i="628"/>
  <c r="H637" i="628"/>
  <c r="H451" i="628"/>
  <c r="N451" i="628" s="1"/>
  <c r="H709" i="628"/>
  <c r="H188" i="628"/>
  <c r="H456" i="628"/>
  <c r="N456" i="628" s="1"/>
  <c r="H309" i="628"/>
  <c r="N309" i="628" s="1"/>
  <c r="H748" i="628"/>
  <c r="H247" i="628"/>
  <c r="H168" i="628"/>
  <c r="H237" i="628"/>
  <c r="H802" i="628"/>
  <c r="H603" i="628"/>
  <c r="H1033" i="628"/>
  <c r="H230" i="628"/>
  <c r="H346" i="628"/>
  <c r="H651" i="628"/>
  <c r="H1008" i="628"/>
  <c r="H696" i="628"/>
  <c r="H655" i="628"/>
  <c r="H675" i="628"/>
  <c r="H361" i="628"/>
  <c r="H211" i="628"/>
  <c r="H718" i="628"/>
  <c r="H200" i="628"/>
  <c r="N200" i="628" s="1"/>
  <c r="H649" i="628"/>
  <c r="H978" i="628"/>
  <c r="H355" i="628"/>
  <c r="H285" i="628"/>
  <c r="H801" i="628"/>
  <c r="H659" i="628"/>
  <c r="H702" i="628"/>
  <c r="N702" i="628" s="1"/>
  <c r="H300" i="628"/>
  <c r="H660" i="628"/>
  <c r="H686" i="628"/>
  <c r="H770" i="628"/>
  <c r="H226" i="628"/>
  <c r="K159" i="629" s="1"/>
  <c r="M159" i="629" s="1"/>
  <c r="H372" i="628"/>
  <c r="H664" i="628"/>
  <c r="H267" i="628"/>
  <c r="K71" i="629" s="1"/>
  <c r="M71" i="629" s="1"/>
  <c r="H310" i="628"/>
  <c r="H183" i="628"/>
  <c r="H47" i="628"/>
  <c r="H308" i="628"/>
  <c r="H393" i="628"/>
  <c r="N393" i="628" s="1"/>
  <c r="H739" i="628"/>
  <c r="H154" i="628"/>
  <c r="H81" i="628"/>
  <c r="H529" i="628"/>
  <c r="H1052" i="628"/>
  <c r="H447" i="628"/>
  <c r="N447" i="628" s="1"/>
  <c r="H194" i="628"/>
  <c r="N1003" i="628" s="1"/>
  <c r="H10" i="628"/>
  <c r="H875" i="628"/>
  <c r="H159" i="628"/>
  <c r="H650" i="628"/>
  <c r="K103" i="629" l="1"/>
  <c r="M103" i="629" s="1"/>
  <c r="N578" i="628"/>
  <c r="K172" i="629"/>
  <c r="M172" i="629" s="1"/>
  <c r="K93" i="629"/>
  <c r="M93" i="629" s="1"/>
  <c r="K204" i="629"/>
  <c r="M204" i="629" s="1"/>
  <c r="K101" i="629"/>
  <c r="M101" i="629" s="1"/>
  <c r="K125" i="629"/>
  <c r="M125" i="629" s="1"/>
  <c r="H1059" i="628"/>
  <c r="K29" i="629"/>
  <c r="M29" i="629" s="1"/>
  <c r="K73" i="629"/>
  <c r="M73" i="629" s="1"/>
  <c r="K246" i="629"/>
  <c r="M246" i="629" s="1"/>
  <c r="N1042" i="628"/>
  <c r="K179" i="629"/>
  <c r="M179" i="629" s="1"/>
  <c r="N1033" i="628"/>
  <c r="K35" i="629"/>
  <c r="M35" i="629" s="1"/>
  <c r="N1038" i="628"/>
  <c r="K94" i="629"/>
  <c r="M94" i="629" s="1"/>
  <c r="K218" i="629"/>
  <c r="M218" i="629" s="1"/>
  <c r="N1044" i="628"/>
  <c r="K211" i="629"/>
  <c r="M211" i="629" s="1"/>
  <c r="N1058" i="628"/>
  <c r="K75" i="629"/>
  <c r="M75" i="629" s="1"/>
  <c r="K50" i="629"/>
  <c r="M50" i="629" s="1"/>
  <c r="K243" i="629"/>
  <c r="M243" i="629" s="1"/>
  <c r="K2" i="629"/>
  <c r="M2" i="629" s="1"/>
  <c r="K17" i="629"/>
  <c r="M17" i="629" s="1"/>
  <c r="K60" i="629"/>
  <c r="M60" i="629" s="1"/>
  <c r="K27" i="629"/>
  <c r="M27" i="629" s="1"/>
  <c r="K252" i="629"/>
  <c r="M252" i="629" s="1"/>
  <c r="N109" i="628"/>
  <c r="K112" i="629"/>
  <c r="M112" i="629" s="1"/>
  <c r="K98" i="629"/>
  <c r="M98" i="629" s="1"/>
  <c r="N311" i="628"/>
  <c r="K89" i="629"/>
  <c r="M89" i="629" s="1"/>
  <c r="K255" i="629"/>
  <c r="M255" i="629" s="1"/>
  <c r="N299" i="628"/>
  <c r="K72" i="629"/>
  <c r="M72" i="629" s="1"/>
  <c r="N223" i="628"/>
  <c r="K209" i="629"/>
  <c r="M209" i="629" s="1"/>
  <c r="K164" i="629"/>
  <c r="M164" i="629" s="1"/>
  <c r="K121" i="629"/>
  <c r="M121" i="629" s="1"/>
  <c r="K87" i="629"/>
  <c r="M87" i="629" s="1"/>
  <c r="N520" i="628"/>
  <c r="K216" i="629"/>
  <c r="M216" i="629" s="1"/>
  <c r="N692" i="628"/>
  <c r="K134" i="629"/>
  <c r="M134" i="629" s="1"/>
  <c r="K269" i="629"/>
  <c r="M269" i="629" s="1"/>
  <c r="K62" i="629"/>
  <c r="M62" i="629" s="1"/>
  <c r="K142" i="629"/>
  <c r="M142" i="629" s="1"/>
  <c r="K90" i="629"/>
  <c r="M90" i="629" s="1"/>
  <c r="K242" i="629"/>
  <c r="M242" i="629" s="1"/>
  <c r="N76" i="628"/>
  <c r="K226" i="629"/>
  <c r="M226" i="629" s="1"/>
  <c r="N555" i="628"/>
  <c r="K153" i="629"/>
  <c r="M153" i="629" s="1"/>
  <c r="K251" i="629"/>
  <c r="M251" i="629" s="1"/>
  <c r="K162" i="629"/>
  <c r="M162" i="629" s="1"/>
  <c r="N618" i="628"/>
  <c r="K223" i="629"/>
  <c r="M223" i="629" s="1"/>
  <c r="N963" i="628"/>
  <c r="K278" i="629"/>
  <c r="M278" i="629" s="1"/>
  <c r="K250" i="629"/>
  <c r="M250" i="629" s="1"/>
  <c r="N246" i="628"/>
  <c r="K56" i="629"/>
  <c r="M56" i="629" s="1"/>
  <c r="N813" i="628"/>
  <c r="K45" i="629"/>
  <c r="M45" i="629" s="1"/>
  <c r="N893" i="628"/>
  <c r="K178" i="629"/>
  <c r="M178" i="629" s="1"/>
  <c r="K30" i="629"/>
  <c r="M30" i="629" s="1"/>
  <c r="N507" i="628"/>
  <c r="K144" i="629"/>
  <c r="M144" i="629" s="1"/>
  <c r="K237" i="629"/>
  <c r="M237" i="629" s="1"/>
  <c r="K170" i="629"/>
  <c r="M170" i="629" s="1"/>
  <c r="N263" i="628"/>
  <c r="K267" i="629"/>
  <c r="M267" i="629" s="1"/>
  <c r="K229" i="629"/>
  <c r="M229" i="629" s="1"/>
  <c r="K85" i="629"/>
  <c r="M85" i="629" s="1"/>
  <c r="K160" i="629"/>
  <c r="M160" i="629" s="1"/>
  <c r="N168" i="628"/>
  <c r="K181" i="629"/>
  <c r="M181" i="629" s="1"/>
  <c r="N518" i="628"/>
  <c r="K70" i="629"/>
  <c r="M70" i="629" s="1"/>
  <c r="N962" i="628"/>
  <c r="K236" i="629"/>
  <c r="M236" i="629" s="1"/>
  <c r="K188" i="629"/>
  <c r="M188" i="629" s="1"/>
  <c r="N304" i="628"/>
  <c r="K65" i="629"/>
  <c r="M65" i="629" s="1"/>
  <c r="N382" i="628"/>
  <c r="K66" i="629"/>
  <c r="M66" i="629" s="1"/>
  <c r="K116" i="629"/>
  <c r="M116" i="629" s="1"/>
  <c r="K130" i="629"/>
  <c r="M130" i="629" s="1"/>
  <c r="K198" i="629"/>
  <c r="M198" i="629" s="1"/>
  <c r="K52" i="629"/>
  <c r="M52" i="629" s="1"/>
  <c r="K92" i="629"/>
  <c r="M92" i="629" s="1"/>
  <c r="K266" i="629"/>
  <c r="M266" i="629" s="1"/>
  <c r="K14" i="629"/>
  <c r="M14" i="629" s="1"/>
  <c r="N162" i="628"/>
  <c r="K156" i="629"/>
  <c r="M156" i="629" s="1"/>
  <c r="N676" i="628"/>
  <c r="K249" i="629"/>
  <c r="M249" i="629" s="1"/>
  <c r="N159" i="628"/>
  <c r="K40" i="629"/>
  <c r="M40" i="629" s="1"/>
  <c r="N79" i="628"/>
  <c r="K124" i="629"/>
  <c r="M124" i="629" s="1"/>
  <c r="K55" i="629"/>
  <c r="M55" i="629" s="1"/>
  <c r="N1034" i="628"/>
  <c r="K97" i="629"/>
  <c r="M97" i="629" s="1"/>
  <c r="K171" i="629"/>
  <c r="M171" i="629" s="1"/>
  <c r="N130" i="628"/>
  <c r="K169" i="629"/>
  <c r="M169" i="629" s="1"/>
  <c r="K113" i="629"/>
  <c r="M113" i="629" s="1"/>
  <c r="N945" i="628"/>
  <c r="K126" i="629"/>
  <c r="M126" i="629" s="1"/>
  <c r="N891" i="628"/>
  <c r="K258" i="629"/>
  <c r="M258" i="629" s="1"/>
  <c r="N1046" i="628"/>
  <c r="N303" i="628"/>
  <c r="K105" i="629"/>
  <c r="M105" i="629" s="1"/>
  <c r="N227" i="628"/>
  <c r="K39" i="629"/>
  <c r="M39" i="629" s="1"/>
  <c r="K241" i="629"/>
  <c r="M241" i="629" s="1"/>
  <c r="N332" i="628"/>
  <c r="K185" i="629"/>
  <c r="M185" i="629" s="1"/>
  <c r="N679" i="628"/>
  <c r="K233" i="629"/>
  <c r="M233" i="629" s="1"/>
  <c r="N857" i="628"/>
  <c r="K128" i="629"/>
  <c r="M128" i="629" s="1"/>
  <c r="K25" i="629"/>
  <c r="M25" i="629" s="1"/>
  <c r="K264" i="629"/>
  <c r="M264" i="629" s="1"/>
  <c r="N270" i="628"/>
  <c r="K154" i="629"/>
  <c r="M154" i="629" s="1"/>
  <c r="N521" i="628"/>
  <c r="K285" i="629"/>
  <c r="M285" i="629" s="1"/>
  <c r="K165" i="629"/>
  <c r="M165" i="629" s="1"/>
  <c r="K199" i="629"/>
  <c r="M199" i="629" s="1"/>
  <c r="K174" i="629"/>
  <c r="M174" i="629" s="1"/>
  <c r="K283" i="629"/>
  <c r="M283" i="629" s="1"/>
  <c r="N278" i="628"/>
  <c r="K141" i="629"/>
  <c r="M141" i="629" s="1"/>
  <c r="N831" i="628"/>
  <c r="K224" i="629"/>
  <c r="M224" i="629" s="1"/>
  <c r="N681" i="628"/>
  <c r="K254" i="629"/>
  <c r="M254" i="629" s="1"/>
  <c r="N628" i="628"/>
  <c r="N395" i="628"/>
  <c r="K57" i="629"/>
  <c r="M57" i="629" s="1"/>
  <c r="N643" i="628"/>
  <c r="N347" i="628"/>
  <c r="N911" i="628"/>
  <c r="K4" i="629"/>
  <c r="M4" i="629" s="1"/>
  <c r="N383" i="628"/>
  <c r="K6" i="629"/>
  <c r="M6" i="629" s="1"/>
  <c r="N603" i="628"/>
  <c r="K259" i="629"/>
  <c r="M259" i="629" s="1"/>
  <c r="N632" i="628"/>
  <c r="K132" i="629"/>
  <c r="M132" i="629" s="1"/>
  <c r="N308" i="628"/>
  <c r="N346" i="628"/>
  <c r="K100" i="629"/>
  <c r="M100" i="629" s="1"/>
  <c r="N802" i="628"/>
  <c r="K43" i="629"/>
  <c r="M43" i="629" s="1"/>
  <c r="N169" i="628"/>
  <c r="K33" i="629"/>
  <c r="M33" i="629" s="1"/>
  <c r="N652" i="628"/>
  <c r="K201" i="629"/>
  <c r="M201" i="629" s="1"/>
  <c r="N232" i="628"/>
  <c r="K23" i="629"/>
  <c r="M23" i="629" s="1"/>
  <c r="N269" i="628"/>
  <c r="K240" i="629"/>
  <c r="M240" i="629" s="1"/>
  <c r="N237" i="628"/>
  <c r="K129" i="629"/>
  <c r="M129" i="629" s="1"/>
  <c r="N589" i="628"/>
  <c r="K190" i="629"/>
  <c r="M190" i="629" s="1"/>
  <c r="N842" i="628"/>
  <c r="K96" i="629"/>
  <c r="M96" i="629" s="1"/>
  <c r="N843" i="628"/>
  <c r="N528" i="628"/>
  <c r="K247" i="629"/>
  <c r="M247" i="629" s="1"/>
  <c r="N389" i="628"/>
  <c r="K232" i="629"/>
  <c r="M232" i="629" s="1"/>
  <c r="N108" i="628"/>
  <c r="K28" i="629"/>
  <c r="M28" i="629" s="1"/>
  <c r="N614" i="628"/>
  <c r="N864" i="628"/>
  <c r="N390" i="628"/>
  <c r="K214" i="629"/>
  <c r="M214" i="629" s="1"/>
  <c r="N594" i="628"/>
  <c r="K68" i="629"/>
  <c r="M68" i="629" s="1"/>
  <c r="N638" i="628"/>
  <c r="K115" i="629"/>
  <c r="M115" i="629" s="1"/>
  <c r="N749" i="628"/>
  <c r="K280" i="629"/>
  <c r="M280" i="629" s="1"/>
  <c r="N166" i="628"/>
  <c r="N480" i="628"/>
  <c r="N508" i="628"/>
  <c r="N845" i="628"/>
  <c r="K15" i="629"/>
  <c r="M15" i="629" s="1"/>
  <c r="N369" i="628"/>
  <c r="K95" i="629"/>
  <c r="M95" i="629" s="1"/>
  <c r="N423" i="628"/>
  <c r="K276" i="629"/>
  <c r="M276" i="629" s="1"/>
  <c r="N440" i="628"/>
  <c r="K69" i="629"/>
  <c r="M69" i="629" s="1"/>
  <c r="N854" i="628"/>
  <c r="N358" i="628"/>
  <c r="K187" i="629"/>
  <c r="M187" i="629" s="1"/>
  <c r="N713" i="628"/>
  <c r="K138" i="629"/>
  <c r="M138" i="629" s="1"/>
  <c r="N239" i="628"/>
  <c r="K83" i="629"/>
  <c r="M83" i="629" s="1"/>
  <c r="N43" i="628"/>
  <c r="K222" i="629"/>
  <c r="M222" i="629" s="1"/>
  <c r="N104" i="628"/>
  <c r="K37" i="629"/>
  <c r="M37" i="629" s="1"/>
  <c r="N886" i="628"/>
  <c r="K13" i="629"/>
  <c r="M13" i="629" s="1"/>
  <c r="N626" i="628"/>
  <c r="K290" i="629"/>
  <c r="M290" i="629" s="1"/>
  <c r="N798" i="628"/>
  <c r="K88" i="629"/>
  <c r="M88" i="629" s="1"/>
  <c r="N877" i="628"/>
  <c r="K140" i="629"/>
  <c r="M140" i="629" s="1"/>
  <c r="N546" i="628"/>
  <c r="K191" i="629"/>
  <c r="M191" i="629" s="1"/>
  <c r="N343" i="628"/>
  <c r="K139" i="629"/>
  <c r="M139" i="629" s="1"/>
  <c r="N730" i="628"/>
  <c r="K120" i="629"/>
  <c r="M120" i="629" s="1"/>
  <c r="N926" i="628"/>
  <c r="K261" i="629"/>
  <c r="M261" i="629" s="1"/>
  <c r="N786" i="628"/>
  <c r="K245" i="629"/>
  <c r="M245" i="629" s="1"/>
  <c r="K143" i="629"/>
  <c r="M143" i="629" s="1"/>
  <c r="K67" i="629"/>
  <c r="M67" i="629" s="1"/>
  <c r="K157" i="629"/>
  <c r="M157" i="629" s="1"/>
  <c r="K117" i="629"/>
  <c r="M117" i="629" s="1"/>
  <c r="K47" i="629"/>
  <c r="M47" i="629" s="1"/>
  <c r="K9" i="629"/>
  <c r="M9" i="629" s="1"/>
  <c r="K107" i="629"/>
  <c r="M107" i="629" s="1"/>
  <c r="K61" i="629"/>
  <c r="M61" i="629" s="1"/>
  <c r="K282" i="629"/>
  <c r="M282" i="629" s="1"/>
  <c r="K152" i="629"/>
  <c r="M152" i="629" s="1"/>
  <c r="K227" i="629"/>
  <c r="M227" i="629" s="1"/>
  <c r="K274" i="629"/>
  <c r="M274" i="629" s="1"/>
  <c r="K193" i="629"/>
  <c r="M193" i="629" s="1"/>
  <c r="K64" i="629"/>
  <c r="M64" i="629" s="1"/>
  <c r="K78" i="629"/>
  <c r="M78" i="629" s="1"/>
  <c r="K8" i="629"/>
  <c r="M8" i="629" s="1"/>
  <c r="K203" i="629"/>
  <c r="M203" i="629" s="1"/>
  <c r="K228" i="629"/>
  <c r="M228" i="629" s="1"/>
  <c r="K225" i="629"/>
  <c r="M225" i="629" s="1"/>
  <c r="K102" i="629"/>
  <c r="M102" i="629" s="1"/>
  <c r="K248" i="629"/>
  <c r="M248" i="629" s="1"/>
  <c r="K136" i="629"/>
  <c r="M136" i="629" s="1"/>
  <c r="K271" i="629"/>
  <c r="M271" i="629" s="1"/>
  <c r="K16" i="629"/>
  <c r="M16" i="629" s="1"/>
  <c r="K275" i="629"/>
  <c r="M275" i="629" s="1"/>
  <c r="K59" i="629"/>
  <c r="M59" i="629" s="1"/>
  <c r="K84" i="629"/>
  <c r="M84" i="629" s="1"/>
  <c r="K148" i="629"/>
  <c r="M148" i="629" s="1"/>
  <c r="K168" i="629"/>
  <c r="M168" i="629" s="1"/>
  <c r="K12" i="629"/>
  <c r="M12" i="629" s="1"/>
  <c r="K104" i="629"/>
  <c r="M104" i="629" s="1"/>
  <c r="K49" i="629"/>
  <c r="M49" i="629" s="1"/>
  <c r="K32" i="629"/>
  <c r="M32" i="629" s="1"/>
  <c r="K197" i="629"/>
  <c r="M197" i="629" s="1"/>
  <c r="K151" i="629"/>
  <c r="M151" i="629" s="1"/>
  <c r="K109" i="629"/>
  <c r="M109" i="629" s="1"/>
  <c r="K257" i="629"/>
  <c r="M257" i="629" s="1"/>
  <c r="K58" i="629"/>
  <c r="M58" i="629" s="1"/>
  <c r="K235" i="629"/>
  <c r="M235" i="629" s="1"/>
  <c r="K11" i="629"/>
  <c r="M11" i="629" s="1"/>
  <c r="K177" i="629"/>
  <c r="M177" i="629" s="1"/>
  <c r="K81" i="629"/>
  <c r="M81" i="629" s="1"/>
  <c r="K22" i="629"/>
  <c r="M22" i="629" s="1"/>
  <c r="K287" i="629"/>
  <c r="M287" i="629" s="1"/>
  <c r="K208" i="629"/>
  <c r="M208" i="629" s="1"/>
  <c r="K24" i="629"/>
  <c r="M24" i="629" s="1"/>
  <c r="K212" i="629"/>
  <c r="M212" i="629" s="1"/>
  <c r="K5" i="629"/>
  <c r="M5" i="629" s="1"/>
  <c r="K146" i="629"/>
  <c r="M146" i="629" s="1"/>
  <c r="K48" i="629"/>
  <c r="M48" i="629" s="1"/>
  <c r="K215" i="629"/>
  <c r="M215" i="629" s="1"/>
  <c r="K220" i="629"/>
  <c r="M220" i="629" s="1"/>
  <c r="K119" i="629"/>
  <c r="M119" i="629" s="1"/>
  <c r="K256" i="629"/>
  <c r="M256" i="629" s="1"/>
  <c r="K184" i="629"/>
  <c r="M184" i="629" s="1"/>
  <c r="K273" i="629"/>
  <c r="M273" i="629" s="1"/>
  <c r="K63" i="629"/>
  <c r="M63" i="629" s="1"/>
  <c r="K76" i="629"/>
  <c r="M76" i="629" s="1"/>
  <c r="K182" i="629"/>
  <c r="M182" i="629" s="1"/>
  <c r="K186" i="629"/>
  <c r="M186" i="629" s="1"/>
  <c r="K110" i="629"/>
  <c r="M110" i="629" s="1"/>
  <c r="K123" i="629"/>
  <c r="M123" i="629" s="1"/>
  <c r="K262" i="629"/>
  <c r="M262" i="629" s="1"/>
  <c r="K77" i="629"/>
  <c r="M77" i="629" s="1"/>
  <c r="K26" i="629"/>
  <c r="M26" i="629" s="1"/>
  <c r="K221" i="629"/>
  <c r="M221" i="629" s="1"/>
  <c r="K265" i="629"/>
  <c r="M265" i="629" s="1"/>
  <c r="K108" i="629"/>
  <c r="M108" i="629" s="1"/>
  <c r="K192" i="629"/>
  <c r="M192" i="629" s="1"/>
  <c r="K44" i="629"/>
  <c r="M44" i="629" s="1"/>
  <c r="K86" i="629"/>
  <c r="M86" i="629" s="1"/>
  <c r="K189" i="629"/>
  <c r="M189" i="629" s="1"/>
  <c r="K42" i="629"/>
  <c r="M42" i="629" s="1"/>
  <c r="K217" i="629"/>
  <c r="M217" i="629" s="1"/>
  <c r="K244" i="629"/>
  <c r="M244" i="629" s="1"/>
  <c r="K19" i="629"/>
  <c r="M19" i="629" s="1"/>
  <c r="K272" i="629"/>
  <c r="M272" i="629" s="1"/>
  <c r="K54" i="629"/>
  <c r="M54" i="629" s="1"/>
  <c r="K158" i="629"/>
  <c r="M158" i="629" s="1"/>
  <c r="K127" i="629"/>
  <c r="M127" i="629" s="1"/>
  <c r="K180" i="629"/>
  <c r="M180" i="629" s="1"/>
  <c r="K176" i="629"/>
  <c r="M176" i="629" s="1"/>
  <c r="K231" i="629"/>
  <c r="M231" i="629" s="1"/>
  <c r="K279" i="629"/>
  <c r="M279" i="629" s="1"/>
  <c r="K46" i="629"/>
  <c r="M46" i="629" s="1"/>
  <c r="K133" i="629"/>
  <c r="M133" i="629" s="1"/>
  <c r="K122" i="629"/>
  <c r="M122" i="629" s="1"/>
  <c r="K195" i="629"/>
  <c r="M195" i="629" s="1"/>
  <c r="K167" i="629"/>
  <c r="M167" i="629" s="1"/>
  <c r="K41" i="629"/>
  <c r="M41" i="629" s="1"/>
  <c r="K253" i="629"/>
  <c r="M253" i="629" s="1"/>
  <c r="K175" i="629"/>
  <c r="M175" i="629" s="1"/>
  <c r="K10" i="629"/>
  <c r="M10" i="629" s="1"/>
  <c r="K206" i="629"/>
  <c r="M206" i="629" s="1"/>
  <c r="K145" i="629"/>
  <c r="M145" i="629" s="1"/>
  <c r="K234" i="629"/>
  <c r="M234" i="629" s="1"/>
  <c r="K194" i="629"/>
  <c r="M194" i="629" s="1"/>
  <c r="K80" i="629"/>
  <c r="M80" i="629" s="1"/>
  <c r="K106" i="629"/>
  <c r="M106" i="629" s="1"/>
  <c r="K31" i="629"/>
  <c r="M31" i="629" s="1"/>
  <c r="K263" i="629"/>
  <c r="M263" i="629" s="1"/>
  <c r="K18" i="629"/>
  <c r="M18" i="629" s="1"/>
  <c r="K281" i="629"/>
  <c r="M281" i="629" s="1"/>
  <c r="K149" i="629"/>
  <c r="M149" i="629" s="1"/>
  <c r="K230" i="629"/>
  <c r="M230" i="629" s="1"/>
  <c r="K163" i="629"/>
  <c r="M163" i="629" s="1"/>
  <c r="K155" i="629"/>
  <c r="M155" i="629" s="1"/>
  <c r="K21" i="629"/>
  <c r="M21" i="629" s="1"/>
  <c r="K137" i="629"/>
  <c r="M137" i="629" s="1"/>
  <c r="K268" i="629"/>
  <c r="M268" i="629" s="1"/>
  <c r="K150" i="629"/>
  <c r="M150" i="629" s="1"/>
  <c r="K260" i="629"/>
  <c r="M260" i="629" s="1"/>
  <c r="K114" i="629"/>
  <c r="M114" i="629" s="1"/>
  <c r="K118" i="629"/>
  <c r="M118" i="629" s="1"/>
  <c r="K79" i="629"/>
  <c r="M79" i="629" s="1"/>
  <c r="K135" i="629"/>
  <c r="M135" i="629" s="1"/>
  <c r="K20" i="629"/>
  <c r="M20" i="629" s="1"/>
  <c r="K161" i="629"/>
  <c r="M161" i="629" s="1"/>
  <c r="K34" i="629"/>
  <c r="M34" i="629" s="1"/>
  <c r="K238" i="629"/>
  <c r="M238" i="629" s="1"/>
  <c r="K270" i="629"/>
  <c r="M270" i="629" s="1"/>
  <c r="K277" i="629"/>
  <c r="M277" i="629" s="1"/>
  <c r="K219" i="629"/>
  <c r="M219" i="629" s="1"/>
  <c r="K196" i="629"/>
  <c r="M196" i="629" s="1"/>
  <c r="K7" i="629"/>
  <c r="M7" i="629" s="1"/>
  <c r="K147" i="629"/>
  <c r="M147" i="629" s="1"/>
  <c r="K289" i="629"/>
  <c r="M289" i="629" s="1"/>
  <c r="K205" i="629"/>
  <c r="M205" i="629" s="1"/>
  <c r="K51" i="629"/>
  <c r="M51" i="629" s="1"/>
  <c r="K286" i="629"/>
  <c r="M286" i="629" s="1"/>
  <c r="K284" i="629"/>
  <c r="M284" i="629" s="1"/>
  <c r="K74" i="629"/>
  <c r="M74" i="629" s="1"/>
  <c r="K166" i="629"/>
  <c r="M166" i="629" s="1"/>
  <c r="K131" i="629"/>
  <c r="M131" i="629" s="1"/>
  <c r="K207" i="629"/>
  <c r="M207" i="629" s="1"/>
  <c r="K202" i="629"/>
  <c r="M202" i="629" s="1"/>
  <c r="K3" i="629"/>
  <c r="M3" i="629" s="1"/>
  <c r="K82" i="629"/>
  <c r="M82" i="629" s="1"/>
  <c r="K239" i="629"/>
  <c r="M239" i="629" s="1"/>
  <c r="K91" i="629"/>
  <c r="M91" i="629" s="1"/>
  <c r="K288" i="629"/>
  <c r="M288" i="629" s="1"/>
  <c r="K213" i="629"/>
  <c r="M213" i="629" s="1"/>
  <c r="H1067" i="628" l="1"/>
  <c r="H1069" i="628" s="1"/>
  <c r="H1061" i="628"/>
  <c r="E1" i="430"/>
  <c r="D44" i="839" l="1"/>
  <c r="O44" i="839" s="1"/>
</calcChain>
</file>

<file path=xl/sharedStrings.xml><?xml version="1.0" encoding="utf-8"?>
<sst xmlns="http://schemas.openxmlformats.org/spreadsheetml/2006/main" count="29328" uniqueCount="4594">
  <si>
    <t>ULA</t>
  </si>
  <si>
    <t>GÖCEK</t>
  </si>
  <si>
    <t>ARTVİN</t>
  </si>
  <si>
    <t>GERMENCİK</t>
  </si>
  <si>
    <t>AYVACIK</t>
  </si>
  <si>
    <t>BELEK</t>
  </si>
  <si>
    <t>KARABÜK</t>
  </si>
  <si>
    <t>SAFRANBOLU</t>
  </si>
  <si>
    <t>KIRIKKALE</t>
  </si>
  <si>
    <t>DİLOVASI</t>
  </si>
  <si>
    <t>KIZILTEPE</t>
  </si>
  <si>
    <t>AKYURT</t>
  </si>
  <si>
    <t>TİRE</t>
  </si>
  <si>
    <t>UŞAK</t>
  </si>
  <si>
    <t>KAZAN</t>
  </si>
  <si>
    <t>ACIPAYAM</t>
  </si>
  <si>
    <t>ELMADAĞ</t>
  </si>
  <si>
    <t>DÖRTYOL</t>
  </si>
  <si>
    <t>VİZE</t>
  </si>
  <si>
    <t>GÖL-TÜRKBÜKÜ</t>
  </si>
  <si>
    <t>ÇUKUROVA</t>
  </si>
  <si>
    <t>AKÇAKOCA</t>
  </si>
  <si>
    <t>NET PRİM</t>
  </si>
  <si>
    <t>YSV</t>
  </si>
  <si>
    <t>MARDİN</t>
  </si>
  <si>
    <t>SIRA NO</t>
  </si>
  <si>
    <t>BELEDİYE BŞK.HS.İŞL.MÜD.</t>
  </si>
  <si>
    <t>BÜYÜKŞEHİR</t>
  </si>
  <si>
    <t>GİDECEĞİ YER</t>
  </si>
  <si>
    <t>İSTANBUL</t>
  </si>
  <si>
    <t>SIRA</t>
  </si>
  <si>
    <t>ANKARA</t>
  </si>
  <si>
    <t>TÜM PARTAJLAR</t>
  </si>
  <si>
    <t>ADANA</t>
  </si>
  <si>
    <t>MERKEZ</t>
  </si>
  <si>
    <t>OSMANİYE</t>
  </si>
  <si>
    <t>SEYHAN</t>
  </si>
  <si>
    <t>AFYON</t>
  </si>
  <si>
    <t>AMASYA</t>
  </si>
  <si>
    <t>ALANYA</t>
  </si>
  <si>
    <t>ANTALYA</t>
  </si>
  <si>
    <t>MANAVGAT</t>
  </si>
  <si>
    <t>AYDIN</t>
  </si>
  <si>
    <t>KUŞADASI</t>
  </si>
  <si>
    <t>BALIKESİR</t>
  </si>
  <si>
    <t>AYVALIK</t>
  </si>
  <si>
    <t>BURHANİYE</t>
  </si>
  <si>
    <t>EDREMİT</t>
  </si>
  <si>
    <t>KARAAĞAÇ</t>
  </si>
  <si>
    <t>BATMAN</t>
  </si>
  <si>
    <t>BİLECİK</t>
  </si>
  <si>
    <t>BOLU</t>
  </si>
  <si>
    <t>BURSA</t>
  </si>
  <si>
    <t>GEMLİK</t>
  </si>
  <si>
    <t>İNEGÖL</t>
  </si>
  <si>
    <t>ÇANAKKALE</t>
  </si>
  <si>
    <t>YENİŞEHİR</t>
  </si>
  <si>
    <t>DENİZLİ</t>
  </si>
  <si>
    <t>DİYARBAKIR</t>
  </si>
  <si>
    <t>EDİRNE</t>
  </si>
  <si>
    <t>ERZURUM</t>
  </si>
  <si>
    <t>ESKİŞEHİR</t>
  </si>
  <si>
    <t>GAZİANTEP</t>
  </si>
  <si>
    <t>ŞEHİTKAMİL</t>
  </si>
  <si>
    <t>İSKENDERUN</t>
  </si>
  <si>
    <t>HATAY</t>
  </si>
  <si>
    <t>ISPARTA</t>
  </si>
  <si>
    <t>BARTIN</t>
  </si>
  <si>
    <t>BOZCAADA</t>
  </si>
  <si>
    <t>BURDUR</t>
  </si>
  <si>
    <t>GÜRE</t>
  </si>
  <si>
    <t>BERGAMA</t>
  </si>
  <si>
    <t>KEPEZ</t>
  </si>
  <si>
    <t>TURGUTLU</t>
  </si>
  <si>
    <t>ENEZ</t>
  </si>
  <si>
    <t>KESTEL</t>
  </si>
  <si>
    <t>KÜTAHYA</t>
  </si>
  <si>
    <t>KARS</t>
  </si>
  <si>
    <t>K.MARAŞ</t>
  </si>
  <si>
    <t>KARABURUN</t>
  </si>
  <si>
    <t>BOLAYIR</t>
  </si>
  <si>
    <t>KARAMAN</t>
  </si>
  <si>
    <t>TORBALI</t>
  </si>
  <si>
    <t>AKYAZI</t>
  </si>
  <si>
    <t>ÇANDARLI</t>
  </si>
  <si>
    <t>ERBAA</t>
  </si>
  <si>
    <t>NAZİLLİ</t>
  </si>
  <si>
    <t>ARDEŞEN</t>
  </si>
  <si>
    <t>SİİRT</t>
  </si>
  <si>
    <t>SİDE</t>
  </si>
  <si>
    <t>YENİCE</t>
  </si>
  <si>
    <t>SARAYKÖY</t>
  </si>
  <si>
    <t>SOMA</t>
  </si>
  <si>
    <t>SANDIKLI</t>
  </si>
  <si>
    <t>MUSTAFAKEMALPAŞA</t>
  </si>
  <si>
    <t>BULANCAK</t>
  </si>
  <si>
    <t>ÖLÜDENİZ</t>
  </si>
  <si>
    <t>ECEABAT</t>
  </si>
  <si>
    <t>BELDİBİ</t>
  </si>
  <si>
    <t>ADAPAZARI</t>
  </si>
  <si>
    <t>Il</t>
  </si>
  <si>
    <t>Ilçe</t>
  </si>
  <si>
    <t>Tür</t>
  </si>
  <si>
    <t>Üretim</t>
  </si>
  <si>
    <t>Üretim YSV</t>
  </si>
  <si>
    <t>Iptal</t>
  </si>
  <si>
    <t>Iptal YSV</t>
  </si>
  <si>
    <t>Net Matrah</t>
  </si>
  <si>
    <t>Net YSV</t>
  </si>
  <si>
    <t>Allianz Sigorta A.Ş.</t>
  </si>
  <si>
    <t>Dosya No: YS290001</t>
  </si>
  <si>
    <t>KÜÇÜKKÖY</t>
  </si>
  <si>
    <t>İZMİR</t>
  </si>
  <si>
    <t>ÇEŞME</t>
  </si>
  <si>
    <t>DİKİLİ</t>
  </si>
  <si>
    <t>FOÇA</t>
  </si>
  <si>
    <t>KAYSERİ</t>
  </si>
  <si>
    <t>KOCAELİ</t>
  </si>
  <si>
    <t>KONYA</t>
  </si>
  <si>
    <t>EREĞLİ</t>
  </si>
  <si>
    <t>MALATYA</t>
  </si>
  <si>
    <t>MANİSA</t>
  </si>
  <si>
    <t>MERSİN</t>
  </si>
  <si>
    <t>TARSUS</t>
  </si>
  <si>
    <t>MUĞLA</t>
  </si>
  <si>
    <t>BODRUM</t>
  </si>
  <si>
    <t>FETHİYE</t>
  </si>
  <si>
    <t>MARMARİS</t>
  </si>
  <si>
    <t>MİLAS</t>
  </si>
  <si>
    <t>ÜNYE</t>
  </si>
  <si>
    <t>ORDU</t>
  </si>
  <si>
    <t>RİZE</t>
  </si>
  <si>
    <t>SAKARYA</t>
  </si>
  <si>
    <t>KARASU</t>
  </si>
  <si>
    <t>SAMSUN</t>
  </si>
  <si>
    <t>SİVAS</t>
  </si>
  <si>
    <t>ŞANLIURFA</t>
  </si>
  <si>
    <t>TEKİRDAĞ</t>
  </si>
  <si>
    <t>ÇERKEZKÖY</t>
  </si>
  <si>
    <t>ÇORLU</t>
  </si>
  <si>
    <t>AKBÜK</t>
  </si>
  <si>
    <t>SİNOP</t>
  </si>
  <si>
    <t>ÇEŞMELİ</t>
  </si>
  <si>
    <t>KORKUTELİ</t>
  </si>
  <si>
    <t>KIRŞEHİR</t>
  </si>
  <si>
    <t>MARMARA EREĞLİSİ</t>
  </si>
  <si>
    <t>ŞARKÖY</t>
  </si>
  <si>
    <t>TRABZON</t>
  </si>
  <si>
    <t>YALOVA</t>
  </si>
  <si>
    <t>ZONGULDAK</t>
  </si>
  <si>
    <t>GÖLBAŞI</t>
  </si>
  <si>
    <t>x</t>
  </si>
  <si>
    <t>KEMALPAŞA</t>
  </si>
  <si>
    <t>BİGA</t>
  </si>
  <si>
    <t>YALIKAVAK</t>
  </si>
  <si>
    <t>KIRKLARELİ</t>
  </si>
  <si>
    <t>LÜLEBURGAZ</t>
  </si>
  <si>
    <t>ALTINOLUK</t>
  </si>
  <si>
    <t>ERDEK</t>
  </si>
  <si>
    <t>ARMUTALAN</t>
  </si>
  <si>
    <t>DATÇA</t>
  </si>
  <si>
    <t>ELAZIĞ</t>
  </si>
  <si>
    <t>KAŞ</t>
  </si>
  <si>
    <t>GİRESUN</t>
  </si>
  <si>
    <t>ALİAĞA</t>
  </si>
  <si>
    <t>KEMER</t>
  </si>
  <si>
    <t>SÖKE</t>
  </si>
  <si>
    <t>BOZÜYÜK</t>
  </si>
  <si>
    <t>MUDANYA</t>
  </si>
  <si>
    <t>ORHANGAZİ</t>
  </si>
  <si>
    <t>ÇORUM</t>
  </si>
  <si>
    <t>İÇMELER</t>
  </si>
  <si>
    <t>DİDİM</t>
  </si>
  <si>
    <t>ERZİNCAN</t>
  </si>
  <si>
    <t>AKHİSAR</t>
  </si>
  <si>
    <t>AĞRI</t>
  </si>
  <si>
    <t>KEŞAN</t>
  </si>
  <si>
    <t>SEFERİHİSAR</t>
  </si>
  <si>
    <t>SALİHLİ</t>
  </si>
  <si>
    <t>ERDEMLİ</t>
  </si>
  <si>
    <t>TURGUTREİS</t>
  </si>
  <si>
    <t>VAN</t>
  </si>
  <si>
    <t>ÇINARCIK</t>
  </si>
  <si>
    <t>ALTINOVA</t>
  </si>
  <si>
    <t>ÇANKIRI</t>
  </si>
  <si>
    <t>ALAÇATI</t>
  </si>
  <si>
    <t>GÜNDOĞAN</t>
  </si>
  <si>
    <t>ORTACA</t>
  </si>
  <si>
    <t>TOKAT</t>
  </si>
  <si>
    <t>ARMUTLU</t>
  </si>
  <si>
    <t>ADIYAMAN</t>
  </si>
  <si>
    <t>NEVŞEHİR</t>
  </si>
  <si>
    <t>NİĞDE</t>
  </si>
  <si>
    <t>BAFRA</t>
  </si>
  <si>
    <t>AKSARAY</t>
  </si>
  <si>
    <t>KALKAN</t>
  </si>
  <si>
    <t>SERİK</t>
  </si>
  <si>
    <t>DAVUTLAR</t>
  </si>
  <si>
    <t>BANDIRMA</t>
  </si>
  <si>
    <t>BİNGÖL</t>
  </si>
  <si>
    <t>GELİBOLU</t>
  </si>
  <si>
    <t>DÜZCE</t>
  </si>
  <si>
    <t>YALVAÇ</t>
  </si>
  <si>
    <t>MENDERES</t>
  </si>
  <si>
    <t>KASTAMONU</t>
  </si>
  <si>
    <t>KANDIRA</t>
  </si>
  <si>
    <t>AKŞEHİR</t>
  </si>
  <si>
    <t>ÇİFTLİKKÖY</t>
  </si>
  <si>
    <t>SİLİFKE</t>
  </si>
  <si>
    <t>DALYAN</t>
  </si>
  <si>
    <t>FATSA</t>
  </si>
  <si>
    <t>Y.ÇİFTLİK</t>
  </si>
  <si>
    <t>SÜRMENE</t>
  </si>
  <si>
    <t>BİTEZ</t>
  </si>
  <si>
    <t>POLATLI</t>
  </si>
  <si>
    <t>KUMLUCA</t>
  </si>
  <si>
    <t>DALAMAN</t>
  </si>
  <si>
    <t>DÜZİÇİ</t>
  </si>
  <si>
    <t>EZİNE</t>
  </si>
  <si>
    <t>ÇERKEŞ</t>
  </si>
  <si>
    <t>ALAŞEHİR</t>
  </si>
  <si>
    <t>MUŞ</t>
  </si>
  <si>
    <t>ŞIRNAK</t>
  </si>
  <si>
    <t>birleş</t>
  </si>
  <si>
    <t>TERME</t>
  </si>
  <si>
    <t>İL</t>
  </si>
  <si>
    <t>Saygılarımızla,</t>
  </si>
  <si>
    <t>BELEDİYE</t>
  </si>
  <si>
    <t>TURUNÇ</t>
  </si>
  <si>
    <t>NİKSAR</t>
  </si>
  <si>
    <t>MERZİFON</t>
  </si>
  <si>
    <t>ÇUBUK</t>
  </si>
  <si>
    <t>ÇOLAKLI</t>
  </si>
  <si>
    <t>GÜZELÇAMLI</t>
  </si>
  <si>
    <t>BELEN</t>
  </si>
  <si>
    <t>PAZARCIK</t>
  </si>
  <si>
    <t>TÖMÜK</t>
  </si>
  <si>
    <t>SELÇUK</t>
  </si>
  <si>
    <t>MAHMUTLAR</t>
  </si>
  <si>
    <t>IĞDIR</t>
  </si>
  <si>
    <t>MORDOĞAN</t>
  </si>
  <si>
    <t>SARIGÖL</t>
  </si>
  <si>
    <t>PAMUKOVA</t>
  </si>
  <si>
    <t>TAŞKÖPRÜ</t>
  </si>
  <si>
    <t>AKÇAABAT</t>
  </si>
  <si>
    <t>TÜRKELİ</t>
  </si>
  <si>
    <t>TAŞUCU</t>
  </si>
  <si>
    <t>GÜMÜŞHANE</t>
  </si>
  <si>
    <t>KÜÇÜKKUYU</t>
  </si>
  <si>
    <t>OBA</t>
  </si>
  <si>
    <t>BEYLİKDÜZÜ</t>
  </si>
  <si>
    <t>AYAŞ</t>
  </si>
  <si>
    <t>GÜRSU</t>
  </si>
  <si>
    <t>BİSMİL</t>
  </si>
  <si>
    <t>MURATLI</t>
  </si>
  <si>
    <t>DEVREK</t>
  </si>
  <si>
    <t>CEYHAN</t>
  </si>
  <si>
    <t>GÖNEN</t>
  </si>
  <si>
    <t>KARLIOVA</t>
  </si>
  <si>
    <t>HONAZ</t>
  </si>
  <si>
    <t>ŞARKİKARAAĞAÇ</t>
  </si>
  <si>
    <t>ÖDEMİŞ</t>
  </si>
  <si>
    <t>KİLİS</t>
  </si>
  <si>
    <t>CİHANBEYLİ</t>
  </si>
  <si>
    <t>KONACIK</t>
  </si>
  <si>
    <t>HENDEK</t>
  </si>
  <si>
    <t>DAZKIRI</t>
  </si>
  <si>
    <t>AKSU</t>
  </si>
  <si>
    <t>BUCAK</t>
  </si>
  <si>
    <t>AKYAKA</t>
  </si>
  <si>
    <t>TOSYA</t>
  </si>
  <si>
    <t>VEZİRKÖPRÜ</t>
  </si>
  <si>
    <t>ÜRETİM.BİNA</t>
  </si>
  <si>
    <t>ÜRT.MUHT.</t>
  </si>
  <si>
    <t>İPTAL.BİNA</t>
  </si>
  <si>
    <t>İPTAL.MUHT.</t>
  </si>
  <si>
    <t>YAKINCA</t>
  </si>
  <si>
    <t>TR720006400000145280330530</t>
  </si>
  <si>
    <t>NALLIHAN</t>
  </si>
  <si>
    <t>GÖLPAZARI</t>
  </si>
  <si>
    <t>GEYİKLİ</t>
  </si>
  <si>
    <t>KARGIPINARI</t>
  </si>
  <si>
    <t>YATAĞAN</t>
  </si>
  <si>
    <t>SARAY</t>
  </si>
  <si>
    <t>YOZGAT</t>
  </si>
  <si>
    <t>ÇAYCUMA</t>
  </si>
  <si>
    <t>AKÇAY</t>
  </si>
  <si>
    <t>KADIKÖY</t>
  </si>
  <si>
    <t>BOSTANBAŞI</t>
  </si>
  <si>
    <t>GÜMÜŞLÜK</t>
  </si>
  <si>
    <t>KOZAN</t>
  </si>
  <si>
    <t>POZANTI</t>
  </si>
  <si>
    <t>EMİRDAĞ</t>
  </si>
  <si>
    <t>GAZİPAŞA</t>
  </si>
  <si>
    <t>UZUNKÖPRÜ</t>
  </si>
  <si>
    <t>BABAESKİ</t>
  </si>
  <si>
    <t>MUCUR</t>
  </si>
  <si>
    <t>BOZYAZI</t>
  </si>
  <si>
    <t>ÇAMLIYAYLA</t>
  </si>
  <si>
    <t>ÇARŞAMBA</t>
  </si>
  <si>
    <t>ELMALI</t>
  </si>
  <si>
    <t>TEKİROVA</t>
  </si>
  <si>
    <t>KARAMANLI</t>
  </si>
  <si>
    <t>İZNİK</t>
  </si>
  <si>
    <t>KİRAZ</t>
  </si>
  <si>
    <t>ARAÇ</t>
  </si>
  <si>
    <t>İNEBOLU</t>
  </si>
  <si>
    <t>GEDİZ</t>
  </si>
  <si>
    <t>MUT</t>
  </si>
  <si>
    <t>ÜRGÜP</t>
  </si>
  <si>
    <t>GEYVE</t>
  </si>
  <si>
    <t>TUNCELİ</t>
  </si>
  <si>
    <t>KADRİYE</t>
  </si>
  <si>
    <t>ARDAHAN</t>
  </si>
  <si>
    <t>İNCİRLİOVA</t>
  </si>
  <si>
    <t>ZEYTİNLİ</t>
  </si>
  <si>
    <t>GEREDE</t>
  </si>
  <si>
    <t>GÖYNÜK</t>
  </si>
  <si>
    <t>GÖRELE</t>
  </si>
  <si>
    <t>TİREBOLU</t>
  </si>
  <si>
    <t>REYHANLI</t>
  </si>
  <si>
    <t>KAMAN</t>
  </si>
  <si>
    <t>AKÇADAĞ</t>
  </si>
  <si>
    <t>MURADİYE</t>
  </si>
  <si>
    <t>ATAKENT</t>
  </si>
  <si>
    <t>KADİRLİ</t>
  </si>
  <si>
    <t>BARBAROS</t>
  </si>
  <si>
    <t>KÖYCEĞİZ</t>
  </si>
  <si>
    <t>TAŞOVA</t>
  </si>
  <si>
    <t>TAVAS</t>
  </si>
  <si>
    <t>İPSALA</t>
  </si>
  <si>
    <t>ULUBORLU</t>
  </si>
  <si>
    <t>KINIK</t>
  </si>
  <si>
    <t>GÖLMARMARA</t>
  </si>
  <si>
    <t>BOR</t>
  </si>
  <si>
    <t>AYBASTI</t>
  </si>
  <si>
    <t>PAZAR</t>
  </si>
  <si>
    <t>ONDOKUZMAYIS</t>
  </si>
  <si>
    <t>SİLOPİ</t>
  </si>
  <si>
    <t>SUBAŞI</t>
  </si>
  <si>
    <t>BESNİ</t>
  </si>
  <si>
    <t>ÇAN</t>
  </si>
  <si>
    <t>ALUCRA</t>
  </si>
  <si>
    <t>ŞİRAN</t>
  </si>
  <si>
    <t>HAKKARİ</t>
  </si>
  <si>
    <t>BANAZ</t>
  </si>
  <si>
    <t>KOZLU</t>
  </si>
  <si>
    <t>BOLVADİN</t>
  </si>
  <si>
    <t>DİNAR</t>
  </si>
  <si>
    <t>ORTAKÖY</t>
  </si>
  <si>
    <t>ŞEREFLİKOÇHİSAR</t>
  </si>
  <si>
    <t>FİNİKE</t>
  </si>
  <si>
    <t>ŞAVŞAT</t>
  </si>
  <si>
    <t>ÇİNE</t>
  </si>
  <si>
    <t>KOÇARLI</t>
  </si>
  <si>
    <t>KEPSUT</t>
  </si>
  <si>
    <t>SINDIRGI</t>
  </si>
  <si>
    <t>SUSURLUK</t>
  </si>
  <si>
    <t>BİTLİS</t>
  </si>
  <si>
    <t>TATVAN</t>
  </si>
  <si>
    <t>ALTINYAYLA</t>
  </si>
  <si>
    <t>KARACABEY</t>
  </si>
  <si>
    <t>İNTEPE</t>
  </si>
  <si>
    <t>SUNGURLU</t>
  </si>
  <si>
    <t>İNÖNÜ</t>
  </si>
  <si>
    <t>PİRAZİZ</t>
  </si>
  <si>
    <t>ERZİN</t>
  </si>
  <si>
    <t>KIRIKHAN</t>
  </si>
  <si>
    <t>NARDÜZÜ</t>
  </si>
  <si>
    <t>YAHŞİHAN</t>
  </si>
  <si>
    <t>DEMİRKÖY</t>
  </si>
  <si>
    <t>PINARHİSAR</t>
  </si>
  <si>
    <t>BEYŞEHİR</t>
  </si>
  <si>
    <t>SEYDİŞEHİR</t>
  </si>
  <si>
    <t>TAVŞANLI</t>
  </si>
  <si>
    <t>BATTALGAZİ</t>
  </si>
  <si>
    <t>YEŞİLYURT</t>
  </si>
  <si>
    <t>MİDYAT</t>
  </si>
  <si>
    <t>KIZKALESİ</t>
  </si>
  <si>
    <t>YEŞİLÜZÜMLÜ</t>
  </si>
  <si>
    <t>FINDIKLI</t>
  </si>
  <si>
    <t>BİRECİK</t>
  </si>
  <si>
    <t>HAYRABOLU</t>
  </si>
  <si>
    <t>TURHAL</t>
  </si>
  <si>
    <t>ZİLE</t>
  </si>
  <si>
    <t>OF</t>
  </si>
  <si>
    <t>YOMRA</t>
  </si>
  <si>
    <t>BOĞAZLIYAN</t>
  </si>
  <si>
    <t>TR110001500158007264554493</t>
  </si>
  <si>
    <t>TR500001500158007284881887</t>
  </si>
  <si>
    <t>TR100001200921800007000006</t>
  </si>
  <si>
    <t>TR720001200957400007000020</t>
  </si>
  <si>
    <t>TR910001200924600045000001</t>
  </si>
  <si>
    <t>TR280001200925100007000002</t>
  </si>
  <si>
    <t>TR410001200963700013000004</t>
  </si>
  <si>
    <t>TR870001200929900045000002</t>
  </si>
  <si>
    <t>TR510001200936000007000013</t>
  </si>
  <si>
    <t>TR080001200932300007000002</t>
  </si>
  <si>
    <t>TR710001500158007284691486</t>
  </si>
  <si>
    <t>TR230001500158007292766727</t>
  </si>
  <si>
    <t>TR220001500158007290404601</t>
  </si>
  <si>
    <t>TR560001200922300007000026</t>
  </si>
  <si>
    <t>TR420001500158007287998641</t>
  </si>
  <si>
    <t>TR640001500158007292289040</t>
  </si>
  <si>
    <t>TR050001200972200007000001</t>
  </si>
  <si>
    <t>TR980001500158007292361081</t>
  </si>
  <si>
    <t>TR550001200950300007000002</t>
  </si>
  <si>
    <t>TR980001200956600007000077</t>
  </si>
  <si>
    <t>TR850006400000166240165374</t>
  </si>
  <si>
    <t>TR840001500158007292361915</t>
  </si>
  <si>
    <t>TR740001500158007270716836</t>
  </si>
  <si>
    <t>TR040001500158007266467071</t>
  </si>
  <si>
    <t>TR960001500158007260519509</t>
  </si>
  <si>
    <t>TR120001500158007293571443</t>
  </si>
  <si>
    <t>TR220001500158007261547974</t>
  </si>
  <si>
    <t>TR470001500158007293384476</t>
  </si>
  <si>
    <t>TR040001500158007260604682</t>
  </si>
  <si>
    <t>TR310001500158007290490866</t>
  </si>
  <si>
    <t>TR480001200954400004000004</t>
  </si>
  <si>
    <t>TR500001200926900007000001</t>
  </si>
  <si>
    <t>TR310001500158007286361576</t>
  </si>
  <si>
    <t>TR670001200938200007000003</t>
  </si>
  <si>
    <t>TR560001500158007287353436</t>
  </si>
  <si>
    <t>YUMURTALIK</t>
  </si>
  <si>
    <t>KAHTA</t>
  </si>
  <si>
    <t>DOĞUBAYAZIT</t>
  </si>
  <si>
    <t>PATNOS</t>
  </si>
  <si>
    <t>GÜMÜŞHACIKÖY</t>
  </si>
  <si>
    <t>SULUOVA</t>
  </si>
  <si>
    <t>KALECİK</t>
  </si>
  <si>
    <t>KIZILCAHAMAM</t>
  </si>
  <si>
    <t>ÇAMYUVA</t>
  </si>
  <si>
    <t>OYMAPINAR</t>
  </si>
  <si>
    <t>POSOF</t>
  </si>
  <si>
    <t>DURSUNBEY</t>
  </si>
  <si>
    <t>GENÇ</t>
  </si>
  <si>
    <t>DÖRTDİVAN</t>
  </si>
  <si>
    <t>MUDURNU</t>
  </si>
  <si>
    <t>TATKAVAKLI</t>
  </si>
  <si>
    <t>BAYRAMİÇ</t>
  </si>
  <si>
    <t>ILGAZ</t>
  </si>
  <si>
    <t>PAMUKKALE</t>
  </si>
  <si>
    <t>ERGANİ</t>
  </si>
  <si>
    <t>KAYNAŞLI</t>
  </si>
  <si>
    <t>TERCAN</t>
  </si>
  <si>
    <t>AŞKALE</t>
  </si>
  <si>
    <t>SİVRİHİSAR</t>
  </si>
  <si>
    <t>NİZİP</t>
  </si>
  <si>
    <t>OĞUZELİ</t>
  </si>
  <si>
    <t>ÇAMOLUK</t>
  </si>
  <si>
    <t>KEŞAP</t>
  </si>
  <si>
    <t>SARIKAMIŞ</t>
  </si>
  <si>
    <t>BÜNYAN</t>
  </si>
  <si>
    <t>YEŞİLHİSAR</t>
  </si>
  <si>
    <t>BAŞARAKAVAK</t>
  </si>
  <si>
    <t>HATUNSARAY</t>
  </si>
  <si>
    <t>KARAPINAR</t>
  </si>
  <si>
    <t>KIZILÖREN</t>
  </si>
  <si>
    <t>SİMAV</t>
  </si>
  <si>
    <t>DARENDE</t>
  </si>
  <si>
    <t>YAZIHAN</t>
  </si>
  <si>
    <t>KULA</t>
  </si>
  <si>
    <t>GÜLNAR</t>
  </si>
  <si>
    <t>YALI</t>
  </si>
  <si>
    <t>KOZAKLI</t>
  </si>
  <si>
    <t>ÇİFTLİK</t>
  </si>
  <si>
    <t>ULUKIŞLA</t>
  </si>
  <si>
    <t>KORGAN</t>
  </si>
  <si>
    <t>HAVZA</t>
  </si>
  <si>
    <t>AYANCIK</t>
  </si>
  <si>
    <t>BOYABAT</t>
  </si>
  <si>
    <t>AKINCILAR</t>
  </si>
  <si>
    <t>BOZOVA</t>
  </si>
  <si>
    <t>CEYLANPINAR</t>
  </si>
  <si>
    <t>SURUÇ</t>
  </si>
  <si>
    <t>VİRANŞEHİR</t>
  </si>
  <si>
    <t>CİZRE</t>
  </si>
  <si>
    <t>ULAŞ</t>
  </si>
  <si>
    <t>TONYA</t>
  </si>
  <si>
    <t>KORU</t>
  </si>
  <si>
    <t>SORGUN</t>
  </si>
  <si>
    <t>TR750006400000190000763985</t>
  </si>
  <si>
    <t>TR440001500158007295807590</t>
  </si>
  <si>
    <t>TR820001200935600045000001</t>
  </si>
  <si>
    <t>TR350001200922500007000006</t>
  </si>
  <si>
    <t>TR440001500158007297076641</t>
  </si>
  <si>
    <t>TR200001500158007286706221</t>
  </si>
  <si>
    <t>TR230001200926900007000002</t>
  </si>
  <si>
    <t>TR640001500158007299395648</t>
  </si>
  <si>
    <t>AKÇATEKİR</t>
  </si>
  <si>
    <t>ALADAĞ</t>
  </si>
  <si>
    <t>İMAMOĞLU</t>
  </si>
  <si>
    <t>KARAİSALI</t>
  </si>
  <si>
    <t>KARATAŞ</t>
  </si>
  <si>
    <t>TUFANBEYLİ</t>
  </si>
  <si>
    <t>SİNCİK</t>
  </si>
  <si>
    <t>BAYAT</t>
  </si>
  <si>
    <t>ÇAY</t>
  </si>
  <si>
    <t>ÇOBANLAR</t>
  </si>
  <si>
    <t>EVCİLER</t>
  </si>
  <si>
    <t>HOCALAR</t>
  </si>
  <si>
    <t>İHSANİYE</t>
  </si>
  <si>
    <t>İSCEHİSAR</t>
  </si>
  <si>
    <t>TUTAK</t>
  </si>
  <si>
    <t>DEMİRCİ</t>
  </si>
  <si>
    <t>ZİYARET</t>
  </si>
  <si>
    <t>BALA</t>
  </si>
  <si>
    <t>BEYPAZARI</t>
  </si>
  <si>
    <t>ÇAYIRHAN</t>
  </si>
  <si>
    <t>AKSEKİ</t>
  </si>
  <si>
    <t>DEMRE</t>
  </si>
  <si>
    <t>GÜNDOĞDU</t>
  </si>
  <si>
    <t>KONAKLI</t>
  </si>
  <si>
    <t>TAŞAĞIL</t>
  </si>
  <si>
    <t>GÖLE</t>
  </si>
  <si>
    <t>HOPA</t>
  </si>
  <si>
    <t>MURGUL</t>
  </si>
  <si>
    <t>BOZDOĞAN</t>
  </si>
  <si>
    <t>BUHARKENT</t>
  </si>
  <si>
    <t>KÖŞK</t>
  </si>
  <si>
    <t>KUYUCAK</t>
  </si>
  <si>
    <t>SULTANHİSAR</t>
  </si>
  <si>
    <t>YENİDOĞAN</t>
  </si>
  <si>
    <t>BALYA</t>
  </si>
  <si>
    <t>BİGADİÇ</t>
  </si>
  <si>
    <t>HAVRAN</t>
  </si>
  <si>
    <t>OCAKLAR</t>
  </si>
  <si>
    <t>BEŞİRİ</t>
  </si>
  <si>
    <t>KOZLUK</t>
  </si>
  <si>
    <t>BAYBURT</t>
  </si>
  <si>
    <t>İNHİSAR</t>
  </si>
  <si>
    <t>OSMANELİ</t>
  </si>
  <si>
    <t>SÖĞÜT</t>
  </si>
  <si>
    <t>SOLHAN</t>
  </si>
  <si>
    <t>SEBEN</t>
  </si>
  <si>
    <t>YENİÇAĞA</t>
  </si>
  <si>
    <t>TEFENNİ</t>
  </si>
  <si>
    <t>HARMANCIK</t>
  </si>
  <si>
    <t>ORHANELİ</t>
  </si>
  <si>
    <t>ÇARDAK</t>
  </si>
  <si>
    <t>GÖKÇEADA</t>
  </si>
  <si>
    <t>LAPSEKİ</t>
  </si>
  <si>
    <t>KORGUN</t>
  </si>
  <si>
    <t>KURŞUNLU</t>
  </si>
  <si>
    <t>ORTA</t>
  </si>
  <si>
    <t>ŞABANÖZÜ</t>
  </si>
  <si>
    <t>İSKİLİP</t>
  </si>
  <si>
    <t>KARGI</t>
  </si>
  <si>
    <t>MECİTÖZÜ</t>
  </si>
  <si>
    <t>OSMANCIK</t>
  </si>
  <si>
    <t>AKKÖY</t>
  </si>
  <si>
    <t>BAŞKARCI</t>
  </si>
  <si>
    <t>BOZKURT</t>
  </si>
  <si>
    <t>ÇİVRİL</t>
  </si>
  <si>
    <t>SERİNHİSAR</t>
  </si>
  <si>
    <t>ÇERMİK</t>
  </si>
  <si>
    <t>ÇINAR</t>
  </si>
  <si>
    <t>KOCAKÖY</t>
  </si>
  <si>
    <t>LİCE</t>
  </si>
  <si>
    <t>SİLVAN</t>
  </si>
  <si>
    <t>CUMAYERİ</t>
  </si>
  <si>
    <t>ÇİLİMLİ</t>
  </si>
  <si>
    <t>YIĞILCA</t>
  </si>
  <si>
    <t>HAVSA</t>
  </si>
  <si>
    <t>LALAPAŞA</t>
  </si>
  <si>
    <t>MERİÇ</t>
  </si>
  <si>
    <t>ARICAK</t>
  </si>
  <si>
    <t>KOVANCILAR</t>
  </si>
  <si>
    <t>MADEN</t>
  </si>
  <si>
    <t>PALU</t>
  </si>
  <si>
    <t>YURTBAŞI</t>
  </si>
  <si>
    <t>ÇAYIRLI</t>
  </si>
  <si>
    <t>KEMALİYE</t>
  </si>
  <si>
    <t>REFAHİYE</t>
  </si>
  <si>
    <t>ULALAR</t>
  </si>
  <si>
    <t>ÜZÜMLÜ</t>
  </si>
  <si>
    <t>ÇAT</t>
  </si>
  <si>
    <t>İSPİR</t>
  </si>
  <si>
    <t>KARAYAZI</t>
  </si>
  <si>
    <t>OLTU</t>
  </si>
  <si>
    <t>TORTUM</t>
  </si>
  <si>
    <t>MAHMUDİYE</t>
  </si>
  <si>
    <t>MİHALGAZİ</t>
  </si>
  <si>
    <t>SEYİTGAZİ</t>
  </si>
  <si>
    <t>ARABAN</t>
  </si>
  <si>
    <t>NURDAĞI</t>
  </si>
  <si>
    <t>ÇANAKÇI</t>
  </si>
  <si>
    <t>DERELİ</t>
  </si>
  <si>
    <t>EYNESİL</t>
  </si>
  <si>
    <t>ÜÇTEPE</t>
  </si>
  <si>
    <t>YÜKSEKOVA</t>
  </si>
  <si>
    <t>ALTINÖZÜ</t>
  </si>
  <si>
    <t>KUMLU</t>
  </si>
  <si>
    <t>SAMANDAĞ</t>
  </si>
  <si>
    <t>KARAKOYUNLU</t>
  </si>
  <si>
    <t>TUZLUCA</t>
  </si>
  <si>
    <t>EĞİRDİR</t>
  </si>
  <si>
    <t>GELENDOST</t>
  </si>
  <si>
    <t>KEÇİBORLU</t>
  </si>
  <si>
    <t>SÜTÇÜLER</t>
  </si>
  <si>
    <t>BEYDAĞ</t>
  </si>
  <si>
    <t>AYRANCI</t>
  </si>
  <si>
    <t>ERMENEK</t>
  </si>
  <si>
    <t>KAZIMKARABEKİR</t>
  </si>
  <si>
    <t>KAĞIZMAN</t>
  </si>
  <si>
    <t>SUSUZ</t>
  </si>
  <si>
    <t>CİDE</t>
  </si>
  <si>
    <t>ÇATALZEYTİN</t>
  </si>
  <si>
    <t>DEVREKANİ</t>
  </si>
  <si>
    <t>İHSANGAZİ</t>
  </si>
  <si>
    <t>PINARBAŞI</t>
  </si>
  <si>
    <t>SEYDİLER</t>
  </si>
  <si>
    <t>AĞIRNAS</t>
  </si>
  <si>
    <t>DEVELİ</t>
  </si>
  <si>
    <t>HACILAR</t>
  </si>
  <si>
    <t>ÖZVATAN</t>
  </si>
  <si>
    <t>SARIOĞLAN</t>
  </si>
  <si>
    <t>TOMARZA</t>
  </si>
  <si>
    <t>YAHYALI</t>
  </si>
  <si>
    <t>BALIŞEYH</t>
  </si>
  <si>
    <t>ÇELEBİ</t>
  </si>
  <si>
    <t>BOZTEPE</t>
  </si>
  <si>
    <t>ÇİÇEKDAĞI</t>
  </si>
  <si>
    <t>AFŞİN</t>
  </si>
  <si>
    <t>ANDIRIN</t>
  </si>
  <si>
    <t>ELBİSTAN</t>
  </si>
  <si>
    <t>TÜRKOĞLU</t>
  </si>
  <si>
    <t>AKÖREN</t>
  </si>
  <si>
    <t>BOZKIR</t>
  </si>
  <si>
    <t>ÇUMRA</t>
  </si>
  <si>
    <t>DEREBUCAK</t>
  </si>
  <si>
    <t>ILGIN</t>
  </si>
  <si>
    <t>KADINHANI</t>
  </si>
  <si>
    <t>KULU</t>
  </si>
  <si>
    <t>SARAYÖNÜ</t>
  </si>
  <si>
    <t>TUZLUKÇU</t>
  </si>
  <si>
    <t>YALIHÜYÜK</t>
  </si>
  <si>
    <t>YUNAK</t>
  </si>
  <si>
    <t>ALİKÖY</t>
  </si>
  <si>
    <t>ALTINTAŞ</t>
  </si>
  <si>
    <t>ÇAVDARHİSAR</t>
  </si>
  <si>
    <t>DOMANİÇ</t>
  </si>
  <si>
    <t>DUMLUPINAR</t>
  </si>
  <si>
    <t>ŞAPHANE</t>
  </si>
  <si>
    <t>ARAPKİR</t>
  </si>
  <si>
    <t>AŞAĞIULUPINAR</t>
  </si>
  <si>
    <t>BEYDAĞI</t>
  </si>
  <si>
    <t>DOĞANŞEHİR</t>
  </si>
  <si>
    <t>HEKİMHAN</t>
  </si>
  <si>
    <t>AHMETLİ</t>
  </si>
  <si>
    <t>KIRKAĞAÇ</t>
  </si>
  <si>
    <t>KÖPRÜBAŞI</t>
  </si>
  <si>
    <t>SARUHANLI</t>
  </si>
  <si>
    <t>DERİK</t>
  </si>
  <si>
    <t>NUSAYBİN</t>
  </si>
  <si>
    <t>SAVUR</t>
  </si>
  <si>
    <t>YEŞİLLİ</t>
  </si>
  <si>
    <t>ANAMUR</t>
  </si>
  <si>
    <t>ATAYURT</t>
  </si>
  <si>
    <t>AYDINCIK</t>
  </si>
  <si>
    <t>KUMKUYU</t>
  </si>
  <si>
    <t>LİMONLU</t>
  </si>
  <si>
    <t>EŞEN</t>
  </si>
  <si>
    <t>GÖKOVA</t>
  </si>
  <si>
    <t>KARAÇULHA</t>
  </si>
  <si>
    <t>MUMCULAR</t>
  </si>
  <si>
    <t>BULANIK</t>
  </si>
  <si>
    <t>KIZILAĞAÇ</t>
  </si>
  <si>
    <t>AVANOS</t>
  </si>
  <si>
    <t>DERİNKUYU</t>
  </si>
  <si>
    <t>GÜLŞEHİR</t>
  </si>
  <si>
    <t>HACIBEKTAŞ</t>
  </si>
  <si>
    <t>NARKÖY</t>
  </si>
  <si>
    <t>ÇAMARDI</t>
  </si>
  <si>
    <t>BOLAMAN</t>
  </si>
  <si>
    <t>KIRLI</t>
  </si>
  <si>
    <t>PERŞEMBE</t>
  </si>
  <si>
    <t>ÇAMLIHEMŞİN</t>
  </si>
  <si>
    <t>ÇAYELİ</t>
  </si>
  <si>
    <t>GÜNEYSU</t>
  </si>
  <si>
    <t>İYİDERE</t>
  </si>
  <si>
    <t>DARIÇAYI</t>
  </si>
  <si>
    <t>KAYNARCA</t>
  </si>
  <si>
    <t>KANGAL</t>
  </si>
  <si>
    <t>ZARA</t>
  </si>
  <si>
    <t>KIZILPINAR</t>
  </si>
  <si>
    <t>KUMBAĞ</t>
  </si>
  <si>
    <t>VELİMEŞE</t>
  </si>
  <si>
    <t>VAKFIKEBİR</t>
  </si>
  <si>
    <t>YALINCAK</t>
  </si>
  <si>
    <t>ERCİŞ</t>
  </si>
  <si>
    <t>KADIŞEHRİ</t>
  </si>
  <si>
    <t>YERKÖY</t>
  </si>
  <si>
    <t>ALAPLI</t>
  </si>
  <si>
    <t>GÖKÇEBEY</t>
  </si>
  <si>
    <t>IBAN</t>
  </si>
  <si>
    <t>ŞEREFLİKOÇHİSAR / ANKARA</t>
  </si>
  <si>
    <t>POLATLI / ANKARA</t>
  </si>
  <si>
    <t>MERKEZ / AMASYA</t>
  </si>
  <si>
    <t>VAKIFBANK</t>
  </si>
  <si>
    <t>TR710001500158007294274019</t>
  </si>
  <si>
    <t>GÜNDOĞDU / ANTALYA</t>
  </si>
  <si>
    <t>TR390001500158007299391830</t>
  </si>
  <si>
    <t>KUMLUCA / ANTALYA</t>
  </si>
  <si>
    <t>ZİRAAT BANKASI</t>
  </si>
  <si>
    <t>TR680001000598326105855001</t>
  </si>
  <si>
    <t>İNCİRLİOVA / AYDIN</t>
  </si>
  <si>
    <t>TR920001200954300007000009</t>
  </si>
  <si>
    <t>TR600001200953300007000053</t>
  </si>
  <si>
    <t>AYVALIK / BALIKESİR</t>
  </si>
  <si>
    <t>TR050001000110135569965002</t>
  </si>
  <si>
    <t>BEŞİRİ / BATMAN</t>
  </si>
  <si>
    <t>MERKEZ / BAYBURT</t>
  </si>
  <si>
    <t>TR200001500158007287970810</t>
  </si>
  <si>
    <t>GENÇ / BİNGÖL</t>
  </si>
  <si>
    <t>TR190001000360305713725011</t>
  </si>
  <si>
    <t>TR760001500158007300194324</t>
  </si>
  <si>
    <t>KÜÇÜKKUYU / ÇANAKKALE</t>
  </si>
  <si>
    <t>TR060001002445382949395016</t>
  </si>
  <si>
    <t>ÇARDAK / DENİZLİ</t>
  </si>
  <si>
    <t>TR930001000571277537985001</t>
  </si>
  <si>
    <t>TAVAS / DENİZLİ</t>
  </si>
  <si>
    <t>TR090001200935500007000018</t>
  </si>
  <si>
    <t>ARICAK / ELAZIĞ</t>
  </si>
  <si>
    <t>TR760001001626253170975001</t>
  </si>
  <si>
    <t>MERKEZ / ELAZIĞ</t>
  </si>
  <si>
    <t>TR090001500158007292339888</t>
  </si>
  <si>
    <t>BULANCAK / GİRESUN</t>
  </si>
  <si>
    <t>TR400001000328267485885001</t>
  </si>
  <si>
    <t>GÖRELE / GİRESUN</t>
  </si>
  <si>
    <t>TR460001200938000007000003</t>
  </si>
  <si>
    <t>TİREBOLU / GİRESUN</t>
  </si>
  <si>
    <t>TR730001000124257665285001</t>
  </si>
  <si>
    <t>ALTINÖZÜ / HATAY</t>
  </si>
  <si>
    <t>TR320001000447426973085001</t>
  </si>
  <si>
    <t>KARAAĞAÇ / HATAY</t>
  </si>
  <si>
    <t>TR330001200922300007000052</t>
  </si>
  <si>
    <t>YALVAÇ / ISPARTA</t>
  </si>
  <si>
    <t>TR730001000136327652165002</t>
  </si>
  <si>
    <t>İNEBOLU / KASTAMONU</t>
  </si>
  <si>
    <t>TR960001000128091323075001</t>
  </si>
  <si>
    <t>İZMİT</t>
  </si>
  <si>
    <t>BAŞARAKAVAK / KONYA</t>
  </si>
  <si>
    <t>TR820001000461358830855001</t>
  </si>
  <si>
    <t>TR880001500158007290051109</t>
  </si>
  <si>
    <t>HATUNSARAY / KONYA</t>
  </si>
  <si>
    <t>KULU / KONYA</t>
  </si>
  <si>
    <t xml:space="preserve">KULU </t>
  </si>
  <si>
    <t>TR560001200133200007000002</t>
  </si>
  <si>
    <t>ALİKÖY / KÜTAHYA</t>
  </si>
  <si>
    <t>TR480001000181335974275001</t>
  </si>
  <si>
    <t>DUMLUPINAR / KÜTAHYA</t>
  </si>
  <si>
    <t>TR020001001055251786145001</t>
  </si>
  <si>
    <t>AŞAĞIULUPINAR / MALATYA</t>
  </si>
  <si>
    <t xml:space="preserve">AŞAĞIULUPINAR </t>
  </si>
  <si>
    <t>TR110001000320267859605009</t>
  </si>
  <si>
    <t>BEYDAĞI / MALATYA</t>
  </si>
  <si>
    <t>SAVUR / MARDİN</t>
  </si>
  <si>
    <t>TR450001000407084705805002</t>
  </si>
  <si>
    <t>MUMCULAR / MUĞLA</t>
  </si>
  <si>
    <t xml:space="preserve">MUMCULAR </t>
  </si>
  <si>
    <t>TR830001000202342934745001</t>
  </si>
  <si>
    <t>ULA / MUĞLA</t>
  </si>
  <si>
    <t>TR260001000594291226795001</t>
  </si>
  <si>
    <t>KIZILAĞAÇ / MUŞ</t>
  </si>
  <si>
    <t>TR580001000095291539595002</t>
  </si>
  <si>
    <t>TR160001000326331903745001</t>
  </si>
  <si>
    <t>KIRLI / ORDU</t>
  </si>
  <si>
    <t>TR620001000413269424495001</t>
  </si>
  <si>
    <t>PERŞEMBE / ORDU</t>
  </si>
  <si>
    <t>TR600001000413269424535001</t>
  </si>
  <si>
    <t>DÜZİÇİ / OSMANİYE</t>
  </si>
  <si>
    <t>TR480001000744306362935019</t>
  </si>
  <si>
    <t>KADİRLİ / OSMANİYE</t>
  </si>
  <si>
    <t>ARDEŞEN / RİZE</t>
  </si>
  <si>
    <t>TR020001000473268962905001</t>
  </si>
  <si>
    <t>ÇAMLIHEMŞİN / RİZE</t>
  </si>
  <si>
    <t>TR370001000667253280215001</t>
  </si>
  <si>
    <t>ÇAYELİ / RİZE</t>
  </si>
  <si>
    <t>TR310001200969200006000001</t>
  </si>
  <si>
    <t>FINDIKLI / RİZE</t>
  </si>
  <si>
    <t>TR840001000443131072905001</t>
  </si>
  <si>
    <t>GÜNEYSU / RİZE</t>
  </si>
  <si>
    <t>TR270001000819267168835003</t>
  </si>
  <si>
    <t>İYİDERE / RİZE</t>
  </si>
  <si>
    <t>TR890001000248293529215001</t>
  </si>
  <si>
    <t>MERKEZ / RİZE</t>
  </si>
  <si>
    <t>TR500001000248293288465001</t>
  </si>
  <si>
    <t>PAZAR / RİZE</t>
  </si>
  <si>
    <t>TR030001000251256207755001</t>
  </si>
  <si>
    <t>DARIÇAYI / SAKARYA</t>
  </si>
  <si>
    <t>TR810001000297250373185001</t>
  </si>
  <si>
    <t>KARASU / SAKARYA</t>
  </si>
  <si>
    <t>TR510001000297450993495002</t>
  </si>
  <si>
    <t>KAYNARCA / SAKARYA</t>
  </si>
  <si>
    <t>TR850001000611054795685001</t>
  </si>
  <si>
    <t>PAMUKOVA / SAKARYA</t>
  </si>
  <si>
    <t>TR790001200134600007000003</t>
  </si>
  <si>
    <t>BAFRA / SAMSUN</t>
  </si>
  <si>
    <t>TR540001200965800007000021</t>
  </si>
  <si>
    <t>ONDOKUZMAYIS / SAMSUN</t>
  </si>
  <si>
    <t>BALLICA</t>
  </si>
  <si>
    <t>TR350001000968133323355002</t>
  </si>
  <si>
    <t>TERME / SAMSUN</t>
  </si>
  <si>
    <t>TR900001200959000007000004</t>
  </si>
  <si>
    <t>VEZİRKÖPRÜ / SAMSUN</t>
  </si>
  <si>
    <t>TR360001000228265342755001</t>
  </si>
  <si>
    <t>MERKEZ / SİİRT</t>
  </si>
  <si>
    <t>TR790001500158007290539472</t>
  </si>
  <si>
    <t>AYANCIK / SİNOP</t>
  </si>
  <si>
    <t>TR730001000229134047285002</t>
  </si>
  <si>
    <t>BOYABAT / SİNOP</t>
  </si>
  <si>
    <t>TR780001000156128671945001</t>
  </si>
  <si>
    <t>MERKEZ / SİNOP</t>
  </si>
  <si>
    <t>TR350001000226288924545011</t>
  </si>
  <si>
    <t>MERKEZ / SİVAS</t>
  </si>
  <si>
    <t>TR800001000230369170995001</t>
  </si>
  <si>
    <t>BİRECİK / ŞANLIURFA</t>
  </si>
  <si>
    <t>İŞ BANKASI</t>
  </si>
  <si>
    <t>TR190006400000167100391759</t>
  </si>
  <si>
    <t>CEYLANPINAR / ŞANLIURFA</t>
  </si>
  <si>
    <t>TR410001000588457930705001</t>
  </si>
  <si>
    <t>ŞANLIURFA MERKEZ</t>
  </si>
  <si>
    <t>TR030001000253356156335002</t>
  </si>
  <si>
    <t>VİRANŞEHİR / ŞANLIURFA</t>
  </si>
  <si>
    <t>TR840001000285315608555001</t>
  </si>
  <si>
    <t>CİZRE / ŞIRNAK</t>
  </si>
  <si>
    <t>TR060001000288291377085001</t>
  </si>
  <si>
    <t>BARBAROS / TEKİRDAĞ</t>
  </si>
  <si>
    <t>TR470001000106551645675001</t>
  </si>
  <si>
    <t>ÇORLU / TEKİRDAĞ</t>
  </si>
  <si>
    <t>TR750001500158007296875390</t>
  </si>
  <si>
    <t>MARMARA EREĞLİSİ / TEKİRDAĞ</t>
  </si>
  <si>
    <t>TR330001001369056302195001</t>
  </si>
  <si>
    <t>TR630001500158007293343157</t>
  </si>
  <si>
    <t>MURATLI / TEKİRDAĞ</t>
  </si>
  <si>
    <t>TR900001000560087689825001</t>
  </si>
  <si>
    <t>SARAY / TEKİRDAĞ</t>
  </si>
  <si>
    <t>TR820001000402083698805002</t>
  </si>
  <si>
    <t>ŞARKÖY / TEKİRDAĞ</t>
  </si>
  <si>
    <t>TR870001000102087093775001</t>
  </si>
  <si>
    <t>Y.ÇİFTLİK / TEKİRDAĞ</t>
  </si>
  <si>
    <t>TR310001001369056302235001</t>
  </si>
  <si>
    <t>ERBAA / TOKAT</t>
  </si>
  <si>
    <t>MERKEZ / TOKAT</t>
  </si>
  <si>
    <t>TR460001500158007292291110</t>
  </si>
  <si>
    <t>NİKSAR / TOKAT</t>
  </si>
  <si>
    <t>TR470001000242120915655001</t>
  </si>
  <si>
    <t>AKÇAABAT / TRABZON</t>
  </si>
  <si>
    <t>TR720001000244283819215001</t>
  </si>
  <si>
    <t>OF / TRABZON</t>
  </si>
  <si>
    <t>TR860001000247115046205001</t>
  </si>
  <si>
    <t>SÜRMENE / TRABZON</t>
  </si>
  <si>
    <t>TR700001000249374777925001</t>
  </si>
  <si>
    <t>TONYA / TRABZON</t>
  </si>
  <si>
    <t>TR420001000613110379805001</t>
  </si>
  <si>
    <t>VAKFIKEBİR / TRABZON</t>
  </si>
  <si>
    <t>TR880001000252055559775001</t>
  </si>
  <si>
    <t>YALINCAK / TRABZON</t>
  </si>
  <si>
    <t>TRABZON MERKEZ</t>
  </si>
  <si>
    <t>TR660001000243392495065001</t>
  </si>
  <si>
    <t>YOMRA / TRABZON</t>
  </si>
  <si>
    <t>TR560001000614110870505001</t>
  </si>
  <si>
    <t>MERKEZ / TUNCELİ</t>
  </si>
  <si>
    <t>TR110001000298258311285001</t>
  </si>
  <si>
    <t>TR740001200978400007000001</t>
  </si>
  <si>
    <t>MERKEZ / UŞAK</t>
  </si>
  <si>
    <t>TR210001000256363811695002</t>
  </si>
  <si>
    <t>ERCİŞ / VAN</t>
  </si>
  <si>
    <t>TR410001200934000007000002</t>
  </si>
  <si>
    <t>ÇİFTLİKKÖY / YALOVA</t>
  </si>
  <si>
    <t>YALOVA ÇİFTLİKKÖY ŞB.</t>
  </si>
  <si>
    <t>KORU / YALOVA</t>
  </si>
  <si>
    <t>TR610001200936300007000012</t>
  </si>
  <si>
    <t>MERKEZ / YALOVA</t>
  </si>
  <si>
    <t>SUBAŞI / YALOVA</t>
  </si>
  <si>
    <t>DENİZBANK</t>
  </si>
  <si>
    <t>TR030013400000699457800003</t>
  </si>
  <si>
    <t>BOĞAZLIYAN / YOZGAT</t>
  </si>
  <si>
    <t>MERKEZ / YOZGAT</t>
  </si>
  <si>
    <t>TR600001500158007293643232</t>
  </si>
  <si>
    <t>SORGUN / YOZGAT</t>
  </si>
  <si>
    <t>TR830001200978800007000013</t>
  </si>
  <si>
    <t>ALAPLI / ZONGULDAK</t>
  </si>
  <si>
    <t>TR630001000551122454695001</t>
  </si>
  <si>
    <t>ÇAYCUMA / ZONGULDAK</t>
  </si>
  <si>
    <t>TR500001200980900007000017</t>
  </si>
  <si>
    <t>EREĞLİ / ZONGULDAK</t>
  </si>
  <si>
    <t>KDZ.EREĞLİ MERKEZ</t>
  </si>
  <si>
    <t>TR300001000051289883685001</t>
  </si>
  <si>
    <t>KOZLU / ZONGULDAK</t>
  </si>
  <si>
    <t>TR720001000437109408635002</t>
  </si>
  <si>
    <t>TR200001200916300007000004</t>
  </si>
  <si>
    <t>CEYHAN / ADANA</t>
  </si>
  <si>
    <t>TR380001000015480566185001</t>
  </si>
  <si>
    <t>ÇUKUROVA / ADANA</t>
  </si>
  <si>
    <t>TR850001001922523052755001</t>
  </si>
  <si>
    <t>KARAİSALI / ADANA</t>
  </si>
  <si>
    <t>TR110001000017253406625001</t>
  </si>
  <si>
    <t>KARATAŞ / ADANA</t>
  </si>
  <si>
    <t>TR330001000931304420615011</t>
  </si>
  <si>
    <t>POZANTI / ADANA</t>
  </si>
  <si>
    <t>TR930001000493333283045001</t>
  </si>
  <si>
    <t>SEYHAN / ADANA</t>
  </si>
  <si>
    <t>TR790001500158007281705682</t>
  </si>
  <si>
    <t>TUFANBEYLİ / ADANA</t>
  </si>
  <si>
    <t>TR510001000573308580215008</t>
  </si>
  <si>
    <t>YUMURTALIK / ADANA</t>
  </si>
  <si>
    <t>TR730001000612429091055008</t>
  </si>
  <si>
    <t>BESNİ / ADIYAMAN</t>
  </si>
  <si>
    <t>TR470001200918200007000005</t>
  </si>
  <si>
    <t>GÖLBAŞI / ADIYAMAN</t>
  </si>
  <si>
    <t>TR760001000643294316505006</t>
  </si>
  <si>
    <t>KAHTA / ADIYAMAN</t>
  </si>
  <si>
    <t>TR340001200125400007000012</t>
  </si>
  <si>
    <t>MERKEZ / ADIYAMAN</t>
  </si>
  <si>
    <t>TR690001200918100007000002</t>
  </si>
  <si>
    <t>TR150001000971278317465001</t>
  </si>
  <si>
    <t>TR520001001654290667405001</t>
  </si>
  <si>
    <t>TR150001000619326844565001</t>
  </si>
  <si>
    <t>TR090001001045285912345002</t>
  </si>
  <si>
    <t>TR050001001956336841775007</t>
  </si>
  <si>
    <t>TR350001000662374372315001</t>
  </si>
  <si>
    <t>TR930001200125700007000002</t>
  </si>
  <si>
    <t>TR510001200918500007000015</t>
  </si>
  <si>
    <t>TR160001500158007282972181</t>
  </si>
  <si>
    <t>DOĞUBAYAZIT / AĞRI</t>
  </si>
  <si>
    <t>TR100001000351302444115001</t>
  </si>
  <si>
    <t>PATNOS / AĞRI</t>
  </si>
  <si>
    <t>TUTAK / AĞRI</t>
  </si>
  <si>
    <t>TR310001000496084813445001</t>
  </si>
  <si>
    <t>SULUOVA / AMASYA</t>
  </si>
  <si>
    <t>TR760001200120200007000001</t>
  </si>
  <si>
    <t>TAŞOVA / AMASYA</t>
  </si>
  <si>
    <t>TR080006400000150600130036</t>
  </si>
  <si>
    <t>AKYURT / ANKARA</t>
  </si>
  <si>
    <t>TR230001001273126710975001</t>
  </si>
  <si>
    <t>AYAŞ / ANKARA</t>
  </si>
  <si>
    <t>TR750001000003031163495001</t>
  </si>
  <si>
    <t>BALA / ANKARA</t>
  </si>
  <si>
    <t>AKBANK</t>
  </si>
  <si>
    <t>TR900004600730888000038262</t>
  </si>
  <si>
    <t>BEYPAZARI / ANKARA</t>
  </si>
  <si>
    <t>TR220001500158007299224811</t>
  </si>
  <si>
    <t>ÇAYIRHAN / ANKARA</t>
  </si>
  <si>
    <t>TR540001002433031582335018</t>
  </si>
  <si>
    <t>ÇUBUK / ANKARA</t>
  </si>
  <si>
    <t>TR770001000006425292395001</t>
  </si>
  <si>
    <t>KALECİK / ANKARA</t>
  </si>
  <si>
    <t>TR190001000008096677165003</t>
  </si>
  <si>
    <t>KAZAN / ANKARA</t>
  </si>
  <si>
    <t>TR260001001118121796345001</t>
  </si>
  <si>
    <t>KIZILCAHAMAM / ANKARA</t>
  </si>
  <si>
    <t>TR690001000012413926085001</t>
  </si>
  <si>
    <t>NALLIHAN / ANKARA</t>
  </si>
  <si>
    <t>TR570001000010031581535002</t>
  </si>
  <si>
    <t>TR120001000011052846505001</t>
  </si>
  <si>
    <t>AKSEKİ / ANTALYA</t>
  </si>
  <si>
    <t>TR920001000037378528505001</t>
  </si>
  <si>
    <t>ALANYA / ANTALYA</t>
  </si>
  <si>
    <t>TR380001500158007298478108</t>
  </si>
  <si>
    <t>BELEK / ANTALYA</t>
  </si>
  <si>
    <t>TR110001200957200007000061</t>
  </si>
  <si>
    <t>ÇAMYUVA / ANTALYA</t>
  </si>
  <si>
    <t>TR850001001292394087985009</t>
  </si>
  <si>
    <t>ÇOLAKLI / ANTALYA</t>
  </si>
  <si>
    <t>TR100001500158007274433379</t>
  </si>
  <si>
    <t>DEMRE / ANTALYA</t>
  </si>
  <si>
    <t>TR380001000777330391455001</t>
  </si>
  <si>
    <t>ELMALI / ANTALYA</t>
  </si>
  <si>
    <t>TR370001000038322602685006</t>
  </si>
  <si>
    <t>FİNİKE / ANTALYA</t>
  </si>
  <si>
    <t>TR250001000040335772725001</t>
  </si>
  <si>
    <t>KADRİYE / ANTALYA</t>
  </si>
  <si>
    <t>TR650001200958300007000004</t>
  </si>
  <si>
    <t>KALKAN / ANTALYA</t>
  </si>
  <si>
    <t>TR770001001950374225315021</t>
  </si>
  <si>
    <t>KAŞ / ANTALYA</t>
  </si>
  <si>
    <t>TR630001000283374224785001</t>
  </si>
  <si>
    <t>KEMER / ANTALYA</t>
  </si>
  <si>
    <t>TR620001001292394087915001</t>
  </si>
  <si>
    <t>KESTEL / ANTALYA</t>
  </si>
  <si>
    <t>TR280001000039397001815001</t>
  </si>
  <si>
    <t>KONAKLI / ANTALYA</t>
  </si>
  <si>
    <t>TR030001500158007286975023</t>
  </si>
  <si>
    <t>KORKUTELİ / ANTALYA</t>
  </si>
  <si>
    <t>TR630001000041324761655001</t>
  </si>
  <si>
    <t>MAHMUTLAR / ANTALYA</t>
  </si>
  <si>
    <t>TR430001001940397202095006</t>
  </si>
  <si>
    <t>OBA / ANTALYA</t>
  </si>
  <si>
    <t>TR780001000039397001785001</t>
  </si>
  <si>
    <t>SERİK / ANTALYA</t>
  </si>
  <si>
    <t>TR670001000373331229305001</t>
  </si>
  <si>
    <t>TAŞAĞIL / ANTALYA</t>
  </si>
  <si>
    <t>TR620001000373384728885008</t>
  </si>
  <si>
    <t>GÖLE / ARDAHAN</t>
  </si>
  <si>
    <t>TR720001000350279974065002</t>
  </si>
  <si>
    <t>POSOF / ARDAHAN</t>
  </si>
  <si>
    <t>TR920001000348097490155002</t>
  </si>
  <si>
    <t>HOPA / ARTVİN</t>
  </si>
  <si>
    <t>TR750001000303270971245001</t>
  </si>
  <si>
    <t>MERKEZ / ARTVİN</t>
  </si>
  <si>
    <t>TR350001000148292338655001</t>
  </si>
  <si>
    <t>MURGUL / ARTVİN</t>
  </si>
  <si>
    <t>TR050001000506135266235001</t>
  </si>
  <si>
    <t>ŞAVŞAT / ARTVİN</t>
  </si>
  <si>
    <t>TR770001000376285056615001</t>
  </si>
  <si>
    <t>AKBÜK / AYDIN</t>
  </si>
  <si>
    <t>TR640001001322377016795001</t>
  </si>
  <si>
    <t>BOZDOĞAN / AYDIN</t>
  </si>
  <si>
    <t>TR230001200953900007000010</t>
  </si>
  <si>
    <t>BUHARKENT / AYDIN</t>
  </si>
  <si>
    <t>TR410001000721378205375001</t>
  </si>
  <si>
    <t>ÇİNE / AYDIN</t>
  </si>
  <si>
    <t>TR240001200953600007000007</t>
  </si>
  <si>
    <t>DAVUTLAR / AYDIN</t>
  </si>
  <si>
    <t>TR870001200954200007000007</t>
  </si>
  <si>
    <t>KOÇARLI / AYDIN</t>
  </si>
  <si>
    <t>TR310001000460388943425001</t>
  </si>
  <si>
    <t>KUŞADASI / AYDIN</t>
  </si>
  <si>
    <t>TR640001000144335394765001</t>
  </si>
  <si>
    <t>KUYUCAK / AYDIN</t>
  </si>
  <si>
    <t>TR490001200954100007000017</t>
  </si>
  <si>
    <t>NAZİLLİ / AYDIN</t>
  </si>
  <si>
    <t>TR030001200953400007000007</t>
  </si>
  <si>
    <t>SÖKE / AYDIN</t>
  </si>
  <si>
    <t>TR710001500158007292296674</t>
  </si>
  <si>
    <t>SULTANHİSAR / AYDIN</t>
  </si>
  <si>
    <t>TR770001000578338082945001</t>
  </si>
  <si>
    <t>YENİDOĞAN / AYDIN</t>
  </si>
  <si>
    <t>TR080001000035380993665001</t>
  </si>
  <si>
    <t>ALTINOLUK / BALIKESİR</t>
  </si>
  <si>
    <t>TR320001001427382949295001</t>
  </si>
  <si>
    <t>ALTINOVA / BALIKESİR</t>
  </si>
  <si>
    <t>TR610001000110135732775002</t>
  </si>
  <si>
    <t>BALYA / BALIKESİR</t>
  </si>
  <si>
    <t>TR470001000046064670855001</t>
  </si>
  <si>
    <t>BANDIRMA / BALIKESİR</t>
  </si>
  <si>
    <t>TR860001000048311153645002</t>
  </si>
  <si>
    <t>BİGADİÇ / BALIKESİR</t>
  </si>
  <si>
    <t>TR050001200924900007000038</t>
  </si>
  <si>
    <t>DURSUNBEY / BALIKESİR</t>
  </si>
  <si>
    <t>TR750001500158007584262771</t>
  </si>
  <si>
    <t>EDREMİT / BALIKESİR</t>
  </si>
  <si>
    <t>TR080001200924300007000014</t>
  </si>
  <si>
    <t>GÖNEN / BALIKESİR</t>
  </si>
  <si>
    <t>TR930001000049120465785001</t>
  </si>
  <si>
    <t>HAVRAN / BALIKESİR</t>
  </si>
  <si>
    <t>TR550001000558109817845001</t>
  </si>
  <si>
    <t>KEPSUT / BALIKESİR</t>
  </si>
  <si>
    <t>TR540001000515117116055001</t>
  </si>
  <si>
    <t>KÜÇÜKKÖY / BALIKESİR</t>
  </si>
  <si>
    <t>TR850004600308888000048200</t>
  </si>
  <si>
    <t>TR440001000045372848485001</t>
  </si>
  <si>
    <t>OCAKLAR / BALIKESİR</t>
  </si>
  <si>
    <t>TR510001000426093144165004</t>
  </si>
  <si>
    <t>SINDIRGI / BALIKESİR</t>
  </si>
  <si>
    <t>TR310001000047114067615001</t>
  </si>
  <si>
    <t>KUMLUCA / BARTIN</t>
  </si>
  <si>
    <t>TR260001001028374666765001</t>
  </si>
  <si>
    <t>MERKEZ / BARTIN</t>
  </si>
  <si>
    <t>TR570001000052300230295001</t>
  </si>
  <si>
    <t>KOZLUK / BATMAN</t>
  </si>
  <si>
    <t>TR340001200135300007000002</t>
  </si>
  <si>
    <t>MERKEZ / BATMAN</t>
  </si>
  <si>
    <t>TR900001200967500045000008</t>
  </si>
  <si>
    <t>GÖLPAZARI / BİLECİK</t>
  </si>
  <si>
    <t>TR230001000371333376365003</t>
  </si>
  <si>
    <t>MERKEZ / BİLECİK</t>
  </si>
  <si>
    <t>TR690001000118387963535001</t>
  </si>
  <si>
    <t>OSMANELİ / BİLECİK</t>
  </si>
  <si>
    <t>TR720001000436332065725001</t>
  </si>
  <si>
    <t>SÖĞÜT / BİLECİK</t>
  </si>
  <si>
    <t>TR240001000121345079055005</t>
  </si>
  <si>
    <t>MERKEZ / BİNGÖL</t>
  </si>
  <si>
    <t>TR390001200963500007000018</t>
  </si>
  <si>
    <t>SOLHAN / BİNGÖL</t>
  </si>
  <si>
    <t>MERKEZ / BİTLİS</t>
  </si>
  <si>
    <t>TR820001000093137964085001</t>
  </si>
  <si>
    <t>DÖRTDİVAN / BOLU</t>
  </si>
  <si>
    <t>TR740001000998057383705001</t>
  </si>
  <si>
    <t>GEREDE / BOLU</t>
  </si>
  <si>
    <t>TR920001000055108965475001</t>
  </si>
  <si>
    <t>MERKEZ / BOLU</t>
  </si>
  <si>
    <t>TR590001200925600007000001</t>
  </si>
  <si>
    <t>MUDURNU / BOLU</t>
  </si>
  <si>
    <t>TR790001000057108772675025</t>
  </si>
  <si>
    <t>SEBEN / BOLU</t>
  </si>
  <si>
    <t>TR440001000392058184595001</t>
  </si>
  <si>
    <t>YENİÇAĞA / BOLU</t>
  </si>
  <si>
    <t>TR440001000794065589875001</t>
  </si>
  <si>
    <t>ALTINYAYLA / BURDUR</t>
  </si>
  <si>
    <t>TR540001000996083193545001</t>
  </si>
  <si>
    <t>BUCAK / BURDUR</t>
  </si>
  <si>
    <t>TR840001200931700007000022</t>
  </si>
  <si>
    <t>KARAMANLI / BURDUR</t>
  </si>
  <si>
    <t>TR310001200931800007000001</t>
  </si>
  <si>
    <t>KEMER / BURDUR</t>
  </si>
  <si>
    <t>TR870001000995281933115001</t>
  </si>
  <si>
    <t>MERKEZ / BURDUR</t>
  </si>
  <si>
    <t>TR030001000058344818815002</t>
  </si>
  <si>
    <t>TEFENNİ / BURDUR</t>
  </si>
  <si>
    <t>TR750001000059384554655009</t>
  </si>
  <si>
    <t>GEMLİK / BURSA</t>
  </si>
  <si>
    <t>TR630001200928000007000003</t>
  </si>
  <si>
    <t>GÜRSU / BURSA</t>
  </si>
  <si>
    <t>TR930001200928800007000005</t>
  </si>
  <si>
    <t>HARMANCIK / BURSA</t>
  </si>
  <si>
    <t>TR260001001031056207515001</t>
  </si>
  <si>
    <t>İNEGÖL / BURSA</t>
  </si>
  <si>
    <t>TR790001000067108274105001</t>
  </si>
  <si>
    <t>İZNİK / BURSA</t>
  </si>
  <si>
    <t>TR560001200928600007000002</t>
  </si>
  <si>
    <t>KARACABEY / BURSA</t>
  </si>
  <si>
    <t>TR530001000062092945755021</t>
  </si>
  <si>
    <t>KESTEL / BURSA</t>
  </si>
  <si>
    <t>TR550001001146089525865002</t>
  </si>
  <si>
    <t>MUDANYA / BURSA</t>
  </si>
  <si>
    <t>TR290001500158007292291125</t>
  </si>
  <si>
    <t>MUSTAFAKEMALPAŞA / BURSA</t>
  </si>
  <si>
    <t>TR640001500158007264525021</t>
  </si>
  <si>
    <t>ORHANELİ / BURSA</t>
  </si>
  <si>
    <t>TR140001000061065287925001</t>
  </si>
  <si>
    <t>ORHANGAZİ / BURSA</t>
  </si>
  <si>
    <t>TR960001000315065078275007</t>
  </si>
  <si>
    <t>TATKAVAKLI / BURSA</t>
  </si>
  <si>
    <t>TR840001200928100007000008</t>
  </si>
  <si>
    <t>YENİŞEHİR / BURSA</t>
  </si>
  <si>
    <t>TR970001000066107534975009</t>
  </si>
  <si>
    <t>AYVACIK / ÇANAKKALE</t>
  </si>
  <si>
    <t>TR820001000324095786645001</t>
  </si>
  <si>
    <t>BAYRAMİÇ / ÇANAKKALE</t>
  </si>
  <si>
    <t>TR610001000077094893385020</t>
  </si>
  <si>
    <t>BİGA / ÇANAKKALE</t>
  </si>
  <si>
    <t>TR430001000074100071145002</t>
  </si>
  <si>
    <t>BOLAYIR / ÇANAKKALE</t>
  </si>
  <si>
    <t>TR610001000076114501795002</t>
  </si>
  <si>
    <t>BOZCAADA / ÇANAKKALE</t>
  </si>
  <si>
    <t>TR230001000414088338075001</t>
  </si>
  <si>
    <t>ÇAN / ÇANAKKALE</t>
  </si>
  <si>
    <t>TR620001000338096075295030</t>
  </si>
  <si>
    <t>ECEABAT / ÇANAKKALE</t>
  </si>
  <si>
    <t>TR960001000503098996605001</t>
  </si>
  <si>
    <t>EZİNE / ÇANAKKALE</t>
  </si>
  <si>
    <t>TR120001000073116379785001</t>
  </si>
  <si>
    <t>GELİBOLU / ÇANAKKALE</t>
  </si>
  <si>
    <t>TR760001200964000007000006</t>
  </si>
  <si>
    <t>GEYİKLİ / ÇANAKKALE</t>
  </si>
  <si>
    <t>TR400001000073116379865007</t>
  </si>
  <si>
    <t>GÖKÇEADA / ÇANAKKALE</t>
  </si>
  <si>
    <t>TR470001000341110094655001</t>
  </si>
  <si>
    <t>MERKEZ / ÇANAKKALE</t>
  </si>
  <si>
    <t>TR050001000813115992405011</t>
  </si>
  <si>
    <t>ÇERKEŞ / ÇANKIRI</t>
  </si>
  <si>
    <t>ILGAZ / ÇANKIRI</t>
  </si>
  <si>
    <t>TR450001000071139517615002</t>
  </si>
  <si>
    <t>KORGUN / ÇANKIRI</t>
  </si>
  <si>
    <t>KURŞUNLU / ÇANKIRI</t>
  </si>
  <si>
    <t>TR290001000281136259895001</t>
  </si>
  <si>
    <t>MERKEZ / ÇANKIRI</t>
  </si>
  <si>
    <t>TR400001000069138929035003</t>
  </si>
  <si>
    <t>ORTA / ÇANKIRI</t>
  </si>
  <si>
    <t>TR330001000666134667565001</t>
  </si>
  <si>
    <t>ŞABANÖZÜ / ÇANKIRI</t>
  </si>
  <si>
    <t>TR630001000429134754495004</t>
  </si>
  <si>
    <t>İSKİLİP / ÇORUM</t>
  </si>
  <si>
    <t>KARGI / ÇORUM</t>
  </si>
  <si>
    <t>TR520001000323137859865001</t>
  </si>
  <si>
    <t>MERKEZ / ÇORUM</t>
  </si>
  <si>
    <t>TR980001000078309681325003</t>
  </si>
  <si>
    <t>ACIPAYAM / DENİZLİ</t>
  </si>
  <si>
    <t>TR050001000089307930755002</t>
  </si>
  <si>
    <t>AKKÖY / DENİZLİ</t>
  </si>
  <si>
    <t>TR720001001317067473205003</t>
  </si>
  <si>
    <t>BOZKURT / DENİZLİ</t>
  </si>
  <si>
    <t>TR250001200935900007000001</t>
  </si>
  <si>
    <t>ÇİVRİL / DENİZLİ</t>
  </si>
  <si>
    <t>TR650001000090317637365004</t>
  </si>
  <si>
    <t>HONAZ / DENİZLİ</t>
  </si>
  <si>
    <t>TR770001500158007299917274</t>
  </si>
  <si>
    <t>SERİNHİSAR / DENİZLİ</t>
  </si>
  <si>
    <t>TR540001000857298542345001</t>
  </si>
  <si>
    <t>ÇERMİK / DİYARBAKIR</t>
  </si>
  <si>
    <t>TR210001000278292591565001</t>
  </si>
  <si>
    <t>ÇINAR / DİYARBAKIR</t>
  </si>
  <si>
    <t>TR320001000498078697895001</t>
  </si>
  <si>
    <t>KOCAKÖY / DİYARBAKIR</t>
  </si>
  <si>
    <t>TR600001000091358281275001</t>
  </si>
  <si>
    <t>LİCE / DİYARBAKIR</t>
  </si>
  <si>
    <t>TR510001000391055835925001</t>
  </si>
  <si>
    <t>AKÇAKOCA / DÜZCE</t>
  </si>
  <si>
    <t>TR740001200932800005000007</t>
  </si>
  <si>
    <t>CUMAYERİ / DÜZCE</t>
  </si>
  <si>
    <t>TR730001000989112518055001</t>
  </si>
  <si>
    <t>ÇİLİMLİ / DÜZCE</t>
  </si>
  <si>
    <t>TR820001200932700007000008</t>
  </si>
  <si>
    <t>KAYNAŞLI / DÜZCE</t>
  </si>
  <si>
    <t>TR130001000997128391675001</t>
  </si>
  <si>
    <t>YIĞILCA / DÜZCE</t>
  </si>
  <si>
    <t>TR630001000539128484235001</t>
  </si>
  <si>
    <t>HAVSA / EDİRNE</t>
  </si>
  <si>
    <t>TR600001000511088188925001</t>
  </si>
  <si>
    <t>İPSALA / EDİRNE</t>
  </si>
  <si>
    <t>TR180001000418087477455001</t>
  </si>
  <si>
    <t>KEŞAN / EDİRNE</t>
  </si>
  <si>
    <t>TR980001500158007292422773</t>
  </si>
  <si>
    <t>LALAPAŞA / EDİRNE</t>
  </si>
  <si>
    <t>TR210001000719111965675001</t>
  </si>
  <si>
    <t>MERİÇ / EDİRNE</t>
  </si>
  <si>
    <t>TR730001000519077835195001</t>
  </si>
  <si>
    <t>MERKEZ / EDİRNE</t>
  </si>
  <si>
    <t>UZUNKÖPRÜ / EDİRNE</t>
  </si>
  <si>
    <t>TR260001200933600007000001</t>
  </si>
  <si>
    <t>KOVANCILAR / ELAZIĞ</t>
  </si>
  <si>
    <t>TR610001001056275300835001</t>
  </si>
  <si>
    <t>MADEN / ELAZIĞ</t>
  </si>
  <si>
    <t>TR270001000397426144565001</t>
  </si>
  <si>
    <t>PALU / ELAZIĞ</t>
  </si>
  <si>
    <t>TR890001000357262360185001</t>
  </si>
  <si>
    <t>ÇAYIRLI / ERZİNCAN</t>
  </si>
  <si>
    <t>TR430001000528281557065002</t>
  </si>
  <si>
    <t>KEMALİYE / ERZİNCAN</t>
  </si>
  <si>
    <t>TR070001000185444175355001</t>
  </si>
  <si>
    <t>MERKEZ / ERZİNCAN</t>
  </si>
  <si>
    <t>TR270001200934400007000040</t>
  </si>
  <si>
    <t>REFAHİYE / ERZİNCAN</t>
  </si>
  <si>
    <t>TR950001000275262132575001</t>
  </si>
  <si>
    <t>TERCAN / ERZİNCAN</t>
  </si>
  <si>
    <t>TR250001000114273733665001</t>
  </si>
  <si>
    <t>ÜZÜMLÜ / ERZİNCAN</t>
  </si>
  <si>
    <t>TR190001001375289407045001</t>
  </si>
  <si>
    <t>AŞKALE / ERZURUM</t>
  </si>
  <si>
    <t>TR950001000310274703555001</t>
  </si>
  <si>
    <t>ÇAT / ERZURUM</t>
  </si>
  <si>
    <t>TR930001000646375170565005</t>
  </si>
  <si>
    <t>İSPİR / ERZURUM</t>
  </si>
  <si>
    <t>TR230001000268109236645001</t>
  </si>
  <si>
    <t>KARAYAZI / ERZURUM</t>
  </si>
  <si>
    <t>TR540001000476076783035001</t>
  </si>
  <si>
    <t>OLTU / ERZURUM</t>
  </si>
  <si>
    <t>TR340001200934300007000016</t>
  </si>
  <si>
    <t>TORTUM / ERZURUM</t>
  </si>
  <si>
    <t>TR890001000353258987825001</t>
  </si>
  <si>
    <t>İNÖNÜ / ESKİŞEHİR</t>
  </si>
  <si>
    <t>TR760001000739330280825001</t>
  </si>
  <si>
    <t>MAHMUDİYE / ESKİŞEHİR</t>
  </si>
  <si>
    <t>TR710001000512348210835003</t>
  </si>
  <si>
    <t>SEYİTGAZİ / ESKİŞEHİR</t>
  </si>
  <si>
    <t>TR500001000262335056415011</t>
  </si>
  <si>
    <t>SİVRİHİSAR / ESKİŞEHİR</t>
  </si>
  <si>
    <t>TR760001200935000007000001</t>
  </si>
  <si>
    <t>ARABAN / GAZİANTEP</t>
  </si>
  <si>
    <t>TR710001200936600007000011</t>
  </si>
  <si>
    <t>NURDAĞI / GAZİANTEP</t>
  </si>
  <si>
    <t>TR180001001376285359415001</t>
  </si>
  <si>
    <t>OĞUZELİ / GAZİANTEP</t>
  </si>
  <si>
    <t>TR540001000525280858505001</t>
  </si>
  <si>
    <t>ALUCRA / GİRESUN</t>
  </si>
  <si>
    <t>TR020001000127110512255003</t>
  </si>
  <si>
    <t>ÇAMOLUK / GİRESUN</t>
  </si>
  <si>
    <t>TR490001002492110512265014</t>
  </si>
  <si>
    <t>ÇANAKÇI / GİRESUN</t>
  </si>
  <si>
    <t>TR910001001006256499455001</t>
  </si>
  <si>
    <t>DERELİ / GİRESUN</t>
  </si>
  <si>
    <t>TR580001000602252728135001</t>
  </si>
  <si>
    <t>EYNESİL / GİRESUN</t>
  </si>
  <si>
    <t>TR950001000632266192885001</t>
  </si>
  <si>
    <t>KEŞAP / GİRESUN</t>
  </si>
  <si>
    <t>TR280001000406260640705001</t>
  </si>
  <si>
    <t>MERKEZ / GİRESUN</t>
  </si>
  <si>
    <t>TR590001000123386574305005</t>
  </si>
  <si>
    <t>PİRAZİZ / GİRESUN</t>
  </si>
  <si>
    <t>TR800001000855112184565002</t>
  </si>
  <si>
    <t>ÜÇTEPE / GİRESUN</t>
  </si>
  <si>
    <t>TR880001000740078420245001</t>
  </si>
  <si>
    <t>ŞİRAN / GÜMÜŞHANE</t>
  </si>
  <si>
    <t>TR610001000332304722465001</t>
  </si>
  <si>
    <t>DÖRTYOL / HATAY</t>
  </si>
  <si>
    <t>TR070001000016323529785001</t>
  </si>
  <si>
    <t>ERZİN / HATAY</t>
  </si>
  <si>
    <t>TR100001000587292132945001</t>
  </si>
  <si>
    <t>KUMLU / HATAY</t>
  </si>
  <si>
    <t>TR670001001661251732855002</t>
  </si>
  <si>
    <t>NARDÜZÜ / HATAY</t>
  </si>
  <si>
    <t>TR480001000307364938265001</t>
  </si>
  <si>
    <t>KARAKOYUNLU / IĞDIR</t>
  </si>
  <si>
    <t>TR360001001712252496835001</t>
  </si>
  <si>
    <t>MERKEZ / IĞDIR</t>
  </si>
  <si>
    <t>TR300001200967900045000001</t>
  </si>
  <si>
    <t>TUZLUCA / IĞDIR</t>
  </si>
  <si>
    <t>TR780001000378103135355001</t>
  </si>
  <si>
    <t>EĞİRDİR / ISPARTA</t>
  </si>
  <si>
    <t>TR770001500158007286523708</t>
  </si>
  <si>
    <t>GÖNEN / ISPARTA</t>
  </si>
  <si>
    <t>TR400001001419296481085001</t>
  </si>
  <si>
    <t>KEÇİBORLU / ISPARTA</t>
  </si>
  <si>
    <t>TR180001000375341344795001</t>
  </si>
  <si>
    <t>MERKEZ / ISPARTA</t>
  </si>
  <si>
    <t>TR540001000132363135795005</t>
  </si>
  <si>
    <t>SÜTÇÜLER / ISPARTA</t>
  </si>
  <si>
    <t>TR300001000388377179405001</t>
  </si>
  <si>
    <t>ŞARKİKARAAĞAÇ / ISPARTA</t>
  </si>
  <si>
    <t>TR250001000135322857255029</t>
  </si>
  <si>
    <t>ULUBORLU / ISPARTA</t>
  </si>
  <si>
    <t>TR860001000134332884185012</t>
  </si>
  <si>
    <t>BEYLİKDÜZÜ / İSTANBUL</t>
  </si>
  <si>
    <t>TR700001200981700007000005</t>
  </si>
  <si>
    <t>ALAÇATI / İZMİR</t>
  </si>
  <si>
    <t>TR970001000590386418595001</t>
  </si>
  <si>
    <t>ALİAĞA / İZMİR</t>
  </si>
  <si>
    <t>TR950001200972700007000005</t>
  </si>
  <si>
    <t>BERGAMA / İZMİR</t>
  </si>
  <si>
    <t>TR240001000068131367185001</t>
  </si>
  <si>
    <t>BEYDAĞ / İZMİR</t>
  </si>
  <si>
    <t>TR240001001021074285135004</t>
  </si>
  <si>
    <t>ÇANDARLI / İZMİR</t>
  </si>
  <si>
    <t>TR410001000387079550045001</t>
  </si>
  <si>
    <t>ÇEŞME / İZMİR</t>
  </si>
  <si>
    <t>TR510001000141073663105005</t>
  </si>
  <si>
    <t>KARABURUN / İZMİR</t>
  </si>
  <si>
    <t>TR380001000143135854485001</t>
  </si>
  <si>
    <t>KINIK / İZMİR</t>
  </si>
  <si>
    <t>TR780006400000134800112959</t>
  </si>
  <si>
    <t>KİRAZ / İZMİR</t>
  </si>
  <si>
    <t>TR800001000422079291455002</t>
  </si>
  <si>
    <t>MENDERES / İZMİR</t>
  </si>
  <si>
    <t>TR350001200972900007000008</t>
  </si>
  <si>
    <t>MORDOĞAN / İZMİR</t>
  </si>
  <si>
    <t>TR040001000143135892455002</t>
  </si>
  <si>
    <t>ÖDEMİŞ / İZMİR</t>
  </si>
  <si>
    <t>TR730001000221138318425001</t>
  </si>
  <si>
    <t>SELÇUK / İZMİR</t>
  </si>
  <si>
    <t>TR510001000561073979905017</t>
  </si>
  <si>
    <t>AFŞİN / K.MARAŞ</t>
  </si>
  <si>
    <t>TR180001000390298961205008</t>
  </si>
  <si>
    <t>ANDIRIN / K.MARAŞ</t>
  </si>
  <si>
    <t>TR710001000364276893235001</t>
  </si>
  <si>
    <t>ELBİSTAN / K.MARAŞ</t>
  </si>
  <si>
    <t>TR920001000199312774845001</t>
  </si>
  <si>
    <t>TÜRKOĞLU / K.MARAŞ</t>
  </si>
  <si>
    <t>TR630001000633308419935006</t>
  </si>
  <si>
    <t>MERKEZ / KARABÜK</t>
  </si>
  <si>
    <t>TR810001000425136646615001</t>
  </si>
  <si>
    <t>SAFRANBOLU / KARABÜK</t>
  </si>
  <si>
    <t>TR730001200947700007000002</t>
  </si>
  <si>
    <t>YENİCE / KARABÜK</t>
  </si>
  <si>
    <t>TR250001000533089477635006</t>
  </si>
  <si>
    <t>AYRANCI / KARAMAN</t>
  </si>
  <si>
    <t>TR240001001343285825435001</t>
  </si>
  <si>
    <t>ERMENEK / KARAMAN</t>
  </si>
  <si>
    <t>KAZIMKARABEKİR / KARAMAN</t>
  </si>
  <si>
    <t>TR280001001340070034795001</t>
  </si>
  <si>
    <t>MERKEZ / KARAMAN</t>
  </si>
  <si>
    <t>KAĞIZMAN / KARS</t>
  </si>
  <si>
    <t>TR570001000343297645245001</t>
  </si>
  <si>
    <t>SARIKAMIŞ / KARS</t>
  </si>
  <si>
    <t>TR700001000329271373205001</t>
  </si>
  <si>
    <t>SUSUZ / KARS</t>
  </si>
  <si>
    <t>TR160001000672076892105004</t>
  </si>
  <si>
    <t>ARAÇ / KASTAMONU</t>
  </si>
  <si>
    <t>TR530001000152093343435001</t>
  </si>
  <si>
    <t>TR270001000158129027975007</t>
  </si>
  <si>
    <t>ÇATALZEYTİN / KASTAMONU</t>
  </si>
  <si>
    <t>TR880001000495128087185002</t>
  </si>
  <si>
    <t>TR970001000277091190185002</t>
  </si>
  <si>
    <t>İHSANGAZİ / KASTAMONU</t>
  </si>
  <si>
    <t>TR050001001041252458965001</t>
  </si>
  <si>
    <t>MERKEZ / KASTAMONU</t>
  </si>
  <si>
    <t>TR970001000151360990615001</t>
  </si>
  <si>
    <t>SEYDİLER / KASTAMONU</t>
  </si>
  <si>
    <t>TR750001000277091190195001</t>
  </si>
  <si>
    <t>TOSYA / KASTAMONU</t>
  </si>
  <si>
    <t>TR220001000157090441645001</t>
  </si>
  <si>
    <t>BÜNYAN / KAYSERİ</t>
  </si>
  <si>
    <t>TR530001000160296567475001</t>
  </si>
  <si>
    <t>DEVELİ / KAYSERİ</t>
  </si>
  <si>
    <t>TR430001200948800007000002</t>
  </si>
  <si>
    <t>HACILAR / KAYSERİ</t>
  </si>
  <si>
    <t>TR890001001655328470525003</t>
  </si>
  <si>
    <t>ÖZVATAN / KAYSERİ</t>
  </si>
  <si>
    <t>TR480001001051069875635001</t>
  </si>
  <si>
    <t>PINARBAŞI / KAYSERİ</t>
  </si>
  <si>
    <t>TR380001000161288619755001</t>
  </si>
  <si>
    <t>SARIOĞLAN / KAYSERİ</t>
  </si>
  <si>
    <t>TR260001000637323733525001</t>
  </si>
  <si>
    <t>TOMARZA / KAYSERİ</t>
  </si>
  <si>
    <t>TR670001000501301993505003</t>
  </si>
  <si>
    <t>YAHYALI / KAYSERİ</t>
  </si>
  <si>
    <t>TR150001000518302162275001</t>
  </si>
  <si>
    <t>YEŞİLHİSAR / KAYSERİ</t>
  </si>
  <si>
    <t>TR500001000396309338805004</t>
  </si>
  <si>
    <t>BALIŞEYH / KIRIKKALE</t>
  </si>
  <si>
    <t>TR660001200967400007000016</t>
  </si>
  <si>
    <t>ÇELEBİ / KIRIKKALE</t>
  </si>
  <si>
    <t>TR070001200967400007000011</t>
  </si>
  <si>
    <t>YAHŞİHAN / KIRIKKALE</t>
  </si>
  <si>
    <t>TR590001001717098528105001</t>
  </si>
  <si>
    <t>BABAESKİ / KIRKLARELİ</t>
  </si>
  <si>
    <t>TR520001000098078975995017</t>
  </si>
  <si>
    <t>TR940001000491066018605001</t>
  </si>
  <si>
    <t>LÜLEBURGAZ / KIRKLARELİ</t>
  </si>
  <si>
    <t>MERKEZ / KIRKLARELİ</t>
  </si>
  <si>
    <t>TR060001200955200045000001</t>
  </si>
  <si>
    <t>TR590001000482076652945001</t>
  </si>
  <si>
    <t>VİZE / KIRKLARELİ</t>
  </si>
  <si>
    <t>TR060001000108076510095004</t>
  </si>
  <si>
    <t>BOZTEPE / KIRŞEHİR</t>
  </si>
  <si>
    <t>TR060001001400288080465001</t>
  </si>
  <si>
    <t>ÇİÇEKDAĞI / KIRŞEHİR</t>
  </si>
  <si>
    <t>TR550001000380336367675003</t>
  </si>
  <si>
    <t>KAMAN / KIRŞEHİR</t>
  </si>
  <si>
    <t>TR770001000273317242195001</t>
  </si>
  <si>
    <t>DİLOVASI / KOCAELİ</t>
  </si>
  <si>
    <t>TR300001200132000005100009</t>
  </si>
  <si>
    <t>KANDIRA / KOCAELİ</t>
  </si>
  <si>
    <t>TR170001200944500007000006</t>
  </si>
  <si>
    <t>AKÖREN / KONYA</t>
  </si>
  <si>
    <t>TR510001001013258495445032</t>
  </si>
  <si>
    <t>AKŞEHİR / KONYA</t>
  </si>
  <si>
    <t>TR030001000170304016765001</t>
  </si>
  <si>
    <t>BEYŞEHİR / KONYA</t>
  </si>
  <si>
    <t>TR070001000172317984035001</t>
  </si>
  <si>
    <t>BOZKIR / KONYA</t>
  </si>
  <si>
    <t>TR720001000173343752885001</t>
  </si>
  <si>
    <t>CİHANBEYLİ / KONYA</t>
  </si>
  <si>
    <t>TR410001000178343994865001</t>
  </si>
  <si>
    <t>ÇUMRA / KONYA</t>
  </si>
  <si>
    <t>TR350001200951700007000001</t>
  </si>
  <si>
    <t>DEREBUCAK / KONYA</t>
  </si>
  <si>
    <t>TR410001001438067403085001</t>
  </si>
  <si>
    <t>EREĞLİ / KONYA</t>
  </si>
  <si>
    <t>TR410001000169389258685006</t>
  </si>
  <si>
    <t>ILGIN / KONYA</t>
  </si>
  <si>
    <t>TR850001000171352790765001</t>
  </si>
  <si>
    <t>KADINHANI / KONYA</t>
  </si>
  <si>
    <t>TR300001000174325463565001</t>
  </si>
  <si>
    <t>KARAPINAR / KONYA</t>
  </si>
  <si>
    <t>TR710001000309375437405001</t>
  </si>
  <si>
    <t>SARAYÖNÜ / KONYA</t>
  </si>
  <si>
    <t>TR690001000600298016895001</t>
  </si>
  <si>
    <t>SEYDİŞEHİR / KONYA</t>
  </si>
  <si>
    <t>TR360001000175379405305001</t>
  </si>
  <si>
    <t>TUZLUKÇU / KONYA</t>
  </si>
  <si>
    <t>TR240001200951200007000030</t>
  </si>
  <si>
    <t>YALIHÜYÜK / KONYA</t>
  </si>
  <si>
    <t>TR750001000173343752825001</t>
  </si>
  <si>
    <t>YUNAK / KONYA</t>
  </si>
  <si>
    <t>TR620001000497303113425001</t>
  </si>
  <si>
    <t>TR450001000466331589945001</t>
  </si>
  <si>
    <t>DOMANİÇ / KÜTAHYA</t>
  </si>
  <si>
    <t>TR100001000654315394995002</t>
  </si>
  <si>
    <t>GEDİZ / KÜTAHYA</t>
  </si>
  <si>
    <t>TR230001000182305065885001</t>
  </si>
  <si>
    <t>MERKEZ / KÜTAHYA</t>
  </si>
  <si>
    <t>TR200001000179350642855001</t>
  </si>
  <si>
    <t>ŞAPHANE / KÜTAHYA</t>
  </si>
  <si>
    <t>TR470001000796292024025001</t>
  </si>
  <si>
    <t>TR810001000181335974255007</t>
  </si>
  <si>
    <t>ARAPKİR / MALATYA</t>
  </si>
  <si>
    <t>TR840001000325270503165001</t>
  </si>
  <si>
    <t>BATTALGAZİ / MALATYA</t>
  </si>
  <si>
    <t>TR060001000770258658505001</t>
  </si>
  <si>
    <t>BOSTANBAŞI / MALATYA</t>
  </si>
  <si>
    <t>TR760001000616252267325001</t>
  </si>
  <si>
    <t>DARENDE / MALATYA</t>
  </si>
  <si>
    <t>TR120001000320267859585001</t>
  </si>
  <si>
    <t>DOĞANŞEHİR / MALATYA</t>
  </si>
  <si>
    <t>TR560001200142900007000002</t>
  </si>
  <si>
    <t>HEKİMHAN / MALATYA</t>
  </si>
  <si>
    <t>TR750001000295439256435015</t>
  </si>
  <si>
    <t>TR730001000183350095355001</t>
  </si>
  <si>
    <t>YAKINCA / MALATYA</t>
  </si>
  <si>
    <t>TR550001000616252267205002</t>
  </si>
  <si>
    <t>YAZIHAN / MALATYA</t>
  </si>
  <si>
    <t>TR620001000183350095575001</t>
  </si>
  <si>
    <t>YEŞİLYURT / MALATYA</t>
  </si>
  <si>
    <t>TR330001000616252267215001</t>
  </si>
  <si>
    <t>AKHİSAR / MANİSA</t>
  </si>
  <si>
    <t>TR980001000189388437865003</t>
  </si>
  <si>
    <t>ALAŞEHİR / MANİSA</t>
  </si>
  <si>
    <t>TR740001000190316615935001</t>
  </si>
  <si>
    <t>DEMİRCİ / MANİSA</t>
  </si>
  <si>
    <t>TR370001000191330567375001</t>
  </si>
  <si>
    <t>GÖLMARMARA / MANİSA</t>
  </si>
  <si>
    <t>TR390001000735339588505002</t>
  </si>
  <si>
    <t>KIRKAĞAÇ / MANİSA</t>
  </si>
  <si>
    <t>TR290001000194298726575005</t>
  </si>
  <si>
    <t>KULA / MANİSA</t>
  </si>
  <si>
    <t>TR720001000196305527355002</t>
  </si>
  <si>
    <t>MURADİYE / MANİSA</t>
  </si>
  <si>
    <t>TR190001001256284330425001</t>
  </si>
  <si>
    <t>SALİHLİ / MANİSA</t>
  </si>
  <si>
    <t>SARIGÖL / MANİSA</t>
  </si>
  <si>
    <t>TR720001000572313282095001</t>
  </si>
  <si>
    <t>SARUHANLI / MANİSA</t>
  </si>
  <si>
    <t>TR750001000622299976785001</t>
  </si>
  <si>
    <t>SOMA / MANİSA</t>
  </si>
  <si>
    <t>TR140001500158007289929348</t>
  </si>
  <si>
    <t>DERİK / MARDİN</t>
  </si>
  <si>
    <t>TR850001000363282042955002</t>
  </si>
  <si>
    <t>KIZILTEPE / MARDİN</t>
  </si>
  <si>
    <t>TR770001200968400045000003</t>
  </si>
  <si>
    <t>MİDYAT / MARDİN</t>
  </si>
  <si>
    <t>TR670001000200310689035001</t>
  </si>
  <si>
    <t>YEŞİLLİ / MARDİN</t>
  </si>
  <si>
    <t>TR360001001674252206545001</t>
  </si>
  <si>
    <t>ANAMUR / MERSİN</t>
  </si>
  <si>
    <t>TR830001000208524734075001</t>
  </si>
  <si>
    <t>ATAKENT / MERSİN</t>
  </si>
  <si>
    <t>TR330001000209332550425004</t>
  </si>
  <si>
    <t>ATAYURT / MERSİN</t>
  </si>
  <si>
    <t>TR710001000209332550415008</t>
  </si>
  <si>
    <t>AYDINCIK / MERSİN</t>
  </si>
  <si>
    <t>TR500001001020307585625001</t>
  </si>
  <si>
    <t>BOZYAZI / MERSİN</t>
  </si>
  <si>
    <t>TR520001000793335659755003</t>
  </si>
  <si>
    <t>ÇAMLIYAYLA / MERSİN</t>
  </si>
  <si>
    <t>TR410001001699270121405082</t>
  </si>
  <si>
    <t>ÇEŞMELİ / MERSİN</t>
  </si>
  <si>
    <t>TR580001001729328530625001</t>
  </si>
  <si>
    <t>ERDEMLİ / MERSİN</t>
  </si>
  <si>
    <t>TR230001500158007287989477</t>
  </si>
  <si>
    <t>GÜLNAR / MERSİN</t>
  </si>
  <si>
    <t>TR280001200149100007000002</t>
  </si>
  <si>
    <t>KIZKALESİ / MERSİN</t>
  </si>
  <si>
    <t>TR270001000490324886595001</t>
  </si>
  <si>
    <t>LİMONLU / MERSİN</t>
  </si>
  <si>
    <t>TR510001000490324886115001</t>
  </si>
  <si>
    <t>MUT / MERSİN</t>
  </si>
  <si>
    <t>TR340001000211333939445001</t>
  </si>
  <si>
    <t>SİLİFKE / MERSİN</t>
  </si>
  <si>
    <t>TR020001000209332549755001</t>
  </si>
  <si>
    <t>TARSUS / MERSİN</t>
  </si>
  <si>
    <t>TR840001001782341199025001</t>
  </si>
  <si>
    <t>TÖMÜK / MERSİN</t>
  </si>
  <si>
    <t>TR740001000490325044735001</t>
  </si>
  <si>
    <t>ARMUTALAN / MUĞLA</t>
  </si>
  <si>
    <t>TR060001000204296982855001</t>
  </si>
  <si>
    <t>BELDİBİ / MUĞLA</t>
  </si>
  <si>
    <t>TR690001000204296982995002</t>
  </si>
  <si>
    <t>BİTEZ / MUĞLA</t>
  </si>
  <si>
    <t>TR780001200926400007000007</t>
  </si>
  <si>
    <t>BODRUM / MUĞLA</t>
  </si>
  <si>
    <t>TR820001000202342934765001</t>
  </si>
  <si>
    <t>DALAMAN / MUĞLA</t>
  </si>
  <si>
    <t>TR480001000990387612655001</t>
  </si>
  <si>
    <t>DALYAN / MUĞLA</t>
  </si>
  <si>
    <t>TR050001000741300565645001</t>
  </si>
  <si>
    <t>DATÇA / MUĞLA</t>
  </si>
  <si>
    <t>TR930001200926800007000008</t>
  </si>
  <si>
    <t>EŞEN / MUĞLA</t>
  </si>
  <si>
    <t>TR980001000203383241985001</t>
  </si>
  <si>
    <t>FETHİYE / MUĞLA</t>
  </si>
  <si>
    <t>TR180001000203383241645001</t>
  </si>
  <si>
    <t>GÖKOVA / MUĞLA</t>
  </si>
  <si>
    <t>TR620001000594291227045001</t>
  </si>
  <si>
    <t>GÜMÜŞLÜK / MUĞLA</t>
  </si>
  <si>
    <t>TR750001001797343045035002</t>
  </si>
  <si>
    <t>GÜNDOĞAN / MUĞLA</t>
  </si>
  <si>
    <t>TR800001000202342934805001</t>
  </si>
  <si>
    <t>İÇMELER / MUĞLA</t>
  </si>
  <si>
    <t>TR370001000204296982875007</t>
  </si>
  <si>
    <t>KARAÇULHA / MUĞLA</t>
  </si>
  <si>
    <t>TR660001000203383241655001</t>
  </si>
  <si>
    <t>KEMER / MUĞLA</t>
  </si>
  <si>
    <t>TR600001000991386983045001</t>
  </si>
  <si>
    <t>KONACIK / MUĞLA</t>
  </si>
  <si>
    <t>TR290001000202342934855001</t>
  </si>
  <si>
    <t>KÖYCEĞİZ / MUĞLA</t>
  </si>
  <si>
    <t>TR830001200926500007000009</t>
  </si>
  <si>
    <t>MARMARİS / MUĞLA</t>
  </si>
  <si>
    <t>TR290001200926600007000006</t>
  </si>
  <si>
    <t>MİLAS / MUĞLA</t>
  </si>
  <si>
    <t>TR050001000205315017275001</t>
  </si>
  <si>
    <t>ORTACA / MUĞLA</t>
  </si>
  <si>
    <t>TR370001000741300565435002</t>
  </si>
  <si>
    <t>ÖLÜDENİZ / MUĞLA</t>
  </si>
  <si>
    <t>TR470001000203383242035001</t>
  </si>
  <si>
    <t>TURGUTREİS / MUĞLA</t>
  </si>
  <si>
    <t>TR490001001797480349595001</t>
  </si>
  <si>
    <t>TURUNÇ / MUĞLA</t>
  </si>
  <si>
    <t>TR180001200926600007000010</t>
  </si>
  <si>
    <t>YALI / MUĞLA</t>
  </si>
  <si>
    <t>TR760001000202342934885001</t>
  </si>
  <si>
    <t>YATAĞAN / MUĞLA</t>
  </si>
  <si>
    <t>TR840001200926300007000001</t>
  </si>
  <si>
    <t>YEŞİLÜZÜMLÜ / MUĞLA</t>
  </si>
  <si>
    <t>TR170001000203383241665001</t>
  </si>
  <si>
    <t>BULANIK / MUŞ</t>
  </si>
  <si>
    <t>TR070001200126500005100019</t>
  </si>
  <si>
    <t>TR490001000659297857415002</t>
  </si>
  <si>
    <t>GÜLŞEHİR / NEVŞEHİR</t>
  </si>
  <si>
    <t>TR980001000027313723995001</t>
  </si>
  <si>
    <t>KOZAKLI / NEVŞEHİR</t>
  </si>
  <si>
    <t>BOR / NİĞDE</t>
  </si>
  <si>
    <t>TR560001000216337765915002</t>
  </si>
  <si>
    <t>ÇAMARDI / NİĞDE</t>
  </si>
  <si>
    <t>TR980001000398286833085006</t>
  </si>
  <si>
    <t>ÇİFTLİK / NİĞDE</t>
  </si>
  <si>
    <t>TR270001001022072087865001</t>
  </si>
  <si>
    <t>MERKEZ / NİĞDE</t>
  </si>
  <si>
    <t>TR500001000214379743005001</t>
  </si>
  <si>
    <t>AYBASTI / ORDU</t>
  </si>
  <si>
    <t>TR230001200965400007000017</t>
  </si>
  <si>
    <t>ÇINARCIK / YALOVA</t>
  </si>
  <si>
    <t>TR390001200936300007000020</t>
  </si>
  <si>
    <t>İMAMOĞLU / ADANA</t>
  </si>
  <si>
    <t>TR190006400000160250241962</t>
  </si>
  <si>
    <t>KOZAN / ADANA</t>
  </si>
  <si>
    <t>TR960001200916100007000004</t>
  </si>
  <si>
    <t>SİNCİK / ADIYAMAN</t>
  </si>
  <si>
    <t>TR130001200125400007000002</t>
  </si>
  <si>
    <t>TR940001200918800007000002</t>
  </si>
  <si>
    <t>TR660001500158007262880544</t>
  </si>
  <si>
    <t>MERKEZ / AĞRI</t>
  </si>
  <si>
    <t>MERKEZ / AKSARAY</t>
  </si>
  <si>
    <t>ORTAKÖY / AKSARAY</t>
  </si>
  <si>
    <t>TR480001200917900007000002</t>
  </si>
  <si>
    <t>GÜMÜŞHACIKÖY / AMASYA</t>
  </si>
  <si>
    <t>TR460001200930200007000005</t>
  </si>
  <si>
    <t>MERZİFON / AMASYA</t>
  </si>
  <si>
    <t>TR020001500158007279980856</t>
  </si>
  <si>
    <t>ZİYARET / AMASYA</t>
  </si>
  <si>
    <t>TR440001500158007292371074</t>
  </si>
  <si>
    <t>ELMADAĞ / ANKARA</t>
  </si>
  <si>
    <t>TR380001200126100007000002</t>
  </si>
  <si>
    <t>GAZİPAŞA / ANTALYA</t>
  </si>
  <si>
    <t>TR710001500158007292363022</t>
  </si>
  <si>
    <t>MANAVGAT / ANTALYA</t>
  </si>
  <si>
    <t>OYMAPINAR / ANTALYA</t>
  </si>
  <si>
    <t>TR880001500158007288822895</t>
  </si>
  <si>
    <t>SİDE / ANTALYA</t>
  </si>
  <si>
    <t>TR710001500158007274377573</t>
  </si>
  <si>
    <t>DİDİM / AYDIN</t>
  </si>
  <si>
    <t>GERMENCİK / AYDIN</t>
  </si>
  <si>
    <t>TR070001200954000007000002</t>
  </si>
  <si>
    <t>GÜZELÇAMLI / AYDIN</t>
  </si>
  <si>
    <t>TR630006400000130300003578</t>
  </si>
  <si>
    <t>KÖŞK / AYDIN</t>
  </si>
  <si>
    <t>TR690001200126600007000001</t>
  </si>
  <si>
    <t>AKÇAY / BALIKESİR</t>
  </si>
  <si>
    <t>TR080001200121400007000001</t>
  </si>
  <si>
    <t>BURHANİYE / BALIKESİR</t>
  </si>
  <si>
    <t>ERDEK / BALIKESİR</t>
  </si>
  <si>
    <t>GÜRE / BALIKESİR</t>
  </si>
  <si>
    <t>TR340001200121400004000002</t>
  </si>
  <si>
    <t>SUSURLUK / BALIKESİR</t>
  </si>
  <si>
    <t>TR070001200924800007000007</t>
  </si>
  <si>
    <t>ZEYTİNLİ / BALIKESİR</t>
  </si>
  <si>
    <t>TR290001200924300007000024</t>
  </si>
  <si>
    <t>BOZÜYÜK / BİLECİK</t>
  </si>
  <si>
    <t>TATVAN / BİTLİS</t>
  </si>
  <si>
    <t>LAPSEKİ / ÇANAKKALE</t>
  </si>
  <si>
    <t>TR320001200964400007000002</t>
  </si>
  <si>
    <t>MECİTÖZÜ / ÇORUM</t>
  </si>
  <si>
    <t>TR610006400000150000864343</t>
  </si>
  <si>
    <t>OSMANCIK / ÇORUM</t>
  </si>
  <si>
    <t>TR450001200931400007000060</t>
  </si>
  <si>
    <t>SUNGURLU / ÇORUM</t>
  </si>
  <si>
    <t>TR300001500158007286601960</t>
  </si>
  <si>
    <t>BAŞKARCI / DENİZLİ</t>
  </si>
  <si>
    <t>TR080001200936000007000011</t>
  </si>
  <si>
    <t>PAMUKKALE / DENİZLİ</t>
  </si>
  <si>
    <t>TR330001500158007275988748</t>
  </si>
  <si>
    <t>SARAYKÖY / DENİZLİ</t>
  </si>
  <si>
    <t>BİSMİL / DİYARBAKIR</t>
  </si>
  <si>
    <t>ERGANİ / DİYARBAKIR</t>
  </si>
  <si>
    <t>TR350001200932200007000006</t>
  </si>
  <si>
    <t>SİLVAN / DİYARBAKIR</t>
  </si>
  <si>
    <t>TR050001200122400007000005</t>
  </si>
  <si>
    <t>YURTBAŞI / ELAZIĞ</t>
  </si>
  <si>
    <t>TR380001200933100007000004</t>
  </si>
  <si>
    <t>NİZİP / GAZİANTEP</t>
  </si>
  <si>
    <t>TR130001500158007294499618</t>
  </si>
  <si>
    <t>MERKEZ / GÜMÜŞHANE</t>
  </si>
  <si>
    <t>TR090001500158007292526128</t>
  </si>
  <si>
    <t>MERKEZ / HAKKARİ</t>
  </si>
  <si>
    <t>YÜKSEKOVA / HAKKARİ</t>
  </si>
  <si>
    <t>TR500001200938300007000013</t>
  </si>
  <si>
    <t>BELEN / HATAY</t>
  </si>
  <si>
    <t>TR460001200922300007000012</t>
  </si>
  <si>
    <t>İSKENDERUN / HATAY</t>
  </si>
  <si>
    <t>KIRIKHAN / HATAY</t>
  </si>
  <si>
    <t>REYHANLI / HATAY</t>
  </si>
  <si>
    <t>SAMANDAĞ / HATAY</t>
  </si>
  <si>
    <t>TR660001200922700007000020</t>
  </si>
  <si>
    <t>GELENDOST / ISPARTA</t>
  </si>
  <si>
    <t>ŞEKERBANK</t>
  </si>
  <si>
    <t>TR620005900860508086054592</t>
  </si>
  <si>
    <t>DİKİLİ / İZMİR</t>
  </si>
  <si>
    <t>FOÇA / İZMİR</t>
  </si>
  <si>
    <t>TR370006400000134720304037</t>
  </si>
  <si>
    <t>SEFERİHİSAR / İZMİR</t>
  </si>
  <si>
    <t>TR560001200973000007000013</t>
  </si>
  <si>
    <t>TİRE / İZMİR</t>
  </si>
  <si>
    <t>TORBALI / İZMİR</t>
  </si>
  <si>
    <t>TR330001500158007295541426</t>
  </si>
  <si>
    <t>PAZARCIK / K.MARAŞ</t>
  </si>
  <si>
    <t>TR950001200947400007000009</t>
  </si>
  <si>
    <t>MERKEZ / KARS</t>
  </si>
  <si>
    <t>TAŞKÖPRÜ / KASTAMONU</t>
  </si>
  <si>
    <t>TR220001200948400007000012</t>
  </si>
  <si>
    <t>MERKEZ / KIRIKKALE</t>
  </si>
  <si>
    <t>MERKEZ / KIRŞEHİR</t>
  </si>
  <si>
    <t>TR600001500158007299011988</t>
  </si>
  <si>
    <t>MUCUR / KIRŞEHİR</t>
  </si>
  <si>
    <t>MERKEZ / KİLİS</t>
  </si>
  <si>
    <t>TR240001200968000005000020</t>
  </si>
  <si>
    <t>SİMAV / KÜTAHYA</t>
  </si>
  <si>
    <t>TR470001500158007275269338</t>
  </si>
  <si>
    <t>AKÇADAĞ / MALATYA</t>
  </si>
  <si>
    <t>TR820004600464888000017756</t>
  </si>
  <si>
    <t>AHMETLİ / MANİSA</t>
  </si>
  <si>
    <t>TR890006400000135290193718</t>
  </si>
  <si>
    <t>TURGUTLU / MANİSA</t>
  </si>
  <si>
    <t>NUSAYBİN / MARDİN</t>
  </si>
  <si>
    <t>TR360001500158007285807034</t>
  </si>
  <si>
    <t>AYAŞ / MERSİN</t>
  </si>
  <si>
    <t>TR820001200959900007000006</t>
  </si>
  <si>
    <t>KARGIPINARI / MERSİN</t>
  </si>
  <si>
    <t>TR150001500158007282735713</t>
  </si>
  <si>
    <t>KUMKUYU / MERSİN</t>
  </si>
  <si>
    <t>TR570001500158007281800265</t>
  </si>
  <si>
    <t>TAŞUCU / MERSİN</t>
  </si>
  <si>
    <t>GÖL-TÜRKBÜKÜ / MUĞLA</t>
  </si>
  <si>
    <t>YALIKAVAK / MUĞLA</t>
  </si>
  <si>
    <t>MERKEZ / MUŞ</t>
  </si>
  <si>
    <t>TR720001500158007298073588</t>
  </si>
  <si>
    <t>TR930001200968800007000042</t>
  </si>
  <si>
    <t>TR290006400000154110002102</t>
  </si>
  <si>
    <t>MERKEZ / NEVŞEHİR</t>
  </si>
  <si>
    <t>ÜRGÜP / NEVŞEHİR</t>
  </si>
  <si>
    <t>BOLAMAN / ORDU</t>
  </si>
  <si>
    <t>TR920001500158007277032182</t>
  </si>
  <si>
    <t>FATSA / ORDU</t>
  </si>
  <si>
    <t>ÜNYE / ORDU</t>
  </si>
  <si>
    <t>MERKEZ / OSMANİYE</t>
  </si>
  <si>
    <t>GEYVE / SAKARYA</t>
  </si>
  <si>
    <t>TR730001500158007275580919</t>
  </si>
  <si>
    <t>HENDEK / SAKARYA</t>
  </si>
  <si>
    <t>TR300001200129000007000001</t>
  </si>
  <si>
    <t>AYVACIK / SAMSUN</t>
  </si>
  <si>
    <t>TR370001500158007282084738</t>
  </si>
  <si>
    <t>ÇARŞAMBA / SAMSUN</t>
  </si>
  <si>
    <t>HAVZA / SAMSUN</t>
  </si>
  <si>
    <t>TR390006400000173300360381</t>
  </si>
  <si>
    <t>KANGAL / SİVAS</t>
  </si>
  <si>
    <t>TR600001500158007294220770</t>
  </si>
  <si>
    <t>BOZOVA / ŞANLIURFA</t>
  </si>
  <si>
    <t>TR510006400000167100365187</t>
  </si>
  <si>
    <t>SURUÇ / ŞANLIURFA</t>
  </si>
  <si>
    <t>TR970001500158007297499383</t>
  </si>
  <si>
    <t>ÇERKEZKÖY / TEKİRDAĞ</t>
  </si>
  <si>
    <t>KUMBAĞ / TEKİRDAĞ</t>
  </si>
  <si>
    <t>TR0150001500158007290474276</t>
  </si>
  <si>
    <t>TURHAL / TOKAT</t>
  </si>
  <si>
    <t>TR530001500158007286839293</t>
  </si>
  <si>
    <t>ZİLE / TOKAT</t>
  </si>
  <si>
    <t>ALTINOVA / YALOVA</t>
  </si>
  <si>
    <t>TR090001500158007292341246</t>
  </si>
  <si>
    <t>TAŞKÖPRÜ / YALOVA</t>
  </si>
  <si>
    <t>TR950001200978600007000001</t>
  </si>
  <si>
    <t>DEVREK / ZONGULDAK</t>
  </si>
  <si>
    <t>TR080001200980800007000002</t>
  </si>
  <si>
    <t>İNTEPE / ÇANAKKALE</t>
  </si>
  <si>
    <t>BURSA/HEYKEL</t>
  </si>
  <si>
    <t>DİYARBAKIR MERKEZ</t>
  </si>
  <si>
    <t>ESKİŞEHİR MERKEZ</t>
  </si>
  <si>
    <t>FİNANS MARKET</t>
  </si>
  <si>
    <t>KİÇİKAPI</t>
  </si>
  <si>
    <t>TR920001001098324314135003</t>
  </si>
  <si>
    <t>MERKEZ / ZONGULDAK</t>
  </si>
  <si>
    <t>GÖCEK / MUĞLA</t>
  </si>
  <si>
    <t>TR740001000201357582195002</t>
  </si>
  <si>
    <t>TR780001000188394769405001</t>
  </si>
  <si>
    <t>TR360001500158007298275608</t>
  </si>
  <si>
    <t>ANTAKYA</t>
  </si>
  <si>
    <t>BELEDİYE BAŞKANLIĞI</t>
  </si>
  <si>
    <t>İLÇE1</t>
  </si>
  <si>
    <t>İL1</t>
  </si>
  <si>
    <t>BOĞAZKENT</t>
  </si>
  <si>
    <t>TEPECİK</t>
  </si>
  <si>
    <t>ABDİPAŞA</t>
  </si>
  <si>
    <t>KELEKÇİ</t>
  </si>
  <si>
    <t>KIZILYER</t>
  </si>
  <si>
    <t>AKÇAKİRAZ</t>
  </si>
  <si>
    <t>ALVAR</t>
  </si>
  <si>
    <t>ALTUNTAŞ</t>
  </si>
  <si>
    <t>ARPAÇBAHŞİŞ</t>
  </si>
  <si>
    <t>KARADERE</t>
  </si>
  <si>
    <t>VELİKÖY</t>
  </si>
  <si>
    <t>HALIKÖY</t>
  </si>
  <si>
    <t>ABDİPAŞA / BARTIN</t>
  </si>
  <si>
    <t>AĞIRNAS / KAYSERİ</t>
  </si>
  <si>
    <t>AKÇAKİRAZ / ELAZIĞ</t>
  </si>
  <si>
    <t>ALADAĞ / ADANA</t>
  </si>
  <si>
    <t>ALTUNTAŞ / KONYA</t>
  </si>
  <si>
    <t>ALVAR / ERZURUM</t>
  </si>
  <si>
    <t>ARPAÇBAHŞİŞ / MERSİN</t>
  </si>
  <si>
    <t>HALIKÖY / YOZGAT</t>
  </si>
  <si>
    <t>HAYRABOLU / TEKİRDAĞ</t>
  </si>
  <si>
    <t>İNHİSAR / BİLECİK</t>
  </si>
  <si>
    <t>KADIŞEHRİ / YOZGAT</t>
  </si>
  <si>
    <t>KARADERE / MUĞLA</t>
  </si>
  <si>
    <t>KARLIOVA / BİNGÖL</t>
  </si>
  <si>
    <t>KELEKÇİ / DENİZLİ</t>
  </si>
  <si>
    <t>KIZILYER / DENİZLİ</t>
  </si>
  <si>
    <t>MERKEZ / DÜZCE</t>
  </si>
  <si>
    <t>MİHALGAZİ / ESKİŞEHİR</t>
  </si>
  <si>
    <t>SİLOPİ / ŞIRNAK</t>
  </si>
  <si>
    <t>TEKİROVA / ANTALYA</t>
  </si>
  <si>
    <t>TEPECİK / AYDIN</t>
  </si>
  <si>
    <t>TÜRKELİ / SİNOP</t>
  </si>
  <si>
    <t>VELİKÖY / TEKİRDAĞ</t>
  </si>
  <si>
    <t>VELİMEŞE / TEKİRDAĞ</t>
  </si>
  <si>
    <t>ZARA / SİVAS</t>
  </si>
  <si>
    <t>ULUS</t>
  </si>
  <si>
    <t>KAYSERİ MERKEZ</t>
  </si>
  <si>
    <t>ELAZIĞ MERKEZ</t>
  </si>
  <si>
    <t xml:space="preserve">AKŞEHİR </t>
  </si>
  <si>
    <t>PASİNLER</t>
  </si>
  <si>
    <t>AÇIPAYAM</t>
  </si>
  <si>
    <t>AYDIN MERKEZ</t>
  </si>
  <si>
    <t>TR050001000291095924525001</t>
  </si>
  <si>
    <t>TR610001000159400636515001</t>
  </si>
  <si>
    <t>TR360001000186346979965001</t>
  </si>
  <si>
    <t>TR510001001062301054525001</t>
  </si>
  <si>
    <t>TR510001000170304016775001</t>
  </si>
  <si>
    <t>TR650001000113289248285002</t>
  </si>
  <si>
    <t>TR500001000490324886135001</t>
  </si>
  <si>
    <t>TR780001001618074743975001</t>
  </si>
  <si>
    <t>TR530001001318283112615001</t>
  </si>
  <si>
    <t>TR660001200930700007000008</t>
  </si>
  <si>
    <t>TR170001000121345079415001</t>
  </si>
  <si>
    <t>TR060001001318283112585001</t>
  </si>
  <si>
    <t>TR400006400000136210886978</t>
  </si>
  <si>
    <t>TR440001000609085436545001</t>
  </si>
  <si>
    <t>TR290001000089307930815001</t>
  </si>
  <si>
    <t>TR560001200935900007000025</t>
  </si>
  <si>
    <t>TR230001200932700007000003</t>
  </si>
  <si>
    <t>TR900001001669251890385001</t>
  </si>
  <si>
    <t>TR660001200967700007000001</t>
  </si>
  <si>
    <t>TR780001001962394088085010</t>
  </si>
  <si>
    <t>TR840001000033396208215001</t>
  </si>
  <si>
    <t>TR440001200969800007000001</t>
  </si>
  <si>
    <t>TR500001500158007294487409</t>
  </si>
  <si>
    <t>TR210001000099077284035001</t>
  </si>
  <si>
    <t>TR750001200970200007000005</t>
  </si>
  <si>
    <t>Belediye</t>
  </si>
  <si>
    <t>ADANA BÜYÜKŞEHİR</t>
  </si>
  <si>
    <t>SARIYAHŞİ</t>
  </si>
  <si>
    <t>ANKARA BÜYÜKŞEHİR</t>
  </si>
  <si>
    <t>ANTALYA BÜYÜKŞEHİR</t>
  </si>
  <si>
    <t>AVSALLAR</t>
  </si>
  <si>
    <t>EVRENSEKİ</t>
  </si>
  <si>
    <t>İNCEKUM</t>
  </si>
  <si>
    <t>OKURCALAR</t>
  </si>
  <si>
    <t>ATBURGAZI</t>
  </si>
  <si>
    <t>KOZCAĞIZ</t>
  </si>
  <si>
    <t>BURSA BÜYÜKŞEHİR</t>
  </si>
  <si>
    <t>KARABİGA</t>
  </si>
  <si>
    <t>BEKİLLİ</t>
  </si>
  <si>
    <t>DİYARBAKIR BÜYÜKŞEHİR</t>
  </si>
  <si>
    <t>GÜRBÜZ</t>
  </si>
  <si>
    <t>ERZURUM BÜYÜKŞEHİR</t>
  </si>
  <si>
    <t>ESKİŞEHİR BÜYÜKŞEHİR</t>
  </si>
  <si>
    <t>KARGAMIŞ</t>
  </si>
  <si>
    <t>GAZİANTEP BÜYÜKŞEHİR</t>
  </si>
  <si>
    <t>MAŞUKLU</t>
  </si>
  <si>
    <t>NARLICA</t>
  </si>
  <si>
    <t>PAYAS</t>
  </si>
  <si>
    <t>İSTANBUL BÜYÜKŞEHİR</t>
  </si>
  <si>
    <t>İZMİR BÜYÜKŞEHİR</t>
  </si>
  <si>
    <t>KONAK</t>
  </si>
  <si>
    <t>ZEYTİNDAĞ</t>
  </si>
  <si>
    <t>AMARAT</t>
  </si>
  <si>
    <t>KAYSERİ BÜYÜKŞEHİR</t>
  </si>
  <si>
    <t>KAVAKLI</t>
  </si>
  <si>
    <t>KOCAELİ BÜYÜKŞEHİR</t>
  </si>
  <si>
    <t>KONYA BÜYÜKŞEHİR</t>
  </si>
  <si>
    <t>MERSİN BÜYÜKŞEHİR</t>
  </si>
  <si>
    <t>BÜYÜKECELİ</t>
  </si>
  <si>
    <t>KUMRU</t>
  </si>
  <si>
    <t>SAKARYA BÜYÜKŞEHİR</t>
  </si>
  <si>
    <t>TARAKLI</t>
  </si>
  <si>
    <t>SAMSUN BÜYÜKŞEHİR</t>
  </si>
  <si>
    <t>DİKBIYIK</t>
  </si>
  <si>
    <t>KURTALAN</t>
  </si>
  <si>
    <t>MALKARA</t>
  </si>
  <si>
    <t>ARSİN</t>
  </si>
  <si>
    <t>PERTEK</t>
  </si>
  <si>
    <t>BAHŞILI</t>
  </si>
  <si>
    <t>GÖLTÜRKBÜKÜ</t>
  </si>
  <si>
    <t>ORTAKENTYAHŞİ</t>
  </si>
  <si>
    <t>ANKARA BÜYÜKŞEHİR / ANKARA</t>
  </si>
  <si>
    <t>KOCAELİ BÜYÜKŞEHİR / KOCAELİ</t>
  </si>
  <si>
    <t>İZMİR BÜYÜKŞEHİR / İZMİR</t>
  </si>
  <si>
    <t>BURSA BÜYÜKŞEHİR / BURSA</t>
  </si>
  <si>
    <t>MERSİN BÜYÜKŞEHİR / MERSİN</t>
  </si>
  <si>
    <t>SAKARYA BÜYÜKŞEHİR / SAKARYA</t>
  </si>
  <si>
    <t>ANTALYA BÜYÜKŞEHİR / ANTALYA</t>
  </si>
  <si>
    <t>ESKİŞEHİR BÜYÜKŞEHİR / ESKİŞEHİR</t>
  </si>
  <si>
    <t>ADANA BÜYÜKŞEHİR / ADANA</t>
  </si>
  <si>
    <t>KAYSERİ BÜYÜKŞEHİR / KAYSERİ</t>
  </si>
  <si>
    <t>KARGAMIŞ / GAZİANTEP</t>
  </si>
  <si>
    <t>GAZİANTEP BÜYÜKŞEHİR / GAZİANTEP</t>
  </si>
  <si>
    <t>KONYA BÜYÜKŞEHİR / KONYA</t>
  </si>
  <si>
    <t>ULAŞ / TEKİRDAĞ</t>
  </si>
  <si>
    <t>KORGAN / ORDU</t>
  </si>
  <si>
    <t>ARSİN / TRABZON</t>
  </si>
  <si>
    <t>SAMSUN BÜYÜKŞEHİR / SAMSUN</t>
  </si>
  <si>
    <t>DİYARBAKIR BÜYÜKŞEHİR / DİYARBAKIR</t>
  </si>
  <si>
    <t>KAVAKLI / KIRKLARELİ</t>
  </si>
  <si>
    <t>ORTAKENTYAHŞİ / MUĞLA</t>
  </si>
  <si>
    <t>BAHŞILI / KIRIKKALE</t>
  </si>
  <si>
    <t>BOĞAZKENT / ANTALYA</t>
  </si>
  <si>
    <t>ATBURGAZI / AYDIN</t>
  </si>
  <si>
    <t>GÜRBÜZ / DİYARBAKIR</t>
  </si>
  <si>
    <t>NARLICA / HATAY</t>
  </si>
  <si>
    <t>KUMRU / ORDU</t>
  </si>
  <si>
    <t>GÜNDOĞDU / RİZE</t>
  </si>
  <si>
    <t>AKYAKA / MUĞLA</t>
  </si>
  <si>
    <t>GÖLTÜRKBÜKÜ / MUĞLA</t>
  </si>
  <si>
    <t>PERTEK / TUNCELİ</t>
  </si>
  <si>
    <t>BEKİLLİ / DENİZLİ</t>
  </si>
  <si>
    <t>SARIYAHŞİ / AKSARAY</t>
  </si>
  <si>
    <t>KOZCAĞIZ / BARTIN</t>
  </si>
  <si>
    <t>AMARAT / KAYSERİ</t>
  </si>
  <si>
    <t>KARAAĞAÇ / TEKİRDAĞ</t>
  </si>
  <si>
    <t>ERZURUM BÜYÜKŞEHİR / ERZURUM</t>
  </si>
  <si>
    <t>İNCEKUM / ANTALYA</t>
  </si>
  <si>
    <t>OKURCALAR / ANTALYA</t>
  </si>
  <si>
    <t>MAŞUKLU / HATAY</t>
  </si>
  <si>
    <t>KIZILPINAR / TEKİRDAĞ</t>
  </si>
  <si>
    <t>GÖYNÜK / BOLU</t>
  </si>
  <si>
    <t>KURTALAN / SİİRT</t>
  </si>
  <si>
    <t>PAYAS / HATAY</t>
  </si>
  <si>
    <t>MALKARA / TEKİRDAĞ</t>
  </si>
  <si>
    <t>KARABİGA / ÇANAKKALE</t>
  </si>
  <si>
    <t>BÜYÜKECELİ / MERSİN</t>
  </si>
  <si>
    <t>AVSALLAR / ANTALYA</t>
  </si>
  <si>
    <t>ZEYTİNDAĞ / İZMİR</t>
  </si>
  <si>
    <t>DİKBIYIK / SAMSUN</t>
  </si>
  <si>
    <t>EVRENSEKİ / ANTALYA</t>
  </si>
  <si>
    <t>TARAKLI / SAKARYA</t>
  </si>
  <si>
    <t>İLÇE/İL</t>
  </si>
  <si>
    <t>BANKAADI</t>
  </si>
  <si>
    <t>ŞUBEADI</t>
  </si>
  <si>
    <t>BANKAKODU</t>
  </si>
  <si>
    <t>ŞUBEKODU</t>
  </si>
  <si>
    <t>IBANKONTROL</t>
  </si>
  <si>
    <t>YSVTUTARI</t>
  </si>
  <si>
    <t>BELEDİYEBAŞK.</t>
  </si>
  <si>
    <t>TXTİÇİN</t>
  </si>
  <si>
    <t>TR690001000594291226905001</t>
  </si>
  <si>
    <t>TR100001000159400636565001</t>
  </si>
  <si>
    <t>TR820001000640277368605005</t>
  </si>
  <si>
    <t>GARANTİ BANKASI</t>
  </si>
  <si>
    <t>TR210006200500100006298182</t>
  </si>
  <si>
    <t>TR310001000039397001755001</t>
  </si>
  <si>
    <t>TR450001002517453847025073</t>
  </si>
  <si>
    <t>TR050001000732278423955001</t>
  </si>
  <si>
    <t>TR450001000373331229745001</t>
  </si>
  <si>
    <t>TR200001000210323124495002</t>
  </si>
  <si>
    <t>TR380001200966000007000008</t>
  </si>
  <si>
    <t>TR930001500158007292466610</t>
  </si>
  <si>
    <t>TR530001000056066849985001</t>
  </si>
  <si>
    <t>HANİ</t>
  </si>
  <si>
    <t>TR510001000642262232915001</t>
  </si>
  <si>
    <t>TR880001001691328428345002</t>
  </si>
  <si>
    <t>TR120001500158007297003400</t>
  </si>
  <si>
    <t>TR020001200969000007000021</t>
  </si>
  <si>
    <t>TR810001000074100072325002</t>
  </si>
  <si>
    <t>TR050001001370255690285010</t>
  </si>
  <si>
    <t>TR170001500158007282669620</t>
  </si>
  <si>
    <t>TR980001200930900007000004</t>
  </si>
  <si>
    <t>TR980001000665105318755001</t>
  </si>
  <si>
    <t>TR490001000778125666105001</t>
  </si>
  <si>
    <t>TR160001000644068377495001</t>
  </si>
  <si>
    <t>TR320001000401380547345001</t>
  </si>
  <si>
    <t>TR440001500158007299000539</t>
  </si>
  <si>
    <t>TR230001200922900007000008</t>
  </si>
  <si>
    <t>TR340001000306393245785003</t>
  </si>
  <si>
    <t>TR250001000039397001875001</t>
  </si>
  <si>
    <t>TR770001000202342934865001</t>
  </si>
  <si>
    <t>TR880001200922800007000007</t>
  </si>
  <si>
    <t>TR730001000346055421855001</t>
  </si>
  <si>
    <t>TR170001001309069750695001</t>
  </si>
  <si>
    <t>TR490001000747054892855001</t>
  </si>
  <si>
    <t>TR030001000099077284395001</t>
  </si>
  <si>
    <t>TR460006400000134960077011</t>
  </si>
  <si>
    <t>TR130001000306393245345001</t>
  </si>
  <si>
    <t>TR640001000192360513565001</t>
  </si>
  <si>
    <t>AĞAÇÖREN</t>
  </si>
  <si>
    <t>BORÇKA</t>
  </si>
  <si>
    <t>BALPINAR</t>
  </si>
  <si>
    <t>PAZARYERİ</t>
  </si>
  <si>
    <t>KİĞI</t>
  </si>
  <si>
    <t>ŞEBİNKARAHİSAR</t>
  </si>
  <si>
    <t>MELEKLİ</t>
  </si>
  <si>
    <t>GÖREME</t>
  </si>
  <si>
    <t>BAHÇE</t>
  </si>
  <si>
    <t>SUŞEHRİ</t>
  </si>
  <si>
    <t>SİVASLI</t>
  </si>
  <si>
    <t>AĞAÇÖREN / AKSARAY</t>
  </si>
  <si>
    <t>BORÇKA / ARTVİN</t>
  </si>
  <si>
    <t>BALPINAR / BATMAN</t>
  </si>
  <si>
    <t>PAZARYERİ / BİLECİK</t>
  </si>
  <si>
    <t>KİĞI / BİNGÖL</t>
  </si>
  <si>
    <t>ŞEBİNKARAHİSAR / GİRESUN</t>
  </si>
  <si>
    <t>MELEKLİ / IĞDIR</t>
  </si>
  <si>
    <t>GÖREME / NEVŞEHİR</t>
  </si>
  <si>
    <t>BAHÇE / OSMANİYE</t>
  </si>
  <si>
    <t>AKINCILAR / SİVAS</t>
  </si>
  <si>
    <t>SUŞEHRİ / SİVAS</t>
  </si>
  <si>
    <t>AKÇATEKİR / ADANA</t>
  </si>
  <si>
    <t>AYDIN BÜYÜKŞEHİR</t>
  </si>
  <si>
    <t>BALIKESİR BÜYÜKŞEHİR</t>
  </si>
  <si>
    <t>DENİZLİ BÜYÜKŞEHİR</t>
  </si>
  <si>
    <t>HATAY BÜYÜKŞEHİR</t>
  </si>
  <si>
    <t>MALATYA BÜYÜKŞEHİR</t>
  </si>
  <si>
    <t>MANİSA BÜYÜKŞEHİR</t>
  </si>
  <si>
    <t>MUĞLA BÜYÜKŞEHİR</t>
  </si>
  <si>
    <t>TRABZON BÜYÜKŞEHİR</t>
  </si>
  <si>
    <t>ŞANLIURFA BÜYÜKŞEHİR</t>
  </si>
  <si>
    <t>AYDIN BÜYÜKŞEHİR / AYDIN</t>
  </si>
  <si>
    <t>BALIKESİR BÜYÜKŞEHİR / BALIKESİR</t>
  </si>
  <si>
    <t>DENİZLİ BÜYÜKŞEHİR / DENİZLİ</t>
  </si>
  <si>
    <t>HATAY BÜYÜKŞEHİR / HATAY</t>
  </si>
  <si>
    <t>MALATYA BÜYÜKŞEHİR / MALATYA</t>
  </si>
  <si>
    <t>MANİSA BÜYÜKŞEHİR / MANİSA</t>
  </si>
  <si>
    <t>MARDİN BÜYÜKŞEHİR / MARDİN</t>
  </si>
  <si>
    <t>MUĞLA BÜYÜKŞEHİR / MUĞLA</t>
  </si>
  <si>
    <t>ŞANLIURFA BÜYÜKŞEHİR / ŞANLIURFA</t>
  </si>
  <si>
    <t>TRABZON BÜYÜKŞEHİR / TRABZON</t>
  </si>
  <si>
    <t>VAN BÜYÜKŞEHİR / VAN</t>
  </si>
  <si>
    <t>ORDU BÜYÜKŞEHİR</t>
  </si>
  <si>
    <t>ORDU BÜYÜKŞEHİR / ORDU</t>
  </si>
  <si>
    <t>TR390001000233347765365001</t>
  </si>
  <si>
    <t>TR370001000469319340455001</t>
  </si>
  <si>
    <t>TR820001001291254963575020</t>
  </si>
  <si>
    <t>TR360001001290068202065001</t>
  </si>
  <si>
    <t>TR330001200967500007000023</t>
  </si>
  <si>
    <t>TR090001200937800007000000</t>
  </si>
  <si>
    <t>TR300001200123100007000005</t>
  </si>
  <si>
    <t>TR240001000028303307295002</t>
  </si>
  <si>
    <t>TR810001000279083603055001</t>
  </si>
  <si>
    <t>TR660001000365278042275022</t>
  </si>
  <si>
    <t>POSTA İÇİN</t>
  </si>
  <si>
    <t>SARATLI</t>
  </si>
  <si>
    <t>YENİKENT</t>
  </si>
  <si>
    <t>SASON</t>
  </si>
  <si>
    <t>KARACASU</t>
  </si>
  <si>
    <t>ÇAVDIR</t>
  </si>
  <si>
    <t>TERZİALAN</t>
  </si>
  <si>
    <t>KARAKOÇAN</t>
  </si>
  <si>
    <t>ÇAKILLI</t>
  </si>
  <si>
    <t>AKPINAR</t>
  </si>
  <si>
    <t>HASKÖY</t>
  </si>
  <si>
    <t>TOPRAKKALE</t>
  </si>
  <si>
    <t>DİVRİĞİ</t>
  </si>
  <si>
    <t>OVACIK</t>
  </si>
  <si>
    <t>KIZILCASÖĞÜT</t>
  </si>
  <si>
    <t>TERMAL</t>
  </si>
  <si>
    <t>SARATLI / AKSARAY</t>
  </si>
  <si>
    <t>YENİKENT / AKSARAY</t>
  </si>
  <si>
    <t>SASON / BATMAN</t>
  </si>
  <si>
    <t>KARACASU / BOLU</t>
  </si>
  <si>
    <t>ÇAVDIR / BURDUR</t>
  </si>
  <si>
    <t>TERZİALAN / ÇANAKKALE</t>
  </si>
  <si>
    <t>ENEZ / EDİRNE</t>
  </si>
  <si>
    <t>KARAKOÇAN / ELAZIĞ</t>
  </si>
  <si>
    <t>ÇAKILLI / KIRKLARELİ</t>
  </si>
  <si>
    <t>AKPINAR / KIRŞEHİR</t>
  </si>
  <si>
    <t>HASKÖY / MUŞ</t>
  </si>
  <si>
    <t>TOPRAKKALE / OSMANİYE</t>
  </si>
  <si>
    <t>ULAŞ / SİVAS</t>
  </si>
  <si>
    <t>MERKEZ / ŞIRNAK</t>
  </si>
  <si>
    <t>OVACIK / TUNCELİ</t>
  </si>
  <si>
    <t>KIZILCASÖĞÜT / UŞAK</t>
  </si>
  <si>
    <t>ARMUTLU / YALOVA</t>
  </si>
  <si>
    <t>TERMAL / YALOVA</t>
  </si>
  <si>
    <t>GÖKÇEBEY / ZONGULDAK</t>
  </si>
  <si>
    <t>MENGEN</t>
  </si>
  <si>
    <t>MENGEN / BOLU</t>
  </si>
  <si>
    <t>TR380001000108076510105001</t>
  </si>
  <si>
    <t>TR630001200978400007000005</t>
  </si>
  <si>
    <t>OSMANİYE/ATATÜRK CAD.</t>
  </si>
  <si>
    <t>TR910006400000160320028480</t>
  </si>
  <si>
    <t>TR230001000026365870595001</t>
  </si>
  <si>
    <t>YENİKENT BELEDİYESİ AKSARAY</t>
  </si>
  <si>
    <t>TR500001200967600007000003</t>
  </si>
  <si>
    <t>TR670001000050351584485001</t>
  </si>
  <si>
    <t>TR080001000423258568995001</t>
  </si>
  <si>
    <t>TR520001001715054241605001</t>
  </si>
  <si>
    <t>TR920001000858073196195001</t>
  </si>
  <si>
    <t>TR600001000635087327455011</t>
  </si>
  <si>
    <t>TR340001000382262705755001</t>
  </si>
  <si>
    <t>TR870003200000000011912574</t>
  </si>
  <si>
    <t>TR470001000431076357905001</t>
  </si>
  <si>
    <t>TR030001001323268286995001</t>
  </si>
  <si>
    <t>TR280001001380279274075001</t>
  </si>
  <si>
    <t>GÜLAĞAÇ</t>
  </si>
  <si>
    <t>TR040001001739075314805001</t>
  </si>
  <si>
    <t>TR390001000762123442765004</t>
  </si>
  <si>
    <t>TR590001000670077949735003</t>
  </si>
  <si>
    <t>TR910001000932055060325001</t>
  </si>
  <si>
    <t>TR070001200964100007000079</t>
  </si>
  <si>
    <t>ARHAVİ</t>
  </si>
  <si>
    <t>ÇELTİKÇİ</t>
  </si>
  <si>
    <t>ARPAÇAY</t>
  </si>
  <si>
    <t>CEVDETİYE</t>
  </si>
  <si>
    <t>BEYCUMA</t>
  </si>
  <si>
    <t>ARHAVİ / ARTVİN</t>
  </si>
  <si>
    <t>ÇELTİKÇİ / BURDUR</t>
  </si>
  <si>
    <t>ARPAÇAY / KARS</t>
  </si>
  <si>
    <t>CEVDETİYE / OSMANİYE</t>
  </si>
  <si>
    <t>BEYCUMA / ZONGULDAK</t>
  </si>
  <si>
    <t>ZONGULDAK MERKEZ</t>
  </si>
  <si>
    <t>TR170001000294110178915001</t>
  </si>
  <si>
    <t>TR970001200917700007000003</t>
  </si>
  <si>
    <t>TR880001001365292251015001</t>
  </si>
  <si>
    <t>TR640001000131386071515006</t>
  </si>
  <si>
    <t>TATARLI</t>
  </si>
  <si>
    <t>SULTANHANI</t>
  </si>
  <si>
    <t>ALACA</t>
  </si>
  <si>
    <t>GÖLYAKA</t>
  </si>
  <si>
    <t>GÜMÜŞOVA</t>
  </si>
  <si>
    <t>BÜYÜKÇİFTLİK</t>
  </si>
  <si>
    <t>EDİKLİ</t>
  </si>
  <si>
    <t>DEREPAZARI</t>
  </si>
  <si>
    <t>MADENLİ</t>
  </si>
  <si>
    <t>BAKACAKKADI</t>
  </si>
  <si>
    <t>SULTANHANI / AKSARAY</t>
  </si>
  <si>
    <t>ALACA / ÇORUM</t>
  </si>
  <si>
    <t>GÜMÜŞOVA / DÜZCE</t>
  </si>
  <si>
    <t>BÜYÜKÇİFTLİK / HAKKARİ</t>
  </si>
  <si>
    <t>EDİKLİ / NİĞDE</t>
  </si>
  <si>
    <t>MADENLİ / RİZE</t>
  </si>
  <si>
    <t>KADIKÖY / YALOVA</t>
  </si>
  <si>
    <t>BAKACAKKADI / ZONGULDAK</t>
  </si>
  <si>
    <t>TR920001000992069936125001</t>
  </si>
  <si>
    <t>TR050001000404312377735001</t>
  </si>
  <si>
    <t>AFYONKARAHİSAR</t>
  </si>
  <si>
    <t>TR020001200918300007000034</t>
  </si>
  <si>
    <t>TR950001000342320403435001</t>
  </si>
  <si>
    <t>TR800001002540329206585009</t>
  </si>
  <si>
    <t>YENİYER / YOZGAT</t>
  </si>
  <si>
    <t>TR590001000322318343585001</t>
  </si>
  <si>
    <t>YENİYER</t>
  </si>
  <si>
    <t>TR440001000080114910715001</t>
  </si>
  <si>
    <t>TR180001200938300007000007</t>
  </si>
  <si>
    <t>TR020001200980900007000008</t>
  </si>
  <si>
    <t>TR610001000026366334465001</t>
  </si>
  <si>
    <t>TR470001000214379743065001</t>
  </si>
  <si>
    <t>GÖLHİSAR</t>
  </si>
  <si>
    <t>İNECE</t>
  </si>
  <si>
    <t>KAYMAKLI</t>
  </si>
  <si>
    <t>İDİL</t>
  </si>
  <si>
    <t>ALMUS</t>
  </si>
  <si>
    <t>REŞADİYE</t>
  </si>
  <si>
    <t>SARIKAYA</t>
  </si>
  <si>
    <t>İDİL / ŞIRNAK</t>
  </si>
  <si>
    <t>TR770001000629081025585001</t>
  </si>
  <si>
    <t>KAYMAKLI / NEVŞEHİR</t>
  </si>
  <si>
    <t>TR200001000659297857565001</t>
  </si>
  <si>
    <t>GÖLYAKA / DÜZCE</t>
  </si>
  <si>
    <t>TR420001000805112314635001</t>
  </si>
  <si>
    <t>MURADİYE / RİZE</t>
  </si>
  <si>
    <t>TR770001000248293399475001</t>
  </si>
  <si>
    <t>DEREPAZARI / RİZE</t>
  </si>
  <si>
    <t>TR080001000781073872945016</t>
  </si>
  <si>
    <t>ERKMEN</t>
  </si>
  <si>
    <t>GÖMÜ</t>
  </si>
  <si>
    <t>EŞMEKAYA</t>
  </si>
  <si>
    <t>ADİLCEVAZ</t>
  </si>
  <si>
    <t>KIRCASALİH</t>
  </si>
  <si>
    <t>YAVUZKEMAL</t>
  </si>
  <si>
    <t>HÜYÜKLÜ</t>
  </si>
  <si>
    <t>TUNÇBİLEK</t>
  </si>
  <si>
    <t>GÜRÇEŞME</t>
  </si>
  <si>
    <t>AKDAĞMADENİ</t>
  </si>
  <si>
    <t>EŞMEKAYA / AKSARAY</t>
  </si>
  <si>
    <t>ADİLCEVAZ / BİTLİS</t>
  </si>
  <si>
    <t>KIRCASALİH / EDİRNE</t>
  </si>
  <si>
    <t>HÜYÜKLÜ / ISPARTA</t>
  </si>
  <si>
    <t>İNECE / KIRKLARELİ</t>
  </si>
  <si>
    <t>TUNÇBİLEK / KÜTAHYA</t>
  </si>
  <si>
    <t>GÜRÇEŞME / TOKAT</t>
  </si>
  <si>
    <t>REŞADİYE / TOKAT</t>
  </si>
  <si>
    <t>SARIKAYA / YOZGAT</t>
  </si>
  <si>
    <t>TR160001500158007290400635</t>
  </si>
  <si>
    <t>TR100001500158007286607752</t>
  </si>
  <si>
    <t>TR270001200139500007000015</t>
  </si>
  <si>
    <t>TR150001000104079910745001</t>
  </si>
  <si>
    <t>TR070001000136327652085001</t>
  </si>
  <si>
    <t>TR400001000522139367315001</t>
  </si>
  <si>
    <t>TR510001200978900007000002</t>
  </si>
  <si>
    <t>TR130001200967200007000010</t>
  </si>
  <si>
    <t>TR550001000181335973165001</t>
  </si>
  <si>
    <t>ESKİL</t>
  </si>
  <si>
    <t>TR460001001345075437165001</t>
  </si>
  <si>
    <t>TR800001000107100828945001</t>
  </si>
  <si>
    <t>ÇARDAKLI</t>
  </si>
  <si>
    <t>ESPİYE</t>
  </si>
  <si>
    <t>KÜRTÜN</t>
  </si>
  <si>
    <t>ESKİPAZAR</t>
  </si>
  <si>
    <t>İĞNEADA</t>
  </si>
  <si>
    <t>BAHTILLI</t>
  </si>
  <si>
    <t>YARBAŞI</t>
  </si>
  <si>
    <t>İKİZDERE</t>
  </si>
  <si>
    <t>KALKANDERE</t>
  </si>
  <si>
    <t>GÜRÜN</t>
  </si>
  <si>
    <t>ŞARKIŞLA</t>
  </si>
  <si>
    <t>KARAHALLI</t>
  </si>
  <si>
    <t>ÇANDIR</t>
  </si>
  <si>
    <t>İKİZDERE / RİZE</t>
  </si>
  <si>
    <t>KALKANDERE / RİZE</t>
  </si>
  <si>
    <t>YARBAŞI / OSMANİYE</t>
  </si>
  <si>
    <t>GÜRÜN / SİVAS</t>
  </si>
  <si>
    <t>DİVRİĞİ / SİVAS</t>
  </si>
  <si>
    <t>PAZAR / TOKAT</t>
  </si>
  <si>
    <t>TR490001000744306243625001</t>
  </si>
  <si>
    <t xml:space="preserve">GÜRÜN </t>
  </si>
  <si>
    <t>TR850001000236275473735001</t>
  </si>
  <si>
    <t>TR770001000232118163395003</t>
  </si>
  <si>
    <t>TR320001000444086121395001</t>
  </si>
  <si>
    <t>TR870001000641078140585001</t>
  </si>
  <si>
    <t>TR190001000870302677215003</t>
  </si>
  <si>
    <t>AĞLASUN</t>
  </si>
  <si>
    <t>AHMETBEY</t>
  </si>
  <si>
    <t>ATABEY</t>
  </si>
  <si>
    <t>AZDAVAY</t>
  </si>
  <si>
    <t>BAŞÇİFTLİK</t>
  </si>
  <si>
    <t>BAŞMAKÇI</t>
  </si>
  <si>
    <t>BÜYÜKKARIŞTIRAN</t>
  </si>
  <si>
    <t>ÇAYIRALAN</t>
  </si>
  <si>
    <t>ÇEKEREK</t>
  </si>
  <si>
    <t>DADAY</t>
  </si>
  <si>
    <t>ERFELEK</t>
  </si>
  <si>
    <t>ESENKÖY</t>
  </si>
  <si>
    <t>EŞME</t>
  </si>
  <si>
    <t>EVREŞE</t>
  </si>
  <si>
    <t>GERCÜŞ</t>
  </si>
  <si>
    <t>GERZE</t>
  </si>
  <si>
    <t>GÜLÜÇ</t>
  </si>
  <si>
    <t>GÜROYMAK</t>
  </si>
  <si>
    <t>HİZAN</t>
  </si>
  <si>
    <t>KARAYAKUP</t>
  </si>
  <si>
    <t>KAYTAZDERE</t>
  </si>
  <si>
    <t>KELKİT</t>
  </si>
  <si>
    <t>KIZILIRMAK</t>
  </si>
  <si>
    <t>KIZILKAYA</t>
  </si>
  <si>
    <t>KİLİMLİ</t>
  </si>
  <si>
    <t>KOFÇAZ</t>
  </si>
  <si>
    <t>ORMANLI</t>
  </si>
  <si>
    <t>SENİRKENT</t>
  </si>
  <si>
    <t>SULAKYURT</t>
  </si>
  <si>
    <t>SULTANDAĞI</t>
  </si>
  <si>
    <t>ŞEFAATLİ</t>
  </si>
  <si>
    <t>ŞUHUT</t>
  </si>
  <si>
    <t>YAĞLIDERE</t>
  </si>
  <si>
    <t>YENİFAKILI</t>
  </si>
  <si>
    <t>YEŞİLOVA</t>
  </si>
  <si>
    <t>YUSUFELİ</t>
  </si>
  <si>
    <t>YUSUFELİ / ARTVİN</t>
  </si>
  <si>
    <t>KEMALPAŞA / ARTVİN</t>
  </si>
  <si>
    <t>GERCÜŞ / BATMAN</t>
  </si>
  <si>
    <t>HİZAN / BİTLİS</t>
  </si>
  <si>
    <t>KIZILKAYA / BURDUR</t>
  </si>
  <si>
    <t>SÖĞÜT / BURDUR</t>
  </si>
  <si>
    <t>KEPEZ / ÇANAKKALE</t>
  </si>
  <si>
    <t>ESPİYE / GİRESUN</t>
  </si>
  <si>
    <t>ESKİPAZAR / KARABÜK</t>
  </si>
  <si>
    <t>İĞNEADA / KIRKLARELİ</t>
  </si>
  <si>
    <t>ALMUS / TOKAT</t>
  </si>
  <si>
    <t>BAŞÇİFTLİK / TOKAT</t>
  </si>
  <si>
    <t>ŞARKIŞLA / SİVAS</t>
  </si>
  <si>
    <t>SULAKYURT / KIRIKKALE</t>
  </si>
  <si>
    <t>GERZE / SİNOP</t>
  </si>
  <si>
    <t>AZDAVAY / KASTAMONU</t>
  </si>
  <si>
    <t>BOZKURT / KASTAMONU</t>
  </si>
  <si>
    <t>DEVREKANİ / KASTAMONU</t>
  </si>
  <si>
    <t>CİDE / KASTAMONU</t>
  </si>
  <si>
    <t>DEMİRKÖY / KIRKLARELİ</t>
  </si>
  <si>
    <t>PINARHİSAR / KIRKLARELİ</t>
  </si>
  <si>
    <t>BAHTILLI / KÜTAHYA</t>
  </si>
  <si>
    <t>ALTINTAŞ / KÜTAHYA</t>
  </si>
  <si>
    <t>ÇAVDARHİSAR / KÜTAHYA</t>
  </si>
  <si>
    <t>TAVŞANLI / KÜTAHYA</t>
  </si>
  <si>
    <t>AVANOS / NEVŞEHİR</t>
  </si>
  <si>
    <t>DERİNKUYU / NEVŞEHİR</t>
  </si>
  <si>
    <t>HACIBEKTAŞ / NEVŞEHİR</t>
  </si>
  <si>
    <t>ULUKIŞLA / NİĞDE</t>
  </si>
  <si>
    <t>BANAZ / UŞAK</t>
  </si>
  <si>
    <t>SİVASLI / UŞAK</t>
  </si>
  <si>
    <t>EŞME / UŞAK</t>
  </si>
  <si>
    <t>KAYTAZDERE / YALOVA</t>
  </si>
  <si>
    <t>YENİFAKILI / YOZGAT</t>
  </si>
  <si>
    <t>ÇAYIRALAN / YOZGAT</t>
  </si>
  <si>
    <t>KARAYAKUP / YOZGAT</t>
  </si>
  <si>
    <t>ŞEFAATLİ / YOZGAT</t>
  </si>
  <si>
    <t>YERKÖY / YOZGAT</t>
  </si>
  <si>
    <t>GÜLÜÇ / ZONGULDAK</t>
  </si>
  <si>
    <t>YENİPAZAR</t>
  </si>
  <si>
    <t>SİNANPAŞA</t>
  </si>
  <si>
    <t>SALAR</t>
  </si>
  <si>
    <t>AHLAT</t>
  </si>
  <si>
    <t>ABANA</t>
  </si>
  <si>
    <t>ALTUNHİSAR</t>
  </si>
  <si>
    <t>ÇEMİŞGEZEK</t>
  </si>
  <si>
    <t>ELDİVAN</t>
  </si>
  <si>
    <t>İLİÇ</t>
  </si>
  <si>
    <t>ÜSKÜP</t>
  </si>
  <si>
    <t>SARAYKENT</t>
  </si>
  <si>
    <t>AMASRA</t>
  </si>
  <si>
    <t>KARAYAKA</t>
  </si>
  <si>
    <t>KURUCAŞİLE</t>
  </si>
  <si>
    <t>GEMEREK</t>
  </si>
  <si>
    <t>YAYLABAĞI</t>
  </si>
  <si>
    <t>ALPULLU</t>
  </si>
  <si>
    <t>TAŞKESTİ</t>
  </si>
  <si>
    <t>ATKARACALAR</t>
  </si>
  <si>
    <t>DELİCE</t>
  </si>
  <si>
    <t>BÖLME</t>
  </si>
  <si>
    <t>KESKİN</t>
  </si>
  <si>
    <t>MALAZGİRT</t>
  </si>
  <si>
    <t>ESKİL / AKSARAY</t>
  </si>
  <si>
    <t>KURUCAŞİLE / BARTIN</t>
  </si>
  <si>
    <t>AHLAT / BİTLİS</t>
  </si>
  <si>
    <t>GÜROYMAK / BİTLİS</t>
  </si>
  <si>
    <t>TAŞKESTİ / BOLU</t>
  </si>
  <si>
    <t>AĞLASUN / BURDUR</t>
  </si>
  <si>
    <t>EVREŞE / ÇANAKKALE</t>
  </si>
  <si>
    <t>ELDİVAN / ÇANKIRI</t>
  </si>
  <si>
    <t>ATKARACALAR / ÇANKIRI</t>
  </si>
  <si>
    <t>ÇARDAKLI / ÇANKIRI</t>
  </si>
  <si>
    <t>KIZILIRMAK / ÇANKIRI</t>
  </si>
  <si>
    <t>ORTAKÖY / ÇORUM</t>
  </si>
  <si>
    <t>İLİÇ / ERZİNCAN</t>
  </si>
  <si>
    <t>YAĞLIDERE / GİRESUN</t>
  </si>
  <si>
    <t>KELKİT / GÜMÜŞHANE</t>
  </si>
  <si>
    <t>KÜRTÜN / GÜMÜŞHANE</t>
  </si>
  <si>
    <t>DADAY / KASTAMONU</t>
  </si>
  <si>
    <t>MALAZGİRT / MUŞ</t>
  </si>
  <si>
    <t>ERFELEK / SİNOP</t>
  </si>
  <si>
    <t>ÇEMİŞGEZEK / TUNCELİ</t>
  </si>
  <si>
    <t>KARAHALLI / UŞAK</t>
  </si>
  <si>
    <t>BÖLME / UŞAK</t>
  </si>
  <si>
    <t>AKDAĞMADENİ / YOZGAT</t>
  </si>
  <si>
    <t>SARAYKENT / YOZGAT</t>
  </si>
  <si>
    <t>ÇANDIR / YOZGAT</t>
  </si>
  <si>
    <t>AYDINCIK / YOZGAT</t>
  </si>
  <si>
    <t>ORMANLI / ZONGULDAK</t>
  </si>
  <si>
    <t>TR550001000688129756625001</t>
  </si>
  <si>
    <t>TR620001001037065795665002</t>
  </si>
  <si>
    <t>TR410001001037065795655001</t>
  </si>
  <si>
    <t>TR140001001399270210805001</t>
  </si>
  <si>
    <t>TR430001000650526997795001</t>
  </si>
  <si>
    <t>TR150001000250259339485001</t>
  </si>
  <si>
    <t>TR930001000155126047095002</t>
  </si>
  <si>
    <t>TR490001000631270370995009</t>
  </si>
  <si>
    <t>TR700001001652067233905003</t>
  </si>
  <si>
    <t>TR400001200979000007000001</t>
  </si>
  <si>
    <t>TR780001200152400007000004</t>
  </si>
  <si>
    <t>KORDON</t>
  </si>
  <si>
    <t>TR430001000813121575945002</t>
  </si>
  <si>
    <t>TR210001000076114502165001</t>
  </si>
  <si>
    <t>TR350001000576090701455001</t>
  </si>
  <si>
    <t>TR110001500158007272689107</t>
  </si>
  <si>
    <t>TR530001000489275030285002</t>
  </si>
  <si>
    <t>TR170001000959057713255001</t>
  </si>
  <si>
    <t>TR600001000359074832385002</t>
  </si>
  <si>
    <t>TR370001000660407413065001</t>
  </si>
  <si>
    <t>KARADENİZ EREĞLİ</t>
  </si>
  <si>
    <t>TR400001200980700007000013</t>
  </si>
  <si>
    <t>TR610001200980700007000023</t>
  </si>
  <si>
    <t>TR640001001707055201355001</t>
  </si>
  <si>
    <t>TR730001000517325702855001</t>
  </si>
  <si>
    <t>TR530001500158007290516660</t>
  </si>
  <si>
    <t>TR900001000786067327855001</t>
  </si>
  <si>
    <t>ORGANİZE SANAYİ</t>
  </si>
  <si>
    <t>TR390001200918900007000017</t>
  </si>
  <si>
    <t>TR600001001378137194305001</t>
  </si>
  <si>
    <t>TR490001001345075437105001</t>
  </si>
  <si>
    <t>TR480001001667273841035001</t>
  </si>
  <si>
    <t>TR660001000303270971425001</t>
  </si>
  <si>
    <t>TR920001000354292987395001</t>
  </si>
  <si>
    <t>TR250001000440292857965001</t>
  </si>
  <si>
    <t>TR290001000256363568605001</t>
  </si>
  <si>
    <t>TR880001000521282298605001</t>
  </si>
  <si>
    <t>DİGOR</t>
  </si>
  <si>
    <t>KÜRE</t>
  </si>
  <si>
    <t>HİSARCIK</t>
  </si>
  <si>
    <t>DİYADİN</t>
  </si>
  <si>
    <t>GÜZELYURT</t>
  </si>
  <si>
    <t>YILDIZELİ</t>
  </si>
  <si>
    <t>EMET</t>
  </si>
  <si>
    <t>GÜCE</t>
  </si>
  <si>
    <t>SÜLOĞLU</t>
  </si>
  <si>
    <t>ÇAYDEĞİRMENİ</t>
  </si>
  <si>
    <t>UMURBEY</t>
  </si>
  <si>
    <t>ACIGÖL</t>
  </si>
  <si>
    <t>BASKİL</t>
  </si>
  <si>
    <t>SELİM</t>
  </si>
  <si>
    <t>AĞLI</t>
  </si>
  <si>
    <t>MUSABEYLİ</t>
  </si>
  <si>
    <t>KARAKEÇİLİ</t>
  </si>
  <si>
    <t>ŞENYURT</t>
  </si>
  <si>
    <t>BÜYÜKKABACA</t>
  </si>
  <si>
    <t>TATAR</t>
  </si>
  <si>
    <t>ELEŞKİRT</t>
  </si>
  <si>
    <t>KIBRISCIK</t>
  </si>
  <si>
    <t>SUMBAS</t>
  </si>
  <si>
    <t>KAZANCI</t>
  </si>
  <si>
    <t>GÖKÇESU</t>
  </si>
  <si>
    <t>KAVAK</t>
  </si>
  <si>
    <t>LAÇİN</t>
  </si>
  <si>
    <t>ULUBEY</t>
  </si>
  <si>
    <t>ATALAN</t>
  </si>
  <si>
    <t>SİVRİCE</t>
  </si>
  <si>
    <t>KORKUT</t>
  </si>
  <si>
    <t>EVRENSEKİZ</t>
  </si>
  <si>
    <t>KÜPLÜ</t>
  </si>
  <si>
    <t>YAZIHÜYÜK</t>
  </si>
  <si>
    <t>BAĞLIKAYA</t>
  </si>
  <si>
    <t>VARTO</t>
  </si>
  <si>
    <t>DİYADİN / AĞRI</t>
  </si>
  <si>
    <t>TR340001000479269654835001</t>
  </si>
  <si>
    <t>TR590001000417323361075001</t>
  </si>
  <si>
    <t>GÜZELYURT / AKSARAY</t>
  </si>
  <si>
    <t>TR100001001442253509515001</t>
  </si>
  <si>
    <t>BAĞLIKAYA / AKSARAY</t>
  </si>
  <si>
    <t>TR170001000026365870715001</t>
  </si>
  <si>
    <t>MERKEZ / ARDAHAN</t>
  </si>
  <si>
    <t>TR360001000149264726775001</t>
  </si>
  <si>
    <t>YENİPAZAR / BİLECİK</t>
  </si>
  <si>
    <t>TR190001001434279367285001</t>
  </si>
  <si>
    <t>ULUS / BARTIN</t>
  </si>
  <si>
    <t>TR400001000291095923825001</t>
  </si>
  <si>
    <t>AMASRA / BARTIN</t>
  </si>
  <si>
    <t>TR320001500158007299250239</t>
  </si>
  <si>
    <t>YEŞİLOVA / BURDUR</t>
  </si>
  <si>
    <t>TR340001000372333551985001</t>
  </si>
  <si>
    <t>YENİCE / ÇANAKKALE</t>
  </si>
  <si>
    <t>TR280001000405378341315001</t>
  </si>
  <si>
    <t>UMURBEY / ÇANAKKALE</t>
  </si>
  <si>
    <t>TR840001000075111283255001</t>
  </si>
  <si>
    <t>LAÇİN / ÇORUM</t>
  </si>
  <si>
    <t>TR530001000078309681365001</t>
  </si>
  <si>
    <t>SÜLOĞLU / EDİRNE</t>
  </si>
  <si>
    <t>GÜCE / GİRESUN</t>
  </si>
  <si>
    <t>TR280001001718255837665001</t>
  </si>
  <si>
    <t>YAVUZKEMAL / GİRESUN</t>
  </si>
  <si>
    <t>TR360001000602252728575001</t>
  </si>
  <si>
    <t>SİVRİCE / ELAZIĞ</t>
  </si>
  <si>
    <t>TR930001000541086054315008</t>
  </si>
  <si>
    <t>BASKİL / ELAZIĞ</t>
  </si>
  <si>
    <t>TR340001000355250965405001</t>
  </si>
  <si>
    <t>ATABEY / ISPARTA</t>
  </si>
  <si>
    <t>TR700001000652374090115002</t>
  </si>
  <si>
    <t>SENİRKENT / ISPARTA</t>
  </si>
  <si>
    <t>TR390001000433323863045002</t>
  </si>
  <si>
    <t>AKSU / ISPARTA</t>
  </si>
  <si>
    <t>TR380001001046288818585001</t>
  </si>
  <si>
    <t>BÜYÜKKABACA / ISPARTA</t>
  </si>
  <si>
    <t>TR320001000134323863195005</t>
  </si>
  <si>
    <t>TR230001200135400007000001</t>
  </si>
  <si>
    <t>ABANA / KASTAMONU</t>
  </si>
  <si>
    <t>TR970001000738270195535001</t>
  </si>
  <si>
    <t>DİGOR / KARS</t>
  </si>
  <si>
    <t>TR920001000608271219525001</t>
  </si>
  <si>
    <t>AKYAKA / KARS</t>
  </si>
  <si>
    <t>TR980001000883068619735001</t>
  </si>
  <si>
    <t>SELİM / KARS</t>
  </si>
  <si>
    <t>TR680001000674273935355002</t>
  </si>
  <si>
    <t>KESKİN / KIRIKKALE</t>
  </si>
  <si>
    <t>TÜRK EKONOMİ BANKASI</t>
  </si>
  <si>
    <t>DELİCE / KIRIKKALE</t>
  </si>
  <si>
    <t>TR390001000658138797395001</t>
  </si>
  <si>
    <t>KOFÇAZ / KIRKLARELİ</t>
  </si>
  <si>
    <t>TR400001000676057479765002</t>
  </si>
  <si>
    <t>AHMETBEY / KIRKLARELİ</t>
  </si>
  <si>
    <t>TR750001000103085704165001</t>
  </si>
  <si>
    <t>BÜYÜKKARIŞTIRAN / KIRKLARELİ</t>
  </si>
  <si>
    <t>TR530001000103085704065002</t>
  </si>
  <si>
    <t>ÜSKÜP / KIRKLARELİ</t>
  </si>
  <si>
    <t>EVRENSEKİZ / KIRKLARELİ</t>
  </si>
  <si>
    <t>TR960001000103085703745001</t>
  </si>
  <si>
    <t>HİSARCIK / KÜTAHYA</t>
  </si>
  <si>
    <t>TR460001000873310933905001</t>
  </si>
  <si>
    <t>EMET / KÜTAHYA</t>
  </si>
  <si>
    <t>TR360001000282303734295001</t>
  </si>
  <si>
    <t>ACIGÖL / NEVŞEHİR</t>
  </si>
  <si>
    <t>TR230001001382282464825001</t>
  </si>
  <si>
    <t>VARTO / MUŞ</t>
  </si>
  <si>
    <t>TR790001000434082527915001</t>
  </si>
  <si>
    <t>ÇEKEREK / YOZGAT</t>
  </si>
  <si>
    <t>TR060001000368346448055001</t>
  </si>
  <si>
    <t>TR460006400000159500141349</t>
  </si>
  <si>
    <t>ŞENYURT / TOKAT</t>
  </si>
  <si>
    <t>TR760013400000680664100002</t>
  </si>
  <si>
    <t>KARAYAKA / TOKAT</t>
  </si>
  <si>
    <t>TR420001500158007282083678</t>
  </si>
  <si>
    <t>TR420001000538117281965001</t>
  </si>
  <si>
    <t>ESENKÖY / YALOVA</t>
  </si>
  <si>
    <t>TR550001200936300007000023</t>
  </si>
  <si>
    <t>ÇAYDEĞİRMENİ / ZONGULDAK</t>
  </si>
  <si>
    <t>TR730001000053386129455001</t>
  </si>
  <si>
    <t>TR850001000634065410195001</t>
  </si>
  <si>
    <t>GEMEREK / SİVAS</t>
  </si>
  <si>
    <t>YENİÇUBUK</t>
  </si>
  <si>
    <t>TR950001001065273393705008</t>
  </si>
  <si>
    <t>YILDIZELİ / SİVAS</t>
  </si>
  <si>
    <t>TR760001000237265974865001</t>
  </si>
  <si>
    <t>ALTINYAYLA / SİVAS</t>
  </si>
  <si>
    <t>TR700001001664287456975001</t>
  </si>
  <si>
    <t>TR830001000491066018825001</t>
  </si>
  <si>
    <t>ULUBEY / UŞAK</t>
  </si>
  <si>
    <t>TATAR / UŞAK</t>
  </si>
  <si>
    <t>TR560001000536311699435001</t>
  </si>
  <si>
    <t>TR110001200978300013000008</t>
  </si>
  <si>
    <t>HASANKEYF</t>
  </si>
  <si>
    <t>AKÇAŞEHİR</t>
  </si>
  <si>
    <t>İMRANLI</t>
  </si>
  <si>
    <t>KOYULHİSAR</t>
  </si>
  <si>
    <t>ULUDERE</t>
  </si>
  <si>
    <t>ARALIK</t>
  </si>
  <si>
    <t>ARDANUÇ</t>
  </si>
  <si>
    <t>ŞENPAZAR</t>
  </si>
  <si>
    <t>ELEŞKİRT / AĞRI</t>
  </si>
  <si>
    <t>ARDANUÇ / ARTVİN</t>
  </si>
  <si>
    <t>HASANKEYF / BATMAN</t>
  </si>
  <si>
    <t>GÖKÇESU / BOLU</t>
  </si>
  <si>
    <t>KIBRISCIK / BOLU</t>
  </si>
  <si>
    <t>KÜPLÜ / EDİRNE</t>
  </si>
  <si>
    <t>ARALIK / IĞDIR</t>
  </si>
  <si>
    <t>AKÇAŞEHİR / KARAMAN</t>
  </si>
  <si>
    <t>KAZANCI / KARAMAN</t>
  </si>
  <si>
    <t>AĞLI / KASTAMONU</t>
  </si>
  <si>
    <t>KÜRE / KASTAMONU</t>
  </si>
  <si>
    <t>ŞENPAZAR / KASTAMONU</t>
  </si>
  <si>
    <t>KARAKEÇİLİ / KIRIKKALE</t>
  </si>
  <si>
    <t>ALPULLU / KIRKLARELİ</t>
  </si>
  <si>
    <t>MUSABEYLİ / KİLİS</t>
  </si>
  <si>
    <t>YAZIHÜYÜK / NEVŞEHİR</t>
  </si>
  <si>
    <t>ATALAN / OSMANİYE</t>
  </si>
  <si>
    <t>İMRANLI / SİVAS</t>
  </si>
  <si>
    <t>KOYULHİSAR / SİVAS</t>
  </si>
  <si>
    <t>ULUDERE / ŞIRNAK</t>
  </si>
  <si>
    <t>PINARBAŞI / UŞAK</t>
  </si>
  <si>
    <t>KİLİMLİ / ZONGULDAK</t>
  </si>
  <si>
    <t>TR200001000569458451885001</t>
  </si>
  <si>
    <t>TR040001000427124545245002</t>
  </si>
  <si>
    <t>TR280001000557312151495001</t>
  </si>
  <si>
    <t>HALKBANKASI</t>
  </si>
  <si>
    <t>TR900001200925800007000015</t>
  </si>
  <si>
    <t>TR280001000655058320545002</t>
  </si>
  <si>
    <t>TR240001000519077835205001</t>
  </si>
  <si>
    <t>TR090001000669117535085007</t>
  </si>
  <si>
    <t xml:space="preserve">KARAMAN </t>
  </si>
  <si>
    <t>TR740001000177356845575001</t>
  </si>
  <si>
    <t>TR670001200947900007000003</t>
  </si>
  <si>
    <t>TR420001002531093486845015</t>
  </si>
  <si>
    <t>TR650001000311094844975001</t>
  </si>
  <si>
    <t>TR340001001316277644785001</t>
  </si>
  <si>
    <t>TR580001200132500007000001</t>
  </si>
  <si>
    <t>TR480001000438093486295001</t>
  </si>
  <si>
    <t>TR030001200955400007000004</t>
  </si>
  <si>
    <t>TR450001000393121218245001</t>
  </si>
  <si>
    <t>TR650001000419395608815001</t>
  </si>
  <si>
    <t>TR690001000659297857555001</t>
  </si>
  <si>
    <t>TR400001000536311699755001</t>
  </si>
  <si>
    <t>TR920001000454109055935002</t>
  </si>
  <si>
    <t>TR180001001284066629955003</t>
  </si>
  <si>
    <t>TR360001002539301475975009</t>
  </si>
  <si>
    <t>TR680001000367268800095001</t>
  </si>
  <si>
    <t>TR280001000723082849145002</t>
  </si>
  <si>
    <t>TR700001000744306243635002</t>
  </si>
  <si>
    <t>TR130001000292254680545001</t>
  </si>
  <si>
    <t>TR030001000381088842315021</t>
  </si>
  <si>
    <t>TR910013400000582869800003</t>
  </si>
  <si>
    <t>TR780001001714251932095004</t>
  </si>
  <si>
    <t>BAYKAN</t>
  </si>
  <si>
    <t>HASANBEYLİ</t>
  </si>
  <si>
    <t>KORKUT / MUŞ</t>
  </si>
  <si>
    <t>HASANBEYLİ / OSMANİYE</t>
  </si>
  <si>
    <t>BAYKAN / SİİRT</t>
  </si>
  <si>
    <t>TR440001200969700007000006</t>
  </si>
  <si>
    <t>TR300001000664082728655001</t>
  </si>
  <si>
    <t>TR930001200916800007000023</t>
  </si>
  <si>
    <t>GÖRE</t>
  </si>
  <si>
    <t>GÖRE / NEVŞEHİR</t>
  </si>
  <si>
    <t>ALTUNHİSAR / NİĞDE</t>
  </si>
  <si>
    <t>TR110001000979277707725001</t>
  </si>
  <si>
    <t>TR020001500158007277182891</t>
  </si>
  <si>
    <t>TR960001000095279274145011</t>
  </si>
  <si>
    <t>HAFİK</t>
  </si>
  <si>
    <t>PERVARİ</t>
  </si>
  <si>
    <t>ARTOVA</t>
  </si>
  <si>
    <t>DOĞANKENT</t>
  </si>
  <si>
    <t>EFLANİ</t>
  </si>
  <si>
    <t>YAZIKONAK</t>
  </si>
  <si>
    <t>YENİŞARBADEMLİ</t>
  </si>
  <si>
    <t>DOĞANKENT / YOZGAT</t>
  </si>
  <si>
    <t>HAFİK / SİVAS</t>
  </si>
  <si>
    <t>PERVARİ / SİİRT</t>
  </si>
  <si>
    <t>GÖLHİSAR / BURDUR</t>
  </si>
  <si>
    <t>ÇARDAK / ÇANAKKALE</t>
  </si>
  <si>
    <t>YAZIKONAK / ELAZIĞ</t>
  </si>
  <si>
    <t>DOĞANKENT / GİRESUN</t>
  </si>
  <si>
    <t>YENİŞARBADEMLİ / ISPARTA</t>
  </si>
  <si>
    <t>TR290001000455339381485001</t>
  </si>
  <si>
    <t>TR870001000075111283195001</t>
  </si>
  <si>
    <t>TR970001001701252084515001</t>
  </si>
  <si>
    <t>TR120001000186346980005009</t>
  </si>
  <si>
    <t>TR840001001307067935875014</t>
  </si>
  <si>
    <t>TR370001000267266632285001</t>
  </si>
  <si>
    <t>TR200013400000502342900001</t>
  </si>
  <si>
    <t>TR740001200122800007000004</t>
  </si>
  <si>
    <t>TR350001000509082786205001</t>
  </si>
  <si>
    <t>TR520001000663132730585001</t>
  </si>
  <si>
    <t>ŞEMDİNLİ</t>
  </si>
  <si>
    <t>TUT</t>
  </si>
  <si>
    <t>GÖYNÜCEK</t>
  </si>
  <si>
    <t>ÇILDIR</t>
  </si>
  <si>
    <t>KEBAN</t>
  </si>
  <si>
    <t>YELEĞEN</t>
  </si>
  <si>
    <t>YELEĞEN / UŞAK</t>
  </si>
  <si>
    <t>ARTOVA / TOKAT</t>
  </si>
  <si>
    <t>ŞEMDİNLİ / HAKKARİ</t>
  </si>
  <si>
    <t>KEBAN / ELAZIĞ</t>
  </si>
  <si>
    <t>ÇILDIR / ARDAHAN</t>
  </si>
  <si>
    <t>TUT / ADIYAMAN</t>
  </si>
  <si>
    <t>TR390001200125600007000009</t>
  </si>
  <si>
    <t>TR470001000356347424355013</t>
  </si>
  <si>
    <t>TR840001200955400007000001</t>
  </si>
  <si>
    <t>TR650001200978300013000006</t>
  </si>
  <si>
    <t>TR320001000649265107555001</t>
  </si>
  <si>
    <t>TR820001000408302677265002</t>
  </si>
  <si>
    <t>TR180001000349055731895001</t>
  </si>
  <si>
    <t>AKÇAKENT</t>
  </si>
  <si>
    <t>YOĞURTLU</t>
  </si>
  <si>
    <t>TORUL</t>
  </si>
  <si>
    <t>HOZAT</t>
  </si>
  <si>
    <t>GÜLAĞAÇ / AKSARAY</t>
  </si>
  <si>
    <t>YOĞURTLU / ERZİNCAN</t>
  </si>
  <si>
    <t>EFLANİ / KARABÜK</t>
  </si>
  <si>
    <t>AKÇAKENT / KIRŞEHİR</t>
  </si>
  <si>
    <t>HOZAT / TUNCELİ</t>
  </si>
  <si>
    <t>TR080001001739075314725001</t>
  </si>
  <si>
    <t>TR480001200934400007000050</t>
  </si>
  <si>
    <t>TR810001000347076287525001</t>
  </si>
  <si>
    <t>TR930001000508132112295001</t>
  </si>
  <si>
    <t>TR320013400000539612000001</t>
  </si>
  <si>
    <t>YAYGIN</t>
  </si>
  <si>
    <t>SIRÇALI</t>
  </si>
  <si>
    <t>SALTUKOVA</t>
  </si>
  <si>
    <t>TAŞPINAR</t>
  </si>
  <si>
    <t>DURANKAYA</t>
  </si>
  <si>
    <t>SALTUKOVA / ZONGULDAK</t>
  </si>
  <si>
    <t>SIRÇALI / YOZGAT</t>
  </si>
  <si>
    <t>YEŞİLYURT / TOKAT</t>
  </si>
  <si>
    <t>YAYGIN / MUŞ</t>
  </si>
  <si>
    <t>TORUL / GÜMÜŞHANE</t>
  </si>
  <si>
    <t>AKYAZI / ERZİNCAN</t>
  </si>
  <si>
    <t>TAŞPINAR / AKSARAY</t>
  </si>
  <si>
    <t>GÖYNÜCEK / AMASYA</t>
  </si>
  <si>
    <t>TR100001000026366011505001</t>
  </si>
  <si>
    <t>TR320001000543139250555001</t>
  </si>
  <si>
    <t>TR630001000286095130075001</t>
  </si>
  <si>
    <t>TR860001500158007284036854</t>
  </si>
  <si>
    <t>TR740001000774128171445001</t>
  </si>
  <si>
    <t>TR960001000260316974925001</t>
  </si>
  <si>
    <t>TR400001000095291539525001</t>
  </si>
  <si>
    <t>TR570001001298122061205001</t>
  </si>
  <si>
    <t>ERZİNCAN MERKEZ</t>
  </si>
  <si>
    <t>DURANKAYA / HAKKARİ</t>
  </si>
  <si>
    <t>KÖSE</t>
  </si>
  <si>
    <t>MAZGİRT</t>
  </si>
  <si>
    <t>TEŞVİKİYE</t>
  </si>
  <si>
    <t>KILINÇARSLAN</t>
  </si>
  <si>
    <t>BAHÇELİ</t>
  </si>
  <si>
    <t>BEĞENDİK</t>
  </si>
  <si>
    <t>TEŞVİKİYE / YALOVA</t>
  </si>
  <si>
    <t>MAZGİRT / TUNCELİ</t>
  </si>
  <si>
    <t>KÖSE / GÜMÜŞHANE</t>
  </si>
  <si>
    <t>TR690001000517325702935001</t>
  </si>
  <si>
    <t>TR440001200936300007000027</t>
  </si>
  <si>
    <t>TR080001001313252580025001</t>
  </si>
  <si>
    <t>TR480001000358086951535004</t>
  </si>
  <si>
    <t>TR180001000759082908765014</t>
  </si>
  <si>
    <t xml:space="preserve">YENİFAKILI </t>
  </si>
  <si>
    <t>TR950001200933900007000005</t>
  </si>
  <si>
    <t>TR150001200122500007000014</t>
  </si>
  <si>
    <t>Kullanıcı</t>
  </si>
  <si>
    <t>TAŞLIÇAY</t>
  </si>
  <si>
    <t>DÜVECİ</t>
  </si>
  <si>
    <t>AYDINDERE</t>
  </si>
  <si>
    <t>AKTAŞ</t>
  </si>
  <si>
    <t>BÜYÜKKÖY</t>
  </si>
  <si>
    <t>BEREKETLİ</t>
  </si>
  <si>
    <t>BEREKETLİ / TOKAT</t>
  </si>
  <si>
    <t>AKTAŞ / NİĞDE</t>
  </si>
  <si>
    <t>TAŞLIÇAY / AĞRI</t>
  </si>
  <si>
    <t>TR750001500158007292338506</t>
  </si>
  <si>
    <t>TR570001000523265734855001</t>
  </si>
  <si>
    <t>TR190001000214379743625001</t>
  </si>
  <si>
    <t>TR440001200978900004000015</t>
  </si>
  <si>
    <t>TR600001200139500007000003</t>
  </si>
  <si>
    <t>TR690001500158007290309083</t>
  </si>
  <si>
    <t>YÜZÜNCÜ YIL</t>
  </si>
  <si>
    <t>GEBECELER</t>
  </si>
  <si>
    <t>TINAZTEPE</t>
  </si>
  <si>
    <t>PAZARKÖY</t>
  </si>
  <si>
    <t>ÇAĞLAYAN</t>
  </si>
  <si>
    <t>DUROĞLU</t>
  </si>
  <si>
    <t>SOĞUKPINAR</t>
  </si>
  <si>
    <t>ÇİÇEKPINAR</t>
  </si>
  <si>
    <t>BÖCEKLİ</t>
  </si>
  <si>
    <t>GÖKÇEBAĞ</t>
  </si>
  <si>
    <t xml:space="preserve">SİNANPAŞA </t>
  </si>
  <si>
    <t>DUROĞLU / GİRESUN</t>
  </si>
  <si>
    <t>SOĞUKPINAR / GİRESUN</t>
  </si>
  <si>
    <t>PAZARKÖY / BOLU</t>
  </si>
  <si>
    <t>GÖKÇEBAĞ / SİİRT</t>
  </si>
  <si>
    <t>BÖCEKLİ / OSMANİYE</t>
  </si>
  <si>
    <t>ÇİÇEKPINAR / ISPARTA</t>
  </si>
  <si>
    <t>TR240001000517325702865001</t>
  </si>
  <si>
    <t>TR850001000123386574975001</t>
  </si>
  <si>
    <t>TR650001000577261282305001</t>
  </si>
  <si>
    <t>TR040001000135322857275001</t>
  </si>
  <si>
    <t>ŞARKİKARAĞAÇ</t>
  </si>
  <si>
    <t>TR770006400000160310341051</t>
  </si>
  <si>
    <t>SİİRT MERKEZ</t>
  </si>
  <si>
    <t>TR630006400000187000348173</t>
  </si>
  <si>
    <t>TR310001500158007302817044</t>
  </si>
  <si>
    <t>BEKİRHAN</t>
  </si>
  <si>
    <t>DÜVENCİ</t>
  </si>
  <si>
    <t>BEKİRHAN / BATMAN</t>
  </si>
  <si>
    <t>DÜVENCİ / ÇORUM</t>
  </si>
  <si>
    <t>BAHÇELİ / NİĞDE</t>
  </si>
  <si>
    <t>TR340001000216337765925001</t>
  </si>
  <si>
    <t>TR150001200931200007000028</t>
  </si>
  <si>
    <t>BEYYAZI</t>
  </si>
  <si>
    <t>DOĞANTEPE</t>
  </si>
  <si>
    <t>HASANKADI</t>
  </si>
  <si>
    <t>KUMKALE</t>
  </si>
  <si>
    <t>DULKADİRLİ</t>
  </si>
  <si>
    <t>AVLUNLAR</t>
  </si>
  <si>
    <t>ÇAĞLAYAN / ERZİNCAN</t>
  </si>
  <si>
    <t>DÜVECİ / ÇORUM</t>
  </si>
  <si>
    <t>TR470001500158007283302490</t>
  </si>
  <si>
    <t>BAYIRKÖY</t>
  </si>
  <si>
    <t>ESENLİ</t>
  </si>
  <si>
    <t>AYDINDERE / GİRESUN</t>
  </si>
  <si>
    <t>TR980001000248293399485002</t>
  </si>
  <si>
    <t>TR760001000328267752885001</t>
  </si>
  <si>
    <t>TR720001200916800007000013</t>
  </si>
  <si>
    <t>BAYIRKÖY / BİLECİK</t>
  </si>
  <si>
    <t>TR570001002303383688835011</t>
  </si>
  <si>
    <t>TR680001000118387963555001</t>
  </si>
  <si>
    <t>TR200001200968600007000008</t>
  </si>
  <si>
    <t>HAYDARLI</t>
  </si>
  <si>
    <t>HAMAMÖZÜ</t>
  </si>
  <si>
    <t>ARAPLI</t>
  </si>
  <si>
    <t>BALIKÖY</t>
  </si>
  <si>
    <t>HAMAMÖZÜ / AMASYA</t>
  </si>
  <si>
    <t>TR690020900000068633000001</t>
  </si>
  <si>
    <t>TR410001000023329049525001</t>
  </si>
  <si>
    <t>TR130001001710251351295003</t>
  </si>
  <si>
    <t>TR590001500158007302211163</t>
  </si>
  <si>
    <t>ZİRAAT KATILIM BANKASI</t>
  </si>
  <si>
    <t>BOYALICA</t>
  </si>
  <si>
    <t>TAVŞANLI / YALOVA</t>
  </si>
  <si>
    <t>ÇAT / NEVŞEHİR</t>
  </si>
  <si>
    <t>BALIKÖY / KÜTAHYA</t>
  </si>
  <si>
    <t>TR100001000021364301565001</t>
  </si>
  <si>
    <t>TR670001001707055201295001</t>
  </si>
  <si>
    <t>TR900001200968600007000009</t>
  </si>
  <si>
    <t>TR900001000181335974405001</t>
  </si>
  <si>
    <t>TR750001000025326349635019</t>
  </si>
  <si>
    <t>KONUKBEKLER</t>
  </si>
  <si>
    <t>DOĞANŞAR</t>
  </si>
  <si>
    <t>KAT</t>
  </si>
  <si>
    <t>BALİKÖY</t>
  </si>
  <si>
    <t>DOĞANŞAR / SİVAS</t>
  </si>
  <si>
    <t>KONUKBEKLER / MUŞ</t>
  </si>
  <si>
    <t>BALİKÖY / KÜTAHYA</t>
  </si>
  <si>
    <t>HASANKADI / BARTIN</t>
  </si>
  <si>
    <t>TR120001001663251685345001</t>
  </si>
  <si>
    <t>TR680001200968500007000022</t>
  </si>
  <si>
    <t>TR590001200925300007000016</t>
  </si>
  <si>
    <t>KARICIK</t>
  </si>
  <si>
    <t>KULEÖNÜ</t>
  </si>
  <si>
    <t>KEMERHİSAR / NİĞDE</t>
  </si>
  <si>
    <t>KOZLUCA</t>
  </si>
  <si>
    <t>TEKİRDAĞ BÜYÜKŞEHİR</t>
  </si>
  <si>
    <t>KULEÖNÜ / ISPARTA</t>
  </si>
  <si>
    <t>TEKİRDAĞ BÜYÜKŞEHİR / TEKİRDAĞ</t>
  </si>
  <si>
    <t>TR880001000132362951035001</t>
  </si>
  <si>
    <t>ŞAMBAYAT</t>
  </si>
  <si>
    <t>BÜYÜKKALECİK</t>
  </si>
  <si>
    <t>ASLANAPA</t>
  </si>
  <si>
    <t>ŞAMBAYAT / ADIYAMAN</t>
  </si>
  <si>
    <t>ASLANAPA / KÜTAHYA</t>
  </si>
  <si>
    <t>TEPECİK / KÜTAHYA</t>
  </si>
  <si>
    <t>TR610001500158007292262225</t>
  </si>
  <si>
    <t>TR300001000876290986655001</t>
  </si>
  <si>
    <t>TR760001000181335973715001</t>
  </si>
  <si>
    <t>TR310001200918200007000099</t>
  </si>
  <si>
    <t>KILIÇLAR</t>
  </si>
  <si>
    <t>SUNGU</t>
  </si>
  <si>
    <t>BAYDARLI</t>
  </si>
  <si>
    <t>SUNGU / MUŞ</t>
  </si>
  <si>
    <t>BAYDARLI / TOKAT</t>
  </si>
  <si>
    <t>AVLUNLAR / TOKAT</t>
  </si>
  <si>
    <t>TR880001000246290777025001</t>
  </si>
  <si>
    <t>TR510001200968500007000037</t>
  </si>
  <si>
    <t>MUŞ MERKEZ</t>
  </si>
  <si>
    <t>TR330001200139500007000004</t>
  </si>
  <si>
    <t>OĞUZLAR</t>
  </si>
  <si>
    <t>ORTAHİSAR</t>
  </si>
  <si>
    <t>BÜYÜK MANDIRA</t>
  </si>
  <si>
    <t>ORTAHİSAR / NEVŞEHİR</t>
  </si>
  <si>
    <t>TR880001500158007297578406</t>
  </si>
  <si>
    <t>YEŞİLGÖLCÜK</t>
  </si>
  <si>
    <t>OĞUZLAR / ÇORUM</t>
  </si>
  <si>
    <t>BÜYÜKKÖY / RİZE</t>
  </si>
  <si>
    <t>YEŞİLGÖLCÜK / NİĞDE</t>
  </si>
  <si>
    <t>TR910001001657070309295001</t>
  </si>
  <si>
    <t>TR450001000214379743105001</t>
  </si>
  <si>
    <t>TR460001000342320403445001</t>
  </si>
  <si>
    <t>ÇAKIRHÜYÜK</t>
  </si>
  <si>
    <t>ÇAKIRHÜYÜK / ADIYAMAN</t>
  </si>
  <si>
    <t>TR260001002354312377465045</t>
  </si>
  <si>
    <t>TR840001200918200004000002</t>
  </si>
  <si>
    <t>SAV</t>
  </si>
  <si>
    <t>SARIVELİLER</t>
  </si>
  <si>
    <t>TUNCA</t>
  </si>
  <si>
    <t>SAV / ISPARTA</t>
  </si>
  <si>
    <t>SARIVELİLER / KARAMAN</t>
  </si>
  <si>
    <t>TUNCA / RİZE</t>
  </si>
  <si>
    <t>TR510001000132362951015006</t>
  </si>
  <si>
    <t>ISPARTA MERKEZ</t>
  </si>
  <si>
    <t>TR070001200139200007000002</t>
  </si>
  <si>
    <t>TR470001000473268962975001</t>
  </si>
  <si>
    <t>KAVAK / NEVŞEHİR</t>
  </si>
  <si>
    <t>TR700003200000000014121279</t>
  </si>
  <si>
    <t>HANAK</t>
  </si>
  <si>
    <t>GÖLOVA</t>
  </si>
  <si>
    <t>GÖLOVA / SİVAS</t>
  </si>
  <si>
    <t>TR870001000233347765375001</t>
  </si>
  <si>
    <t>TR850001500158007270523996</t>
  </si>
  <si>
    <t>ÖZBURUN</t>
  </si>
  <si>
    <t>DURAĞAN</t>
  </si>
  <si>
    <t>HANAK / ARDAHAN</t>
  </si>
  <si>
    <t>DURAĞAN / SİNOP</t>
  </si>
  <si>
    <t>KEMEHİSAR</t>
  </si>
  <si>
    <t>TR300001000547134221785001</t>
  </si>
  <si>
    <t>TR680001200964800007000013</t>
  </si>
  <si>
    <t>TR390001000022329961205001</t>
  </si>
  <si>
    <t>TR820001200125700007000006</t>
  </si>
  <si>
    <t>TR530001000648082644155001</t>
  </si>
  <si>
    <t>TR160001000499272642115001</t>
  </si>
  <si>
    <t>TOPAKKAYA</t>
  </si>
  <si>
    <t>DEMİRKENT</t>
  </si>
  <si>
    <t>UÇHİSAR</t>
  </si>
  <si>
    <t>ÇUKURKUYU</t>
  </si>
  <si>
    <t>BAHADIN</t>
  </si>
  <si>
    <t>TOPAKKAYA / AKSARAY</t>
  </si>
  <si>
    <t>ÇUKURKUYU / NİĞDE</t>
  </si>
  <si>
    <t>BAHADIN / YOZGAT</t>
  </si>
  <si>
    <t>TR300001000216337906655001</t>
  </si>
  <si>
    <t>TR710001200978800004000019</t>
  </si>
  <si>
    <t>TR450001200125500007000003</t>
  </si>
  <si>
    <t>SARAY SİTESİ</t>
  </si>
  <si>
    <t>GÜMÜŞÇAY</t>
  </si>
  <si>
    <t>KAYNARCA / KIRKLARELİ</t>
  </si>
  <si>
    <t>UÇHİSAR / NEVŞEHİR</t>
  </si>
  <si>
    <t>TR100001000482076652955001</t>
  </si>
  <si>
    <t>TR710001000028303307325002</t>
  </si>
  <si>
    <t>NEVŞEHİR MERKEZ</t>
  </si>
  <si>
    <t>SALARHA / RİZE</t>
  </si>
  <si>
    <t>SALARHA</t>
  </si>
  <si>
    <t>DAMAL</t>
  </si>
  <si>
    <t>DAMAL / ARDAHAN</t>
  </si>
  <si>
    <t>TR710001001629252889285001</t>
  </si>
  <si>
    <t>YAYLAKENT</t>
  </si>
  <si>
    <t>ÇAVUŞLU</t>
  </si>
  <si>
    <t>SEYİTÖMER</t>
  </si>
  <si>
    <t>YSV BELEDİYE</t>
  </si>
  <si>
    <t>GÜMÜŞÇAY / ÇANAKKALE</t>
  </si>
  <si>
    <t>YAYLAKENT / ÇANKIRI</t>
  </si>
  <si>
    <t>DEMİRKENT / ERZİNCAN</t>
  </si>
  <si>
    <t>ÇAVUŞLU / GİRESUN</t>
  </si>
  <si>
    <t>SEYİTÖMER / KÜTAHYA</t>
  </si>
  <si>
    <t>TR410001000074100071725001</t>
  </si>
  <si>
    <t>TR750001000666134667585003</t>
  </si>
  <si>
    <t>TR070001000116120044635001</t>
  </si>
  <si>
    <t>TR080001200938000007000008</t>
  </si>
  <si>
    <t>TR190001000179350642875001</t>
  </si>
  <si>
    <t>TR220001000105104595645004</t>
  </si>
  <si>
    <t>HALFELİ</t>
  </si>
  <si>
    <t>BAŞVERİMLİ</t>
  </si>
  <si>
    <t>BÜYÜKMANDIRA / KIRKLARELİ</t>
  </si>
  <si>
    <t>BAŞVERİMLİ / ŞIRNAK</t>
  </si>
  <si>
    <t>TR710001200967700007000008</t>
  </si>
  <si>
    <t>HALFELİ / IĞDIR</t>
  </si>
  <si>
    <t>TR480001500158007284563569</t>
  </si>
  <si>
    <t>PEHLİVANKÖY</t>
  </si>
  <si>
    <t>SAĞLIK</t>
  </si>
  <si>
    <t>DİKMEN</t>
  </si>
  <si>
    <t>kontrol</t>
  </si>
  <si>
    <t>KARICIK / ADIYAMAN</t>
  </si>
  <si>
    <t>AKÇAKENT / AKSARAY</t>
  </si>
  <si>
    <t>SAĞLIK / AKSARAY</t>
  </si>
  <si>
    <t>YEŞİLOVA / AKSARAY</t>
  </si>
  <si>
    <t>DOĞANTEPE / AMASYA</t>
  </si>
  <si>
    <t>BOYALICA / BURSA</t>
  </si>
  <si>
    <t>ÇELTİKÇİ / BURSA</t>
  </si>
  <si>
    <t>KUMKALE / ÇANAKKALE</t>
  </si>
  <si>
    <t>PAZARKÖY / ÇANAKKALE</t>
  </si>
  <si>
    <t>PEHLİVANKÖY / KIRKLARELİ</t>
  </si>
  <si>
    <t>DULKADİRLİ / KIRŞEHİR</t>
  </si>
  <si>
    <t>DİKMEN / MARDİN</t>
  </si>
  <si>
    <t>MERKEZ / MARDİN</t>
  </si>
  <si>
    <t>KAT / TOKAT</t>
  </si>
  <si>
    <t>EDREMİT / VAN</t>
  </si>
  <si>
    <t>MERKEZ / VAN</t>
  </si>
  <si>
    <t>ESENLİ / YOZGAT</t>
  </si>
  <si>
    <t>TR700001000021364301215012</t>
  </si>
  <si>
    <t>TR760001000026365871475001</t>
  </si>
  <si>
    <t>TR720001000026366315815001</t>
  </si>
  <si>
    <t>VAKIFLAR BANK</t>
  </si>
  <si>
    <t>TR440001000813121575925002</t>
  </si>
  <si>
    <t>TR300001200964500007000033</t>
  </si>
  <si>
    <t>TR450001000580058264125001</t>
  </si>
  <si>
    <t>TR920001200950200007000020</t>
  </si>
  <si>
    <t>TR780001500158007302068134</t>
  </si>
  <si>
    <t>TR680001001959359520675005</t>
  </si>
  <si>
    <t xml:space="preserve">KEMERKAYA </t>
  </si>
  <si>
    <t>KUMKALEALE</t>
  </si>
  <si>
    <t xml:space="preserve">DULKADİRLİ </t>
  </si>
  <si>
    <t xml:space="preserve">MERKEZ </t>
  </si>
  <si>
    <t>ÇANAKK</t>
  </si>
  <si>
    <t>MARDİN BÜYÜKŞEHİR</t>
  </si>
  <si>
    <t>VAN BÜYÜKŞEHİR</t>
  </si>
  <si>
    <t>TR740001200967900007000041</t>
  </si>
  <si>
    <t>KEMAH</t>
  </si>
  <si>
    <t>KEMAH / ERZİNCAN</t>
  </si>
  <si>
    <t>TR380001000337073549875002</t>
  </si>
  <si>
    <t>ARAPLI / YOZGAT</t>
  </si>
  <si>
    <t>TR510001200978800007000007</t>
  </si>
  <si>
    <t>YALOVA ŞB.</t>
  </si>
  <si>
    <t>TR410001200936200005000043</t>
  </si>
  <si>
    <t>KÖMÜR</t>
  </si>
  <si>
    <t>MUTKİ</t>
  </si>
  <si>
    <t>KÖMÜR / ADIYAMAN</t>
  </si>
  <si>
    <t>MUTKİ / BİTLİS</t>
  </si>
  <si>
    <t>TATVAN ŞB.</t>
  </si>
  <si>
    <t>TR950013400001103432400002</t>
  </si>
  <si>
    <t>ADIYAMAN ŞB.</t>
  </si>
  <si>
    <t>TR360001200918100007000014</t>
  </si>
  <si>
    <t>BEYENDİK</t>
  </si>
  <si>
    <t>BEYENDİK / EDİRNE</t>
  </si>
  <si>
    <t>DİŞLİ</t>
  </si>
  <si>
    <t>YOLKONAK</t>
  </si>
  <si>
    <t>BEĞENDİK / EDİRNE</t>
  </si>
  <si>
    <t>YOLKONAK / TOKAT</t>
  </si>
  <si>
    <t>TR160001200139600007000014</t>
  </si>
  <si>
    <t>TR510001200967200007000005</t>
  </si>
  <si>
    <t>TR880001000022329961195001</t>
  </si>
  <si>
    <t>ESENDERE</t>
  </si>
  <si>
    <t>ESENDERE / HAKKARİ</t>
  </si>
  <si>
    <t>SAMSAT</t>
  </si>
  <si>
    <t>ÖZBAĞ</t>
  </si>
  <si>
    <t>ÖZBAĞ / KIRŞEHİR</t>
  </si>
  <si>
    <t>SAMSAT / ADIYAMAN</t>
  </si>
  <si>
    <t>TR710001200950200007000010</t>
  </si>
  <si>
    <t>TR880001000689255305595002</t>
  </si>
  <si>
    <t>OVAKENT</t>
  </si>
  <si>
    <t>ÇETİNCE</t>
  </si>
  <si>
    <t>OVAKENT / YOZGAT</t>
  </si>
  <si>
    <t>TR450001200978700007000023</t>
  </si>
  <si>
    <t>TR240001200955300007000019</t>
  </si>
  <si>
    <t>GÜRYILDIZ</t>
  </si>
  <si>
    <t>GÜRYILDIZ / TOKAT</t>
  </si>
  <si>
    <t>TR210001500158007286196080</t>
  </si>
  <si>
    <t>AKHARIM</t>
  </si>
  <si>
    <t>TATLARİN</t>
  </si>
  <si>
    <t>TATLARİN / NEVŞEHİR</t>
  </si>
  <si>
    <t>TR070006400000154000682431</t>
  </si>
  <si>
    <t>TR720001200967000007000025</t>
  </si>
  <si>
    <t>TR450001000740078420235008</t>
  </si>
  <si>
    <t>BÖLÜKYAYLA</t>
  </si>
  <si>
    <t>ÇİÇEKTEPE</t>
  </si>
  <si>
    <t>SIZIR</t>
  </si>
  <si>
    <t>SIZIR / SİVAS</t>
  </si>
  <si>
    <t>TR410001000483273393715001</t>
  </si>
  <si>
    <t>TR480001000481293119175001</t>
  </si>
  <si>
    <t>B+M</t>
  </si>
  <si>
    <t>B+M(İP)</t>
  </si>
  <si>
    <t>MYSV</t>
  </si>
  <si>
    <t>GYSV</t>
  </si>
  <si>
    <t>YSVM</t>
  </si>
  <si>
    <t>YSVG</t>
  </si>
  <si>
    <t>İNCESU</t>
  </si>
  <si>
    <t>ÇAMLICA</t>
  </si>
  <si>
    <t>YENİÇİFTLİK</t>
  </si>
  <si>
    <t>AKÇA</t>
  </si>
  <si>
    <t>ÇAMLIBEL</t>
  </si>
  <si>
    <t>DAVULGA</t>
  </si>
  <si>
    <t>DUMANLI</t>
  </si>
  <si>
    <t>AĞIN</t>
  </si>
  <si>
    <t>GÜMÜŞLER</t>
  </si>
  <si>
    <t>KIRMITLI</t>
  </si>
  <si>
    <t>BÖLÜKYAYLA / ADIYAMAN</t>
  </si>
  <si>
    <t>TR180001200125400007000009</t>
  </si>
  <si>
    <t>TR350001200918700007000002</t>
  </si>
  <si>
    <t>AYAZİNİ</t>
  </si>
  <si>
    <t>AKŞAR</t>
  </si>
  <si>
    <t>ÇALTI</t>
  </si>
  <si>
    <t>ILICALAR</t>
  </si>
  <si>
    <t>AKÇAKOYUN</t>
  </si>
  <si>
    <t>DEMİRŞEYH</t>
  </si>
  <si>
    <t>BOZAT</t>
  </si>
  <si>
    <t>KIRIKLI</t>
  </si>
  <si>
    <t>KOVANLIK</t>
  </si>
  <si>
    <t>ALTINPINAR</t>
  </si>
  <si>
    <t>TEKKE</t>
  </si>
  <si>
    <t>SARIİDRİS</t>
  </si>
  <si>
    <t>BAŞKÖY</t>
  </si>
  <si>
    <t>ALTINKENT</t>
  </si>
  <si>
    <t>ALAY</t>
  </si>
  <si>
    <t>FERTEK</t>
  </si>
  <si>
    <t>SAZLICA</t>
  </si>
  <si>
    <t>AKÇAKIŞLA</t>
  </si>
  <si>
    <t>BABAYAĞMUR</t>
  </si>
  <si>
    <t>SEKİLİ</t>
  </si>
  <si>
    <t>AĞIN / ELAZIĞ</t>
  </si>
  <si>
    <t>ALAY / NİĞDE</t>
  </si>
  <si>
    <t>SAZLICA / NİĞDE</t>
  </si>
  <si>
    <t>TR850001000024336841785001</t>
  </si>
  <si>
    <t>TR200001000517325702945001</t>
  </si>
  <si>
    <t>TR630001200968900004000173</t>
  </si>
  <si>
    <t>TR320001000214379743365001</t>
  </si>
  <si>
    <t>TR700001000540068279365008</t>
  </si>
  <si>
    <t>TR220001001015057798045049</t>
  </si>
  <si>
    <t>SARILAR</t>
  </si>
  <si>
    <t>KILIÇ</t>
  </si>
  <si>
    <t>KOZLUÇAY</t>
  </si>
  <si>
    <t>SENİR</t>
  </si>
  <si>
    <t>KONUR</t>
  </si>
  <si>
    <t>KIRIKKÖY</t>
  </si>
  <si>
    <t>ÇALIŞ</t>
  </si>
  <si>
    <t>KIZILAĞIL</t>
  </si>
  <si>
    <t>İSTANBUL BÜYÜKŞEHİR / İSTANBUL</t>
  </si>
  <si>
    <t>BELEDIYE</t>
  </si>
  <si>
    <t>İlçe/İl</t>
  </si>
  <si>
    <t>SENİR / ISPARTA</t>
  </si>
  <si>
    <t>ÇALIŞ / NEVŞEHİR</t>
  </si>
  <si>
    <t>TR660001000375341344805001</t>
  </si>
  <si>
    <t>TR030001200968800007000013</t>
  </si>
  <si>
    <t>ÇAYIRBAĞ</t>
  </si>
  <si>
    <t>ÖZLÜ</t>
  </si>
  <si>
    <t>MOLLAKENDİ</t>
  </si>
  <si>
    <t>KÖRKÜLER</t>
  </si>
  <si>
    <t>SUDURAĞI</t>
  </si>
  <si>
    <t>TAŞKALE</t>
  </si>
  <si>
    <t>YEŞİLDERE</t>
  </si>
  <si>
    <t>BÜYÜKABDİUŞAĞI</t>
  </si>
  <si>
    <t>TOKLÜMEN</t>
  </si>
  <si>
    <t>ULUPINAR</t>
  </si>
  <si>
    <t>ÖZKONAK</t>
  </si>
  <si>
    <t>BÜYÜKYILDIZ</t>
  </si>
  <si>
    <t>İLYASLI</t>
  </si>
  <si>
    <t>BEKTAŞLI</t>
  </si>
  <si>
    <t xml:space="preserve">SİNCANLI </t>
  </si>
  <si>
    <t xml:space="preserve">DÜVECİ </t>
  </si>
  <si>
    <t>ÇARIKSARAYLAR</t>
  </si>
  <si>
    <t xml:space="preserve">AKPINAR </t>
  </si>
  <si>
    <t>İLÇE     İL</t>
  </si>
  <si>
    <t>SUDURAĞI / KARAMAN</t>
  </si>
  <si>
    <t>NARKÖY / NEVŞEHİR</t>
  </si>
  <si>
    <t>ÖZKONAK / NEVŞEHİR</t>
  </si>
  <si>
    <t xml:space="preserve">ÇAYKENT </t>
  </si>
  <si>
    <t>TR730001000177356845595001</t>
  </si>
  <si>
    <t>TR770001000259341030175001</t>
  </si>
  <si>
    <t>DEĞİRMENAYVALI</t>
  </si>
  <si>
    <t>IŞIKLAR</t>
  </si>
  <si>
    <t>SORKUN</t>
  </si>
  <si>
    <t>SÜLÜMENLİ</t>
  </si>
  <si>
    <t>YÜREĞİL</t>
  </si>
  <si>
    <t>DOĞANTARLA</t>
  </si>
  <si>
    <t>GÜLPINAR</t>
  </si>
  <si>
    <t>HELVADERE</t>
  </si>
  <si>
    <t>KARKIN</t>
  </si>
  <si>
    <t>SEVİNÇLİ</t>
  </si>
  <si>
    <t>YEŞİLTEPE</t>
  </si>
  <si>
    <t>YUVA</t>
  </si>
  <si>
    <t>YASSIÇAL</t>
  </si>
  <si>
    <t>YEŞİL YENİCE</t>
  </si>
  <si>
    <t>MEYDANCIK</t>
  </si>
  <si>
    <t>VEZİRHAN</t>
  </si>
  <si>
    <t>KAVAKKÖY</t>
  </si>
  <si>
    <t>GÜMERDİĞİN</t>
  </si>
  <si>
    <t>SAÇAK</t>
  </si>
  <si>
    <t>KALEDERE</t>
  </si>
  <si>
    <t>KAVŞUT</t>
  </si>
  <si>
    <t>TUĞLU</t>
  </si>
  <si>
    <t>KURTBEY</t>
  </si>
  <si>
    <t>YENİMUHACİR</t>
  </si>
  <si>
    <t>DÖRTLER</t>
  </si>
  <si>
    <t>GEÇİT</t>
  </si>
  <si>
    <t>ULUKÖY</t>
  </si>
  <si>
    <t>YALNIZBAĞ</t>
  </si>
  <si>
    <t>SÜCÜLLÜ</t>
  </si>
  <si>
    <t>YAKA</t>
  </si>
  <si>
    <t>DEĞİRMENLİ</t>
  </si>
  <si>
    <t>DİKİLİTAŞ</t>
  </si>
  <si>
    <t>KENDİRLİ</t>
  </si>
  <si>
    <t>ŞEREFİYE</t>
  </si>
  <si>
    <t>YAKUPOĞLAN</t>
  </si>
  <si>
    <t>EMİRSEYİT</t>
  </si>
  <si>
    <t>EVRENKÖY</t>
  </si>
  <si>
    <t>YAĞMURLU</t>
  </si>
  <si>
    <t>ÇATALAĞZI</t>
  </si>
  <si>
    <t>ÖZBAĞI</t>
  </si>
  <si>
    <t>BÜYÜKMANDIRA</t>
  </si>
  <si>
    <t>AKTARILACAK BELEDİYE</t>
  </si>
  <si>
    <t xml:space="preserve">KAPANAN BELEDİYE KONTROL </t>
  </si>
  <si>
    <t xml:space="preserve">BÜYÜKŞEHİR KONTROL </t>
  </si>
  <si>
    <t>ARZULARKABAKÖY</t>
  </si>
  <si>
    <t>SAVKÖY</t>
  </si>
  <si>
    <t>GÜLPINAR / AKSARAY</t>
  </si>
  <si>
    <t>HELVADERE / AKSARAY</t>
  </si>
  <si>
    <t>KAVAKKÖY / ÇANAKKALE</t>
  </si>
  <si>
    <t>SAÇAK / ÇANKIRI</t>
  </si>
  <si>
    <t>MOLLAKENDİ / ELAZIĞ</t>
  </si>
  <si>
    <t>KOVANLIK / GİRESUN</t>
  </si>
  <si>
    <t>ARZULARKABAKÖY / GÜMÜŞHANE</t>
  </si>
  <si>
    <t>DEĞİRMENLİ / NİĞDE</t>
  </si>
  <si>
    <t>ÇAT / TOKAT</t>
  </si>
  <si>
    <t>TR830001200968900007000023</t>
  </si>
  <si>
    <t>TR060001500158007286961195</t>
  </si>
  <si>
    <t>TR060001500158007290568819</t>
  </si>
  <si>
    <t>TR320001001654364301255005</t>
  </si>
  <si>
    <t>TR230001200918300007000044</t>
  </si>
  <si>
    <t>TR070001001739075314745001</t>
  </si>
  <si>
    <t>TR220001000026365870615001</t>
  </si>
  <si>
    <t>TR420001000076114502175002</t>
  </si>
  <si>
    <t>TR790001200122500007000026</t>
  </si>
  <si>
    <t>TR510006400000184002963708</t>
  </si>
  <si>
    <t>TR380001200955200045000007</t>
  </si>
  <si>
    <t>HALK BANKASI</t>
  </si>
  <si>
    <t>T.VAKIFLAR BANKASI A.Ş.</t>
  </si>
  <si>
    <t>İSTANBUL ANADOLU KURUMSAL MERKEZİ ŞUBESİ</t>
  </si>
  <si>
    <t>Nezdinizdeki 158007279984219 no lu hesabımızdan,</t>
  </si>
  <si>
    <t>TR930001500158007303657597</t>
  </si>
  <si>
    <t>BAŞAĞAÇ</t>
  </si>
  <si>
    <t>DOĞANLI</t>
  </si>
  <si>
    <t>BÜYÜKHIRKA</t>
  </si>
  <si>
    <t>GÖKSÖĞÜT</t>
  </si>
  <si>
    <t>SULUSARAY</t>
  </si>
  <si>
    <t>ÇAVDARLI</t>
  </si>
  <si>
    <t>DARBOĞAZ</t>
  </si>
  <si>
    <t>YILDIZTEPE</t>
  </si>
  <si>
    <t>OSMANPAŞA</t>
  </si>
  <si>
    <t>SİVRİLER</t>
  </si>
  <si>
    <t xml:space="preserve">BATMAN </t>
  </si>
  <si>
    <t>SULUSARAY / NEVŞEHİR</t>
  </si>
  <si>
    <t>KENDİRLİ / RİZE</t>
  </si>
  <si>
    <t>EMİRSEYİT / TOKAT</t>
  </si>
  <si>
    <t>gelirler@samsun.bel.tr'</t>
  </si>
  <si>
    <t>SAMSUN MERKEZ</t>
  </si>
  <si>
    <t>KARADİREK</t>
  </si>
  <si>
    <t>KUSURA</t>
  </si>
  <si>
    <t>CİHANGAZİ</t>
  </si>
  <si>
    <t>KOZAĞAÇ</t>
  </si>
  <si>
    <t>ÖZGÜNEY</t>
  </si>
  <si>
    <t>DEMİRLİ</t>
  </si>
  <si>
    <t>KURUGÖL</t>
  </si>
  <si>
    <t>ŞEYHHALİL</t>
  </si>
  <si>
    <t>ÇEVRELİ</t>
  </si>
  <si>
    <t>ÖZALAN</t>
  </si>
  <si>
    <t>AHMETLER</t>
  </si>
  <si>
    <t>ELVANPAZARCIK</t>
  </si>
  <si>
    <t>HİSARÖNÜ</t>
  </si>
  <si>
    <t xml:space="preserve">ISPARTA </t>
  </si>
  <si>
    <t xml:space="preserve">KEÇİBORLU </t>
  </si>
  <si>
    <t>GÜMÜŞLER / NİĞDE</t>
  </si>
  <si>
    <t>ÇEVRELİ / TOKAT</t>
  </si>
  <si>
    <t>TR070001002067364301335006</t>
  </si>
  <si>
    <t>TR230001000028303307315002</t>
  </si>
  <si>
    <t>TR480001000214379743045001</t>
  </si>
  <si>
    <t>TR980001000248293288475001</t>
  </si>
  <si>
    <t>TR340001000538117282005012</t>
  </si>
  <si>
    <t>TR020001500158007289199445</t>
  </si>
  <si>
    <t>fatmakose@gaziantep.bel.tr</t>
  </si>
  <si>
    <t>ESKİKÖY</t>
  </si>
  <si>
    <t>YAYLAKONAK</t>
  </si>
  <si>
    <t>AŞAĞIPİRİBEYLİ</t>
  </si>
  <si>
    <t>YAVAŞLAR</t>
  </si>
  <si>
    <t>SARAYHAN</t>
  </si>
  <si>
    <t>ÖZBARAKLI</t>
  </si>
  <si>
    <t>ÇAYIRYOLU</t>
  </si>
  <si>
    <t>İBECİK</t>
  </si>
  <si>
    <t>KOZÇEŞME</t>
  </si>
  <si>
    <t>ÇOPRAŞIK</t>
  </si>
  <si>
    <t>ELVANÇELEBİ</t>
  </si>
  <si>
    <t>PAŞAYİĞİT</t>
  </si>
  <si>
    <t>YUKARIKAŞIKARA</t>
  </si>
  <si>
    <t>KARAAHMETLİ</t>
  </si>
  <si>
    <t>SAVCILIBÜYÜKOVA</t>
  </si>
  <si>
    <t>OVAÖREN</t>
  </si>
  <si>
    <t>HACIBEYLİ</t>
  </si>
  <si>
    <t>İÇMELİ</t>
  </si>
  <si>
    <t>ÇATALOLUK</t>
  </si>
  <si>
    <t>BÜYÜKOTURAK</t>
  </si>
  <si>
    <t>ÇALAPVERDİ</t>
  </si>
  <si>
    <t>ÇAYKENT/RİZE</t>
  </si>
  <si>
    <t>https://www.tbb.gov.tr/belediyelerimiz/belediyeler/</t>
  </si>
  <si>
    <t>İstanbul-ebeyan</t>
  </si>
  <si>
    <t>İzmir-ebeyan</t>
  </si>
  <si>
    <t>Kocaeli-ebeyan</t>
  </si>
  <si>
    <t>Sakarya-ebeyan</t>
  </si>
  <si>
    <t>YEŞİLTEPE / AKSARAY</t>
  </si>
  <si>
    <t>VEZİRHAN / BİLECİK</t>
  </si>
  <si>
    <t>ILICALAR / BİNGÖL</t>
  </si>
  <si>
    <t>GÜNEYKENT / ISPARTA</t>
  </si>
  <si>
    <t>ELVANPAZARCIK / ZONGULDAK</t>
  </si>
  <si>
    <t>ÇATALAĞZI / ZONGULDAK</t>
  </si>
  <si>
    <t>TR690001000026365870645001</t>
  </si>
  <si>
    <t>TR180001200936400007000005</t>
  </si>
  <si>
    <t>KÜLTÜR</t>
  </si>
  <si>
    <t>TR360001002648314155475006</t>
  </si>
  <si>
    <t>TR530001001419296439115001</t>
  </si>
  <si>
    <t>GÜNEYTKENT</t>
  </si>
  <si>
    <t>TR770001000131308756225001</t>
  </si>
  <si>
    <t>TR360001500158007289981914</t>
  </si>
  <si>
    <t>AHURHİSAR</t>
  </si>
  <si>
    <t>KIZIK</t>
  </si>
  <si>
    <t>KILIÇKAYA</t>
  </si>
  <si>
    <t>AYDINLAR</t>
  </si>
  <si>
    <t>BEYKÖY</t>
  </si>
  <si>
    <t>ALACAHÖYÜK</t>
  </si>
  <si>
    <t>KIZILCA</t>
  </si>
  <si>
    <t>ÇAKIRKAŞ</t>
  </si>
  <si>
    <t>KUMDANLI</t>
  </si>
  <si>
    <t>KULAKSIZ</t>
  </si>
  <si>
    <t>SAKIZKÖY</t>
  </si>
  <si>
    <t>SİNANLI</t>
  </si>
  <si>
    <t>HİSARBEY</t>
  </si>
  <si>
    <t>KARAKALE</t>
  </si>
  <si>
    <t>ABUŞAĞI</t>
  </si>
  <si>
    <t>KIZILCAÖREN</t>
  </si>
  <si>
    <t>DEVECİPINAR</t>
  </si>
  <si>
    <t>ÖZLER</t>
  </si>
  <si>
    <t>BAHŞİLİ</t>
  </si>
  <si>
    <t>FETHİBEY</t>
  </si>
  <si>
    <t>GÜNEY</t>
  </si>
  <si>
    <t>KEMERKAYA</t>
  </si>
  <si>
    <t>ÜÇKUYU</t>
  </si>
  <si>
    <t>DODURGA</t>
  </si>
  <si>
    <t>ALTUNKENT</t>
  </si>
  <si>
    <t>KOÇKÖY</t>
  </si>
  <si>
    <t>İNLİ</t>
  </si>
  <si>
    <t>KARANLIKDERE</t>
  </si>
  <si>
    <t>KAYIRLI</t>
  </si>
  <si>
    <t>HAVUZ</t>
  </si>
  <si>
    <t>AKARÇAY</t>
  </si>
  <si>
    <t>DEMİRCİLİ</t>
  </si>
  <si>
    <t>GÜNEBAKAN</t>
  </si>
  <si>
    <t>TANOBA</t>
  </si>
  <si>
    <t>AĞAÇBEYLİ</t>
  </si>
  <si>
    <t>KIŞLA</t>
  </si>
  <si>
    <t>YUKARISARIKAYA</t>
  </si>
  <si>
    <t>doğrultusunda yapılmasını rica ederiz.</t>
  </si>
  <si>
    <t>bursabuyuksehir.genelevrak@hs03.kep.tr</t>
  </si>
  <si>
    <t>KESMETEPE</t>
  </si>
  <si>
    <t>KARAMIK</t>
  </si>
  <si>
    <t>YEŞİLDUMLUPINAR</t>
  </si>
  <si>
    <t>KARABULDUK</t>
  </si>
  <si>
    <t>BAĞILLI</t>
  </si>
  <si>
    <t>KOÇUBABA</t>
  </si>
  <si>
    <t>YAVUZLU</t>
  </si>
  <si>
    <t>BURÇ</t>
  </si>
  <si>
    <t>KİLEDERE</t>
  </si>
  <si>
    <t>ÇEVRECİK</t>
  </si>
  <si>
    <t>KOÇAK</t>
  </si>
  <si>
    <t>ORMANDİBİ</t>
  </si>
  <si>
    <t>ÇAKMAK</t>
  </si>
  <si>
    <t>GEDİKHASANLI</t>
  </si>
  <si>
    <t>YAYLAKONAK / ADIYAMAN</t>
  </si>
  <si>
    <t>KESMETEPE / ADIYAMAN</t>
  </si>
  <si>
    <t>YENİMUHACİR / EDİRNE</t>
  </si>
  <si>
    <t>TR970001200948000007000040</t>
  </si>
  <si>
    <t>ÇIKRIK</t>
  </si>
  <si>
    <t>KALFAT</t>
  </si>
  <si>
    <t>KARAHACİP</t>
  </si>
  <si>
    <t>TAŞBURUN</t>
  </si>
  <si>
    <t>YALINYAZI</t>
  </si>
  <si>
    <t>DARIKENT</t>
  </si>
  <si>
    <t>ADIYAMAN MERKEZ ŞB.</t>
  </si>
  <si>
    <t>TR950001200918100007000019</t>
  </si>
  <si>
    <t>TR590013400001723064700003</t>
  </si>
  <si>
    <t>BESNİ ŞB.</t>
  </si>
  <si>
    <t>TR290001200918300007000033</t>
  </si>
  <si>
    <t>TR890001500158007308857936</t>
  </si>
  <si>
    <t>TR390001000536311699425025</t>
  </si>
  <si>
    <t>DAMLACIK</t>
  </si>
  <si>
    <t>KONURSU</t>
  </si>
  <si>
    <t>DEREKÖY</t>
  </si>
  <si>
    <t>KİTRELİ</t>
  </si>
  <si>
    <t>DODURGA / BİLECİK</t>
  </si>
  <si>
    <t>ÇOBANLAR ŞB.</t>
  </si>
  <si>
    <t>BOZÜYÜK ŞB.</t>
  </si>
  <si>
    <t>KEŞAN ŞB.</t>
  </si>
  <si>
    <t>HALKBANK</t>
  </si>
  <si>
    <t>ORGANİZE SANAYİ ŞB</t>
  </si>
  <si>
    <t>TR960001001654364301265008</t>
  </si>
  <si>
    <t>TR490001200918900007000031</t>
  </si>
  <si>
    <t>TR940001000122377973645001</t>
  </si>
  <si>
    <t>TR920001500158007295413391</t>
  </si>
  <si>
    <t>edirnebelediyesi@hs03.kep.tr</t>
  </si>
  <si>
    <t>TR590001500158007297355634</t>
  </si>
  <si>
    <t>ÜÇGÖZ</t>
  </si>
  <si>
    <t>HARMANDALI</t>
  </si>
  <si>
    <t>BAYIR</t>
  </si>
  <si>
    <t>KOCAALİLER</t>
  </si>
  <si>
    <t>CEBRAİL</t>
  </si>
  <si>
    <t>MOLLAKENT</t>
  </si>
  <si>
    <t>ATAKÖY</t>
  </si>
  <si>
    <t>GÜLLÜ</t>
  </si>
  <si>
    <t>KOCAALİLER / BURDUR</t>
  </si>
  <si>
    <t>ÇARIKSARAYLAR / ISPARTA</t>
  </si>
  <si>
    <t>KONAKLI / NİĞDE</t>
  </si>
  <si>
    <t>KİLEDERE / NİĞDE</t>
  </si>
  <si>
    <t>TANOBA / TOKAT</t>
  </si>
  <si>
    <t>KINIK / TOKAT</t>
  </si>
  <si>
    <t>ATAKÖY / TOKAT</t>
  </si>
  <si>
    <t>KARAMAN / ZONGULDAK</t>
  </si>
  <si>
    <t>TR660001000131308795675002</t>
  </si>
  <si>
    <t>TR360001000538117282085001</t>
  </si>
  <si>
    <t>TR580001000538117282075002</t>
  </si>
  <si>
    <t>TR400001200968900007000021</t>
  </si>
  <si>
    <t>TR360001000214379743285001</t>
  </si>
  <si>
    <t>TR540001000135322857245001</t>
  </si>
  <si>
    <t>BURDUR BUCAK</t>
  </si>
  <si>
    <t>TR250001000321333059005001</t>
  </si>
  <si>
    <t>IBB-YSV E-BEYAN GİRİŞ BİLGİLERİ</t>
  </si>
  <si>
    <t>Şifre</t>
  </si>
  <si>
    <t>IGB450389</t>
  </si>
  <si>
    <t>resmikurumlar@allianz.com.tr</t>
  </si>
  <si>
    <t>KOCAELİ-YSV E-BEYAN GİRİŞ BİLGİLERİ</t>
  </si>
  <si>
    <t>vergilendirme.servisi@allianz.com.tr</t>
  </si>
  <si>
    <t>İZMİR-YSV E-BEYAN GİRİŞ BİLGİLERİ</t>
  </si>
  <si>
    <t>SAKARYA-YSV E-BEYAN GİRİŞ BİLGİLERİ</t>
  </si>
  <si>
    <t>Allianz0*</t>
  </si>
  <si>
    <t>IBB Gelirler Müdürlüğü-Tahsilat Şefliği</t>
  </si>
  <si>
    <t>Burcu Hanım-0212 449 59 95</t>
  </si>
  <si>
    <t>0338 226 40 63</t>
  </si>
  <si>
    <t>Karaman Belediyesi - Muhammet Bey_Muhasebe</t>
  </si>
  <si>
    <t>TR170001002320356845535031</t>
  </si>
  <si>
    <t>PİRİ REİS</t>
  </si>
  <si>
    <t>MUHTEVİYAT</t>
  </si>
  <si>
    <t>BİNA</t>
  </si>
  <si>
    <t>EFE</t>
  </si>
  <si>
    <t>NURİBEY</t>
  </si>
  <si>
    <t>SÜLÜN</t>
  </si>
  <si>
    <t>YIPRAK</t>
  </si>
  <si>
    <t>DEDELİ</t>
  </si>
  <si>
    <t>ILISU</t>
  </si>
  <si>
    <t>TARPAK</t>
  </si>
  <si>
    <t>SANCAK</t>
  </si>
  <si>
    <t>ÜRKÜTLÜ</t>
  </si>
  <si>
    <t>KAVAKYOLU</t>
  </si>
  <si>
    <t>ÖREN</t>
  </si>
  <si>
    <t>BELEVİ</t>
  </si>
  <si>
    <t>KÖPRÜKÖY</t>
  </si>
  <si>
    <t>İNLİCE</t>
  </si>
  <si>
    <t>YENİSU</t>
  </si>
  <si>
    <t>YEMİŞLİ</t>
  </si>
  <si>
    <t>KARABURNA</t>
  </si>
  <si>
    <t>MAHMAT</t>
  </si>
  <si>
    <t>TOPAKLI</t>
  </si>
  <si>
    <t>DÜNDARLI</t>
  </si>
  <si>
    <t>HATİPLİ</t>
  </si>
  <si>
    <t>YILDIZ</t>
  </si>
  <si>
    <t>CİHET</t>
  </si>
  <si>
    <t>GÖKÇELİ</t>
  </si>
  <si>
    <t>YAZICIK</t>
  </si>
  <si>
    <t>KARAKIZ</t>
  </si>
  <si>
    <t>GÜMELİ</t>
  </si>
  <si>
    <t>İBAN</t>
  </si>
  <si>
    <t>KAPANMIŞ</t>
  </si>
  <si>
    <t>CAMİLİ</t>
  </si>
  <si>
    <t>HAMDİBEY</t>
  </si>
  <si>
    <t>ÇAĞIRKAN</t>
  </si>
  <si>
    <t>ÇAYIRBAŞI</t>
  </si>
  <si>
    <t>KARBASAN</t>
  </si>
  <si>
    <t>SOFULAR</t>
  </si>
  <si>
    <t>KARACAŞAR</t>
  </si>
  <si>
    <t>SUVERMEZ</t>
  </si>
  <si>
    <t>KIZILCAKIŞLA</t>
  </si>
  <si>
    <t>KUZBAĞI</t>
  </si>
  <si>
    <t>BELENCUMAFAKILI</t>
  </si>
  <si>
    <t>HACIMUSA</t>
  </si>
  <si>
    <t>BÜYÜKYAĞLI</t>
  </si>
  <si>
    <t>SERGEN</t>
  </si>
  <si>
    <t>ERDOĞMUŞ</t>
  </si>
  <si>
    <t>PAŞAKÖY</t>
  </si>
  <si>
    <t>GÜZELBEYLİ</t>
  </si>
  <si>
    <t>YAYALAR</t>
  </si>
  <si>
    <t>BEKARLAR</t>
  </si>
  <si>
    <t>SALDA</t>
  </si>
  <si>
    <t>HAMİT</t>
  </si>
  <si>
    <t>KARACAÖREN</t>
  </si>
  <si>
    <t>ZAFERTEPEÇALKÖY</t>
  </si>
  <si>
    <t>YOLBAŞI</t>
  </si>
  <si>
    <t>GÜMÜŞKENT</t>
  </si>
  <si>
    <t>TUZKÖY</t>
  </si>
  <si>
    <t>ACECİHÜYÜK</t>
  </si>
  <si>
    <t>BALLIDERE</t>
  </si>
  <si>
    <t>ESENÇAY</t>
  </si>
  <si>
    <t>ÇANAKLI</t>
  </si>
  <si>
    <t>İSLAMKÖY</t>
  </si>
  <si>
    <t>KARGINYENİCE</t>
  </si>
  <si>
    <t>GÜMÜLE</t>
  </si>
  <si>
    <t>ÖREYLER</t>
  </si>
  <si>
    <t>BADEMDERE</t>
  </si>
  <si>
    <t>YENİYILDIZ</t>
  </si>
  <si>
    <t>KALIN</t>
  </si>
  <si>
    <t>BÜŞÜRÜM</t>
  </si>
  <si>
    <t>YOLÜSTÜ</t>
  </si>
  <si>
    <t>malihizmetler@sandikli.bel.tr</t>
  </si>
  <si>
    <t>malihizmetler@hatay.bel.tr</t>
  </si>
  <si>
    <t>OZANCIK</t>
  </si>
  <si>
    <t>SARICAN</t>
  </si>
  <si>
    <t>GÖKÇEHÜYÜK</t>
  </si>
  <si>
    <t>YELEK</t>
  </si>
  <si>
    <t>ÇİÇEKLİ</t>
  </si>
  <si>
    <t>KALABA</t>
  </si>
  <si>
    <t>NEBİOĞLU</t>
  </si>
  <si>
    <t xml:space="preserve">Büyükşehir Dahil Toplam </t>
  </si>
  <si>
    <t>YSV Beyan</t>
  </si>
  <si>
    <t>Fark</t>
  </si>
  <si>
    <t>YAYLABAŞI</t>
  </si>
  <si>
    <t>KASIMLAR</t>
  </si>
  <si>
    <t>ULUĞBEY</t>
  </si>
  <si>
    <t>YASSIÖREN</t>
  </si>
  <si>
    <t>HAMZALI</t>
  </si>
  <si>
    <t>BOĞAZEVCİ</t>
  </si>
  <si>
    <t>HACIABDULLAH</t>
  </si>
  <si>
    <t>SUÇATI</t>
  </si>
  <si>
    <t>YAVU</t>
  </si>
  <si>
    <t>DERESİNEK</t>
  </si>
  <si>
    <t>ÜÇBAŞ</t>
  </si>
  <si>
    <t>ELLEK</t>
  </si>
  <si>
    <t>GELİK</t>
  </si>
  <si>
    <t>YENİKÖY</t>
  </si>
  <si>
    <t>HOŞHABER</t>
  </si>
  <si>
    <t>GÜMELE</t>
  </si>
  <si>
    <t>KARAATLI</t>
  </si>
  <si>
    <t>CEMEL</t>
  </si>
  <si>
    <t>MUSLU</t>
  </si>
  <si>
    <t>TR130004600532888000128991</t>
  </si>
  <si>
    <t>EDİRNE ŞB.</t>
  </si>
  <si>
    <t>Edirne Merkez Belediyesi</t>
  </si>
  <si>
    <t xml:space="preserve">Erkan Bey-0284 214 77 25-123 </t>
  </si>
  <si>
    <t xml:space="preserve">emlak.servisi@edirne.bel.tr </t>
  </si>
  <si>
    <t>SUVARLI</t>
  </si>
  <si>
    <t>BALÇIKHİSAR</t>
  </si>
  <si>
    <t>BOZKÖY</t>
  </si>
  <si>
    <t>SERENLİ</t>
  </si>
  <si>
    <t>GERGER</t>
  </si>
  <si>
    <t>ALANYURT</t>
  </si>
  <si>
    <t>İKİKÖPRÜ</t>
  </si>
  <si>
    <t>ARPALI</t>
  </si>
  <si>
    <t>BAĞLAMA</t>
  </si>
  <si>
    <t>EYMİR</t>
  </si>
  <si>
    <t>ÖBEKTAŞ</t>
  </si>
  <si>
    <t>KURANCILI</t>
  </si>
  <si>
    <t>AKDAĞ</t>
  </si>
  <si>
    <t>HACIKEBİR</t>
  </si>
  <si>
    <t>YAĞCILAR</t>
  </si>
  <si>
    <t>ORHANLI</t>
  </si>
  <si>
    <t>GÖKAL</t>
  </si>
  <si>
    <t>GÖRÜMLÜ</t>
  </si>
  <si>
    <t>HASANŞEYH</t>
  </si>
  <si>
    <t>ÇİĞDEMLİ</t>
  </si>
  <si>
    <t>01.01.2022 beyanından itibaren tbb'de kapalı</t>
  </si>
  <si>
    <t>GERGER / ADIYAMAN</t>
  </si>
  <si>
    <t>vnAs?V</t>
  </si>
  <si>
    <t>TR880001000690254849425001</t>
  </si>
  <si>
    <t>BELEDİYE GELİR' &lt;siirtbelgelir@gmail.com&gt;</t>
  </si>
  <si>
    <t>HARMANLI</t>
  </si>
  <si>
    <t>KALKIM</t>
  </si>
  <si>
    <t>İBRİKTEPE</t>
  </si>
  <si>
    <t>ÖZKÜRTÜN</t>
  </si>
  <si>
    <t>KESME</t>
  </si>
  <si>
    <t>YORTANPAZARI</t>
  </si>
  <si>
    <t>GÜNEYYURT</t>
  </si>
  <si>
    <t>KARAHALİL</t>
  </si>
  <si>
    <t>KIYIKÖY</t>
  </si>
  <si>
    <t>KURUÇAY</t>
  </si>
  <si>
    <t>KUŞU</t>
  </si>
  <si>
    <t>NAŞA</t>
  </si>
  <si>
    <t>DÜZKIŞLA</t>
  </si>
  <si>
    <t>KIRKÖY</t>
  </si>
  <si>
    <t>ÇELİKLİ</t>
  </si>
  <si>
    <t>ULUTEPE</t>
  </si>
  <si>
    <t>DEDEFAKILI</t>
  </si>
  <si>
    <t>KUZAYCA</t>
  </si>
  <si>
    <t>ÇELİKHAN</t>
  </si>
  <si>
    <t>Vergi Kimlik No</t>
  </si>
  <si>
    <t>Kentli no</t>
  </si>
  <si>
    <t>ÇELİKHAN / ADIYAMAN</t>
  </si>
  <si>
    <t>DODURGA / ÇORUM</t>
  </si>
  <si>
    <t>TR650001000082261056635001</t>
  </si>
  <si>
    <t>TR880001000695286188985001</t>
  </si>
  <si>
    <t>BALKAR</t>
  </si>
  <si>
    <t>YAKASİNEK</t>
  </si>
  <si>
    <t>DEVADAMI</t>
  </si>
  <si>
    <t>KÖPRÜLÜ</t>
  </si>
  <si>
    <t>YOLALAN</t>
  </si>
  <si>
    <t>KOCAHIDIR</t>
  </si>
  <si>
    <t>YEŞİLBÜK</t>
  </si>
  <si>
    <t>AYVALIPINAR</t>
  </si>
  <si>
    <t>BÜYÜKAVŞAR</t>
  </si>
  <si>
    <t>HASANLAR</t>
  </si>
  <si>
    <t>SERİNOVA</t>
  </si>
  <si>
    <t>NEBİŞEYH</t>
  </si>
  <si>
    <t>GÜL-ŞEHRİ</t>
  </si>
  <si>
    <t>Hatay Büyükşehir Belediyesi</t>
  </si>
  <si>
    <t>Samsun Büyükşehir Belediyesi</t>
  </si>
  <si>
    <t>Bursa Büyükşehir Belediyesi</t>
  </si>
  <si>
    <t>KEP</t>
  </si>
  <si>
    <t>Rize-Derepazarı Belediyesi</t>
  </si>
  <si>
    <t>Siirt Belediyesi</t>
  </si>
  <si>
    <t>MAİL/POSTA</t>
  </si>
  <si>
    <t>Gaziantep Büyükşehir Belediyesi</t>
  </si>
  <si>
    <t>KEP/POSTA</t>
  </si>
  <si>
    <t>Afyon/Sandıklı Belediyesi</t>
  </si>
  <si>
    <t>Edirne Belediyesi</t>
  </si>
  <si>
    <t>ARZULAR</t>
  </si>
  <si>
    <t>B.MANDIRA</t>
  </si>
  <si>
    <t>BELEKÇAHAN</t>
  </si>
  <si>
    <t>Rize Belediyesi</t>
  </si>
  <si>
    <t>rizebelediyesi@hs01.kep.tr</t>
  </si>
  <si>
    <t>AHMETPAŞA</t>
  </si>
  <si>
    <t>KÜÇÜKHÜYÜK</t>
  </si>
  <si>
    <t>OVAKIŞLA</t>
  </si>
  <si>
    <t>GÖKTEPE</t>
  </si>
  <si>
    <t>POLATELİ</t>
  </si>
  <si>
    <t>EĞERCİ</t>
  </si>
  <si>
    <t>KÜMBET</t>
  </si>
  <si>
    <t>ÜZÜMÖREN</t>
  </si>
  <si>
    <t>CURALİ</t>
  </si>
  <si>
    <t>TR720001000271136498185024</t>
  </si>
  <si>
    <t>EBER</t>
  </si>
  <si>
    <t>BAYIRBAĞ</t>
  </si>
  <si>
    <t>ŞENKÖY</t>
  </si>
  <si>
    <t>KAYAKÖY</t>
  </si>
  <si>
    <t>KÖSELİ</t>
  </si>
  <si>
    <t>NARLI</t>
  </si>
  <si>
    <t>KARAKAPI</t>
  </si>
  <si>
    <t>KEMERHİSAR</t>
  </si>
  <si>
    <t>KAYABAĞLAR</t>
  </si>
  <si>
    <t>KOCAGÖZ</t>
  </si>
  <si>
    <t>ALPASLAN</t>
  </si>
  <si>
    <t>ESKİALİBEY</t>
  </si>
  <si>
    <t>ÇİTGÖL</t>
  </si>
  <si>
    <t>ÇUKURCA</t>
  </si>
  <si>
    <t>ÖRENCİK</t>
  </si>
  <si>
    <t>TÜYSÜZ</t>
  </si>
  <si>
    <t>ÇEPNİ</t>
  </si>
  <si>
    <t>GÜRÇAYIR</t>
  </si>
  <si>
    <t>BOZÇALI</t>
  </si>
  <si>
    <t>CİMİTEKKE</t>
  </si>
  <si>
    <t>UZUNLU</t>
  </si>
  <si>
    <t>BELÖREN</t>
  </si>
  <si>
    <t>KIRCA</t>
  </si>
  <si>
    <t>ÇİFTEEVİ</t>
  </si>
  <si>
    <t>KOYUNLU</t>
  </si>
  <si>
    <t>KARAKAYA</t>
  </si>
  <si>
    <t>GÜNEYKENT</t>
  </si>
  <si>
    <t>YAKAAFŞAR</t>
  </si>
  <si>
    <t>KÖŞKER</t>
  </si>
  <si>
    <t>YEŞİLÇAY</t>
  </si>
  <si>
    <t>DİVARLI</t>
  </si>
  <si>
    <t>ALACAHAN</t>
  </si>
  <si>
    <t>İNKIŞLA</t>
  </si>
  <si>
    <t>GÖLGELİ</t>
  </si>
  <si>
    <t>OZAN</t>
  </si>
  <si>
    <t>KAHRAMANMARAŞ</t>
  </si>
  <si>
    <t>SARIKARAMAN</t>
  </si>
  <si>
    <t>BEŞPINAR</t>
  </si>
  <si>
    <t>DEMİRÖZÜ</t>
  </si>
  <si>
    <t>GEZİN</t>
  </si>
  <si>
    <t>KARABÖRK</t>
  </si>
  <si>
    <t>GÜMÜŞGÖZE</t>
  </si>
  <si>
    <t>KANLICA</t>
  </si>
  <si>
    <t>SARIKENT</t>
  </si>
  <si>
    <t>UMUTLU</t>
  </si>
  <si>
    <t>KAHRAMANMARAŞ BÜYÜKŞEHİR / K.MARAŞ</t>
  </si>
  <si>
    <t>KAHRAMANMARAŞ BÜYÜKŞEHİR</t>
  </si>
  <si>
    <t>ÇAY / AFYONKARAHİSAR</t>
  </si>
  <si>
    <t>MERKEZ / AFYONKARAHİSAR</t>
  </si>
  <si>
    <t>EMİRDAĞ / AFYONKARAHİSAR</t>
  </si>
  <si>
    <t>DİNAR / AFYONKARAHİSAR</t>
  </si>
  <si>
    <t>BOLVADİN / AFYONKARAHİSAR</t>
  </si>
  <si>
    <t>SANDIKLI / AFYONKARAHİSAR</t>
  </si>
  <si>
    <t>HOCALAR / AFYONKARAHİSAR</t>
  </si>
  <si>
    <t>KAHRAMANMARAŞ BÜYÜKŞEHİR / KAHRAMANMARAŞ</t>
  </si>
  <si>
    <t>AKHARIM / AFYONKARAHİSAR</t>
  </si>
  <si>
    <t>AKÖREN / AFYONKARAHİSAR</t>
  </si>
  <si>
    <t>ÇOBANLAR / AFYONKARAHİSAR</t>
  </si>
  <si>
    <t>TINAZTEPE / AFYONKARAHİSAR</t>
  </si>
  <si>
    <t>DAZKIRI / AFYONKARAHİSAR</t>
  </si>
  <si>
    <t>DİŞLİ / AFYONKARAHİSAR</t>
  </si>
  <si>
    <t>DAVULGA / AFYONKARAHİSAR</t>
  </si>
  <si>
    <t>ERKMEN / AFYONKARAHİSAR</t>
  </si>
  <si>
    <t>EVCİLER / AFYONKARAHİSAR</t>
  </si>
  <si>
    <t>GÖMÜ / AFYONKARAHİSAR</t>
  </si>
  <si>
    <t>İHSANİYE / AFYONKARAHİSAR</t>
  </si>
  <si>
    <t>KIZILÖREN / AFYONKARAHİSAR</t>
  </si>
  <si>
    <t>KILINÇARSLAN / AFYONKARAHİSAR</t>
  </si>
  <si>
    <t>İSCEHİSAR / AFYONKARAHİSAR</t>
  </si>
  <si>
    <t>SULTANDAĞI / AFYONKARAHİSAR</t>
  </si>
  <si>
    <t>GEBECELER / AFYONKARAHİSAR</t>
  </si>
  <si>
    <t>HAYDARLI / AFYONKARAHİSAR</t>
  </si>
  <si>
    <t>SEYDİLER / AFYONKARAHİSAR</t>
  </si>
  <si>
    <t>ÖZBURUN / AFYONKARAHİSAR</t>
  </si>
  <si>
    <t>ŞUHUT / AFYONKARAHİSAR</t>
  </si>
  <si>
    <t>SİNANPAŞA  / AFYONKARAHİSAR</t>
  </si>
  <si>
    <t>BEYYAZI / AFYONKARAHİSAR</t>
  </si>
  <si>
    <t>BÜYÜKKALECİK / AFYONKARAHİSAR</t>
  </si>
  <si>
    <t>SUSUZ / AFYONKARAHİSAR</t>
  </si>
  <si>
    <t>SİNANPAŞA / AFYONKARAHİSAR</t>
  </si>
  <si>
    <t>SALAR / AFYONKARAHİSAR</t>
  </si>
  <si>
    <t>BAŞMAKÇI / AFYONKARAHİSAR</t>
  </si>
  <si>
    <t>YAYLABAĞI / AFYONKARAHİSAR</t>
  </si>
  <si>
    <t>TATARLI / AFYONKARAHİSAR</t>
  </si>
  <si>
    <t>KEMERKAYA / AFYONKARAHİSAR</t>
  </si>
  <si>
    <t>SÜLÜMENLİ / AFYONKARAHİSAR</t>
  </si>
  <si>
    <t>DEĞİRMENAYVALI / AFYONKARAHİSAR</t>
  </si>
  <si>
    <t>ÇAYIRBAĞ / AFYONKARAHİSAR</t>
  </si>
  <si>
    <t>FETHİBEY / AFYONKARAHİSAR</t>
  </si>
  <si>
    <t>IŞIKLAR / AFYONKARAHİSAR</t>
  </si>
  <si>
    <t>ÇIKRIK / AFYONKARAHİSAR</t>
  </si>
  <si>
    <t>KARACAÖREN(ŞUHUT)</t>
  </si>
  <si>
    <t>PAZARAĞAÇ</t>
  </si>
  <si>
    <t>Ç.SARAYLAR</t>
  </si>
  <si>
    <t>KARAMANCA</t>
  </si>
  <si>
    <t>KELEMYENİCE</t>
  </si>
  <si>
    <t>ŞEYHLER</t>
  </si>
  <si>
    <t>YUNUSLAR</t>
  </si>
  <si>
    <t>KEÇİKALESİ</t>
  </si>
  <si>
    <t>KOÇBEYLİ</t>
  </si>
  <si>
    <t>ELMALIK</t>
  </si>
  <si>
    <t>BOĞAZKALE</t>
  </si>
  <si>
    <t>SULTAN</t>
  </si>
  <si>
    <t>AŞAĞIHOMURLU</t>
  </si>
  <si>
    <t>BAĞTAŞI</t>
  </si>
  <si>
    <t>AKPAZAR</t>
  </si>
  <si>
    <t>ALTIHİSAR</t>
  </si>
  <si>
    <t>BOZHÜYÜK</t>
  </si>
  <si>
    <t>DÖĞER</t>
  </si>
  <si>
    <t>KAYABELEN</t>
  </si>
  <si>
    <t>TAŞOLUK</t>
  </si>
  <si>
    <t>GEDİKSARAY</t>
  </si>
  <si>
    <t>AŞDAĞUL</t>
  </si>
  <si>
    <t>YENİKARPUZLU</t>
  </si>
  <si>
    <t>HANÖNÜ</t>
  </si>
  <si>
    <t>ESKİGEDİZ</t>
  </si>
  <si>
    <t>FIRDAN</t>
  </si>
  <si>
    <t>HEMŞİN</t>
  </si>
  <si>
    <t>OMURCA</t>
  </si>
  <si>
    <t>ÇOKRADAN</t>
  </si>
  <si>
    <t>BAĞSARAY</t>
  </si>
  <si>
    <t>GÜNEYKAYA</t>
  </si>
  <si>
    <t>KÖSRELİK</t>
  </si>
  <si>
    <t>TR860001500158007315047172</t>
  </si>
  <si>
    <t>KOCAÖZ</t>
  </si>
  <si>
    <t>DAMAR</t>
  </si>
  <si>
    <t>BEYCE</t>
  </si>
  <si>
    <t>ÇERTE</t>
  </si>
  <si>
    <t>GÜLKORU</t>
  </si>
  <si>
    <t>KARAAĞAÇLI</t>
  </si>
  <si>
    <t>İNALLI</t>
  </si>
  <si>
    <t>OLUKÖZÜ</t>
  </si>
  <si>
    <t>Tekirdağ Büyükşehir Belediyesi</t>
  </si>
  <si>
    <t>SELİME</t>
  </si>
  <si>
    <t>SALYAZI</t>
  </si>
  <si>
    <t>YAYKIN</t>
  </si>
  <si>
    <t>KONAKKURAN</t>
  </si>
  <si>
    <t>SELÇİKLER</t>
  </si>
  <si>
    <t>KAZANKAYA</t>
  </si>
  <si>
    <t>KAYIHAN</t>
  </si>
  <si>
    <t>BALTAŞI</t>
  </si>
  <si>
    <t>ÇAYSİMAV</t>
  </si>
  <si>
    <t>KIRKA</t>
  </si>
  <si>
    <t>GÖKLER</t>
  </si>
  <si>
    <t>ÇÖMLEKÇİ</t>
  </si>
  <si>
    <t>Tokat Belediyesi</t>
  </si>
  <si>
    <t>KARACAAHMET</t>
  </si>
  <si>
    <t>KUNDUZLU</t>
  </si>
  <si>
    <t>DELİİLYAS</t>
  </si>
  <si>
    <t>KONUKLAR</t>
  </si>
  <si>
    <t>xx</t>
  </si>
  <si>
    <t>ÇERİKLİ</t>
  </si>
  <si>
    <t>ÖZÜKAVAK</t>
  </si>
  <si>
    <t>KAVAKBAŞI</t>
  </si>
  <si>
    <t>EVCİ</t>
  </si>
  <si>
    <t>ESETÇE</t>
  </si>
  <si>
    <t>BAYAT / AFYONKARAHİSAR</t>
  </si>
  <si>
    <t>GÖKÇEDERE</t>
  </si>
  <si>
    <t>GÜNKIRI</t>
  </si>
  <si>
    <t>HACI</t>
  </si>
  <si>
    <t>ALTINBAŞAK</t>
  </si>
  <si>
    <t>AZATLI</t>
  </si>
  <si>
    <t>KALE</t>
  </si>
  <si>
    <t>AVGAN</t>
  </si>
  <si>
    <t>TR300001200978700007000002</t>
  </si>
  <si>
    <t>ÇELEMLİ</t>
  </si>
  <si>
    <t>GAZİ</t>
  </si>
  <si>
    <t>DEVEKOVAN</t>
  </si>
  <si>
    <t>GÜLHÜYÜK</t>
  </si>
  <si>
    <t>CEVİZLİ</t>
  </si>
  <si>
    <t>ILICA</t>
  </si>
  <si>
    <t>ACARLAR</t>
  </si>
  <si>
    <t>AKÇAOVA</t>
  </si>
  <si>
    <t>AK-YENİKÖY</t>
  </si>
  <si>
    <t>BAĞARASI</t>
  </si>
  <si>
    <t>İSABEYLİ</t>
  </si>
  <si>
    <t>PİRLİBEY</t>
  </si>
  <si>
    <t>SARIKEMER</t>
  </si>
  <si>
    <t>SAVUCA</t>
  </si>
  <si>
    <t>SAZLIKÖY</t>
  </si>
  <si>
    <t>AKSAKAL</t>
  </si>
  <si>
    <t>AVŞA ADASI</t>
  </si>
  <si>
    <t>EDİNCİK</t>
  </si>
  <si>
    <t>GÖMEÇ</t>
  </si>
  <si>
    <t>KARAPÜRÇEK</t>
  </si>
  <si>
    <t>KARŞIYAKA</t>
  </si>
  <si>
    <t>MARMARA</t>
  </si>
  <si>
    <t>PELİTKÖY</t>
  </si>
  <si>
    <t>SARAYLAR</t>
  </si>
  <si>
    <t>SARIKÖY</t>
  </si>
  <si>
    <t>CERRAH</t>
  </si>
  <si>
    <t>ÇAKIRLI</t>
  </si>
  <si>
    <t>ELBEYLİ</t>
  </si>
  <si>
    <t>TAHTAKÖPRÜ</t>
  </si>
  <si>
    <t>ZEYTİNBAĞI</t>
  </si>
  <si>
    <t>BULDAN</t>
  </si>
  <si>
    <t>MERKEZEFENDİ</t>
  </si>
  <si>
    <t>YENİCEKENT</t>
  </si>
  <si>
    <t>KAYAPINAR</t>
  </si>
  <si>
    <t>AZİZİYE</t>
  </si>
  <si>
    <t>AZGANLIK</t>
  </si>
  <si>
    <t>DENİZCİLER</t>
  </si>
  <si>
    <t>GÖKMEYDAN</t>
  </si>
  <si>
    <t>KARAYILAN</t>
  </si>
  <si>
    <t>YEŞİLKÖY</t>
  </si>
  <si>
    <t>ALİBEYKÖY</t>
  </si>
  <si>
    <t>BAHÇEŞEHİR</t>
  </si>
  <si>
    <t>ÇANTA</t>
  </si>
  <si>
    <t>FATİH</t>
  </si>
  <si>
    <t>SULTANÇİFTLİĞİ</t>
  </si>
  <si>
    <t>TUZLA</t>
  </si>
  <si>
    <t>BADEMLİ</t>
  </si>
  <si>
    <t>BOZDAĞ</t>
  </si>
  <si>
    <t>ÇAYLI</t>
  </si>
  <si>
    <t>GÖKÇEN</t>
  </si>
  <si>
    <t>YENİŞAKRAN</t>
  </si>
  <si>
    <t>ZEYTİNLİK</t>
  </si>
  <si>
    <t>SÖĞÜTLÜ</t>
  </si>
  <si>
    <t>DÜVER</t>
  </si>
  <si>
    <t>HİMMETDEDE</t>
  </si>
  <si>
    <t>ŞIHLI</t>
  </si>
  <si>
    <t>YEMLİHA</t>
  </si>
  <si>
    <t>DARICA</t>
  </si>
  <si>
    <t>ADSIZ</t>
  </si>
  <si>
    <t>HAYIROĞLU</t>
  </si>
  <si>
    <t>İSMİL</t>
  </si>
  <si>
    <t>OVAKAVAĞI</t>
  </si>
  <si>
    <t>SAZGEÇİT</t>
  </si>
  <si>
    <t>SEFAKÖY</t>
  </si>
  <si>
    <t>SIZMA</t>
  </si>
  <si>
    <t>TEPE</t>
  </si>
  <si>
    <t>YARMA</t>
  </si>
  <si>
    <t>GÜNDÜZBEY</t>
  </si>
  <si>
    <t>HASIRCILAR</t>
  </si>
  <si>
    <t>HATUNSUYU</t>
  </si>
  <si>
    <t>ADALA</t>
  </si>
  <si>
    <t>AKSELENDİ</t>
  </si>
  <si>
    <t>AVDAN</t>
  </si>
  <si>
    <t>BEYOBA</t>
  </si>
  <si>
    <t>CİNGE</t>
  </si>
  <si>
    <t>DERBENT</t>
  </si>
  <si>
    <t>DURASILLI</t>
  </si>
  <si>
    <t>GÖKEYÜP</t>
  </si>
  <si>
    <t>KAVAKLIDERE</t>
  </si>
  <si>
    <t>KAYALIOĞLU</t>
  </si>
  <si>
    <t>MECİDİYE</t>
  </si>
  <si>
    <t>MERSİNLİ</t>
  </si>
  <si>
    <t>POYRAZDAMLARI</t>
  </si>
  <si>
    <t>SARTMAHMUT</t>
  </si>
  <si>
    <t>TAYTAN</t>
  </si>
  <si>
    <t>TURGUTALP</t>
  </si>
  <si>
    <t>ULUDERBENT</t>
  </si>
  <si>
    <t>URGANLI</t>
  </si>
  <si>
    <t>YAĞCILLI</t>
  </si>
  <si>
    <t>AKDERE</t>
  </si>
  <si>
    <t>ARKUM</t>
  </si>
  <si>
    <t>ATALAR</t>
  </si>
  <si>
    <t>BAHŞİŞ</t>
  </si>
  <si>
    <t>ESENPINARI</t>
  </si>
  <si>
    <t>GÖKSU</t>
  </si>
  <si>
    <t>GÜREK</t>
  </si>
  <si>
    <t>KOCAHASANLI</t>
  </si>
  <si>
    <t>NARLIKUYU</t>
  </si>
  <si>
    <t>UZUNCABURÇ</t>
  </si>
  <si>
    <t>YEŞİLOVACIK</t>
  </si>
  <si>
    <t>BAFA</t>
  </si>
  <si>
    <t>BEÇİN</t>
  </si>
  <si>
    <t>BOZBURUN</t>
  </si>
  <si>
    <t>ÇAMKÖY</t>
  </si>
  <si>
    <t>ÇİTLİK</t>
  </si>
  <si>
    <t>GÜLLÜK</t>
  </si>
  <si>
    <t>KUMLUOVA</t>
  </si>
  <si>
    <t>SEKİ</t>
  </si>
  <si>
    <t>SELİMİYE</t>
  </si>
  <si>
    <t>TOPARLAR</t>
  </si>
  <si>
    <t>ASLANCAMİ</t>
  </si>
  <si>
    <t>ERENYURT</t>
  </si>
  <si>
    <t>HANYANI</t>
  </si>
  <si>
    <t>İNKUR</t>
  </si>
  <si>
    <t>KÖSEBUCAĞI</t>
  </si>
  <si>
    <t>PELİTLİYATAK</t>
  </si>
  <si>
    <t>TEKKİRAZ</t>
  </si>
  <si>
    <t>YALIKÖY</t>
  </si>
  <si>
    <t>ALİFUATPAŞA</t>
  </si>
  <si>
    <t>ALTINDERE</t>
  </si>
  <si>
    <t>DARIÇAYIRI</t>
  </si>
  <si>
    <t>DOKUNCUN</t>
  </si>
  <si>
    <t>KOCAALİ</t>
  </si>
  <si>
    <t>KURUDERE</t>
  </si>
  <si>
    <t>KUZULUK</t>
  </si>
  <si>
    <t>LİMANDERE</t>
  </si>
  <si>
    <t>YUVALIDERE</t>
  </si>
  <si>
    <t>ÇETİNKAYA</t>
  </si>
  <si>
    <t>DOĞANCA</t>
  </si>
  <si>
    <t>İKİZPINAR</t>
  </si>
  <si>
    <t>KOLAY</t>
  </si>
  <si>
    <t>BÜYÜKYONCALI</t>
  </si>
  <si>
    <t>HOŞKÖY</t>
  </si>
  <si>
    <t>KAPAKLI</t>
  </si>
  <si>
    <t>MARMARACIK</t>
  </si>
  <si>
    <t>MİSİNLİ</t>
  </si>
  <si>
    <t>MÜREFTE</t>
  </si>
  <si>
    <t>SULTANKÖY</t>
  </si>
  <si>
    <t>KAŞÜSTÜ</t>
  </si>
  <si>
    <t>OYMALITEPE</t>
  </si>
  <si>
    <t>ÇELEBİBAĞI</t>
  </si>
  <si>
    <t>MURSALLI</t>
  </si>
  <si>
    <t>MERCAN</t>
  </si>
  <si>
    <t>BAKIŞ</t>
  </si>
  <si>
    <t>GÜNLÜCE</t>
  </si>
  <si>
    <t>YILMAZ</t>
  </si>
  <si>
    <t>TR470001000638086507155001</t>
  </si>
  <si>
    <t>KARACAÖREN(ÇAY)</t>
  </si>
  <si>
    <t>SERBAN</t>
  </si>
  <si>
    <t>ÇALÖREN</t>
  </si>
  <si>
    <t>KARAŞAR</t>
  </si>
  <si>
    <t>YENİSÖLÖZ</t>
  </si>
  <si>
    <t>PİYADELER</t>
  </si>
  <si>
    <t>SARIPINAR</t>
  </si>
  <si>
    <t>YEŞİLKENT</t>
  </si>
  <si>
    <t>KARAADİLLİ</t>
  </si>
  <si>
    <t>UĞURLUDAĞ</t>
  </si>
  <si>
    <t>DEMİRÖZÜ / BAYBURT</t>
  </si>
  <si>
    <t>UĞURLUDAĞ / ÇORUM</t>
  </si>
  <si>
    <t>TR220001001390069372645001</t>
  </si>
  <si>
    <t>TR690001001381069810645001</t>
  </si>
  <si>
    <t>gelirsm@tekirdag.bel.tr</t>
  </si>
  <si>
    <t>Rezzan Hanım</t>
  </si>
  <si>
    <t>0850 459 59 59</t>
  </si>
  <si>
    <t xml:space="preserve">0850 459 20 45 </t>
  </si>
  <si>
    <t>DÜZAĞAÇ</t>
  </si>
  <si>
    <t>GAZLIGÖLAKÖREN</t>
  </si>
  <si>
    <t>KAÇARLI</t>
  </si>
  <si>
    <t>BEYOBASI</t>
  </si>
  <si>
    <t>İSLAMDAĞ</t>
  </si>
  <si>
    <t>GÜRAKAR</t>
  </si>
  <si>
    <t>MEZRA</t>
  </si>
  <si>
    <t>YALINTAŞ</t>
  </si>
  <si>
    <t>BEKBELE</t>
  </si>
  <si>
    <t>ÜÇGÜLLÜK</t>
  </si>
  <si>
    <t>GÖÇBEYLİ</t>
  </si>
  <si>
    <t>KAPIKAYA</t>
  </si>
  <si>
    <t>KOCATEPE</t>
  </si>
  <si>
    <t>KARASENİR</t>
  </si>
  <si>
    <t>NARLISARAY</t>
  </si>
  <si>
    <t>KUŞÇU</t>
  </si>
  <si>
    <t>SARISEKİ</t>
  </si>
  <si>
    <t>ÇAYHAN</t>
  </si>
  <si>
    <t>KARAHASANLI</t>
  </si>
  <si>
    <t>YAKACIK</t>
  </si>
  <si>
    <t>EYYÜPNEBİ</t>
  </si>
  <si>
    <t>Sum of Üretim</t>
  </si>
  <si>
    <t>Total Sum of Üretim</t>
  </si>
  <si>
    <t>Total Sum of Iptal</t>
  </si>
  <si>
    <t>Sum of Iptal</t>
  </si>
  <si>
    <t>Total Sum of Net Matrah</t>
  </si>
  <si>
    <t>Sum of Net Matrah</t>
  </si>
  <si>
    <t>Total Sum of Net YSV</t>
  </si>
  <si>
    <t>Sum of Net YSV</t>
  </si>
  <si>
    <t>Values</t>
  </si>
  <si>
    <t>AKÇALI</t>
  </si>
  <si>
    <t>İSLİK</t>
  </si>
  <si>
    <t>BÜYÜKKIŞLA</t>
  </si>
  <si>
    <t>YEŞİLÇİFTLİK</t>
  </si>
  <si>
    <t>ŞÖLEN</t>
  </si>
  <si>
    <t>GÖZCÜLER</t>
  </si>
  <si>
    <t>ALİBEYLİ</t>
  </si>
  <si>
    <t>KİLLİK</t>
  </si>
  <si>
    <t>ÇARIKLAR</t>
  </si>
  <si>
    <t>KOCAPINAR</t>
  </si>
  <si>
    <t>gelirler@tokat.bel.tr</t>
  </si>
  <si>
    <t>KURTPINARI</t>
  </si>
  <si>
    <t>NUH</t>
  </si>
  <si>
    <t>SİNCANLI</t>
  </si>
  <si>
    <t>IHLARA</t>
  </si>
  <si>
    <t>ARSUZ</t>
  </si>
  <si>
    <t>KUZUCULU</t>
  </si>
  <si>
    <t>KARAALİ</t>
  </si>
  <si>
    <t>KARACAHİSAR</t>
  </si>
  <si>
    <t>YÜCELİ</t>
  </si>
  <si>
    <t>TEKELİ</t>
  </si>
  <si>
    <t>ÇARŞIBAŞI</t>
  </si>
  <si>
    <t>BAYAT / ÇORUM</t>
  </si>
  <si>
    <t>OVACIK / KARABÜK</t>
  </si>
  <si>
    <t>TR960001200142100007000001</t>
  </si>
  <si>
    <t>TR630001000696253579215001</t>
  </si>
  <si>
    <t>ovacikbldbaskanligi@hotmail.com</t>
  </si>
  <si>
    <t>KIRBAŞI</t>
  </si>
  <si>
    <t>KOLLUDERE</t>
  </si>
  <si>
    <t>ÇADIRKAYA</t>
  </si>
  <si>
    <t>EĞRİGÖZ</t>
  </si>
  <si>
    <t>Y.KARAHİSAR</t>
  </si>
  <si>
    <t>Not: İstanbul Büyükşehir Belediyesi Yangın Sigorta Vergisi hesap no su : 5200 3010 0029 0001</t>
  </si>
  <si>
    <t>Karabük/Ovacık Belediyesi</t>
  </si>
  <si>
    <t>TAHİR</t>
  </si>
  <si>
    <t>HİSAR</t>
  </si>
  <si>
    <t>BEYHAN</t>
  </si>
  <si>
    <t>KARAKESE</t>
  </si>
  <si>
    <t>SİNDELHÖYÜK</t>
  </si>
  <si>
    <t>BELKAYA</t>
  </si>
  <si>
    <t>RÜSTEMGEDİK</t>
  </si>
  <si>
    <t>GEYİKÇELİ</t>
  </si>
  <si>
    <t>MEHMETLİ</t>
  </si>
  <si>
    <t>ilçe il BİRLEŞTİR</t>
  </si>
  <si>
    <t>Referans numarası yazılması istendi</t>
  </si>
  <si>
    <t>ZEYTİNOVA</t>
  </si>
  <si>
    <t>YAYLADÜZÜ</t>
  </si>
  <si>
    <t>AYAZKENT</t>
  </si>
  <si>
    <t>YONCALI</t>
  </si>
  <si>
    <t>DEREDOLU</t>
  </si>
  <si>
    <t>SÖLÖZ</t>
  </si>
  <si>
    <t>DEĞİRMENBAŞI</t>
  </si>
  <si>
    <t>SÜLEYMANLI</t>
  </si>
  <si>
    <t>BOZARMUT</t>
  </si>
  <si>
    <t>ELMAKAYA</t>
  </si>
  <si>
    <t>AĞCAGÜNEY</t>
  </si>
  <si>
    <t>SİVEREK</t>
  </si>
  <si>
    <t>ÜNLÜPINAR</t>
  </si>
  <si>
    <t>AVSUYU</t>
  </si>
  <si>
    <t>GÜLYALI</t>
  </si>
  <si>
    <t>BEYYURDU</t>
  </si>
  <si>
    <t>İSTANBUL BÜYÜKŞEHİR BELEDİYE BAŞKANLIĞI' nın Yangın Sigorta Vergisi hesabına, aşağıdaki açıklamalar</t>
  </si>
  <si>
    <t>DORUK</t>
  </si>
  <si>
    <t>TATLICAK</t>
  </si>
  <si>
    <t>KUZEYTEPE</t>
  </si>
  <si>
    <t>İĞDE</t>
  </si>
  <si>
    <t>AYRAN</t>
  </si>
  <si>
    <t>TR400001000009440080045032</t>
  </si>
  <si>
    <t>KADINANA</t>
  </si>
  <si>
    <t>TR980001002672364301245015</t>
  </si>
  <si>
    <t>DEREÇİNE</t>
  </si>
  <si>
    <t>DEMİRCİLİK</t>
  </si>
  <si>
    <t>ZENGEN</t>
  </si>
  <si>
    <t>UZGÖRÜR</t>
  </si>
  <si>
    <t>BÜYÜKYAPALAK</t>
  </si>
  <si>
    <t>BEKDİĞİN</t>
  </si>
  <si>
    <t>SARAYDÜZÜ</t>
  </si>
  <si>
    <t>Ankara Büyükşehir Belediyesi - Tahsilat Birimi</t>
  </si>
  <si>
    <t xml:space="preserve">507 29 10 </t>
  </si>
  <si>
    <t>YÜKLÜ</t>
  </si>
  <si>
    <t>DURSUNLU</t>
  </si>
  <si>
    <t>GÖKÇİMEN</t>
  </si>
  <si>
    <t>GÖLYAZI</t>
  </si>
  <si>
    <t>DAĞDERE</t>
  </si>
  <si>
    <t>YAPRAKLI</t>
  </si>
  <si>
    <t>ÇAMLIDERE</t>
  </si>
  <si>
    <t>İSKELEKÖY</t>
  </si>
  <si>
    <t>BAYRAMÖREN</t>
  </si>
  <si>
    <t>MAHSENLİ</t>
  </si>
  <si>
    <t>ORTAKARAÖREN</t>
  </si>
  <si>
    <t>BALABANCIK</t>
  </si>
  <si>
    <t>BEYAZKÖY</t>
  </si>
  <si>
    <t>BAŞTÜRK</t>
  </si>
  <si>
    <t>ÇANKAYA</t>
  </si>
  <si>
    <t>BAYRAMÖREN / ÇANKIRI</t>
  </si>
  <si>
    <t>SARAYDÜZÜ / SİNOP</t>
  </si>
  <si>
    <t>TR770001002664128672625010</t>
  </si>
  <si>
    <t>TR970001001344253552235001</t>
  </si>
  <si>
    <t>ORTAKLAR</t>
  </si>
  <si>
    <t>SALUR</t>
  </si>
  <si>
    <t>GÜRPINAR</t>
  </si>
  <si>
    <t>HARBİYE</t>
  </si>
  <si>
    <t>KARLISU</t>
  </si>
  <si>
    <t>KURTLUSOĞUKSU</t>
  </si>
  <si>
    <t>UZUNBAĞ</t>
  </si>
  <si>
    <t>ÇINARLIK</t>
  </si>
  <si>
    <t>osmancikbelediyesi@hs01.kep.tr</t>
  </si>
  <si>
    <t>Osmancık Belediyesi</t>
  </si>
  <si>
    <t>Postadan çıkar!</t>
  </si>
  <si>
    <t>Posta gönder!</t>
  </si>
  <si>
    <t>ALTINÇAĞ</t>
  </si>
  <si>
    <t>TOMRUKSUYU</t>
  </si>
  <si>
    <t>BİRGİ</t>
  </si>
  <si>
    <t>KAYMAKÇI</t>
  </si>
  <si>
    <t>İLYASLAR</t>
  </si>
  <si>
    <t>ALAÇAM</t>
  </si>
  <si>
    <t>BAZLAMAÇ</t>
  </si>
  <si>
    <t>ŞALGAMLI</t>
  </si>
  <si>
    <t>BEŞİKDÜZÜ</t>
  </si>
  <si>
    <t>X</t>
  </si>
  <si>
    <t>PINARBAŞI / KASTAMONU</t>
  </si>
  <si>
    <t>TR460001200918600007000003</t>
  </si>
  <si>
    <t>bolvadinbelediyesi@hs01.kep.tr</t>
  </si>
  <si>
    <t>Bolvadin Belediyesi</t>
  </si>
  <si>
    <t>Çorum</t>
  </si>
  <si>
    <t>Afyon</t>
  </si>
  <si>
    <t>GÖKÇEYAZI</t>
  </si>
  <si>
    <t>KÜÇÜKDALYAN</t>
  </si>
  <si>
    <t>TURUNÇLU</t>
  </si>
  <si>
    <t>KUTÖREN</t>
  </si>
  <si>
    <t>BENCİK</t>
  </si>
  <si>
    <t>BAYDİĞİN</t>
  </si>
  <si>
    <t>/</t>
  </si>
  <si>
    <t>PAZAR/RİZE</t>
  </si>
  <si>
    <t>PAZAR/TOKAT</t>
  </si>
  <si>
    <t>AKÇAKOCA/DÜZCE</t>
  </si>
  <si>
    <t>ALAPLI/ZONGULDAK</t>
  </si>
  <si>
    <t>ALMUS/TOKAT</t>
  </si>
  <si>
    <t>ALTINOVA/YALOVA</t>
  </si>
  <si>
    <t>AMASRA/BARTIN</t>
  </si>
  <si>
    <t>ARAÇ/KASTAMONU</t>
  </si>
  <si>
    <t>ARDEŞEN/RİZE</t>
  </si>
  <si>
    <t>ARHAVİ/ARTVİN</t>
  </si>
  <si>
    <t>ATABEY/ISPARTA</t>
  </si>
  <si>
    <t>AVANOS/NEVŞEHİR</t>
  </si>
  <si>
    <t>AYANCIK/SİNOP</t>
  </si>
  <si>
    <t>AYVACIK/ÇANAKKALE</t>
  </si>
  <si>
    <t>BABAESKİ/KIRKLARELİ</t>
  </si>
  <si>
    <t>BESNİ/ADIYAMAN</t>
  </si>
  <si>
    <t>BEŞİRİ/BATMAN</t>
  </si>
  <si>
    <t>BİGA/ÇANAKKALE</t>
  </si>
  <si>
    <t>BOĞAZLIYAN/YOZGAT</t>
  </si>
  <si>
    <t>BOLVADİN/AFYONKARAHİSAR</t>
  </si>
  <si>
    <t>BOR/NİĞDE</t>
  </si>
  <si>
    <t>BOYABAT/SİNOP</t>
  </si>
  <si>
    <t>BOZCAADA/ÇANAKKALE</t>
  </si>
  <si>
    <t>BOZÜYÜK/BİLECİK</t>
  </si>
  <si>
    <t>BUCAK/BURDUR</t>
  </si>
  <si>
    <t>BULANCAK/GİRESUN</t>
  </si>
  <si>
    <t>CİDE/KASTAMONU</t>
  </si>
  <si>
    <t>CUMAYERİ/DÜZCE</t>
  </si>
  <si>
    <t>ÇAN/ÇANAKKALE</t>
  </si>
  <si>
    <t>ÇAVDIR/BURDUR</t>
  </si>
  <si>
    <t>ÇAYCUMA/ZONGULDAK</t>
  </si>
  <si>
    <t>ÇAYELİ/RİZE</t>
  </si>
  <si>
    <t>ÇERKEŞ/ÇANKIRI</t>
  </si>
  <si>
    <t>ÇINARCIK/YALOVA</t>
  </si>
  <si>
    <t>ÇİFTLİKKÖY/YALOVA</t>
  </si>
  <si>
    <t>DEMİRKÖY/KIRKLARELİ</t>
  </si>
  <si>
    <t>DEVREK/ZONGULDAK</t>
  </si>
  <si>
    <t>DİNAR/AFYONKARAHİSAR</t>
  </si>
  <si>
    <t>DOĞUBAYAZIT/AĞRI</t>
  </si>
  <si>
    <t>DÜZİÇİ/OSMANİYE</t>
  </si>
  <si>
    <t>ECEABAT/ÇANAKKALE</t>
  </si>
  <si>
    <t>EĞİRDİR/ISPARTA</t>
  </si>
  <si>
    <t>EMİRDAĞ/AFYONKARAHİSAR</t>
  </si>
  <si>
    <t>ENEZ/EDİRNE</t>
  </si>
  <si>
    <t>ERBAA/TOKAT</t>
  </si>
  <si>
    <t>EREĞLİ/ZONGULDAK</t>
  </si>
  <si>
    <t>ERFELEK/SİNOP</t>
  </si>
  <si>
    <t>ESKİL/AKSARAY</t>
  </si>
  <si>
    <t>ESPİYE/GİRESUN</t>
  </si>
  <si>
    <t>EZİNE/ÇANAKKALE</t>
  </si>
  <si>
    <t>FINDIKLI/RİZE</t>
  </si>
  <si>
    <t>GELİBOLU/ÇANAKKALE</t>
  </si>
  <si>
    <t>GEREDE/BOLU</t>
  </si>
  <si>
    <t>GERZE/SİNOP</t>
  </si>
  <si>
    <t>GÖKÇEADA/ÇANAKKALE</t>
  </si>
  <si>
    <t>GÖKÇEBEY/ZONGULDAK</t>
  </si>
  <si>
    <t>GÖLBAŞI/ADIYAMAN</t>
  </si>
  <si>
    <t>GÖLE/ARDAHAN</t>
  </si>
  <si>
    <t>GÖLHİSAR/BURDUR</t>
  </si>
  <si>
    <t>GÖLYAKA/DÜZCE</t>
  </si>
  <si>
    <t>GÖNEN/ISPARTA</t>
  </si>
  <si>
    <t>GÜLŞEHİR/NEVŞEHİR</t>
  </si>
  <si>
    <t>GÜMÜŞHACIKÖY/AMASYA</t>
  </si>
  <si>
    <t>GÜMÜŞOVA/DÜZCE</t>
  </si>
  <si>
    <t>GÜRÜN/SİVAS</t>
  </si>
  <si>
    <t>HOCALAR/AFYONKARAHİSAR</t>
  </si>
  <si>
    <t>HOPA/ARTVİN</t>
  </si>
  <si>
    <t>İHSANİYE/AFYONKARAHİSAR</t>
  </si>
  <si>
    <t>İPSALA/EDİRNE</t>
  </si>
  <si>
    <t>İSKİLİP/ÇORUM</t>
  </si>
  <si>
    <t>KADİRLİ/OSMANİYE</t>
  </si>
  <si>
    <t>KAHTA/ADIYAMAN</t>
  </si>
  <si>
    <t>KAMAN/KIRŞEHİR</t>
  </si>
  <si>
    <t>KARGI/ÇORUM</t>
  </si>
  <si>
    <t>KAYNAŞLI/DÜZCE</t>
  </si>
  <si>
    <t>KEÇİBORLU/ISPARTA</t>
  </si>
  <si>
    <t>KEŞAN/EDİRNE</t>
  </si>
  <si>
    <t>KEŞAP/GİRESUN</t>
  </si>
  <si>
    <t>KİLİMLİ/ZONGULDAK</t>
  </si>
  <si>
    <t>KOZLU/ZONGULDAK</t>
  </si>
  <si>
    <t>KURTALAN/SİİRT</t>
  </si>
  <si>
    <t>LAPSEKİ/ÇANAKKALE</t>
  </si>
  <si>
    <t>LÜLEBURGAZ/KIRKLARELİ</t>
  </si>
  <si>
    <t>MERKEZ/ADIYAMAN</t>
  </si>
  <si>
    <t>MERKEZ/AFYONKARAHİSAR</t>
  </si>
  <si>
    <t>MERKEZ/AĞRI</t>
  </si>
  <si>
    <t>MERKEZ/AKSARAY</t>
  </si>
  <si>
    <t>MERKEZ/AMASYA</t>
  </si>
  <si>
    <t>MERKEZ/ARDAHAN</t>
  </si>
  <si>
    <t>MERKEZ/ARTVİN</t>
  </si>
  <si>
    <t>MERKEZ/BARTIN</t>
  </si>
  <si>
    <t>MERKEZ/BATMAN</t>
  </si>
  <si>
    <t>MERKEZ/BİLECİK</t>
  </si>
  <si>
    <t>MERKEZ/BİNGÖL</t>
  </si>
  <si>
    <t>MERKEZ/BİTLİS</t>
  </si>
  <si>
    <t>MERKEZ/BOLU</t>
  </si>
  <si>
    <t>MERKEZ/BURDUR</t>
  </si>
  <si>
    <t>MERKEZ/ÇANAKKALE</t>
  </si>
  <si>
    <t>MERKEZ/ÇANKIRI</t>
  </si>
  <si>
    <t>MERKEZ/DÜZCE</t>
  </si>
  <si>
    <t>MERKEZ/EDİRNE</t>
  </si>
  <si>
    <t>MERKEZ/ELAZIĞ</t>
  </si>
  <si>
    <t>MERKEZ/ERZİNCAN</t>
  </si>
  <si>
    <t>MERKEZ/GİRESUN</t>
  </si>
  <si>
    <t>MERKEZ/GÜMÜŞHANE</t>
  </si>
  <si>
    <t>MERKEZ/IĞDIR</t>
  </si>
  <si>
    <t>MERKEZ/ISPARTA</t>
  </si>
  <si>
    <t>MERKEZ/KARABÜK</t>
  </si>
  <si>
    <t>MERKEZ/KARAMAN</t>
  </si>
  <si>
    <t>MERKEZ/KARS</t>
  </si>
  <si>
    <t>MERKEZ/KASTAMONU</t>
  </si>
  <si>
    <t>MERKEZ/KIRIKKALE</t>
  </si>
  <si>
    <t>MERKEZ/KIRKLARELİ</t>
  </si>
  <si>
    <t>MERKEZ/KIRŞEHİR</t>
  </si>
  <si>
    <t>MERKEZ/KİLİS</t>
  </si>
  <si>
    <t>MERKEZ/KÜTAHYA</t>
  </si>
  <si>
    <t>MERKEZ/MUŞ</t>
  </si>
  <si>
    <t>MERKEZ/NEVŞEHİR</t>
  </si>
  <si>
    <t>MERKEZ/NİĞDE</t>
  </si>
  <si>
    <t>MERKEZ/OSMANİYE</t>
  </si>
  <si>
    <t>MERKEZ/RİZE</t>
  </si>
  <si>
    <t>MERKEZ/SİİRT</t>
  </si>
  <si>
    <t>MERKEZ/SİNOP</t>
  </si>
  <si>
    <t>MERKEZ/SİVAS</t>
  </si>
  <si>
    <t>MERKEZ/TOKAT</t>
  </si>
  <si>
    <t>MERKEZ/TUNCELİ</t>
  </si>
  <si>
    <t>MERKEZ/UŞAK</t>
  </si>
  <si>
    <t>MERKEZ/YALOVA</t>
  </si>
  <si>
    <t>MERKEZ/YOZGAT</t>
  </si>
  <si>
    <t>MERKEZ/ZONGULDAK</t>
  </si>
  <si>
    <t>MERZİFON/AMASYA</t>
  </si>
  <si>
    <t>MUDURNU/BOLU</t>
  </si>
  <si>
    <t>NİKSAR/TOKAT</t>
  </si>
  <si>
    <t>ORTAKÖY/AKSARAY</t>
  </si>
  <si>
    <t>OSMANCIK/ÇORUM</t>
  </si>
  <si>
    <t>OSMANELİ/BİLECİK</t>
  </si>
  <si>
    <t>PATNOS/AĞRI</t>
  </si>
  <si>
    <t>PINARHİSAR/KIRKLARELİ</t>
  </si>
  <si>
    <t>REŞADİYE/TOKAT</t>
  </si>
  <si>
    <t>SAFRANBOLU/KARABÜK</t>
  </si>
  <si>
    <t>SANDIKLI/AFYONKARAHİSAR</t>
  </si>
  <si>
    <t>SEYDİLER/KASTAMONU</t>
  </si>
  <si>
    <t>SİMAV/KÜTAHYA</t>
  </si>
  <si>
    <t>SORGUN/YOZGAT</t>
  </si>
  <si>
    <t>SÖĞÜT/BİLECİK</t>
  </si>
  <si>
    <t>SULUOVA/AMASYA</t>
  </si>
  <si>
    <t>SUNGURLU/ÇORUM</t>
  </si>
  <si>
    <t>SUŞEHRİ/SİVAS</t>
  </si>
  <si>
    <t>ŞABANÖZÜ/ÇANKIRI</t>
  </si>
  <si>
    <t>ŞARKIŞLA/SİVAS</t>
  </si>
  <si>
    <t>ŞARKİKARAAĞAÇ/ISPARTA</t>
  </si>
  <si>
    <t>ŞEFAATLİ/YOZGAT</t>
  </si>
  <si>
    <t>TAŞOVA/AMASYA</t>
  </si>
  <si>
    <t>TATVAN/BİTLİS</t>
  </si>
  <si>
    <t>TAVŞANLI/KÜTAHYA</t>
  </si>
  <si>
    <t>TİREBOLU/GİRESUN</t>
  </si>
  <si>
    <t>TOPRAKKALE/OSMANİYE</t>
  </si>
  <si>
    <t>TOSYA/KASTAMONU</t>
  </si>
  <si>
    <t>TURHAL/TOKAT</t>
  </si>
  <si>
    <t>ULUBEY/UŞAK</t>
  </si>
  <si>
    <t>UZUNKÖPRÜ/EDİRNE</t>
  </si>
  <si>
    <t>ÜRGÜP/NEVŞEHİR</t>
  </si>
  <si>
    <t>VİZE/KIRKLARELİ</t>
  </si>
  <si>
    <t>YAHŞİHAN/KIRIKKALE</t>
  </si>
  <si>
    <t>YALVAÇ/ISPARTA</t>
  </si>
  <si>
    <t>YERKÖY/YOZGAT</t>
  </si>
  <si>
    <t>ZİLE/TOKAT</t>
  </si>
  <si>
    <t>TR300001001436075215365001</t>
  </si>
  <si>
    <t>KIZILKÖY</t>
  </si>
  <si>
    <t>MAĞARACIK</t>
  </si>
  <si>
    <t>YENİYURT</t>
  </si>
  <si>
    <t>BEYOĞLU</t>
  </si>
  <si>
    <t>AKBAYIR</t>
  </si>
  <si>
    <t>BÜYÜKNACAR</t>
  </si>
  <si>
    <t>DOĞANYURT</t>
  </si>
  <si>
    <t>REİS</t>
  </si>
  <si>
    <t>BAKIR</t>
  </si>
  <si>
    <t>NURİYE</t>
  </si>
  <si>
    <t>SUMBAŞ</t>
  </si>
  <si>
    <t>AMBARTEPE</t>
  </si>
  <si>
    <t>ŞİRVAN</t>
  </si>
  <si>
    <t>ADACIK</t>
  </si>
  <si>
    <t>YILDIZLI</t>
  </si>
  <si>
    <t>ADANA BÜYÜKŞEHİR/ADANA</t>
  </si>
  <si>
    <t>AKPINAR/KIRŞEHİR</t>
  </si>
  <si>
    <t>ANKARA BÜYÜKŞEHİR/ANKARA</t>
  </si>
  <si>
    <t>ANTALYA BÜYÜKŞEHİR/ANTALYA</t>
  </si>
  <si>
    <t>AYDIN BÜYÜKŞEHİR/AYDIN</t>
  </si>
  <si>
    <t>BALIKESİR BÜYÜKŞEHİR/BALIKESİR</t>
  </si>
  <si>
    <t>BURSA BÜYÜKŞEHİR/BURSA</t>
  </si>
  <si>
    <t>ÇILDIR/ARDAHAN</t>
  </si>
  <si>
    <t>DAZKIRI/AFYONKARAHİSAR</t>
  </si>
  <si>
    <t>DENİZLİ BÜYÜKŞEHİR/DENİZLİ</t>
  </si>
  <si>
    <t>DİYARBAKIR BÜYÜKŞEHİR/DİYARBAKIR</t>
  </si>
  <si>
    <t>ERZURUM BÜYÜKŞEHİR/ERZURUM</t>
  </si>
  <si>
    <t>ESKİŞEHİR BÜYÜKŞEHİR/ESKİŞEHİR</t>
  </si>
  <si>
    <t>GAZİANTEP BÜYÜKŞEHİR/GAZİANTEP</t>
  </si>
  <si>
    <t>GEDİZ/KÜTAHYA</t>
  </si>
  <si>
    <t>HATAY BÜYÜKŞEHİR/HATAY</t>
  </si>
  <si>
    <t>İSTANBUL BÜYÜKŞEHİR/İSTANBUL</t>
  </si>
  <si>
    <t>İZMİR BÜYÜKŞEHİR/İZMİR</t>
  </si>
  <si>
    <t>KAHRAMANMARAŞ BÜYÜKŞEHİR/KAHRAMANMARAŞ</t>
  </si>
  <si>
    <t>KAYSERİ BÜYÜKŞEHİR/KAYSERİ</t>
  </si>
  <si>
    <t>KOCAELİ BÜYÜKŞEHİR/KOCAELİ</t>
  </si>
  <si>
    <t>KONYA BÜYÜKŞEHİR/KONYA</t>
  </si>
  <si>
    <t>MALATYA BÜYÜKŞEHİR/MALATYA</t>
  </si>
  <si>
    <t>MANİSA BÜYÜKŞEHİR/MANİSA</t>
  </si>
  <si>
    <t>MERKEZ/ÇORUM</t>
  </si>
  <si>
    <t>MERSİN BÜYÜKŞEHİR/MERSİN</t>
  </si>
  <si>
    <t>MUĞLA BÜYÜKŞEHİR/MUĞLA</t>
  </si>
  <si>
    <t>ORDU BÜYÜKŞEHİR/ORDU</t>
  </si>
  <si>
    <t>SAKARYA BÜYÜKŞEHİR/SAKARYA</t>
  </si>
  <si>
    <t>SAMSUN BÜYÜKŞEHİR/SAMSUN</t>
  </si>
  <si>
    <t>SİNANPAŞA /AFYONKARAHİSAR</t>
  </si>
  <si>
    <t>ŞANLIURFA BÜYÜKŞEHİR/ŞANLIURFA</t>
  </si>
  <si>
    <t>ŞUHUT/AFYONKARAHİSAR</t>
  </si>
  <si>
    <t>TEKİRDAĞ BÜYÜKŞEHİR/TEKİRDAĞ</t>
  </si>
  <si>
    <t>TRABZON BÜYÜKŞEHİR/TRABZON</t>
  </si>
  <si>
    <t>ULUS/BARTIN</t>
  </si>
  <si>
    <t>VAN BÜYÜKŞEHİR/VAN</t>
  </si>
  <si>
    <t>YENİCE/ÇANAKKALE</t>
  </si>
  <si>
    <t>YUSUFELİ/ARTVİN</t>
  </si>
  <si>
    <t>DOĞANYURT / KASTAMONU</t>
  </si>
  <si>
    <t>ŞİRVAN / SİİRT</t>
  </si>
  <si>
    <t>AKPINAR  / KIRŞEHİR</t>
  </si>
  <si>
    <t>SUMBAŞ / OSMANİYE</t>
  </si>
  <si>
    <t>TR100001001702284255495001</t>
  </si>
  <si>
    <t>TR560001000697253610555001</t>
  </si>
  <si>
    <t>Tunceli Belediyesi</t>
  </si>
  <si>
    <t>tuncelibelediyesi@hs01.kep.tr</t>
  </si>
  <si>
    <t>BÜYÜKDERE</t>
  </si>
  <si>
    <t>SİVRİCEK</t>
  </si>
  <si>
    <t>DEDEBAĞ</t>
  </si>
  <si>
    <t>TARAŞÇI</t>
  </si>
  <si>
    <t>ARAKLI</t>
  </si>
  <si>
    <t>DOĞANKÖY</t>
  </si>
  <si>
    <t>Grand Total</t>
  </si>
  <si>
    <t>ÇAMLIHEMŞİN/RİZE</t>
  </si>
  <si>
    <t>ELDİVAN/ÇANKIRI</t>
  </si>
  <si>
    <t>KARAMANLI/BURDUR</t>
  </si>
  <si>
    <t>SİNANPAŞA/AFYONKARAHİSAR</t>
  </si>
  <si>
    <t>ÇUKURCA / HAKKARİ</t>
  </si>
  <si>
    <t>TR750001000705125594735001</t>
  </si>
  <si>
    <t>SARIYAR</t>
  </si>
  <si>
    <t>GÜLLÜBAHÇE</t>
  </si>
  <si>
    <t>ILICA-ŞİFA</t>
  </si>
  <si>
    <t>ÇAMELİ</t>
  </si>
  <si>
    <t>EMİRHİSAR</t>
  </si>
  <si>
    <t>ODABAŞI</t>
  </si>
  <si>
    <t>YAYLICA</t>
  </si>
  <si>
    <t>BÖLCEK</t>
  </si>
  <si>
    <t>YEŞİLYÖRE</t>
  </si>
  <si>
    <t>GÖLÇAYIR</t>
  </si>
  <si>
    <t>HOTAMIŞ</t>
  </si>
  <si>
    <t>KARAHÜYÜK</t>
  </si>
  <si>
    <t>SANDAL</t>
  </si>
  <si>
    <t>ZEYTİNLİOVA</t>
  </si>
  <si>
    <t>KÖSEÇOBANLI</t>
  </si>
  <si>
    <t>KABATAŞ</t>
  </si>
  <si>
    <t>GÖL</t>
  </si>
  <si>
    <t>ERUH</t>
  </si>
  <si>
    <t>AKÇAKALE</t>
  </si>
  <si>
    <t>HİLVAN</t>
  </si>
  <si>
    <t>KOZYÖRÜK</t>
  </si>
  <si>
    <t>DERNEKPAZARI</t>
  </si>
  <si>
    <t>SİNİK</t>
  </si>
  <si>
    <t>ACIGÖL/NEVŞEHİR</t>
  </si>
  <si>
    <t>ALTINTAŞ/KÜTAHYA</t>
  </si>
  <si>
    <t>BANAZ/UŞAK</t>
  </si>
  <si>
    <t>BAYRAMİÇ/ÇANAKKALE</t>
  </si>
  <si>
    <t>ÇEKEREK/YOZGAT</t>
  </si>
  <si>
    <t>ÇİFTLİK/NİĞDE</t>
  </si>
  <si>
    <t>ÇİLİMLİ/DÜZCE</t>
  </si>
  <si>
    <t>GÖRELE/GİRESUN</t>
  </si>
  <si>
    <t>ILGAZ/ÇANKIRI</t>
  </si>
  <si>
    <t>İSCEHİSAR/AFYONKARAHİSAR</t>
  </si>
  <si>
    <t>KARAHALLI/UŞAK</t>
  </si>
  <si>
    <t>KELKİT/GÜMÜŞHANE</t>
  </si>
  <si>
    <t>SARIVELİLER/KARAMAN</t>
  </si>
  <si>
    <t>SENİRKENT/ISPARTA</t>
  </si>
  <si>
    <t>SULTANHANI/AKSARAY</t>
  </si>
  <si>
    <t>ŞEBİNKARAHİSAR/GİRESUN</t>
  </si>
  <si>
    <t>TÜRKELİ/SİNOP</t>
  </si>
  <si>
    <t>YENİÇAĞA/BOLU</t>
  </si>
  <si>
    <t>YENİFAKILI/YOZGAT</t>
  </si>
  <si>
    <t>ERUH / SİİRT</t>
  </si>
  <si>
    <t>TR570001000442081200395016</t>
  </si>
  <si>
    <t>TR510001200964600007000038</t>
  </si>
  <si>
    <t>FEKE</t>
  </si>
  <si>
    <t>SAĞKAYA</t>
  </si>
  <si>
    <t>SARIMAZI</t>
  </si>
  <si>
    <t>AFŞAR</t>
  </si>
  <si>
    <t>KELES</t>
  </si>
  <si>
    <t>DUACILI</t>
  </si>
  <si>
    <t>KIRALAN</t>
  </si>
  <si>
    <t>BAYRAMBAŞI</t>
  </si>
  <si>
    <t>ÇAMLIKAYA</t>
  </si>
  <si>
    <t>ESENCE</t>
  </si>
  <si>
    <t>EMEN</t>
  </si>
  <si>
    <t>KÜTÜKUŞAĞI</t>
  </si>
  <si>
    <t>YUKARIÇİĞİL</t>
  </si>
  <si>
    <t>PAZARLAR</t>
  </si>
  <si>
    <t>GÖKKAYA</t>
  </si>
  <si>
    <t>DÜZYAYLA</t>
  </si>
  <si>
    <t>HÜSEYİNMESCİT</t>
  </si>
  <si>
    <t>YÖRÜKLER</t>
  </si>
  <si>
    <t>ŞALPAZARI</t>
  </si>
  <si>
    <t>AKDAĞMADENİ/YOZGAT</t>
  </si>
  <si>
    <t>BOZKURT/KASTAMONU</t>
  </si>
  <si>
    <t>DERELİ/GİRESUN</t>
  </si>
  <si>
    <t>GELENDOST/ISPARTA</t>
  </si>
  <si>
    <t>KESKİN/KIRIKKALE</t>
  </si>
  <si>
    <t>MUCUR/KIRŞEHİR</t>
  </si>
  <si>
    <t>MARDİN BÜYÜKŞEHİR/MARDİN</t>
  </si>
  <si>
    <t>PAZARLAR / KÜTAHYA</t>
  </si>
  <si>
    <t>TR100001001426254766015001</t>
  </si>
  <si>
    <t>Tower20206.</t>
  </si>
  <si>
    <t>TR640001200136000007000009</t>
  </si>
  <si>
    <t>SAİMBEYLİ</t>
  </si>
  <si>
    <t>BUMSUZ</t>
  </si>
  <si>
    <t>BIYIKLI</t>
  </si>
  <si>
    <t>KAKLIK</t>
  </si>
  <si>
    <t>YASSIHÖYÜK</t>
  </si>
  <si>
    <t>ALACAKAYA</t>
  </si>
  <si>
    <t>HORASAN</t>
  </si>
  <si>
    <t>NASRETTİN HOCA</t>
  </si>
  <si>
    <t>EKİNCİ</t>
  </si>
  <si>
    <t>GÜZELBURÇ</t>
  </si>
  <si>
    <t>YEŞİLPINAR</t>
  </si>
  <si>
    <t>ÇAĞLAYANCERİT</t>
  </si>
  <si>
    <t>DEĞİRMENDERE</t>
  </si>
  <si>
    <t>EVRİ</t>
  </si>
  <si>
    <t>GEBEN</t>
  </si>
  <si>
    <t>IZGIN</t>
  </si>
  <si>
    <t>B.TUZHİSAR</t>
  </si>
  <si>
    <t>FELAHİYE</t>
  </si>
  <si>
    <t>KARAÖZÜ</t>
  </si>
  <si>
    <t>AKÇABELEN</t>
  </si>
  <si>
    <t>ARGITHANI</t>
  </si>
  <si>
    <t>BULDUK</t>
  </si>
  <si>
    <t>ÇAKILLAR</t>
  </si>
  <si>
    <t>GEVREKLİ</t>
  </si>
  <si>
    <t>ZİNCİRLİKUYU</t>
  </si>
  <si>
    <t>MEDAR</t>
  </si>
  <si>
    <t>ZEYNE</t>
  </si>
  <si>
    <t>YEŞİLBAĞCILAR</t>
  </si>
  <si>
    <t>ALANKENT</t>
  </si>
  <si>
    <t>FİZME</t>
  </si>
  <si>
    <t>HÜRRİYET</t>
  </si>
  <si>
    <t>LADİK</t>
  </si>
  <si>
    <t>YAKAKENT</t>
  </si>
  <si>
    <t>BALABAN</t>
  </si>
  <si>
    <t>ESİROĞLU</t>
  </si>
  <si>
    <t>ÇALDIRAN</t>
  </si>
  <si>
    <t>ABANA/KASTAMONU</t>
  </si>
  <si>
    <t>AĞAÇÖREN/AKSARAY</t>
  </si>
  <si>
    <t>AHLAT/BİTLİS</t>
  </si>
  <si>
    <t>ALTINYAYLA/BURDUR</t>
  </si>
  <si>
    <t>ALTUNHİSAR/NİĞDE</t>
  </si>
  <si>
    <t>ARTOVA/TOKAT</t>
  </si>
  <si>
    <t>DERİNKUYU/NEVŞEHİR</t>
  </si>
  <si>
    <t>DEVREKANİ/KASTAMONU</t>
  </si>
  <si>
    <t>ESKİPAZAR/KARABÜK</t>
  </si>
  <si>
    <t>EŞME/UŞAK</t>
  </si>
  <si>
    <t>GEMEREK/SİVAS</t>
  </si>
  <si>
    <t>GERCÜŞ/BATMAN</t>
  </si>
  <si>
    <t>GÖLPAZARI/BİLECİK</t>
  </si>
  <si>
    <t>HANAK/ARDAHAN</t>
  </si>
  <si>
    <t>HAVSA/EDİRNE</t>
  </si>
  <si>
    <t>İYİDERE/RİZE</t>
  </si>
  <si>
    <t>KALKANDERE/RİZE</t>
  </si>
  <si>
    <t>KARAKOÇAN/ELAZIĞ</t>
  </si>
  <si>
    <t>KAZIMKARABEKİR/KARAMAN</t>
  </si>
  <si>
    <t>KEMALİYE/ERZİNCAN</t>
  </si>
  <si>
    <t>MERKEZ/BAYBURT</t>
  </si>
  <si>
    <t>PİRAZİZ/GİRESUN</t>
  </si>
  <si>
    <t>POSOF/ARDAHAN</t>
  </si>
  <si>
    <t>SİNCİK/ADIYAMAN</t>
  </si>
  <si>
    <t>SULAKYURT/KIRIKKALE</t>
  </si>
  <si>
    <t>TERMAL/YALOVA</t>
  </si>
  <si>
    <t>ULUBORLU/ISPARTA</t>
  </si>
  <si>
    <t>ULUKIŞLA/NİĞDE</t>
  </si>
  <si>
    <t>YENİCE/KARABÜK</t>
  </si>
  <si>
    <t>YIĞILCA/DÜZCE</t>
  </si>
  <si>
    <t>YILDIZELİ/SİVAS</t>
  </si>
  <si>
    <t>ALACAKAYA / ELAZIĞ</t>
  </si>
  <si>
    <t>İstanbul Büyükşehir</t>
  </si>
  <si>
    <t>NİSAN</t>
  </si>
  <si>
    <t>TR130001001627277305345004</t>
  </si>
  <si>
    <t>E-BEYANNAME</t>
  </si>
  <si>
    <t>MERCİMEK</t>
  </si>
  <si>
    <t>MUSTAFABEYLİ</t>
  </si>
  <si>
    <t>ZEYTİNBEYLİ</t>
  </si>
  <si>
    <t>ÇAĞA</t>
  </si>
  <si>
    <t>OLTAN</t>
  </si>
  <si>
    <t>YURTBEYLİ</t>
  </si>
  <si>
    <t>BAŞARAN</t>
  </si>
  <si>
    <t>HIDIRBEYLİ</t>
  </si>
  <si>
    <t>HORSUNLU</t>
  </si>
  <si>
    <t>İVRİNDİ</t>
  </si>
  <si>
    <t>KORUCU</t>
  </si>
  <si>
    <t>MANYAS</t>
  </si>
  <si>
    <t>BAHARLAR</t>
  </si>
  <si>
    <t>ÇAĞIRGAN</t>
  </si>
  <si>
    <t>ÇITAK</t>
  </si>
  <si>
    <t>GÜMÜŞSU</t>
  </si>
  <si>
    <t>HANÇALAR</t>
  </si>
  <si>
    <t>IRGILLI</t>
  </si>
  <si>
    <t>KARAÇAY</t>
  </si>
  <si>
    <t>KOCABAŞ</t>
  </si>
  <si>
    <t>TOSUNLAR</t>
  </si>
  <si>
    <t>ULUKENT</t>
  </si>
  <si>
    <t>YAZIR</t>
  </si>
  <si>
    <t>YUMRUTAŞ</t>
  </si>
  <si>
    <t>YUKARISALAT</t>
  </si>
  <si>
    <t>MADEN KÖPRÜBAŞI</t>
  </si>
  <si>
    <t>PAŞALI</t>
  </si>
  <si>
    <t>ŞEKERLİ</t>
  </si>
  <si>
    <t>UZUNDERE</t>
  </si>
  <si>
    <t>ALTINÜZÜM</t>
  </si>
  <si>
    <t>FEVZİPAŞA</t>
  </si>
  <si>
    <t>ŞATIRHÜYÜK</t>
  </si>
  <si>
    <t>ULUYATIR</t>
  </si>
  <si>
    <t>AKBEZ</t>
  </si>
  <si>
    <t>AKNEHİR</t>
  </si>
  <si>
    <t>AKTEPE</t>
  </si>
  <si>
    <t>ARDIÇLI</t>
  </si>
  <si>
    <t>ÇEKMECE</t>
  </si>
  <si>
    <t>HASSA</t>
  </si>
  <si>
    <t>KIŞLAK</t>
  </si>
  <si>
    <t>KÜRECİ</t>
  </si>
  <si>
    <t>MIZRAKLI</t>
  </si>
  <si>
    <t>SUTAŞI</t>
  </si>
  <si>
    <t>ARITAŞ</t>
  </si>
  <si>
    <t>DOĞAN</t>
  </si>
  <si>
    <t>KARAELBİSTAN</t>
  </si>
  <si>
    <t>TANIR</t>
  </si>
  <si>
    <t>YUMAKLICERİT</t>
  </si>
  <si>
    <t>DADALOĞLU</t>
  </si>
  <si>
    <t>DEREBAĞ</t>
  </si>
  <si>
    <t>KAYNAR</t>
  </si>
  <si>
    <t>AKÇALAR</t>
  </si>
  <si>
    <t>ALİBEYHÜYÜĞÜ</t>
  </si>
  <si>
    <t>ALTINEKİN</t>
  </si>
  <si>
    <t>ARIKÖREN</t>
  </si>
  <si>
    <t>AŞAĞIÇİĞİL</t>
  </si>
  <si>
    <t>AŞAĞIESENCE</t>
  </si>
  <si>
    <t>BAŞAVŞAR</t>
  </si>
  <si>
    <t>BOSTANDERE</t>
  </si>
  <si>
    <t>DEDEMLİ</t>
  </si>
  <si>
    <t>DOĞRUGÖZ</t>
  </si>
  <si>
    <t>ENGİLİ</t>
  </si>
  <si>
    <t>GÜLYAKA</t>
  </si>
  <si>
    <t>GÜVERCİNLİK</t>
  </si>
  <si>
    <t>HUĞLU</t>
  </si>
  <si>
    <t>KANDİL</t>
  </si>
  <si>
    <t>KAYABAŞI</t>
  </si>
  <si>
    <t>KAYALI</t>
  </si>
  <si>
    <t>KELHASAN</t>
  </si>
  <si>
    <t>KESECİK</t>
  </si>
  <si>
    <t>KETENLİ</t>
  </si>
  <si>
    <t>SADIKHACI</t>
  </si>
  <si>
    <t>KOCAÖZÜ</t>
  </si>
  <si>
    <t>POLAT</t>
  </si>
  <si>
    <t>GELEMBE</t>
  </si>
  <si>
    <t>GÖKÇEKÖY</t>
  </si>
  <si>
    <t>İSHAKÇELEBİ</t>
  </si>
  <si>
    <t>ACIRLI</t>
  </si>
  <si>
    <t>DARGEÇİT</t>
  </si>
  <si>
    <t>GELİNKAYA</t>
  </si>
  <si>
    <t>TEKMEN</t>
  </si>
  <si>
    <t>ÇAYBOYU</t>
  </si>
  <si>
    <t>MENTEŞE</t>
  </si>
  <si>
    <t>AKKUŞ</t>
  </si>
  <si>
    <t>ÇAYBAŞI</t>
  </si>
  <si>
    <t>GÖLKÖY</t>
  </si>
  <si>
    <t>GÜRGENTEPE</t>
  </si>
  <si>
    <t>İLKÜVEZ</t>
  </si>
  <si>
    <t>TOPÇAM</t>
  </si>
  <si>
    <t>SİNANOĞLU</t>
  </si>
  <si>
    <t>KOCAMAN</t>
  </si>
  <si>
    <t>PEKMEZLİ</t>
  </si>
  <si>
    <t>YAYLAK(BOZOVA)</t>
  </si>
  <si>
    <t>ÇAMBURNU</t>
  </si>
  <si>
    <t>KIYICIK</t>
  </si>
  <si>
    <t>OYLUM</t>
  </si>
  <si>
    <t>UĞURLU</t>
  </si>
  <si>
    <t>GEVAŞ</t>
  </si>
  <si>
    <t>AKSU/ISPARTA</t>
  </si>
  <si>
    <t>ALUCRA/GİRESUN</t>
  </si>
  <si>
    <t>AZDAVAY/KASTAMONU</t>
  </si>
  <si>
    <t>BAHÇE/OSMANİYE</t>
  </si>
  <si>
    <t>BAŞVERİMLİ/ŞIRNAK</t>
  </si>
  <si>
    <t>ÇAVDARHİSAR/KÜTAHYA</t>
  </si>
  <si>
    <t>ÇAY/AFYONKARAHİSAR</t>
  </si>
  <si>
    <t>ÇELİKHAN/ADIYAMAN</t>
  </si>
  <si>
    <t>ÇEMİŞGEZEK/TUNCELİ</t>
  </si>
  <si>
    <t>ÇİÇEKDAĞI/KIRŞEHİR</t>
  </si>
  <si>
    <t>DAMAL/ARDAHAN</t>
  </si>
  <si>
    <t>DELİCE/KIRIKKALE</t>
  </si>
  <si>
    <t>DEREPAZARI/RİZE</t>
  </si>
  <si>
    <t>DODURGA/ÇORUM</t>
  </si>
  <si>
    <t>DOĞANŞAR/SİVAS</t>
  </si>
  <si>
    <t>DURAĞAN/SİNOP</t>
  </si>
  <si>
    <t>ERMENEK/KARAMAN</t>
  </si>
  <si>
    <t>GÖYNÜCEK/AMASYA</t>
  </si>
  <si>
    <t>GÖYNÜK/BOLU</t>
  </si>
  <si>
    <t>GÜCE/GİRESUN</t>
  </si>
  <si>
    <t>GÜNEYSU/RİZE</t>
  </si>
  <si>
    <t>GÜZELYURT/AKSARAY</t>
  </si>
  <si>
    <t>HAFİK/SİVAS</t>
  </si>
  <si>
    <t>HASKÖY/MUŞ</t>
  </si>
  <si>
    <t>HİSARCIK/KÜTAHYA</t>
  </si>
  <si>
    <t>İLİÇ/ERZİNCAN</t>
  </si>
  <si>
    <t>İNEBOLU/KASTAMONU</t>
  </si>
  <si>
    <t>KAĞIZMAN/KARS</t>
  </si>
  <si>
    <t>KANGAL/SİVAS</t>
  </si>
  <si>
    <t>KARLIOVA/BİNGÖL</t>
  </si>
  <si>
    <t>KEMAH/ERZİNCAN</t>
  </si>
  <si>
    <t>KOVANCILAR/ELAZIĞ</t>
  </si>
  <si>
    <t>KURUCAŞİLE/BARTIN</t>
  </si>
  <si>
    <t>KÜRE/KASTAMONU</t>
  </si>
  <si>
    <t>MALAZGİRT/MUŞ</t>
  </si>
  <si>
    <t>MECİTÖZÜ/ÇORUM</t>
  </si>
  <si>
    <t>OĞUZLAR/ÇORUM</t>
  </si>
  <si>
    <t>ORTA/ÇANKIRI</t>
  </si>
  <si>
    <t>PAZARLAR/KÜTAHYA</t>
  </si>
  <si>
    <t>PEHLİVANKÖY/KIRKLARELİ</t>
  </si>
  <si>
    <t>SİVASLI/UŞAK</t>
  </si>
  <si>
    <t>SİVRİCE/ELAZIĞ</t>
  </si>
  <si>
    <t>SULTANDAĞI/AFYONKARAHİSAR</t>
  </si>
  <si>
    <t>SUMBAŞ/OSMANİYE</t>
  </si>
  <si>
    <t>ŞAPHANE/KÜTAHYA</t>
  </si>
  <si>
    <t>ŞENPAZAR/KASTAMONU</t>
  </si>
  <si>
    <t>TAŞKÖPRÜ/KASTAMONU</t>
  </si>
  <si>
    <t>TERCAN/ERZİNCAN</t>
  </si>
  <si>
    <t>MAYIS 2026 YSV TUTARI</t>
  </si>
  <si>
    <t>(Bir Milyon YüzonüçBin Dörtyüzbeş TL Kırksekiz Kuruş)' un</t>
  </si>
  <si>
    <t>TR790013400000525435300066</t>
  </si>
  <si>
    <t>bilgi işlem güldem mutlu - 0232 293 18 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</si>
</sst>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_);_(* \(#,##0\);_(* &quot;-&quot;_);_(@_)"/>
    <numFmt numFmtId="165" formatCode="_(* #,##0.00_);_(* \(#,##0.00\);_(* &quot;-&quot;??_);_(@_)"/>
    <numFmt numFmtId="166" formatCode="_-* #,##0.00\ _₺_-;\-* #,##0.00\ _₺_-;_-* &quot;-&quot;??\ _₺_-;_-@_-"/>
    <numFmt numFmtId="167" formatCode="#,##0.00_ ;[Red]\-#,##0.00\ "/>
    <numFmt numFmtId="168" formatCode="#,##0.00\ &quot;TL&quot;"/>
  </numFmts>
  <fonts count="57" x14ac:knownFonts="1">
    <font>
      <sz val="10"/>
      <name val="Arial"/>
      <charset val="162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0"/>
      <name val="Arial"/>
      <family val="2"/>
      <charset val="162"/>
    </font>
    <font>
      <sz val="10"/>
      <name val="Arial"/>
      <family val="2"/>
      <charset val="162"/>
    </font>
    <font>
      <sz val="10"/>
      <name val="Helv"/>
    </font>
    <font>
      <b/>
      <sz val="11"/>
      <name val="Arial"/>
      <family val="2"/>
      <charset val="162"/>
    </font>
    <font>
      <b/>
      <sz val="10"/>
      <name val="Arial"/>
      <family val="2"/>
      <charset val="162"/>
    </font>
    <font>
      <sz val="10"/>
      <name val="Arial"/>
      <family val="2"/>
      <charset val="162"/>
    </font>
    <font>
      <b/>
      <sz val="12"/>
      <name val="Arial"/>
      <family val="2"/>
      <charset val="162"/>
    </font>
    <font>
      <b/>
      <sz val="10"/>
      <color indexed="12"/>
      <name val="Arial"/>
      <family val="2"/>
      <charset val="162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"/>
      <name val="Arial"/>
      <family val="2"/>
      <charset val="162"/>
    </font>
    <font>
      <sz val="10"/>
      <name val="Arial"/>
      <family val="2"/>
      <charset val="162"/>
    </font>
    <font>
      <sz val="10"/>
      <name val="Arial"/>
      <family val="2"/>
      <charset val="162"/>
    </font>
    <font>
      <sz val="10"/>
      <name val="Arial"/>
      <family val="2"/>
      <charset val="162"/>
    </font>
    <font>
      <sz val="10"/>
      <name val="Arial"/>
      <family val="2"/>
      <charset val="162"/>
    </font>
    <font>
      <sz val="10"/>
      <name val="Arial"/>
      <family val="2"/>
      <charset val="162"/>
    </font>
    <font>
      <sz val="10"/>
      <color theme="1"/>
      <name val="Arial"/>
      <family val="2"/>
      <charset val="162"/>
    </font>
    <font>
      <sz val="10"/>
      <name val="Arial"/>
      <family val="2"/>
      <charset val="162"/>
    </font>
    <font>
      <b/>
      <sz val="10"/>
      <color rgb="FFFF0000"/>
      <name val="Arial"/>
      <family val="2"/>
      <charset val="162"/>
    </font>
    <font>
      <u/>
      <sz val="10"/>
      <color indexed="12"/>
      <name val="Arial"/>
      <family val="2"/>
      <charset val="162"/>
    </font>
    <font>
      <sz val="10"/>
      <color rgb="FF000000"/>
      <name val="Segoe UI"/>
      <family val="2"/>
      <charset val="162"/>
    </font>
    <font>
      <b/>
      <sz val="10"/>
      <color theme="1"/>
      <name val="Arial"/>
      <family val="2"/>
      <charset val="162"/>
    </font>
    <font>
      <sz val="10"/>
      <name val="Arial"/>
      <family val="2"/>
      <charset val="162"/>
    </font>
    <font>
      <b/>
      <u/>
      <sz val="12"/>
      <name val="Arial"/>
      <family val="2"/>
      <charset val="162"/>
    </font>
    <font>
      <u/>
      <sz val="10"/>
      <color theme="10"/>
      <name val="Arial"/>
      <family val="2"/>
      <charset val="162"/>
    </font>
    <font>
      <b/>
      <sz val="11"/>
      <color theme="1"/>
      <name val="Calibri"/>
      <family val="2"/>
      <charset val="162"/>
      <scheme val="minor"/>
    </font>
    <font>
      <sz val="11"/>
      <color indexed="8"/>
      <name val="Calibri"/>
      <family val="2"/>
      <charset val="162"/>
    </font>
    <font>
      <sz val="10"/>
      <color rgb="FFFF0000"/>
      <name val="Arial"/>
      <family val="2"/>
      <charset val="162"/>
    </font>
    <font>
      <u/>
      <sz val="10"/>
      <color rgb="FFFF0000"/>
      <name val="Arial"/>
      <family val="2"/>
      <charset val="162"/>
    </font>
    <font>
      <b/>
      <sz val="11"/>
      <color rgb="FFFF0000"/>
      <name val="Calibri"/>
      <family val="2"/>
      <charset val="162"/>
      <scheme val="minor"/>
    </font>
    <font>
      <sz val="10"/>
      <color rgb="FF6C757D"/>
      <name val="Arial"/>
      <family val="2"/>
      <charset val="162"/>
    </font>
  </fonts>
  <fills count="12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99">
    <xf numFmtId="0" fontId="0" fillId="0" borderId="0"/>
    <xf numFmtId="0" fontId="22" fillId="0" borderId="0"/>
    <xf numFmtId="164" fontId="21" fillId="0" borderId="0" applyFont="0" applyFill="0" applyBorder="0" applyAlignment="0" applyProtection="0"/>
    <xf numFmtId="4" fontId="22" fillId="0" borderId="0" applyFont="0" applyFill="0" applyBorder="0" applyAlignment="0" applyProtection="0"/>
    <xf numFmtId="0" fontId="19" fillId="0" borderId="0"/>
    <xf numFmtId="0" fontId="20" fillId="0" borderId="0"/>
    <xf numFmtId="0" fontId="18" fillId="0" borderId="0"/>
    <xf numFmtId="0" fontId="17" fillId="0" borderId="0"/>
    <xf numFmtId="0" fontId="37" fillId="0" borderId="0"/>
    <xf numFmtId="0" fontId="16" fillId="0" borderId="0"/>
    <xf numFmtId="0" fontId="38" fillId="0" borderId="0"/>
    <xf numFmtId="0" fontId="15" fillId="0" borderId="0"/>
    <xf numFmtId="0" fontId="20" fillId="0" borderId="0"/>
    <xf numFmtId="0" fontId="20" fillId="0" borderId="0"/>
    <xf numFmtId="0" fontId="14" fillId="0" borderId="0"/>
    <xf numFmtId="0" fontId="39" fillId="0" borderId="0"/>
    <xf numFmtId="0" fontId="13" fillId="0" borderId="0"/>
    <xf numFmtId="0" fontId="40" fillId="0" borderId="0"/>
    <xf numFmtId="0" fontId="20" fillId="0" borderId="0"/>
    <xf numFmtId="0" fontId="20" fillId="0" borderId="0"/>
    <xf numFmtId="0" fontId="41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20" fillId="0" borderId="0"/>
    <xf numFmtId="0" fontId="9" fillId="0" borderId="0"/>
    <xf numFmtId="0" fontId="20" fillId="0" borderId="0"/>
    <xf numFmtId="0" fontId="8" fillId="0" borderId="0"/>
    <xf numFmtId="0" fontId="7" fillId="0" borderId="0"/>
    <xf numFmtId="0" fontId="6" fillId="0" borderId="0"/>
    <xf numFmtId="0" fontId="2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/>
    <xf numFmtId="0" fontId="20" fillId="0" borderId="0"/>
    <xf numFmtId="0" fontId="45" fillId="0" borderId="0" applyNumberFormat="0" applyFill="0" applyBorder="0" applyAlignment="0" applyProtection="0">
      <alignment vertical="top"/>
      <protection locked="0"/>
    </xf>
    <xf numFmtId="0" fontId="5" fillId="0" borderId="0"/>
    <xf numFmtId="9" fontId="48" fillId="0" borderId="0" applyFont="0" applyFill="0" applyBorder="0" applyAlignment="0" applyProtection="0"/>
    <xf numFmtId="0" fontId="50" fillId="0" borderId="0" applyNumberFormat="0" applyFill="0" applyBorder="0" applyAlignment="0" applyProtection="0"/>
    <xf numFmtId="0" fontId="4" fillId="0" borderId="0"/>
    <xf numFmtId="0" fontId="2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5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2" fillId="0" borderId="0"/>
    <xf numFmtId="0" fontId="1" fillId="0" borderId="0"/>
  </cellStyleXfs>
  <cellXfs count="142">
    <xf numFmtId="0" fontId="0" fillId="0" borderId="0" xfId="0"/>
    <xf numFmtId="3" fontId="0" fillId="0" borderId="0" xfId="0" applyNumberFormat="1"/>
    <xf numFmtId="0" fontId="27" fillId="0" borderId="0" xfId="0" applyFont="1" applyAlignment="1">
      <alignment horizontal="left"/>
    </xf>
    <xf numFmtId="0" fontId="24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0" fillId="0" borderId="3" xfId="0" applyBorder="1"/>
    <xf numFmtId="0" fontId="0" fillId="0" borderId="0" xfId="0" applyAlignment="1">
      <alignment horizontal="right"/>
    </xf>
    <xf numFmtId="0" fontId="28" fillId="0" borderId="0" xfId="0" applyFont="1"/>
    <xf numFmtId="4" fontId="0" fillId="0" borderId="0" xfId="0" applyNumberFormat="1"/>
    <xf numFmtId="0" fontId="24" fillId="0" borderId="3" xfId="0" applyFont="1" applyBorder="1" applyAlignment="1">
      <alignment horizontal="left"/>
    </xf>
    <xf numFmtId="14" fontId="0" fillId="0" borderId="0" xfId="0" applyNumberFormat="1"/>
    <xf numFmtId="4" fontId="24" fillId="0" borderId="3" xfId="0" applyNumberFormat="1" applyFont="1" applyBorder="1" applyAlignment="1">
      <alignment horizontal="center"/>
    </xf>
    <xf numFmtId="0" fontId="24" fillId="0" borderId="0" xfId="0" applyFont="1"/>
    <xf numFmtId="0" fontId="24" fillId="2" borderId="0" xfId="0" applyFont="1" applyFill="1"/>
    <xf numFmtId="0" fontId="0" fillId="2" borderId="0" xfId="0" applyFill="1"/>
    <xf numFmtId="4" fontId="24" fillId="0" borderId="0" xfId="0" applyNumberFormat="1" applyFont="1"/>
    <xf numFmtId="0" fontId="24" fillId="3" borderId="0" xfId="0" applyFont="1" applyFill="1"/>
    <xf numFmtId="0" fontId="0" fillId="3" borderId="0" xfId="0" applyFill="1"/>
    <xf numFmtId="0" fontId="20" fillId="0" borderId="0" xfId="0" applyFont="1"/>
    <xf numFmtId="0" fontId="20" fillId="2" borderId="0" xfId="0" applyFont="1" applyFill="1"/>
    <xf numFmtId="4" fontId="24" fillId="0" borderId="3" xfId="0" applyNumberFormat="1" applyFont="1" applyBorder="1"/>
    <xf numFmtId="0" fontId="24" fillId="0" borderId="3" xfId="0" applyFont="1" applyBorder="1"/>
    <xf numFmtId="0" fontId="0" fillId="4" borderId="0" xfId="0" applyFill="1"/>
    <xf numFmtId="0" fontId="20" fillId="0" borderId="3" xfId="0" applyFont="1" applyBorder="1"/>
    <xf numFmtId="167" fontId="0" fillId="0" borderId="0" xfId="0" applyNumberFormat="1"/>
    <xf numFmtId="0" fontId="40" fillId="0" borderId="0" xfId="17"/>
    <xf numFmtId="0" fontId="20" fillId="0" borderId="0" xfId="29"/>
    <xf numFmtId="167" fontId="36" fillId="3" borderId="3" xfId="0" applyNumberFormat="1" applyFont="1" applyFill="1" applyBorder="1" applyAlignment="1">
      <alignment vertical="center"/>
    </xf>
    <xf numFmtId="0" fontId="24" fillId="0" borderId="0" xfId="5" applyFont="1"/>
    <xf numFmtId="0" fontId="42" fillId="0" borderId="0" xfId="26" applyFont="1"/>
    <xf numFmtId="167" fontId="42" fillId="0" borderId="0" xfId="26" applyNumberFormat="1" applyFont="1"/>
    <xf numFmtId="4" fontId="42" fillId="0" borderId="0" xfId="26" applyNumberFormat="1" applyFont="1"/>
    <xf numFmtId="4" fontId="24" fillId="0" borderId="4" xfId="0" applyNumberFormat="1" applyFont="1" applyBorder="1"/>
    <xf numFmtId="4" fontId="24" fillId="5" borderId="3" xfId="0" applyNumberFormat="1" applyFont="1" applyFill="1" applyBorder="1" applyAlignment="1">
      <alignment wrapText="1"/>
    </xf>
    <xf numFmtId="0" fontId="46" fillId="0" borderId="0" xfId="0" applyFont="1" applyAlignment="1">
      <alignment vertical="center"/>
    </xf>
    <xf numFmtId="14" fontId="20" fillId="0" borderId="0" xfId="0" applyNumberFormat="1" applyFont="1"/>
    <xf numFmtId="9" fontId="24" fillId="0" borderId="3" xfId="55" applyFont="1" applyFill="1" applyBorder="1" applyAlignment="1">
      <alignment vertical="center"/>
    </xf>
    <xf numFmtId="9" fontId="0" fillId="3" borderId="3" xfId="55" applyFont="1" applyFill="1" applyBorder="1" applyAlignment="1">
      <alignment vertical="center"/>
    </xf>
    <xf numFmtId="0" fontId="0" fillId="6" borderId="3" xfId="0" applyFill="1" applyBorder="1"/>
    <xf numFmtId="0" fontId="0" fillId="6" borderId="0" xfId="0" applyFill="1"/>
    <xf numFmtId="4" fontId="24" fillId="6" borderId="0" xfId="0" applyNumberFormat="1" applyFont="1" applyFill="1"/>
    <xf numFmtId="4" fontId="20" fillId="6" borderId="0" xfId="0" applyNumberFormat="1" applyFont="1" applyFill="1"/>
    <xf numFmtId="0" fontId="44" fillId="6" borderId="3" xfId="0" applyFont="1" applyFill="1" applyBorder="1"/>
    <xf numFmtId="0" fontId="20" fillId="6" borderId="3" xfId="0" applyFont="1" applyFill="1" applyBorder="1"/>
    <xf numFmtId="0" fontId="20" fillId="6" borderId="3" xfId="0" applyFont="1" applyFill="1" applyBorder="1" applyAlignment="1">
      <alignment vertical="center"/>
    </xf>
    <xf numFmtId="3" fontId="33" fillId="0" borderId="0" xfId="41" applyNumberFormat="1" applyFont="1"/>
    <xf numFmtId="0" fontId="33" fillId="0" borderId="0" xfId="41" applyFont="1"/>
    <xf numFmtId="1" fontId="33" fillId="0" borderId="0" xfId="41" applyNumberFormat="1" applyFont="1" applyAlignment="1">
      <alignment horizontal="left"/>
    </xf>
    <xf numFmtId="3" fontId="26" fillId="0" borderId="0" xfId="41" applyNumberFormat="1" applyFont="1"/>
    <xf numFmtId="3" fontId="49" fillId="0" borderId="0" xfId="41" applyNumberFormat="1" applyFont="1"/>
    <xf numFmtId="168" fontId="33" fillId="0" borderId="0" xfId="41" applyNumberFormat="1" applyFont="1" applyAlignment="1">
      <alignment horizontal="justify" vertical="center" wrapText="1"/>
    </xf>
    <xf numFmtId="0" fontId="33" fillId="0" borderId="0" xfId="41" applyFont="1" applyAlignment="1">
      <alignment vertical="center" wrapText="1"/>
    </xf>
    <xf numFmtId="0" fontId="33" fillId="0" borderId="0" xfId="41" applyFont="1" applyAlignment="1">
      <alignment horizontal="justify" vertical="center" wrapText="1"/>
    </xf>
    <xf numFmtId="0" fontId="34" fillId="0" borderId="0" xfId="41" applyFont="1"/>
    <xf numFmtId="0" fontId="35" fillId="0" borderId="0" xfId="41" applyFont="1"/>
    <xf numFmtId="168" fontId="31" fillId="0" borderId="3" xfId="41" applyNumberFormat="1" applyFont="1" applyBorder="1"/>
    <xf numFmtId="3" fontId="33" fillId="0" borderId="0" xfId="41" applyNumberFormat="1" applyFont="1" applyAlignment="1">
      <alignment horizontal="right"/>
    </xf>
    <xf numFmtId="3" fontId="35" fillId="0" borderId="0" xfId="41" applyNumberFormat="1" applyFont="1"/>
    <xf numFmtId="3" fontId="35" fillId="0" borderId="0" xfId="41" applyNumberFormat="1" applyFont="1" applyAlignment="1">
      <alignment horizontal="right"/>
    </xf>
    <xf numFmtId="3" fontId="29" fillId="0" borderId="0" xfId="41" applyNumberFormat="1" applyFont="1"/>
    <xf numFmtId="3" fontId="30" fillId="0" borderId="0" xfId="41" applyNumberFormat="1" applyFont="1" applyAlignment="1">
      <alignment horizontal="right"/>
    </xf>
    <xf numFmtId="3" fontId="30" fillId="0" borderId="0" xfId="41" applyNumberFormat="1" applyFont="1"/>
    <xf numFmtId="0" fontId="50" fillId="0" borderId="0" xfId="56"/>
    <xf numFmtId="166" fontId="0" fillId="0" borderId="0" xfId="0" applyNumberFormat="1"/>
    <xf numFmtId="0" fontId="47" fillId="0" borderId="0" xfId="28" applyFont="1"/>
    <xf numFmtId="0" fontId="42" fillId="0" borderId="3" xfId="0" applyFont="1" applyBorder="1"/>
    <xf numFmtId="3" fontId="32" fillId="0" borderId="0" xfId="41" applyNumberFormat="1" applyFont="1"/>
    <xf numFmtId="0" fontId="29" fillId="0" borderId="0" xfId="41" applyFont="1"/>
    <xf numFmtId="4" fontId="0" fillId="0" borderId="0" xfId="93" applyNumberFormat="1" applyFont="1" applyFill="1"/>
    <xf numFmtId="4" fontId="20" fillId="6" borderId="3" xfId="0" applyNumberFormat="1" applyFont="1" applyFill="1" applyBorder="1"/>
    <xf numFmtId="0" fontId="42" fillId="6" borderId="3" xfId="0" applyFont="1" applyFill="1" applyBorder="1"/>
    <xf numFmtId="0" fontId="24" fillId="0" borderId="0" xfId="0" applyFont="1" applyAlignment="1">
      <alignment horizontal="right"/>
    </xf>
    <xf numFmtId="0" fontId="0" fillId="8" borderId="0" xfId="0" applyFill="1"/>
    <xf numFmtId="9" fontId="24" fillId="3" borderId="3" xfId="55" applyFont="1" applyFill="1" applyBorder="1" applyAlignment="1">
      <alignment horizontal="left" vertical="center"/>
    </xf>
    <xf numFmtId="9" fontId="0" fillId="3" borderId="3" xfId="55" applyFont="1" applyFill="1" applyBorder="1" applyAlignment="1">
      <alignment horizontal="left" vertical="center"/>
    </xf>
    <xf numFmtId="9" fontId="20" fillId="3" borderId="3" xfId="55" applyFont="1" applyFill="1" applyBorder="1" applyAlignment="1">
      <alignment horizontal="left" vertical="center"/>
    </xf>
    <xf numFmtId="167" fontId="20" fillId="0" borderId="0" xfId="93" applyNumberFormat="1" applyFont="1" applyFill="1"/>
    <xf numFmtId="0" fontId="42" fillId="4" borderId="0" xfId="26" applyFont="1" applyFill="1"/>
    <xf numFmtId="4" fontId="42" fillId="4" borderId="0" xfId="26" applyNumberFormat="1" applyFont="1" applyFill="1"/>
    <xf numFmtId="0" fontId="0" fillId="9" borderId="3" xfId="0" applyFill="1" applyBorder="1"/>
    <xf numFmtId="0" fontId="40" fillId="9" borderId="0" xfId="17" applyFill="1"/>
    <xf numFmtId="0" fontId="24" fillId="8" borderId="0" xfId="5" applyFont="1" applyFill="1"/>
    <xf numFmtId="0" fontId="42" fillId="8" borderId="0" xfId="26" applyFont="1" applyFill="1"/>
    <xf numFmtId="0" fontId="51" fillId="0" borderId="0" xfId="0" applyFont="1"/>
    <xf numFmtId="0" fontId="0" fillId="8" borderId="3" xfId="0" applyFill="1" applyBorder="1"/>
    <xf numFmtId="0" fontId="0" fillId="8" borderId="3" xfId="0" applyFill="1" applyBorder="1" applyAlignment="1">
      <alignment horizontal="left"/>
    </xf>
    <xf numFmtId="0" fontId="0" fillId="8" borderId="2" xfId="0" applyFill="1" applyBorder="1"/>
    <xf numFmtId="0" fontId="0" fillId="5" borderId="3" xfId="0" applyFill="1" applyBorder="1"/>
    <xf numFmtId="0" fontId="50" fillId="5" borderId="3" xfId="56" applyFill="1" applyBorder="1"/>
    <xf numFmtId="0" fontId="0" fillId="10" borderId="3" xfId="0" applyFill="1" applyBorder="1"/>
    <xf numFmtId="0" fontId="0" fillId="10" borderId="3" xfId="0" applyFill="1" applyBorder="1" applyAlignment="1">
      <alignment horizontal="left"/>
    </xf>
    <xf numFmtId="0" fontId="0" fillId="3" borderId="3" xfId="0" applyFill="1" applyBorder="1"/>
    <xf numFmtId="0" fontId="0" fillId="3" borderId="3" xfId="0" applyFill="1" applyBorder="1" applyAlignment="1">
      <alignment horizontal="left"/>
    </xf>
    <xf numFmtId="0" fontId="0" fillId="7" borderId="0" xfId="0" applyFill="1"/>
    <xf numFmtId="0" fontId="50" fillId="7" borderId="0" xfId="56" applyFill="1" applyBorder="1"/>
    <xf numFmtId="0" fontId="53" fillId="7" borderId="0" xfId="0" applyFont="1" applyFill="1"/>
    <xf numFmtId="0" fontId="54" fillId="7" borderId="0" xfId="56" applyFont="1" applyFill="1" applyBorder="1"/>
    <xf numFmtId="14" fontId="51" fillId="0" borderId="0" xfId="0" applyNumberFormat="1" applyFont="1"/>
    <xf numFmtId="0" fontId="55" fillId="0" borderId="0" xfId="0" applyFont="1"/>
    <xf numFmtId="4" fontId="55" fillId="0" borderId="0" xfId="0" applyNumberFormat="1" applyFont="1"/>
    <xf numFmtId="0" fontId="47" fillId="4" borderId="0" xfId="26" applyFont="1" applyFill="1"/>
    <xf numFmtId="4" fontId="47" fillId="0" borderId="0" xfId="26" applyNumberFormat="1" applyFont="1"/>
    <xf numFmtId="0" fontId="47" fillId="0" borderId="0" xfId="26" applyFont="1"/>
    <xf numFmtId="0" fontId="24" fillId="4" borderId="3" xfId="0" applyFont="1" applyFill="1" applyBorder="1" applyAlignment="1">
      <alignment horizontal="left"/>
    </xf>
    <xf numFmtId="4" fontId="0" fillId="4" borderId="0" xfId="0" applyNumberFormat="1" applyFill="1"/>
    <xf numFmtId="4" fontId="24" fillId="0" borderId="0" xfId="5" applyNumberFormat="1" applyFont="1"/>
    <xf numFmtId="167" fontId="24" fillId="0" borderId="3" xfId="0" applyNumberFormat="1" applyFont="1" applyBorder="1" applyAlignment="1">
      <alignment vertical="center"/>
    </xf>
    <xf numFmtId="4" fontId="36" fillId="3" borderId="3" xfId="0" applyNumberFormat="1" applyFont="1" applyFill="1" applyBorder="1" applyAlignment="1">
      <alignment vertical="center"/>
    </xf>
    <xf numFmtId="4" fontId="20" fillId="0" borderId="0" xfId="93" applyNumberFormat="1" applyFont="1" applyFill="1"/>
    <xf numFmtId="14" fontId="23" fillId="0" borderId="0" xfId="41" applyNumberFormat="1" applyFont="1" applyAlignment="1">
      <alignment horizontal="left"/>
    </xf>
    <xf numFmtId="0" fontId="53" fillId="0" borderId="0" xfId="0" applyFont="1"/>
    <xf numFmtId="0" fontId="50" fillId="7" borderId="0" xfId="56" quotePrefix="1" applyFill="1" applyBorder="1"/>
    <xf numFmtId="0" fontId="0" fillId="7" borderId="0" xfId="0" applyFill="1" applyAlignment="1">
      <alignment vertical="center"/>
    </xf>
    <xf numFmtId="0" fontId="50" fillId="7" borderId="0" xfId="56" quotePrefix="1" applyFill="1" applyBorder="1" applyAlignment="1">
      <alignment vertical="center"/>
    </xf>
    <xf numFmtId="0" fontId="0" fillId="0" borderId="0" xfId="0" pivotButton="1"/>
    <xf numFmtId="4" fontId="0" fillId="0" borderId="3" xfId="93" applyNumberFormat="1" applyFont="1" applyBorder="1"/>
    <xf numFmtId="4" fontId="24" fillId="0" borderId="0" xfId="93" applyNumberFormat="1" applyFont="1" applyFill="1"/>
    <xf numFmtId="4" fontId="56" fillId="0" borderId="0" xfId="0" applyNumberFormat="1" applyFont="1"/>
    <xf numFmtId="4" fontId="47" fillId="4" borderId="0" xfId="26" applyNumberFormat="1" applyFont="1" applyFill="1"/>
    <xf numFmtId="4" fontId="20" fillId="0" borderId="0" xfId="0" applyNumberFormat="1" applyFont="1"/>
    <xf numFmtId="167" fontId="20" fillId="0" borderId="3" xfId="93" applyNumberFormat="1" applyFont="1" applyFill="1" applyBorder="1"/>
    <xf numFmtId="4" fontId="20" fillId="0" borderId="3" xfId="93" applyNumberFormat="1" applyFont="1" applyFill="1" applyBorder="1"/>
    <xf numFmtId="167" fontId="0" fillId="0" borderId="3" xfId="0" applyNumberFormat="1" applyBorder="1"/>
    <xf numFmtId="4" fontId="52" fillId="0" borderId="0" xfId="0" applyNumberFormat="1" applyFont="1" applyAlignment="1">
      <alignment horizontal="left" vertical="center"/>
    </xf>
    <xf numFmtId="4" fontId="0" fillId="0" borderId="3" xfId="0" applyNumberFormat="1" applyBorder="1"/>
    <xf numFmtId="4" fontId="20" fillId="0" borderId="3" xfId="0" applyNumberFormat="1" applyFont="1" applyBorder="1"/>
    <xf numFmtId="166" fontId="20" fillId="0" borderId="0" xfId="0" applyNumberFormat="1" applyFont="1"/>
    <xf numFmtId="0" fontId="0" fillId="11" borderId="0" xfId="0" applyFill="1"/>
    <xf numFmtId="4" fontId="0" fillId="11" borderId="0" xfId="0" applyNumberFormat="1" applyFill="1"/>
    <xf numFmtId="167" fontId="20" fillId="11" borderId="0" xfId="93" applyNumberFormat="1" applyFont="1" applyFill="1"/>
    <xf numFmtId="3" fontId="33" fillId="0" borderId="0" xfId="41" applyNumberFormat="1" applyFont="1" applyAlignment="1">
      <alignment horizontal="left"/>
    </xf>
    <xf numFmtId="3" fontId="33" fillId="0" borderId="1" xfId="41" applyNumberFormat="1" applyFont="1" applyBorder="1" applyAlignment="1">
      <alignment horizontal="left"/>
    </xf>
    <xf numFmtId="0" fontId="33" fillId="0" borderId="0" xfId="41" applyFont="1" applyAlignment="1">
      <alignment horizontal="justify" vertical="center" wrapText="1"/>
    </xf>
    <xf numFmtId="0" fontId="33" fillId="0" borderId="0" xfId="41" applyFont="1" applyAlignment="1">
      <alignment horizontal="left" vertical="center" wrapText="1"/>
    </xf>
    <xf numFmtId="0" fontId="51" fillId="3" borderId="6" xfId="0" applyFont="1" applyFill="1" applyBorder="1" applyAlignment="1">
      <alignment horizontal="center"/>
    </xf>
    <xf numFmtId="0" fontId="51" fillId="3" borderId="5" xfId="0" applyFont="1" applyFill="1" applyBorder="1" applyAlignment="1">
      <alignment horizontal="center"/>
    </xf>
    <xf numFmtId="0" fontId="50" fillId="8" borderId="6" xfId="56" applyFill="1" applyBorder="1" applyAlignment="1">
      <alignment horizontal="center"/>
    </xf>
    <xf numFmtId="0" fontId="50" fillId="8" borderId="5" xfId="56" applyFill="1" applyBorder="1" applyAlignment="1">
      <alignment horizontal="center"/>
    </xf>
    <xf numFmtId="0" fontId="51" fillId="8" borderId="3" xfId="0" applyFont="1" applyFill="1" applyBorder="1" applyAlignment="1">
      <alignment horizontal="center"/>
    </xf>
    <xf numFmtId="0" fontId="51" fillId="5" borderId="3" xfId="0" applyFont="1" applyFill="1" applyBorder="1" applyAlignment="1">
      <alignment horizontal="center"/>
    </xf>
    <xf numFmtId="0" fontId="51" fillId="10" borderId="3" xfId="0" applyFont="1" applyFill="1" applyBorder="1" applyAlignment="1">
      <alignment horizontal="center"/>
    </xf>
  </cellXfs>
  <cellStyles count="99">
    <cellStyle name="Comma 2" xfId="93" xr:uid="{00000000-0005-0000-0000-000001000000}"/>
    <cellStyle name="Comma 3" xfId="96" xr:uid="{00000000-0005-0000-0000-000002000000}"/>
    <cellStyle name="Hyperlink" xfId="56" builtinId="8"/>
    <cellStyle name="Hyperlink 2" xfId="53" xr:uid="{00000000-0005-0000-0000-000004000000}"/>
    <cellStyle name="Îáû÷íûé_PERSONAL" xfId="1" xr:uid="{00000000-0005-0000-0000-000005000000}"/>
    <cellStyle name="Normal" xfId="0" builtinId="0"/>
    <cellStyle name="Normal 10" xfId="16" xr:uid="{00000000-0005-0000-0000-000007000000}"/>
    <cellStyle name="Normal 10 2" xfId="26" xr:uid="{00000000-0005-0000-0000-000008000000}"/>
    <cellStyle name="Normal 10 2 2" xfId="47" xr:uid="{00000000-0005-0000-0000-000009000000}"/>
    <cellStyle name="Normal 10 2 2 2" xfId="88" xr:uid="{00000000-0005-0000-0000-00000A000000}"/>
    <cellStyle name="Normal 10 2 3" xfId="54" xr:uid="{00000000-0005-0000-0000-00000B000000}"/>
    <cellStyle name="Normal 10 2 3 2" xfId="92" xr:uid="{00000000-0005-0000-0000-00000C000000}"/>
    <cellStyle name="Normal 10 2 4" xfId="71" xr:uid="{00000000-0005-0000-0000-00000D000000}"/>
    <cellStyle name="Normal 10 3" xfId="40" xr:uid="{00000000-0005-0000-0000-00000E000000}"/>
    <cellStyle name="Normal 10 3 2" xfId="82" xr:uid="{00000000-0005-0000-0000-00000F000000}"/>
    <cellStyle name="Normal 10 4" xfId="65" xr:uid="{00000000-0005-0000-0000-000010000000}"/>
    <cellStyle name="Normal 11" xfId="17" xr:uid="{00000000-0005-0000-0000-000011000000}"/>
    <cellStyle name="Normal 11 2" xfId="41" xr:uid="{00000000-0005-0000-0000-000012000000}"/>
    <cellStyle name="Normal 12" xfId="20" xr:uid="{00000000-0005-0000-0000-000013000000}"/>
    <cellStyle name="Normal 12 2" xfId="27" xr:uid="{00000000-0005-0000-0000-000014000000}"/>
    <cellStyle name="Normal 13" xfId="21" xr:uid="{00000000-0005-0000-0000-000015000000}"/>
    <cellStyle name="Normal 13 2" xfId="42" xr:uid="{00000000-0005-0000-0000-000016000000}"/>
    <cellStyle name="Normal 13 2 2" xfId="83" xr:uid="{00000000-0005-0000-0000-000017000000}"/>
    <cellStyle name="Normal 13 3" xfId="66" xr:uid="{00000000-0005-0000-0000-000018000000}"/>
    <cellStyle name="Normal 14" xfId="22" xr:uid="{00000000-0005-0000-0000-000019000000}"/>
    <cellStyle name="Normal 14 2" xfId="25" xr:uid="{00000000-0005-0000-0000-00001A000000}"/>
    <cellStyle name="Normal 14 2 2" xfId="46" xr:uid="{00000000-0005-0000-0000-00001B000000}"/>
    <cellStyle name="Normal 14 2 2 2" xfId="87" xr:uid="{00000000-0005-0000-0000-00001C000000}"/>
    <cellStyle name="Normal 14 2 3" xfId="70" xr:uid="{00000000-0005-0000-0000-00001D000000}"/>
    <cellStyle name="Normal 14 3" xfId="43" xr:uid="{00000000-0005-0000-0000-00001E000000}"/>
    <cellStyle name="Normal 14 3 2" xfId="84" xr:uid="{00000000-0005-0000-0000-00001F000000}"/>
    <cellStyle name="Normal 14 4" xfId="67" xr:uid="{00000000-0005-0000-0000-000020000000}"/>
    <cellStyle name="Normal 15" xfId="24" xr:uid="{00000000-0005-0000-0000-000021000000}"/>
    <cellStyle name="Normal 15 2" xfId="45" xr:uid="{00000000-0005-0000-0000-000022000000}"/>
    <cellStyle name="Normal 15 2 2" xfId="86" xr:uid="{00000000-0005-0000-0000-000023000000}"/>
    <cellStyle name="Normal 15 3" xfId="69" xr:uid="{00000000-0005-0000-0000-000024000000}"/>
    <cellStyle name="Normal 16" xfId="29" xr:uid="{00000000-0005-0000-0000-000025000000}"/>
    <cellStyle name="Normal 17" xfId="31" xr:uid="{00000000-0005-0000-0000-000026000000}"/>
    <cellStyle name="Normal 17 2" xfId="50" xr:uid="{00000000-0005-0000-0000-000027000000}"/>
    <cellStyle name="Normal 17 2 2" xfId="91" xr:uid="{00000000-0005-0000-0000-000028000000}"/>
    <cellStyle name="Normal 17 3" xfId="74" xr:uid="{00000000-0005-0000-0000-000029000000}"/>
    <cellStyle name="Normal 18" xfId="33" xr:uid="{00000000-0005-0000-0000-00002A000000}"/>
    <cellStyle name="Normal 19" xfId="32" xr:uid="{00000000-0005-0000-0000-00002B000000}"/>
    <cellStyle name="Normal 19 2" xfId="75" xr:uid="{00000000-0005-0000-0000-00002C000000}"/>
    <cellStyle name="Normal 2" xfId="4" xr:uid="{00000000-0005-0000-0000-00002D000000}"/>
    <cellStyle name="Normal 2 2" xfId="13" xr:uid="{00000000-0005-0000-0000-00002E000000}"/>
    <cellStyle name="Normal 2 3" xfId="34" xr:uid="{00000000-0005-0000-0000-00002F000000}"/>
    <cellStyle name="Normal 2 3 2" xfId="76" xr:uid="{00000000-0005-0000-0000-000030000000}"/>
    <cellStyle name="Normal 2 4" xfId="59" xr:uid="{00000000-0005-0000-0000-000031000000}"/>
    <cellStyle name="Normal 20" xfId="51" xr:uid="{00000000-0005-0000-0000-000032000000}"/>
    <cellStyle name="Normal 20 2" xfId="52" xr:uid="{00000000-0005-0000-0000-000033000000}"/>
    <cellStyle name="Normal 21" xfId="58" xr:uid="{00000000-0005-0000-0000-000034000000}"/>
    <cellStyle name="Normal 22" xfId="57" xr:uid="{00000000-0005-0000-0000-000035000000}"/>
    <cellStyle name="Normal 23" xfId="95" xr:uid="{00000000-0005-0000-0000-000036000000}"/>
    <cellStyle name="Normal 24" xfId="97" xr:uid="{00000000-0005-0000-0000-000037000000}"/>
    <cellStyle name="Normal 25" xfId="98" xr:uid="{00000000-0005-0000-0000-000038000000}"/>
    <cellStyle name="Normal 3" xfId="6" xr:uid="{00000000-0005-0000-0000-000039000000}"/>
    <cellStyle name="Normal 3 2" xfId="35" xr:uid="{00000000-0005-0000-0000-00003A000000}"/>
    <cellStyle name="Normal 3 2 2" xfId="77" xr:uid="{00000000-0005-0000-0000-00003B000000}"/>
    <cellStyle name="Normal 3 3" xfId="60" xr:uid="{00000000-0005-0000-0000-00003C000000}"/>
    <cellStyle name="Normal 4" xfId="7" xr:uid="{00000000-0005-0000-0000-00003D000000}"/>
    <cellStyle name="Normal 4 2" xfId="11" xr:uid="{00000000-0005-0000-0000-00003E000000}"/>
    <cellStyle name="Normal 4 2 2" xfId="23" xr:uid="{00000000-0005-0000-0000-00003F000000}"/>
    <cellStyle name="Normal 4 2 2 2" xfId="28" xr:uid="{00000000-0005-0000-0000-000040000000}"/>
    <cellStyle name="Normal 4 2 2 2 2" xfId="30" xr:uid="{00000000-0005-0000-0000-000041000000}"/>
    <cellStyle name="Normal 4 2 2 2 2 2" xfId="49" xr:uid="{00000000-0005-0000-0000-000042000000}"/>
    <cellStyle name="Normal 4 2 2 2 2 2 2" xfId="90" xr:uid="{00000000-0005-0000-0000-000043000000}"/>
    <cellStyle name="Normal 4 2 2 2 2 3" xfId="73" xr:uid="{00000000-0005-0000-0000-000044000000}"/>
    <cellStyle name="Normal 4 2 2 2 3" xfId="48" xr:uid="{00000000-0005-0000-0000-000045000000}"/>
    <cellStyle name="Normal 4 2 2 2 3 2" xfId="89" xr:uid="{00000000-0005-0000-0000-000046000000}"/>
    <cellStyle name="Normal 4 2 2 2 4" xfId="72" xr:uid="{00000000-0005-0000-0000-000047000000}"/>
    <cellStyle name="Normal 4 2 2 3" xfId="44" xr:uid="{00000000-0005-0000-0000-000048000000}"/>
    <cellStyle name="Normal 4 2 2 3 2" xfId="85" xr:uid="{00000000-0005-0000-0000-000049000000}"/>
    <cellStyle name="Normal 4 2 2 4" xfId="68" xr:uid="{00000000-0005-0000-0000-00004A000000}"/>
    <cellStyle name="Normal 4 2 3" xfId="38" xr:uid="{00000000-0005-0000-0000-00004B000000}"/>
    <cellStyle name="Normal 4 2 3 2" xfId="80" xr:uid="{00000000-0005-0000-0000-00004C000000}"/>
    <cellStyle name="Normal 4 2 4" xfId="63" xr:uid="{00000000-0005-0000-0000-00004D000000}"/>
    <cellStyle name="Normal 4 3" xfId="36" xr:uid="{00000000-0005-0000-0000-00004E000000}"/>
    <cellStyle name="Normal 4 3 2" xfId="78" xr:uid="{00000000-0005-0000-0000-00004F000000}"/>
    <cellStyle name="Normal 4 4" xfId="61" xr:uid="{00000000-0005-0000-0000-000050000000}"/>
    <cellStyle name="Normal 5" xfId="8" xr:uid="{00000000-0005-0000-0000-000051000000}"/>
    <cellStyle name="Normal 5 2" xfId="12" xr:uid="{00000000-0005-0000-0000-000052000000}"/>
    <cellStyle name="Normal 6" xfId="9" xr:uid="{00000000-0005-0000-0000-000053000000}"/>
    <cellStyle name="Normal 6 2" xfId="37" xr:uid="{00000000-0005-0000-0000-000054000000}"/>
    <cellStyle name="Normal 6 2 2" xfId="79" xr:uid="{00000000-0005-0000-0000-000055000000}"/>
    <cellStyle name="Normal 6 3" xfId="62" xr:uid="{00000000-0005-0000-0000-000056000000}"/>
    <cellStyle name="Normal 7" xfId="10" xr:uid="{00000000-0005-0000-0000-000057000000}"/>
    <cellStyle name="Normal 7 2" xfId="19" xr:uid="{00000000-0005-0000-0000-000058000000}"/>
    <cellStyle name="Normal 8" xfId="14" xr:uid="{00000000-0005-0000-0000-000059000000}"/>
    <cellStyle name="Normal 8 2" xfId="39" xr:uid="{00000000-0005-0000-0000-00005A000000}"/>
    <cellStyle name="Normal 8 2 2" xfId="81" xr:uid="{00000000-0005-0000-0000-00005B000000}"/>
    <cellStyle name="Normal 8 3" xfId="64" xr:uid="{00000000-0005-0000-0000-00005C000000}"/>
    <cellStyle name="Normal 9" xfId="15" xr:uid="{00000000-0005-0000-0000-00005D000000}"/>
    <cellStyle name="Normal 9 2" xfId="18" xr:uid="{00000000-0005-0000-0000-00005E000000}"/>
    <cellStyle name="Normal_ysv 2" xfId="5" xr:uid="{00000000-0005-0000-0000-00005F000000}"/>
    <cellStyle name="Ôèíàíñîâûé [0]_PERSONAL" xfId="2" xr:uid="{00000000-0005-0000-0000-000060000000}"/>
    <cellStyle name="Ôèíàíñîâûé_PERSONAL" xfId="3" xr:uid="{00000000-0005-0000-0000-000061000000}"/>
    <cellStyle name="Percent" xfId="55" builtinId="5"/>
    <cellStyle name="Percent 2" xfId="94" xr:uid="{00000000-0005-0000-0000-000063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00FFCC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6388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66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CC"/>
      <color rgb="FFFFFF00"/>
      <color rgb="FF00FF99"/>
      <color rgb="FFCCFFFF"/>
      <color rgb="FFFF33CC"/>
      <color rgb="FFFFCCFF"/>
      <color rgb="FF00FFFF"/>
      <color rgb="FF9966FF"/>
      <color rgb="FFFF9900"/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backupsrv\F-MRFO-VISK-PUBLIC\Y.S.V\YSV%202026\tsb%20veri%20g&#246;nderimi%20&#231;al&#305;&#351;mas&#305;%202026.xlsx" TargetMode="External"/><Relationship Id="rId1" Type="http://schemas.openxmlformats.org/officeDocument/2006/relationships/externalLinkPath" Target="file:///\\backupsrv\F-MRFO-VISK-PUBLIC\Y.S.V\YSV%202026\tsb%20veri%20g&#246;nderimi%20&#231;al&#305;&#351;mas&#305;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XML"/>
      <sheetName val="Sheet3"/>
      <sheetName val="Sheet2"/>
    </sheetNames>
    <sheetDataSet>
      <sheetData sheetId="0">
        <row r="1">
          <cell r="A1"/>
          <cell r="C1"/>
          <cell r="G1"/>
        </row>
        <row r="2">
          <cell r="A2" t="str">
            <v>BELEDİYE</v>
          </cell>
          <cell r="C2" t="str">
            <v>X</v>
          </cell>
          <cell r="G2" t="str">
            <v xml:space="preserve">SON ÖDEME TARİHİ </v>
          </cell>
        </row>
        <row r="3">
          <cell r="A3" t="str">
            <v>ADANA BÜYÜKŞEHİR</v>
          </cell>
          <cell r="C3" t="str">
            <v>ADANAADANA BÜYÜKŞEHİR</v>
          </cell>
          <cell r="G3"/>
        </row>
        <row r="4">
          <cell r="A4" t="str">
            <v>KAHTA</v>
          </cell>
          <cell r="C4" t="str">
            <v>ADIYAMANKAHTA</v>
          </cell>
          <cell r="G4"/>
        </row>
        <row r="5">
          <cell r="A5" t="str">
            <v>MERKEZ</v>
          </cell>
          <cell r="C5" t="str">
            <v>ADIYAMANMERKEZ</v>
          </cell>
          <cell r="G5"/>
        </row>
        <row r="6">
          <cell r="A6" t="str">
            <v>GÖLBAŞI</v>
          </cell>
          <cell r="C6" t="str">
            <v>ADIYAMANGÖLBAŞI</v>
          </cell>
          <cell r="G6"/>
        </row>
        <row r="7">
          <cell r="A7" t="str">
            <v>ÇELİKHAN</v>
          </cell>
          <cell r="C7" t="str">
            <v>ADIYAMANÇELİKHAN</v>
          </cell>
          <cell r="G7"/>
        </row>
        <row r="8">
          <cell r="A8" t="str">
            <v>SİNCİK</v>
          </cell>
          <cell r="C8" t="str">
            <v>ADIYAMANSİNCİK</v>
          </cell>
          <cell r="G8"/>
        </row>
        <row r="9">
          <cell r="A9" t="str">
            <v>BESNİ</v>
          </cell>
          <cell r="C9" t="str">
            <v>ADIYAMANBESNİ</v>
          </cell>
          <cell r="G9"/>
        </row>
        <row r="10">
          <cell r="A10" t="str">
            <v>DİNAR</v>
          </cell>
          <cell r="C10" t="str">
            <v>AFYONKARAHİSARDİNAR</v>
          </cell>
          <cell r="G10"/>
        </row>
        <row r="11">
          <cell r="A11" t="str">
            <v>MERKEZ</v>
          </cell>
          <cell r="C11" t="str">
            <v>AFYONKARAHİSARMERKEZ</v>
          </cell>
          <cell r="G11"/>
        </row>
        <row r="12">
          <cell r="A12" t="str">
            <v>ŞUHUT</v>
          </cell>
          <cell r="C12" t="str">
            <v>AFYONKARAHİSARŞUHUT</v>
          </cell>
          <cell r="G12"/>
        </row>
        <row r="13">
          <cell r="A13" t="str">
            <v>SANDIKLI</v>
          </cell>
          <cell r="C13" t="str">
            <v>AFYONKARAHİSARSANDIKLI</v>
          </cell>
          <cell r="G13"/>
        </row>
        <row r="14">
          <cell r="A14" t="str">
            <v>DAZKIRI</v>
          </cell>
          <cell r="C14" t="str">
            <v>AFYONKARAHİSARDAZKIRI</v>
          </cell>
          <cell r="G14"/>
        </row>
        <row r="15">
          <cell r="A15" t="str">
            <v>HOCALAR</v>
          </cell>
          <cell r="C15" t="str">
            <v>AFYONKARAHİSARHOCALAR</v>
          </cell>
          <cell r="G15"/>
        </row>
        <row r="16">
          <cell r="A16" t="str">
            <v>İHSANİYE</v>
          </cell>
          <cell r="C16" t="str">
            <v>AFYONKARAHİSARİHSANİYE</v>
          </cell>
          <cell r="G16"/>
        </row>
        <row r="17">
          <cell r="A17" t="str">
            <v>BAŞMAKÇI</v>
          </cell>
          <cell r="C17" t="str">
            <v>AFYONKARAHİSARBAŞMAKÇI</v>
          </cell>
          <cell r="G17"/>
        </row>
        <row r="18">
          <cell r="A18" t="str">
            <v xml:space="preserve">SİNANPAŞA </v>
          </cell>
          <cell r="C18" t="str">
            <v xml:space="preserve">AFYONKARAHİSARSİNANPAŞA </v>
          </cell>
          <cell r="G18"/>
        </row>
        <row r="19">
          <cell r="A19" t="str">
            <v>DOĞUBAYAZIT</v>
          </cell>
          <cell r="C19" t="str">
            <v>AĞRIDOĞUBAYAZIT</v>
          </cell>
          <cell r="G19"/>
        </row>
        <row r="20">
          <cell r="A20" t="str">
            <v>TAŞLIÇAY</v>
          </cell>
          <cell r="C20" t="str">
            <v>AĞRITAŞLIÇAY</v>
          </cell>
          <cell r="G20"/>
        </row>
        <row r="21">
          <cell r="A21" t="str">
            <v>PATNOS</v>
          </cell>
          <cell r="C21" t="str">
            <v>AĞRIPATNOS</v>
          </cell>
          <cell r="G21"/>
        </row>
        <row r="22">
          <cell r="A22" t="str">
            <v>DİYADİN</v>
          </cell>
          <cell r="C22" t="str">
            <v>AĞRIDİYADİN</v>
          </cell>
          <cell r="G22"/>
        </row>
        <row r="23">
          <cell r="A23" t="str">
            <v>MERKEZ</v>
          </cell>
          <cell r="C23" t="str">
            <v>AKSARAYMERKEZ</v>
          </cell>
          <cell r="G23"/>
        </row>
        <row r="24">
          <cell r="A24" t="str">
            <v>ESKİL</v>
          </cell>
          <cell r="C24" t="str">
            <v>AKSARAYESKİL</v>
          </cell>
          <cell r="G24"/>
        </row>
        <row r="25">
          <cell r="A25" t="str">
            <v>AĞAÇÖREN</v>
          </cell>
          <cell r="C25" t="str">
            <v>AKSARAYAĞAÇÖREN</v>
          </cell>
          <cell r="G25"/>
        </row>
        <row r="26">
          <cell r="A26" t="str">
            <v>ORTAKÖY</v>
          </cell>
          <cell r="C26" t="str">
            <v>AKSARAYORTAKÖY</v>
          </cell>
          <cell r="G26"/>
        </row>
        <row r="27">
          <cell r="A27" t="str">
            <v>GÜZELYURT</v>
          </cell>
          <cell r="C27" t="str">
            <v>AKSARAYGÜZELYURT</v>
          </cell>
          <cell r="G27"/>
        </row>
        <row r="28">
          <cell r="A28" t="str">
            <v>MERZİFON</v>
          </cell>
          <cell r="C28" t="str">
            <v>AMASYAMERZİFON</v>
          </cell>
          <cell r="G28"/>
        </row>
        <row r="29">
          <cell r="A29" t="str">
            <v>MERKEZ</v>
          </cell>
          <cell r="C29" t="str">
            <v>AMASYAMERKEZ</v>
          </cell>
          <cell r="G29"/>
        </row>
        <row r="30">
          <cell r="A30" t="str">
            <v>SULUOVA</v>
          </cell>
          <cell r="C30" t="str">
            <v>AMASYASULUOVA</v>
          </cell>
          <cell r="G30"/>
        </row>
        <row r="31">
          <cell r="A31" t="str">
            <v>GÜMÜŞHACIKÖY</v>
          </cell>
          <cell r="C31" t="str">
            <v>AMASYAGÜMÜŞHACIKÖY</v>
          </cell>
          <cell r="G31"/>
        </row>
        <row r="32">
          <cell r="A32" t="str">
            <v>TAŞOVA</v>
          </cell>
          <cell r="C32" t="str">
            <v>AMASYATAŞOVA</v>
          </cell>
          <cell r="G32"/>
        </row>
        <row r="33">
          <cell r="A33" t="str">
            <v>HAMAMÖZÜ</v>
          </cell>
          <cell r="C33" t="str">
            <v>AMASYAHAMAMÖZÜ</v>
          </cell>
          <cell r="G33"/>
        </row>
        <row r="34">
          <cell r="A34" t="str">
            <v>ANKARA BÜYÜKŞEHİR</v>
          </cell>
          <cell r="C34" t="str">
            <v>ANKARAANKARA BÜYÜKŞEHİR</v>
          </cell>
          <cell r="G34"/>
        </row>
        <row r="35">
          <cell r="A35" t="str">
            <v>ANTALYA BÜYÜKŞEHİR</v>
          </cell>
          <cell r="C35" t="str">
            <v>ANTALYAANTALYA BÜYÜKŞEHİR</v>
          </cell>
          <cell r="G35"/>
        </row>
        <row r="36">
          <cell r="A36" t="str">
            <v>POSOF</v>
          </cell>
          <cell r="C36" t="str">
            <v>ARDAHANPOSOF</v>
          </cell>
          <cell r="G36"/>
        </row>
        <row r="37">
          <cell r="A37" t="str">
            <v>MERKEZ</v>
          </cell>
          <cell r="C37" t="str">
            <v>ARDAHANMERKEZ</v>
          </cell>
          <cell r="G37"/>
        </row>
        <row r="38">
          <cell r="A38" t="str">
            <v>ÇILDIR</v>
          </cell>
          <cell r="C38" t="str">
            <v>ARDAHANÇILDIR</v>
          </cell>
          <cell r="G38"/>
        </row>
        <row r="39">
          <cell r="A39" t="str">
            <v>GÖLE</v>
          </cell>
          <cell r="C39" t="str">
            <v>ARDAHANGÖLE</v>
          </cell>
          <cell r="G39"/>
        </row>
        <row r="40">
          <cell r="A40" t="str">
            <v>HANAK</v>
          </cell>
          <cell r="C40" t="str">
            <v>ARDAHANHANAK</v>
          </cell>
          <cell r="G40"/>
        </row>
        <row r="41">
          <cell r="A41" t="str">
            <v>HOPA</v>
          </cell>
          <cell r="C41" t="str">
            <v>ARTVİNHOPA</v>
          </cell>
          <cell r="G41"/>
        </row>
        <row r="42">
          <cell r="A42" t="str">
            <v>ARHAVİ</v>
          </cell>
          <cell r="C42" t="str">
            <v>ARTVİNARHAVİ</v>
          </cell>
          <cell r="G42"/>
        </row>
        <row r="43">
          <cell r="A43" t="str">
            <v>MERKEZ</v>
          </cell>
          <cell r="C43" t="str">
            <v>ARTVİNMERKEZ</v>
          </cell>
          <cell r="G43"/>
        </row>
        <row r="44">
          <cell r="A44" t="str">
            <v>KEMALPAŞA</v>
          </cell>
          <cell r="C44" t="str">
            <v>ARTVİNKEMALPAŞA</v>
          </cell>
          <cell r="G44"/>
        </row>
        <row r="45">
          <cell r="A45" t="str">
            <v>MURGUL</v>
          </cell>
          <cell r="C45" t="str">
            <v>ARTVİNMURGUL</v>
          </cell>
          <cell r="G45"/>
        </row>
        <row r="46">
          <cell r="A46" t="str">
            <v>YUSUFELİ</v>
          </cell>
          <cell r="C46" t="str">
            <v>ARTVİNYUSUFELİ</v>
          </cell>
          <cell r="G46"/>
        </row>
        <row r="47">
          <cell r="A47" t="str">
            <v>AYDIN BÜYÜKŞEHİR</v>
          </cell>
          <cell r="C47" t="str">
            <v>AYDINAYDIN BÜYÜKŞEHİR</v>
          </cell>
          <cell r="G47"/>
        </row>
        <row r="48">
          <cell r="A48" t="str">
            <v>BALIKESİR BÜYÜKŞEHİR</v>
          </cell>
          <cell r="C48" t="str">
            <v>BALIKESİRBALIKESİR BÜYÜKŞEHİR</v>
          </cell>
          <cell r="G48"/>
        </row>
        <row r="49">
          <cell r="A49" t="str">
            <v>MERKEZ</v>
          </cell>
          <cell r="C49" t="str">
            <v>BARTINMERKEZ</v>
          </cell>
          <cell r="G49"/>
        </row>
        <row r="50">
          <cell r="A50" t="str">
            <v>AMASRA</v>
          </cell>
          <cell r="C50" t="str">
            <v>BARTINAMASRA</v>
          </cell>
          <cell r="G50"/>
        </row>
        <row r="51">
          <cell r="A51" t="str">
            <v>ULUS</v>
          </cell>
          <cell r="C51" t="str">
            <v>BARTINULUS</v>
          </cell>
          <cell r="G51"/>
        </row>
        <row r="52">
          <cell r="A52" t="str">
            <v>KURUCAŞİLE</v>
          </cell>
          <cell r="C52" t="str">
            <v>BARTINKURUCAŞİLE</v>
          </cell>
          <cell r="G52"/>
        </row>
        <row r="53">
          <cell r="A53" t="str">
            <v>MERKEZ</v>
          </cell>
          <cell r="C53" t="str">
            <v>BATMANMERKEZ</v>
          </cell>
          <cell r="G53"/>
        </row>
        <row r="54">
          <cell r="A54" t="str">
            <v>BEŞİRİ</v>
          </cell>
          <cell r="C54" t="str">
            <v>BATMANBEŞİRİ</v>
          </cell>
          <cell r="G54"/>
        </row>
        <row r="55">
          <cell r="A55" t="str">
            <v>MERKEZ</v>
          </cell>
          <cell r="C55" t="str">
            <v>BİLECİKMERKEZ</v>
          </cell>
          <cell r="G55"/>
        </row>
        <row r="56">
          <cell r="A56" t="str">
            <v>BOZÜYÜK</v>
          </cell>
          <cell r="C56" t="str">
            <v>BİLECİKBOZÜYÜK</v>
          </cell>
          <cell r="G56"/>
        </row>
        <row r="57">
          <cell r="A57" t="str">
            <v>YENİPAZAR</v>
          </cell>
          <cell r="C57" t="str">
            <v>BİLECİKYENİPAZAR</v>
          </cell>
          <cell r="G57"/>
        </row>
        <row r="58">
          <cell r="A58" t="str">
            <v>SÖĞÜT</v>
          </cell>
          <cell r="C58" t="str">
            <v>BİLECİKSÖĞÜT</v>
          </cell>
          <cell r="G58"/>
        </row>
        <row r="59">
          <cell r="A59" t="str">
            <v>OSMANELİ</v>
          </cell>
          <cell r="C59" t="str">
            <v>BİLECİKOSMANELİ</v>
          </cell>
          <cell r="G59"/>
        </row>
        <row r="60">
          <cell r="A60" t="str">
            <v>MERKEZ</v>
          </cell>
          <cell r="C60" t="str">
            <v>BİNGÖLMERKEZ</v>
          </cell>
          <cell r="G60"/>
        </row>
        <row r="61">
          <cell r="A61" t="str">
            <v>MERKEZ</v>
          </cell>
          <cell r="C61" t="str">
            <v>BİTLİSMERKEZ</v>
          </cell>
          <cell r="G61"/>
        </row>
        <row r="62">
          <cell r="A62" t="str">
            <v>MERKEZ</v>
          </cell>
          <cell r="C62" t="str">
            <v>BOLUMERKEZ</v>
          </cell>
          <cell r="G62"/>
        </row>
        <row r="63">
          <cell r="A63" t="str">
            <v>GEREDE</v>
          </cell>
          <cell r="C63" t="str">
            <v>BOLUGEREDE</v>
          </cell>
          <cell r="G63"/>
        </row>
        <row r="64">
          <cell r="A64" t="str">
            <v>MENGEN</v>
          </cell>
          <cell r="C64" t="str">
            <v>BOLUMENGEN</v>
          </cell>
          <cell r="G64"/>
        </row>
        <row r="65">
          <cell r="A65" t="str">
            <v>MUDURNU</v>
          </cell>
          <cell r="C65" t="str">
            <v>BOLUMUDURNU</v>
          </cell>
          <cell r="G65"/>
        </row>
        <row r="66">
          <cell r="A66" t="str">
            <v>BUCAK</v>
          </cell>
          <cell r="C66" t="str">
            <v>BURDURBUCAK</v>
          </cell>
          <cell r="G66"/>
        </row>
        <row r="67">
          <cell r="A67" t="str">
            <v>MERKEZ</v>
          </cell>
          <cell r="C67" t="str">
            <v>BURDURMERKEZ</v>
          </cell>
          <cell r="G67"/>
        </row>
        <row r="68">
          <cell r="A68" t="str">
            <v>GÖLHİSAR</v>
          </cell>
          <cell r="C68" t="str">
            <v>BURDURGÖLHİSAR</v>
          </cell>
          <cell r="G68"/>
        </row>
        <row r="69">
          <cell r="A69" t="str">
            <v>KARAMANLI</v>
          </cell>
          <cell r="C69" t="str">
            <v>BURDURKARAMANLI</v>
          </cell>
          <cell r="G69"/>
        </row>
        <row r="70">
          <cell r="A70" t="str">
            <v>ALTINYAYLA</v>
          </cell>
          <cell r="C70" t="str">
            <v>BURDURALTINYAYLA</v>
          </cell>
          <cell r="G70"/>
        </row>
        <row r="71">
          <cell r="A71" t="str">
            <v>KEMER</v>
          </cell>
          <cell r="C71" t="str">
            <v>BURDURKEMER</v>
          </cell>
          <cell r="G71"/>
        </row>
        <row r="72">
          <cell r="A72" t="str">
            <v>MERKEZ</v>
          </cell>
          <cell r="C72" t="str">
            <v>ÇANAKKALEMERKEZ</v>
          </cell>
          <cell r="G72"/>
        </row>
        <row r="73">
          <cell r="A73" t="str">
            <v>GÖKÇEADA</v>
          </cell>
          <cell r="C73" t="str">
            <v>ÇANAKKALEGÖKÇEADA</v>
          </cell>
          <cell r="G73"/>
        </row>
        <row r="74">
          <cell r="A74" t="str">
            <v>ÇAN</v>
          </cell>
          <cell r="C74" t="str">
            <v>ÇANAKKALEÇAN</v>
          </cell>
          <cell r="G74"/>
        </row>
        <row r="75">
          <cell r="A75" t="str">
            <v>AYVACIK</v>
          </cell>
          <cell r="C75" t="str">
            <v>ÇANAKKALEAYVACIK</v>
          </cell>
          <cell r="G75"/>
        </row>
        <row r="76">
          <cell r="A76" t="str">
            <v>BOZCAADA</v>
          </cell>
          <cell r="C76" t="str">
            <v>ÇANAKKALEBOZCAADA</v>
          </cell>
          <cell r="G76"/>
        </row>
        <row r="77">
          <cell r="A77" t="str">
            <v>LAPSEKİ</v>
          </cell>
          <cell r="C77" t="str">
            <v>ÇANAKKALELAPSEKİ</v>
          </cell>
          <cell r="G77"/>
        </row>
        <row r="78">
          <cell r="A78" t="str">
            <v>GELİBOLU</v>
          </cell>
          <cell r="C78" t="str">
            <v>ÇANAKKALEGELİBOLU</v>
          </cell>
          <cell r="G78"/>
        </row>
        <row r="79">
          <cell r="A79" t="str">
            <v>ECEABAT</v>
          </cell>
          <cell r="C79" t="str">
            <v>ÇANAKKALEECEABAT</v>
          </cell>
          <cell r="G79"/>
        </row>
        <row r="80">
          <cell r="A80" t="str">
            <v>BİGA</v>
          </cell>
          <cell r="C80" t="str">
            <v>ÇANAKKALEBİGA</v>
          </cell>
          <cell r="G80"/>
        </row>
        <row r="81">
          <cell r="A81" t="str">
            <v>EZİNE</v>
          </cell>
          <cell r="C81" t="str">
            <v>ÇANAKKALEEZİNE</v>
          </cell>
          <cell r="G81"/>
        </row>
        <row r="82">
          <cell r="A82" t="str">
            <v>YENİCE</v>
          </cell>
          <cell r="C82" t="str">
            <v>ÇANAKKALEYENİCE</v>
          </cell>
          <cell r="G82"/>
        </row>
        <row r="83">
          <cell r="A83" t="str">
            <v>MERKEZ</v>
          </cell>
          <cell r="C83" t="str">
            <v>ÇANKIRIMERKEZ</v>
          </cell>
          <cell r="G83"/>
        </row>
        <row r="84">
          <cell r="A84" t="str">
            <v>ÇERKEŞ</v>
          </cell>
          <cell r="C84" t="str">
            <v>ÇANKIRIÇERKEŞ</v>
          </cell>
          <cell r="G84"/>
        </row>
        <row r="85">
          <cell r="A85" t="str">
            <v>KURŞUNLU</v>
          </cell>
          <cell r="C85" t="str">
            <v>ÇANKIRIKURŞUNLU</v>
          </cell>
          <cell r="G85"/>
        </row>
        <row r="86">
          <cell r="A86" t="str">
            <v>ŞABANÖZÜ</v>
          </cell>
          <cell r="C86" t="str">
            <v>ÇANKIRIŞABANÖZÜ</v>
          </cell>
          <cell r="G86"/>
        </row>
        <row r="87">
          <cell r="A87" t="str">
            <v>ELDİVAN</v>
          </cell>
          <cell r="C87" t="str">
            <v>ÇANKIRIELDİVAN</v>
          </cell>
          <cell r="G87"/>
        </row>
        <row r="88">
          <cell r="A88" t="str">
            <v>MERKEZ</v>
          </cell>
          <cell r="C88" t="str">
            <v>ÇORUMMERKEZ</v>
          </cell>
          <cell r="G88"/>
        </row>
        <row r="89">
          <cell r="A89" t="str">
            <v>SUNGURLU</v>
          </cell>
          <cell r="C89" t="str">
            <v>ÇORUMSUNGURLU</v>
          </cell>
          <cell r="G89"/>
        </row>
        <row r="90">
          <cell r="A90" t="str">
            <v>MECİTÖZÜ</v>
          </cell>
          <cell r="C90" t="str">
            <v>ÇORUMMECİTÖZÜ</v>
          </cell>
          <cell r="G90"/>
        </row>
        <row r="91">
          <cell r="A91" t="str">
            <v>İSKİLİP</v>
          </cell>
          <cell r="C91" t="str">
            <v>ÇORUMİSKİLİP</v>
          </cell>
          <cell r="G91"/>
        </row>
        <row r="92">
          <cell r="A92" t="str">
            <v>BAYAT</v>
          </cell>
          <cell r="C92" t="str">
            <v>ÇORUMBAYAT</v>
          </cell>
          <cell r="G92"/>
        </row>
        <row r="93">
          <cell r="A93" t="str">
            <v>ALACA</v>
          </cell>
          <cell r="C93" t="str">
            <v>ÇORUMALACA</v>
          </cell>
          <cell r="G93"/>
        </row>
        <row r="94">
          <cell r="A94" t="str">
            <v>UĞURLUDAĞ</v>
          </cell>
          <cell r="C94" t="str">
            <v>ÇORUMUĞURLUDAĞ</v>
          </cell>
          <cell r="G94"/>
        </row>
        <row r="95">
          <cell r="A95" t="str">
            <v>KARGI</v>
          </cell>
          <cell r="C95" t="str">
            <v>ÇORUMKARGI</v>
          </cell>
          <cell r="G95"/>
        </row>
        <row r="96">
          <cell r="A96" t="str">
            <v>DENİZLİ BÜYÜKŞEHİR</v>
          </cell>
          <cell r="C96" t="str">
            <v>DENİZLİDENİZLİ BÜYÜKŞEHİR</v>
          </cell>
          <cell r="G96"/>
        </row>
        <row r="97">
          <cell r="A97" t="str">
            <v>DİYARBAKIR BÜYÜKŞEHİR</v>
          </cell>
          <cell r="C97" t="str">
            <v>DİYARBAKIRDİYARBAKIR BÜYÜKŞEHİR</v>
          </cell>
          <cell r="G97"/>
        </row>
        <row r="98">
          <cell r="A98" t="str">
            <v>MERKEZ</v>
          </cell>
          <cell r="C98" t="str">
            <v>DÜZCEMERKEZ</v>
          </cell>
          <cell r="G98"/>
        </row>
        <row r="99">
          <cell r="A99" t="str">
            <v>AKÇAKOCA</v>
          </cell>
          <cell r="C99" t="str">
            <v>DÜZCEAKÇAKOCA</v>
          </cell>
          <cell r="G99"/>
        </row>
        <row r="100">
          <cell r="A100" t="str">
            <v>KAYNAŞLI</v>
          </cell>
          <cell r="C100" t="str">
            <v>DÜZCEKAYNAŞLI</v>
          </cell>
          <cell r="G100"/>
        </row>
        <row r="101">
          <cell r="A101" t="str">
            <v>GÖLYAKA</v>
          </cell>
          <cell r="C101" t="str">
            <v>DÜZCEGÖLYAKA</v>
          </cell>
          <cell r="G101"/>
        </row>
        <row r="102">
          <cell r="A102" t="str">
            <v>YIĞILCA</v>
          </cell>
          <cell r="C102" t="str">
            <v>DÜZCEYIĞILCA</v>
          </cell>
          <cell r="G102"/>
        </row>
        <row r="103">
          <cell r="A103" t="str">
            <v>GÜMÜŞOVA</v>
          </cell>
          <cell r="C103" t="str">
            <v>DÜZCEGÜMÜŞOVA</v>
          </cell>
          <cell r="G103"/>
        </row>
        <row r="104">
          <cell r="A104" t="str">
            <v>CUMAYERİ</v>
          </cell>
          <cell r="C104" t="str">
            <v>DÜZCECUMAYERİ</v>
          </cell>
          <cell r="G104"/>
        </row>
        <row r="105">
          <cell r="A105" t="str">
            <v>MERKEZ</v>
          </cell>
          <cell r="C105" t="str">
            <v>EDİRNEMERKEZ</v>
          </cell>
          <cell r="G105"/>
        </row>
        <row r="106">
          <cell r="A106" t="str">
            <v>KEŞAN</v>
          </cell>
          <cell r="C106" t="str">
            <v>EDİRNEKEŞAN</v>
          </cell>
          <cell r="G106"/>
        </row>
        <row r="107">
          <cell r="A107" t="str">
            <v>HAVSA</v>
          </cell>
          <cell r="C107" t="str">
            <v>EDİRNEHAVSA</v>
          </cell>
          <cell r="G107"/>
        </row>
        <row r="108">
          <cell r="A108" t="str">
            <v>LALAPAŞA</v>
          </cell>
          <cell r="C108" t="str">
            <v>EDİRNELALAPAŞA</v>
          </cell>
          <cell r="G108"/>
        </row>
        <row r="109">
          <cell r="A109" t="str">
            <v>İPSALA</v>
          </cell>
          <cell r="C109" t="str">
            <v>EDİRNEİPSALA</v>
          </cell>
          <cell r="G109"/>
        </row>
        <row r="110">
          <cell r="A110" t="str">
            <v>UZUNKÖPRÜ</v>
          </cell>
          <cell r="C110" t="str">
            <v>EDİRNEUZUNKÖPRÜ</v>
          </cell>
          <cell r="G110"/>
        </row>
        <row r="111">
          <cell r="A111" t="str">
            <v>ENEZ</v>
          </cell>
          <cell r="C111" t="str">
            <v>EDİRNEENEZ</v>
          </cell>
          <cell r="G111"/>
        </row>
        <row r="112">
          <cell r="A112" t="str">
            <v>MERKEZ</v>
          </cell>
          <cell r="C112" t="str">
            <v>ELAZIĞMERKEZ</v>
          </cell>
          <cell r="G112"/>
        </row>
        <row r="113">
          <cell r="A113" t="str">
            <v>SİVRİCE</v>
          </cell>
          <cell r="C113" t="str">
            <v>ELAZIĞSİVRİCE</v>
          </cell>
          <cell r="G113"/>
        </row>
        <row r="114">
          <cell r="A114" t="str">
            <v>KARAKOÇAN</v>
          </cell>
          <cell r="C114" t="str">
            <v>ELAZIĞKARAKOÇAN</v>
          </cell>
          <cell r="G114"/>
        </row>
        <row r="115">
          <cell r="A115" t="str">
            <v>MERKEZ</v>
          </cell>
          <cell r="C115" t="str">
            <v>ERZİNCANMERKEZ</v>
          </cell>
          <cell r="G115"/>
        </row>
        <row r="116">
          <cell r="A116" t="str">
            <v>REFAHİYE</v>
          </cell>
          <cell r="C116" t="str">
            <v>ERZİNCANREFAHİYE</v>
          </cell>
          <cell r="G116"/>
        </row>
        <row r="117">
          <cell r="A117" t="str">
            <v>KEMAH</v>
          </cell>
          <cell r="C117" t="str">
            <v>ERZİNCANKEMAH</v>
          </cell>
          <cell r="G117"/>
        </row>
        <row r="118">
          <cell r="A118" t="str">
            <v>ÜZÜMLÜ</v>
          </cell>
          <cell r="C118" t="str">
            <v>ERZİNCANÜZÜMLÜ</v>
          </cell>
          <cell r="G118"/>
        </row>
        <row r="119">
          <cell r="A119" t="str">
            <v>ERZURUM BÜYÜKŞEHİR</v>
          </cell>
          <cell r="C119" t="str">
            <v>ERZURUMERZURUM BÜYÜKŞEHİR</v>
          </cell>
          <cell r="G119"/>
        </row>
        <row r="120">
          <cell r="A120" t="str">
            <v>ESKİŞEHİR BÜYÜKŞEHİR</v>
          </cell>
          <cell r="C120" t="str">
            <v>ESKİŞEHİRESKİŞEHİR BÜYÜKŞEHİR</v>
          </cell>
          <cell r="G120"/>
        </row>
        <row r="121">
          <cell r="A121" t="str">
            <v>GAZİANTEP BÜYÜKŞEHİR</v>
          </cell>
          <cell r="C121" t="str">
            <v>GAZİANTEPGAZİANTEP BÜYÜKŞEHİR</v>
          </cell>
          <cell r="G121"/>
        </row>
        <row r="122">
          <cell r="A122" t="str">
            <v>MERKEZ</v>
          </cell>
          <cell r="C122" t="str">
            <v>GİRESUNMERKEZ</v>
          </cell>
          <cell r="G122"/>
        </row>
        <row r="123">
          <cell r="A123" t="str">
            <v>KEŞAP</v>
          </cell>
          <cell r="C123" t="str">
            <v>GİRESUNKEŞAP</v>
          </cell>
          <cell r="G123"/>
        </row>
        <row r="124">
          <cell r="A124" t="str">
            <v>BULANCAK</v>
          </cell>
          <cell r="C124" t="str">
            <v>GİRESUNBULANCAK</v>
          </cell>
          <cell r="G124"/>
        </row>
        <row r="125">
          <cell r="A125" t="str">
            <v>ESPİYE</v>
          </cell>
          <cell r="C125" t="str">
            <v>GİRESUNESPİYE</v>
          </cell>
          <cell r="G125"/>
        </row>
        <row r="126">
          <cell r="A126" t="str">
            <v>TİREBOLU</v>
          </cell>
          <cell r="C126" t="str">
            <v>GİRESUNTİREBOLU</v>
          </cell>
          <cell r="G126"/>
        </row>
        <row r="127">
          <cell r="A127" t="str">
            <v>YAĞLIDERE</v>
          </cell>
          <cell r="C127" t="str">
            <v>GİRESUNYAĞLIDERE</v>
          </cell>
          <cell r="G127"/>
        </row>
        <row r="128">
          <cell r="A128" t="str">
            <v>PİRAZİZ</v>
          </cell>
          <cell r="C128" t="str">
            <v>GİRESUNPİRAZİZ</v>
          </cell>
          <cell r="G128"/>
        </row>
        <row r="129">
          <cell r="A129" t="str">
            <v>EYNESİL</v>
          </cell>
          <cell r="C129" t="str">
            <v>GİRESUNEYNESİL</v>
          </cell>
          <cell r="G129"/>
        </row>
        <row r="130">
          <cell r="A130" t="str">
            <v>MERKEZ</v>
          </cell>
          <cell r="C130" t="str">
            <v>GÜMÜŞHANEMERKEZ</v>
          </cell>
          <cell r="G130"/>
        </row>
        <row r="131">
          <cell r="A131" t="str">
            <v>TORUL</v>
          </cell>
          <cell r="C131" t="str">
            <v>GÜMÜŞHANETORUL</v>
          </cell>
          <cell r="G131"/>
        </row>
        <row r="132">
          <cell r="A132" t="str">
            <v>YÜKSEKOVA</v>
          </cell>
          <cell r="C132" t="str">
            <v>HAKKARİYÜKSEKOVA</v>
          </cell>
          <cell r="G132"/>
        </row>
        <row r="133">
          <cell r="A133" t="str">
            <v>ÇUKURCA</v>
          </cell>
          <cell r="C133" t="str">
            <v>HAKKARİÇUKURCA</v>
          </cell>
          <cell r="G133"/>
        </row>
        <row r="134">
          <cell r="A134" t="str">
            <v>HATAY BÜYÜKŞEHİR</v>
          </cell>
          <cell r="C134" t="str">
            <v>HATAYHATAY BÜYÜKŞEHİR</v>
          </cell>
          <cell r="G134"/>
        </row>
        <row r="135">
          <cell r="A135" t="str">
            <v>ARALIK</v>
          </cell>
          <cell r="C135" t="str">
            <v>IĞDIRARALIK</v>
          </cell>
          <cell r="G135"/>
        </row>
        <row r="136">
          <cell r="A136" t="str">
            <v>MERKEZ</v>
          </cell>
          <cell r="C136" t="str">
            <v>IĞDIRMERKEZ</v>
          </cell>
          <cell r="G136"/>
        </row>
        <row r="137">
          <cell r="A137" t="str">
            <v>MERKEZ</v>
          </cell>
          <cell r="C137" t="str">
            <v>ISPARTAMERKEZ</v>
          </cell>
          <cell r="G137"/>
        </row>
        <row r="138">
          <cell r="A138" t="str">
            <v>KEÇİBORLU</v>
          </cell>
          <cell r="C138" t="str">
            <v>ISPARTAKEÇİBORLU</v>
          </cell>
          <cell r="G138"/>
        </row>
        <row r="139">
          <cell r="A139" t="str">
            <v>GELENDOST</v>
          </cell>
          <cell r="C139" t="str">
            <v>ISPARTAGELENDOST</v>
          </cell>
          <cell r="G139"/>
        </row>
        <row r="140">
          <cell r="A140" t="str">
            <v>YALVAÇ</v>
          </cell>
          <cell r="C140" t="str">
            <v>ISPARTAYALVAÇ</v>
          </cell>
          <cell r="G140"/>
        </row>
        <row r="141">
          <cell r="A141" t="str">
            <v>ŞARKİKARAAĞAÇ</v>
          </cell>
          <cell r="C141" t="str">
            <v>ISPARTAŞARKİKARAAĞAÇ</v>
          </cell>
          <cell r="G141"/>
        </row>
        <row r="142">
          <cell r="A142" t="str">
            <v>ATABEY</v>
          </cell>
          <cell r="C142" t="str">
            <v>ISPARTAATABEY</v>
          </cell>
          <cell r="G142"/>
        </row>
        <row r="143">
          <cell r="A143" t="str">
            <v>ULUBORLU</v>
          </cell>
          <cell r="C143" t="str">
            <v>ISPARTAULUBORLU</v>
          </cell>
          <cell r="G143"/>
        </row>
        <row r="144">
          <cell r="A144" t="str">
            <v>SÜTÇÜLER</v>
          </cell>
          <cell r="C144" t="str">
            <v>ISPARTASÜTÇÜLER</v>
          </cell>
          <cell r="G144"/>
        </row>
        <row r="145">
          <cell r="A145" t="str">
            <v>KAHRAMANMARAŞ BÜYÜKŞEHİR</v>
          </cell>
          <cell r="C145" t="str">
            <v>KAHRAMANMARAŞKAHRAMANMARAŞ BÜYÜKŞEHİR</v>
          </cell>
          <cell r="G145"/>
        </row>
        <row r="146">
          <cell r="A146" t="str">
            <v>MERKEZ</v>
          </cell>
          <cell r="C146" t="str">
            <v>KARABÜKMERKEZ</v>
          </cell>
          <cell r="G146"/>
        </row>
        <row r="147">
          <cell r="A147" t="str">
            <v>SAFRANBOLU</v>
          </cell>
          <cell r="C147" t="str">
            <v>KARABÜKSAFRANBOLU</v>
          </cell>
          <cell r="G147"/>
        </row>
        <row r="148">
          <cell r="A148" t="str">
            <v>YENİCE</v>
          </cell>
          <cell r="C148" t="str">
            <v>KARABÜKYENİCE</v>
          </cell>
          <cell r="G148"/>
        </row>
        <row r="149">
          <cell r="A149" t="str">
            <v>MERKEZ</v>
          </cell>
          <cell r="C149" t="str">
            <v>KARAMANMERKEZ</v>
          </cell>
          <cell r="G149"/>
        </row>
        <row r="150">
          <cell r="A150" t="str">
            <v>SUSUZ</v>
          </cell>
          <cell r="C150" t="str">
            <v>KARSSUSUZ</v>
          </cell>
          <cell r="G150"/>
        </row>
        <row r="151">
          <cell r="A151" t="str">
            <v>MERKEZ</v>
          </cell>
          <cell r="C151" t="str">
            <v>KARSMERKEZ</v>
          </cell>
          <cell r="G151"/>
        </row>
        <row r="152">
          <cell r="A152" t="str">
            <v>AKYAKA</v>
          </cell>
          <cell r="C152" t="str">
            <v>KARSAKYAKA</v>
          </cell>
          <cell r="G152"/>
        </row>
        <row r="153">
          <cell r="A153" t="str">
            <v>MERKEZ</v>
          </cell>
          <cell r="C153" t="str">
            <v>KASTAMONUMERKEZ</v>
          </cell>
          <cell r="G153"/>
        </row>
        <row r="154">
          <cell r="A154" t="str">
            <v>ARAÇ</v>
          </cell>
          <cell r="C154" t="str">
            <v>KASTAMONUARAÇ</v>
          </cell>
          <cell r="G154"/>
        </row>
        <row r="155">
          <cell r="A155" t="str">
            <v>TOSYA</v>
          </cell>
          <cell r="C155" t="str">
            <v>KASTAMONUTOSYA</v>
          </cell>
          <cell r="G155"/>
        </row>
        <row r="156">
          <cell r="A156" t="str">
            <v>ŞENPAZAR</v>
          </cell>
          <cell r="C156" t="str">
            <v>KASTAMONUŞENPAZAR</v>
          </cell>
          <cell r="G156"/>
        </row>
        <row r="157">
          <cell r="A157" t="str">
            <v>AZDAVAY</v>
          </cell>
          <cell r="C157" t="str">
            <v>KASTAMONUAZDAVAY</v>
          </cell>
          <cell r="G157"/>
        </row>
        <row r="158">
          <cell r="A158" t="str">
            <v>CİDE</v>
          </cell>
          <cell r="C158" t="str">
            <v>KASTAMONUCİDE</v>
          </cell>
          <cell r="G158"/>
        </row>
        <row r="159">
          <cell r="A159" t="str">
            <v>DEVREKANİ</v>
          </cell>
          <cell r="C159" t="str">
            <v>KASTAMONUDEVREKANİ</v>
          </cell>
          <cell r="G159"/>
        </row>
        <row r="160">
          <cell r="A160" t="str">
            <v>İHSANGAZİ</v>
          </cell>
          <cell r="C160" t="str">
            <v>KASTAMONUİHSANGAZİ</v>
          </cell>
          <cell r="G160"/>
        </row>
        <row r="161">
          <cell r="A161" t="str">
            <v>TAŞKÖPRÜ</v>
          </cell>
          <cell r="C161" t="str">
            <v>KASTAMONUTAŞKÖPRÜ</v>
          </cell>
          <cell r="G161"/>
        </row>
        <row r="162">
          <cell r="A162" t="str">
            <v>KAYSERİ BÜYÜKŞEHİR</v>
          </cell>
          <cell r="C162" t="str">
            <v>KAYSERİKAYSERİ BÜYÜKŞEHİR</v>
          </cell>
          <cell r="G162"/>
        </row>
        <row r="163">
          <cell r="A163" t="str">
            <v>MERKEZ</v>
          </cell>
          <cell r="C163" t="str">
            <v>KIRIKKALEMERKEZ</v>
          </cell>
          <cell r="G163"/>
        </row>
        <row r="164">
          <cell r="A164" t="str">
            <v>YAHŞİHAN</v>
          </cell>
          <cell r="C164" t="str">
            <v>KIRIKKALEYAHŞİHAN</v>
          </cell>
          <cell r="G164"/>
        </row>
        <row r="165">
          <cell r="A165" t="str">
            <v>SULAKYURT</v>
          </cell>
          <cell r="C165" t="str">
            <v>KIRIKKALESULAKYURT</v>
          </cell>
          <cell r="G165"/>
        </row>
        <row r="166">
          <cell r="A166" t="str">
            <v>KESKİN</v>
          </cell>
          <cell r="C166" t="str">
            <v>KIRIKKALEKESKİN</v>
          </cell>
          <cell r="G166"/>
        </row>
        <row r="167">
          <cell r="A167" t="str">
            <v>BAHŞILI</v>
          </cell>
          <cell r="C167" t="str">
            <v>KIRIKKALEBAHŞILI</v>
          </cell>
          <cell r="G167"/>
        </row>
        <row r="168">
          <cell r="A168" t="str">
            <v>LÜLEBURGAZ</v>
          </cell>
          <cell r="C168" t="str">
            <v>KIRKLARELİLÜLEBURGAZ</v>
          </cell>
          <cell r="G168"/>
        </row>
        <row r="169">
          <cell r="A169" t="str">
            <v>MERKEZ</v>
          </cell>
          <cell r="C169" t="str">
            <v>KIRKLARELİMERKEZ</v>
          </cell>
          <cell r="G169"/>
        </row>
        <row r="170">
          <cell r="A170" t="str">
            <v>BABAESKİ</v>
          </cell>
          <cell r="C170" t="str">
            <v>KIRKLARELİBABAESKİ</v>
          </cell>
          <cell r="G170"/>
        </row>
        <row r="171">
          <cell r="A171" t="str">
            <v>DEMİRKÖY</v>
          </cell>
          <cell r="C171" t="str">
            <v>KIRKLARELİDEMİRKÖY</v>
          </cell>
          <cell r="G171"/>
        </row>
        <row r="172">
          <cell r="A172" t="str">
            <v>VİZE</v>
          </cell>
          <cell r="C172" t="str">
            <v>KIRKLARELİVİZE</v>
          </cell>
          <cell r="G172"/>
        </row>
        <row r="173">
          <cell r="A173" t="str">
            <v>MERKEZ</v>
          </cell>
          <cell r="C173" t="str">
            <v>KIRŞEHİRMERKEZ</v>
          </cell>
          <cell r="G173"/>
        </row>
        <row r="174">
          <cell r="A174" t="str">
            <v>MUCUR</v>
          </cell>
          <cell r="C174" t="str">
            <v>KIRŞEHİRMUCUR</v>
          </cell>
          <cell r="G174"/>
        </row>
        <row r="175">
          <cell r="A175" t="str">
            <v>KAMAN</v>
          </cell>
          <cell r="C175" t="str">
            <v>KIRŞEHİRKAMAN</v>
          </cell>
          <cell r="G175"/>
        </row>
        <row r="176">
          <cell r="A176" t="str">
            <v>AKPINAR</v>
          </cell>
          <cell r="C176" t="str">
            <v>KIRŞEHİRAKPINAR</v>
          </cell>
          <cell r="G176"/>
        </row>
        <row r="177">
          <cell r="A177" t="str">
            <v>MERKEZ</v>
          </cell>
          <cell r="C177" t="str">
            <v>KİLİSMERKEZ</v>
          </cell>
          <cell r="G177"/>
        </row>
        <row r="178">
          <cell r="A178" t="str">
            <v>KONYA BÜYÜKŞEHİR</v>
          </cell>
          <cell r="C178" t="str">
            <v>KONYAKONYA BÜYÜKŞEHİR</v>
          </cell>
          <cell r="G178"/>
        </row>
        <row r="179">
          <cell r="A179" t="str">
            <v>MERKEZ</v>
          </cell>
          <cell r="C179" t="str">
            <v>KÜTAHYAMERKEZ</v>
          </cell>
          <cell r="G179"/>
        </row>
        <row r="180">
          <cell r="A180" t="str">
            <v>TAVŞANLI</v>
          </cell>
          <cell r="C180" t="str">
            <v>KÜTAHYATAVŞANLI</v>
          </cell>
          <cell r="G180"/>
        </row>
        <row r="181">
          <cell r="A181" t="str">
            <v>SİMAV</v>
          </cell>
          <cell r="C181" t="str">
            <v>KÜTAHYASİMAV</v>
          </cell>
          <cell r="G181"/>
        </row>
        <row r="182">
          <cell r="A182" t="str">
            <v>GEDİZ</v>
          </cell>
          <cell r="C182" t="str">
            <v>KÜTAHYAGEDİZ</v>
          </cell>
          <cell r="G182"/>
        </row>
        <row r="183">
          <cell r="A183" t="str">
            <v>DOMANİÇ</v>
          </cell>
          <cell r="C183" t="str">
            <v>KÜTAHYADOMANİÇ</v>
          </cell>
          <cell r="G183"/>
        </row>
        <row r="184">
          <cell r="A184" t="str">
            <v>EMET</v>
          </cell>
          <cell r="C184" t="str">
            <v>KÜTAHYAEMET</v>
          </cell>
          <cell r="G184"/>
        </row>
        <row r="185">
          <cell r="A185" t="str">
            <v>HİSARCIK</v>
          </cell>
          <cell r="C185" t="str">
            <v>KÜTAHYAHİSARCIK</v>
          </cell>
          <cell r="G185"/>
        </row>
        <row r="186">
          <cell r="A186" t="str">
            <v>ÇAVDARHİSAR</v>
          </cell>
          <cell r="C186" t="str">
            <v>KÜTAHYAÇAVDARHİSAR</v>
          </cell>
          <cell r="G186"/>
        </row>
        <row r="187">
          <cell r="A187" t="str">
            <v>MALATYA BÜYÜKŞEHİR</v>
          </cell>
          <cell r="C187" t="str">
            <v>MALATYAMALATYA BÜYÜKŞEHİR</v>
          </cell>
          <cell r="G187"/>
        </row>
        <row r="188">
          <cell r="A188" t="str">
            <v>MANİSA BÜYÜKŞEHİR</v>
          </cell>
          <cell r="C188" t="str">
            <v>MANİSAMANİSA BÜYÜKŞEHİR</v>
          </cell>
          <cell r="G188"/>
        </row>
        <row r="189">
          <cell r="A189" t="str">
            <v>MARDİN BÜYÜKŞEHİR</v>
          </cell>
          <cell r="C189" t="str">
            <v>MARDİNMARDİN BÜYÜKŞEHİR</v>
          </cell>
          <cell r="G189"/>
        </row>
        <row r="190">
          <cell r="A190" t="str">
            <v>MERSİN BÜYÜKŞEHİR</v>
          </cell>
          <cell r="C190" t="str">
            <v>MERSİNMERSİN BÜYÜKŞEHİR</v>
          </cell>
          <cell r="G190"/>
        </row>
        <row r="191">
          <cell r="A191" t="str">
            <v>MUĞLA BÜYÜKŞEHİR</v>
          </cell>
          <cell r="C191" t="str">
            <v>MUĞLAMUĞLA BÜYÜKŞEHİR</v>
          </cell>
          <cell r="G191"/>
        </row>
        <row r="192">
          <cell r="A192" t="str">
            <v>VARTO</v>
          </cell>
          <cell r="C192" t="str">
            <v>MUŞVARTO</v>
          </cell>
          <cell r="G192"/>
        </row>
        <row r="193">
          <cell r="A193" t="str">
            <v>MERKEZ</v>
          </cell>
          <cell r="C193" t="str">
            <v>NEVŞEHİRMERKEZ</v>
          </cell>
          <cell r="G193"/>
        </row>
        <row r="194">
          <cell r="A194" t="str">
            <v>ÜRGÜP</v>
          </cell>
          <cell r="C194" t="str">
            <v>NEVŞEHİRÜRGÜP</v>
          </cell>
          <cell r="G194"/>
        </row>
        <row r="195">
          <cell r="A195" t="str">
            <v>AVANOS</v>
          </cell>
          <cell r="C195" t="str">
            <v>NEVŞEHİRAVANOS</v>
          </cell>
          <cell r="G195"/>
        </row>
        <row r="196">
          <cell r="A196" t="str">
            <v>DERİNKUYU</v>
          </cell>
          <cell r="C196" t="str">
            <v>NEVŞEHİRDERİNKUYU</v>
          </cell>
          <cell r="G196"/>
        </row>
        <row r="197">
          <cell r="A197" t="str">
            <v>GÜLŞEHİR</v>
          </cell>
          <cell r="C197" t="str">
            <v>NEVŞEHİRGÜLŞEHİR</v>
          </cell>
          <cell r="G197"/>
        </row>
        <row r="198">
          <cell r="A198" t="str">
            <v>KOZAKLI</v>
          </cell>
          <cell r="C198" t="str">
            <v>NEVŞEHİRKOZAKLI</v>
          </cell>
          <cell r="G198"/>
        </row>
        <row r="199">
          <cell r="A199" t="str">
            <v>BOR</v>
          </cell>
          <cell r="C199" t="str">
            <v>NİĞDEBOR</v>
          </cell>
          <cell r="G199"/>
        </row>
        <row r="200">
          <cell r="A200" t="str">
            <v>MERKEZ</v>
          </cell>
          <cell r="C200" t="str">
            <v>NİĞDEMERKEZ</v>
          </cell>
          <cell r="G200"/>
        </row>
        <row r="201">
          <cell r="A201" t="str">
            <v>ORDU BÜYÜKŞEHİR</v>
          </cell>
          <cell r="C201" t="str">
            <v>ORDUORDU BÜYÜKŞEHİR</v>
          </cell>
          <cell r="G201"/>
        </row>
        <row r="202">
          <cell r="A202" t="str">
            <v>MERKEZ</v>
          </cell>
          <cell r="C202" t="str">
            <v>OSMANİYEMERKEZ</v>
          </cell>
          <cell r="G202"/>
        </row>
        <row r="203">
          <cell r="A203" t="str">
            <v>DÜZİÇİ</v>
          </cell>
          <cell r="C203" t="str">
            <v>OSMANİYEDÜZİÇİ</v>
          </cell>
          <cell r="G203"/>
        </row>
        <row r="204">
          <cell r="A204" t="str">
            <v>KADİRLİ</v>
          </cell>
          <cell r="C204" t="str">
            <v>OSMANİYEKADİRLİ</v>
          </cell>
          <cell r="G204"/>
        </row>
        <row r="205">
          <cell r="A205" t="str">
            <v>ARDEŞEN</v>
          </cell>
          <cell r="C205" t="str">
            <v>RİZEARDEŞEN</v>
          </cell>
          <cell r="G205"/>
        </row>
        <row r="206">
          <cell r="A206" t="str">
            <v>ÇAYELİ</v>
          </cell>
          <cell r="C206" t="str">
            <v>RİZEÇAYELİ</v>
          </cell>
          <cell r="G206"/>
        </row>
        <row r="207">
          <cell r="A207" t="str">
            <v>PAZAR</v>
          </cell>
          <cell r="C207" t="str">
            <v>RİZEPAZAR</v>
          </cell>
          <cell r="G207"/>
        </row>
        <row r="208">
          <cell r="A208" t="str">
            <v>FINDIKLI</v>
          </cell>
          <cell r="C208" t="str">
            <v>RİZEFINDIKLI</v>
          </cell>
          <cell r="G208"/>
        </row>
        <row r="209">
          <cell r="A209" t="str">
            <v>ÇAMLIHEMŞİN</v>
          </cell>
          <cell r="C209" t="str">
            <v>RİZEÇAMLIHEMŞİN</v>
          </cell>
          <cell r="G209"/>
        </row>
        <row r="210">
          <cell r="A210" t="str">
            <v>DEREPAZARI</v>
          </cell>
          <cell r="C210" t="str">
            <v>RİZEDEREPAZARI</v>
          </cell>
          <cell r="G210"/>
        </row>
        <row r="211">
          <cell r="A211" t="str">
            <v>SAMSUN BÜYÜKŞEHİR</v>
          </cell>
          <cell r="C211" t="str">
            <v>SAMSUNSAMSUN BÜYÜKŞEHİR</v>
          </cell>
          <cell r="G211"/>
        </row>
        <row r="212">
          <cell r="A212" t="str">
            <v>MERKEZ</v>
          </cell>
          <cell r="C212" t="str">
            <v>SİİRTMERKEZ</v>
          </cell>
          <cell r="G212"/>
        </row>
        <row r="213">
          <cell r="A213" t="str">
            <v>KURTALAN</v>
          </cell>
          <cell r="C213" t="str">
            <v>SİİRTKURTALAN</v>
          </cell>
          <cell r="G213"/>
        </row>
        <row r="214">
          <cell r="A214" t="str">
            <v>MERKEZ</v>
          </cell>
          <cell r="C214" t="str">
            <v>SİNOPMERKEZ</v>
          </cell>
          <cell r="G214"/>
        </row>
        <row r="215">
          <cell r="A215" t="str">
            <v>BOYABAT</v>
          </cell>
          <cell r="C215" t="str">
            <v>SİNOPBOYABAT</v>
          </cell>
          <cell r="G215"/>
        </row>
        <row r="216">
          <cell r="A216" t="str">
            <v>AYANCIK</v>
          </cell>
          <cell r="C216" t="str">
            <v>SİNOPAYANCIK</v>
          </cell>
          <cell r="G216"/>
        </row>
        <row r="217">
          <cell r="A217" t="str">
            <v>DURAĞAN</v>
          </cell>
          <cell r="C217" t="str">
            <v>SİNOPDURAĞAN</v>
          </cell>
          <cell r="G217"/>
        </row>
        <row r="218">
          <cell r="A218" t="str">
            <v>GERZE</v>
          </cell>
          <cell r="C218" t="str">
            <v>SİNOPGERZE</v>
          </cell>
          <cell r="G218"/>
        </row>
        <row r="219">
          <cell r="A219" t="str">
            <v>MERKEZ</v>
          </cell>
          <cell r="C219" t="str">
            <v>SİVASMERKEZ</v>
          </cell>
          <cell r="G219"/>
        </row>
        <row r="220">
          <cell r="A220" t="str">
            <v>SUŞEHRİ</v>
          </cell>
          <cell r="C220" t="str">
            <v>SİVASSUŞEHRİ</v>
          </cell>
          <cell r="G220"/>
        </row>
        <row r="221">
          <cell r="A221" t="str">
            <v>ŞARKIŞLA</v>
          </cell>
          <cell r="C221" t="str">
            <v>SİVASŞARKIŞLA</v>
          </cell>
          <cell r="G221"/>
        </row>
        <row r="222">
          <cell r="A222" t="str">
            <v>ZARA</v>
          </cell>
          <cell r="C222" t="str">
            <v>SİVASZARA</v>
          </cell>
          <cell r="G222"/>
        </row>
        <row r="223">
          <cell r="A223" t="str">
            <v>KANGAL</v>
          </cell>
          <cell r="C223" t="str">
            <v>SİVASKANGAL</v>
          </cell>
          <cell r="G223"/>
        </row>
        <row r="224">
          <cell r="A224" t="str">
            <v>YILDIZELİ</v>
          </cell>
          <cell r="C224" t="str">
            <v>SİVASYILDIZELİ</v>
          </cell>
          <cell r="G224"/>
        </row>
        <row r="225">
          <cell r="A225" t="str">
            <v>DİVRİĞİ</v>
          </cell>
          <cell r="C225" t="str">
            <v>SİVASDİVRİĞİ</v>
          </cell>
          <cell r="G225"/>
        </row>
        <row r="226">
          <cell r="A226" t="str">
            <v>AKINCILAR</v>
          </cell>
          <cell r="C226" t="str">
            <v>SİVASAKINCILAR</v>
          </cell>
          <cell r="G226"/>
        </row>
        <row r="227">
          <cell r="A227" t="str">
            <v>GEMEREK</v>
          </cell>
          <cell r="C227" t="str">
            <v>SİVASGEMEREK</v>
          </cell>
          <cell r="G227"/>
        </row>
        <row r="228">
          <cell r="A228" t="str">
            <v>İMRANLI</v>
          </cell>
          <cell r="C228" t="str">
            <v>SİVASİMRANLI</v>
          </cell>
          <cell r="G228"/>
        </row>
        <row r="229">
          <cell r="A229" t="str">
            <v>KOYULHİSAR</v>
          </cell>
          <cell r="C229" t="str">
            <v>SİVASKOYULHİSAR</v>
          </cell>
          <cell r="G229"/>
        </row>
        <row r="230">
          <cell r="A230" t="str">
            <v>GÜRÜN</v>
          </cell>
          <cell r="C230" t="str">
            <v>SİVASGÜRÜN</v>
          </cell>
          <cell r="G230"/>
        </row>
        <row r="231">
          <cell r="A231" t="str">
            <v>ŞANLIURFA BÜYÜKŞEHİR</v>
          </cell>
          <cell r="C231" t="str">
            <v>ŞANLIURFAŞANLIURFA BÜYÜKŞEHİR</v>
          </cell>
          <cell r="G231"/>
        </row>
        <row r="232">
          <cell r="A232" t="str">
            <v>SİLOPİ</v>
          </cell>
          <cell r="C232" t="str">
            <v>ŞIRNAKSİLOPİ</v>
          </cell>
          <cell r="G232"/>
        </row>
        <row r="233">
          <cell r="A233" t="str">
            <v>TEKİRDAĞ BÜYÜKŞEHİR</v>
          </cell>
          <cell r="C233" t="str">
            <v>TEKİRDAĞTEKİRDAĞ BÜYÜKŞEHİR</v>
          </cell>
          <cell r="G233"/>
        </row>
        <row r="234">
          <cell r="A234" t="str">
            <v>MERKEZ</v>
          </cell>
          <cell r="C234" t="str">
            <v>TOKATMERKEZ</v>
          </cell>
          <cell r="G234"/>
        </row>
        <row r="235">
          <cell r="A235" t="str">
            <v>ERBAA</v>
          </cell>
          <cell r="C235" t="str">
            <v>TOKATERBAA</v>
          </cell>
          <cell r="G235"/>
        </row>
        <row r="236">
          <cell r="A236" t="str">
            <v>TURHAL</v>
          </cell>
          <cell r="C236" t="str">
            <v>TOKATTURHAL</v>
          </cell>
          <cell r="G236"/>
        </row>
        <row r="237">
          <cell r="A237" t="str">
            <v>ZİLE</v>
          </cell>
          <cell r="C237" t="str">
            <v>TOKATZİLE</v>
          </cell>
          <cell r="G237"/>
        </row>
        <row r="238">
          <cell r="A238" t="str">
            <v>REŞADİYE</v>
          </cell>
          <cell r="C238" t="str">
            <v>TOKATREŞADİYE</v>
          </cell>
          <cell r="G238"/>
        </row>
        <row r="239">
          <cell r="A239" t="str">
            <v>NİKSAR</v>
          </cell>
          <cell r="C239" t="str">
            <v>TOKATNİKSAR</v>
          </cell>
          <cell r="G239"/>
        </row>
        <row r="240">
          <cell r="A240" t="str">
            <v>ALMUS</v>
          </cell>
          <cell r="C240" t="str">
            <v>TOKATALMUS</v>
          </cell>
          <cell r="G240"/>
        </row>
        <row r="241">
          <cell r="A241" t="str">
            <v>TRABZON BÜYÜKŞEHİR</v>
          </cell>
          <cell r="C241" t="str">
            <v>TRABZONTRABZON BÜYÜKŞEHİR</v>
          </cell>
          <cell r="G241"/>
        </row>
        <row r="242">
          <cell r="A242" t="str">
            <v>HOZAT</v>
          </cell>
          <cell r="C242" t="str">
            <v>TUNCELİHOZAT</v>
          </cell>
          <cell r="G242"/>
        </row>
        <row r="243">
          <cell r="A243" t="str">
            <v>MAZGİRT</v>
          </cell>
          <cell r="C243" t="str">
            <v>TUNCELİMAZGİRT</v>
          </cell>
          <cell r="G243"/>
        </row>
        <row r="244">
          <cell r="A244" t="str">
            <v>PERTEK</v>
          </cell>
          <cell r="C244" t="str">
            <v>TUNCELİPERTEK</v>
          </cell>
          <cell r="G244"/>
        </row>
        <row r="245">
          <cell r="A245" t="str">
            <v>MERKEZ</v>
          </cell>
          <cell r="C245" t="str">
            <v>UŞAKMERKEZ</v>
          </cell>
          <cell r="G245"/>
        </row>
        <row r="246">
          <cell r="A246" t="str">
            <v>ULUBEY</v>
          </cell>
          <cell r="C246" t="str">
            <v>UŞAKULUBEY</v>
          </cell>
          <cell r="G246"/>
        </row>
        <row r="247">
          <cell r="A247" t="str">
            <v>VAN BÜYÜKŞEHİR</v>
          </cell>
          <cell r="C247" t="str">
            <v>VANVAN BÜYÜKŞEHİR</v>
          </cell>
          <cell r="G247"/>
        </row>
        <row r="248">
          <cell r="A248" t="str">
            <v>MERKEZ</v>
          </cell>
          <cell r="C248" t="str">
            <v>YALOVAMERKEZ</v>
          </cell>
          <cell r="G248"/>
        </row>
        <row r="249">
          <cell r="A249" t="str">
            <v>ALTINOVA</v>
          </cell>
          <cell r="C249" t="str">
            <v>YALOVAALTINOVA</v>
          </cell>
          <cell r="G249"/>
        </row>
        <row r="250">
          <cell r="A250" t="str">
            <v>ÇINARCIK</v>
          </cell>
          <cell r="C250" t="str">
            <v>YALOVAÇINARCIK</v>
          </cell>
          <cell r="G250"/>
        </row>
        <row r="251">
          <cell r="A251" t="str">
            <v>TERMAL</v>
          </cell>
          <cell r="C251" t="str">
            <v>YALOVATERMAL</v>
          </cell>
          <cell r="G251"/>
        </row>
        <row r="252">
          <cell r="A252" t="str">
            <v>ÇİFTLİKKÖY</v>
          </cell>
          <cell r="C252" t="str">
            <v>YALOVAÇİFTLİKKÖY</v>
          </cell>
          <cell r="G252"/>
        </row>
        <row r="253">
          <cell r="A253" t="str">
            <v>SORGUN</v>
          </cell>
          <cell r="C253" t="str">
            <v>YOZGATSORGUN</v>
          </cell>
          <cell r="G253"/>
        </row>
        <row r="254">
          <cell r="A254" t="str">
            <v>MERKEZ</v>
          </cell>
          <cell r="C254" t="str">
            <v>YOZGATMERKEZ</v>
          </cell>
          <cell r="G254"/>
        </row>
        <row r="255">
          <cell r="A255" t="str">
            <v>ÇANDIR</v>
          </cell>
          <cell r="C255" t="str">
            <v>YOZGATÇANDIR</v>
          </cell>
          <cell r="G255"/>
        </row>
        <row r="256">
          <cell r="A256" t="str">
            <v>BOĞAZLIYAN</v>
          </cell>
          <cell r="C256" t="str">
            <v>YOZGATBOĞAZLIYAN</v>
          </cell>
          <cell r="G256"/>
        </row>
        <row r="257">
          <cell r="A257" t="str">
            <v>SARIKAYA</v>
          </cell>
          <cell r="C257" t="str">
            <v>YOZGATSARIKAYA</v>
          </cell>
          <cell r="G257"/>
        </row>
        <row r="258">
          <cell r="A258" t="str">
            <v>YERKÖY</v>
          </cell>
          <cell r="C258" t="str">
            <v>YOZGATYERKÖY</v>
          </cell>
          <cell r="G258"/>
        </row>
        <row r="259">
          <cell r="A259" t="str">
            <v>ŞEFAATLİ</v>
          </cell>
          <cell r="C259" t="str">
            <v>YOZGATŞEFAATLİ</v>
          </cell>
          <cell r="G259"/>
        </row>
        <row r="260">
          <cell r="A260" t="str">
            <v>AYDINCIK</v>
          </cell>
          <cell r="C260" t="str">
            <v>YOZGATAYDINCIK</v>
          </cell>
          <cell r="G260"/>
        </row>
        <row r="261">
          <cell r="A261" t="str">
            <v>EREĞLİ</v>
          </cell>
          <cell r="C261" t="str">
            <v>ZONGULDAKEREĞLİ</v>
          </cell>
          <cell r="G261"/>
        </row>
        <row r="262">
          <cell r="A262" t="str">
            <v>ÇAYCUMA</v>
          </cell>
          <cell r="C262" t="str">
            <v>ZONGULDAKÇAYCUMA</v>
          </cell>
          <cell r="G262"/>
        </row>
        <row r="263">
          <cell r="A263" t="str">
            <v>MERKEZ</v>
          </cell>
          <cell r="C263" t="str">
            <v>ZONGULDAKMERKEZ</v>
          </cell>
          <cell r="G263"/>
        </row>
        <row r="264">
          <cell r="A264" t="str">
            <v>DEVREK</v>
          </cell>
          <cell r="C264" t="str">
            <v>ZONGULDAKDEVREK</v>
          </cell>
          <cell r="G264"/>
        </row>
        <row r="265">
          <cell r="A265" t="str">
            <v>GÖKÇEBEY</v>
          </cell>
          <cell r="C265" t="str">
            <v>ZONGULDAKGÖKÇEBEY</v>
          </cell>
          <cell r="G265"/>
        </row>
        <row r="266">
          <cell r="A266" t="str">
            <v>ALAPLI</v>
          </cell>
          <cell r="C266" t="str">
            <v>ZONGULDAKALAPLI</v>
          </cell>
          <cell r="G266"/>
        </row>
        <row r="267">
          <cell r="A267" t="str">
            <v>KİLİMLİ</v>
          </cell>
          <cell r="C267" t="str">
            <v>ZONGULDAKKİLİMLİ</v>
          </cell>
          <cell r="G267"/>
        </row>
        <row r="268">
          <cell r="A268" t="str">
            <v>İZMİR BÜYÜKŞEHİR</v>
          </cell>
          <cell r="C268" t="str">
            <v>İZMİRİZMİR BÜYÜKŞEHİR</v>
          </cell>
          <cell r="G268"/>
        </row>
        <row r="269">
          <cell r="A269" t="str">
            <v>KOCAELİ BÜYÜKŞEHİR</v>
          </cell>
          <cell r="C269" t="str">
            <v>KOCAELİKOCAELİ BÜYÜKŞEHİR</v>
          </cell>
          <cell r="G269"/>
        </row>
        <row r="270">
          <cell r="A270" t="str">
            <v>SAKARYA BÜYÜKŞEHİR</v>
          </cell>
          <cell r="C270" t="str">
            <v>SAKARYASAKARYA BÜYÜKŞEHİR</v>
          </cell>
          <cell r="G270"/>
        </row>
        <row r="271">
          <cell r="A271" t="str">
            <v>İSTANBUL BÜYÜKŞEHİR</v>
          </cell>
          <cell r="C271" t="str">
            <v>İSTANBULİSTANBUL BÜYÜKŞEHİR</v>
          </cell>
          <cell r="G271"/>
        </row>
        <row r="272">
          <cell r="A272" t="str">
            <v>BOLVADİN</v>
          </cell>
          <cell r="C272" t="str">
            <v>AFYONKARAHİSARBOLVADİN</v>
          </cell>
          <cell r="G272"/>
        </row>
        <row r="273">
          <cell r="A273" t="str">
            <v>BURSA BÜYÜKŞEHİR</v>
          </cell>
          <cell r="C273" t="str">
            <v>BURSABURSA BÜYÜKŞEHİR</v>
          </cell>
          <cell r="G273"/>
        </row>
        <row r="274">
          <cell r="A274" t="str">
            <v>OSMANCIK</v>
          </cell>
          <cell r="C274" t="str">
            <v>ÇORUMOSMANCIK</v>
          </cell>
          <cell r="G274"/>
        </row>
        <row r="275">
          <cell r="A275" t="str">
            <v>MERKEZ</v>
          </cell>
          <cell r="C275" t="str">
            <v>RİZEMERKEZ</v>
          </cell>
          <cell r="G275"/>
        </row>
        <row r="276">
          <cell r="A276" t="str">
            <v>MERKEZ</v>
          </cell>
          <cell r="C276" t="str">
            <v>TUNCELİMERKEZ</v>
          </cell>
          <cell r="G276"/>
        </row>
        <row r="278">
          <cell r="A278" t="str">
            <v>ADANA BÜYÜKŞEHİR</v>
          </cell>
          <cell r="C278" t="str">
            <v>ADANAADANA BÜYÜKŞEHİR</v>
          </cell>
        </row>
        <row r="279">
          <cell r="A279" t="str">
            <v>BESNİ</v>
          </cell>
          <cell r="C279" t="str">
            <v>ADIYAMANBESNİ</v>
          </cell>
        </row>
        <row r="280">
          <cell r="A280" t="str">
            <v>MERKEZ</v>
          </cell>
          <cell r="C280" t="str">
            <v>ADIYAMANMERKEZ</v>
          </cell>
        </row>
        <row r="281">
          <cell r="A281" t="str">
            <v>ÇELİKHAN</v>
          </cell>
          <cell r="C281" t="str">
            <v>ADIYAMANÇELİKHAN</v>
          </cell>
        </row>
        <row r="282">
          <cell r="A282" t="str">
            <v>KAHTA</v>
          </cell>
          <cell r="C282" t="str">
            <v>ADIYAMANKAHTA</v>
          </cell>
        </row>
        <row r="283">
          <cell r="A283" t="str">
            <v>SİNCİK</v>
          </cell>
          <cell r="C283" t="str">
            <v>ADIYAMANSİNCİK</v>
          </cell>
        </row>
        <row r="284">
          <cell r="A284" t="str">
            <v>GÖLBAŞI</v>
          </cell>
          <cell r="C284" t="str">
            <v>ADIYAMANGÖLBAŞI</v>
          </cell>
        </row>
        <row r="285">
          <cell r="A285" t="str">
            <v>MERKEZ</v>
          </cell>
          <cell r="C285" t="str">
            <v>AFYONKARAHİSARMERKEZ</v>
          </cell>
        </row>
        <row r="286">
          <cell r="A286" t="str">
            <v>DİNAR</v>
          </cell>
          <cell r="C286" t="str">
            <v>AFYONKARAHİSARDİNAR</v>
          </cell>
        </row>
        <row r="287">
          <cell r="A287" t="str">
            <v>EMİRDAĞ</v>
          </cell>
          <cell r="C287" t="str">
            <v>AFYONKARAHİSAREMİRDAĞ</v>
          </cell>
        </row>
        <row r="288">
          <cell r="A288" t="str">
            <v>ŞUHUT</v>
          </cell>
          <cell r="C288" t="str">
            <v>AFYONKARAHİSARŞUHUT</v>
          </cell>
        </row>
        <row r="289">
          <cell r="A289" t="str">
            <v>SANDIKLI</v>
          </cell>
          <cell r="C289" t="str">
            <v>AFYONKARAHİSARSANDIKLI</v>
          </cell>
        </row>
        <row r="290">
          <cell r="A290" t="str">
            <v>İHSANİYE</v>
          </cell>
          <cell r="C290" t="str">
            <v>AFYONKARAHİSARİHSANİYE</v>
          </cell>
        </row>
        <row r="291">
          <cell r="A291" t="str">
            <v>EVCİLER</v>
          </cell>
          <cell r="C291" t="str">
            <v>AFYONKARAHİSAREVCİLER</v>
          </cell>
        </row>
        <row r="292">
          <cell r="A292" t="str">
            <v>ÇAY</v>
          </cell>
          <cell r="C292" t="str">
            <v>AFYONKARAHİSARÇAY</v>
          </cell>
        </row>
        <row r="293">
          <cell r="A293" t="str">
            <v>BAŞMAKÇI</v>
          </cell>
          <cell r="C293" t="str">
            <v>AFYONKARAHİSARBAŞMAKÇI</v>
          </cell>
        </row>
        <row r="294">
          <cell r="A294" t="str">
            <v>SİNANPAŞA</v>
          </cell>
          <cell r="C294" t="str">
            <v>AFYONKARAHİSARSİNANPAŞA</v>
          </cell>
        </row>
        <row r="295">
          <cell r="A295" t="str">
            <v>DAZKIRI</v>
          </cell>
          <cell r="C295" t="str">
            <v>AFYONKARAHİSARDAZKIRI</v>
          </cell>
        </row>
        <row r="296">
          <cell r="A296" t="str">
            <v>KIZILÖREN</v>
          </cell>
          <cell r="C296" t="str">
            <v>AFYONKARAHİSARKIZILÖREN</v>
          </cell>
        </row>
        <row r="297">
          <cell r="A297" t="str">
            <v>İSCEHİSAR</v>
          </cell>
          <cell r="C297" t="str">
            <v>AFYONKARAHİSARİSCEHİSAR</v>
          </cell>
        </row>
        <row r="298">
          <cell r="A298" t="str">
            <v>SULTANDAĞI</v>
          </cell>
          <cell r="C298" t="str">
            <v>AFYONKARAHİSARSULTANDAĞI</v>
          </cell>
        </row>
        <row r="299">
          <cell r="A299" t="str">
            <v>DOĞUBAYAZIT</v>
          </cell>
          <cell r="C299" t="str">
            <v>AĞRIDOĞUBAYAZIT</v>
          </cell>
        </row>
        <row r="300">
          <cell r="A300" t="str">
            <v>MERKEZ</v>
          </cell>
          <cell r="C300" t="str">
            <v>AĞRIMERKEZ</v>
          </cell>
        </row>
        <row r="301">
          <cell r="A301" t="str">
            <v>DİYADİN</v>
          </cell>
          <cell r="C301" t="str">
            <v>AĞRIDİYADİN</v>
          </cell>
        </row>
        <row r="302">
          <cell r="A302" t="str">
            <v>TUTAK</v>
          </cell>
          <cell r="C302" t="str">
            <v>AĞRITUTAK</v>
          </cell>
        </row>
        <row r="303">
          <cell r="A303" t="str">
            <v>ELEŞKİRT</v>
          </cell>
          <cell r="C303" t="str">
            <v>AĞRIELEŞKİRT</v>
          </cell>
        </row>
        <row r="304">
          <cell r="A304" t="str">
            <v>PATNOS</v>
          </cell>
          <cell r="C304" t="str">
            <v>AĞRIPATNOS</v>
          </cell>
        </row>
        <row r="305">
          <cell r="A305" t="str">
            <v>MERKEZ</v>
          </cell>
          <cell r="C305" t="str">
            <v>AKSARAYMERKEZ</v>
          </cell>
        </row>
        <row r="306">
          <cell r="A306" t="str">
            <v>GÜLAĞAÇ</v>
          </cell>
          <cell r="C306" t="str">
            <v>AKSARAYGÜLAĞAÇ</v>
          </cell>
        </row>
        <row r="307">
          <cell r="A307" t="str">
            <v>AĞAÇÖREN</v>
          </cell>
          <cell r="C307" t="str">
            <v>AKSARAYAĞAÇÖREN</v>
          </cell>
        </row>
        <row r="308">
          <cell r="A308" t="str">
            <v>ESKİL</v>
          </cell>
          <cell r="C308" t="str">
            <v>AKSARAYESKİL</v>
          </cell>
        </row>
        <row r="309">
          <cell r="A309" t="str">
            <v>ORTAKÖY</v>
          </cell>
          <cell r="C309" t="str">
            <v>AKSARAYORTAKÖY</v>
          </cell>
        </row>
        <row r="310">
          <cell r="A310" t="str">
            <v>SULTANHANI</v>
          </cell>
          <cell r="C310" t="str">
            <v>AKSARAYSULTANHANI</v>
          </cell>
        </row>
        <row r="311">
          <cell r="A311" t="str">
            <v>SARIYAHŞİ</v>
          </cell>
          <cell r="C311" t="str">
            <v>AKSARAYSARIYAHŞİ</v>
          </cell>
        </row>
        <row r="312">
          <cell r="A312" t="str">
            <v>MERKEZ</v>
          </cell>
          <cell r="C312" t="str">
            <v>AMASYAMERKEZ</v>
          </cell>
        </row>
        <row r="313">
          <cell r="A313" t="str">
            <v>MERZİFON</v>
          </cell>
          <cell r="C313" t="str">
            <v>AMASYAMERZİFON</v>
          </cell>
        </row>
        <row r="314">
          <cell r="A314" t="str">
            <v>GÜMÜŞHACIKÖY</v>
          </cell>
          <cell r="C314" t="str">
            <v>AMASYAGÜMÜŞHACIKÖY</v>
          </cell>
        </row>
        <row r="315">
          <cell r="A315" t="str">
            <v>SULUOVA</v>
          </cell>
          <cell r="C315" t="str">
            <v>AMASYASULUOVA</v>
          </cell>
        </row>
        <row r="316">
          <cell r="A316" t="str">
            <v>TAŞOVA</v>
          </cell>
          <cell r="C316" t="str">
            <v>AMASYATAŞOVA</v>
          </cell>
        </row>
        <row r="317">
          <cell r="A317" t="str">
            <v>GÖYNÜCEK</v>
          </cell>
          <cell r="C317" t="str">
            <v>AMASYAGÖYNÜCEK</v>
          </cell>
        </row>
        <row r="318">
          <cell r="A318" t="str">
            <v>ANKARA BÜYÜKŞEHİR</v>
          </cell>
          <cell r="C318" t="str">
            <v>ANKARAANKARA BÜYÜKŞEHİR</v>
          </cell>
        </row>
        <row r="319">
          <cell r="A319" t="str">
            <v>ANTALYA BÜYÜKŞEHİR</v>
          </cell>
          <cell r="C319" t="str">
            <v>ANTALYAANTALYA BÜYÜKŞEHİR</v>
          </cell>
        </row>
        <row r="320">
          <cell r="A320" t="str">
            <v>MERKEZ</v>
          </cell>
          <cell r="C320" t="str">
            <v>ARDAHANMERKEZ</v>
          </cell>
        </row>
        <row r="321">
          <cell r="A321" t="str">
            <v>ÇILDIR</v>
          </cell>
          <cell r="C321" t="str">
            <v>ARDAHANÇILDIR</v>
          </cell>
        </row>
        <row r="322">
          <cell r="A322" t="str">
            <v>HANAK</v>
          </cell>
          <cell r="C322" t="str">
            <v>ARDAHANHANAK</v>
          </cell>
        </row>
        <row r="323">
          <cell r="A323" t="str">
            <v>GÖLE</v>
          </cell>
          <cell r="C323" t="str">
            <v>ARDAHANGÖLE</v>
          </cell>
        </row>
        <row r="324">
          <cell r="A324" t="str">
            <v>POSOF</v>
          </cell>
          <cell r="C324" t="str">
            <v>ARDAHANPOSOF</v>
          </cell>
        </row>
        <row r="325">
          <cell r="A325" t="str">
            <v>HOPA</v>
          </cell>
          <cell r="C325" t="str">
            <v>ARTVİNHOPA</v>
          </cell>
        </row>
        <row r="326">
          <cell r="A326" t="str">
            <v>MERKEZ</v>
          </cell>
          <cell r="C326" t="str">
            <v>ARTVİNMERKEZ</v>
          </cell>
        </row>
        <row r="327">
          <cell r="A327" t="str">
            <v>BORÇKA</v>
          </cell>
          <cell r="C327" t="str">
            <v>ARTVİNBORÇKA</v>
          </cell>
        </row>
        <row r="328">
          <cell r="A328" t="str">
            <v>ARDANUÇ</v>
          </cell>
          <cell r="C328" t="str">
            <v>ARTVİNARDANUÇ</v>
          </cell>
        </row>
        <row r="329">
          <cell r="A329" t="str">
            <v>KEMALPAŞA</v>
          </cell>
          <cell r="C329" t="str">
            <v>ARTVİNKEMALPAŞA</v>
          </cell>
        </row>
        <row r="330">
          <cell r="A330" t="str">
            <v>ARHAVİ</v>
          </cell>
          <cell r="C330" t="str">
            <v>ARTVİNARHAVİ</v>
          </cell>
        </row>
        <row r="331">
          <cell r="A331" t="str">
            <v>ŞAVŞAT</v>
          </cell>
          <cell r="C331" t="str">
            <v>ARTVİNŞAVŞAT</v>
          </cell>
        </row>
        <row r="332">
          <cell r="A332" t="str">
            <v>YUSUFELİ</v>
          </cell>
          <cell r="C332" t="str">
            <v>ARTVİNYUSUFELİ</v>
          </cell>
        </row>
        <row r="333">
          <cell r="A333" t="str">
            <v>AYDIN BÜYÜKŞEHİR</v>
          </cell>
          <cell r="C333" t="str">
            <v>AYDINAYDIN BÜYÜKŞEHİR</v>
          </cell>
        </row>
        <row r="334">
          <cell r="A334" t="str">
            <v>BALIKESİR BÜYÜKŞEHİR</v>
          </cell>
          <cell r="C334" t="str">
            <v>BALIKESİRBALIKESİR BÜYÜKŞEHİR</v>
          </cell>
        </row>
        <row r="335">
          <cell r="A335" t="str">
            <v>MERKEZ</v>
          </cell>
          <cell r="C335" t="str">
            <v>BARTINMERKEZ</v>
          </cell>
        </row>
        <row r="336">
          <cell r="A336" t="str">
            <v>AMASRA</v>
          </cell>
          <cell r="C336" t="str">
            <v>BARTINAMASRA</v>
          </cell>
        </row>
        <row r="337">
          <cell r="A337" t="str">
            <v>KURUCAŞİLE</v>
          </cell>
          <cell r="C337" t="str">
            <v>BARTINKURUCAŞİLE</v>
          </cell>
        </row>
        <row r="338">
          <cell r="A338" t="str">
            <v>MERKEZ</v>
          </cell>
          <cell r="C338" t="str">
            <v>BATMANMERKEZ</v>
          </cell>
        </row>
        <row r="339">
          <cell r="A339" t="str">
            <v>BEŞİRİ</v>
          </cell>
          <cell r="C339" t="str">
            <v>BATMANBEŞİRİ</v>
          </cell>
        </row>
        <row r="340">
          <cell r="A340" t="str">
            <v>KOZLUK</v>
          </cell>
          <cell r="C340" t="str">
            <v>BATMANKOZLUK</v>
          </cell>
        </row>
        <row r="341">
          <cell r="A341" t="str">
            <v>MERKEZ</v>
          </cell>
          <cell r="C341" t="str">
            <v>BAYBURTMERKEZ</v>
          </cell>
        </row>
        <row r="342">
          <cell r="A342" t="str">
            <v>BOZÜYÜK</v>
          </cell>
          <cell r="C342" t="str">
            <v>BİLECİKBOZÜYÜK</v>
          </cell>
        </row>
        <row r="343">
          <cell r="A343" t="str">
            <v>MERKEZ</v>
          </cell>
          <cell r="C343" t="str">
            <v>BİLECİKMERKEZ</v>
          </cell>
        </row>
        <row r="344">
          <cell r="A344" t="str">
            <v>OSMANELİ</v>
          </cell>
          <cell r="C344" t="str">
            <v>BİLECİKOSMANELİ</v>
          </cell>
        </row>
        <row r="345">
          <cell r="A345" t="str">
            <v>PAZARYERİ</v>
          </cell>
          <cell r="C345" t="str">
            <v>BİLECİKPAZARYERİ</v>
          </cell>
        </row>
        <row r="346">
          <cell r="A346" t="str">
            <v>SÖĞÜT</v>
          </cell>
          <cell r="C346" t="str">
            <v>BİLECİKSÖĞÜT</v>
          </cell>
        </row>
        <row r="347">
          <cell r="A347" t="str">
            <v>MERKEZ</v>
          </cell>
          <cell r="C347" t="str">
            <v>BİNGÖLMERKEZ</v>
          </cell>
        </row>
        <row r="348">
          <cell r="A348" t="str">
            <v>MERKEZ</v>
          </cell>
          <cell r="C348" t="str">
            <v>BİTLİSMERKEZ</v>
          </cell>
        </row>
        <row r="349">
          <cell r="A349" t="str">
            <v>TATVAN</v>
          </cell>
          <cell r="C349" t="str">
            <v>BİTLİSTATVAN</v>
          </cell>
        </row>
        <row r="350">
          <cell r="A350" t="str">
            <v>AHLAT</v>
          </cell>
          <cell r="C350" t="str">
            <v>BİTLİSAHLAT</v>
          </cell>
        </row>
        <row r="351">
          <cell r="A351" t="str">
            <v>MERKEZ</v>
          </cell>
          <cell r="C351" t="str">
            <v>BOLUMERKEZ</v>
          </cell>
        </row>
        <row r="352">
          <cell r="A352" t="str">
            <v>DÖRTDİVAN</v>
          </cell>
          <cell r="C352" t="str">
            <v>BOLUDÖRTDİVAN</v>
          </cell>
        </row>
        <row r="353">
          <cell r="A353" t="str">
            <v>GEREDE</v>
          </cell>
          <cell r="C353" t="str">
            <v>BOLUGEREDE</v>
          </cell>
        </row>
        <row r="354">
          <cell r="A354" t="str">
            <v>GÖYNÜK</v>
          </cell>
          <cell r="C354" t="str">
            <v>BOLUGÖYNÜK</v>
          </cell>
        </row>
        <row r="355">
          <cell r="A355" t="str">
            <v>YENİÇAĞA</v>
          </cell>
          <cell r="C355" t="str">
            <v>BOLUYENİÇAĞA</v>
          </cell>
        </row>
        <row r="356">
          <cell r="A356" t="str">
            <v>MENGEN</v>
          </cell>
          <cell r="C356" t="str">
            <v>BOLUMENGEN</v>
          </cell>
        </row>
        <row r="357">
          <cell r="A357" t="str">
            <v>BUCAK</v>
          </cell>
          <cell r="C357" t="str">
            <v>BURDURBUCAK</v>
          </cell>
        </row>
        <row r="358">
          <cell r="A358" t="str">
            <v>MERKEZ</v>
          </cell>
          <cell r="C358" t="str">
            <v>BURDURMERKEZ</v>
          </cell>
        </row>
        <row r="359">
          <cell r="A359" t="str">
            <v>GÖLHİSAR</v>
          </cell>
          <cell r="C359" t="str">
            <v>BURDURGÖLHİSAR</v>
          </cell>
        </row>
        <row r="360">
          <cell r="A360" t="str">
            <v>ÇAVDIR</v>
          </cell>
          <cell r="C360" t="str">
            <v>BURDURÇAVDIR</v>
          </cell>
        </row>
        <row r="361">
          <cell r="A361" t="str">
            <v>ÇELTİKÇİ</v>
          </cell>
          <cell r="C361" t="str">
            <v>BURDURÇELTİKÇİ</v>
          </cell>
        </row>
        <row r="362">
          <cell r="A362" t="str">
            <v>KARAMANLI</v>
          </cell>
          <cell r="C362" t="str">
            <v>BURDURKARAMANLI</v>
          </cell>
        </row>
        <row r="363">
          <cell r="A363" t="str">
            <v>AĞLASUN</v>
          </cell>
          <cell r="C363" t="str">
            <v>BURDURAĞLASUN</v>
          </cell>
        </row>
        <row r="364">
          <cell r="A364" t="str">
            <v>YEŞİLOVA</v>
          </cell>
          <cell r="C364" t="str">
            <v>BURDURYEŞİLOVA</v>
          </cell>
        </row>
        <row r="365">
          <cell r="A365" t="str">
            <v>KEMER</v>
          </cell>
          <cell r="C365" t="str">
            <v>BURDURKEMER</v>
          </cell>
        </row>
        <row r="366">
          <cell r="A366" t="str">
            <v>MERKEZ</v>
          </cell>
          <cell r="C366" t="str">
            <v>ÇANAKKALEMERKEZ</v>
          </cell>
        </row>
        <row r="367">
          <cell r="A367" t="str">
            <v>GELİBOLU</v>
          </cell>
          <cell r="C367" t="str">
            <v>ÇANAKKALEGELİBOLU</v>
          </cell>
        </row>
        <row r="368">
          <cell r="A368" t="str">
            <v>BOZCAADA</v>
          </cell>
          <cell r="C368" t="str">
            <v>ÇANAKKALEBOZCAADA</v>
          </cell>
        </row>
        <row r="369">
          <cell r="A369" t="str">
            <v>ECEABAT</v>
          </cell>
          <cell r="C369" t="str">
            <v>ÇANAKKALEECEABAT</v>
          </cell>
        </row>
        <row r="370">
          <cell r="A370" t="str">
            <v>ÇAN</v>
          </cell>
          <cell r="C370" t="str">
            <v>ÇANAKKALEÇAN</v>
          </cell>
        </row>
        <row r="371">
          <cell r="A371" t="str">
            <v>BİGA</v>
          </cell>
          <cell r="C371" t="str">
            <v>ÇANAKKALEBİGA</v>
          </cell>
        </row>
        <row r="372">
          <cell r="A372" t="str">
            <v>AYVACIK</v>
          </cell>
          <cell r="C372" t="str">
            <v>ÇANAKKALEAYVACIK</v>
          </cell>
        </row>
        <row r="373">
          <cell r="A373" t="str">
            <v>EZİNE</v>
          </cell>
          <cell r="C373" t="str">
            <v>ÇANAKKALEEZİNE</v>
          </cell>
        </row>
        <row r="374">
          <cell r="A374" t="str">
            <v>GÖKÇEADA</v>
          </cell>
          <cell r="C374" t="str">
            <v>ÇANAKKALEGÖKÇEADA</v>
          </cell>
        </row>
        <row r="375">
          <cell r="A375" t="str">
            <v>LAPSEKİ</v>
          </cell>
          <cell r="C375" t="str">
            <v>ÇANAKKALELAPSEKİ</v>
          </cell>
        </row>
        <row r="376">
          <cell r="A376" t="str">
            <v>BAYRAMİÇ</v>
          </cell>
          <cell r="C376" t="str">
            <v>ÇANAKKALEBAYRAMİÇ</v>
          </cell>
        </row>
        <row r="377">
          <cell r="A377" t="str">
            <v>YENİCE</v>
          </cell>
          <cell r="C377" t="str">
            <v>ÇANAKKALEYENİCE</v>
          </cell>
        </row>
        <row r="378">
          <cell r="A378" t="str">
            <v>MERKEZ</v>
          </cell>
          <cell r="C378" t="str">
            <v>ÇANKIRIMERKEZ</v>
          </cell>
        </row>
        <row r="379">
          <cell r="A379" t="str">
            <v>ÇERKEŞ</v>
          </cell>
          <cell r="C379" t="str">
            <v>ÇANKIRIÇERKEŞ</v>
          </cell>
        </row>
        <row r="380">
          <cell r="A380" t="str">
            <v>KURŞUNLU</v>
          </cell>
          <cell r="C380" t="str">
            <v>ÇANKIRIKURŞUNLU</v>
          </cell>
        </row>
        <row r="381">
          <cell r="A381" t="str">
            <v>ORTA</v>
          </cell>
          <cell r="C381" t="str">
            <v>ÇANKIRIORTA</v>
          </cell>
        </row>
        <row r="382">
          <cell r="A382" t="str">
            <v>KIZILIRMAK</v>
          </cell>
          <cell r="C382" t="str">
            <v>ÇANKIRIKIZILIRMAK</v>
          </cell>
        </row>
        <row r="383">
          <cell r="A383" t="str">
            <v>ATKARACALAR</v>
          </cell>
          <cell r="C383" t="str">
            <v>ÇANKIRIATKARACALAR</v>
          </cell>
        </row>
        <row r="384">
          <cell r="A384" t="str">
            <v>ILGAZ</v>
          </cell>
          <cell r="C384" t="str">
            <v>ÇANKIRIILGAZ</v>
          </cell>
        </row>
        <row r="385">
          <cell r="A385" t="str">
            <v>ELDİVAN</v>
          </cell>
          <cell r="C385" t="str">
            <v>ÇANKIRIELDİVAN</v>
          </cell>
        </row>
        <row r="386">
          <cell r="A386" t="str">
            <v>MERKEZ</v>
          </cell>
          <cell r="C386" t="str">
            <v>ÇORUMMERKEZ</v>
          </cell>
        </row>
        <row r="387">
          <cell r="A387" t="str">
            <v>SUNGURLU</v>
          </cell>
          <cell r="C387" t="str">
            <v>ÇORUMSUNGURLU</v>
          </cell>
        </row>
        <row r="388">
          <cell r="A388" t="str">
            <v>ALACA</v>
          </cell>
          <cell r="C388" t="str">
            <v>ÇORUMALACA</v>
          </cell>
        </row>
        <row r="389">
          <cell r="A389" t="str">
            <v>İSKİLİP</v>
          </cell>
          <cell r="C389" t="str">
            <v>ÇORUMİSKİLİP</v>
          </cell>
        </row>
        <row r="390">
          <cell r="A390" t="str">
            <v>ORTAKÖY</v>
          </cell>
          <cell r="C390" t="str">
            <v>ÇORUMORTAKÖY</v>
          </cell>
        </row>
        <row r="391">
          <cell r="A391" t="str">
            <v>DODURGA</v>
          </cell>
          <cell r="C391" t="str">
            <v>ÇORUMDODURGA</v>
          </cell>
        </row>
        <row r="392">
          <cell r="A392" t="str">
            <v>MECİTÖZÜ</v>
          </cell>
          <cell r="C392" t="str">
            <v>ÇORUMMECİTÖZÜ</v>
          </cell>
        </row>
        <row r="393">
          <cell r="A393" t="str">
            <v>BAYAT</v>
          </cell>
          <cell r="C393" t="str">
            <v>ÇORUMBAYAT</v>
          </cell>
        </row>
        <row r="394">
          <cell r="A394" t="str">
            <v>LAÇİN</v>
          </cell>
          <cell r="C394" t="str">
            <v>ÇORUMLAÇİN</v>
          </cell>
        </row>
        <row r="395">
          <cell r="A395" t="str">
            <v>DENİZLİ BÜYÜKŞEHİR</v>
          </cell>
          <cell r="C395" t="str">
            <v>DENİZLİDENİZLİ BÜYÜKŞEHİR</v>
          </cell>
        </row>
        <row r="396">
          <cell r="A396" t="str">
            <v>DİYARBAKIR BÜYÜKŞEHİR</v>
          </cell>
          <cell r="C396" t="str">
            <v>DİYARBAKIRDİYARBAKIR BÜYÜKŞEHİR</v>
          </cell>
        </row>
        <row r="397">
          <cell r="A397" t="str">
            <v>MERKEZ</v>
          </cell>
          <cell r="C397" t="str">
            <v>DÜZCEMERKEZ</v>
          </cell>
        </row>
        <row r="398">
          <cell r="A398" t="str">
            <v>KAYNAŞLI</v>
          </cell>
          <cell r="C398" t="str">
            <v>DÜZCEKAYNAŞLI</v>
          </cell>
        </row>
        <row r="399">
          <cell r="A399" t="str">
            <v>AKÇAKOCA</v>
          </cell>
          <cell r="C399" t="str">
            <v>DÜZCEAKÇAKOCA</v>
          </cell>
        </row>
        <row r="400">
          <cell r="A400" t="str">
            <v>YIĞILCA</v>
          </cell>
          <cell r="C400" t="str">
            <v>DÜZCEYIĞILCA</v>
          </cell>
        </row>
        <row r="401">
          <cell r="A401" t="str">
            <v>ÇİLİMLİ</v>
          </cell>
          <cell r="C401" t="str">
            <v>DÜZCEÇİLİMLİ</v>
          </cell>
        </row>
        <row r="402">
          <cell r="A402" t="str">
            <v>GÜMÜŞOVA</v>
          </cell>
          <cell r="C402" t="str">
            <v>DÜZCEGÜMÜŞOVA</v>
          </cell>
        </row>
        <row r="403">
          <cell r="A403" t="str">
            <v>CUMAYERİ</v>
          </cell>
          <cell r="C403" t="str">
            <v>DÜZCECUMAYERİ</v>
          </cell>
        </row>
        <row r="404">
          <cell r="A404" t="str">
            <v>GÖLYAKA</v>
          </cell>
          <cell r="C404" t="str">
            <v>DÜZCEGÖLYAKA</v>
          </cell>
        </row>
        <row r="405">
          <cell r="A405" t="str">
            <v>MERKEZ</v>
          </cell>
          <cell r="C405" t="str">
            <v>EDİRNEMERKEZ</v>
          </cell>
        </row>
        <row r="406">
          <cell r="A406" t="str">
            <v>UZUNKÖPRÜ</v>
          </cell>
          <cell r="C406" t="str">
            <v>EDİRNEUZUNKÖPRÜ</v>
          </cell>
        </row>
        <row r="407">
          <cell r="A407" t="str">
            <v>KEŞAN</v>
          </cell>
          <cell r="C407" t="str">
            <v>EDİRNEKEŞAN</v>
          </cell>
        </row>
        <row r="408">
          <cell r="A408" t="str">
            <v>ENEZ</v>
          </cell>
          <cell r="C408" t="str">
            <v>EDİRNEENEZ</v>
          </cell>
        </row>
        <row r="409">
          <cell r="A409" t="str">
            <v>HAVSA</v>
          </cell>
          <cell r="C409" t="str">
            <v>EDİRNEHAVSA</v>
          </cell>
        </row>
        <row r="410">
          <cell r="A410" t="str">
            <v>İPSALA</v>
          </cell>
          <cell r="C410" t="str">
            <v>EDİRNEİPSALA</v>
          </cell>
        </row>
        <row r="411">
          <cell r="A411" t="str">
            <v>LALAPAŞA</v>
          </cell>
          <cell r="C411" t="str">
            <v>EDİRNELALAPAŞA</v>
          </cell>
        </row>
        <row r="412">
          <cell r="A412" t="str">
            <v>MERKEZ</v>
          </cell>
          <cell r="C412" t="str">
            <v>ELAZIĞMERKEZ</v>
          </cell>
        </row>
        <row r="413">
          <cell r="A413" t="str">
            <v>MADEN</v>
          </cell>
          <cell r="C413" t="str">
            <v>ELAZIĞMADEN</v>
          </cell>
        </row>
        <row r="414">
          <cell r="A414" t="str">
            <v>KARAKOÇAN</v>
          </cell>
          <cell r="C414" t="str">
            <v>ELAZIĞKARAKOÇAN</v>
          </cell>
        </row>
        <row r="415">
          <cell r="A415" t="str">
            <v>MERKEZ</v>
          </cell>
          <cell r="C415" t="str">
            <v>ERZİNCANMERKEZ</v>
          </cell>
        </row>
        <row r="416">
          <cell r="A416" t="str">
            <v>İLİÇ</v>
          </cell>
          <cell r="C416" t="str">
            <v>ERZİNCANİLİÇ</v>
          </cell>
        </row>
        <row r="417">
          <cell r="A417" t="str">
            <v>KEMALİYE</v>
          </cell>
          <cell r="C417" t="str">
            <v>ERZİNCANKEMALİYE</v>
          </cell>
        </row>
        <row r="418">
          <cell r="A418" t="str">
            <v>ÇAYIRLI</v>
          </cell>
          <cell r="C418" t="str">
            <v>ERZİNCANÇAYIRLI</v>
          </cell>
        </row>
        <row r="419">
          <cell r="A419" t="str">
            <v>KEMAH</v>
          </cell>
          <cell r="C419" t="str">
            <v>ERZİNCANKEMAH</v>
          </cell>
        </row>
        <row r="420">
          <cell r="A420" t="str">
            <v>ERZURUM BÜYÜKŞEHİR</v>
          </cell>
          <cell r="C420" t="str">
            <v>ERZURUMERZURUM BÜYÜKŞEHİR</v>
          </cell>
        </row>
        <row r="421">
          <cell r="A421" t="str">
            <v>ESKİŞEHİR BÜYÜKŞEHİR</v>
          </cell>
          <cell r="C421" t="str">
            <v>ESKİŞEHİRESKİŞEHİR BÜYÜKŞEHİR</v>
          </cell>
        </row>
        <row r="422">
          <cell r="A422" t="str">
            <v>GAZİANTEP BÜYÜKŞEHİR</v>
          </cell>
          <cell r="C422" t="str">
            <v>GAZİANTEPGAZİANTEP BÜYÜKŞEHİR</v>
          </cell>
        </row>
        <row r="423">
          <cell r="A423" t="str">
            <v>MERKEZ</v>
          </cell>
          <cell r="C423" t="str">
            <v>GİRESUNMERKEZ</v>
          </cell>
        </row>
        <row r="424">
          <cell r="A424" t="str">
            <v>BULANCAK</v>
          </cell>
          <cell r="C424" t="str">
            <v>GİRESUNBULANCAK</v>
          </cell>
        </row>
        <row r="425">
          <cell r="A425" t="str">
            <v>ESPİYE</v>
          </cell>
          <cell r="C425" t="str">
            <v>GİRESUNESPİYE</v>
          </cell>
        </row>
        <row r="426">
          <cell r="A426" t="str">
            <v>GÜCE</v>
          </cell>
          <cell r="C426" t="str">
            <v>GİRESUNGÜCE</v>
          </cell>
        </row>
        <row r="427">
          <cell r="A427" t="str">
            <v>KEŞAP</v>
          </cell>
          <cell r="C427" t="str">
            <v>GİRESUNKEŞAP</v>
          </cell>
        </row>
        <row r="428">
          <cell r="A428" t="str">
            <v>PİRAZİZ</v>
          </cell>
          <cell r="C428" t="str">
            <v>GİRESUNPİRAZİZ</v>
          </cell>
        </row>
        <row r="429">
          <cell r="A429" t="str">
            <v>ŞEBİNKARAHİSAR</v>
          </cell>
          <cell r="C429" t="str">
            <v>GİRESUNŞEBİNKARAHİSAR</v>
          </cell>
        </row>
        <row r="430">
          <cell r="A430" t="str">
            <v>TİREBOLU</v>
          </cell>
          <cell r="C430" t="str">
            <v>GİRESUNTİREBOLU</v>
          </cell>
        </row>
        <row r="431">
          <cell r="A431" t="str">
            <v>GÖRELE</v>
          </cell>
          <cell r="C431" t="str">
            <v>GİRESUNGÖRELE</v>
          </cell>
        </row>
        <row r="432">
          <cell r="A432" t="str">
            <v>EYNESİL</v>
          </cell>
          <cell r="C432" t="str">
            <v>GİRESUNEYNESİL</v>
          </cell>
        </row>
        <row r="433">
          <cell r="A433" t="str">
            <v>ALUCRA</v>
          </cell>
          <cell r="C433" t="str">
            <v>GİRESUNALUCRA</v>
          </cell>
        </row>
        <row r="434">
          <cell r="A434" t="str">
            <v>ÇAMOLUK</v>
          </cell>
          <cell r="C434" t="str">
            <v>GİRESUNÇAMOLUK</v>
          </cell>
        </row>
        <row r="435">
          <cell r="A435" t="str">
            <v>MERKEZ</v>
          </cell>
          <cell r="C435" t="str">
            <v>GÜMÜŞHANEMERKEZ</v>
          </cell>
        </row>
        <row r="436">
          <cell r="A436" t="str">
            <v>TORUL</v>
          </cell>
          <cell r="C436" t="str">
            <v>GÜMÜŞHANETORUL</v>
          </cell>
        </row>
        <row r="437">
          <cell r="A437" t="str">
            <v>KELKİT</v>
          </cell>
          <cell r="C437" t="str">
            <v>GÜMÜŞHANEKELKİT</v>
          </cell>
        </row>
        <row r="438">
          <cell r="A438" t="str">
            <v>KÜRTÜN</v>
          </cell>
          <cell r="C438" t="str">
            <v>GÜMÜŞHANEKÜRTÜN</v>
          </cell>
        </row>
        <row r="439">
          <cell r="A439" t="str">
            <v>YÜKSEKOVA</v>
          </cell>
          <cell r="C439" t="str">
            <v>HAKKARİYÜKSEKOVA</v>
          </cell>
        </row>
        <row r="440">
          <cell r="A440" t="str">
            <v>HATAY BÜYÜKŞEHİR</v>
          </cell>
          <cell r="C440" t="str">
            <v>HATAYHATAY BÜYÜKŞEHİR</v>
          </cell>
        </row>
        <row r="441">
          <cell r="A441" t="str">
            <v>ARALIK</v>
          </cell>
          <cell r="C441" t="str">
            <v>IĞDIRARALIK</v>
          </cell>
        </row>
        <row r="442">
          <cell r="A442" t="str">
            <v>MERKEZ</v>
          </cell>
          <cell r="C442" t="str">
            <v>ISPARTAMERKEZ</v>
          </cell>
        </row>
        <row r="443">
          <cell r="A443" t="str">
            <v>EĞİRDİR</v>
          </cell>
          <cell r="C443" t="str">
            <v>ISPARTAEĞİRDİR</v>
          </cell>
        </row>
        <row r="444">
          <cell r="A444" t="str">
            <v>YALVAÇ</v>
          </cell>
          <cell r="C444" t="str">
            <v>ISPARTAYALVAÇ</v>
          </cell>
        </row>
        <row r="445">
          <cell r="A445" t="str">
            <v>ŞARKİKARAAĞAÇ</v>
          </cell>
          <cell r="C445" t="str">
            <v>ISPARTAŞARKİKARAAĞAÇ</v>
          </cell>
        </row>
        <row r="446">
          <cell r="A446" t="str">
            <v>KEÇİBORLU</v>
          </cell>
          <cell r="C446" t="str">
            <v>ISPARTAKEÇİBORLU</v>
          </cell>
        </row>
        <row r="447">
          <cell r="A447" t="str">
            <v>ULUBORLU</v>
          </cell>
          <cell r="C447" t="str">
            <v>ISPARTAULUBORLU</v>
          </cell>
        </row>
        <row r="448">
          <cell r="A448" t="str">
            <v>GÖNEN</v>
          </cell>
          <cell r="C448" t="str">
            <v>ISPARTAGÖNEN</v>
          </cell>
        </row>
        <row r="449">
          <cell r="A449" t="str">
            <v>KAHRAMANMARAŞ BÜYÜKŞEHİR</v>
          </cell>
          <cell r="C449" t="str">
            <v>KAHRAMANMARAŞKAHRAMANMARAŞ BÜYÜKŞEHİR</v>
          </cell>
        </row>
        <row r="450">
          <cell r="A450" t="str">
            <v>SAFRANBOLU</v>
          </cell>
          <cell r="C450" t="str">
            <v>KARABÜKSAFRANBOLU</v>
          </cell>
        </row>
        <row r="451">
          <cell r="A451" t="str">
            <v>ESKİPAZAR</v>
          </cell>
          <cell r="C451" t="str">
            <v>KARABÜKESKİPAZAR</v>
          </cell>
        </row>
        <row r="452">
          <cell r="A452" t="str">
            <v>MERKEZ</v>
          </cell>
          <cell r="C452" t="str">
            <v>KARABÜKMERKEZ</v>
          </cell>
        </row>
        <row r="453">
          <cell r="A453" t="str">
            <v>YENİCE</v>
          </cell>
          <cell r="C453" t="str">
            <v>KARABÜKYENİCE</v>
          </cell>
        </row>
        <row r="454">
          <cell r="A454" t="str">
            <v>MERKEZ</v>
          </cell>
          <cell r="C454" t="str">
            <v>KARAMANMERKEZ</v>
          </cell>
        </row>
        <row r="455">
          <cell r="A455" t="str">
            <v>ERMENEK</v>
          </cell>
          <cell r="C455" t="str">
            <v>KARAMANERMENEK</v>
          </cell>
        </row>
        <row r="456">
          <cell r="A456" t="str">
            <v>SARIVELİLER</v>
          </cell>
          <cell r="C456" t="str">
            <v>KARAMANSARIVELİLER</v>
          </cell>
        </row>
        <row r="457">
          <cell r="A457" t="str">
            <v>MERKEZ</v>
          </cell>
          <cell r="C457" t="str">
            <v>KARSMERKEZ</v>
          </cell>
        </row>
        <row r="458">
          <cell r="A458" t="str">
            <v>KAĞIZMAN</v>
          </cell>
          <cell r="C458" t="str">
            <v>KARSKAĞIZMAN</v>
          </cell>
        </row>
        <row r="459">
          <cell r="A459" t="str">
            <v>SARIKAMIŞ</v>
          </cell>
          <cell r="C459" t="str">
            <v>KARSSARIKAMIŞ</v>
          </cell>
        </row>
        <row r="460">
          <cell r="A460" t="str">
            <v>ARPAÇAY</v>
          </cell>
          <cell r="C460" t="str">
            <v>KARSARPAÇAY</v>
          </cell>
        </row>
        <row r="461">
          <cell r="A461" t="str">
            <v>MERKEZ</v>
          </cell>
          <cell r="C461" t="str">
            <v>KASTAMONUMERKEZ</v>
          </cell>
        </row>
        <row r="462">
          <cell r="A462" t="str">
            <v>CİDE</v>
          </cell>
          <cell r="C462" t="str">
            <v>KASTAMONUCİDE</v>
          </cell>
        </row>
        <row r="463">
          <cell r="A463" t="str">
            <v>SEYDİLER</v>
          </cell>
          <cell r="C463" t="str">
            <v>KASTAMONUSEYDİLER</v>
          </cell>
        </row>
        <row r="464">
          <cell r="A464" t="str">
            <v>ARAÇ</v>
          </cell>
          <cell r="C464" t="str">
            <v>KASTAMONUARAÇ</v>
          </cell>
        </row>
        <row r="465">
          <cell r="A465" t="str">
            <v>TOSYA</v>
          </cell>
          <cell r="C465" t="str">
            <v>KASTAMONUTOSYA</v>
          </cell>
        </row>
        <row r="466">
          <cell r="A466" t="str">
            <v>ÇATALZEYTİN</v>
          </cell>
          <cell r="C466" t="str">
            <v>KASTAMONUÇATALZEYTİN</v>
          </cell>
        </row>
        <row r="467">
          <cell r="A467" t="str">
            <v>DEVREKANİ</v>
          </cell>
          <cell r="C467" t="str">
            <v>KASTAMONUDEVREKANİ</v>
          </cell>
        </row>
        <row r="468">
          <cell r="A468" t="str">
            <v>DADAY</v>
          </cell>
          <cell r="C468" t="str">
            <v>KASTAMONUDADAY</v>
          </cell>
        </row>
        <row r="469">
          <cell r="A469" t="str">
            <v>TAŞKÖPRÜ</v>
          </cell>
          <cell r="C469" t="str">
            <v>KASTAMONUTAŞKÖPRÜ</v>
          </cell>
        </row>
        <row r="470">
          <cell r="A470" t="str">
            <v>İNEBOLU</v>
          </cell>
          <cell r="C470" t="str">
            <v>KASTAMONUİNEBOLU</v>
          </cell>
        </row>
        <row r="471">
          <cell r="A471" t="str">
            <v>AĞLI</v>
          </cell>
          <cell r="C471" t="str">
            <v>KASTAMONUAĞLI</v>
          </cell>
        </row>
        <row r="472">
          <cell r="A472" t="str">
            <v>KAYSERİ BÜYÜKŞEHİR</v>
          </cell>
          <cell r="C472" t="str">
            <v>KAYSERİKAYSERİ BÜYÜKŞEHİR</v>
          </cell>
        </row>
        <row r="473">
          <cell r="A473" t="str">
            <v>MERKEZ</v>
          </cell>
          <cell r="C473" t="str">
            <v>KIRIKKALEMERKEZ</v>
          </cell>
        </row>
        <row r="474">
          <cell r="A474" t="str">
            <v>DELİCE</v>
          </cell>
          <cell r="C474" t="str">
            <v>KIRIKKALEDELİCE</v>
          </cell>
        </row>
        <row r="475">
          <cell r="A475" t="str">
            <v>YAHŞİHAN</v>
          </cell>
          <cell r="C475" t="str">
            <v>KIRIKKALEYAHŞİHAN</v>
          </cell>
        </row>
        <row r="476">
          <cell r="A476" t="str">
            <v>BAHŞILI</v>
          </cell>
          <cell r="C476" t="str">
            <v>KIRIKKALEBAHŞILI</v>
          </cell>
        </row>
        <row r="477">
          <cell r="A477" t="str">
            <v>BABAESKİ</v>
          </cell>
          <cell r="C477" t="str">
            <v>KIRKLARELİBABAESKİ</v>
          </cell>
        </row>
        <row r="478">
          <cell r="A478" t="str">
            <v>MERKEZ</v>
          </cell>
          <cell r="C478" t="str">
            <v>KIRKLARELİMERKEZ</v>
          </cell>
        </row>
        <row r="479">
          <cell r="A479" t="str">
            <v>LÜLEBURGAZ</v>
          </cell>
          <cell r="C479" t="str">
            <v>KIRKLARELİLÜLEBURGAZ</v>
          </cell>
        </row>
        <row r="480">
          <cell r="A480" t="str">
            <v>VİZE</v>
          </cell>
          <cell r="C480" t="str">
            <v>KIRKLARELİVİZE</v>
          </cell>
        </row>
        <row r="481">
          <cell r="A481" t="str">
            <v>DEMİRKÖY</v>
          </cell>
          <cell r="C481" t="str">
            <v>KIRKLARELİDEMİRKÖY</v>
          </cell>
        </row>
        <row r="482">
          <cell r="A482" t="str">
            <v>PINARHİSAR</v>
          </cell>
          <cell r="C482" t="str">
            <v>KIRKLARELİPINARHİSAR</v>
          </cell>
        </row>
        <row r="483">
          <cell r="A483" t="str">
            <v>PEHLİVANKÖY</v>
          </cell>
          <cell r="C483" t="str">
            <v>KIRKLARELİPEHLİVANKÖY</v>
          </cell>
        </row>
        <row r="484">
          <cell r="A484" t="str">
            <v>MERKEZ</v>
          </cell>
          <cell r="C484" t="str">
            <v>KIRŞEHİRMERKEZ</v>
          </cell>
        </row>
        <row r="485">
          <cell r="A485" t="str">
            <v>KAMAN</v>
          </cell>
          <cell r="C485" t="str">
            <v>KIRŞEHİRKAMAN</v>
          </cell>
        </row>
        <row r="486">
          <cell r="A486" t="str">
            <v>ÇİÇEKDAĞI</v>
          </cell>
          <cell r="C486" t="str">
            <v>KIRŞEHİRÇİÇEKDAĞI</v>
          </cell>
        </row>
        <row r="487">
          <cell r="A487" t="str">
            <v>AKPINAR</v>
          </cell>
          <cell r="C487" t="str">
            <v>KIRŞEHİRAKPINAR</v>
          </cell>
        </row>
        <row r="488">
          <cell r="A488" t="str">
            <v>MERKEZ</v>
          </cell>
          <cell r="C488" t="str">
            <v>KİLİSMERKEZ</v>
          </cell>
        </row>
        <row r="489">
          <cell r="A489" t="str">
            <v>KONYA BÜYÜKŞEHİR</v>
          </cell>
          <cell r="C489" t="str">
            <v>KONYAKONYA BÜYÜKŞEHİR</v>
          </cell>
        </row>
        <row r="490">
          <cell r="A490" t="str">
            <v>MERKEZ</v>
          </cell>
          <cell r="C490" t="str">
            <v>KÜTAHYAMERKEZ</v>
          </cell>
        </row>
        <row r="491">
          <cell r="A491" t="str">
            <v>TAVŞANLI</v>
          </cell>
          <cell r="C491" t="str">
            <v>KÜTAHYATAVŞANLI</v>
          </cell>
        </row>
        <row r="492">
          <cell r="A492" t="str">
            <v>SİMAV</v>
          </cell>
          <cell r="C492" t="str">
            <v>KÜTAHYASİMAV</v>
          </cell>
        </row>
        <row r="493">
          <cell r="A493" t="str">
            <v>GEDİZ</v>
          </cell>
          <cell r="C493" t="str">
            <v>KÜTAHYAGEDİZ</v>
          </cell>
        </row>
        <row r="494">
          <cell r="A494" t="str">
            <v>EMET</v>
          </cell>
          <cell r="C494" t="str">
            <v>KÜTAHYAEMET</v>
          </cell>
        </row>
        <row r="495">
          <cell r="A495" t="str">
            <v>ALTINTAŞ</v>
          </cell>
          <cell r="C495" t="str">
            <v>KÜTAHYAALTINTAŞ</v>
          </cell>
        </row>
        <row r="496">
          <cell r="A496" t="str">
            <v>DOMANİÇ</v>
          </cell>
          <cell r="C496" t="str">
            <v>KÜTAHYADOMANİÇ</v>
          </cell>
        </row>
        <row r="497">
          <cell r="A497" t="str">
            <v>ASLANAPA</v>
          </cell>
          <cell r="C497" t="str">
            <v>KÜTAHYAASLANAPA</v>
          </cell>
        </row>
        <row r="498">
          <cell r="A498" t="str">
            <v>MALATYA BÜYÜKŞEHİR</v>
          </cell>
          <cell r="C498" t="str">
            <v>MALATYAMALATYA BÜYÜKŞEHİR</v>
          </cell>
        </row>
        <row r="499">
          <cell r="A499" t="str">
            <v>MANİSA BÜYÜKŞEHİR</v>
          </cell>
          <cell r="C499" t="str">
            <v>MANİSAMANİSA BÜYÜKŞEHİR</v>
          </cell>
        </row>
        <row r="500">
          <cell r="A500" t="str">
            <v>MARDİN BÜYÜKŞEHİR</v>
          </cell>
          <cell r="C500" t="str">
            <v>MARDİNMARDİN BÜYÜKŞEHİR</v>
          </cell>
        </row>
        <row r="501">
          <cell r="A501" t="str">
            <v>MERSİN BÜYÜKŞEHİR</v>
          </cell>
          <cell r="C501" t="str">
            <v>MERSİNMERSİN BÜYÜKŞEHİR</v>
          </cell>
        </row>
        <row r="502">
          <cell r="A502" t="str">
            <v>MUĞLA BÜYÜKŞEHİR</v>
          </cell>
          <cell r="C502" t="str">
            <v>MUĞLAMUĞLA BÜYÜKŞEHİR</v>
          </cell>
        </row>
        <row r="503">
          <cell r="A503" t="str">
            <v>MERKEZ</v>
          </cell>
          <cell r="C503" t="str">
            <v>MUŞMERKEZ</v>
          </cell>
        </row>
        <row r="504">
          <cell r="A504" t="str">
            <v>MALAZGİRT</v>
          </cell>
          <cell r="C504" t="str">
            <v>MUŞMALAZGİRT</v>
          </cell>
        </row>
        <row r="505">
          <cell r="A505" t="str">
            <v>MERKEZ</v>
          </cell>
          <cell r="C505" t="str">
            <v>NEVŞEHİRMERKEZ</v>
          </cell>
        </row>
        <row r="506">
          <cell r="A506" t="str">
            <v>ÜRGÜP</v>
          </cell>
          <cell r="C506" t="str">
            <v>NEVŞEHİRÜRGÜP</v>
          </cell>
        </row>
        <row r="507">
          <cell r="A507" t="str">
            <v>AVANOS</v>
          </cell>
          <cell r="C507" t="str">
            <v>NEVŞEHİRAVANOS</v>
          </cell>
        </row>
        <row r="508">
          <cell r="A508" t="str">
            <v>HACIBEKTAŞ</v>
          </cell>
          <cell r="C508" t="str">
            <v>NEVŞEHİRHACIBEKTAŞ</v>
          </cell>
        </row>
        <row r="509">
          <cell r="A509" t="str">
            <v>GÜLŞEHİR</v>
          </cell>
          <cell r="C509" t="str">
            <v>NEVŞEHİRGÜLŞEHİR</v>
          </cell>
        </row>
        <row r="510">
          <cell r="A510" t="str">
            <v>ACIGÖL</v>
          </cell>
          <cell r="C510" t="str">
            <v>NEVŞEHİRACIGÖL</v>
          </cell>
        </row>
        <row r="511">
          <cell r="A511" t="str">
            <v>KOZAKLI</v>
          </cell>
          <cell r="C511" t="str">
            <v>NEVŞEHİRKOZAKLI</v>
          </cell>
        </row>
        <row r="512">
          <cell r="A512" t="str">
            <v>MERKEZ</v>
          </cell>
          <cell r="C512" t="str">
            <v>NİĞDEMERKEZ</v>
          </cell>
        </row>
        <row r="513">
          <cell r="A513" t="str">
            <v>BOR</v>
          </cell>
          <cell r="C513" t="str">
            <v>NİĞDEBOR</v>
          </cell>
        </row>
        <row r="514">
          <cell r="A514" t="str">
            <v>ÇİFTLİK</v>
          </cell>
          <cell r="C514" t="str">
            <v>NİĞDEÇİFTLİK</v>
          </cell>
        </row>
        <row r="515">
          <cell r="A515" t="str">
            <v>ALTUNHİSAR</v>
          </cell>
          <cell r="C515" t="str">
            <v>NİĞDEALTUNHİSAR</v>
          </cell>
        </row>
        <row r="516">
          <cell r="A516" t="str">
            <v>ULUKIŞLA</v>
          </cell>
          <cell r="C516" t="str">
            <v>NİĞDEULUKIŞLA</v>
          </cell>
        </row>
        <row r="517">
          <cell r="A517" t="str">
            <v>ORDU BÜYÜKŞEHİR</v>
          </cell>
          <cell r="C517" t="str">
            <v>ORDUORDU BÜYÜKŞEHİR</v>
          </cell>
        </row>
        <row r="518">
          <cell r="A518" t="str">
            <v>MERKEZ</v>
          </cell>
          <cell r="C518" t="str">
            <v>OSMANİYEMERKEZ</v>
          </cell>
        </row>
        <row r="519">
          <cell r="A519" t="str">
            <v>KADİRLİ</v>
          </cell>
          <cell r="C519" t="str">
            <v>OSMANİYEKADİRLİ</v>
          </cell>
        </row>
        <row r="520">
          <cell r="A520" t="str">
            <v>DÜZİÇİ</v>
          </cell>
          <cell r="C520" t="str">
            <v>OSMANİYEDÜZİÇİ</v>
          </cell>
        </row>
        <row r="521">
          <cell r="A521" t="str">
            <v>TOPRAKKALE</v>
          </cell>
          <cell r="C521" t="str">
            <v>OSMANİYETOPRAKKALE</v>
          </cell>
        </row>
        <row r="522">
          <cell r="A522" t="str">
            <v>SUMBAS</v>
          </cell>
          <cell r="C522" t="str">
            <v>OSMANİYESUMBAS</v>
          </cell>
        </row>
        <row r="523">
          <cell r="A523" t="str">
            <v>ARDEŞEN</v>
          </cell>
          <cell r="C523" t="str">
            <v>RİZEARDEŞEN</v>
          </cell>
        </row>
        <row r="524">
          <cell r="A524" t="str">
            <v>DEREPAZARI</v>
          </cell>
          <cell r="C524" t="str">
            <v>RİZEDEREPAZARI</v>
          </cell>
        </row>
        <row r="525">
          <cell r="A525" t="str">
            <v>KALKANDERE</v>
          </cell>
          <cell r="C525" t="str">
            <v>RİZEKALKANDERE</v>
          </cell>
        </row>
        <row r="526">
          <cell r="A526" t="str">
            <v>ÇAMLIHEMŞİN</v>
          </cell>
          <cell r="C526" t="str">
            <v>RİZEÇAMLIHEMŞİN</v>
          </cell>
        </row>
        <row r="527">
          <cell r="A527" t="str">
            <v>ÇAYELİ</v>
          </cell>
          <cell r="C527" t="str">
            <v>RİZEÇAYELİ</v>
          </cell>
        </row>
        <row r="528">
          <cell r="A528" t="str">
            <v>PAZAR</v>
          </cell>
          <cell r="C528" t="str">
            <v>RİZEPAZAR</v>
          </cell>
        </row>
        <row r="529">
          <cell r="A529" t="str">
            <v>İKİZDERE</v>
          </cell>
          <cell r="C529" t="str">
            <v>RİZEİKİZDERE</v>
          </cell>
        </row>
        <row r="530">
          <cell r="A530" t="str">
            <v>FINDIKLI</v>
          </cell>
          <cell r="C530" t="str">
            <v>RİZEFINDIKLI</v>
          </cell>
        </row>
        <row r="531">
          <cell r="A531" t="str">
            <v>İYİDERE</v>
          </cell>
          <cell r="C531" t="str">
            <v>RİZEİYİDERE</v>
          </cell>
        </row>
        <row r="532">
          <cell r="A532" t="str">
            <v>SAMSUN BÜYÜKŞEHİR</v>
          </cell>
          <cell r="C532" t="str">
            <v>SAMSUNSAMSUN BÜYÜKŞEHİR</v>
          </cell>
        </row>
        <row r="533">
          <cell r="A533" t="str">
            <v>MERKEZ</v>
          </cell>
          <cell r="C533" t="str">
            <v>SİİRTMERKEZ</v>
          </cell>
        </row>
        <row r="534">
          <cell r="A534" t="str">
            <v>KURTALAN</v>
          </cell>
          <cell r="C534" t="str">
            <v>SİİRTKURTALAN</v>
          </cell>
        </row>
        <row r="535">
          <cell r="A535" t="str">
            <v>PERVARİ</v>
          </cell>
          <cell r="C535" t="str">
            <v>SİİRTPERVARİ</v>
          </cell>
        </row>
        <row r="536">
          <cell r="A536" t="str">
            <v>ERUH</v>
          </cell>
          <cell r="C536" t="str">
            <v>SİİRTERUH</v>
          </cell>
        </row>
        <row r="537">
          <cell r="A537" t="str">
            <v>ŞİRVAN</v>
          </cell>
          <cell r="C537" t="str">
            <v>SİİRTŞİRVAN</v>
          </cell>
        </row>
        <row r="538">
          <cell r="A538" t="str">
            <v>MERKEZ</v>
          </cell>
          <cell r="C538" t="str">
            <v>SİNOPMERKEZ</v>
          </cell>
        </row>
        <row r="539">
          <cell r="A539" t="str">
            <v>AYANCIK</v>
          </cell>
          <cell r="C539" t="str">
            <v>SİNOPAYANCIK</v>
          </cell>
        </row>
        <row r="540">
          <cell r="A540" t="str">
            <v>BOYABAT</v>
          </cell>
          <cell r="C540" t="str">
            <v>SİNOPBOYABAT</v>
          </cell>
        </row>
        <row r="541">
          <cell r="A541" t="str">
            <v>ERFELEK</v>
          </cell>
          <cell r="C541" t="str">
            <v>SİNOPERFELEK</v>
          </cell>
        </row>
        <row r="542">
          <cell r="A542" t="str">
            <v>GERZE</v>
          </cell>
          <cell r="C542" t="str">
            <v>SİNOPGERZE</v>
          </cell>
        </row>
        <row r="543">
          <cell r="A543" t="str">
            <v>DURAĞAN</v>
          </cell>
          <cell r="C543" t="str">
            <v>SİNOPDURAĞAN</v>
          </cell>
        </row>
        <row r="544">
          <cell r="A544" t="str">
            <v>TÜRKELİ</v>
          </cell>
          <cell r="C544" t="str">
            <v>SİNOPTÜRKELİ</v>
          </cell>
        </row>
        <row r="545">
          <cell r="A545" t="str">
            <v>MERKEZ</v>
          </cell>
          <cell r="C545" t="str">
            <v>SİVASMERKEZ</v>
          </cell>
        </row>
        <row r="546">
          <cell r="A546" t="str">
            <v>GÜRÜN</v>
          </cell>
          <cell r="C546" t="str">
            <v>SİVASGÜRÜN</v>
          </cell>
        </row>
        <row r="547">
          <cell r="A547" t="str">
            <v>ŞARKIŞLA</v>
          </cell>
          <cell r="C547" t="str">
            <v>SİVASŞARKIŞLA</v>
          </cell>
        </row>
        <row r="548">
          <cell r="A548" t="str">
            <v>SUŞEHRİ</v>
          </cell>
          <cell r="C548" t="str">
            <v>SİVASSUŞEHRİ</v>
          </cell>
        </row>
        <row r="549">
          <cell r="A549" t="str">
            <v>DİVRİĞİ</v>
          </cell>
          <cell r="C549" t="str">
            <v>SİVASDİVRİĞİ</v>
          </cell>
        </row>
        <row r="550">
          <cell r="A550" t="str">
            <v>YILDIZELİ</v>
          </cell>
          <cell r="C550" t="str">
            <v>SİVASYILDIZELİ</v>
          </cell>
        </row>
        <row r="551">
          <cell r="A551" t="str">
            <v>ŞANLIURFA BÜYÜKŞEHİR</v>
          </cell>
          <cell r="C551" t="str">
            <v>ŞANLIURFAŞANLIURFA BÜYÜKŞEHİR</v>
          </cell>
        </row>
        <row r="552">
          <cell r="A552" t="str">
            <v>SİLOPİ</v>
          </cell>
          <cell r="C552" t="str">
            <v>ŞIRNAKSİLOPİ</v>
          </cell>
        </row>
        <row r="553">
          <cell r="A553" t="str">
            <v>TEKİRDAĞ BÜYÜKŞEHİR</v>
          </cell>
          <cell r="C553" t="str">
            <v>TEKİRDAĞTEKİRDAĞ BÜYÜKŞEHİR</v>
          </cell>
        </row>
        <row r="554">
          <cell r="A554" t="str">
            <v>MERKEZ</v>
          </cell>
          <cell r="C554" t="str">
            <v>TOKATMERKEZ</v>
          </cell>
        </row>
        <row r="555">
          <cell r="A555" t="str">
            <v>ERBAA</v>
          </cell>
          <cell r="C555" t="str">
            <v>TOKATERBAA</v>
          </cell>
        </row>
        <row r="556">
          <cell r="A556" t="str">
            <v>ALMUS</v>
          </cell>
          <cell r="C556" t="str">
            <v>TOKATALMUS</v>
          </cell>
        </row>
        <row r="557">
          <cell r="A557" t="str">
            <v>ZİLE</v>
          </cell>
          <cell r="C557" t="str">
            <v>TOKATZİLE</v>
          </cell>
        </row>
        <row r="558">
          <cell r="A558" t="str">
            <v>REŞADİYE</v>
          </cell>
          <cell r="C558" t="str">
            <v>TOKATREŞADİYE</v>
          </cell>
        </row>
        <row r="559">
          <cell r="A559" t="str">
            <v>NİKSAR</v>
          </cell>
          <cell r="C559" t="str">
            <v>TOKATNİKSAR</v>
          </cell>
        </row>
        <row r="560">
          <cell r="A560" t="str">
            <v>TURHAL</v>
          </cell>
          <cell r="C560" t="str">
            <v>TOKATTURHAL</v>
          </cell>
        </row>
        <row r="561">
          <cell r="A561" t="str">
            <v>PAZAR</v>
          </cell>
          <cell r="C561" t="str">
            <v>TOKATPAZAR</v>
          </cell>
        </row>
        <row r="562">
          <cell r="A562" t="str">
            <v>TRABZON BÜYÜKŞEHİR</v>
          </cell>
          <cell r="C562" t="str">
            <v>TRABZONTRABZON BÜYÜKŞEHİR</v>
          </cell>
        </row>
        <row r="563">
          <cell r="A563" t="str">
            <v>MAZGİRT</v>
          </cell>
          <cell r="C563" t="str">
            <v>TUNCELİMAZGİRT</v>
          </cell>
        </row>
        <row r="564">
          <cell r="A564" t="str">
            <v>PERTEK</v>
          </cell>
          <cell r="C564" t="str">
            <v>TUNCELİPERTEK</v>
          </cell>
        </row>
        <row r="565">
          <cell r="A565" t="str">
            <v>HOZAT</v>
          </cell>
          <cell r="C565" t="str">
            <v>TUNCELİHOZAT</v>
          </cell>
        </row>
        <row r="566">
          <cell r="A566" t="str">
            <v>MERKEZ</v>
          </cell>
          <cell r="C566" t="str">
            <v>UŞAKMERKEZ</v>
          </cell>
        </row>
        <row r="567">
          <cell r="A567" t="str">
            <v>EŞME</v>
          </cell>
          <cell r="C567" t="str">
            <v>UŞAKEŞME</v>
          </cell>
        </row>
        <row r="568">
          <cell r="A568" t="str">
            <v>KARAHALLI</v>
          </cell>
          <cell r="C568" t="str">
            <v>UŞAKKARAHALLI</v>
          </cell>
        </row>
        <row r="569">
          <cell r="A569" t="str">
            <v>ULUBEY</v>
          </cell>
          <cell r="C569" t="str">
            <v>UŞAKULUBEY</v>
          </cell>
        </row>
        <row r="570">
          <cell r="A570" t="str">
            <v>BANAZ</v>
          </cell>
          <cell r="C570" t="str">
            <v>UŞAKBANAZ</v>
          </cell>
        </row>
        <row r="571">
          <cell r="A571" t="str">
            <v>SİVASLI</v>
          </cell>
          <cell r="C571" t="str">
            <v>UŞAKSİVASLI</v>
          </cell>
        </row>
        <row r="572">
          <cell r="A572" t="str">
            <v>VAN BÜYÜKŞEHİR</v>
          </cell>
          <cell r="C572" t="str">
            <v>VANVAN BÜYÜKŞEHİR</v>
          </cell>
        </row>
        <row r="573">
          <cell r="A573" t="str">
            <v>MERKEZ</v>
          </cell>
          <cell r="C573" t="str">
            <v>YALOVAMERKEZ</v>
          </cell>
        </row>
        <row r="574">
          <cell r="A574" t="str">
            <v>ÇINARCIK</v>
          </cell>
          <cell r="C574" t="str">
            <v>YALOVAÇINARCIK</v>
          </cell>
        </row>
        <row r="575">
          <cell r="A575" t="str">
            <v>ÇİFTLİKKÖY</v>
          </cell>
          <cell r="C575" t="str">
            <v>YALOVAÇİFTLİKKÖY</v>
          </cell>
        </row>
        <row r="576">
          <cell r="A576" t="str">
            <v>ALTINOVA</v>
          </cell>
          <cell r="C576" t="str">
            <v>YALOVAALTINOVA</v>
          </cell>
        </row>
        <row r="577">
          <cell r="A577" t="str">
            <v>TERMAL</v>
          </cell>
          <cell r="C577" t="str">
            <v>YALOVATERMAL</v>
          </cell>
        </row>
        <row r="578">
          <cell r="A578" t="str">
            <v>YERKÖY</v>
          </cell>
          <cell r="C578" t="str">
            <v>YOZGATYERKÖY</v>
          </cell>
        </row>
        <row r="579">
          <cell r="A579" t="str">
            <v>MERKEZ</v>
          </cell>
          <cell r="C579" t="str">
            <v>YOZGATMERKEZ</v>
          </cell>
        </row>
        <row r="580">
          <cell r="A580" t="str">
            <v>BOĞAZLIYAN</v>
          </cell>
          <cell r="C580" t="str">
            <v>YOZGATBOĞAZLIYAN</v>
          </cell>
        </row>
        <row r="581">
          <cell r="A581" t="str">
            <v>SARIKAYA</v>
          </cell>
          <cell r="C581" t="str">
            <v>YOZGATSARIKAYA</v>
          </cell>
        </row>
        <row r="582">
          <cell r="A582" t="str">
            <v>YENİFAKILI</v>
          </cell>
          <cell r="C582" t="str">
            <v>YOZGATYENİFAKILI</v>
          </cell>
        </row>
        <row r="583">
          <cell r="A583" t="str">
            <v>ŞEFAATLİ</v>
          </cell>
          <cell r="C583" t="str">
            <v>YOZGATŞEFAATLİ</v>
          </cell>
        </row>
        <row r="584">
          <cell r="A584" t="str">
            <v>SORGUN</v>
          </cell>
          <cell r="C584" t="str">
            <v>YOZGATSORGUN</v>
          </cell>
        </row>
        <row r="585">
          <cell r="A585" t="str">
            <v>ÇEKEREK</v>
          </cell>
          <cell r="C585" t="str">
            <v>YOZGATÇEKEREK</v>
          </cell>
        </row>
        <row r="586">
          <cell r="A586" t="str">
            <v>EREĞLİ</v>
          </cell>
          <cell r="C586" t="str">
            <v>ZONGULDAKEREĞLİ</v>
          </cell>
        </row>
        <row r="587">
          <cell r="A587" t="str">
            <v>ALAPLI</v>
          </cell>
          <cell r="C587" t="str">
            <v>ZONGULDAKALAPLI</v>
          </cell>
        </row>
        <row r="588">
          <cell r="A588" t="str">
            <v>MERKEZ</v>
          </cell>
          <cell r="C588" t="str">
            <v>ZONGULDAKMERKEZ</v>
          </cell>
        </row>
        <row r="589">
          <cell r="A589" t="str">
            <v>DEVREK</v>
          </cell>
          <cell r="C589" t="str">
            <v>ZONGULDAKDEVREK</v>
          </cell>
        </row>
        <row r="590">
          <cell r="A590" t="str">
            <v>KOZLU</v>
          </cell>
          <cell r="C590" t="str">
            <v>ZONGULDAKKOZLU</v>
          </cell>
        </row>
        <row r="591">
          <cell r="A591" t="str">
            <v>ÇAYCUMA</v>
          </cell>
          <cell r="C591" t="str">
            <v>ZONGULDAKÇAYCUMA</v>
          </cell>
        </row>
        <row r="592">
          <cell r="A592" t="str">
            <v>KİLİMLİ</v>
          </cell>
          <cell r="C592" t="str">
            <v>ZONGULDAKKİLİMLİ</v>
          </cell>
        </row>
        <row r="593">
          <cell r="A593" t="str">
            <v>GÖKÇEBEY</v>
          </cell>
          <cell r="C593" t="str">
            <v>ZONGULDAKGÖKÇEBEY</v>
          </cell>
        </row>
        <row r="594">
          <cell r="A594" t="str">
            <v>İZMİR BÜYÜKŞEHİR</v>
          </cell>
          <cell r="C594" t="str">
            <v>İZMİRİZMİR BÜYÜKŞEHİR</v>
          </cell>
        </row>
        <row r="595">
          <cell r="A595" t="str">
            <v>KOCAELİ BÜYÜKŞEHİR</v>
          </cell>
          <cell r="C595" t="str">
            <v>KOCAELİKOCAELİ BÜYÜKŞEHİR</v>
          </cell>
        </row>
        <row r="596">
          <cell r="A596" t="str">
            <v>SAKARYA BÜYÜKŞEHİR</v>
          </cell>
          <cell r="C596" t="str">
            <v>SAKARYASAKARYA BÜYÜKŞEHİR</v>
          </cell>
        </row>
        <row r="597">
          <cell r="A597" t="str">
            <v>MERKEZ</v>
          </cell>
          <cell r="C597" t="str">
            <v>RİZEMERKEZ</v>
          </cell>
        </row>
        <row r="598">
          <cell r="A598" t="str">
            <v>BURSA BÜYÜKŞEHİR</v>
          </cell>
          <cell r="C598" t="str">
            <v>BURSABURSA BÜYÜKŞEHİR</v>
          </cell>
        </row>
        <row r="599">
          <cell r="A599" t="str">
            <v>OSMANCIK</v>
          </cell>
          <cell r="C599" t="str">
            <v>ÇORUMOSMANCIK</v>
          </cell>
        </row>
        <row r="600">
          <cell r="A600" t="str">
            <v>MERKEZ</v>
          </cell>
          <cell r="C600" t="str">
            <v>TUNCELİMERKEZ</v>
          </cell>
        </row>
        <row r="601">
          <cell r="A601" t="str">
            <v>İSTANBUL BÜYÜKŞEHİR</v>
          </cell>
          <cell r="C601" t="str">
            <v>İSTANBULİSTANBUL BÜYÜKŞEHİR</v>
          </cell>
        </row>
        <row r="602">
          <cell r="A602"/>
          <cell r="C602"/>
          <cell r="G602"/>
        </row>
        <row r="603">
          <cell r="A603" t="str">
            <v>ADANA BÜYÜKŞEHİR</v>
          </cell>
          <cell r="C603" t="str">
            <v>ADANAADANA BÜYÜKŞEHİR</v>
          </cell>
        </row>
        <row r="604">
          <cell r="A604" t="str">
            <v>MERKEZ</v>
          </cell>
          <cell r="C604" t="str">
            <v>ADIYAMANMERKEZ</v>
          </cell>
        </row>
        <row r="605">
          <cell r="A605" t="str">
            <v>ÇELİKHAN</v>
          </cell>
          <cell r="C605" t="str">
            <v>ADIYAMANÇELİKHAN</v>
          </cell>
        </row>
        <row r="606">
          <cell r="A606" t="str">
            <v>KAHTA</v>
          </cell>
          <cell r="C606" t="str">
            <v>ADIYAMANKAHTA</v>
          </cell>
        </row>
        <row r="607">
          <cell r="A607" t="str">
            <v>BESNİ</v>
          </cell>
          <cell r="C607" t="str">
            <v>ADIYAMANBESNİ</v>
          </cell>
        </row>
        <row r="608">
          <cell r="A608" t="str">
            <v>GÖLBAŞI</v>
          </cell>
          <cell r="C608" t="str">
            <v>ADIYAMANGÖLBAŞI</v>
          </cell>
        </row>
        <row r="609">
          <cell r="A609" t="str">
            <v>MERKEZ</v>
          </cell>
          <cell r="C609" t="str">
            <v>AFYONKARAHİSARMERKEZ</v>
          </cell>
        </row>
        <row r="610">
          <cell r="A610" t="str">
            <v xml:space="preserve">SİNANPAŞA </v>
          </cell>
          <cell r="C610" t="str">
            <v xml:space="preserve">AFYONKARAHİSARSİNANPAŞA </v>
          </cell>
        </row>
        <row r="611">
          <cell r="A611" t="str">
            <v>DİNAR</v>
          </cell>
          <cell r="C611" t="str">
            <v>AFYONKARAHİSARDİNAR</v>
          </cell>
        </row>
        <row r="612">
          <cell r="A612" t="str">
            <v>ŞUHUT</v>
          </cell>
          <cell r="C612" t="str">
            <v>AFYONKARAHİSARŞUHUT</v>
          </cell>
        </row>
        <row r="613">
          <cell r="A613" t="str">
            <v>İHSANİYE</v>
          </cell>
          <cell r="C613" t="str">
            <v>AFYONKARAHİSARİHSANİYE</v>
          </cell>
        </row>
        <row r="614">
          <cell r="A614" t="str">
            <v>İSCEHİSAR</v>
          </cell>
          <cell r="C614" t="str">
            <v>AFYONKARAHİSARİSCEHİSAR</v>
          </cell>
        </row>
        <row r="615">
          <cell r="A615" t="str">
            <v>EVCİLER</v>
          </cell>
          <cell r="C615" t="str">
            <v>AFYONKARAHİSAREVCİLER</v>
          </cell>
        </row>
        <row r="616">
          <cell r="A616" t="str">
            <v>EMİRDAĞ</v>
          </cell>
          <cell r="C616" t="str">
            <v>AFYONKARAHİSAREMİRDAĞ</v>
          </cell>
        </row>
        <row r="617">
          <cell r="A617" t="str">
            <v>SULTANDAĞI</v>
          </cell>
          <cell r="C617" t="str">
            <v>AFYONKARAHİSARSULTANDAĞI</v>
          </cell>
        </row>
        <row r="618">
          <cell r="A618" t="str">
            <v>SANDIKLI</v>
          </cell>
          <cell r="C618" t="str">
            <v>AFYONKARAHİSARSANDIKLI</v>
          </cell>
        </row>
        <row r="619">
          <cell r="A619" t="str">
            <v>ÇAY</v>
          </cell>
          <cell r="C619" t="str">
            <v>AFYONKARAHİSARÇAY</v>
          </cell>
        </row>
        <row r="620">
          <cell r="A620" t="str">
            <v>MERKEZ</v>
          </cell>
          <cell r="C620" t="str">
            <v>AĞRIMERKEZ</v>
          </cell>
        </row>
        <row r="621">
          <cell r="A621" t="str">
            <v>PATNOS</v>
          </cell>
          <cell r="C621" t="str">
            <v>AĞRIPATNOS</v>
          </cell>
        </row>
        <row r="622">
          <cell r="A622" t="str">
            <v>DOĞUBAYAZIT</v>
          </cell>
          <cell r="C622" t="str">
            <v>AĞRIDOĞUBAYAZIT</v>
          </cell>
        </row>
        <row r="623">
          <cell r="A623" t="str">
            <v>MERKEZ</v>
          </cell>
          <cell r="C623" t="str">
            <v>AKSARAYMERKEZ</v>
          </cell>
        </row>
        <row r="624">
          <cell r="A624" t="str">
            <v>SULTANHANI</v>
          </cell>
          <cell r="C624" t="str">
            <v>AKSARAYSULTANHANI</v>
          </cell>
        </row>
        <row r="625">
          <cell r="A625" t="str">
            <v>ORTAKÖY</v>
          </cell>
          <cell r="C625" t="str">
            <v>AKSARAYORTAKÖY</v>
          </cell>
        </row>
        <row r="626">
          <cell r="A626" t="str">
            <v>ESKİL</v>
          </cell>
          <cell r="C626" t="str">
            <v>AKSARAYESKİL</v>
          </cell>
        </row>
        <row r="627">
          <cell r="A627" t="str">
            <v>GÜLAĞAÇ</v>
          </cell>
          <cell r="C627" t="str">
            <v>AKSARAYGÜLAĞAÇ</v>
          </cell>
        </row>
        <row r="628">
          <cell r="A628" t="str">
            <v>GÜZELYURT</v>
          </cell>
          <cell r="C628" t="str">
            <v>AKSARAYGÜZELYURT</v>
          </cell>
        </row>
        <row r="629">
          <cell r="A629" t="str">
            <v>MERKEZ</v>
          </cell>
          <cell r="C629" t="str">
            <v>AMASYAMERKEZ</v>
          </cell>
        </row>
        <row r="630">
          <cell r="A630" t="str">
            <v>MERZİFON</v>
          </cell>
          <cell r="C630" t="str">
            <v>AMASYAMERZİFON</v>
          </cell>
        </row>
        <row r="631">
          <cell r="A631" t="str">
            <v>GÜMÜŞHACIKÖY</v>
          </cell>
          <cell r="C631" t="str">
            <v>AMASYAGÜMÜŞHACIKÖY</v>
          </cell>
        </row>
        <row r="632">
          <cell r="A632" t="str">
            <v>SULUOVA</v>
          </cell>
          <cell r="C632" t="str">
            <v>AMASYASULUOVA</v>
          </cell>
        </row>
        <row r="633">
          <cell r="A633" t="str">
            <v>TAŞOVA</v>
          </cell>
          <cell r="C633" t="str">
            <v>AMASYATAŞOVA</v>
          </cell>
        </row>
        <row r="634">
          <cell r="A634" t="str">
            <v>ANKARA BÜYÜKŞEHİR</v>
          </cell>
          <cell r="C634" t="str">
            <v>ANKARAANKARA BÜYÜKŞEHİR</v>
          </cell>
        </row>
        <row r="635">
          <cell r="A635" t="str">
            <v>ANTALYA BÜYÜKŞEHİR</v>
          </cell>
          <cell r="C635" t="str">
            <v>ANTALYAANTALYA BÜYÜKŞEHİR</v>
          </cell>
        </row>
        <row r="636">
          <cell r="A636" t="str">
            <v>MERKEZ</v>
          </cell>
          <cell r="C636" t="str">
            <v>ARDAHANMERKEZ</v>
          </cell>
        </row>
        <row r="637">
          <cell r="A637" t="str">
            <v>ÇILDIR</v>
          </cell>
          <cell r="C637" t="str">
            <v>ARDAHANÇILDIR</v>
          </cell>
        </row>
        <row r="638">
          <cell r="A638" t="str">
            <v>GÖLE</v>
          </cell>
          <cell r="C638" t="str">
            <v>ARDAHANGÖLE</v>
          </cell>
        </row>
        <row r="639">
          <cell r="A639" t="str">
            <v>DAMAL</v>
          </cell>
          <cell r="C639" t="str">
            <v>ARDAHANDAMAL</v>
          </cell>
        </row>
        <row r="640">
          <cell r="A640" t="str">
            <v>HOPA</v>
          </cell>
          <cell r="C640" t="str">
            <v>ARTVİNHOPA</v>
          </cell>
        </row>
        <row r="641">
          <cell r="A641" t="str">
            <v>ARHAVİ</v>
          </cell>
          <cell r="C641" t="str">
            <v>ARTVİNARHAVİ</v>
          </cell>
        </row>
        <row r="642">
          <cell r="A642" t="str">
            <v>MERKEZ</v>
          </cell>
          <cell r="C642" t="str">
            <v>ARTVİNMERKEZ</v>
          </cell>
        </row>
        <row r="643">
          <cell r="A643" t="str">
            <v>BORÇKA</v>
          </cell>
          <cell r="C643" t="str">
            <v>ARTVİNBORÇKA</v>
          </cell>
        </row>
        <row r="644">
          <cell r="A644" t="str">
            <v>MURGUL</v>
          </cell>
          <cell r="C644" t="str">
            <v>ARTVİNMURGUL</v>
          </cell>
        </row>
        <row r="645">
          <cell r="A645" t="str">
            <v>YUSUFELİ</v>
          </cell>
          <cell r="C645" t="str">
            <v>ARTVİNYUSUFELİ</v>
          </cell>
        </row>
        <row r="646">
          <cell r="A646" t="str">
            <v>ŞAVŞAT</v>
          </cell>
          <cell r="C646" t="str">
            <v>ARTVİNŞAVŞAT</v>
          </cell>
        </row>
        <row r="647">
          <cell r="A647" t="str">
            <v>KEMALPAŞA</v>
          </cell>
          <cell r="C647" t="str">
            <v>ARTVİNKEMALPAŞA</v>
          </cell>
        </row>
        <row r="648">
          <cell r="A648" t="str">
            <v>AYDIN BÜYÜKŞEHİR</v>
          </cell>
          <cell r="C648" t="str">
            <v>AYDINAYDIN BÜYÜKŞEHİR</v>
          </cell>
        </row>
        <row r="649">
          <cell r="A649" t="str">
            <v>BALIKESİR BÜYÜKŞEHİR</v>
          </cell>
          <cell r="C649" t="str">
            <v>BALIKESİRBALIKESİR BÜYÜKŞEHİR</v>
          </cell>
        </row>
        <row r="650">
          <cell r="A650" t="str">
            <v>MERKEZ</v>
          </cell>
          <cell r="C650" t="str">
            <v>BARTINMERKEZ</v>
          </cell>
        </row>
        <row r="651">
          <cell r="A651" t="str">
            <v>AMASRA</v>
          </cell>
          <cell r="C651" t="str">
            <v>BARTINAMASRA</v>
          </cell>
        </row>
        <row r="652">
          <cell r="A652" t="str">
            <v>ULUS</v>
          </cell>
          <cell r="C652" t="str">
            <v>BARTINULUS</v>
          </cell>
        </row>
        <row r="653">
          <cell r="A653" t="str">
            <v>MERKEZ</v>
          </cell>
          <cell r="C653" t="str">
            <v>BATMANMERKEZ</v>
          </cell>
        </row>
        <row r="654">
          <cell r="A654" t="str">
            <v>BEŞİRİ</v>
          </cell>
          <cell r="C654" t="str">
            <v>BATMANBEŞİRİ</v>
          </cell>
        </row>
        <row r="655">
          <cell r="A655" t="str">
            <v>BOZÜYÜK</v>
          </cell>
          <cell r="C655" t="str">
            <v>BİLECİKBOZÜYÜK</v>
          </cell>
        </row>
        <row r="656">
          <cell r="A656" t="str">
            <v>MERKEZ</v>
          </cell>
          <cell r="C656" t="str">
            <v>BİLECİKMERKEZ</v>
          </cell>
        </row>
        <row r="657">
          <cell r="A657" t="str">
            <v>SÖĞÜT</v>
          </cell>
          <cell r="C657" t="str">
            <v>BİLECİKSÖĞÜT</v>
          </cell>
        </row>
        <row r="658">
          <cell r="A658" t="str">
            <v>OSMANELİ</v>
          </cell>
          <cell r="C658" t="str">
            <v>BİLECİKOSMANELİ</v>
          </cell>
        </row>
        <row r="659">
          <cell r="A659" t="str">
            <v>PAZARYERİ</v>
          </cell>
          <cell r="C659" t="str">
            <v>BİLECİKPAZARYERİ</v>
          </cell>
        </row>
        <row r="660">
          <cell r="A660" t="str">
            <v>MERKEZ</v>
          </cell>
          <cell r="C660" t="str">
            <v>BİNGÖLMERKEZ</v>
          </cell>
        </row>
        <row r="661">
          <cell r="A661" t="str">
            <v>MERKEZ</v>
          </cell>
          <cell r="C661" t="str">
            <v>BİTLİSMERKEZ</v>
          </cell>
        </row>
        <row r="662">
          <cell r="A662" t="str">
            <v>TATVAN</v>
          </cell>
          <cell r="C662" t="str">
            <v>BİTLİSTATVAN</v>
          </cell>
        </row>
        <row r="663">
          <cell r="A663" t="str">
            <v>MERKEZ</v>
          </cell>
          <cell r="C663" t="str">
            <v>BOLUMERKEZ</v>
          </cell>
        </row>
        <row r="664">
          <cell r="A664" t="str">
            <v>GÖYNÜK</v>
          </cell>
          <cell r="C664" t="str">
            <v>BOLUGÖYNÜK</v>
          </cell>
        </row>
        <row r="665">
          <cell r="A665" t="str">
            <v>MUDURNU</v>
          </cell>
          <cell r="C665" t="str">
            <v>BOLUMUDURNU</v>
          </cell>
        </row>
        <row r="666">
          <cell r="A666" t="str">
            <v>MENGEN</v>
          </cell>
          <cell r="C666" t="str">
            <v>BOLUMENGEN</v>
          </cell>
        </row>
        <row r="667">
          <cell r="A667" t="str">
            <v>GEREDE</v>
          </cell>
          <cell r="C667" t="str">
            <v>BOLUGEREDE</v>
          </cell>
        </row>
        <row r="668">
          <cell r="A668" t="str">
            <v>MERKEZ</v>
          </cell>
          <cell r="C668" t="str">
            <v>BURDURMERKEZ</v>
          </cell>
        </row>
        <row r="669">
          <cell r="A669" t="str">
            <v>BUCAK</v>
          </cell>
          <cell r="C669" t="str">
            <v>BURDURBUCAK</v>
          </cell>
        </row>
        <row r="670">
          <cell r="A670" t="str">
            <v>ÇELTİKÇİ</v>
          </cell>
          <cell r="C670" t="str">
            <v>BURDURÇELTİKÇİ</v>
          </cell>
        </row>
        <row r="671">
          <cell r="A671" t="str">
            <v>ÇAVDIR</v>
          </cell>
          <cell r="C671" t="str">
            <v>BURDURÇAVDIR</v>
          </cell>
        </row>
        <row r="672">
          <cell r="A672" t="str">
            <v>GÖLHİSAR</v>
          </cell>
          <cell r="C672" t="str">
            <v>BURDURGÖLHİSAR</v>
          </cell>
        </row>
        <row r="673">
          <cell r="A673" t="str">
            <v>YEŞİLOVA</v>
          </cell>
          <cell r="C673" t="str">
            <v>BURDURYEŞİLOVA</v>
          </cell>
        </row>
        <row r="674">
          <cell r="A674" t="str">
            <v>BURSA BÜYÜKŞEHİR</v>
          </cell>
          <cell r="C674" t="str">
            <v>BURSABURSA BÜYÜKŞEHİR</v>
          </cell>
        </row>
        <row r="675">
          <cell r="A675" t="str">
            <v>AYVACIK</v>
          </cell>
          <cell r="C675" t="str">
            <v>ÇANAKKALEAYVACIK</v>
          </cell>
        </row>
        <row r="676">
          <cell r="A676" t="str">
            <v>GELİBOLU</v>
          </cell>
          <cell r="C676" t="str">
            <v>ÇANAKKALEGELİBOLU</v>
          </cell>
        </row>
        <row r="677">
          <cell r="A677" t="str">
            <v>EZİNE</v>
          </cell>
          <cell r="C677" t="str">
            <v>ÇANAKKALEEZİNE</v>
          </cell>
        </row>
        <row r="678">
          <cell r="A678" t="str">
            <v>LAPSEKİ</v>
          </cell>
          <cell r="C678" t="str">
            <v>ÇANAKKALELAPSEKİ</v>
          </cell>
        </row>
        <row r="679">
          <cell r="A679" t="str">
            <v>ÇAN</v>
          </cell>
          <cell r="C679" t="str">
            <v>ÇANAKKALEÇAN</v>
          </cell>
        </row>
        <row r="680">
          <cell r="A680" t="str">
            <v>ECEABAT</v>
          </cell>
          <cell r="C680" t="str">
            <v>ÇANAKKALEECEABAT</v>
          </cell>
        </row>
        <row r="681">
          <cell r="A681" t="str">
            <v>BİGA</v>
          </cell>
          <cell r="C681" t="str">
            <v>ÇANAKKALEBİGA</v>
          </cell>
        </row>
        <row r="682">
          <cell r="A682" t="str">
            <v>BAYRAMİÇ</v>
          </cell>
          <cell r="C682" t="str">
            <v>ÇANAKKALEBAYRAMİÇ</v>
          </cell>
        </row>
        <row r="683">
          <cell r="A683" t="str">
            <v>YENİCE</v>
          </cell>
          <cell r="C683" t="str">
            <v>ÇANAKKALEYENİCE</v>
          </cell>
        </row>
        <row r="684">
          <cell r="A684" t="str">
            <v>BOZCAADA</v>
          </cell>
          <cell r="C684" t="str">
            <v>ÇANAKKALEBOZCAADA</v>
          </cell>
        </row>
        <row r="685">
          <cell r="A685" t="str">
            <v>GÖKÇEADA</v>
          </cell>
          <cell r="C685" t="str">
            <v>ÇANAKKALEGÖKÇEADA</v>
          </cell>
        </row>
        <row r="686">
          <cell r="A686" t="str">
            <v>ÇERKEŞ</v>
          </cell>
          <cell r="C686" t="str">
            <v>ÇANKIRIÇERKEŞ</v>
          </cell>
        </row>
        <row r="687">
          <cell r="A687" t="str">
            <v>MERKEZ</v>
          </cell>
          <cell r="C687" t="str">
            <v>ÇANKIRIMERKEZ</v>
          </cell>
        </row>
        <row r="688">
          <cell r="A688" t="str">
            <v>ATKARACALAR</v>
          </cell>
          <cell r="C688" t="str">
            <v>ÇANKIRIATKARACALAR</v>
          </cell>
        </row>
        <row r="689">
          <cell r="A689" t="str">
            <v>ELDİVAN</v>
          </cell>
          <cell r="C689" t="str">
            <v>ÇANKIRIELDİVAN</v>
          </cell>
        </row>
        <row r="690">
          <cell r="A690" t="str">
            <v>ORTA</v>
          </cell>
          <cell r="C690" t="str">
            <v>ÇANKIRIORTA</v>
          </cell>
        </row>
        <row r="691">
          <cell r="A691" t="str">
            <v>ŞABANÖZÜ</v>
          </cell>
          <cell r="C691" t="str">
            <v>ÇANKIRIŞABANÖZÜ</v>
          </cell>
        </row>
        <row r="692">
          <cell r="A692" t="str">
            <v>MERKEZ</v>
          </cell>
          <cell r="C692" t="str">
            <v>ÇORUMMERKEZ</v>
          </cell>
        </row>
        <row r="693">
          <cell r="A693" t="str">
            <v>OSMANCIK</v>
          </cell>
          <cell r="C693" t="str">
            <v>ÇORUMOSMANCIK</v>
          </cell>
        </row>
        <row r="694">
          <cell r="A694" t="str">
            <v>SUNGURLU</v>
          </cell>
          <cell r="C694" t="str">
            <v>ÇORUMSUNGURLU</v>
          </cell>
        </row>
        <row r="695">
          <cell r="A695" t="str">
            <v>İSKİLİP</v>
          </cell>
          <cell r="C695" t="str">
            <v>ÇORUMİSKİLİP</v>
          </cell>
        </row>
        <row r="696">
          <cell r="A696" t="str">
            <v>BAYAT</v>
          </cell>
          <cell r="C696" t="str">
            <v>ÇORUMBAYAT</v>
          </cell>
        </row>
        <row r="697">
          <cell r="A697" t="str">
            <v>DENİZLİ BÜYÜKŞEHİR</v>
          </cell>
          <cell r="C697" t="str">
            <v>DENİZLİDENİZLİ BÜYÜKŞEHİR</v>
          </cell>
        </row>
        <row r="698">
          <cell r="A698" t="str">
            <v>DİYARBAKIR BÜYÜKŞEHİR</v>
          </cell>
          <cell r="C698" t="str">
            <v>DİYARBAKIRDİYARBAKIR BÜYÜKŞEHİR</v>
          </cell>
        </row>
        <row r="699">
          <cell r="A699" t="str">
            <v>MERKEZ</v>
          </cell>
          <cell r="C699" t="str">
            <v>DÜZCEMERKEZ</v>
          </cell>
        </row>
        <row r="700">
          <cell r="A700" t="str">
            <v>AKÇAKOCA</v>
          </cell>
          <cell r="C700" t="str">
            <v>DÜZCEAKÇAKOCA</v>
          </cell>
        </row>
        <row r="701">
          <cell r="A701" t="str">
            <v>ÇİLİMLİ</v>
          </cell>
          <cell r="C701" t="str">
            <v>DÜZCEÇİLİMLİ</v>
          </cell>
        </row>
        <row r="702">
          <cell r="A702" t="str">
            <v>GÖLYAKA</v>
          </cell>
          <cell r="C702" t="str">
            <v>DÜZCEGÖLYAKA</v>
          </cell>
        </row>
        <row r="703">
          <cell r="A703" t="str">
            <v>KAYNAŞLI</v>
          </cell>
          <cell r="C703" t="str">
            <v>DÜZCEKAYNAŞLI</v>
          </cell>
        </row>
        <row r="704">
          <cell r="A704" t="str">
            <v>CUMAYERİ</v>
          </cell>
          <cell r="C704" t="str">
            <v>DÜZCECUMAYERİ</v>
          </cell>
        </row>
        <row r="705">
          <cell r="A705" t="str">
            <v>GÜMÜŞOVA</v>
          </cell>
          <cell r="C705" t="str">
            <v>DÜZCEGÜMÜŞOVA</v>
          </cell>
        </row>
        <row r="706">
          <cell r="A706" t="str">
            <v>MERKEZ</v>
          </cell>
          <cell r="C706" t="str">
            <v>EDİRNEMERKEZ</v>
          </cell>
        </row>
        <row r="707">
          <cell r="A707" t="str">
            <v>KEŞAN</v>
          </cell>
          <cell r="C707" t="str">
            <v>EDİRNEKEŞAN</v>
          </cell>
        </row>
        <row r="708">
          <cell r="A708" t="str">
            <v>UZUNKÖPRÜ</v>
          </cell>
          <cell r="C708" t="str">
            <v>EDİRNEUZUNKÖPRÜ</v>
          </cell>
        </row>
        <row r="709">
          <cell r="A709" t="str">
            <v>ENEZ</v>
          </cell>
          <cell r="C709" t="str">
            <v>EDİRNEENEZ</v>
          </cell>
        </row>
        <row r="710">
          <cell r="A710" t="str">
            <v>İPSALA</v>
          </cell>
          <cell r="C710" t="str">
            <v>EDİRNEİPSALA</v>
          </cell>
        </row>
        <row r="711">
          <cell r="A711" t="str">
            <v>MERKEZ</v>
          </cell>
          <cell r="C711" t="str">
            <v>ELAZIĞMERKEZ</v>
          </cell>
        </row>
        <row r="712">
          <cell r="A712" t="str">
            <v>AĞIN</v>
          </cell>
          <cell r="C712" t="str">
            <v>ELAZIĞAĞIN</v>
          </cell>
        </row>
        <row r="713">
          <cell r="A713" t="str">
            <v>SİVRİCE</v>
          </cell>
          <cell r="C713" t="str">
            <v>ELAZIĞSİVRİCE</v>
          </cell>
        </row>
        <row r="714">
          <cell r="A714" t="str">
            <v>PALU</v>
          </cell>
          <cell r="C714" t="str">
            <v>ELAZIĞPALU</v>
          </cell>
        </row>
        <row r="715">
          <cell r="A715" t="str">
            <v>MERKEZ</v>
          </cell>
          <cell r="C715" t="str">
            <v>ERZİNCANMERKEZ</v>
          </cell>
        </row>
        <row r="716">
          <cell r="A716" t="str">
            <v>ÇAYIRLI</v>
          </cell>
          <cell r="C716" t="str">
            <v>ERZİNCANÇAYIRLI</v>
          </cell>
        </row>
        <row r="717">
          <cell r="A717" t="str">
            <v>ÜZÜMLÜ</v>
          </cell>
          <cell r="C717" t="str">
            <v>ERZİNCANÜZÜMLÜ</v>
          </cell>
        </row>
        <row r="718">
          <cell r="A718" t="str">
            <v>İLİÇ</v>
          </cell>
          <cell r="C718" t="str">
            <v>ERZİNCANİLİÇ</v>
          </cell>
        </row>
        <row r="719">
          <cell r="A719" t="str">
            <v>TERCAN</v>
          </cell>
          <cell r="C719" t="str">
            <v>ERZİNCANTERCAN</v>
          </cell>
        </row>
        <row r="720">
          <cell r="A720" t="str">
            <v>ERZURUM BÜYÜKŞEHİR</v>
          </cell>
          <cell r="C720" t="str">
            <v>ERZURUMERZURUM BÜYÜKŞEHİR</v>
          </cell>
        </row>
        <row r="721">
          <cell r="A721" t="str">
            <v>ESKİŞEHİR BÜYÜKŞEHİR</v>
          </cell>
          <cell r="C721" t="str">
            <v>ESKİŞEHİRESKİŞEHİR BÜYÜKŞEHİR</v>
          </cell>
        </row>
        <row r="722">
          <cell r="A722" t="str">
            <v>GAZİANTEP BÜYÜKŞEHİR</v>
          </cell>
          <cell r="C722" t="str">
            <v>GAZİANTEPGAZİANTEP BÜYÜKŞEHİR</v>
          </cell>
        </row>
        <row r="723">
          <cell r="A723" t="str">
            <v>MERKEZ</v>
          </cell>
          <cell r="C723" t="str">
            <v>GİRESUNMERKEZ</v>
          </cell>
        </row>
        <row r="724">
          <cell r="A724" t="str">
            <v>TİREBOLU</v>
          </cell>
          <cell r="C724" t="str">
            <v>GİRESUNTİREBOLU</v>
          </cell>
        </row>
        <row r="725">
          <cell r="A725" t="str">
            <v>BULANCAK</v>
          </cell>
          <cell r="C725" t="str">
            <v>GİRESUNBULANCAK</v>
          </cell>
        </row>
        <row r="726">
          <cell r="A726" t="str">
            <v>ESPİYE</v>
          </cell>
          <cell r="C726" t="str">
            <v>GİRESUNESPİYE</v>
          </cell>
        </row>
        <row r="727">
          <cell r="A727" t="str">
            <v>DERELİ</v>
          </cell>
          <cell r="C727" t="str">
            <v>GİRESUNDERELİ</v>
          </cell>
        </row>
        <row r="728">
          <cell r="A728" t="str">
            <v>ALUCRA</v>
          </cell>
          <cell r="C728" t="str">
            <v>GİRESUNALUCRA</v>
          </cell>
        </row>
        <row r="729">
          <cell r="A729" t="str">
            <v>YAĞLIDERE</v>
          </cell>
          <cell r="C729" t="str">
            <v>GİRESUNYAĞLIDERE</v>
          </cell>
        </row>
        <row r="730">
          <cell r="A730" t="str">
            <v>ŞEBİNKARAHİSAR</v>
          </cell>
          <cell r="C730" t="str">
            <v>GİRESUNŞEBİNKARAHİSAR</v>
          </cell>
        </row>
        <row r="731">
          <cell r="A731" t="str">
            <v>GÖRELE</v>
          </cell>
          <cell r="C731" t="str">
            <v>GİRESUNGÖRELE</v>
          </cell>
        </row>
        <row r="732">
          <cell r="A732" t="str">
            <v>KEŞAP</v>
          </cell>
          <cell r="C732" t="str">
            <v>GİRESUNKEŞAP</v>
          </cell>
        </row>
        <row r="733">
          <cell r="A733" t="str">
            <v>KELKİT</v>
          </cell>
          <cell r="C733" t="str">
            <v>GÜMÜŞHANEKELKİT</v>
          </cell>
        </row>
        <row r="734">
          <cell r="A734" t="str">
            <v>MERKEZ</v>
          </cell>
          <cell r="C734" t="str">
            <v>GÜMÜŞHANEMERKEZ</v>
          </cell>
        </row>
        <row r="735">
          <cell r="A735" t="str">
            <v>HATAY BÜYÜKŞEHİR</v>
          </cell>
          <cell r="C735" t="str">
            <v>HATAYHATAY BÜYÜKŞEHİR</v>
          </cell>
        </row>
        <row r="736">
          <cell r="A736" t="str">
            <v>MERKEZ</v>
          </cell>
          <cell r="C736" t="str">
            <v>IĞDIRMERKEZ</v>
          </cell>
        </row>
        <row r="737">
          <cell r="A737" t="str">
            <v>MERKEZ</v>
          </cell>
          <cell r="C737" t="str">
            <v>ISPARTAMERKEZ</v>
          </cell>
        </row>
        <row r="738">
          <cell r="A738" t="str">
            <v>GÖNEN</v>
          </cell>
          <cell r="C738" t="str">
            <v>ISPARTAGÖNEN</v>
          </cell>
        </row>
        <row r="739">
          <cell r="A739" t="str">
            <v>YALVAÇ</v>
          </cell>
          <cell r="C739" t="str">
            <v>ISPARTAYALVAÇ</v>
          </cell>
        </row>
        <row r="740">
          <cell r="A740" t="str">
            <v>ŞARKİKARAAĞAÇ</v>
          </cell>
          <cell r="C740" t="str">
            <v>ISPARTAŞARKİKARAAĞAÇ</v>
          </cell>
        </row>
        <row r="741">
          <cell r="A741" t="str">
            <v>SÜTÇÜLER</v>
          </cell>
          <cell r="C741" t="str">
            <v>ISPARTASÜTÇÜLER</v>
          </cell>
        </row>
        <row r="742">
          <cell r="A742" t="str">
            <v>EĞİRDİR</v>
          </cell>
          <cell r="C742" t="str">
            <v>ISPARTAEĞİRDİR</v>
          </cell>
        </row>
        <row r="743">
          <cell r="A743" t="str">
            <v>GELENDOST</v>
          </cell>
          <cell r="C743" t="str">
            <v>ISPARTAGELENDOST</v>
          </cell>
        </row>
        <row r="744">
          <cell r="A744" t="str">
            <v>KEÇİBORLU</v>
          </cell>
          <cell r="C744" t="str">
            <v>ISPARTAKEÇİBORLU</v>
          </cell>
        </row>
        <row r="745">
          <cell r="A745" t="str">
            <v>YENİŞARBADEMLİ</v>
          </cell>
          <cell r="C745" t="str">
            <v>ISPARTAYENİŞARBADEMLİ</v>
          </cell>
        </row>
        <row r="746">
          <cell r="A746" t="str">
            <v>MERKEZ</v>
          </cell>
          <cell r="C746" t="str">
            <v>KARABÜKMERKEZ</v>
          </cell>
        </row>
        <row r="747">
          <cell r="A747" t="str">
            <v>SAFRANBOLU</v>
          </cell>
          <cell r="C747" t="str">
            <v>KARABÜKSAFRANBOLU</v>
          </cell>
        </row>
        <row r="748">
          <cell r="A748" t="str">
            <v>MERKEZ</v>
          </cell>
          <cell r="C748" t="str">
            <v>KARAMANMERKEZ</v>
          </cell>
        </row>
        <row r="749">
          <cell r="A749" t="str">
            <v>SARIVELİLER</v>
          </cell>
          <cell r="C749" t="str">
            <v>KARAMANSARIVELİLER</v>
          </cell>
        </row>
        <row r="750">
          <cell r="A750" t="str">
            <v>ERMENEK</v>
          </cell>
          <cell r="C750" t="str">
            <v>KARAMANERMENEK</v>
          </cell>
        </row>
        <row r="751">
          <cell r="A751" t="str">
            <v>AYRANCI</v>
          </cell>
          <cell r="C751" t="str">
            <v>KARAMANAYRANCI</v>
          </cell>
        </row>
        <row r="752">
          <cell r="A752" t="str">
            <v>MERKEZ</v>
          </cell>
          <cell r="C752" t="str">
            <v>KARSMERKEZ</v>
          </cell>
        </row>
        <row r="753">
          <cell r="A753" t="str">
            <v>AKYAKA</v>
          </cell>
          <cell r="C753" t="str">
            <v>KARSAKYAKA</v>
          </cell>
        </row>
        <row r="754">
          <cell r="A754" t="str">
            <v>KAĞIZMAN</v>
          </cell>
          <cell r="C754" t="str">
            <v>KARSKAĞIZMAN</v>
          </cell>
        </row>
        <row r="755">
          <cell r="A755" t="str">
            <v>MERKEZ</v>
          </cell>
          <cell r="C755" t="str">
            <v>KASTAMONUMERKEZ</v>
          </cell>
        </row>
        <row r="756">
          <cell r="A756" t="str">
            <v>TOSYA</v>
          </cell>
          <cell r="C756" t="str">
            <v>KASTAMONUTOSYA</v>
          </cell>
        </row>
        <row r="757">
          <cell r="A757" t="str">
            <v>İNEBOLU</v>
          </cell>
          <cell r="C757" t="str">
            <v>KASTAMONUİNEBOLU</v>
          </cell>
        </row>
        <row r="758">
          <cell r="A758" t="str">
            <v>ÇATALZEYTİN</v>
          </cell>
          <cell r="C758" t="str">
            <v>KASTAMONUÇATALZEYTİN</v>
          </cell>
        </row>
        <row r="759">
          <cell r="A759" t="str">
            <v>TAŞKÖPRÜ</v>
          </cell>
          <cell r="C759" t="str">
            <v>KASTAMONUTAŞKÖPRÜ</v>
          </cell>
        </row>
        <row r="760">
          <cell r="A760" t="str">
            <v>AZDAVAY</v>
          </cell>
          <cell r="C760" t="str">
            <v>KASTAMONUAZDAVAY</v>
          </cell>
        </row>
        <row r="761">
          <cell r="A761" t="str">
            <v>PINARBAŞI</v>
          </cell>
          <cell r="C761" t="str">
            <v>KASTAMONUPINARBAŞI</v>
          </cell>
        </row>
        <row r="762">
          <cell r="A762" t="str">
            <v>CİDE</v>
          </cell>
          <cell r="C762" t="str">
            <v>KASTAMONUCİDE</v>
          </cell>
        </row>
        <row r="763">
          <cell r="A763" t="str">
            <v>BOZKURT</v>
          </cell>
          <cell r="C763" t="str">
            <v>KASTAMONUBOZKURT</v>
          </cell>
        </row>
        <row r="764">
          <cell r="A764" t="str">
            <v>SEYDİLER</v>
          </cell>
          <cell r="C764" t="str">
            <v>KASTAMONUSEYDİLER</v>
          </cell>
        </row>
        <row r="765">
          <cell r="A765" t="str">
            <v>KAYSERİ BÜYÜKŞEHİR</v>
          </cell>
          <cell r="C765" t="str">
            <v>KAYSERİKAYSERİ BÜYÜKŞEHİR</v>
          </cell>
        </row>
        <row r="766">
          <cell r="A766" t="str">
            <v>MERKEZ</v>
          </cell>
          <cell r="C766" t="str">
            <v>KIRIKKALEMERKEZ</v>
          </cell>
        </row>
        <row r="767">
          <cell r="A767" t="str">
            <v>YAHŞİHAN</v>
          </cell>
          <cell r="C767" t="str">
            <v>KIRIKKALEYAHŞİHAN</v>
          </cell>
        </row>
        <row r="768">
          <cell r="A768" t="str">
            <v>KESKİN</v>
          </cell>
          <cell r="C768" t="str">
            <v>KIRIKKALEKESKİN</v>
          </cell>
        </row>
        <row r="769">
          <cell r="A769" t="str">
            <v>DELİCE</v>
          </cell>
          <cell r="C769" t="str">
            <v>KIRIKKALEDELİCE</v>
          </cell>
        </row>
        <row r="770">
          <cell r="A770" t="str">
            <v>LÜLEBURGAZ</v>
          </cell>
          <cell r="C770" t="str">
            <v>KIRKLARELİLÜLEBURGAZ</v>
          </cell>
        </row>
        <row r="771">
          <cell r="A771" t="str">
            <v>MERKEZ</v>
          </cell>
          <cell r="C771" t="str">
            <v>KIRKLARELİMERKEZ</v>
          </cell>
        </row>
        <row r="772">
          <cell r="A772" t="str">
            <v>VİZE</v>
          </cell>
          <cell r="C772" t="str">
            <v>KIRKLARELİVİZE</v>
          </cell>
        </row>
        <row r="773">
          <cell r="A773" t="str">
            <v>BABAESKİ</v>
          </cell>
          <cell r="C773" t="str">
            <v>KIRKLARELİBABAESKİ</v>
          </cell>
        </row>
        <row r="774">
          <cell r="A774" t="str">
            <v>PINARHİSAR</v>
          </cell>
          <cell r="C774" t="str">
            <v>KIRKLARELİPINARHİSAR</v>
          </cell>
        </row>
        <row r="775">
          <cell r="A775" t="str">
            <v>MERKEZ</v>
          </cell>
          <cell r="C775" t="str">
            <v>KIRŞEHİRMERKEZ</v>
          </cell>
        </row>
        <row r="776">
          <cell r="A776" t="str">
            <v>KAMAN</v>
          </cell>
          <cell r="C776" t="str">
            <v>KIRŞEHİRKAMAN</v>
          </cell>
        </row>
        <row r="777">
          <cell r="A777" t="str">
            <v>MUCUR</v>
          </cell>
          <cell r="C777" t="str">
            <v>KIRŞEHİRMUCUR</v>
          </cell>
        </row>
        <row r="778">
          <cell r="A778" t="str">
            <v>ÇİÇEKDAĞI</v>
          </cell>
          <cell r="C778" t="str">
            <v>KIRŞEHİRÇİÇEKDAĞI</v>
          </cell>
        </row>
        <row r="779">
          <cell r="A779" t="str">
            <v>AKPINAR</v>
          </cell>
          <cell r="C779" t="str">
            <v>KIRŞEHİRAKPINAR</v>
          </cell>
        </row>
        <row r="780">
          <cell r="A780" t="str">
            <v>MERKEZ</v>
          </cell>
          <cell r="C780" t="str">
            <v>KİLİSMERKEZ</v>
          </cell>
        </row>
        <row r="781">
          <cell r="A781" t="str">
            <v>KONYA BÜYÜKŞEHİR</v>
          </cell>
          <cell r="C781" t="str">
            <v>KONYAKONYA BÜYÜKŞEHİR</v>
          </cell>
        </row>
        <row r="782">
          <cell r="A782" t="str">
            <v>MERKEZ</v>
          </cell>
          <cell r="C782" t="str">
            <v>KÜTAHYAMERKEZ</v>
          </cell>
        </row>
        <row r="783">
          <cell r="A783" t="str">
            <v>TAVŞANLI</v>
          </cell>
          <cell r="C783" t="str">
            <v>KÜTAHYATAVŞANLI</v>
          </cell>
        </row>
        <row r="784">
          <cell r="A784" t="str">
            <v>ALTINTAŞ</v>
          </cell>
          <cell r="C784" t="str">
            <v>KÜTAHYAALTINTAŞ</v>
          </cell>
        </row>
        <row r="785">
          <cell r="A785" t="str">
            <v>SİMAV</v>
          </cell>
          <cell r="C785" t="str">
            <v>KÜTAHYASİMAV</v>
          </cell>
        </row>
        <row r="786">
          <cell r="A786" t="str">
            <v>GEDİZ</v>
          </cell>
          <cell r="C786" t="str">
            <v>KÜTAHYAGEDİZ</v>
          </cell>
        </row>
        <row r="787">
          <cell r="A787" t="str">
            <v>DOMANİÇ</v>
          </cell>
          <cell r="C787" t="str">
            <v>KÜTAHYADOMANİÇ</v>
          </cell>
        </row>
        <row r="788">
          <cell r="A788" t="str">
            <v>PAZARLAR</v>
          </cell>
          <cell r="C788" t="str">
            <v>KÜTAHYAPAZARLAR</v>
          </cell>
        </row>
        <row r="789">
          <cell r="A789" t="str">
            <v>MALATYA BÜYÜKŞEHİR</v>
          </cell>
          <cell r="C789" t="str">
            <v>MALATYAMALATYA BÜYÜKŞEHİR</v>
          </cell>
        </row>
        <row r="790">
          <cell r="A790" t="str">
            <v>MANİSA BÜYÜKŞEHİR</v>
          </cell>
          <cell r="C790" t="str">
            <v>MANİSAMANİSA BÜYÜKŞEHİR</v>
          </cell>
        </row>
        <row r="791">
          <cell r="A791" t="str">
            <v>MARDİN BÜYÜKŞEHİR</v>
          </cell>
          <cell r="C791" t="str">
            <v>MARDİNMARDİN BÜYÜKŞEHİR</v>
          </cell>
        </row>
        <row r="792">
          <cell r="A792" t="str">
            <v>MERSİN BÜYÜKŞEHİR</v>
          </cell>
          <cell r="C792" t="str">
            <v>MERSİNMERSİN BÜYÜKŞEHİR</v>
          </cell>
        </row>
        <row r="793">
          <cell r="A793" t="str">
            <v>MUĞLA BÜYÜKŞEHİR</v>
          </cell>
          <cell r="C793" t="str">
            <v>MUĞLAMUĞLA BÜYÜKŞEHİR</v>
          </cell>
        </row>
        <row r="794">
          <cell r="A794" t="str">
            <v>MERKEZ</v>
          </cell>
          <cell r="C794" t="str">
            <v>MUŞMERKEZ</v>
          </cell>
        </row>
        <row r="795">
          <cell r="A795" t="str">
            <v>VARTO</v>
          </cell>
          <cell r="C795" t="str">
            <v>MUŞVARTO</v>
          </cell>
        </row>
        <row r="796">
          <cell r="A796" t="str">
            <v>BULANIK</v>
          </cell>
          <cell r="C796" t="str">
            <v>MUŞBULANIK</v>
          </cell>
        </row>
        <row r="797">
          <cell r="A797" t="str">
            <v>HASKÖY</v>
          </cell>
          <cell r="C797" t="str">
            <v>MUŞHASKÖY</v>
          </cell>
        </row>
        <row r="798">
          <cell r="A798" t="str">
            <v>MALAZGİRT</v>
          </cell>
          <cell r="C798" t="str">
            <v>MUŞMALAZGİRT</v>
          </cell>
        </row>
        <row r="799">
          <cell r="A799" t="str">
            <v>ÜRGÜP</v>
          </cell>
          <cell r="C799" t="str">
            <v>NEVŞEHİRÜRGÜP</v>
          </cell>
        </row>
        <row r="800">
          <cell r="A800" t="str">
            <v>MERKEZ</v>
          </cell>
          <cell r="C800" t="str">
            <v>NEVŞEHİRMERKEZ</v>
          </cell>
        </row>
        <row r="801">
          <cell r="A801" t="str">
            <v>ACIGÖL</v>
          </cell>
          <cell r="C801" t="str">
            <v>NEVŞEHİRACIGÖL</v>
          </cell>
        </row>
        <row r="802">
          <cell r="A802" t="str">
            <v>AVANOS</v>
          </cell>
          <cell r="C802" t="str">
            <v>NEVŞEHİRAVANOS</v>
          </cell>
        </row>
        <row r="803">
          <cell r="A803" t="str">
            <v>HACIBEKTAŞ</v>
          </cell>
          <cell r="C803" t="str">
            <v>NEVŞEHİRHACIBEKTAŞ</v>
          </cell>
        </row>
        <row r="804">
          <cell r="A804" t="str">
            <v>GÜLŞEHİR</v>
          </cell>
          <cell r="C804" t="str">
            <v>NEVŞEHİRGÜLŞEHİR</v>
          </cell>
        </row>
        <row r="805">
          <cell r="A805" t="str">
            <v>KOZAKLI</v>
          </cell>
          <cell r="C805" t="str">
            <v>NEVŞEHİRKOZAKLI</v>
          </cell>
        </row>
        <row r="806">
          <cell r="A806" t="str">
            <v>MERKEZ</v>
          </cell>
          <cell r="C806" t="str">
            <v>NİĞDEMERKEZ</v>
          </cell>
        </row>
        <row r="807">
          <cell r="A807" t="str">
            <v>BOR</v>
          </cell>
          <cell r="C807" t="str">
            <v>NİĞDEBOR</v>
          </cell>
        </row>
        <row r="808">
          <cell r="A808" t="str">
            <v>ÇAMARDI</v>
          </cell>
          <cell r="C808" t="str">
            <v>NİĞDEÇAMARDI</v>
          </cell>
        </row>
        <row r="809">
          <cell r="A809" t="str">
            <v>ÇİFTLİK</v>
          </cell>
          <cell r="C809" t="str">
            <v>NİĞDEÇİFTLİK</v>
          </cell>
        </row>
        <row r="810">
          <cell r="A810" t="str">
            <v>ORDU BÜYÜKŞEHİR</v>
          </cell>
          <cell r="C810" t="str">
            <v>ORDUORDU BÜYÜKŞEHİR</v>
          </cell>
        </row>
        <row r="811">
          <cell r="A811" t="str">
            <v>TOPRAKKALE</v>
          </cell>
          <cell r="C811" t="str">
            <v>OSMANİYETOPRAKKALE</v>
          </cell>
        </row>
        <row r="812">
          <cell r="A812" t="str">
            <v>MERKEZ</v>
          </cell>
          <cell r="C812" t="str">
            <v>OSMANİYEMERKEZ</v>
          </cell>
        </row>
        <row r="813">
          <cell r="A813" t="str">
            <v>KADİRLİ</v>
          </cell>
          <cell r="C813" t="str">
            <v>OSMANİYEKADİRLİ</v>
          </cell>
        </row>
        <row r="814">
          <cell r="A814" t="str">
            <v>DÜZİÇİ</v>
          </cell>
          <cell r="C814" t="str">
            <v>OSMANİYEDÜZİÇİ</v>
          </cell>
        </row>
        <row r="815">
          <cell r="A815" t="str">
            <v>SUMBAS</v>
          </cell>
          <cell r="C815" t="str">
            <v>OSMANİYESUMBAS</v>
          </cell>
        </row>
        <row r="816">
          <cell r="A816" t="str">
            <v>MERKEZ</v>
          </cell>
          <cell r="C816" t="str">
            <v>RİZEMERKEZ</v>
          </cell>
        </row>
        <row r="817">
          <cell r="A817" t="str">
            <v>FINDIKLI</v>
          </cell>
          <cell r="C817" t="str">
            <v>RİZEFINDIKLI</v>
          </cell>
        </row>
        <row r="818">
          <cell r="A818" t="str">
            <v>ARDEŞEN</v>
          </cell>
          <cell r="C818" t="str">
            <v>RİZEARDEŞEN</v>
          </cell>
        </row>
        <row r="819">
          <cell r="A819" t="str">
            <v>ÇAYELİ</v>
          </cell>
          <cell r="C819" t="str">
            <v>RİZEÇAYELİ</v>
          </cell>
        </row>
        <row r="820">
          <cell r="A820" t="str">
            <v>ÇAMLIHEMŞİN</v>
          </cell>
          <cell r="C820" t="str">
            <v>RİZEÇAMLIHEMŞİN</v>
          </cell>
        </row>
        <row r="821">
          <cell r="A821" t="str">
            <v>DEREPAZARI</v>
          </cell>
          <cell r="C821" t="str">
            <v>RİZEDEREPAZARI</v>
          </cell>
        </row>
        <row r="822">
          <cell r="A822" t="str">
            <v>SAMSUN BÜYÜKŞEHİR</v>
          </cell>
          <cell r="C822" t="str">
            <v>SAMSUNSAMSUN BÜYÜKŞEHİR</v>
          </cell>
        </row>
        <row r="823">
          <cell r="A823" t="str">
            <v>MERKEZ</v>
          </cell>
          <cell r="C823" t="str">
            <v>SİİRTMERKEZ</v>
          </cell>
        </row>
        <row r="824">
          <cell r="A824" t="str">
            <v>KURTALAN</v>
          </cell>
          <cell r="C824" t="str">
            <v>SİİRTKURTALAN</v>
          </cell>
        </row>
        <row r="825">
          <cell r="A825" t="str">
            <v>MERKEZ</v>
          </cell>
          <cell r="C825" t="str">
            <v>SİNOPMERKEZ</v>
          </cell>
        </row>
        <row r="826">
          <cell r="A826" t="str">
            <v>GERZE</v>
          </cell>
          <cell r="C826" t="str">
            <v>SİNOPGERZE</v>
          </cell>
        </row>
        <row r="827">
          <cell r="A827" t="str">
            <v>AYANCIK</v>
          </cell>
          <cell r="C827" t="str">
            <v>SİNOPAYANCIK</v>
          </cell>
        </row>
        <row r="828">
          <cell r="A828" t="str">
            <v>BOYABAT</v>
          </cell>
          <cell r="C828" t="str">
            <v>SİNOPBOYABAT</v>
          </cell>
        </row>
        <row r="829">
          <cell r="A829" t="str">
            <v>ERFELEK</v>
          </cell>
          <cell r="C829" t="str">
            <v>SİNOPERFELEK</v>
          </cell>
        </row>
        <row r="830">
          <cell r="A830" t="str">
            <v>MERKEZ</v>
          </cell>
          <cell r="C830" t="str">
            <v>SİVASMERKEZ</v>
          </cell>
        </row>
        <row r="831">
          <cell r="A831" t="str">
            <v>DİVRİĞİ</v>
          </cell>
          <cell r="C831" t="str">
            <v>SİVASDİVRİĞİ</v>
          </cell>
        </row>
        <row r="832">
          <cell r="A832" t="str">
            <v>SUŞEHRİ</v>
          </cell>
          <cell r="C832" t="str">
            <v>SİVASSUŞEHRİ</v>
          </cell>
        </row>
        <row r="833">
          <cell r="A833" t="str">
            <v>AKINCILAR</v>
          </cell>
          <cell r="C833" t="str">
            <v>SİVASAKINCILAR</v>
          </cell>
        </row>
        <row r="834">
          <cell r="A834" t="str">
            <v>GÜRÜN</v>
          </cell>
          <cell r="C834" t="str">
            <v>SİVASGÜRÜN</v>
          </cell>
        </row>
        <row r="835">
          <cell r="A835" t="str">
            <v>İMRANLI</v>
          </cell>
          <cell r="C835" t="str">
            <v>SİVASİMRANLI</v>
          </cell>
        </row>
        <row r="836">
          <cell r="A836" t="str">
            <v>KOYULHİSAR</v>
          </cell>
          <cell r="C836" t="str">
            <v>SİVASKOYULHİSAR</v>
          </cell>
        </row>
        <row r="837">
          <cell r="A837" t="str">
            <v>ŞARKIŞLA</v>
          </cell>
          <cell r="C837" t="str">
            <v>SİVASŞARKIŞLA</v>
          </cell>
        </row>
        <row r="838">
          <cell r="A838" t="str">
            <v>ULAŞ</v>
          </cell>
          <cell r="C838" t="str">
            <v>SİVASULAŞ</v>
          </cell>
        </row>
        <row r="839">
          <cell r="A839" t="str">
            <v>ZARA</v>
          </cell>
          <cell r="C839" t="str">
            <v>SİVASZARA</v>
          </cell>
        </row>
        <row r="840">
          <cell r="A840" t="str">
            <v>ŞANLIURFA BÜYÜKŞEHİR</v>
          </cell>
          <cell r="C840" t="str">
            <v>ŞANLIURFAŞANLIURFA BÜYÜKŞEHİR</v>
          </cell>
        </row>
        <row r="841">
          <cell r="A841" t="str">
            <v>TEKİRDAĞ BÜYÜKŞEHİR</v>
          </cell>
          <cell r="C841" t="str">
            <v>TEKİRDAĞTEKİRDAĞ BÜYÜKŞEHİR</v>
          </cell>
        </row>
        <row r="842">
          <cell r="A842" t="str">
            <v>MERKEZ</v>
          </cell>
          <cell r="C842" t="str">
            <v>TOKATMERKEZ</v>
          </cell>
        </row>
        <row r="843">
          <cell r="A843" t="str">
            <v>NİKSAR</v>
          </cell>
          <cell r="C843" t="str">
            <v>TOKATNİKSAR</v>
          </cell>
        </row>
        <row r="844">
          <cell r="A844" t="str">
            <v>ERBAA</v>
          </cell>
          <cell r="C844" t="str">
            <v>TOKATERBAA</v>
          </cell>
        </row>
        <row r="845">
          <cell r="A845" t="str">
            <v>ZİLE</v>
          </cell>
          <cell r="C845" t="str">
            <v>TOKATZİLE</v>
          </cell>
        </row>
        <row r="846">
          <cell r="A846" t="str">
            <v>ALMUS</v>
          </cell>
          <cell r="C846" t="str">
            <v>TOKATALMUS</v>
          </cell>
        </row>
        <row r="847">
          <cell r="A847" t="str">
            <v>REŞADİYE</v>
          </cell>
          <cell r="C847" t="str">
            <v>TOKATREŞADİYE</v>
          </cell>
        </row>
        <row r="848">
          <cell r="A848" t="str">
            <v>TURHAL</v>
          </cell>
          <cell r="C848" t="str">
            <v>TOKATTURHAL</v>
          </cell>
        </row>
        <row r="849">
          <cell r="A849" t="str">
            <v>PAZAR</v>
          </cell>
          <cell r="C849" t="str">
            <v>TOKATPAZAR</v>
          </cell>
        </row>
        <row r="850">
          <cell r="A850" t="str">
            <v>TRABZON BÜYÜKŞEHİR</v>
          </cell>
          <cell r="C850" t="str">
            <v>TRABZONTRABZON BÜYÜKŞEHİR</v>
          </cell>
        </row>
        <row r="851">
          <cell r="A851" t="str">
            <v>MERKEZ</v>
          </cell>
          <cell r="C851" t="str">
            <v>TUNCELİMERKEZ</v>
          </cell>
        </row>
        <row r="852">
          <cell r="A852" t="str">
            <v>MERKEZ</v>
          </cell>
          <cell r="C852" t="str">
            <v>UŞAKMERKEZ</v>
          </cell>
        </row>
        <row r="853">
          <cell r="A853" t="str">
            <v>BANAZ</v>
          </cell>
          <cell r="C853" t="str">
            <v>UŞAKBANAZ</v>
          </cell>
        </row>
        <row r="854">
          <cell r="A854" t="str">
            <v>KARAHALLI</v>
          </cell>
          <cell r="C854" t="str">
            <v>UŞAKKARAHALLI</v>
          </cell>
        </row>
        <row r="855">
          <cell r="A855" t="str">
            <v>VAN BÜYÜKŞEHİR</v>
          </cell>
          <cell r="C855" t="str">
            <v>VANVAN BÜYÜKŞEHİR</v>
          </cell>
        </row>
        <row r="856">
          <cell r="A856" t="str">
            <v>MERKEZ</v>
          </cell>
          <cell r="C856" t="str">
            <v>YALOVAMERKEZ</v>
          </cell>
        </row>
        <row r="857">
          <cell r="A857" t="str">
            <v>ÇINARCIK</v>
          </cell>
          <cell r="C857" t="str">
            <v>YALOVAÇINARCIK</v>
          </cell>
        </row>
        <row r="858">
          <cell r="A858" t="str">
            <v>ÇİFTLİKKÖY</v>
          </cell>
          <cell r="C858" t="str">
            <v>YALOVAÇİFTLİKKÖY</v>
          </cell>
        </row>
        <row r="859">
          <cell r="A859" t="str">
            <v>ALTINOVA</v>
          </cell>
          <cell r="C859" t="str">
            <v>YALOVAALTINOVA</v>
          </cell>
        </row>
        <row r="860">
          <cell r="A860" t="str">
            <v>MERKEZ</v>
          </cell>
          <cell r="C860" t="str">
            <v>YOZGATMERKEZ</v>
          </cell>
        </row>
        <row r="861">
          <cell r="A861" t="str">
            <v>YERKÖY</v>
          </cell>
          <cell r="C861" t="str">
            <v>YOZGATYERKÖY</v>
          </cell>
        </row>
        <row r="862">
          <cell r="A862" t="str">
            <v>BOĞAZLIYAN</v>
          </cell>
          <cell r="C862" t="str">
            <v>YOZGATBOĞAZLIYAN</v>
          </cell>
        </row>
        <row r="863">
          <cell r="A863" t="str">
            <v>SARIKAYA</v>
          </cell>
          <cell r="C863" t="str">
            <v>YOZGATSARIKAYA</v>
          </cell>
        </row>
        <row r="864">
          <cell r="A864" t="str">
            <v>AKDAĞMADENİ</v>
          </cell>
          <cell r="C864" t="str">
            <v>YOZGATAKDAĞMADENİ</v>
          </cell>
        </row>
        <row r="865">
          <cell r="A865" t="str">
            <v>ÇEKEREK</v>
          </cell>
          <cell r="C865" t="str">
            <v>YOZGATÇEKEREK</v>
          </cell>
        </row>
        <row r="866">
          <cell r="A866" t="str">
            <v>KADIŞEHRİ</v>
          </cell>
          <cell r="C866" t="str">
            <v>YOZGATKADIŞEHRİ</v>
          </cell>
        </row>
        <row r="867">
          <cell r="A867" t="str">
            <v>SORGUN</v>
          </cell>
          <cell r="C867" t="str">
            <v>YOZGATSORGUN</v>
          </cell>
        </row>
        <row r="868">
          <cell r="A868" t="str">
            <v>ŞEFAATLİ</v>
          </cell>
          <cell r="C868" t="str">
            <v>YOZGATŞEFAATLİ</v>
          </cell>
        </row>
        <row r="869">
          <cell r="A869" t="str">
            <v>ÇAYIRALAN</v>
          </cell>
          <cell r="C869" t="str">
            <v>YOZGATÇAYIRALAN</v>
          </cell>
        </row>
        <row r="870">
          <cell r="A870" t="str">
            <v>YENİFAKILI</v>
          </cell>
          <cell r="C870" t="str">
            <v>YOZGATYENİFAKILI</v>
          </cell>
        </row>
        <row r="871">
          <cell r="A871" t="str">
            <v>EREĞLİ</v>
          </cell>
          <cell r="C871" t="str">
            <v>ZONGULDAKEREĞLİ</v>
          </cell>
        </row>
        <row r="872">
          <cell r="A872" t="str">
            <v>MERKEZ</v>
          </cell>
          <cell r="C872" t="str">
            <v>ZONGULDAKMERKEZ</v>
          </cell>
        </row>
        <row r="873">
          <cell r="A873" t="str">
            <v>ALAPLI</v>
          </cell>
          <cell r="C873" t="str">
            <v>ZONGULDAKALAPLI</v>
          </cell>
        </row>
        <row r="874">
          <cell r="A874" t="str">
            <v>ÇAYCUMA</v>
          </cell>
          <cell r="C874" t="str">
            <v>ZONGULDAKÇAYCUMA</v>
          </cell>
        </row>
        <row r="875">
          <cell r="A875" t="str">
            <v>GÖKÇEBEY</v>
          </cell>
          <cell r="C875" t="str">
            <v>ZONGULDAKGÖKÇEBEY</v>
          </cell>
        </row>
        <row r="876">
          <cell r="A876" t="str">
            <v>KİLİMLİ</v>
          </cell>
          <cell r="C876" t="str">
            <v>ZONGULDAKKİLİMLİ</v>
          </cell>
        </row>
        <row r="877">
          <cell r="A877" t="str">
            <v>DEVREK</v>
          </cell>
          <cell r="C877" t="str">
            <v>ZONGULDAKDEVREK</v>
          </cell>
        </row>
        <row r="878">
          <cell r="A878" t="str">
            <v>KOZLU</v>
          </cell>
          <cell r="C878" t="str">
            <v>ZONGULDAKKOZLU</v>
          </cell>
        </row>
        <row r="879">
          <cell r="A879" t="str">
            <v>İZMİR BÜYÜKŞEHİR</v>
          </cell>
          <cell r="C879" t="str">
            <v>İZMİRİZMİR BÜYÜKŞEHİR</v>
          </cell>
        </row>
        <row r="880">
          <cell r="A880" t="str">
            <v>KOCAELİ BÜYÜKŞEHİR</v>
          </cell>
          <cell r="C880" t="str">
            <v>KOCAELİKOCAELİ BÜYÜKŞEHİR</v>
          </cell>
        </row>
        <row r="881">
          <cell r="A881" t="str">
            <v>SAKARYA BÜYÜKŞEHİR</v>
          </cell>
          <cell r="C881" t="str">
            <v>SAKARYASAKARYA BÜYÜKŞEHİR</v>
          </cell>
        </row>
        <row r="882">
          <cell r="A882" t="str">
            <v>İSTANBUL BÜYÜKŞEHİR</v>
          </cell>
          <cell r="C882" t="str">
            <v>İSTANBULİSTANBUL BÜYÜKŞEHİR</v>
          </cell>
        </row>
        <row r="883">
          <cell r="C883" t="str">
            <v>x</v>
          </cell>
        </row>
        <row r="884">
          <cell r="A884" t="str">
            <v>ADANA BÜYÜKŞEHİR</v>
          </cell>
          <cell r="C884" t="str">
            <v>ADANAADANA BÜYÜKŞEHİR</v>
          </cell>
        </row>
        <row r="885">
          <cell r="A885" t="str">
            <v>SİNCİK</v>
          </cell>
          <cell r="C885" t="str">
            <v>ADIYAMANSİNCİK</v>
          </cell>
        </row>
        <row r="886">
          <cell r="A886" t="str">
            <v>MERKEZ</v>
          </cell>
          <cell r="C886" t="str">
            <v>ADIYAMANMERKEZ</v>
          </cell>
        </row>
        <row r="887">
          <cell r="A887" t="str">
            <v>BESNİ</v>
          </cell>
          <cell r="C887" t="str">
            <v>ADIYAMANBESNİ</v>
          </cell>
        </row>
        <row r="888">
          <cell r="A888" t="str">
            <v>KAHTA</v>
          </cell>
          <cell r="C888" t="str">
            <v>ADIYAMANKAHTA</v>
          </cell>
        </row>
        <row r="889">
          <cell r="A889" t="str">
            <v>GÖLBAŞI</v>
          </cell>
          <cell r="C889" t="str">
            <v>ADIYAMANGÖLBAŞI</v>
          </cell>
        </row>
        <row r="890">
          <cell r="A890" t="str">
            <v>MERKEZ</v>
          </cell>
          <cell r="C890" t="str">
            <v>AFYONKARAHİSARMERKEZ</v>
          </cell>
        </row>
        <row r="891">
          <cell r="A891" t="str">
            <v>BOLVADİN</v>
          </cell>
          <cell r="C891" t="str">
            <v>AFYONKARAHİSARBOLVADİN</v>
          </cell>
        </row>
        <row r="892">
          <cell r="A892" t="str">
            <v>DİNAR</v>
          </cell>
          <cell r="C892" t="str">
            <v>AFYONKARAHİSARDİNAR</v>
          </cell>
        </row>
        <row r="893">
          <cell r="A893" t="str">
            <v>ŞUHUT</v>
          </cell>
          <cell r="C893" t="str">
            <v>AFYONKARAHİSARŞUHUT</v>
          </cell>
        </row>
        <row r="894">
          <cell r="A894" t="str">
            <v>DAZKIRI</v>
          </cell>
          <cell r="C894" t="str">
            <v>AFYONKARAHİSARDAZKIRI</v>
          </cell>
        </row>
        <row r="895">
          <cell r="A895" t="str">
            <v>EMİRDAĞ</v>
          </cell>
          <cell r="C895" t="str">
            <v>AFYONKARAHİSAREMİRDAĞ</v>
          </cell>
        </row>
        <row r="896">
          <cell r="A896" t="str">
            <v>HOCALAR</v>
          </cell>
          <cell r="C896" t="str">
            <v>AFYONKARAHİSARHOCALAR</v>
          </cell>
        </row>
        <row r="897">
          <cell r="A897" t="str">
            <v>ÇOBANLAR</v>
          </cell>
          <cell r="C897" t="str">
            <v>AFYONKARAHİSARÇOBANLAR</v>
          </cell>
        </row>
        <row r="898">
          <cell r="A898" t="str">
            <v>İSCEHİSAR</v>
          </cell>
          <cell r="C898" t="str">
            <v>AFYONKARAHİSARİSCEHİSAR</v>
          </cell>
        </row>
        <row r="899">
          <cell r="A899" t="str">
            <v>SİNANPAŞA</v>
          </cell>
          <cell r="C899" t="str">
            <v>AFYONKARAHİSARSİNANPAŞA</v>
          </cell>
        </row>
        <row r="900">
          <cell r="A900" t="str">
            <v>BAŞMAKÇI</v>
          </cell>
          <cell r="C900" t="str">
            <v>AFYONKARAHİSARBAŞMAKÇI</v>
          </cell>
        </row>
        <row r="901">
          <cell r="A901" t="str">
            <v>SANDIKLI</v>
          </cell>
          <cell r="C901" t="str">
            <v>AFYONKARAHİSARSANDIKLI</v>
          </cell>
        </row>
        <row r="902">
          <cell r="A902" t="str">
            <v>İHSANİYE</v>
          </cell>
          <cell r="C902" t="str">
            <v>AFYONKARAHİSARİHSANİYE</v>
          </cell>
        </row>
        <row r="903">
          <cell r="A903" t="str">
            <v>MERKEZ</v>
          </cell>
          <cell r="C903" t="str">
            <v>AĞRIMERKEZ</v>
          </cell>
        </row>
        <row r="904">
          <cell r="A904" t="str">
            <v>DOĞUBAYAZIT</v>
          </cell>
          <cell r="C904" t="str">
            <v>AĞRIDOĞUBAYAZIT</v>
          </cell>
        </row>
        <row r="905">
          <cell r="A905" t="str">
            <v>PATNOS</v>
          </cell>
          <cell r="C905" t="str">
            <v>AĞRIPATNOS</v>
          </cell>
        </row>
        <row r="906">
          <cell r="A906" t="str">
            <v>TAŞLIÇAY</v>
          </cell>
          <cell r="C906" t="str">
            <v>AĞRITAŞLIÇAY</v>
          </cell>
        </row>
        <row r="907">
          <cell r="A907" t="str">
            <v>ELEŞKİRT</v>
          </cell>
          <cell r="C907" t="str">
            <v>AĞRIELEŞKİRT</v>
          </cell>
        </row>
        <row r="908">
          <cell r="A908" t="str">
            <v>MERKEZ</v>
          </cell>
          <cell r="C908" t="str">
            <v>AKSARAYMERKEZ</v>
          </cell>
        </row>
        <row r="909">
          <cell r="A909" t="str">
            <v>SARIYAHŞİ</v>
          </cell>
          <cell r="C909" t="str">
            <v>AKSARAYSARIYAHŞİ</v>
          </cell>
        </row>
        <row r="910">
          <cell r="A910" t="str">
            <v>ESKİL</v>
          </cell>
          <cell r="C910" t="str">
            <v>AKSARAYESKİL</v>
          </cell>
        </row>
        <row r="911">
          <cell r="A911" t="str">
            <v>ORTAKÖY</v>
          </cell>
          <cell r="C911" t="str">
            <v>AKSARAYORTAKÖY</v>
          </cell>
        </row>
        <row r="912">
          <cell r="A912" t="str">
            <v>GÜLAĞAÇ</v>
          </cell>
          <cell r="C912" t="str">
            <v>AKSARAYGÜLAĞAÇ</v>
          </cell>
        </row>
        <row r="913">
          <cell r="A913" t="str">
            <v>MERZİFON</v>
          </cell>
          <cell r="C913" t="str">
            <v>AMASYAMERZİFON</v>
          </cell>
        </row>
        <row r="914">
          <cell r="A914" t="str">
            <v>MERKEZ</v>
          </cell>
          <cell r="C914" t="str">
            <v>AMASYAMERKEZ</v>
          </cell>
        </row>
        <row r="915">
          <cell r="A915" t="str">
            <v>GÜMÜŞHACIKÖY</v>
          </cell>
          <cell r="C915" t="str">
            <v>AMASYAGÜMÜŞHACIKÖY</v>
          </cell>
        </row>
        <row r="916">
          <cell r="A916" t="str">
            <v>SULUOVA</v>
          </cell>
          <cell r="C916" t="str">
            <v>AMASYASULUOVA</v>
          </cell>
        </row>
        <row r="917">
          <cell r="A917" t="str">
            <v>TAŞOVA</v>
          </cell>
          <cell r="C917" t="str">
            <v>AMASYATAŞOVA</v>
          </cell>
        </row>
        <row r="918">
          <cell r="A918" t="str">
            <v>ANKARA BÜYÜKŞEHİR</v>
          </cell>
          <cell r="C918" t="str">
            <v>ANKARAANKARA BÜYÜKŞEHİR</v>
          </cell>
        </row>
        <row r="919">
          <cell r="A919" t="str">
            <v>ANTALYA BÜYÜKŞEHİR</v>
          </cell>
          <cell r="C919" t="str">
            <v>ANTALYAANTALYA BÜYÜKŞEHİR</v>
          </cell>
        </row>
        <row r="920">
          <cell r="A920" t="str">
            <v>ÇILDIR</v>
          </cell>
          <cell r="C920" t="str">
            <v>ARDAHANÇILDIR</v>
          </cell>
        </row>
        <row r="921">
          <cell r="A921" t="str">
            <v>MERKEZ</v>
          </cell>
          <cell r="C921" t="str">
            <v>ARDAHANMERKEZ</v>
          </cell>
        </row>
        <row r="922">
          <cell r="A922" t="str">
            <v>POSOF</v>
          </cell>
          <cell r="C922" t="str">
            <v>ARDAHANPOSOF</v>
          </cell>
        </row>
        <row r="923">
          <cell r="A923" t="str">
            <v>HANAK</v>
          </cell>
          <cell r="C923" t="str">
            <v>ARDAHANHANAK</v>
          </cell>
        </row>
        <row r="924">
          <cell r="A924" t="str">
            <v>GÖLE</v>
          </cell>
          <cell r="C924" t="str">
            <v>ARDAHANGÖLE</v>
          </cell>
        </row>
        <row r="925">
          <cell r="A925" t="str">
            <v>HOPA</v>
          </cell>
          <cell r="C925" t="str">
            <v>ARTVİNHOPA</v>
          </cell>
        </row>
        <row r="926">
          <cell r="A926" t="str">
            <v>MERKEZ</v>
          </cell>
          <cell r="C926" t="str">
            <v>ARTVİNMERKEZ</v>
          </cell>
        </row>
        <row r="927">
          <cell r="A927" t="str">
            <v>MURGUL</v>
          </cell>
          <cell r="C927" t="str">
            <v>ARTVİNMURGUL</v>
          </cell>
        </row>
        <row r="928">
          <cell r="A928" t="str">
            <v>ŞAVŞAT</v>
          </cell>
          <cell r="C928" t="str">
            <v>ARTVİNŞAVŞAT</v>
          </cell>
        </row>
        <row r="929">
          <cell r="A929" t="str">
            <v>KEMALPAŞA</v>
          </cell>
          <cell r="C929" t="str">
            <v>ARTVİNKEMALPAŞA</v>
          </cell>
        </row>
        <row r="930">
          <cell r="A930" t="str">
            <v>ARHAVİ</v>
          </cell>
          <cell r="C930" t="str">
            <v>ARTVİNARHAVİ</v>
          </cell>
        </row>
        <row r="931">
          <cell r="A931" t="str">
            <v>AYDIN BÜYÜKŞEHİR</v>
          </cell>
          <cell r="C931" t="str">
            <v>AYDINAYDIN BÜYÜKŞEHİR</v>
          </cell>
        </row>
        <row r="932">
          <cell r="A932" t="str">
            <v>BALIKESİR BÜYÜKŞEHİR</v>
          </cell>
          <cell r="C932" t="str">
            <v>BALIKESİRBALIKESİR BÜYÜKŞEHİR</v>
          </cell>
        </row>
        <row r="933">
          <cell r="A933" t="str">
            <v>MERKEZ</v>
          </cell>
          <cell r="C933" t="str">
            <v>BARTINMERKEZ</v>
          </cell>
        </row>
        <row r="934">
          <cell r="A934" t="str">
            <v>AMASRA</v>
          </cell>
          <cell r="C934" t="str">
            <v>BARTINAMASRA</v>
          </cell>
        </row>
        <row r="935">
          <cell r="A935" t="str">
            <v>ULUS</v>
          </cell>
          <cell r="C935" t="str">
            <v>BARTINULUS</v>
          </cell>
        </row>
        <row r="936">
          <cell r="A936" t="str">
            <v>MERKEZ</v>
          </cell>
          <cell r="C936" t="str">
            <v>BATMANMERKEZ</v>
          </cell>
        </row>
        <row r="937">
          <cell r="A937" t="str">
            <v>BEŞİRİ</v>
          </cell>
          <cell r="C937" t="str">
            <v>BATMANBEŞİRİ</v>
          </cell>
        </row>
        <row r="938">
          <cell r="A938" t="str">
            <v>GERCÜŞ</v>
          </cell>
          <cell r="C938" t="str">
            <v>BATMANGERCÜŞ</v>
          </cell>
        </row>
        <row r="939">
          <cell r="A939" t="str">
            <v>DEMİRÖZÜ</v>
          </cell>
          <cell r="C939" t="str">
            <v>BAYBURTDEMİRÖZÜ</v>
          </cell>
        </row>
        <row r="940">
          <cell r="A940" t="str">
            <v>MERKEZ</v>
          </cell>
          <cell r="C940" t="str">
            <v>BAYBURTMERKEZ</v>
          </cell>
        </row>
        <row r="941">
          <cell r="A941" t="str">
            <v>BOZÜYÜK</v>
          </cell>
          <cell r="C941" t="str">
            <v>BİLECİKBOZÜYÜK</v>
          </cell>
        </row>
        <row r="942">
          <cell r="A942" t="str">
            <v>MERKEZ</v>
          </cell>
          <cell r="C942" t="str">
            <v>BİLECİKMERKEZ</v>
          </cell>
        </row>
        <row r="943">
          <cell r="A943" t="str">
            <v>YENİPAZAR</v>
          </cell>
          <cell r="C943" t="str">
            <v>BİLECİKYENİPAZAR</v>
          </cell>
        </row>
        <row r="944">
          <cell r="A944" t="str">
            <v>OSMANELİ</v>
          </cell>
          <cell r="C944" t="str">
            <v>BİLECİKOSMANELİ</v>
          </cell>
        </row>
        <row r="945">
          <cell r="A945" t="str">
            <v>SÖĞÜT</v>
          </cell>
          <cell r="C945" t="str">
            <v>BİLECİKSÖĞÜT</v>
          </cell>
        </row>
        <row r="946">
          <cell r="A946" t="str">
            <v>GÖLPAZARI</v>
          </cell>
          <cell r="C946" t="str">
            <v>BİLECİKGÖLPAZARI</v>
          </cell>
        </row>
        <row r="947">
          <cell r="A947" t="str">
            <v>MERKEZ</v>
          </cell>
          <cell r="C947" t="str">
            <v>BİNGÖLMERKEZ</v>
          </cell>
        </row>
        <row r="948">
          <cell r="A948" t="str">
            <v>TATVAN</v>
          </cell>
          <cell r="C948" t="str">
            <v>BİTLİSTATVAN</v>
          </cell>
        </row>
        <row r="949">
          <cell r="A949" t="str">
            <v>MERKEZ</v>
          </cell>
          <cell r="C949" t="str">
            <v>BİTLİSMERKEZ</v>
          </cell>
        </row>
        <row r="950">
          <cell r="A950" t="str">
            <v>AHLAT</v>
          </cell>
          <cell r="C950" t="str">
            <v>BİTLİSAHLAT</v>
          </cell>
        </row>
        <row r="951">
          <cell r="A951" t="str">
            <v>ADİLCEVAZ</v>
          </cell>
          <cell r="C951" t="str">
            <v>BİTLİSADİLCEVAZ</v>
          </cell>
        </row>
        <row r="952">
          <cell r="A952" t="str">
            <v>GÜROYMAK</v>
          </cell>
          <cell r="C952" t="str">
            <v>BİTLİSGÜROYMAK</v>
          </cell>
        </row>
        <row r="953">
          <cell r="A953" t="str">
            <v>MERKEZ</v>
          </cell>
          <cell r="C953" t="str">
            <v>BOLUMERKEZ</v>
          </cell>
        </row>
        <row r="954">
          <cell r="A954" t="str">
            <v>DÖRTDİVAN</v>
          </cell>
          <cell r="C954" t="str">
            <v>BOLUDÖRTDİVAN</v>
          </cell>
        </row>
        <row r="955">
          <cell r="A955" t="str">
            <v>GEREDE</v>
          </cell>
          <cell r="C955" t="str">
            <v>BOLUGEREDE</v>
          </cell>
        </row>
        <row r="956">
          <cell r="A956" t="str">
            <v>MUDURNU</v>
          </cell>
          <cell r="C956" t="str">
            <v>BOLUMUDURNU</v>
          </cell>
        </row>
        <row r="957">
          <cell r="A957" t="str">
            <v>MENGEN</v>
          </cell>
          <cell r="C957" t="str">
            <v>BOLUMENGEN</v>
          </cell>
        </row>
        <row r="958">
          <cell r="A958" t="str">
            <v>MERKEZ</v>
          </cell>
          <cell r="C958" t="str">
            <v>BURDURMERKEZ</v>
          </cell>
        </row>
        <row r="959">
          <cell r="A959" t="str">
            <v>BUCAK</v>
          </cell>
          <cell r="C959" t="str">
            <v>BURDURBUCAK</v>
          </cell>
        </row>
        <row r="960">
          <cell r="A960" t="str">
            <v>YEŞİLOVA</v>
          </cell>
          <cell r="C960" t="str">
            <v>BURDURYEŞİLOVA</v>
          </cell>
        </row>
        <row r="961">
          <cell r="A961" t="str">
            <v>GÖLHİSAR</v>
          </cell>
          <cell r="C961" t="str">
            <v>BURDURGÖLHİSAR</v>
          </cell>
        </row>
        <row r="962">
          <cell r="A962" t="str">
            <v>ÇAVDIR</v>
          </cell>
          <cell r="C962" t="str">
            <v>BURDURÇAVDIR</v>
          </cell>
        </row>
        <row r="963">
          <cell r="A963" t="str">
            <v>ALTINYAYLA</v>
          </cell>
          <cell r="C963" t="str">
            <v>BURDURALTINYAYLA</v>
          </cell>
        </row>
        <row r="964">
          <cell r="A964" t="str">
            <v>KARAMANLI</v>
          </cell>
          <cell r="C964" t="str">
            <v>BURDURKARAMANLI</v>
          </cell>
        </row>
        <row r="965">
          <cell r="A965" t="str">
            <v>KEMER</v>
          </cell>
          <cell r="C965" t="str">
            <v>BURDURKEMER</v>
          </cell>
        </row>
        <row r="966">
          <cell r="A966" t="str">
            <v>BURSA BÜYÜKŞEHİR</v>
          </cell>
          <cell r="C966" t="str">
            <v>BURSABURSA BÜYÜKŞEHİR</v>
          </cell>
        </row>
        <row r="967">
          <cell r="A967" t="str">
            <v>MERKEZ</v>
          </cell>
          <cell r="C967" t="str">
            <v>ÇANAKKALEMERKEZ</v>
          </cell>
        </row>
        <row r="968">
          <cell r="A968" t="str">
            <v>BİGA</v>
          </cell>
          <cell r="C968" t="str">
            <v>ÇANAKKALEBİGA</v>
          </cell>
        </row>
        <row r="969">
          <cell r="A969" t="str">
            <v>AYVACIK</v>
          </cell>
          <cell r="C969" t="str">
            <v>ÇANAKKALEAYVACIK</v>
          </cell>
        </row>
        <row r="970">
          <cell r="A970" t="str">
            <v>ÇAN</v>
          </cell>
          <cell r="C970" t="str">
            <v>ÇANAKKALEÇAN</v>
          </cell>
        </row>
        <row r="971">
          <cell r="A971" t="str">
            <v>EZİNE</v>
          </cell>
          <cell r="C971" t="str">
            <v>ÇANAKKALEEZİNE</v>
          </cell>
        </row>
        <row r="972">
          <cell r="A972" t="str">
            <v>GELİBOLU</v>
          </cell>
          <cell r="C972" t="str">
            <v>ÇANAKKALEGELİBOLU</v>
          </cell>
        </row>
        <row r="973">
          <cell r="A973" t="str">
            <v>ECEABAT</v>
          </cell>
          <cell r="C973" t="str">
            <v>ÇANAKKALEECEABAT</v>
          </cell>
        </row>
        <row r="974">
          <cell r="A974" t="str">
            <v>BAYRAMİÇ</v>
          </cell>
          <cell r="C974" t="str">
            <v>ÇANAKKALEBAYRAMİÇ</v>
          </cell>
        </row>
        <row r="975">
          <cell r="A975" t="str">
            <v>BOZCAADA</v>
          </cell>
          <cell r="C975" t="str">
            <v>ÇANAKKALEBOZCAADA</v>
          </cell>
        </row>
        <row r="976">
          <cell r="A976" t="str">
            <v>GÖKÇEADA</v>
          </cell>
          <cell r="C976" t="str">
            <v>ÇANAKKALEGÖKÇEADA</v>
          </cell>
        </row>
        <row r="977">
          <cell r="A977" t="str">
            <v>YENİCE</v>
          </cell>
          <cell r="C977" t="str">
            <v>ÇANAKKALEYENİCE</v>
          </cell>
        </row>
        <row r="978">
          <cell r="A978" t="str">
            <v>ILGAZ</v>
          </cell>
          <cell r="C978" t="str">
            <v>ÇANKIRIILGAZ</v>
          </cell>
        </row>
        <row r="979">
          <cell r="A979" t="str">
            <v>MERKEZ</v>
          </cell>
          <cell r="C979" t="str">
            <v>ÇANKIRIMERKEZ</v>
          </cell>
        </row>
        <row r="980">
          <cell r="A980" t="str">
            <v>ŞABANÖZÜ</v>
          </cell>
          <cell r="C980" t="str">
            <v>ÇANKIRIŞABANÖZÜ</v>
          </cell>
        </row>
        <row r="981">
          <cell r="A981" t="str">
            <v>ELDİVAN</v>
          </cell>
          <cell r="C981" t="str">
            <v>ÇANKIRIELDİVAN</v>
          </cell>
        </row>
        <row r="982">
          <cell r="A982" t="str">
            <v>ÇERKEŞ</v>
          </cell>
          <cell r="C982" t="str">
            <v>ÇANKIRIÇERKEŞ</v>
          </cell>
        </row>
        <row r="983">
          <cell r="A983" t="str">
            <v>ATKARACALAR</v>
          </cell>
          <cell r="C983" t="str">
            <v>ÇANKIRIATKARACALAR</v>
          </cell>
        </row>
        <row r="984">
          <cell r="A984" t="str">
            <v>MERKEZ</v>
          </cell>
          <cell r="C984" t="str">
            <v>ÇORUMMERKEZ</v>
          </cell>
        </row>
        <row r="985">
          <cell r="A985" t="str">
            <v>OSMANCIK</v>
          </cell>
          <cell r="C985" t="str">
            <v>ÇORUMOSMANCIK</v>
          </cell>
        </row>
        <row r="986">
          <cell r="A986" t="str">
            <v>SUNGURLU</v>
          </cell>
          <cell r="C986" t="str">
            <v>ÇORUMSUNGURLU</v>
          </cell>
        </row>
        <row r="987">
          <cell r="A987" t="str">
            <v>ORTAKÖY</v>
          </cell>
          <cell r="C987" t="str">
            <v>ÇORUMORTAKÖY</v>
          </cell>
        </row>
        <row r="988">
          <cell r="A988" t="str">
            <v>KARGI</v>
          </cell>
          <cell r="C988" t="str">
            <v>ÇORUMKARGI</v>
          </cell>
        </row>
        <row r="989">
          <cell r="A989" t="str">
            <v>DENİZLİ BÜYÜKŞEHİR</v>
          </cell>
          <cell r="C989" t="str">
            <v>DENİZLİDENİZLİ BÜYÜKŞEHİR</v>
          </cell>
        </row>
        <row r="990">
          <cell r="A990" t="str">
            <v>DİYARBAKIR BÜYÜKŞEHİR</v>
          </cell>
          <cell r="C990" t="str">
            <v>DİYARBAKIRDİYARBAKIR BÜYÜKŞEHİR</v>
          </cell>
        </row>
        <row r="991">
          <cell r="A991" t="str">
            <v>MERKEZ</v>
          </cell>
          <cell r="C991" t="str">
            <v>DÜZCEMERKEZ</v>
          </cell>
        </row>
        <row r="992">
          <cell r="A992" t="str">
            <v>AKÇAKOCA</v>
          </cell>
          <cell r="C992" t="str">
            <v>DÜZCEAKÇAKOCA</v>
          </cell>
        </row>
        <row r="993">
          <cell r="A993" t="str">
            <v>CUMAYERİ</v>
          </cell>
          <cell r="C993" t="str">
            <v>DÜZCECUMAYERİ</v>
          </cell>
        </row>
        <row r="994">
          <cell r="A994" t="str">
            <v>ÇİLİMLİ</v>
          </cell>
          <cell r="C994" t="str">
            <v>DÜZCEÇİLİMLİ</v>
          </cell>
        </row>
        <row r="995">
          <cell r="A995" t="str">
            <v>GÜMÜŞOVA</v>
          </cell>
          <cell r="C995" t="str">
            <v>DÜZCEGÜMÜŞOVA</v>
          </cell>
        </row>
        <row r="996">
          <cell r="A996" t="str">
            <v>GÖLYAKA</v>
          </cell>
          <cell r="C996" t="str">
            <v>DÜZCEGÖLYAKA</v>
          </cell>
        </row>
        <row r="997">
          <cell r="A997" t="str">
            <v>YIĞILCA</v>
          </cell>
          <cell r="C997" t="str">
            <v>DÜZCEYIĞILCA</v>
          </cell>
        </row>
        <row r="998">
          <cell r="A998" t="str">
            <v>UZUNKÖPRÜ</v>
          </cell>
          <cell r="C998" t="str">
            <v>EDİRNEUZUNKÖPRÜ</v>
          </cell>
        </row>
        <row r="999">
          <cell r="A999" t="str">
            <v>MERKEZ</v>
          </cell>
          <cell r="C999" t="str">
            <v>EDİRNEMERKEZ</v>
          </cell>
        </row>
        <row r="1000">
          <cell r="A1000" t="str">
            <v>KEŞAN</v>
          </cell>
          <cell r="C1000" t="str">
            <v>EDİRNEKEŞAN</v>
          </cell>
        </row>
        <row r="1001">
          <cell r="A1001" t="str">
            <v>ENEZ</v>
          </cell>
          <cell r="C1001" t="str">
            <v>EDİRNEENEZ</v>
          </cell>
        </row>
        <row r="1002">
          <cell r="A1002" t="str">
            <v>HAVSA</v>
          </cell>
          <cell r="C1002" t="str">
            <v>EDİRNEHAVSA</v>
          </cell>
        </row>
        <row r="1003">
          <cell r="A1003" t="str">
            <v>İPSALA</v>
          </cell>
          <cell r="C1003" t="str">
            <v>EDİRNEİPSALA</v>
          </cell>
        </row>
        <row r="1004">
          <cell r="A1004" t="str">
            <v>MERKEZ</v>
          </cell>
          <cell r="C1004" t="str">
            <v>ELAZIĞMERKEZ</v>
          </cell>
        </row>
        <row r="1005">
          <cell r="A1005" t="str">
            <v>ALACAKAYA</v>
          </cell>
          <cell r="C1005" t="str">
            <v>ELAZIĞALACAKAYA</v>
          </cell>
        </row>
        <row r="1006">
          <cell r="A1006" t="str">
            <v>KARAKOÇAN</v>
          </cell>
          <cell r="C1006" t="str">
            <v>ELAZIĞKARAKOÇAN</v>
          </cell>
        </row>
        <row r="1007">
          <cell r="A1007" t="str">
            <v>MERKEZ</v>
          </cell>
          <cell r="C1007" t="str">
            <v>ERZİNCANMERKEZ</v>
          </cell>
        </row>
        <row r="1008">
          <cell r="A1008" t="str">
            <v>KEMALİYE</v>
          </cell>
          <cell r="C1008" t="str">
            <v>ERZİNCANKEMALİYE</v>
          </cell>
        </row>
        <row r="1009">
          <cell r="A1009" t="str">
            <v>ERZURUM BÜYÜKŞEHİR</v>
          </cell>
          <cell r="C1009" t="str">
            <v>ERZURUMERZURUM BÜYÜKŞEHİR</v>
          </cell>
        </row>
        <row r="1010">
          <cell r="A1010" t="str">
            <v>ESKİŞEHİR BÜYÜKŞEHİR</v>
          </cell>
          <cell r="C1010" t="str">
            <v>ESKİŞEHİRESKİŞEHİR BÜYÜKŞEHİR</v>
          </cell>
        </row>
        <row r="1011">
          <cell r="A1011" t="str">
            <v>GAZİANTEP BÜYÜKŞEHİR</v>
          </cell>
          <cell r="C1011" t="str">
            <v>GAZİANTEPGAZİANTEP BÜYÜKŞEHİR</v>
          </cell>
        </row>
        <row r="1012">
          <cell r="A1012" t="str">
            <v>MERKEZ</v>
          </cell>
          <cell r="C1012" t="str">
            <v>GİRESUNMERKEZ</v>
          </cell>
        </row>
        <row r="1013">
          <cell r="A1013" t="str">
            <v>BULANCAK</v>
          </cell>
          <cell r="C1013" t="str">
            <v>GİRESUNBULANCAK</v>
          </cell>
        </row>
        <row r="1014">
          <cell r="A1014" t="str">
            <v>ESPİYE</v>
          </cell>
          <cell r="C1014" t="str">
            <v>GİRESUNESPİYE</v>
          </cell>
        </row>
        <row r="1015">
          <cell r="A1015" t="str">
            <v>TİREBOLU</v>
          </cell>
          <cell r="C1015" t="str">
            <v>GİRESUNTİREBOLU</v>
          </cell>
        </row>
        <row r="1016">
          <cell r="A1016" t="str">
            <v>ŞEBİNKARAHİSAR</v>
          </cell>
          <cell r="C1016" t="str">
            <v>GİRESUNŞEBİNKARAHİSAR</v>
          </cell>
        </row>
        <row r="1017">
          <cell r="A1017" t="str">
            <v>KEŞAP</v>
          </cell>
          <cell r="C1017" t="str">
            <v>GİRESUNKEŞAP</v>
          </cell>
        </row>
        <row r="1018">
          <cell r="A1018" t="str">
            <v>DERELİ</v>
          </cell>
          <cell r="C1018" t="str">
            <v>GİRESUNDERELİ</v>
          </cell>
        </row>
        <row r="1019">
          <cell r="A1019" t="str">
            <v>GÖRELE</v>
          </cell>
          <cell r="C1019" t="str">
            <v>GİRESUNGÖRELE</v>
          </cell>
        </row>
        <row r="1020">
          <cell r="A1020" t="str">
            <v>YAĞLIDERE</v>
          </cell>
          <cell r="C1020" t="str">
            <v>GİRESUNYAĞLIDERE</v>
          </cell>
        </row>
        <row r="1021">
          <cell r="A1021" t="str">
            <v>PİRAZİZ</v>
          </cell>
          <cell r="C1021" t="str">
            <v>GİRESUNPİRAZİZ</v>
          </cell>
        </row>
        <row r="1022">
          <cell r="A1022" t="str">
            <v>EYNESİL</v>
          </cell>
          <cell r="C1022" t="str">
            <v>GİRESUNEYNESİL</v>
          </cell>
        </row>
        <row r="1023">
          <cell r="A1023" t="str">
            <v>MERKEZ</v>
          </cell>
          <cell r="C1023" t="str">
            <v>GÜMÜŞHANEMERKEZ</v>
          </cell>
        </row>
        <row r="1024">
          <cell r="A1024" t="str">
            <v>KÖSE</v>
          </cell>
          <cell r="C1024" t="str">
            <v>GÜMÜŞHANEKÖSE</v>
          </cell>
        </row>
        <row r="1025">
          <cell r="A1025" t="str">
            <v>KELKİT</v>
          </cell>
          <cell r="C1025" t="str">
            <v>GÜMÜŞHANEKELKİT</v>
          </cell>
        </row>
        <row r="1026">
          <cell r="A1026" t="str">
            <v>KÜRTÜN</v>
          </cell>
          <cell r="C1026" t="str">
            <v>GÜMÜŞHANEKÜRTÜN</v>
          </cell>
        </row>
        <row r="1027">
          <cell r="A1027" t="str">
            <v>HATAY BÜYÜKŞEHİR</v>
          </cell>
          <cell r="C1027" t="str">
            <v>HATAYHATAY BÜYÜKŞEHİR</v>
          </cell>
        </row>
        <row r="1028">
          <cell r="A1028" t="str">
            <v>MERKEZ</v>
          </cell>
          <cell r="C1028" t="str">
            <v>IĞDIRMERKEZ</v>
          </cell>
        </row>
        <row r="1029">
          <cell r="A1029" t="str">
            <v>MERKEZ</v>
          </cell>
          <cell r="C1029" t="str">
            <v>ISPARTAMERKEZ</v>
          </cell>
        </row>
        <row r="1030">
          <cell r="A1030" t="str">
            <v>EĞİRDİR</v>
          </cell>
          <cell r="C1030" t="str">
            <v>ISPARTAEĞİRDİR</v>
          </cell>
        </row>
        <row r="1031">
          <cell r="A1031" t="str">
            <v>YALVAÇ</v>
          </cell>
          <cell r="C1031" t="str">
            <v>ISPARTAYALVAÇ</v>
          </cell>
        </row>
        <row r="1032">
          <cell r="A1032" t="str">
            <v>ŞARKİKARAAĞAÇ</v>
          </cell>
          <cell r="C1032" t="str">
            <v>ISPARTAŞARKİKARAAĞAÇ</v>
          </cell>
        </row>
        <row r="1033">
          <cell r="A1033" t="str">
            <v>KEÇİBORLU</v>
          </cell>
          <cell r="C1033" t="str">
            <v>ISPARTAKEÇİBORLU</v>
          </cell>
        </row>
        <row r="1034">
          <cell r="A1034" t="str">
            <v>SENİRKENT</v>
          </cell>
          <cell r="C1034" t="str">
            <v>ISPARTASENİRKENT</v>
          </cell>
        </row>
        <row r="1035">
          <cell r="A1035" t="str">
            <v>ULUBORLU</v>
          </cell>
          <cell r="C1035" t="str">
            <v>ISPARTAULUBORLU</v>
          </cell>
        </row>
        <row r="1036">
          <cell r="A1036" t="str">
            <v>GÖNEN</v>
          </cell>
          <cell r="C1036" t="str">
            <v>ISPARTAGÖNEN</v>
          </cell>
        </row>
        <row r="1037">
          <cell r="A1037" t="str">
            <v>KAHRAMANMARAŞ BÜYÜKŞEHİR</v>
          </cell>
          <cell r="C1037" t="str">
            <v>KAHRAMANMARAŞKAHRAMANMARAŞ BÜYÜKŞEHİR</v>
          </cell>
        </row>
        <row r="1038">
          <cell r="A1038" t="str">
            <v>MERKEZ</v>
          </cell>
          <cell r="C1038" t="str">
            <v>KARABÜKMERKEZ</v>
          </cell>
        </row>
        <row r="1039">
          <cell r="A1039" t="str">
            <v>YENİCE</v>
          </cell>
          <cell r="C1039" t="str">
            <v>KARABÜKYENİCE</v>
          </cell>
        </row>
        <row r="1040">
          <cell r="A1040" t="str">
            <v>EFLANİ</v>
          </cell>
          <cell r="C1040" t="str">
            <v>KARABÜKEFLANİ</v>
          </cell>
        </row>
        <row r="1041">
          <cell r="A1041" t="str">
            <v>MERKEZ</v>
          </cell>
          <cell r="C1041" t="str">
            <v>KARAMANMERKEZ</v>
          </cell>
        </row>
        <row r="1042">
          <cell r="A1042" t="str">
            <v>KAZIMKARABEKİR</v>
          </cell>
          <cell r="C1042" t="str">
            <v>KARAMANKAZIMKARABEKİR</v>
          </cell>
        </row>
        <row r="1043">
          <cell r="A1043" t="str">
            <v>SARIVELİLER</v>
          </cell>
          <cell r="C1043" t="str">
            <v>KARAMANSARIVELİLER</v>
          </cell>
        </row>
        <row r="1044">
          <cell r="A1044" t="str">
            <v>MERKEZ</v>
          </cell>
          <cell r="C1044" t="str">
            <v>KARSMERKEZ</v>
          </cell>
        </row>
        <row r="1045">
          <cell r="A1045" t="str">
            <v>SARIKAMIŞ</v>
          </cell>
          <cell r="C1045" t="str">
            <v>KARSSARIKAMIŞ</v>
          </cell>
        </row>
        <row r="1046">
          <cell r="A1046" t="str">
            <v>AKYAKA</v>
          </cell>
          <cell r="C1046" t="str">
            <v>KARSAKYAKA</v>
          </cell>
        </row>
        <row r="1047">
          <cell r="A1047" t="str">
            <v>SUSUZ</v>
          </cell>
          <cell r="C1047" t="str">
            <v>KARSSUSUZ</v>
          </cell>
        </row>
        <row r="1048">
          <cell r="A1048" t="str">
            <v>MERKEZ</v>
          </cell>
          <cell r="C1048" t="str">
            <v>KASTAMONUMERKEZ</v>
          </cell>
        </row>
        <row r="1049">
          <cell r="A1049" t="str">
            <v>TOSYA</v>
          </cell>
          <cell r="C1049" t="str">
            <v>KASTAMONUTOSYA</v>
          </cell>
        </row>
        <row r="1050">
          <cell r="A1050" t="str">
            <v>DEVREKANİ</v>
          </cell>
          <cell r="C1050" t="str">
            <v>KASTAMONUDEVREKANİ</v>
          </cell>
        </row>
        <row r="1051">
          <cell r="A1051" t="str">
            <v>DADAY</v>
          </cell>
          <cell r="C1051" t="str">
            <v>KASTAMONUDADAY</v>
          </cell>
        </row>
        <row r="1052">
          <cell r="A1052" t="str">
            <v>ARAÇ</v>
          </cell>
          <cell r="C1052" t="str">
            <v>KASTAMONUARAÇ</v>
          </cell>
        </row>
        <row r="1053">
          <cell r="A1053" t="str">
            <v>ABANA</v>
          </cell>
          <cell r="C1053" t="str">
            <v>KASTAMONUABANA</v>
          </cell>
        </row>
        <row r="1054">
          <cell r="A1054" t="str">
            <v>CİDE</v>
          </cell>
          <cell r="C1054" t="str">
            <v>KASTAMONUCİDE</v>
          </cell>
        </row>
        <row r="1055">
          <cell r="A1055" t="str">
            <v>ÇATALZEYTİN</v>
          </cell>
          <cell r="C1055" t="str">
            <v>KASTAMONUÇATALZEYTİN</v>
          </cell>
        </row>
        <row r="1056">
          <cell r="A1056" t="str">
            <v>KAYSERİ BÜYÜKŞEHİR</v>
          </cell>
          <cell r="C1056" t="str">
            <v>KAYSERİKAYSERİ BÜYÜKŞEHİR</v>
          </cell>
        </row>
        <row r="1057">
          <cell r="A1057" t="str">
            <v>MERKEZ</v>
          </cell>
          <cell r="C1057" t="str">
            <v>KIRIKKALEMERKEZ</v>
          </cell>
        </row>
        <row r="1058">
          <cell r="A1058" t="str">
            <v>YAHŞİHAN</v>
          </cell>
          <cell r="C1058" t="str">
            <v>KIRIKKALEYAHŞİHAN</v>
          </cell>
        </row>
        <row r="1059">
          <cell r="A1059" t="str">
            <v>BALIŞEYH</v>
          </cell>
          <cell r="C1059" t="str">
            <v>KIRIKKALEBALIŞEYH</v>
          </cell>
        </row>
        <row r="1060">
          <cell r="A1060" t="str">
            <v>KESKİN</v>
          </cell>
          <cell r="C1060" t="str">
            <v>KIRIKKALEKESKİN</v>
          </cell>
        </row>
        <row r="1061">
          <cell r="A1061" t="str">
            <v>BAHŞILI</v>
          </cell>
          <cell r="C1061" t="str">
            <v>KIRIKKALEBAHŞILI</v>
          </cell>
        </row>
        <row r="1062">
          <cell r="A1062" t="str">
            <v>LÜLEBURGAZ</v>
          </cell>
          <cell r="C1062" t="str">
            <v>KIRKLARELİLÜLEBURGAZ</v>
          </cell>
        </row>
        <row r="1063">
          <cell r="A1063" t="str">
            <v>MERKEZ</v>
          </cell>
          <cell r="C1063" t="str">
            <v>KIRKLARELİMERKEZ</v>
          </cell>
        </row>
        <row r="1064">
          <cell r="A1064" t="str">
            <v>VİZE</v>
          </cell>
          <cell r="C1064" t="str">
            <v>KIRKLARELİVİZE</v>
          </cell>
        </row>
        <row r="1065">
          <cell r="A1065" t="str">
            <v>BABAESKİ</v>
          </cell>
          <cell r="C1065" t="str">
            <v>KIRKLARELİBABAESKİ</v>
          </cell>
        </row>
        <row r="1066">
          <cell r="A1066" t="str">
            <v>DEMİRKÖY</v>
          </cell>
          <cell r="C1066" t="str">
            <v>KIRKLARELİDEMİRKÖY</v>
          </cell>
        </row>
        <row r="1067">
          <cell r="A1067" t="str">
            <v>PINARHİSAR</v>
          </cell>
          <cell r="C1067" t="str">
            <v>KIRKLARELİPINARHİSAR</v>
          </cell>
        </row>
        <row r="1068">
          <cell r="A1068" t="str">
            <v>BOZTEPE</v>
          </cell>
          <cell r="C1068" t="str">
            <v>KIRŞEHİRBOZTEPE</v>
          </cell>
        </row>
        <row r="1069">
          <cell r="A1069" t="str">
            <v>MERKEZ</v>
          </cell>
          <cell r="C1069" t="str">
            <v>KIRŞEHİRMERKEZ</v>
          </cell>
        </row>
        <row r="1070">
          <cell r="A1070" t="str">
            <v>KAMAN</v>
          </cell>
          <cell r="C1070" t="str">
            <v>KIRŞEHİRKAMAN</v>
          </cell>
        </row>
        <row r="1071">
          <cell r="A1071" t="str">
            <v>AKPINAR</v>
          </cell>
          <cell r="C1071" t="str">
            <v>KIRŞEHİRAKPINAR</v>
          </cell>
        </row>
        <row r="1072">
          <cell r="A1072" t="str">
            <v>MERKEZ</v>
          </cell>
          <cell r="C1072" t="str">
            <v>KİLİSMERKEZ</v>
          </cell>
        </row>
        <row r="1073">
          <cell r="A1073" t="str">
            <v>KONYA BÜYÜKŞEHİR</v>
          </cell>
          <cell r="C1073" t="str">
            <v>KONYAKONYA BÜYÜKŞEHİR</v>
          </cell>
        </row>
        <row r="1074">
          <cell r="A1074" t="str">
            <v>MERKEZ</v>
          </cell>
          <cell r="C1074" t="str">
            <v>KÜTAHYAMERKEZ</v>
          </cell>
        </row>
        <row r="1075">
          <cell r="A1075" t="str">
            <v>ALTINTAŞ</v>
          </cell>
          <cell r="C1075" t="str">
            <v>KÜTAHYAALTINTAŞ</v>
          </cell>
        </row>
        <row r="1076">
          <cell r="A1076" t="str">
            <v>TAVŞANLI</v>
          </cell>
          <cell r="C1076" t="str">
            <v>KÜTAHYATAVŞANLI</v>
          </cell>
        </row>
        <row r="1077">
          <cell r="A1077" t="str">
            <v>EMET</v>
          </cell>
          <cell r="C1077" t="str">
            <v>KÜTAHYAEMET</v>
          </cell>
        </row>
        <row r="1078">
          <cell r="A1078" t="str">
            <v>GEDİZ</v>
          </cell>
          <cell r="C1078" t="str">
            <v>KÜTAHYAGEDİZ</v>
          </cell>
        </row>
        <row r="1079">
          <cell r="A1079" t="str">
            <v>SİMAV</v>
          </cell>
          <cell r="C1079" t="str">
            <v>KÜTAHYASİMAV</v>
          </cell>
        </row>
        <row r="1080">
          <cell r="A1080" t="str">
            <v>ASLANAPA</v>
          </cell>
          <cell r="C1080" t="str">
            <v>KÜTAHYAASLANAPA</v>
          </cell>
        </row>
        <row r="1081">
          <cell r="A1081" t="str">
            <v>DOMANİÇ</v>
          </cell>
          <cell r="C1081" t="str">
            <v>KÜTAHYADOMANİÇ</v>
          </cell>
        </row>
        <row r="1082">
          <cell r="A1082" t="str">
            <v>MALATYA BÜYÜKŞEHİR</v>
          </cell>
          <cell r="C1082" t="str">
            <v>MALATYAMALATYA BÜYÜKŞEHİR</v>
          </cell>
        </row>
        <row r="1083">
          <cell r="A1083" t="str">
            <v>MANİSA BÜYÜKŞEHİR</v>
          </cell>
          <cell r="C1083" t="str">
            <v>MANİSAMANİSA BÜYÜKŞEHİR</v>
          </cell>
        </row>
        <row r="1084">
          <cell r="A1084" t="str">
            <v>MARDİN BÜYÜKŞEHİR</v>
          </cell>
          <cell r="C1084" t="str">
            <v>MARDİNMARDİN BÜYÜKŞEHİR</v>
          </cell>
        </row>
        <row r="1085">
          <cell r="A1085" t="str">
            <v>MERSİN BÜYÜKŞEHİR</v>
          </cell>
          <cell r="C1085" t="str">
            <v>MERSİNMERSİN BÜYÜKŞEHİR</v>
          </cell>
        </row>
        <row r="1086">
          <cell r="A1086" t="str">
            <v>MUĞLA BÜYÜKŞEHİR</v>
          </cell>
          <cell r="C1086" t="str">
            <v>MUĞLAMUĞLA BÜYÜKŞEHİR</v>
          </cell>
        </row>
        <row r="1087">
          <cell r="A1087" t="str">
            <v>MERKEZ</v>
          </cell>
          <cell r="C1087" t="str">
            <v>MUŞMERKEZ</v>
          </cell>
        </row>
        <row r="1088">
          <cell r="A1088" t="str">
            <v>VARTO</v>
          </cell>
          <cell r="C1088" t="str">
            <v>MUŞVARTO</v>
          </cell>
        </row>
        <row r="1089">
          <cell r="A1089" t="str">
            <v>MERKEZ</v>
          </cell>
          <cell r="C1089" t="str">
            <v>NEVŞEHİRMERKEZ</v>
          </cell>
        </row>
        <row r="1090">
          <cell r="A1090" t="str">
            <v>ÜRGÜP</v>
          </cell>
          <cell r="C1090" t="str">
            <v>NEVŞEHİRÜRGÜP</v>
          </cell>
        </row>
        <row r="1091">
          <cell r="A1091" t="str">
            <v>GÜLŞEHİR</v>
          </cell>
          <cell r="C1091" t="str">
            <v>NEVŞEHİRGÜLŞEHİR</v>
          </cell>
        </row>
        <row r="1092">
          <cell r="A1092" t="str">
            <v>ACIGÖL</v>
          </cell>
          <cell r="C1092" t="str">
            <v>NEVŞEHİRACIGÖL</v>
          </cell>
        </row>
        <row r="1093">
          <cell r="A1093" t="str">
            <v>AVANOS</v>
          </cell>
          <cell r="C1093" t="str">
            <v>NEVŞEHİRAVANOS</v>
          </cell>
        </row>
        <row r="1094">
          <cell r="A1094" t="str">
            <v>KOZAKLI</v>
          </cell>
          <cell r="C1094" t="str">
            <v>NEVŞEHİRKOZAKLI</v>
          </cell>
        </row>
        <row r="1095">
          <cell r="A1095" t="str">
            <v>HACIBEKTAŞ</v>
          </cell>
          <cell r="C1095" t="str">
            <v>NEVŞEHİRHACIBEKTAŞ</v>
          </cell>
        </row>
        <row r="1096">
          <cell r="A1096" t="str">
            <v>DERİNKUYU</v>
          </cell>
          <cell r="C1096" t="str">
            <v>NEVŞEHİRDERİNKUYU</v>
          </cell>
        </row>
        <row r="1097">
          <cell r="A1097" t="str">
            <v>MERKEZ</v>
          </cell>
          <cell r="C1097" t="str">
            <v>NİĞDEMERKEZ</v>
          </cell>
        </row>
        <row r="1098">
          <cell r="A1098" t="str">
            <v>BOR</v>
          </cell>
          <cell r="C1098" t="str">
            <v>NİĞDEBOR</v>
          </cell>
        </row>
        <row r="1099">
          <cell r="A1099" t="str">
            <v>ALTUNHİSAR</v>
          </cell>
          <cell r="C1099" t="str">
            <v>NİĞDEALTUNHİSAR</v>
          </cell>
        </row>
        <row r="1100">
          <cell r="A1100" t="str">
            <v>ÇİFTLİK</v>
          </cell>
          <cell r="C1100" t="str">
            <v>NİĞDEÇİFTLİK</v>
          </cell>
        </row>
        <row r="1101">
          <cell r="A1101" t="str">
            <v>ORDU BÜYÜKŞEHİR</v>
          </cell>
          <cell r="C1101" t="str">
            <v>ORDUORDU BÜYÜKŞEHİR</v>
          </cell>
        </row>
        <row r="1102">
          <cell r="A1102" t="str">
            <v>MERKEZ</v>
          </cell>
          <cell r="C1102" t="str">
            <v>OSMANİYEMERKEZ</v>
          </cell>
        </row>
        <row r="1103">
          <cell r="A1103" t="str">
            <v>KADİRLİ</v>
          </cell>
          <cell r="C1103" t="str">
            <v>OSMANİYEKADİRLİ</v>
          </cell>
        </row>
        <row r="1104">
          <cell r="A1104" t="str">
            <v>DÜZİÇİ</v>
          </cell>
          <cell r="C1104" t="str">
            <v>OSMANİYEDÜZİÇİ</v>
          </cell>
        </row>
        <row r="1105">
          <cell r="A1105" t="str">
            <v>TOPRAKKALE</v>
          </cell>
          <cell r="C1105" t="str">
            <v>OSMANİYETOPRAKKALE</v>
          </cell>
        </row>
        <row r="1106">
          <cell r="A1106" t="str">
            <v>HASANBEYLİ</v>
          </cell>
          <cell r="C1106" t="str">
            <v>OSMANİYEHASANBEYLİ</v>
          </cell>
        </row>
        <row r="1107">
          <cell r="A1107" t="str">
            <v>SUMBAS</v>
          </cell>
          <cell r="C1107" t="str">
            <v>OSMANİYESUMBAS</v>
          </cell>
        </row>
        <row r="1108">
          <cell r="A1108" t="str">
            <v>MERKEZ</v>
          </cell>
          <cell r="C1108" t="str">
            <v>RİZEMERKEZ</v>
          </cell>
        </row>
        <row r="1109">
          <cell r="A1109" t="str">
            <v>KALKANDERE</v>
          </cell>
          <cell r="C1109" t="str">
            <v>RİZEKALKANDERE</v>
          </cell>
        </row>
        <row r="1110">
          <cell r="A1110" t="str">
            <v>ARDEŞEN</v>
          </cell>
          <cell r="C1110" t="str">
            <v>RİZEARDEŞEN</v>
          </cell>
        </row>
        <row r="1111">
          <cell r="A1111" t="str">
            <v>ÇAYELİ</v>
          </cell>
          <cell r="C1111" t="str">
            <v>RİZEÇAYELİ</v>
          </cell>
        </row>
        <row r="1112">
          <cell r="A1112" t="str">
            <v>ÇAMLIHEMŞİN</v>
          </cell>
          <cell r="C1112" t="str">
            <v>RİZEÇAMLIHEMŞİN</v>
          </cell>
        </row>
        <row r="1113">
          <cell r="A1113" t="str">
            <v>FINDIKLI</v>
          </cell>
          <cell r="C1113" t="str">
            <v>RİZEFINDIKLI</v>
          </cell>
        </row>
        <row r="1114">
          <cell r="A1114" t="str">
            <v>İKİZDERE</v>
          </cell>
          <cell r="C1114" t="str">
            <v>RİZEİKİZDERE</v>
          </cell>
        </row>
        <row r="1115">
          <cell r="A1115" t="str">
            <v>İYİDERE</v>
          </cell>
          <cell r="C1115" t="str">
            <v>RİZEİYİDERE</v>
          </cell>
        </row>
        <row r="1116">
          <cell r="A1116" t="str">
            <v>SAMSUN BÜYÜKŞEHİR</v>
          </cell>
          <cell r="C1116" t="str">
            <v>SAMSUNSAMSUN BÜYÜKŞEHİR</v>
          </cell>
        </row>
        <row r="1117">
          <cell r="A1117" t="str">
            <v>MERKEZ</v>
          </cell>
          <cell r="C1117" t="str">
            <v>SİİRTMERKEZ</v>
          </cell>
        </row>
        <row r="1118">
          <cell r="A1118" t="str">
            <v>KURTALAN</v>
          </cell>
          <cell r="C1118" t="str">
            <v>SİİRTKURTALAN</v>
          </cell>
        </row>
        <row r="1119">
          <cell r="A1119" t="str">
            <v>GERZE</v>
          </cell>
          <cell r="C1119" t="str">
            <v>SİNOPGERZE</v>
          </cell>
        </row>
        <row r="1120">
          <cell r="A1120" t="str">
            <v>MERKEZ</v>
          </cell>
          <cell r="C1120" t="str">
            <v>SİNOPMERKEZ</v>
          </cell>
        </row>
        <row r="1121">
          <cell r="A1121" t="str">
            <v>ERFELEK</v>
          </cell>
          <cell r="C1121" t="str">
            <v>SİNOPERFELEK</v>
          </cell>
        </row>
        <row r="1122">
          <cell r="A1122" t="str">
            <v>AYANCIK</v>
          </cell>
          <cell r="C1122" t="str">
            <v>SİNOPAYANCIK</v>
          </cell>
        </row>
        <row r="1123">
          <cell r="A1123" t="str">
            <v>TÜRKELİ</v>
          </cell>
          <cell r="C1123" t="str">
            <v>SİNOPTÜRKELİ</v>
          </cell>
        </row>
        <row r="1124">
          <cell r="A1124" t="str">
            <v>BOYABAT</v>
          </cell>
          <cell r="C1124" t="str">
            <v>SİNOPBOYABAT</v>
          </cell>
        </row>
        <row r="1125">
          <cell r="A1125" t="str">
            <v>MERKEZ</v>
          </cell>
          <cell r="C1125" t="str">
            <v>SİVASMERKEZ</v>
          </cell>
        </row>
        <row r="1126">
          <cell r="A1126" t="str">
            <v>YILDIZELİ</v>
          </cell>
          <cell r="C1126" t="str">
            <v>SİVASYILDIZELİ</v>
          </cell>
        </row>
        <row r="1127">
          <cell r="A1127" t="str">
            <v>GÜRÜN</v>
          </cell>
          <cell r="C1127" t="str">
            <v>SİVASGÜRÜN</v>
          </cell>
        </row>
        <row r="1128">
          <cell r="A1128" t="str">
            <v>SUŞEHRİ</v>
          </cell>
          <cell r="C1128" t="str">
            <v>SİVASSUŞEHRİ</v>
          </cell>
        </row>
        <row r="1129">
          <cell r="A1129" t="str">
            <v>İMRANLI</v>
          </cell>
          <cell r="C1129" t="str">
            <v>SİVASİMRANLI</v>
          </cell>
        </row>
        <row r="1130">
          <cell r="A1130" t="str">
            <v>AKINCILAR</v>
          </cell>
          <cell r="C1130" t="str">
            <v>SİVASAKINCILAR</v>
          </cell>
        </row>
        <row r="1131">
          <cell r="A1131" t="str">
            <v>KOYULHİSAR</v>
          </cell>
          <cell r="C1131" t="str">
            <v>SİVASKOYULHİSAR</v>
          </cell>
        </row>
        <row r="1132">
          <cell r="A1132" t="str">
            <v>GEMEREK</v>
          </cell>
          <cell r="C1132" t="str">
            <v>SİVASGEMEREK</v>
          </cell>
        </row>
        <row r="1133">
          <cell r="A1133" t="str">
            <v>ŞARKIŞLA</v>
          </cell>
          <cell r="C1133" t="str">
            <v>SİVASŞARKIŞLA</v>
          </cell>
        </row>
        <row r="1134">
          <cell r="A1134" t="str">
            <v>DİVRİĞİ</v>
          </cell>
          <cell r="C1134" t="str">
            <v>SİVASDİVRİĞİ</v>
          </cell>
        </row>
        <row r="1135">
          <cell r="A1135" t="str">
            <v>ŞANLIURFA BÜYÜKŞEHİR</v>
          </cell>
          <cell r="C1135" t="str">
            <v>ŞANLIURFAŞANLIURFA BÜYÜKŞEHİR</v>
          </cell>
        </row>
        <row r="1136">
          <cell r="A1136" t="str">
            <v>TEKİRDAĞ BÜYÜKŞEHİR</v>
          </cell>
          <cell r="C1136" t="str">
            <v>TEKİRDAĞTEKİRDAĞ BÜYÜKŞEHİR</v>
          </cell>
        </row>
        <row r="1137">
          <cell r="A1137" t="str">
            <v>MERKEZ</v>
          </cell>
          <cell r="C1137" t="str">
            <v>TOKATMERKEZ</v>
          </cell>
        </row>
        <row r="1138">
          <cell r="A1138" t="str">
            <v>ERBAA</v>
          </cell>
          <cell r="C1138" t="str">
            <v>TOKATERBAA</v>
          </cell>
        </row>
        <row r="1139">
          <cell r="A1139" t="str">
            <v>TURHAL</v>
          </cell>
          <cell r="C1139" t="str">
            <v>TOKATTURHAL</v>
          </cell>
        </row>
        <row r="1140">
          <cell r="A1140" t="str">
            <v>ZİLE</v>
          </cell>
          <cell r="C1140" t="str">
            <v>TOKATZİLE</v>
          </cell>
        </row>
        <row r="1141">
          <cell r="A1141" t="str">
            <v>NİKSAR</v>
          </cell>
          <cell r="C1141" t="str">
            <v>TOKATNİKSAR</v>
          </cell>
        </row>
        <row r="1142">
          <cell r="A1142" t="str">
            <v>REŞADİYE</v>
          </cell>
          <cell r="C1142" t="str">
            <v>TOKATREŞADİYE</v>
          </cell>
        </row>
        <row r="1143">
          <cell r="A1143" t="str">
            <v>PAZAR</v>
          </cell>
          <cell r="C1143" t="str">
            <v>TOKATPAZAR</v>
          </cell>
        </row>
        <row r="1144">
          <cell r="A1144" t="str">
            <v>ALMUS</v>
          </cell>
          <cell r="C1144" t="str">
            <v>TOKATALMUS</v>
          </cell>
        </row>
        <row r="1145">
          <cell r="A1145" t="str">
            <v>TRABZON BÜYÜKŞEHİR</v>
          </cell>
          <cell r="C1145" t="str">
            <v>TRABZONTRABZON BÜYÜKŞEHİR</v>
          </cell>
        </row>
        <row r="1146">
          <cell r="A1146" t="str">
            <v>MERKEZ</v>
          </cell>
          <cell r="C1146" t="str">
            <v>TUNCELİMERKEZ</v>
          </cell>
        </row>
        <row r="1147">
          <cell r="A1147" t="str">
            <v>HOZAT</v>
          </cell>
          <cell r="C1147" t="str">
            <v>TUNCELİHOZAT</v>
          </cell>
        </row>
        <row r="1148">
          <cell r="A1148" t="str">
            <v>MERKEZ</v>
          </cell>
          <cell r="C1148" t="str">
            <v>UŞAKMERKEZ</v>
          </cell>
        </row>
        <row r="1149">
          <cell r="A1149" t="str">
            <v>EŞME</v>
          </cell>
          <cell r="C1149" t="str">
            <v>UŞAKEŞME</v>
          </cell>
        </row>
        <row r="1150">
          <cell r="A1150" t="str">
            <v>KARAHALLI</v>
          </cell>
          <cell r="C1150" t="str">
            <v>UŞAKKARAHALLI</v>
          </cell>
        </row>
        <row r="1151">
          <cell r="A1151" t="str">
            <v>BANAZ</v>
          </cell>
          <cell r="C1151" t="str">
            <v>UŞAKBANAZ</v>
          </cell>
        </row>
        <row r="1152">
          <cell r="A1152" t="str">
            <v>ULUBEY</v>
          </cell>
          <cell r="C1152" t="str">
            <v>UŞAKULUBEY</v>
          </cell>
        </row>
        <row r="1153">
          <cell r="A1153" t="str">
            <v>VAN BÜYÜKŞEHİR</v>
          </cell>
          <cell r="C1153" t="str">
            <v>VANVAN BÜYÜKŞEHİR</v>
          </cell>
        </row>
        <row r="1154">
          <cell r="A1154" t="str">
            <v>MERKEZ</v>
          </cell>
          <cell r="C1154" t="str">
            <v>YALOVAMERKEZ</v>
          </cell>
        </row>
        <row r="1155">
          <cell r="A1155" t="str">
            <v>ÇINARCIK</v>
          </cell>
          <cell r="C1155" t="str">
            <v>YALOVAÇINARCIK</v>
          </cell>
        </row>
        <row r="1156">
          <cell r="A1156" t="str">
            <v>ÇİFTLİKKÖY</v>
          </cell>
          <cell r="C1156" t="str">
            <v>YALOVAÇİFTLİKKÖY</v>
          </cell>
        </row>
        <row r="1157">
          <cell r="A1157" t="str">
            <v>ALTINOVA</v>
          </cell>
          <cell r="C1157" t="str">
            <v>YALOVAALTINOVA</v>
          </cell>
        </row>
        <row r="1158">
          <cell r="A1158" t="str">
            <v>TERMAL</v>
          </cell>
          <cell r="C1158" t="str">
            <v>YALOVATERMAL</v>
          </cell>
        </row>
        <row r="1159">
          <cell r="A1159" t="str">
            <v>BOĞAZLIYAN</v>
          </cell>
          <cell r="C1159" t="str">
            <v>YOZGATBOĞAZLIYAN</v>
          </cell>
        </row>
        <row r="1160">
          <cell r="A1160" t="str">
            <v>SORGUN</v>
          </cell>
          <cell r="C1160" t="str">
            <v>YOZGATSORGUN</v>
          </cell>
        </row>
        <row r="1161">
          <cell r="A1161" t="str">
            <v>MERKEZ</v>
          </cell>
          <cell r="C1161" t="str">
            <v>YOZGATMERKEZ</v>
          </cell>
        </row>
        <row r="1162">
          <cell r="A1162" t="str">
            <v>YENİFAKILI</v>
          </cell>
          <cell r="C1162" t="str">
            <v>YOZGATYENİFAKILI</v>
          </cell>
        </row>
        <row r="1163">
          <cell r="A1163" t="str">
            <v>ÇEKEREK</v>
          </cell>
          <cell r="C1163" t="str">
            <v>YOZGATÇEKEREK</v>
          </cell>
        </row>
        <row r="1164">
          <cell r="A1164" t="str">
            <v>YERKÖY</v>
          </cell>
          <cell r="C1164" t="str">
            <v>YOZGATYERKÖY</v>
          </cell>
        </row>
        <row r="1165">
          <cell r="A1165" t="str">
            <v>KADIŞEHRİ</v>
          </cell>
          <cell r="C1165" t="str">
            <v>YOZGATKADIŞEHRİ</v>
          </cell>
        </row>
        <row r="1166">
          <cell r="A1166" t="str">
            <v>ŞEFAATLİ</v>
          </cell>
          <cell r="C1166" t="str">
            <v>YOZGATŞEFAATLİ</v>
          </cell>
        </row>
        <row r="1167">
          <cell r="A1167" t="str">
            <v>AYDINCIK</v>
          </cell>
          <cell r="C1167" t="str">
            <v>YOZGATAYDINCIK</v>
          </cell>
        </row>
        <row r="1168">
          <cell r="A1168" t="str">
            <v>EREĞLİ</v>
          </cell>
          <cell r="C1168" t="str">
            <v>ZONGULDAKEREĞLİ</v>
          </cell>
        </row>
        <row r="1169">
          <cell r="A1169" t="str">
            <v>MERKEZ</v>
          </cell>
          <cell r="C1169" t="str">
            <v>ZONGULDAKMERKEZ</v>
          </cell>
        </row>
        <row r="1170">
          <cell r="A1170" t="str">
            <v>ÇAYCUMA</v>
          </cell>
          <cell r="C1170" t="str">
            <v>ZONGULDAKÇAYCUMA</v>
          </cell>
        </row>
        <row r="1171">
          <cell r="A1171" t="str">
            <v>KİLİMLİ</v>
          </cell>
          <cell r="C1171" t="str">
            <v>ZONGULDAKKİLİMLİ</v>
          </cell>
        </row>
        <row r="1172">
          <cell r="A1172" t="str">
            <v>DEVREK</v>
          </cell>
          <cell r="C1172" t="str">
            <v>ZONGULDAKDEVREK</v>
          </cell>
        </row>
        <row r="1173">
          <cell r="A1173" t="str">
            <v>ALAPLI</v>
          </cell>
          <cell r="C1173" t="str">
            <v>ZONGULDAKALAPLI</v>
          </cell>
        </row>
        <row r="1174">
          <cell r="A1174" t="str">
            <v>GÖKÇEBEY</v>
          </cell>
          <cell r="C1174" t="str">
            <v>ZONGULDAKGÖKÇEBEY</v>
          </cell>
        </row>
        <row r="1175">
          <cell r="A1175" t="str">
            <v>KOZLU</v>
          </cell>
          <cell r="C1175" t="str">
            <v>ZONGULDAKKOZLU</v>
          </cell>
        </row>
        <row r="1176">
          <cell r="C1176"/>
        </row>
        <row r="1177">
          <cell r="A1177"/>
          <cell r="C1177"/>
          <cell r="G1177"/>
        </row>
        <row r="1178">
          <cell r="A1178" t="str">
            <v>ADANA BÜYÜKŞEHİR</v>
          </cell>
          <cell r="C1178" t="str">
            <v>ADANAADANA BÜYÜKŞEHİR</v>
          </cell>
        </row>
        <row r="1179">
          <cell r="A1179" t="str">
            <v>MERKEZ</v>
          </cell>
          <cell r="C1179" t="str">
            <v>ADIYAMANMERKEZ</v>
          </cell>
        </row>
        <row r="1180">
          <cell r="A1180" t="str">
            <v>KAHTA</v>
          </cell>
          <cell r="C1180" t="str">
            <v>ADIYAMANKAHTA</v>
          </cell>
        </row>
        <row r="1181">
          <cell r="A1181" t="str">
            <v>BESNİ</v>
          </cell>
          <cell r="C1181" t="str">
            <v>ADIYAMANBESNİ</v>
          </cell>
        </row>
        <row r="1182">
          <cell r="A1182" t="str">
            <v>ÇELİKHAN</v>
          </cell>
          <cell r="C1182" t="str">
            <v>ADIYAMANÇELİKHAN</v>
          </cell>
        </row>
        <row r="1183">
          <cell r="A1183" t="str">
            <v>GÖLBAŞI</v>
          </cell>
          <cell r="C1183" t="str">
            <v>ADIYAMANGÖLBAŞI</v>
          </cell>
        </row>
        <row r="1184">
          <cell r="A1184" t="str">
            <v>MERKEZ</v>
          </cell>
          <cell r="C1184" t="str">
            <v>AFYONKARAHİSARMERKEZ</v>
          </cell>
        </row>
        <row r="1185">
          <cell r="A1185" t="str">
            <v>ÇAY</v>
          </cell>
          <cell r="C1185" t="str">
            <v>AFYONKARAHİSARÇAY</v>
          </cell>
        </row>
        <row r="1186">
          <cell r="A1186" t="str">
            <v>ŞUHUT</v>
          </cell>
          <cell r="C1186" t="str">
            <v>AFYONKARAHİSARŞUHUT</v>
          </cell>
        </row>
        <row r="1187">
          <cell r="A1187" t="str">
            <v>İSCEHİSAR</v>
          </cell>
          <cell r="C1187" t="str">
            <v>AFYONKARAHİSARİSCEHİSAR</v>
          </cell>
        </row>
        <row r="1188">
          <cell r="A1188" t="str">
            <v>DİNAR</v>
          </cell>
          <cell r="C1188" t="str">
            <v>AFYONKARAHİSARDİNAR</v>
          </cell>
        </row>
        <row r="1189">
          <cell r="A1189" t="str">
            <v>DAZKIRI</v>
          </cell>
          <cell r="C1189" t="str">
            <v>AFYONKARAHİSARDAZKIRI</v>
          </cell>
        </row>
        <row r="1190">
          <cell r="A1190" t="str">
            <v>İHSANİYE</v>
          </cell>
          <cell r="C1190" t="str">
            <v>AFYONKARAHİSARİHSANİYE</v>
          </cell>
        </row>
        <row r="1191">
          <cell r="A1191" t="str">
            <v>SULTANDAĞI</v>
          </cell>
          <cell r="C1191" t="str">
            <v>AFYONKARAHİSARSULTANDAĞI</v>
          </cell>
        </row>
        <row r="1192">
          <cell r="A1192" t="str">
            <v>EMİRDAĞ</v>
          </cell>
          <cell r="C1192" t="str">
            <v>AFYONKARAHİSAREMİRDAĞ</v>
          </cell>
        </row>
        <row r="1193">
          <cell r="A1193" t="str">
            <v>SANDIKLI</v>
          </cell>
          <cell r="C1193" t="str">
            <v>AFYONKARAHİSARSANDIKLI</v>
          </cell>
        </row>
        <row r="1194">
          <cell r="A1194" t="str">
            <v>SİNANPAŞA</v>
          </cell>
          <cell r="C1194" t="str">
            <v>AFYONKARAHİSARSİNANPAŞA</v>
          </cell>
        </row>
        <row r="1195">
          <cell r="A1195" t="str">
            <v>HOCALAR</v>
          </cell>
          <cell r="C1195" t="str">
            <v>AFYONKARAHİSARHOCALAR</v>
          </cell>
        </row>
        <row r="1196">
          <cell r="A1196" t="str">
            <v>MERKEZ</v>
          </cell>
          <cell r="C1196" t="str">
            <v>AĞRIMERKEZ</v>
          </cell>
        </row>
        <row r="1197">
          <cell r="A1197" t="str">
            <v>PATNOS</v>
          </cell>
          <cell r="C1197" t="str">
            <v>AĞRIPATNOS</v>
          </cell>
        </row>
        <row r="1198">
          <cell r="A1198" t="str">
            <v>DOĞUBAYAZIT</v>
          </cell>
          <cell r="C1198" t="str">
            <v>AĞRIDOĞUBAYAZIT</v>
          </cell>
        </row>
        <row r="1199">
          <cell r="A1199" t="str">
            <v>MERKEZ</v>
          </cell>
          <cell r="C1199" t="str">
            <v>AKSARAYMERKEZ</v>
          </cell>
        </row>
        <row r="1200">
          <cell r="A1200" t="str">
            <v>SULTANHANI</v>
          </cell>
          <cell r="C1200" t="str">
            <v>AKSARAYSULTANHANI</v>
          </cell>
        </row>
        <row r="1201">
          <cell r="A1201" t="str">
            <v>AĞAÇÖREN</v>
          </cell>
          <cell r="C1201" t="str">
            <v>AKSARAYAĞAÇÖREN</v>
          </cell>
        </row>
        <row r="1202">
          <cell r="A1202" t="str">
            <v>ESKİL</v>
          </cell>
          <cell r="C1202" t="str">
            <v>AKSARAYESKİL</v>
          </cell>
        </row>
        <row r="1203">
          <cell r="A1203" t="str">
            <v>ORTAKÖY</v>
          </cell>
          <cell r="C1203" t="str">
            <v>AKSARAYORTAKÖY</v>
          </cell>
        </row>
        <row r="1204">
          <cell r="A1204" t="str">
            <v>GÜZELYURT</v>
          </cell>
          <cell r="C1204" t="str">
            <v>AKSARAYGÜZELYURT</v>
          </cell>
        </row>
        <row r="1205">
          <cell r="A1205" t="str">
            <v>MERKEZ</v>
          </cell>
          <cell r="C1205" t="str">
            <v>AMASYAMERKEZ</v>
          </cell>
        </row>
        <row r="1206">
          <cell r="A1206" t="str">
            <v>MERZİFON</v>
          </cell>
          <cell r="C1206" t="str">
            <v>AMASYAMERZİFON</v>
          </cell>
        </row>
        <row r="1207">
          <cell r="A1207" t="str">
            <v>GÜMÜŞHACIKÖY</v>
          </cell>
          <cell r="C1207" t="str">
            <v>AMASYAGÜMÜŞHACIKÖY</v>
          </cell>
        </row>
        <row r="1208">
          <cell r="A1208" t="str">
            <v>GÖYNÜCEK</v>
          </cell>
          <cell r="C1208" t="str">
            <v>AMASYAGÖYNÜCEK</v>
          </cell>
        </row>
        <row r="1209">
          <cell r="A1209" t="str">
            <v>TAŞOVA</v>
          </cell>
          <cell r="C1209" t="str">
            <v>AMASYATAŞOVA</v>
          </cell>
        </row>
        <row r="1210">
          <cell r="A1210" t="str">
            <v>SULUOVA</v>
          </cell>
          <cell r="C1210" t="str">
            <v>AMASYASULUOVA</v>
          </cell>
        </row>
        <row r="1211">
          <cell r="A1211" t="str">
            <v>ANKARA BÜYÜKŞEHİR</v>
          </cell>
          <cell r="C1211" t="str">
            <v>ANKARAANKARA BÜYÜKŞEHİR</v>
          </cell>
        </row>
        <row r="1212">
          <cell r="A1212" t="str">
            <v>ANTALYA BÜYÜKŞEHİR</v>
          </cell>
          <cell r="C1212" t="str">
            <v>ANTALYAANTALYA BÜYÜKŞEHİR</v>
          </cell>
        </row>
        <row r="1213">
          <cell r="A1213" t="str">
            <v>MERKEZ</v>
          </cell>
          <cell r="C1213" t="str">
            <v>ARDAHANMERKEZ</v>
          </cell>
        </row>
        <row r="1214">
          <cell r="A1214" t="str">
            <v>GÖLE</v>
          </cell>
          <cell r="C1214" t="str">
            <v>ARDAHANGÖLE</v>
          </cell>
        </row>
        <row r="1215">
          <cell r="A1215" t="str">
            <v>HANAK</v>
          </cell>
          <cell r="C1215" t="str">
            <v>ARDAHANHANAK</v>
          </cell>
        </row>
        <row r="1216">
          <cell r="A1216" t="str">
            <v>POSOF</v>
          </cell>
          <cell r="C1216" t="str">
            <v>ARDAHANPOSOF</v>
          </cell>
        </row>
        <row r="1217">
          <cell r="A1217" t="str">
            <v>DAMAL</v>
          </cell>
          <cell r="C1217" t="str">
            <v>ARDAHANDAMAL</v>
          </cell>
        </row>
        <row r="1218">
          <cell r="A1218" t="str">
            <v>HOPA</v>
          </cell>
          <cell r="C1218" t="str">
            <v>ARTVİNHOPA</v>
          </cell>
        </row>
        <row r="1219">
          <cell r="A1219" t="str">
            <v>MERKEZ</v>
          </cell>
          <cell r="C1219" t="str">
            <v>ARTVİNMERKEZ</v>
          </cell>
        </row>
        <row r="1220">
          <cell r="A1220" t="str">
            <v>YUSUFELİ</v>
          </cell>
          <cell r="C1220" t="str">
            <v>ARTVİNYUSUFELİ</v>
          </cell>
        </row>
        <row r="1221">
          <cell r="A1221" t="str">
            <v>ARHAVİ</v>
          </cell>
          <cell r="C1221" t="str">
            <v>ARTVİNARHAVİ</v>
          </cell>
        </row>
        <row r="1222">
          <cell r="A1222" t="str">
            <v>AYDIN BÜYÜKŞEHİR</v>
          </cell>
          <cell r="C1222" t="str">
            <v>AYDINAYDIN BÜYÜKŞEHİR</v>
          </cell>
        </row>
        <row r="1223">
          <cell r="A1223" t="str">
            <v>BALIKESİR BÜYÜKŞEHİR</v>
          </cell>
          <cell r="C1223" t="str">
            <v>BALIKESİRBALIKESİR BÜYÜKŞEHİR</v>
          </cell>
        </row>
        <row r="1224">
          <cell r="A1224" t="str">
            <v>ULUS</v>
          </cell>
          <cell r="C1224" t="str">
            <v>BARTINULUS</v>
          </cell>
        </row>
        <row r="1225">
          <cell r="A1225" t="str">
            <v>MERKEZ</v>
          </cell>
          <cell r="C1225" t="str">
            <v>BARTINMERKEZ</v>
          </cell>
        </row>
        <row r="1226">
          <cell r="A1226" t="str">
            <v>KURUCAŞİLE</v>
          </cell>
          <cell r="C1226" t="str">
            <v>BARTINKURUCAŞİLE</v>
          </cell>
        </row>
        <row r="1227">
          <cell r="A1227" t="str">
            <v>AMASRA</v>
          </cell>
          <cell r="C1227" t="str">
            <v>BARTINAMASRA</v>
          </cell>
        </row>
        <row r="1228">
          <cell r="A1228" t="str">
            <v>BEŞİRİ</v>
          </cell>
          <cell r="C1228" t="str">
            <v>BATMANBEŞİRİ</v>
          </cell>
        </row>
        <row r="1229">
          <cell r="A1229" t="str">
            <v>MERKEZ</v>
          </cell>
          <cell r="C1229" t="str">
            <v>BATMANMERKEZ</v>
          </cell>
        </row>
        <row r="1230">
          <cell r="A1230" t="str">
            <v>GERCÜŞ</v>
          </cell>
          <cell r="C1230" t="str">
            <v>BATMANGERCÜŞ</v>
          </cell>
        </row>
        <row r="1231">
          <cell r="A1231" t="str">
            <v>MERKEZ</v>
          </cell>
          <cell r="C1231" t="str">
            <v>BAYBURTMERKEZ</v>
          </cell>
        </row>
        <row r="1232">
          <cell r="A1232" t="str">
            <v>BOZÜYÜK</v>
          </cell>
          <cell r="C1232" t="str">
            <v>BİLECİKBOZÜYÜK</v>
          </cell>
        </row>
        <row r="1233">
          <cell r="A1233" t="str">
            <v>SÖĞÜT</v>
          </cell>
          <cell r="C1233" t="str">
            <v>BİLECİKSÖĞÜT</v>
          </cell>
        </row>
        <row r="1234">
          <cell r="A1234" t="str">
            <v>MERKEZ</v>
          </cell>
          <cell r="C1234" t="str">
            <v>BİLECİKMERKEZ</v>
          </cell>
        </row>
        <row r="1235">
          <cell r="A1235" t="str">
            <v>OSMANELİ</v>
          </cell>
          <cell r="C1235" t="str">
            <v>BİLECİKOSMANELİ</v>
          </cell>
        </row>
        <row r="1236">
          <cell r="A1236" t="str">
            <v>GÖLPAZARI</v>
          </cell>
          <cell r="C1236" t="str">
            <v>BİLECİKGÖLPAZARI</v>
          </cell>
        </row>
        <row r="1237">
          <cell r="A1237" t="str">
            <v>MERKEZ</v>
          </cell>
          <cell r="C1237" t="str">
            <v>BİNGÖLMERKEZ</v>
          </cell>
        </row>
        <row r="1238">
          <cell r="A1238" t="str">
            <v>KARLIOVA</v>
          </cell>
          <cell r="C1238" t="str">
            <v>BİNGÖLKARLIOVA</v>
          </cell>
        </row>
        <row r="1239">
          <cell r="A1239" t="str">
            <v>MERKEZ</v>
          </cell>
          <cell r="C1239" t="str">
            <v>BİTLİSMERKEZ</v>
          </cell>
        </row>
        <row r="1240">
          <cell r="A1240" t="str">
            <v>TATVAN</v>
          </cell>
          <cell r="C1240" t="str">
            <v>BİTLİSTATVAN</v>
          </cell>
        </row>
        <row r="1241">
          <cell r="A1241" t="str">
            <v>AHLAT</v>
          </cell>
          <cell r="C1241" t="str">
            <v>BİTLİSAHLAT</v>
          </cell>
        </row>
        <row r="1242">
          <cell r="A1242" t="str">
            <v>MERKEZ</v>
          </cell>
          <cell r="C1242" t="str">
            <v>BOLUMERKEZ</v>
          </cell>
        </row>
        <row r="1243">
          <cell r="A1243" t="str">
            <v>GEREDE</v>
          </cell>
          <cell r="C1243" t="str">
            <v>BOLUGEREDE</v>
          </cell>
        </row>
        <row r="1244">
          <cell r="A1244" t="str">
            <v>GÖYNÜK</v>
          </cell>
          <cell r="C1244" t="str">
            <v>BOLUGÖYNÜK</v>
          </cell>
        </row>
        <row r="1245">
          <cell r="A1245" t="str">
            <v>YENİÇAĞA</v>
          </cell>
          <cell r="C1245" t="str">
            <v>BOLUYENİÇAĞA</v>
          </cell>
        </row>
        <row r="1246">
          <cell r="A1246" t="str">
            <v>MERKEZ</v>
          </cell>
          <cell r="C1246" t="str">
            <v>BURDURMERKEZ</v>
          </cell>
        </row>
        <row r="1247">
          <cell r="A1247" t="str">
            <v>ÇAVDIR</v>
          </cell>
          <cell r="C1247" t="str">
            <v>BURDURÇAVDIR</v>
          </cell>
        </row>
        <row r="1248">
          <cell r="A1248" t="str">
            <v>GÖLHİSAR</v>
          </cell>
          <cell r="C1248" t="str">
            <v>BURDURGÖLHİSAR</v>
          </cell>
        </row>
        <row r="1249">
          <cell r="A1249" t="str">
            <v>KARAMANLI</v>
          </cell>
          <cell r="C1249" t="str">
            <v>BURDURKARAMANLI</v>
          </cell>
        </row>
        <row r="1250">
          <cell r="A1250" t="str">
            <v>AYVACIK</v>
          </cell>
          <cell r="C1250" t="str">
            <v>ÇANAKKALEAYVACIK</v>
          </cell>
        </row>
        <row r="1251">
          <cell r="A1251" t="str">
            <v>MERKEZ</v>
          </cell>
          <cell r="C1251" t="str">
            <v>ÇANAKKALEMERKEZ</v>
          </cell>
        </row>
        <row r="1252">
          <cell r="A1252" t="str">
            <v>BİGA</v>
          </cell>
          <cell r="C1252" t="str">
            <v>ÇANAKKALEBİGA</v>
          </cell>
        </row>
        <row r="1253">
          <cell r="A1253" t="str">
            <v>LAPSEKİ</v>
          </cell>
          <cell r="C1253" t="str">
            <v>ÇANAKKALELAPSEKİ</v>
          </cell>
        </row>
        <row r="1254">
          <cell r="A1254" t="str">
            <v>BOZCAADA</v>
          </cell>
          <cell r="C1254" t="str">
            <v>ÇANAKKALEBOZCAADA</v>
          </cell>
        </row>
        <row r="1255">
          <cell r="A1255" t="str">
            <v>ECEABAT</v>
          </cell>
          <cell r="C1255" t="str">
            <v>ÇANAKKALEECEABAT</v>
          </cell>
        </row>
        <row r="1256">
          <cell r="A1256" t="str">
            <v>EZİNE</v>
          </cell>
          <cell r="C1256" t="str">
            <v>ÇANAKKALEEZİNE</v>
          </cell>
        </row>
        <row r="1257">
          <cell r="A1257" t="str">
            <v>ÇAN</v>
          </cell>
          <cell r="C1257" t="str">
            <v>ÇANAKKALEÇAN</v>
          </cell>
        </row>
        <row r="1258">
          <cell r="A1258" t="str">
            <v>GÖKÇEADA</v>
          </cell>
          <cell r="C1258" t="str">
            <v>ÇANAKKALEGÖKÇEADA</v>
          </cell>
        </row>
        <row r="1259">
          <cell r="A1259" t="str">
            <v>GELİBOLU</v>
          </cell>
          <cell r="C1259" t="str">
            <v>ÇANAKKALEGELİBOLU</v>
          </cell>
        </row>
        <row r="1260">
          <cell r="A1260" t="str">
            <v>YENİCE</v>
          </cell>
          <cell r="C1260" t="str">
            <v>ÇANAKKALEYENİCE</v>
          </cell>
        </row>
        <row r="1261">
          <cell r="A1261" t="str">
            <v>BAYRAMİÇ</v>
          </cell>
          <cell r="C1261" t="str">
            <v>ÇANAKKALEBAYRAMİÇ</v>
          </cell>
        </row>
        <row r="1262">
          <cell r="A1262" t="str">
            <v>MERKEZ</v>
          </cell>
          <cell r="C1262" t="str">
            <v>ÇANKIRIMERKEZ</v>
          </cell>
        </row>
        <row r="1263">
          <cell r="A1263" t="str">
            <v>ÇERKEŞ</v>
          </cell>
          <cell r="C1263" t="str">
            <v>ÇANKIRIÇERKEŞ</v>
          </cell>
        </row>
        <row r="1264">
          <cell r="A1264" t="str">
            <v>ORTA</v>
          </cell>
          <cell r="C1264" t="str">
            <v>ÇANKIRIORTA</v>
          </cell>
        </row>
        <row r="1265">
          <cell r="A1265" t="str">
            <v>ELDİVAN</v>
          </cell>
          <cell r="C1265" t="str">
            <v>ÇANKIRIELDİVAN</v>
          </cell>
        </row>
        <row r="1266">
          <cell r="A1266" t="str">
            <v>ŞABANÖZÜ</v>
          </cell>
          <cell r="C1266" t="str">
            <v>ÇANKIRIŞABANÖZÜ</v>
          </cell>
        </row>
        <row r="1267">
          <cell r="A1267" t="str">
            <v>ILGAZ</v>
          </cell>
          <cell r="C1267" t="str">
            <v>ÇANKIRIILGAZ</v>
          </cell>
        </row>
        <row r="1268">
          <cell r="A1268" t="str">
            <v>MERKEZ</v>
          </cell>
          <cell r="C1268" t="str">
            <v>ÇORUMMERKEZ</v>
          </cell>
        </row>
        <row r="1269">
          <cell r="A1269" t="str">
            <v>SUNGURLU</v>
          </cell>
          <cell r="C1269" t="str">
            <v>ÇORUMSUNGURLU</v>
          </cell>
        </row>
        <row r="1270">
          <cell r="A1270" t="str">
            <v>DODURGA</v>
          </cell>
          <cell r="C1270" t="str">
            <v>ÇORUMDODURGA</v>
          </cell>
        </row>
        <row r="1271">
          <cell r="A1271" t="str">
            <v>OĞUZLAR</v>
          </cell>
          <cell r="C1271" t="str">
            <v>ÇORUMOĞUZLAR</v>
          </cell>
        </row>
        <row r="1272">
          <cell r="A1272" t="str">
            <v>İSKİLİP</v>
          </cell>
          <cell r="C1272" t="str">
            <v>ÇORUMİSKİLİP</v>
          </cell>
        </row>
        <row r="1273">
          <cell r="A1273" t="str">
            <v>MECİTÖZÜ</v>
          </cell>
          <cell r="C1273" t="str">
            <v>ÇORUMMECİTÖZÜ</v>
          </cell>
        </row>
        <row r="1274">
          <cell r="A1274" t="str">
            <v>KARGI</v>
          </cell>
          <cell r="C1274" t="str">
            <v>ÇORUMKARGI</v>
          </cell>
        </row>
        <row r="1275">
          <cell r="A1275" t="str">
            <v>DENİZLİ BÜYÜKŞEHİR</v>
          </cell>
          <cell r="C1275" t="str">
            <v>DENİZLİDENİZLİ BÜYÜKŞEHİR</v>
          </cell>
        </row>
        <row r="1276">
          <cell r="A1276" t="str">
            <v>DİYARBAKIR BÜYÜKŞEHİR</v>
          </cell>
          <cell r="C1276" t="str">
            <v>DİYARBAKIRDİYARBAKIR BÜYÜKŞEHİR</v>
          </cell>
        </row>
        <row r="1277">
          <cell r="A1277" t="str">
            <v>MERKEZ</v>
          </cell>
          <cell r="C1277" t="str">
            <v>DÜZCEMERKEZ</v>
          </cell>
        </row>
        <row r="1278">
          <cell r="A1278" t="str">
            <v>AKÇAKOCA</v>
          </cell>
          <cell r="C1278" t="str">
            <v>DÜZCEAKÇAKOCA</v>
          </cell>
        </row>
        <row r="1279">
          <cell r="A1279" t="str">
            <v>CUMAYERİ</v>
          </cell>
          <cell r="C1279" t="str">
            <v>DÜZCECUMAYERİ</v>
          </cell>
        </row>
        <row r="1280">
          <cell r="A1280" t="str">
            <v>ÇİLİMLİ</v>
          </cell>
          <cell r="C1280" t="str">
            <v>DÜZCEÇİLİMLİ</v>
          </cell>
        </row>
        <row r="1281">
          <cell r="A1281" t="str">
            <v>GÜMÜŞOVA</v>
          </cell>
          <cell r="C1281" t="str">
            <v>DÜZCEGÜMÜŞOVA</v>
          </cell>
        </row>
        <row r="1282">
          <cell r="A1282" t="str">
            <v>KAYNAŞLI</v>
          </cell>
          <cell r="C1282" t="str">
            <v>DÜZCEKAYNAŞLI</v>
          </cell>
        </row>
        <row r="1283">
          <cell r="A1283" t="str">
            <v>GÖLYAKA</v>
          </cell>
          <cell r="C1283" t="str">
            <v>DÜZCEGÖLYAKA</v>
          </cell>
        </row>
        <row r="1284">
          <cell r="A1284" t="str">
            <v>MERKEZ</v>
          </cell>
          <cell r="C1284" t="str">
            <v>EDİRNEMERKEZ</v>
          </cell>
        </row>
        <row r="1285">
          <cell r="A1285" t="str">
            <v>HAVSA</v>
          </cell>
          <cell r="C1285" t="str">
            <v>EDİRNEHAVSA</v>
          </cell>
        </row>
        <row r="1286">
          <cell r="A1286" t="str">
            <v>KEŞAN</v>
          </cell>
          <cell r="C1286" t="str">
            <v>EDİRNEKEŞAN</v>
          </cell>
        </row>
        <row r="1287">
          <cell r="A1287" t="str">
            <v>UZUNKÖPRÜ</v>
          </cell>
          <cell r="C1287" t="str">
            <v>EDİRNEUZUNKÖPRÜ</v>
          </cell>
        </row>
        <row r="1288">
          <cell r="A1288" t="str">
            <v>ENEZ</v>
          </cell>
          <cell r="C1288" t="str">
            <v>EDİRNEENEZ</v>
          </cell>
        </row>
        <row r="1289">
          <cell r="A1289" t="str">
            <v>MERKEZ</v>
          </cell>
          <cell r="C1289" t="str">
            <v>ELAZIĞMERKEZ</v>
          </cell>
        </row>
        <row r="1290">
          <cell r="A1290" t="str">
            <v>SİVRİCE</v>
          </cell>
          <cell r="C1290" t="str">
            <v>ELAZIĞSİVRİCE</v>
          </cell>
        </row>
        <row r="1291">
          <cell r="A1291" t="str">
            <v>KARAKOÇAN</v>
          </cell>
          <cell r="C1291" t="str">
            <v>ELAZIĞKARAKOÇAN</v>
          </cell>
        </row>
        <row r="1292">
          <cell r="A1292" t="str">
            <v>KOVANCILAR</v>
          </cell>
          <cell r="C1292" t="str">
            <v>ELAZIĞKOVANCILAR</v>
          </cell>
        </row>
        <row r="1293">
          <cell r="A1293" t="str">
            <v>MERKEZ</v>
          </cell>
          <cell r="C1293" t="str">
            <v>ERZİNCANMERKEZ</v>
          </cell>
        </row>
        <row r="1294">
          <cell r="A1294" t="str">
            <v>İLİÇ</v>
          </cell>
          <cell r="C1294" t="str">
            <v>ERZİNCANİLİÇ</v>
          </cell>
        </row>
        <row r="1295">
          <cell r="A1295" t="str">
            <v>KEMAH</v>
          </cell>
          <cell r="C1295" t="str">
            <v>ERZİNCANKEMAH</v>
          </cell>
        </row>
        <row r="1296">
          <cell r="A1296" t="str">
            <v>TERCAN</v>
          </cell>
          <cell r="C1296" t="str">
            <v>ERZİNCANTERCAN</v>
          </cell>
        </row>
        <row r="1297">
          <cell r="A1297" t="str">
            <v>KEMALİYE</v>
          </cell>
          <cell r="C1297" t="str">
            <v>ERZİNCANKEMALİYE</v>
          </cell>
        </row>
        <row r="1298">
          <cell r="A1298" t="str">
            <v>ERZURUM BÜYÜKŞEHİR</v>
          </cell>
          <cell r="C1298" t="str">
            <v>ERZURUMERZURUM BÜYÜKŞEHİR</v>
          </cell>
        </row>
        <row r="1299">
          <cell r="A1299" t="str">
            <v>ESKİŞEHİR BÜYÜKŞEHİR</v>
          </cell>
          <cell r="C1299" t="str">
            <v>ESKİŞEHİRESKİŞEHİR BÜYÜKŞEHİR</v>
          </cell>
        </row>
        <row r="1300">
          <cell r="A1300" t="str">
            <v>GAZİANTEP BÜYÜKŞEHİR</v>
          </cell>
          <cell r="C1300" t="str">
            <v>GAZİANTEPGAZİANTEP BÜYÜKŞEHİR</v>
          </cell>
        </row>
        <row r="1301">
          <cell r="A1301" t="str">
            <v>KEŞAP</v>
          </cell>
          <cell r="C1301" t="str">
            <v>GİRESUNKEŞAP</v>
          </cell>
        </row>
        <row r="1302">
          <cell r="A1302" t="str">
            <v>MERKEZ</v>
          </cell>
          <cell r="C1302" t="str">
            <v>GİRESUNMERKEZ</v>
          </cell>
        </row>
        <row r="1303">
          <cell r="A1303" t="str">
            <v>ESPİYE</v>
          </cell>
          <cell r="C1303" t="str">
            <v>GİRESUNESPİYE</v>
          </cell>
        </row>
        <row r="1304">
          <cell r="A1304" t="str">
            <v>BULANCAK</v>
          </cell>
          <cell r="C1304" t="str">
            <v>GİRESUNBULANCAK</v>
          </cell>
        </row>
        <row r="1305">
          <cell r="A1305" t="str">
            <v>DERELİ</v>
          </cell>
          <cell r="C1305" t="str">
            <v>GİRESUNDERELİ</v>
          </cell>
        </row>
        <row r="1306">
          <cell r="A1306" t="str">
            <v>ŞEBİNKARAHİSAR</v>
          </cell>
          <cell r="C1306" t="str">
            <v>GİRESUNŞEBİNKARAHİSAR</v>
          </cell>
        </row>
        <row r="1307">
          <cell r="A1307" t="str">
            <v>GÖRELE</v>
          </cell>
          <cell r="C1307" t="str">
            <v>GİRESUNGÖRELE</v>
          </cell>
        </row>
        <row r="1308">
          <cell r="A1308" t="str">
            <v>GÜCE</v>
          </cell>
          <cell r="C1308" t="str">
            <v>GİRESUNGÜCE</v>
          </cell>
        </row>
        <row r="1309">
          <cell r="A1309" t="str">
            <v>MERKEZ</v>
          </cell>
          <cell r="C1309" t="str">
            <v>GÜMÜŞHANEMERKEZ</v>
          </cell>
        </row>
        <row r="1310">
          <cell r="A1310" t="str">
            <v>KELKİT</v>
          </cell>
          <cell r="C1310" t="str">
            <v>GÜMÜŞHANEKELKİT</v>
          </cell>
        </row>
        <row r="1311">
          <cell r="A1311" t="str">
            <v>HATAY BÜYÜKŞEHİR</v>
          </cell>
          <cell r="C1311" t="str">
            <v>HATAYHATAY BÜYÜKŞEHİR</v>
          </cell>
        </row>
        <row r="1312">
          <cell r="A1312" t="str">
            <v>MERKEZ</v>
          </cell>
          <cell r="C1312" t="str">
            <v>IĞDIRMERKEZ</v>
          </cell>
        </row>
        <row r="1313">
          <cell r="A1313" t="str">
            <v>MERKEZ</v>
          </cell>
          <cell r="C1313" t="str">
            <v>ISPARTAMERKEZ</v>
          </cell>
        </row>
        <row r="1314">
          <cell r="A1314" t="str">
            <v>YALVAÇ</v>
          </cell>
          <cell r="C1314" t="str">
            <v>ISPARTAYALVAÇ</v>
          </cell>
        </row>
        <row r="1315">
          <cell r="A1315" t="str">
            <v>ATABEY</v>
          </cell>
          <cell r="C1315" t="str">
            <v>ISPARTAATABEY</v>
          </cell>
        </row>
        <row r="1316">
          <cell r="A1316" t="str">
            <v>KEÇİBORLU</v>
          </cell>
          <cell r="C1316" t="str">
            <v>ISPARTAKEÇİBORLU</v>
          </cell>
        </row>
        <row r="1317">
          <cell r="A1317" t="str">
            <v>GÖNEN</v>
          </cell>
          <cell r="C1317" t="str">
            <v>ISPARTAGÖNEN</v>
          </cell>
        </row>
        <row r="1318">
          <cell r="A1318" t="str">
            <v>ŞARKİKARAAĞAÇ</v>
          </cell>
          <cell r="C1318" t="str">
            <v>ISPARTAŞARKİKARAAĞAÇ</v>
          </cell>
        </row>
        <row r="1319">
          <cell r="A1319" t="str">
            <v>EĞİRDİR</v>
          </cell>
          <cell r="C1319" t="str">
            <v>ISPARTAEĞİRDİR</v>
          </cell>
        </row>
        <row r="1320">
          <cell r="A1320" t="str">
            <v>GELENDOST</v>
          </cell>
          <cell r="C1320" t="str">
            <v>ISPARTAGELENDOST</v>
          </cell>
        </row>
        <row r="1321">
          <cell r="A1321" t="str">
            <v>ULUBORLU</v>
          </cell>
          <cell r="C1321" t="str">
            <v>ISPARTAULUBORLU</v>
          </cell>
        </row>
        <row r="1322">
          <cell r="A1322" t="str">
            <v>AKSU</v>
          </cell>
          <cell r="C1322" t="str">
            <v>ISPARTAAKSU</v>
          </cell>
        </row>
        <row r="1323">
          <cell r="A1323" t="str">
            <v>SENİRKENT</v>
          </cell>
          <cell r="C1323" t="str">
            <v>ISPARTASENİRKENT</v>
          </cell>
        </row>
        <row r="1324">
          <cell r="A1324" t="str">
            <v>KAHRAMANMARAŞ BÜYÜKŞEHİR</v>
          </cell>
          <cell r="C1324" t="str">
            <v>KAHRAMANMARAŞKAHRAMANMARAŞ BÜYÜKŞEHİR</v>
          </cell>
        </row>
        <row r="1325">
          <cell r="A1325" t="str">
            <v>SAFRANBOLU</v>
          </cell>
          <cell r="C1325" t="str">
            <v>KARABÜKSAFRANBOLU</v>
          </cell>
        </row>
        <row r="1326">
          <cell r="A1326" t="str">
            <v>MERKEZ</v>
          </cell>
          <cell r="C1326" t="str">
            <v>KARABÜKMERKEZ</v>
          </cell>
        </row>
        <row r="1327">
          <cell r="A1327" t="str">
            <v>ESKİPAZAR</v>
          </cell>
          <cell r="C1327" t="str">
            <v>KARABÜKESKİPAZAR</v>
          </cell>
        </row>
        <row r="1328">
          <cell r="A1328" t="str">
            <v>MERKEZ</v>
          </cell>
          <cell r="C1328" t="str">
            <v>KARAMANMERKEZ</v>
          </cell>
        </row>
        <row r="1329">
          <cell r="A1329" t="str">
            <v>ERMENEK</v>
          </cell>
          <cell r="C1329" t="str">
            <v>KARAMANERMENEK</v>
          </cell>
        </row>
        <row r="1330">
          <cell r="A1330" t="str">
            <v>SARIVELİLER</v>
          </cell>
          <cell r="C1330" t="str">
            <v>KARAMANSARIVELİLER</v>
          </cell>
        </row>
        <row r="1331">
          <cell r="A1331" t="str">
            <v>MERKEZ</v>
          </cell>
          <cell r="C1331" t="str">
            <v>KARSMERKEZ</v>
          </cell>
        </row>
        <row r="1332">
          <cell r="A1332" t="str">
            <v>MERKEZ</v>
          </cell>
          <cell r="C1332" t="str">
            <v>KASTAMONUMERKEZ</v>
          </cell>
        </row>
        <row r="1333">
          <cell r="A1333" t="str">
            <v>ŞENPAZAR</v>
          </cell>
          <cell r="C1333" t="str">
            <v>KASTAMONUŞENPAZAR</v>
          </cell>
        </row>
        <row r="1334">
          <cell r="A1334" t="str">
            <v>ARAÇ</v>
          </cell>
          <cell r="C1334" t="str">
            <v>KASTAMONUARAÇ</v>
          </cell>
        </row>
        <row r="1335">
          <cell r="A1335" t="str">
            <v>BOZKURT</v>
          </cell>
          <cell r="C1335" t="str">
            <v>KASTAMONUBOZKURT</v>
          </cell>
        </row>
        <row r="1336">
          <cell r="A1336" t="str">
            <v>TOSYA</v>
          </cell>
          <cell r="C1336" t="str">
            <v>KASTAMONUTOSYA</v>
          </cell>
        </row>
        <row r="1337">
          <cell r="A1337" t="str">
            <v>DEVREKANİ</v>
          </cell>
          <cell r="C1337" t="str">
            <v>KASTAMONUDEVREKANİ</v>
          </cell>
        </row>
        <row r="1338">
          <cell r="A1338" t="str">
            <v>TAŞKÖPRÜ</v>
          </cell>
          <cell r="C1338" t="str">
            <v>KASTAMONUTAŞKÖPRÜ</v>
          </cell>
        </row>
        <row r="1339">
          <cell r="A1339" t="str">
            <v>AZDAVAY</v>
          </cell>
          <cell r="C1339" t="str">
            <v>KASTAMONUAZDAVAY</v>
          </cell>
        </row>
        <row r="1340">
          <cell r="A1340" t="str">
            <v>KÜRE</v>
          </cell>
          <cell r="C1340" t="str">
            <v>KASTAMONUKÜRE</v>
          </cell>
        </row>
        <row r="1341">
          <cell r="A1341" t="str">
            <v>ABANA</v>
          </cell>
          <cell r="C1341" t="str">
            <v>KASTAMONUABANA</v>
          </cell>
        </row>
        <row r="1342">
          <cell r="A1342" t="str">
            <v>İNEBOLU</v>
          </cell>
          <cell r="C1342" t="str">
            <v>KASTAMONUİNEBOLU</v>
          </cell>
        </row>
        <row r="1343">
          <cell r="A1343" t="str">
            <v>CİDE</v>
          </cell>
          <cell r="C1343" t="str">
            <v>KASTAMONUCİDE</v>
          </cell>
        </row>
        <row r="1344">
          <cell r="A1344" t="str">
            <v>SEYDİLER</v>
          </cell>
          <cell r="C1344" t="str">
            <v>KASTAMONUSEYDİLER</v>
          </cell>
        </row>
        <row r="1345">
          <cell r="A1345" t="str">
            <v>KAYSERİ BÜYÜKŞEHİR</v>
          </cell>
          <cell r="C1345" t="str">
            <v>KAYSERİKAYSERİ BÜYÜKŞEHİR</v>
          </cell>
        </row>
        <row r="1346">
          <cell r="A1346" t="str">
            <v>MERKEZ</v>
          </cell>
          <cell r="C1346" t="str">
            <v>KIRIKKALEMERKEZ</v>
          </cell>
        </row>
        <row r="1347">
          <cell r="A1347" t="str">
            <v>YAHŞİHAN</v>
          </cell>
          <cell r="C1347" t="str">
            <v>KIRIKKALEYAHŞİHAN</v>
          </cell>
        </row>
        <row r="1348">
          <cell r="A1348" t="str">
            <v>KESKİN</v>
          </cell>
          <cell r="C1348" t="str">
            <v>KIRIKKALEKESKİN</v>
          </cell>
        </row>
        <row r="1349">
          <cell r="A1349" t="str">
            <v>DELİCE</v>
          </cell>
          <cell r="C1349" t="str">
            <v>KIRIKKALEDELİCE</v>
          </cell>
        </row>
        <row r="1350">
          <cell r="A1350" t="str">
            <v>SULAKYURT</v>
          </cell>
          <cell r="C1350" t="str">
            <v>KIRIKKALESULAKYURT</v>
          </cell>
        </row>
        <row r="1351">
          <cell r="A1351" t="str">
            <v>MERKEZ</v>
          </cell>
          <cell r="C1351" t="str">
            <v>KIRKLARELİMERKEZ</v>
          </cell>
        </row>
        <row r="1352">
          <cell r="A1352" t="str">
            <v>LÜLEBURGAZ</v>
          </cell>
          <cell r="C1352" t="str">
            <v>KIRKLARELİLÜLEBURGAZ</v>
          </cell>
        </row>
        <row r="1353">
          <cell r="A1353" t="str">
            <v>DEMİRKÖY</v>
          </cell>
          <cell r="C1353" t="str">
            <v>KIRKLARELİDEMİRKÖY</v>
          </cell>
        </row>
        <row r="1354">
          <cell r="A1354" t="str">
            <v>BABAESKİ</v>
          </cell>
          <cell r="C1354" t="str">
            <v>KIRKLARELİBABAESKİ</v>
          </cell>
        </row>
        <row r="1355">
          <cell r="A1355" t="str">
            <v>VİZE</v>
          </cell>
          <cell r="C1355" t="str">
            <v>KIRKLARELİVİZE</v>
          </cell>
        </row>
        <row r="1356">
          <cell r="A1356" t="str">
            <v>PEHLİVANKÖY</v>
          </cell>
          <cell r="C1356" t="str">
            <v>KIRKLARELİPEHLİVANKÖY</v>
          </cell>
        </row>
        <row r="1357">
          <cell r="A1357" t="str">
            <v>MERKEZ</v>
          </cell>
          <cell r="C1357" t="str">
            <v>KIRŞEHİRMERKEZ</v>
          </cell>
        </row>
        <row r="1358">
          <cell r="A1358" t="str">
            <v>KAMAN</v>
          </cell>
          <cell r="C1358" t="str">
            <v>KIRŞEHİRKAMAN</v>
          </cell>
        </row>
        <row r="1359">
          <cell r="A1359" t="str">
            <v>AKPINAR</v>
          </cell>
          <cell r="C1359" t="str">
            <v>KIRŞEHİRAKPINAR</v>
          </cell>
        </row>
        <row r="1360">
          <cell r="A1360" t="str">
            <v>MUCUR</v>
          </cell>
          <cell r="C1360" t="str">
            <v>KIRŞEHİRMUCUR</v>
          </cell>
        </row>
        <row r="1361">
          <cell r="A1361" t="str">
            <v>ÇİÇEKDAĞI</v>
          </cell>
          <cell r="C1361" t="str">
            <v>KIRŞEHİRÇİÇEKDAĞI</v>
          </cell>
        </row>
        <row r="1362">
          <cell r="A1362" t="str">
            <v>MERKEZ</v>
          </cell>
          <cell r="C1362" t="str">
            <v>KİLİSMERKEZ</v>
          </cell>
        </row>
        <row r="1363">
          <cell r="A1363" t="str">
            <v>KONYA BÜYÜKŞEHİR</v>
          </cell>
          <cell r="C1363" t="str">
            <v>KONYAKONYA BÜYÜKŞEHİR</v>
          </cell>
        </row>
        <row r="1364">
          <cell r="A1364" t="str">
            <v>MERKEZ</v>
          </cell>
          <cell r="C1364" t="str">
            <v>KÜTAHYAMERKEZ</v>
          </cell>
        </row>
        <row r="1365">
          <cell r="A1365" t="str">
            <v>PAZARLAR</v>
          </cell>
          <cell r="C1365" t="str">
            <v>KÜTAHYAPAZARLAR</v>
          </cell>
        </row>
        <row r="1366">
          <cell r="A1366" t="str">
            <v>TAVŞANLI</v>
          </cell>
          <cell r="C1366" t="str">
            <v>KÜTAHYATAVŞANLI</v>
          </cell>
        </row>
        <row r="1367">
          <cell r="A1367" t="str">
            <v>SİMAV</v>
          </cell>
          <cell r="C1367" t="str">
            <v>KÜTAHYASİMAV</v>
          </cell>
        </row>
        <row r="1368">
          <cell r="A1368" t="str">
            <v>GEDİZ</v>
          </cell>
          <cell r="C1368" t="str">
            <v>KÜTAHYAGEDİZ</v>
          </cell>
        </row>
        <row r="1369">
          <cell r="A1369" t="str">
            <v>ŞAPHANE</v>
          </cell>
          <cell r="C1369" t="str">
            <v>KÜTAHYAŞAPHANE</v>
          </cell>
        </row>
        <row r="1370">
          <cell r="A1370" t="str">
            <v>HİSARCIK</v>
          </cell>
          <cell r="C1370" t="str">
            <v>KÜTAHYAHİSARCIK</v>
          </cell>
        </row>
        <row r="1371">
          <cell r="A1371" t="str">
            <v>MALATYA BÜYÜKŞEHİR</v>
          </cell>
          <cell r="C1371" t="str">
            <v>MALATYAMALATYA BÜYÜKŞEHİR</v>
          </cell>
        </row>
        <row r="1372">
          <cell r="A1372" t="str">
            <v>MANİSA BÜYÜKŞEHİR</v>
          </cell>
          <cell r="C1372" t="str">
            <v>MANİSAMANİSA BÜYÜKŞEHİR</v>
          </cell>
        </row>
        <row r="1373">
          <cell r="A1373" t="str">
            <v>MARDİN BÜYÜKŞEHİR</v>
          </cell>
          <cell r="C1373" t="str">
            <v>MARDİNMARDİN BÜYÜKŞEHİR</v>
          </cell>
        </row>
        <row r="1374">
          <cell r="A1374" t="str">
            <v>MERSİN BÜYÜKŞEHİR</v>
          </cell>
          <cell r="C1374" t="str">
            <v>MERSİNMERSİN BÜYÜKŞEHİR</v>
          </cell>
        </row>
        <row r="1375">
          <cell r="A1375" t="str">
            <v>MUĞLA BÜYÜKŞEHİR</v>
          </cell>
          <cell r="C1375" t="str">
            <v>MUĞLAMUĞLA BÜYÜKŞEHİR</v>
          </cell>
        </row>
        <row r="1376">
          <cell r="A1376" t="str">
            <v>MERKEZ</v>
          </cell>
          <cell r="C1376" t="str">
            <v>MUŞMERKEZ</v>
          </cell>
        </row>
        <row r="1377">
          <cell r="A1377" t="str">
            <v>MALAZGİRT</v>
          </cell>
          <cell r="C1377" t="str">
            <v>MUŞMALAZGİRT</v>
          </cell>
        </row>
        <row r="1378">
          <cell r="A1378" t="str">
            <v>AVANOS</v>
          </cell>
          <cell r="C1378" t="str">
            <v>NEVŞEHİRAVANOS</v>
          </cell>
        </row>
        <row r="1379">
          <cell r="A1379" t="str">
            <v>MERKEZ</v>
          </cell>
          <cell r="C1379" t="str">
            <v>NEVŞEHİRMERKEZ</v>
          </cell>
        </row>
        <row r="1380">
          <cell r="A1380" t="str">
            <v>ÜRGÜP</v>
          </cell>
          <cell r="C1380" t="str">
            <v>NEVŞEHİRÜRGÜP</v>
          </cell>
        </row>
        <row r="1381">
          <cell r="A1381" t="str">
            <v>GÜLŞEHİR</v>
          </cell>
          <cell r="C1381" t="str">
            <v>NEVŞEHİRGÜLŞEHİR</v>
          </cell>
        </row>
        <row r="1382">
          <cell r="A1382" t="str">
            <v>ACIGÖL</v>
          </cell>
          <cell r="C1382" t="str">
            <v>NEVŞEHİRACIGÖL</v>
          </cell>
        </row>
        <row r="1383">
          <cell r="A1383" t="str">
            <v>DERİNKUYU</v>
          </cell>
          <cell r="C1383" t="str">
            <v>NEVŞEHİRDERİNKUYU</v>
          </cell>
        </row>
        <row r="1384">
          <cell r="A1384" t="str">
            <v>MERKEZ</v>
          </cell>
          <cell r="C1384" t="str">
            <v>NİĞDEMERKEZ</v>
          </cell>
        </row>
        <row r="1385">
          <cell r="A1385" t="str">
            <v>BOR</v>
          </cell>
          <cell r="C1385" t="str">
            <v>NİĞDEBOR</v>
          </cell>
        </row>
        <row r="1386">
          <cell r="A1386" t="str">
            <v>ULUKIŞLA</v>
          </cell>
          <cell r="C1386" t="str">
            <v>NİĞDEULUKIŞLA</v>
          </cell>
        </row>
        <row r="1387">
          <cell r="A1387" t="str">
            <v>ALTUNHİSAR</v>
          </cell>
          <cell r="C1387" t="str">
            <v>NİĞDEALTUNHİSAR</v>
          </cell>
        </row>
        <row r="1388">
          <cell r="A1388" t="str">
            <v>ÇİFTLİK</v>
          </cell>
          <cell r="C1388" t="str">
            <v>NİĞDEÇİFTLİK</v>
          </cell>
        </row>
        <row r="1389">
          <cell r="A1389" t="str">
            <v>ORDU BÜYÜKŞEHİR</v>
          </cell>
          <cell r="C1389" t="str">
            <v>ORDUORDU BÜYÜKŞEHİR</v>
          </cell>
        </row>
        <row r="1390">
          <cell r="A1390" t="str">
            <v>MERKEZ</v>
          </cell>
          <cell r="C1390" t="str">
            <v>OSMANİYEMERKEZ</v>
          </cell>
        </row>
        <row r="1391">
          <cell r="A1391" t="str">
            <v>KADİRLİ</v>
          </cell>
          <cell r="C1391" t="str">
            <v>OSMANİYEKADİRLİ</v>
          </cell>
        </row>
        <row r="1392">
          <cell r="A1392" t="str">
            <v>TOPRAKKALE</v>
          </cell>
          <cell r="C1392" t="str">
            <v>OSMANİYETOPRAKKALE</v>
          </cell>
        </row>
        <row r="1393">
          <cell r="A1393" t="str">
            <v>DÜZİÇİ</v>
          </cell>
          <cell r="C1393" t="str">
            <v>OSMANİYEDÜZİÇİ</v>
          </cell>
        </row>
        <row r="1394">
          <cell r="A1394" t="str">
            <v>SUMBAS</v>
          </cell>
          <cell r="C1394" t="str">
            <v>OSMANİYESUMBAS</v>
          </cell>
        </row>
        <row r="1395">
          <cell r="A1395" t="str">
            <v>ARDEŞEN</v>
          </cell>
          <cell r="C1395" t="str">
            <v>RİZEARDEŞEN</v>
          </cell>
        </row>
        <row r="1396">
          <cell r="A1396" t="str">
            <v>DEREPAZARI</v>
          </cell>
          <cell r="C1396" t="str">
            <v>RİZEDEREPAZARI</v>
          </cell>
        </row>
        <row r="1397">
          <cell r="A1397" t="str">
            <v>İYİDERE</v>
          </cell>
          <cell r="C1397" t="str">
            <v>RİZEİYİDERE</v>
          </cell>
        </row>
        <row r="1398">
          <cell r="A1398" t="str">
            <v>GÜNEYSU</v>
          </cell>
          <cell r="C1398" t="str">
            <v>RİZEGÜNEYSU</v>
          </cell>
        </row>
        <row r="1399">
          <cell r="A1399" t="str">
            <v>KALKANDERE</v>
          </cell>
          <cell r="C1399" t="str">
            <v>RİZEKALKANDERE</v>
          </cell>
        </row>
        <row r="1400">
          <cell r="A1400" t="str">
            <v>FINDIKLI</v>
          </cell>
          <cell r="C1400" t="str">
            <v>RİZEFINDIKLI</v>
          </cell>
        </row>
        <row r="1401">
          <cell r="A1401" t="str">
            <v>ÇAYELİ</v>
          </cell>
          <cell r="C1401" t="str">
            <v>RİZEÇAYELİ</v>
          </cell>
        </row>
        <row r="1402">
          <cell r="A1402" t="str">
            <v>SAMSUN BÜYÜKŞEHİR</v>
          </cell>
          <cell r="C1402" t="str">
            <v>SAMSUNSAMSUN BÜYÜKŞEHİR</v>
          </cell>
        </row>
        <row r="1403">
          <cell r="A1403" t="str">
            <v>MERKEZ</v>
          </cell>
          <cell r="C1403" t="str">
            <v>SİİRTMERKEZ</v>
          </cell>
        </row>
        <row r="1404">
          <cell r="A1404" t="str">
            <v>KURTALAN</v>
          </cell>
          <cell r="C1404" t="str">
            <v>SİİRTKURTALAN</v>
          </cell>
        </row>
        <row r="1405">
          <cell r="A1405" t="str">
            <v>MERKEZ</v>
          </cell>
          <cell r="C1405" t="str">
            <v>SİNOPMERKEZ</v>
          </cell>
        </row>
        <row r="1406">
          <cell r="A1406" t="str">
            <v>ERFELEK</v>
          </cell>
          <cell r="C1406" t="str">
            <v>SİNOPERFELEK</v>
          </cell>
        </row>
        <row r="1407">
          <cell r="A1407" t="str">
            <v>BOYABAT</v>
          </cell>
          <cell r="C1407" t="str">
            <v>SİNOPBOYABAT</v>
          </cell>
        </row>
        <row r="1408">
          <cell r="A1408" t="str">
            <v>GERZE</v>
          </cell>
          <cell r="C1408" t="str">
            <v>SİNOPGERZE</v>
          </cell>
        </row>
        <row r="1409">
          <cell r="A1409" t="str">
            <v>SUŞEHRİ</v>
          </cell>
          <cell r="C1409" t="str">
            <v>SİVASSUŞEHRİ</v>
          </cell>
        </row>
        <row r="1410">
          <cell r="A1410" t="str">
            <v>MERKEZ</v>
          </cell>
          <cell r="C1410" t="str">
            <v>SİVASMERKEZ</v>
          </cell>
        </row>
        <row r="1411">
          <cell r="A1411" t="str">
            <v>ŞARKIŞLA</v>
          </cell>
          <cell r="C1411" t="str">
            <v>SİVASŞARKIŞLA</v>
          </cell>
        </row>
        <row r="1412">
          <cell r="A1412" t="str">
            <v>KANGAL</v>
          </cell>
          <cell r="C1412" t="str">
            <v>SİVASKANGAL</v>
          </cell>
        </row>
        <row r="1413">
          <cell r="A1413" t="str">
            <v>GEMEREK</v>
          </cell>
          <cell r="C1413" t="str">
            <v>SİVASGEMEREK</v>
          </cell>
        </row>
        <row r="1414">
          <cell r="A1414" t="str">
            <v>YILDIZELİ</v>
          </cell>
          <cell r="C1414" t="str">
            <v>SİVASYILDIZELİ</v>
          </cell>
        </row>
        <row r="1415">
          <cell r="A1415" t="str">
            <v>DOĞANŞAR</v>
          </cell>
          <cell r="C1415" t="str">
            <v>SİVASDOĞANŞAR</v>
          </cell>
        </row>
        <row r="1416">
          <cell r="A1416" t="str">
            <v>HAFİK</v>
          </cell>
          <cell r="C1416" t="str">
            <v>SİVASHAFİK</v>
          </cell>
        </row>
        <row r="1417">
          <cell r="A1417" t="str">
            <v>ŞANLIURFA BÜYÜKŞEHİR</v>
          </cell>
          <cell r="C1417" t="str">
            <v>ŞANLIURFAŞANLIURFA BÜYÜKŞEHİR</v>
          </cell>
        </row>
        <row r="1418">
          <cell r="A1418" t="str">
            <v>SİLOPİ</v>
          </cell>
          <cell r="C1418" t="str">
            <v>ŞIRNAKSİLOPİ</v>
          </cell>
        </row>
        <row r="1419">
          <cell r="A1419" t="str">
            <v>TEKİRDAĞ BÜYÜKŞEHİR</v>
          </cell>
          <cell r="C1419" t="str">
            <v>TEKİRDAĞTEKİRDAĞ BÜYÜKŞEHİR</v>
          </cell>
        </row>
        <row r="1420">
          <cell r="A1420" t="str">
            <v>NİKSAR</v>
          </cell>
          <cell r="C1420" t="str">
            <v>TOKATNİKSAR</v>
          </cell>
        </row>
        <row r="1421">
          <cell r="A1421" t="str">
            <v>MERKEZ</v>
          </cell>
          <cell r="C1421" t="str">
            <v>TOKATMERKEZ</v>
          </cell>
        </row>
        <row r="1422">
          <cell r="A1422" t="str">
            <v>REŞADİYE</v>
          </cell>
          <cell r="C1422" t="str">
            <v>TOKATREŞADİYE</v>
          </cell>
        </row>
        <row r="1423">
          <cell r="A1423" t="str">
            <v>TURHAL</v>
          </cell>
          <cell r="C1423" t="str">
            <v>TOKATTURHAL</v>
          </cell>
        </row>
        <row r="1424">
          <cell r="A1424" t="str">
            <v>ZİLE</v>
          </cell>
          <cell r="C1424" t="str">
            <v>TOKATZİLE</v>
          </cell>
        </row>
        <row r="1425">
          <cell r="A1425" t="str">
            <v>ERBAA</v>
          </cell>
          <cell r="C1425" t="str">
            <v>TOKATERBAA</v>
          </cell>
        </row>
        <row r="1426">
          <cell r="A1426" t="str">
            <v>ARTOVA</v>
          </cell>
          <cell r="C1426" t="str">
            <v>TOKATARTOVA</v>
          </cell>
        </row>
        <row r="1427">
          <cell r="A1427" t="str">
            <v>PAZAR</v>
          </cell>
          <cell r="C1427" t="str">
            <v>TOKATPAZAR</v>
          </cell>
        </row>
        <row r="1428">
          <cell r="A1428" t="str">
            <v>TRABZON BÜYÜKŞEHİR</v>
          </cell>
          <cell r="C1428" t="str">
            <v>TRABZONTRABZON BÜYÜKŞEHİR</v>
          </cell>
        </row>
        <row r="1429">
          <cell r="A1429" t="str">
            <v>ÇEMİŞGEZEK</v>
          </cell>
          <cell r="C1429" t="str">
            <v>TUNCELİÇEMİŞGEZEK</v>
          </cell>
        </row>
        <row r="1430">
          <cell r="A1430" t="str">
            <v>MERKEZ</v>
          </cell>
          <cell r="C1430" t="str">
            <v>UŞAKMERKEZ</v>
          </cell>
        </row>
        <row r="1431">
          <cell r="A1431" t="str">
            <v>EŞME</v>
          </cell>
          <cell r="C1431" t="str">
            <v>UŞAKEŞME</v>
          </cell>
        </row>
        <row r="1432">
          <cell r="A1432" t="str">
            <v>SİVASLI</v>
          </cell>
          <cell r="C1432" t="str">
            <v>UŞAKSİVASLI</v>
          </cell>
        </row>
        <row r="1433">
          <cell r="A1433" t="str">
            <v>BANAZ</v>
          </cell>
          <cell r="C1433" t="str">
            <v>UŞAKBANAZ</v>
          </cell>
        </row>
        <row r="1434">
          <cell r="A1434" t="str">
            <v>ULUBEY</v>
          </cell>
          <cell r="C1434" t="str">
            <v>UŞAKULUBEY</v>
          </cell>
        </row>
        <row r="1435">
          <cell r="A1435" t="str">
            <v>KARAHALLI</v>
          </cell>
          <cell r="C1435" t="str">
            <v>UŞAKKARAHALLI</v>
          </cell>
        </row>
        <row r="1436">
          <cell r="A1436" t="str">
            <v>VAN BÜYÜKŞEHİR</v>
          </cell>
          <cell r="C1436" t="str">
            <v>VANVAN BÜYÜKŞEHİR</v>
          </cell>
        </row>
        <row r="1437">
          <cell r="A1437" t="str">
            <v>MERKEZ</v>
          </cell>
          <cell r="C1437" t="str">
            <v>YALOVAMERKEZ</v>
          </cell>
        </row>
        <row r="1438">
          <cell r="A1438" t="str">
            <v>ÇİFTLİKKÖY</v>
          </cell>
          <cell r="C1438" t="str">
            <v>YALOVAÇİFTLİKKÖY</v>
          </cell>
        </row>
        <row r="1439">
          <cell r="A1439" t="str">
            <v>ÇINARCIK</v>
          </cell>
          <cell r="C1439" t="str">
            <v>YALOVAÇINARCIK</v>
          </cell>
        </row>
        <row r="1440">
          <cell r="A1440" t="str">
            <v>TERMAL</v>
          </cell>
          <cell r="C1440" t="str">
            <v>YALOVATERMAL</v>
          </cell>
        </row>
        <row r="1441">
          <cell r="A1441" t="str">
            <v>ALTINOVA</v>
          </cell>
          <cell r="C1441" t="str">
            <v>YALOVAALTINOVA</v>
          </cell>
        </row>
        <row r="1442">
          <cell r="A1442" t="str">
            <v>SORGUN</v>
          </cell>
          <cell r="C1442" t="str">
            <v>YOZGATSORGUN</v>
          </cell>
        </row>
        <row r="1443">
          <cell r="A1443" t="str">
            <v>MERKEZ</v>
          </cell>
          <cell r="C1443" t="str">
            <v>YOZGATMERKEZ</v>
          </cell>
        </row>
        <row r="1444">
          <cell r="A1444" t="str">
            <v>YENİFAKILI</v>
          </cell>
          <cell r="C1444" t="str">
            <v>YOZGATYENİFAKILI</v>
          </cell>
        </row>
        <row r="1445">
          <cell r="A1445" t="str">
            <v>AKDAĞMADENİ</v>
          </cell>
          <cell r="C1445" t="str">
            <v>YOZGATAKDAĞMADENİ</v>
          </cell>
        </row>
        <row r="1446">
          <cell r="A1446" t="str">
            <v>YERKÖY</v>
          </cell>
          <cell r="C1446" t="str">
            <v>YOZGATYERKÖY</v>
          </cell>
        </row>
        <row r="1447">
          <cell r="A1447" t="str">
            <v>ŞEFAATLİ</v>
          </cell>
          <cell r="C1447" t="str">
            <v>YOZGATŞEFAATLİ</v>
          </cell>
        </row>
        <row r="1448">
          <cell r="A1448" t="str">
            <v>ÇEKEREK</v>
          </cell>
          <cell r="C1448" t="str">
            <v>YOZGATÇEKEREK</v>
          </cell>
        </row>
        <row r="1449">
          <cell r="A1449" t="str">
            <v>BOĞAZLIYAN</v>
          </cell>
          <cell r="C1449" t="str">
            <v>YOZGATBOĞAZLIYAN</v>
          </cell>
        </row>
        <row r="1450">
          <cell r="A1450" t="str">
            <v>EREĞLİ</v>
          </cell>
          <cell r="C1450" t="str">
            <v>ZONGULDAKEREĞLİ</v>
          </cell>
        </row>
        <row r="1451">
          <cell r="A1451" t="str">
            <v>MERKEZ</v>
          </cell>
          <cell r="C1451" t="str">
            <v>ZONGULDAKMERKEZ</v>
          </cell>
        </row>
        <row r="1452">
          <cell r="A1452" t="str">
            <v>KOZLU</v>
          </cell>
          <cell r="C1452" t="str">
            <v>ZONGULDAKKOZLU</v>
          </cell>
        </row>
        <row r="1453">
          <cell r="A1453" t="str">
            <v>KİLİMLİ</v>
          </cell>
          <cell r="C1453" t="str">
            <v>ZONGULDAKKİLİMLİ</v>
          </cell>
        </row>
        <row r="1454">
          <cell r="A1454" t="str">
            <v>ALAPLI</v>
          </cell>
          <cell r="C1454" t="str">
            <v>ZONGULDAKALAPLI</v>
          </cell>
        </row>
        <row r="1455">
          <cell r="A1455" t="str">
            <v>DEVREK</v>
          </cell>
          <cell r="C1455" t="str">
            <v>ZONGULDAKDEVREK</v>
          </cell>
        </row>
        <row r="1456">
          <cell r="A1456" t="str">
            <v>ÇAYCUMA</v>
          </cell>
          <cell r="C1456" t="str">
            <v>ZONGULDAKÇAYCUMA</v>
          </cell>
        </row>
        <row r="1457">
          <cell r="A1457" t="str">
            <v>GÖKÇEBEY</v>
          </cell>
          <cell r="C1457" t="str">
            <v>ZONGULDAKGÖKÇEBEY</v>
          </cell>
        </row>
        <row r="1458">
          <cell r="A1458" t="str">
            <v>BOLVADİN</v>
          </cell>
          <cell r="C1458" t="str">
            <v>AFYONKARAHİSARBOLVADİN</v>
          </cell>
        </row>
        <row r="1459">
          <cell r="A1459" t="str">
            <v>BURSA BÜYÜKŞEHİR</v>
          </cell>
          <cell r="C1459" t="str">
            <v>BURSABURSA BÜYÜKŞEHİR</v>
          </cell>
        </row>
        <row r="1460">
          <cell r="A1460" t="str">
            <v>OSMANCIK</v>
          </cell>
          <cell r="C1460" t="str">
            <v>ÇORUMOSMANCIK</v>
          </cell>
        </row>
        <row r="1461">
          <cell r="A1461" t="str">
            <v>MERKEZ</v>
          </cell>
          <cell r="C1461" t="str">
            <v>RİZEMERKEZ</v>
          </cell>
        </row>
        <row r="1462">
          <cell r="A1462" t="str">
            <v>MERKEZ</v>
          </cell>
          <cell r="C1462" t="str">
            <v>TUNCELİMERKEZ</v>
          </cell>
        </row>
        <row r="1463">
          <cell r="A1463" t="str">
            <v>İSTANBUL BÜYÜKŞEHİR</v>
          </cell>
          <cell r="C1463" t="str">
            <v>İSTANBULİSTANBUL BÜYÜKŞEHİR</v>
          </cell>
        </row>
        <row r="1464">
          <cell r="A1464" t="str">
            <v>İZMİR BÜYÜKŞEHİR</v>
          </cell>
          <cell r="C1464" t="str">
            <v>İZMİRİZMİR BÜYÜKŞEHİR</v>
          </cell>
        </row>
        <row r="1465">
          <cell r="A1465" t="str">
            <v>KOCAELİ BÜYÜKŞEHİR</v>
          </cell>
          <cell r="C1465" t="str">
            <v>KOCAELİKOCAELİ BÜYÜKŞEHİR</v>
          </cell>
        </row>
        <row r="1466">
          <cell r="A1466" t="str">
            <v>SAKARYA BÜYÜKŞEHİR</v>
          </cell>
          <cell r="C1466" t="str">
            <v>SAKARYASAKARYA BÜYÜKŞEHİR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mailto:malihizmetler@sandikli.bel.tr" TargetMode="External"/><Relationship Id="rId13" Type="http://schemas.openxmlformats.org/officeDocument/2006/relationships/hyperlink" Target="mailto:ovacikbldbaskanligi@hotmail.com" TargetMode="External"/><Relationship Id="rId3" Type="http://schemas.openxmlformats.org/officeDocument/2006/relationships/hyperlink" Target="mailto:fatmakose@gaziantep.bel.tr" TargetMode="External"/><Relationship Id="rId7" Type="http://schemas.openxmlformats.org/officeDocument/2006/relationships/hyperlink" Target="mailto:resmikurumlar@allianz.com.tr" TargetMode="External"/><Relationship Id="rId12" Type="http://schemas.openxmlformats.org/officeDocument/2006/relationships/hyperlink" Target="mailto:gelirler@tokat.bel.tr" TargetMode="External"/><Relationship Id="rId17" Type="http://schemas.openxmlformats.org/officeDocument/2006/relationships/printerSettings" Target="../printerSettings/printerSettings10.bin"/><Relationship Id="rId2" Type="http://schemas.openxmlformats.org/officeDocument/2006/relationships/hyperlink" Target="mailto:gelirler@samsun.bel.tr'" TargetMode="External"/><Relationship Id="rId16" Type="http://schemas.openxmlformats.org/officeDocument/2006/relationships/hyperlink" Target="mailto:tuncelibelediyesi@hs01.kep.tr" TargetMode="External"/><Relationship Id="rId1" Type="http://schemas.openxmlformats.org/officeDocument/2006/relationships/hyperlink" Target="mailto:malihizmetler@hatay.bel.tr" TargetMode="External"/><Relationship Id="rId6" Type="http://schemas.openxmlformats.org/officeDocument/2006/relationships/hyperlink" Target="mailto:vergilendirme.servisi@allianz.com.tr" TargetMode="External"/><Relationship Id="rId11" Type="http://schemas.openxmlformats.org/officeDocument/2006/relationships/hyperlink" Target="mailto:gelirsm@tekirdag.bel.tr" TargetMode="External"/><Relationship Id="rId5" Type="http://schemas.openxmlformats.org/officeDocument/2006/relationships/hyperlink" Target="mailto:edirnebelediyesi@hs03.kep.tr" TargetMode="External"/><Relationship Id="rId15" Type="http://schemas.openxmlformats.org/officeDocument/2006/relationships/hyperlink" Target="mailto:bolvadinbelediyesi@hs01.kep.tr" TargetMode="External"/><Relationship Id="rId10" Type="http://schemas.openxmlformats.org/officeDocument/2006/relationships/hyperlink" Target="mailto:bursabuyuksehir.genelevrak@hs03.kep.tr" TargetMode="External"/><Relationship Id="rId4" Type="http://schemas.openxmlformats.org/officeDocument/2006/relationships/hyperlink" Target="https://www.tbb.gov.tr/belediyelerimiz/belediyeler/" TargetMode="External"/><Relationship Id="rId9" Type="http://schemas.openxmlformats.org/officeDocument/2006/relationships/hyperlink" Target="mailto:rizebelediyesi@hs01.kep.tr" TargetMode="External"/><Relationship Id="rId14" Type="http://schemas.openxmlformats.org/officeDocument/2006/relationships/hyperlink" Target="mailto:osmancikbelediyesi@hs01.kep.tr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pageSetup paperSize="9" orientation="portrait" r:id="rId1"/>
  <headerFooter differentOddEven="1" differentFirst="1" alignWithMargins="0">
    <oddFooter>&amp;L
_x000D_&amp;1#&amp;"Calibri"&amp;10&amp;K008000 Internal&amp;C&amp;"tahoma,Bold"&amp;8&amp;KFFCC00¯¯¯¯¯¯¯¯¯¯¯¯¯¯¯¯¯¯¯¯¯¯¯¯¯¯¯¯¯¯¯¯¯¯¯¯¯
Gizli / Confidential  -
 Genel Nitelikli Kişisel Veri
&amp;10_____________________________________</oddFooter>
    <evenFooter>&amp;L
_x000D_&amp;1#&amp;"Calibri"&amp;10&amp;K008000 Internal&amp;C&amp;"tahoma,Bold"&amp;8&amp;KFFCC00¯¯¯¯¯¯¯¯¯¯¯¯¯¯¯¯¯¯¯¯¯¯¯¯¯¯¯¯¯¯¯¯¯¯¯¯¯
Gizli / Confidential  -
 Genel Nitelikli Kişisel Veri
&amp;10_____________________________________</evenFooter>
    <firstFooter>&amp;L
_x000D_&amp;1#&amp;"Calibri"&amp;10&amp;K008000 Internal&amp;C&amp;"tahoma,Bold"&amp;8&amp;KFFCC00¯¯¯¯¯¯¯¯¯¯¯¯¯¯¯¯¯¯¯¯¯¯¯¯¯¯¯¯¯¯¯¯¯¯¯¯¯
Gizli / Confidential  -
 Genel Nitelikli Kişisel Veri
&amp;10_____________________________________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N1082"/>
  <sheetViews>
    <sheetView tabSelected="1" zoomScale="70" zoomScaleNormal="70" workbookViewId="0">
      <pane ySplit="1" topLeftCell="A1023" activePane="bottomLeft" state="frozen"/>
      <selection activeCell="G302" sqref="G302"/>
      <selection pane="bottomLeft" activeCell="C1056" sqref="C1056"/>
    </sheetView>
  </sheetViews>
  <sheetFormatPr defaultRowHeight="12.5" x14ac:dyDescent="0.25"/>
  <cols>
    <col min="1" max="1" width="38.54296875" bestFit="1" customWidth="1"/>
    <col min="2" max="2" width="24.26953125" bestFit="1" customWidth="1"/>
    <col min="3" max="3" width="25.26953125" bestFit="1" customWidth="1"/>
    <col min="4" max="4" width="12.453125" customWidth="1"/>
    <col min="5" max="5" width="13.54296875" bestFit="1" customWidth="1"/>
    <col min="6" max="6" width="31.453125" bestFit="1" customWidth="1"/>
    <col min="7" max="7" width="7.26953125" customWidth="1"/>
    <col min="8" max="8" width="13.7265625" style="9" bestFit="1" customWidth="1"/>
    <col min="9" max="9" width="22.26953125" style="15" customWidth="1"/>
    <col min="10" max="10" width="21.7265625" style="15" bestFit="1" customWidth="1"/>
    <col min="11" max="11" width="13.26953125" style="15" bestFit="1" customWidth="1"/>
    <col min="12" max="12" width="52.26953125" style="18" bestFit="1" customWidth="1"/>
    <col min="13" max="13" width="17.26953125" style="18" customWidth="1"/>
  </cols>
  <sheetData>
    <row r="1" spans="1:14" ht="13" x14ac:dyDescent="0.3">
      <c r="A1" s="13" t="s">
        <v>1945</v>
      </c>
      <c r="B1" s="13" t="s">
        <v>1946</v>
      </c>
      <c r="C1" s="13" t="s">
        <v>1947</v>
      </c>
      <c r="D1" s="13" t="s">
        <v>1948</v>
      </c>
      <c r="E1" s="13" t="s">
        <v>1949</v>
      </c>
      <c r="F1" s="13" t="s">
        <v>695</v>
      </c>
      <c r="G1" s="13" t="s">
        <v>1950</v>
      </c>
      <c r="H1" s="16" t="s">
        <v>1951</v>
      </c>
      <c r="I1" s="14" t="s">
        <v>1952</v>
      </c>
      <c r="J1" s="14" t="s">
        <v>1778</v>
      </c>
      <c r="K1" s="14" t="s">
        <v>1779</v>
      </c>
      <c r="L1" s="17" t="s">
        <v>1953</v>
      </c>
      <c r="M1" s="17" t="s">
        <v>2048</v>
      </c>
    </row>
    <row r="2" spans="1:14" ht="12.75" customHeight="1" x14ac:dyDescent="0.25">
      <c r="A2" t="s">
        <v>2015</v>
      </c>
      <c r="B2" t="s">
        <v>2555</v>
      </c>
      <c r="C2" t="s">
        <v>489</v>
      </c>
      <c r="D2">
        <v>12</v>
      </c>
      <c r="E2">
        <v>90001</v>
      </c>
      <c r="F2" t="s">
        <v>892</v>
      </c>
      <c r="G2">
        <f t="shared" ref="G2:G3" si="0">LEN(F2)</f>
        <v>26</v>
      </c>
      <c r="H2" s="9">
        <f>IF(ISERROR(VLOOKUP(A2,Excel4!D:J,7,0)),0,VLOOKUP(A2,Excel4!D:J,7,0))</f>
        <v>0</v>
      </c>
      <c r="I2" s="15" t="s">
        <v>1777</v>
      </c>
      <c r="J2" s="15" t="s">
        <v>489</v>
      </c>
      <c r="K2" s="15" t="s">
        <v>33</v>
      </c>
      <c r="L2" s="18" t="str">
        <f t="shared" ref="L2:L3" si="1">IF(J2="MERKEZ",K2&amp;" "&amp;I2,IF(J2="BÜYÜKŞEHİR",K2&amp;" "&amp;J2&amp;" "&amp;I2,J2&amp;" "&amp;I2&amp;" "&amp;K2))</f>
        <v>AKÇATEKİR BELEDİYE BAŞKANLIĞI ADANA</v>
      </c>
      <c r="M2" s="18" t="str">
        <f t="shared" ref="M2:M3" si="2">IF(J2="MERKEZ",K2,IF(J2="BÜYÜKŞEHİR",K2&amp;" BÜYÜKŞEHİR",J2))</f>
        <v>AKÇATEKİR</v>
      </c>
    </row>
    <row r="3" spans="1:14" ht="12.75" customHeight="1" x14ac:dyDescent="0.25">
      <c r="A3" t="s">
        <v>1795</v>
      </c>
      <c r="B3" t="s">
        <v>704</v>
      </c>
      <c r="C3" t="s">
        <v>490</v>
      </c>
      <c r="D3">
        <v>10</v>
      </c>
      <c r="E3">
        <v>90001</v>
      </c>
      <c r="F3" t="s">
        <v>1826</v>
      </c>
      <c r="G3">
        <f t="shared" si="0"/>
        <v>26</v>
      </c>
      <c r="H3" s="9">
        <f>IF(ISERROR(VLOOKUP(A3,Excel4!D:J,7,0)),0,VLOOKUP(A3,Excel4!D:J,7,0))</f>
        <v>0</v>
      </c>
      <c r="I3" s="15" t="s">
        <v>1777</v>
      </c>
      <c r="J3" s="15" t="s">
        <v>490</v>
      </c>
      <c r="K3" s="15" t="s">
        <v>33</v>
      </c>
      <c r="L3" s="18" t="str">
        <f t="shared" si="1"/>
        <v>ALADAĞ BELEDİYE BAŞKANLIĞI ADANA</v>
      </c>
      <c r="M3" s="18" t="str">
        <f t="shared" si="2"/>
        <v>ALADAĞ</v>
      </c>
    </row>
    <row r="4" spans="1:14" ht="12.75" customHeight="1" x14ac:dyDescent="0.25">
      <c r="A4" t="s">
        <v>1902</v>
      </c>
      <c r="B4" t="s">
        <v>699</v>
      </c>
      <c r="C4" t="s">
        <v>33</v>
      </c>
      <c r="D4">
        <v>15</v>
      </c>
      <c r="E4">
        <v>90001</v>
      </c>
      <c r="F4" t="s">
        <v>388</v>
      </c>
      <c r="G4">
        <f t="shared" ref="G4:G17" si="3">LEN(F4)</f>
        <v>26</v>
      </c>
      <c r="H4" s="9">
        <f>IF(ISERROR(VLOOKUP(A4,Excel4!D:J,7,0)),0,VLOOKUP(A4,Excel4!D:J,7,0))</f>
        <v>30476.100000000006</v>
      </c>
      <c r="I4" s="15" t="s">
        <v>1777</v>
      </c>
      <c r="J4" s="15" t="s">
        <v>27</v>
      </c>
      <c r="K4" s="15" t="s">
        <v>33</v>
      </c>
      <c r="L4" s="18" t="str">
        <f t="shared" ref="L4:L35" si="4">IF(J4="MERKEZ",K4&amp;" "&amp;I4,IF(J4="BÜYÜKŞEHİR",K4&amp;" "&amp;J4&amp;" "&amp;I4,J4&amp;" "&amp;I4&amp;" "&amp;K4))</f>
        <v>ADANA BÜYÜKŞEHİR BELEDİYE BAŞKANLIĞI</v>
      </c>
      <c r="M4" s="18" t="str">
        <f t="shared" ref="M4:M67" si="5">IF(J4="MERKEZ",K4,IF(J4="BÜYÜKŞEHİR",K4&amp;" BÜYÜKŞEHİR",J4))</f>
        <v>ADANA BÜYÜKŞEHİR</v>
      </c>
      <c r="N4">
        <f>_xlfn.XLOOKUP(M4,[1]Sheet1!$A:$A,[1]Sheet1!$G:$G)</f>
        <v>0</v>
      </c>
    </row>
    <row r="5" spans="1:14" ht="12.75" customHeight="1" x14ac:dyDescent="0.25">
      <c r="A5" t="s">
        <v>893</v>
      </c>
      <c r="B5" t="s">
        <v>704</v>
      </c>
      <c r="C5" t="s">
        <v>256</v>
      </c>
      <c r="D5">
        <v>10</v>
      </c>
      <c r="E5">
        <v>90001</v>
      </c>
      <c r="F5" t="s">
        <v>894</v>
      </c>
      <c r="G5">
        <f t="shared" si="3"/>
        <v>26</v>
      </c>
      <c r="H5" s="9">
        <f>IF(ISERROR(VLOOKUP(A5,Excel4!D:J,7,0)),0,VLOOKUP(A5,Excel4!D:J,7,0))</f>
        <v>0</v>
      </c>
      <c r="I5" s="15" t="s">
        <v>1777</v>
      </c>
      <c r="J5" s="15" t="s">
        <v>256</v>
      </c>
      <c r="K5" s="15" t="s">
        <v>33</v>
      </c>
      <c r="L5" s="18" t="str">
        <f t="shared" si="4"/>
        <v>CEYHAN BELEDİYE BAŞKANLIĞI ADANA</v>
      </c>
      <c r="M5" s="18" t="str">
        <f t="shared" si="5"/>
        <v>CEYHAN</v>
      </c>
    </row>
    <row r="6" spans="1:14" ht="12.75" customHeight="1" x14ac:dyDescent="0.25">
      <c r="A6" t="s">
        <v>895</v>
      </c>
      <c r="B6" t="s">
        <v>704</v>
      </c>
      <c r="C6" t="s">
        <v>20</v>
      </c>
      <c r="D6">
        <v>10</v>
      </c>
      <c r="E6">
        <v>90001</v>
      </c>
      <c r="F6" t="s">
        <v>896</v>
      </c>
      <c r="G6">
        <f t="shared" si="3"/>
        <v>26</v>
      </c>
      <c r="H6" s="9">
        <f>IF(ISERROR(VLOOKUP(A6,Excel4!D:J,7,0)),0,VLOOKUP(A6,Excel4!D:J,7,0))</f>
        <v>0</v>
      </c>
      <c r="I6" s="15" t="s">
        <v>1777</v>
      </c>
      <c r="J6" s="15" t="s">
        <v>20</v>
      </c>
      <c r="K6" s="15" t="s">
        <v>33</v>
      </c>
      <c r="L6" s="18" t="str">
        <f t="shared" si="4"/>
        <v>ÇUKUROVA BELEDİYE BAŞKANLIĞI ADANA</v>
      </c>
      <c r="M6" s="18" t="str">
        <f t="shared" si="5"/>
        <v>ÇUKUROVA</v>
      </c>
    </row>
    <row r="7" spans="1:14" ht="12.75" customHeight="1" x14ac:dyDescent="0.25">
      <c r="A7" t="s">
        <v>1606</v>
      </c>
      <c r="B7" t="s">
        <v>818</v>
      </c>
      <c r="C7" t="s">
        <v>491</v>
      </c>
      <c r="D7">
        <v>64</v>
      </c>
      <c r="E7">
        <v>90001</v>
      </c>
      <c r="F7" t="s">
        <v>1607</v>
      </c>
      <c r="G7">
        <f t="shared" si="3"/>
        <v>26</v>
      </c>
      <c r="H7" s="9">
        <f>IF(ISERROR(VLOOKUP(A7,Excel4!D:J,7,0)),0,VLOOKUP(A7,Excel4!D:J,7,0))</f>
        <v>0</v>
      </c>
      <c r="I7" s="15" t="s">
        <v>1777</v>
      </c>
      <c r="J7" s="15" t="s">
        <v>491</v>
      </c>
      <c r="K7" s="15" t="s">
        <v>33</v>
      </c>
      <c r="L7" s="18" t="str">
        <f t="shared" si="4"/>
        <v>İMAMOĞLU BELEDİYE BAŞKANLIĞI ADANA</v>
      </c>
      <c r="M7" s="18" t="str">
        <f t="shared" si="5"/>
        <v>İMAMOĞLU</v>
      </c>
    </row>
    <row r="8" spans="1:14" ht="12.75" customHeight="1" x14ac:dyDescent="0.25">
      <c r="A8" t="s">
        <v>897</v>
      </c>
      <c r="B8" t="s">
        <v>704</v>
      </c>
      <c r="C8" t="s">
        <v>492</v>
      </c>
      <c r="D8">
        <v>10</v>
      </c>
      <c r="E8">
        <v>90001</v>
      </c>
      <c r="F8" t="s">
        <v>898</v>
      </c>
      <c r="G8">
        <f t="shared" si="3"/>
        <v>26</v>
      </c>
      <c r="H8" s="9">
        <f>IF(ISERROR(VLOOKUP(A8,Excel4!D:J,7,0)),0,VLOOKUP(A8,Excel4!D:J,7,0))</f>
        <v>0</v>
      </c>
      <c r="I8" s="15" t="s">
        <v>1777</v>
      </c>
      <c r="J8" s="15" t="s">
        <v>492</v>
      </c>
      <c r="K8" s="15" t="s">
        <v>33</v>
      </c>
      <c r="L8" s="18" t="str">
        <f t="shared" si="4"/>
        <v>KARAİSALI BELEDİYE BAŞKANLIĞI ADANA</v>
      </c>
      <c r="M8" s="18" t="str">
        <f t="shared" si="5"/>
        <v>KARAİSALI</v>
      </c>
    </row>
    <row r="9" spans="1:14" ht="12.75" customHeight="1" x14ac:dyDescent="0.25">
      <c r="A9" t="s">
        <v>899</v>
      </c>
      <c r="B9" t="s">
        <v>704</v>
      </c>
      <c r="C9" t="s">
        <v>493</v>
      </c>
      <c r="D9">
        <v>10</v>
      </c>
      <c r="E9">
        <v>90001</v>
      </c>
      <c r="F9" t="s">
        <v>900</v>
      </c>
      <c r="G9">
        <f t="shared" si="3"/>
        <v>26</v>
      </c>
      <c r="H9" s="9">
        <f>IF(ISERROR(VLOOKUP(A9,Excel4!D:J,7,0)),0,VLOOKUP(A9,Excel4!D:J,7,0))</f>
        <v>0</v>
      </c>
      <c r="I9" s="15" t="s">
        <v>1777</v>
      </c>
      <c r="J9" s="15" t="s">
        <v>493</v>
      </c>
      <c r="K9" s="15" t="s">
        <v>33</v>
      </c>
      <c r="L9" s="18" t="str">
        <f t="shared" si="4"/>
        <v>KARATAŞ BELEDİYE BAŞKANLIĞI ADANA</v>
      </c>
      <c r="M9" s="18" t="str">
        <f t="shared" si="5"/>
        <v>KARATAŞ</v>
      </c>
    </row>
    <row r="10" spans="1:14" ht="12.75" customHeight="1" x14ac:dyDescent="0.25">
      <c r="A10" t="s">
        <v>1608</v>
      </c>
      <c r="B10" t="s">
        <v>2555</v>
      </c>
      <c r="C10" t="s">
        <v>290</v>
      </c>
      <c r="D10">
        <v>12</v>
      </c>
      <c r="E10">
        <v>90001</v>
      </c>
      <c r="F10" t="s">
        <v>1609</v>
      </c>
      <c r="G10">
        <f t="shared" si="3"/>
        <v>26</v>
      </c>
      <c r="H10" s="9">
        <f>IF(ISERROR(VLOOKUP(A10,Excel4!D:J,7,0)),0,VLOOKUP(A10,Excel4!D:J,7,0))</f>
        <v>0</v>
      </c>
      <c r="I10" s="15" t="s">
        <v>1777</v>
      </c>
      <c r="J10" s="15" t="s">
        <v>290</v>
      </c>
      <c r="K10" s="15" t="s">
        <v>33</v>
      </c>
      <c r="L10" s="18" t="str">
        <f t="shared" si="4"/>
        <v>KOZAN BELEDİYE BAŞKANLIĞI ADANA</v>
      </c>
      <c r="M10" s="18" t="str">
        <f t="shared" si="5"/>
        <v>KOZAN</v>
      </c>
    </row>
    <row r="11" spans="1:14" ht="12.75" customHeight="1" x14ac:dyDescent="0.25">
      <c r="A11" t="s">
        <v>901</v>
      </c>
      <c r="B11" t="s">
        <v>704</v>
      </c>
      <c r="C11" t="s">
        <v>291</v>
      </c>
      <c r="D11">
        <v>10</v>
      </c>
      <c r="E11">
        <v>90001</v>
      </c>
      <c r="F11" t="s">
        <v>902</v>
      </c>
      <c r="G11">
        <f t="shared" si="3"/>
        <v>26</v>
      </c>
      <c r="H11" s="9">
        <f>IF(ISERROR(VLOOKUP(A11,Excel4!D:J,7,0)),0,VLOOKUP(A11,Excel4!D:J,7,0))</f>
        <v>0</v>
      </c>
      <c r="I11" s="15" t="s">
        <v>1777</v>
      </c>
      <c r="J11" s="15" t="s">
        <v>291</v>
      </c>
      <c r="K11" s="15" t="s">
        <v>33</v>
      </c>
      <c r="L11" s="18" t="str">
        <f t="shared" si="4"/>
        <v>POZANTI BELEDİYE BAŞKANLIĞI ADANA</v>
      </c>
      <c r="M11" s="18" t="str">
        <f t="shared" si="5"/>
        <v>POZANTI</v>
      </c>
    </row>
    <row r="12" spans="1:14" ht="12.75" customHeight="1" x14ac:dyDescent="0.25">
      <c r="A12" t="s">
        <v>903</v>
      </c>
      <c r="B12" t="s">
        <v>699</v>
      </c>
      <c r="C12" t="s">
        <v>36</v>
      </c>
      <c r="D12">
        <v>15</v>
      </c>
      <c r="E12">
        <v>90001</v>
      </c>
      <c r="F12" t="s">
        <v>904</v>
      </c>
      <c r="G12">
        <f t="shared" si="3"/>
        <v>26</v>
      </c>
      <c r="H12" s="9">
        <f>IF(ISERROR(VLOOKUP(A12,Excel4!D:J,7,0)),0,VLOOKUP(A12,Excel4!D:J,7,0))</f>
        <v>0</v>
      </c>
      <c r="I12" s="15" t="s">
        <v>1777</v>
      </c>
      <c r="J12" s="15" t="s">
        <v>36</v>
      </c>
      <c r="K12" s="15" t="s">
        <v>33</v>
      </c>
      <c r="L12" s="18" t="str">
        <f t="shared" si="4"/>
        <v>SEYHAN BELEDİYE BAŞKANLIĞI ADANA</v>
      </c>
      <c r="M12" s="18" t="str">
        <f t="shared" si="5"/>
        <v>SEYHAN</v>
      </c>
    </row>
    <row r="13" spans="1:14" ht="12.75" customHeight="1" x14ac:dyDescent="0.25">
      <c r="A13" t="s">
        <v>905</v>
      </c>
      <c r="B13" t="s">
        <v>704</v>
      </c>
      <c r="C13" t="s">
        <v>494</v>
      </c>
      <c r="D13">
        <v>10</v>
      </c>
      <c r="E13">
        <v>90001</v>
      </c>
      <c r="F13" t="s">
        <v>906</v>
      </c>
      <c r="G13">
        <f t="shared" si="3"/>
        <v>26</v>
      </c>
      <c r="H13" s="9">
        <f>IF(ISERROR(VLOOKUP(A13,Excel4!D:J,7,0)),0,VLOOKUP(A13,Excel4!D:J,7,0))</f>
        <v>0</v>
      </c>
      <c r="I13" s="15" t="s">
        <v>1777</v>
      </c>
      <c r="J13" s="15" t="s">
        <v>494</v>
      </c>
      <c r="K13" s="15" t="s">
        <v>33</v>
      </c>
      <c r="L13" s="18" t="str">
        <f t="shared" si="4"/>
        <v>TUFANBEYLİ BELEDİYE BAŞKANLIĞI ADANA</v>
      </c>
      <c r="M13" s="18" t="str">
        <f t="shared" si="5"/>
        <v>TUFANBEYLİ</v>
      </c>
    </row>
    <row r="14" spans="1:14" ht="12.75" customHeight="1" x14ac:dyDescent="0.25">
      <c r="A14" t="s">
        <v>907</v>
      </c>
      <c r="B14" t="s">
        <v>704</v>
      </c>
      <c r="C14" t="s">
        <v>423</v>
      </c>
      <c r="D14">
        <v>10</v>
      </c>
      <c r="E14">
        <v>90001</v>
      </c>
      <c r="F14" t="s">
        <v>908</v>
      </c>
      <c r="G14">
        <f t="shared" si="3"/>
        <v>26</v>
      </c>
      <c r="H14" s="9">
        <f>IF(ISERROR(VLOOKUP(A14,Excel4!D:J,7,0)),0,VLOOKUP(A14,Excel4!D:J,7,0))</f>
        <v>0</v>
      </c>
      <c r="I14" s="15" t="s">
        <v>1777</v>
      </c>
      <c r="J14" s="15" t="s">
        <v>423</v>
      </c>
      <c r="K14" s="15" t="s">
        <v>33</v>
      </c>
      <c r="L14" s="18" t="str">
        <f t="shared" si="4"/>
        <v>YUMURTALIK BELEDİYE BAŞKANLIĞI ADANA</v>
      </c>
      <c r="M14" s="18" t="str">
        <f t="shared" si="5"/>
        <v>YUMURTALIK</v>
      </c>
    </row>
    <row r="15" spans="1:14" ht="12.75" customHeight="1" x14ac:dyDescent="0.25">
      <c r="A15" t="s">
        <v>909</v>
      </c>
      <c r="B15" t="s">
        <v>2555</v>
      </c>
      <c r="C15" t="s">
        <v>340</v>
      </c>
      <c r="D15">
        <v>12</v>
      </c>
      <c r="E15">
        <v>90001</v>
      </c>
      <c r="F15" t="s">
        <v>910</v>
      </c>
      <c r="G15">
        <f t="shared" si="3"/>
        <v>26</v>
      </c>
      <c r="H15" s="9">
        <f>IF(ISERROR(VLOOKUP(A15,Excel4!D:J,7,0)),0,VLOOKUP(A15,Excel4!D:J,7,0))</f>
        <v>71.069999999999993</v>
      </c>
      <c r="I15" s="15" t="s">
        <v>1777</v>
      </c>
      <c r="J15" s="15" t="s">
        <v>340</v>
      </c>
      <c r="K15" s="15" t="s">
        <v>190</v>
      </c>
      <c r="L15" s="18" t="str">
        <f t="shared" si="4"/>
        <v>BESNİ BELEDİYE BAŞKANLIĞI ADIYAMAN</v>
      </c>
      <c r="M15" s="18" t="str">
        <f t="shared" si="5"/>
        <v>BESNİ</v>
      </c>
      <c r="N15">
        <f>_xlfn.XLOOKUP(M15,[1]Sheet1!$A:$A,[1]Sheet1!$G:$G)</f>
        <v>0</v>
      </c>
    </row>
    <row r="16" spans="1:14" ht="12.75" customHeight="1" x14ac:dyDescent="0.25">
      <c r="A16" t="s">
        <v>3017</v>
      </c>
      <c r="B16" t="s">
        <v>2555</v>
      </c>
      <c r="C16" t="s">
        <v>424</v>
      </c>
      <c r="D16">
        <v>12</v>
      </c>
      <c r="E16">
        <v>90001</v>
      </c>
      <c r="F16" t="s">
        <v>3018</v>
      </c>
      <c r="G16">
        <f t="shared" si="3"/>
        <v>26</v>
      </c>
      <c r="H16" s="9">
        <f>IF(ISERROR(VLOOKUP(A16,Excel4!D:J,7,0)),0,VLOOKUP(A16,Excel4!D:J,7,0))</f>
        <v>0</v>
      </c>
      <c r="I16" s="15" t="s">
        <v>1777</v>
      </c>
      <c r="J16" s="20" t="s">
        <v>2995</v>
      </c>
      <c r="K16" s="15" t="s">
        <v>190</v>
      </c>
      <c r="L16" s="18" t="str">
        <f t="shared" si="4"/>
        <v>BÖLÜKYAYLA BELEDİYE BAŞKANLIĞI ADIYAMAN</v>
      </c>
      <c r="M16" s="18" t="str">
        <f t="shared" si="5"/>
        <v>BÖLÜKYAYLA</v>
      </c>
    </row>
    <row r="17" spans="1:14" ht="12.75" customHeight="1" x14ac:dyDescent="0.25">
      <c r="A17" t="s">
        <v>2834</v>
      </c>
      <c r="B17" s="19" t="s">
        <v>2555</v>
      </c>
      <c r="C17" s="19" t="s">
        <v>340</v>
      </c>
      <c r="D17">
        <v>12</v>
      </c>
      <c r="E17">
        <v>90001</v>
      </c>
      <c r="F17" s="19" t="s">
        <v>2836</v>
      </c>
      <c r="G17">
        <f t="shared" si="3"/>
        <v>26</v>
      </c>
      <c r="H17" s="9">
        <f>IF(ISERROR(VLOOKUP(A17,Excel4!D:J,7,0)),0,VLOOKUP(A17,Excel4!D:J,7,0))</f>
        <v>0</v>
      </c>
      <c r="I17" s="15" t="s">
        <v>1777</v>
      </c>
      <c r="J17" s="15" t="s">
        <v>2833</v>
      </c>
      <c r="K17" s="15" t="s">
        <v>190</v>
      </c>
      <c r="L17" s="18" t="str">
        <f t="shared" si="4"/>
        <v>ÇAKIRHÜYÜK BELEDİYE BAŞKANLIĞI ADIYAMAN</v>
      </c>
      <c r="M17" s="18" t="str">
        <f t="shared" si="5"/>
        <v>ÇAKIRHÜYÜK</v>
      </c>
    </row>
    <row r="18" spans="1:14" ht="12.75" customHeight="1" x14ac:dyDescent="0.25">
      <c r="A18" t="s">
        <v>3518</v>
      </c>
      <c r="B18" t="s">
        <v>704</v>
      </c>
      <c r="C18" t="s">
        <v>3515</v>
      </c>
      <c r="D18">
        <v>10</v>
      </c>
      <c r="E18">
        <v>90001</v>
      </c>
      <c r="F18" t="s">
        <v>3521</v>
      </c>
      <c r="G18">
        <v>26</v>
      </c>
      <c r="H18" s="9">
        <f>IF(ISERROR(VLOOKUP(A18,Excel4!D:J,7,0)),0,VLOOKUP(A18,Excel4!D:J,7,0))</f>
        <v>42.54</v>
      </c>
      <c r="I18" s="15" t="s">
        <v>1777</v>
      </c>
      <c r="J18" s="15" t="s">
        <v>3515</v>
      </c>
      <c r="K18" s="15" t="s">
        <v>190</v>
      </c>
      <c r="L18" s="18" t="str">
        <f t="shared" si="4"/>
        <v>ÇELİKHAN BELEDİYE BAŞKANLIĞI ADIYAMAN</v>
      </c>
      <c r="M18" s="18" t="str">
        <f t="shared" si="5"/>
        <v>ÇELİKHAN</v>
      </c>
      <c r="N18">
        <f>_xlfn.XLOOKUP(M18,[1]Sheet1!$A:$A,[1]Sheet1!$G:$G)</f>
        <v>0</v>
      </c>
    </row>
    <row r="19" spans="1:14" ht="12.75" customHeight="1" x14ac:dyDescent="0.25">
      <c r="A19" t="s">
        <v>3493</v>
      </c>
      <c r="B19" t="s">
        <v>704</v>
      </c>
      <c r="C19" t="s">
        <v>3476</v>
      </c>
      <c r="D19">
        <v>10</v>
      </c>
      <c r="E19">
        <v>90001</v>
      </c>
      <c r="F19" t="s">
        <v>3495</v>
      </c>
      <c r="G19">
        <v>26</v>
      </c>
      <c r="H19" s="9">
        <f>IF(ISERROR(VLOOKUP(A19,Excel4!D:J,7,0)),0,VLOOKUP(A19,Excel4!D:J,7,0))</f>
        <v>0</v>
      </c>
      <c r="I19" s="15" t="s">
        <v>1777</v>
      </c>
      <c r="J19" s="15" t="s">
        <v>3476</v>
      </c>
      <c r="K19" s="15" t="s">
        <v>190</v>
      </c>
      <c r="L19" s="18" t="str">
        <f t="shared" si="4"/>
        <v>GERGER BELEDİYE BAŞKANLIĞI ADIYAMAN</v>
      </c>
      <c r="M19" s="18" t="str">
        <f t="shared" si="5"/>
        <v>GERGER</v>
      </c>
    </row>
    <row r="20" spans="1:14" ht="12.75" customHeight="1" x14ac:dyDescent="0.25">
      <c r="A20" t="s">
        <v>911</v>
      </c>
      <c r="B20" t="s">
        <v>704</v>
      </c>
      <c r="C20" t="s">
        <v>150</v>
      </c>
      <c r="D20">
        <v>10</v>
      </c>
      <c r="E20">
        <v>90001</v>
      </c>
      <c r="F20" t="s">
        <v>912</v>
      </c>
      <c r="G20">
        <f t="shared" ref="G20:G83" si="6">LEN(F20)</f>
        <v>26</v>
      </c>
      <c r="H20" s="9">
        <f>IF(ISERROR(VLOOKUP(A20,Excel4!D:J,7,0)),0,VLOOKUP(A20,Excel4!D:J,7,0))</f>
        <v>22.29</v>
      </c>
      <c r="I20" s="15" t="s">
        <v>1777</v>
      </c>
      <c r="J20" s="15" t="s">
        <v>150</v>
      </c>
      <c r="K20" s="15" t="s">
        <v>190</v>
      </c>
      <c r="L20" s="18" t="str">
        <f t="shared" si="4"/>
        <v>GÖLBAŞI BELEDİYE BAŞKANLIĞI ADIYAMAN</v>
      </c>
      <c r="M20" s="18" t="str">
        <f t="shared" si="5"/>
        <v>GÖLBAŞI</v>
      </c>
      <c r="N20">
        <f>_xlfn.XLOOKUP(M20,[1]Sheet1!$A:$A,[1]Sheet1!$G:$G)</f>
        <v>0</v>
      </c>
    </row>
    <row r="21" spans="1:14" ht="12.75" customHeight="1" x14ac:dyDescent="0.25">
      <c r="A21" t="s">
        <v>913</v>
      </c>
      <c r="B21" t="s">
        <v>2555</v>
      </c>
      <c r="C21" t="s">
        <v>424</v>
      </c>
      <c r="D21">
        <v>12</v>
      </c>
      <c r="E21">
        <v>90001</v>
      </c>
      <c r="F21" t="s">
        <v>914</v>
      </c>
      <c r="G21">
        <f t="shared" si="6"/>
        <v>26</v>
      </c>
      <c r="H21" s="9">
        <f>IF(ISERROR(VLOOKUP(A21,Excel4!D:J,7,0)),0,VLOOKUP(A21,Excel4!D:J,7,0))</f>
        <v>505.69</v>
      </c>
      <c r="I21" s="15" t="s">
        <v>1777</v>
      </c>
      <c r="J21" s="15" t="s">
        <v>424</v>
      </c>
      <c r="K21" s="15" t="s">
        <v>190</v>
      </c>
      <c r="L21" s="18" t="str">
        <f t="shared" si="4"/>
        <v>KAHTA BELEDİYE BAŞKANLIĞI ADIYAMAN</v>
      </c>
      <c r="M21" s="18" t="str">
        <f t="shared" si="5"/>
        <v>KAHTA</v>
      </c>
      <c r="N21">
        <f>_xlfn.XLOOKUP(M21,[1]Sheet1!$A:$A,[1]Sheet1!$G:$G)</f>
        <v>0</v>
      </c>
    </row>
    <row r="22" spans="1:14" ht="12.75" customHeight="1" x14ac:dyDescent="0.25">
      <c r="A22" s="19" t="s">
        <v>2914</v>
      </c>
      <c r="B22" t="s">
        <v>2555</v>
      </c>
      <c r="C22" t="s">
        <v>34</v>
      </c>
      <c r="D22">
        <v>12</v>
      </c>
      <c r="E22">
        <v>9181</v>
      </c>
      <c r="F22" t="s">
        <v>916</v>
      </c>
      <c r="G22">
        <f t="shared" si="6"/>
        <v>26</v>
      </c>
      <c r="H22" s="9">
        <f>IF(ISERROR(VLOOKUP(A22,Excel4!D:J,7,0)),0,VLOOKUP(A22,Excel4!D:J,7,0))</f>
        <v>0</v>
      </c>
      <c r="I22" s="15" t="s">
        <v>1777</v>
      </c>
      <c r="J22" s="20" t="s">
        <v>2793</v>
      </c>
      <c r="K22" s="15" t="s">
        <v>190</v>
      </c>
      <c r="L22" s="18" t="str">
        <f t="shared" si="4"/>
        <v>KARICIK BELEDİYE BAŞKANLIĞI ADIYAMAN</v>
      </c>
      <c r="M22" s="18" t="str">
        <f t="shared" si="5"/>
        <v>KARICIK</v>
      </c>
    </row>
    <row r="23" spans="1:14" ht="12.75" customHeight="1" x14ac:dyDescent="0.25">
      <c r="A23" t="s">
        <v>3295</v>
      </c>
      <c r="B23" t="s">
        <v>876</v>
      </c>
      <c r="C23" t="s">
        <v>3307</v>
      </c>
      <c r="D23">
        <v>134</v>
      </c>
      <c r="E23">
        <v>90001</v>
      </c>
      <c r="F23" t="s">
        <v>3306</v>
      </c>
      <c r="G23">
        <f t="shared" si="6"/>
        <v>26</v>
      </c>
      <c r="H23" s="9">
        <f>IF(ISERROR(VLOOKUP(A23,Excel4!D:J,7,0)),0,VLOOKUP(A23,Excel4!D:J,7,0))</f>
        <v>0</v>
      </c>
      <c r="I23" s="15" t="s">
        <v>1777</v>
      </c>
      <c r="J23" s="15" t="s">
        <v>3280</v>
      </c>
      <c r="K23" s="15" t="s">
        <v>190</v>
      </c>
      <c r="L23" s="18" t="str">
        <f t="shared" si="4"/>
        <v>KESMETEPE BELEDİYE BAŞKANLIĞI ADIYAMAN</v>
      </c>
      <c r="M23" s="18" t="str">
        <f t="shared" si="5"/>
        <v>KESMETEPE</v>
      </c>
    </row>
    <row r="24" spans="1:14" ht="12.75" customHeight="1" x14ac:dyDescent="0.25">
      <c r="A24" s="19" t="s">
        <v>2958</v>
      </c>
      <c r="B24" t="s">
        <v>2555</v>
      </c>
      <c r="C24" t="s">
        <v>2962</v>
      </c>
      <c r="D24">
        <v>12</v>
      </c>
      <c r="E24">
        <v>90001</v>
      </c>
      <c r="F24" t="s">
        <v>2963</v>
      </c>
      <c r="G24">
        <f t="shared" si="6"/>
        <v>26</v>
      </c>
      <c r="H24" s="9">
        <f>IF(ISERROR(VLOOKUP(A24,Excel4!D:J,7,0)),0,VLOOKUP(A24,Excel4!D:J,7,0))</f>
        <v>0</v>
      </c>
      <c r="I24" s="15" t="s">
        <v>1777</v>
      </c>
      <c r="J24" s="20" t="s">
        <v>2956</v>
      </c>
      <c r="K24" s="15" t="s">
        <v>190</v>
      </c>
      <c r="L24" s="18" t="str">
        <f t="shared" si="4"/>
        <v>KÖMÜR BELEDİYE BAŞKANLIĞI ADIYAMAN</v>
      </c>
      <c r="M24" s="18" t="str">
        <f t="shared" si="5"/>
        <v>KÖMÜR</v>
      </c>
    </row>
    <row r="25" spans="1:14" ht="12.75" customHeight="1" x14ac:dyDescent="0.25">
      <c r="A25" t="s">
        <v>915</v>
      </c>
      <c r="B25" t="s">
        <v>2555</v>
      </c>
      <c r="C25" t="s">
        <v>34</v>
      </c>
      <c r="D25">
        <v>12</v>
      </c>
      <c r="E25">
        <v>90001</v>
      </c>
      <c r="F25" t="s">
        <v>916</v>
      </c>
      <c r="G25">
        <f t="shared" si="6"/>
        <v>26</v>
      </c>
      <c r="H25" s="9">
        <f>IF(ISERROR(VLOOKUP(A25,Excel4!D:J,7,0)),0,VLOOKUP(A25,Excel4!D:J,7,0))</f>
        <v>2603.9400000000005</v>
      </c>
      <c r="I25" s="15" t="s">
        <v>1777</v>
      </c>
      <c r="J25" s="15" t="s">
        <v>34</v>
      </c>
      <c r="K25" s="15" t="s">
        <v>190</v>
      </c>
      <c r="L25" s="18" t="str">
        <f t="shared" si="4"/>
        <v>ADIYAMAN BELEDİYE BAŞKANLIĞI</v>
      </c>
      <c r="M25" s="18" t="str">
        <f t="shared" si="5"/>
        <v>ADIYAMAN</v>
      </c>
      <c r="N25" t="e">
        <f>_xlfn.XLOOKUP(M25,[1]Sheet1!$C:$C,[1]Sheet1!$G:$G)</f>
        <v>#N/A</v>
      </c>
    </row>
    <row r="26" spans="1:14" ht="12.75" customHeight="1" x14ac:dyDescent="0.25">
      <c r="A26" t="s">
        <v>2978</v>
      </c>
      <c r="B26" t="s">
        <v>704</v>
      </c>
      <c r="C26" s="19" t="s">
        <v>2975</v>
      </c>
      <c r="D26">
        <v>10</v>
      </c>
      <c r="E26">
        <v>90001</v>
      </c>
      <c r="F26" s="19" t="s">
        <v>2980</v>
      </c>
      <c r="G26">
        <f t="shared" si="6"/>
        <v>26</v>
      </c>
      <c r="H26" s="9">
        <f>IF(ISERROR(VLOOKUP(A26,Excel4!D:J,7,0)),0,VLOOKUP(A26,Excel4!D:J,7,0))</f>
        <v>0</v>
      </c>
      <c r="I26" s="15" t="s">
        <v>1777</v>
      </c>
      <c r="J26" s="20" t="s">
        <v>2975</v>
      </c>
      <c r="K26" s="15" t="s">
        <v>190</v>
      </c>
      <c r="L26" s="18" t="str">
        <f t="shared" si="4"/>
        <v>SAMSAT BELEDİYE BAŞKANLIĞI ADIYAMAN</v>
      </c>
      <c r="M26" s="18" t="str">
        <f t="shared" si="5"/>
        <v>SAMSAT</v>
      </c>
    </row>
    <row r="27" spans="1:14" ht="12.75" customHeight="1" x14ac:dyDescent="0.25">
      <c r="A27" t="s">
        <v>1610</v>
      </c>
      <c r="B27" t="s">
        <v>2555</v>
      </c>
      <c r="C27" t="s">
        <v>495</v>
      </c>
      <c r="D27">
        <v>12</v>
      </c>
      <c r="E27">
        <v>90001</v>
      </c>
      <c r="F27" t="s">
        <v>1611</v>
      </c>
      <c r="G27">
        <f t="shared" si="6"/>
        <v>26</v>
      </c>
      <c r="H27" s="9">
        <f>IF(ISERROR(VLOOKUP(A27,Excel4!D:J,7,0)),0,VLOOKUP(A27,Excel4!D:J,7,0))</f>
        <v>0</v>
      </c>
      <c r="I27" s="15" t="s">
        <v>1777</v>
      </c>
      <c r="J27" s="15" t="s">
        <v>495</v>
      </c>
      <c r="K27" s="15" t="s">
        <v>190</v>
      </c>
      <c r="L27" s="18" t="str">
        <f t="shared" si="4"/>
        <v>SİNCİK BELEDİYE BAŞKANLIĞI ADIYAMAN</v>
      </c>
      <c r="M27" s="18" t="str">
        <f t="shared" si="5"/>
        <v>SİNCİK</v>
      </c>
      <c r="N27">
        <f>_xlfn.XLOOKUP(M27,[1]Sheet1!$A:$A,[1]Sheet1!$G:$G)</f>
        <v>0</v>
      </c>
    </row>
    <row r="28" spans="1:14" ht="12.75" customHeight="1" x14ac:dyDescent="0.25">
      <c r="A28" t="s">
        <v>2804</v>
      </c>
      <c r="B28" t="s">
        <v>2555</v>
      </c>
      <c r="C28" t="s">
        <v>340</v>
      </c>
      <c r="D28">
        <v>12</v>
      </c>
      <c r="E28">
        <v>90001</v>
      </c>
      <c r="F28" t="s">
        <v>2810</v>
      </c>
      <c r="G28">
        <f t="shared" si="6"/>
        <v>26</v>
      </c>
      <c r="H28" s="9">
        <f>IF(ISERROR(VLOOKUP(A28,Excel4!D:J,7,0)),0,VLOOKUP(A28,Excel4!D:J,7,0))</f>
        <v>0</v>
      </c>
      <c r="I28" s="15" t="s">
        <v>1777</v>
      </c>
      <c r="J28" s="15" t="s">
        <v>2801</v>
      </c>
      <c r="K28" s="15" t="s">
        <v>190</v>
      </c>
      <c r="L28" s="18" t="str">
        <f t="shared" si="4"/>
        <v>ŞAMBAYAT BELEDİYE BAŞKANLIĞI ADIYAMAN</v>
      </c>
      <c r="M28" s="18" t="str">
        <f t="shared" si="5"/>
        <v>ŞAMBAYAT</v>
      </c>
    </row>
    <row r="29" spans="1:14" ht="12.75" customHeight="1" x14ac:dyDescent="0.25">
      <c r="A29" t="s">
        <v>2633</v>
      </c>
      <c r="B29" s="19" t="s">
        <v>2555</v>
      </c>
      <c r="C29" s="19" t="s">
        <v>150</v>
      </c>
      <c r="D29">
        <v>12</v>
      </c>
      <c r="E29">
        <v>90001</v>
      </c>
      <c r="F29" s="19" t="s">
        <v>2634</v>
      </c>
      <c r="G29">
        <f t="shared" si="6"/>
        <v>26</v>
      </c>
      <c r="H29" s="9">
        <f>IF(ISERROR(VLOOKUP(A29,Excel4!D:J,7,0)),0,VLOOKUP(A29,Excel4!D:J,7,0))</f>
        <v>0</v>
      </c>
      <c r="I29" s="15" t="s">
        <v>1777</v>
      </c>
      <c r="J29" s="15" t="s">
        <v>2623</v>
      </c>
      <c r="K29" s="15" t="s">
        <v>190</v>
      </c>
      <c r="L29" s="18" t="str">
        <f t="shared" si="4"/>
        <v>TUT BELEDİYE BAŞKANLIĞI ADIYAMAN</v>
      </c>
      <c r="M29" s="18" t="str">
        <f t="shared" si="5"/>
        <v>TUT</v>
      </c>
    </row>
    <row r="30" spans="1:14" ht="12.75" customHeight="1" x14ac:dyDescent="0.25">
      <c r="A30" t="s">
        <v>3294</v>
      </c>
      <c r="B30" t="s">
        <v>2555</v>
      </c>
      <c r="C30" t="s">
        <v>3304</v>
      </c>
      <c r="D30">
        <v>12</v>
      </c>
      <c r="E30">
        <v>90001</v>
      </c>
      <c r="F30" t="s">
        <v>3305</v>
      </c>
      <c r="G30">
        <f t="shared" si="6"/>
        <v>26</v>
      </c>
      <c r="H30" s="9">
        <f>IF(ISERROR(VLOOKUP(A30,Excel4!D:J,7,0)),0,VLOOKUP(A30,Excel4!D:J,7,0))</f>
        <v>0</v>
      </c>
      <c r="I30" s="15" t="s">
        <v>1777</v>
      </c>
      <c r="J30" s="15" t="s">
        <v>3201</v>
      </c>
      <c r="K30" s="15" t="s">
        <v>190</v>
      </c>
      <c r="L30" s="18" t="str">
        <f t="shared" si="4"/>
        <v>YAYLAKONAK BELEDİYE BAŞKANLIĞI ADIYAMAN</v>
      </c>
      <c r="M30" s="18" t="str">
        <f t="shared" si="5"/>
        <v>YAYLAKONAK</v>
      </c>
    </row>
    <row r="31" spans="1:14" ht="12.75" customHeight="1" x14ac:dyDescent="0.25">
      <c r="A31" t="s">
        <v>3616</v>
      </c>
      <c r="B31" s="19" t="s">
        <v>704</v>
      </c>
      <c r="C31" s="19" t="s">
        <v>93</v>
      </c>
      <c r="D31">
        <v>10</v>
      </c>
      <c r="E31">
        <v>90001</v>
      </c>
      <c r="F31" s="19" t="s">
        <v>3043</v>
      </c>
      <c r="G31">
        <f t="shared" si="6"/>
        <v>26</v>
      </c>
      <c r="H31" s="9">
        <f>IF(ISERROR(VLOOKUP(A31,Excel4!D:J,7,0)),0,VLOOKUP(A31,Excel4!D:J,7,0))</f>
        <v>0</v>
      </c>
      <c r="I31" s="15" t="s">
        <v>1777</v>
      </c>
      <c r="J31" s="20" t="s">
        <v>2989</v>
      </c>
      <c r="K31" s="15" t="s">
        <v>37</v>
      </c>
      <c r="L31" s="18" t="str">
        <f t="shared" si="4"/>
        <v>AKHARIM BELEDİYE BAŞKANLIĞI AFYON</v>
      </c>
      <c r="M31" s="18" t="str">
        <f t="shared" si="5"/>
        <v>AKHARIM</v>
      </c>
    </row>
    <row r="32" spans="1:14" ht="12.75" customHeight="1" x14ac:dyDescent="0.25">
      <c r="A32" t="s">
        <v>3617</v>
      </c>
      <c r="B32" s="19" t="s">
        <v>704</v>
      </c>
      <c r="C32" s="19" t="s">
        <v>2305</v>
      </c>
      <c r="D32">
        <v>10</v>
      </c>
      <c r="E32">
        <v>90001</v>
      </c>
      <c r="F32" s="19" t="s">
        <v>3044</v>
      </c>
      <c r="G32">
        <f t="shared" si="6"/>
        <v>26</v>
      </c>
      <c r="H32" s="9">
        <f>IF(ISERROR(VLOOKUP(A32,Excel4!D:J,7,0)),0,VLOOKUP(A32,Excel4!D:J,7,0))</f>
        <v>0</v>
      </c>
      <c r="I32" s="15" t="s">
        <v>1777</v>
      </c>
      <c r="J32" s="20" t="s">
        <v>627</v>
      </c>
      <c r="K32" s="15" t="s">
        <v>37</v>
      </c>
      <c r="L32" s="18" t="str">
        <f t="shared" si="4"/>
        <v>AKÖREN BELEDİYE BAŞKANLIĞI AFYON</v>
      </c>
      <c r="M32" s="18" t="str">
        <f t="shared" si="5"/>
        <v>AKÖREN</v>
      </c>
    </row>
    <row r="33" spans="1:14" ht="12.75" customHeight="1" x14ac:dyDescent="0.25">
      <c r="A33" s="19" t="s">
        <v>3642</v>
      </c>
      <c r="B33" s="19" t="s">
        <v>704</v>
      </c>
      <c r="C33" s="19" t="s">
        <v>2234</v>
      </c>
      <c r="D33">
        <v>10</v>
      </c>
      <c r="E33">
        <v>90001</v>
      </c>
      <c r="F33" t="s">
        <v>2380</v>
      </c>
      <c r="G33">
        <f t="shared" si="6"/>
        <v>26</v>
      </c>
      <c r="H33" s="9">
        <f>IF(ISERROR(VLOOKUP(A33,Excel4!D:J,7,0)),0,VLOOKUP(A33,Excel4!D:J,7,0))</f>
        <v>0</v>
      </c>
      <c r="I33" s="15" t="s">
        <v>1777</v>
      </c>
      <c r="J33" s="20" t="s">
        <v>2234</v>
      </c>
      <c r="K33" s="20" t="s">
        <v>37</v>
      </c>
      <c r="L33" s="18" t="str">
        <f t="shared" si="4"/>
        <v>BAŞMAKÇI BELEDİYE BAŞKANLIĞI AFYON</v>
      </c>
      <c r="M33" s="18" t="str">
        <f t="shared" si="5"/>
        <v>BAŞMAKÇI</v>
      </c>
      <c r="N33">
        <f>_xlfn.XLOOKUP(M33,[1]Sheet1!$A:$A,[1]Sheet1!$G:$G)</f>
        <v>0</v>
      </c>
    </row>
    <row r="34" spans="1:14" ht="12.75" customHeight="1" x14ac:dyDescent="0.25">
      <c r="A34" t="s">
        <v>3717</v>
      </c>
      <c r="B34" t="s">
        <v>704</v>
      </c>
      <c r="C34" t="s">
        <v>496</v>
      </c>
      <c r="D34">
        <v>10</v>
      </c>
      <c r="E34">
        <v>90001</v>
      </c>
      <c r="F34" t="s">
        <v>917</v>
      </c>
      <c r="G34">
        <f t="shared" si="6"/>
        <v>26</v>
      </c>
      <c r="H34" s="9">
        <f>IF(ISERROR(VLOOKUP(A34,Excel4!D:J,7,0)),0,VLOOKUP(A34,Excel4!D:J,7,0))</f>
        <v>0</v>
      </c>
      <c r="I34" s="15" t="s">
        <v>1777</v>
      </c>
      <c r="J34" s="15" t="s">
        <v>496</v>
      </c>
      <c r="K34" s="15" t="s">
        <v>37</v>
      </c>
      <c r="L34" s="18" t="str">
        <f t="shared" si="4"/>
        <v>BAYAT BELEDİYE BAŞKANLIĞI AFYON</v>
      </c>
      <c r="M34" s="18" t="str">
        <f t="shared" si="5"/>
        <v>BAYAT</v>
      </c>
    </row>
    <row r="35" spans="1:14" ht="12.75" customHeight="1" x14ac:dyDescent="0.25">
      <c r="A35" t="s">
        <v>3637</v>
      </c>
      <c r="B35" s="19" t="s">
        <v>704</v>
      </c>
      <c r="C35" t="s">
        <v>34</v>
      </c>
      <c r="D35">
        <v>10</v>
      </c>
      <c r="E35">
        <v>90001</v>
      </c>
      <c r="F35" s="19" t="s">
        <v>2777</v>
      </c>
      <c r="G35">
        <f t="shared" si="6"/>
        <v>26</v>
      </c>
      <c r="H35" s="9">
        <f>IF(ISERROR(VLOOKUP(A35,Excel4!D:J,7,0)),0,VLOOKUP(A35,Excel4!D:J,7,0))</f>
        <v>0</v>
      </c>
      <c r="I35" s="15" t="s">
        <v>1777</v>
      </c>
      <c r="J35" s="20" t="s">
        <v>2744</v>
      </c>
      <c r="K35" s="15" t="s">
        <v>37</v>
      </c>
      <c r="L35" s="18" t="str">
        <f t="shared" si="4"/>
        <v>BEYYAZI BELEDİYE BAŞKANLIĞI AFYON</v>
      </c>
      <c r="M35" s="18" t="str">
        <f t="shared" si="5"/>
        <v>BEYYAZI</v>
      </c>
    </row>
    <row r="36" spans="1:14" ht="12.75" customHeight="1" x14ac:dyDescent="0.25">
      <c r="A36" t="s">
        <v>3612</v>
      </c>
      <c r="B36" t="s">
        <v>2555</v>
      </c>
      <c r="C36" t="s">
        <v>347</v>
      </c>
      <c r="D36">
        <v>12</v>
      </c>
      <c r="E36">
        <v>90001</v>
      </c>
      <c r="F36" t="s">
        <v>4042</v>
      </c>
      <c r="G36">
        <f t="shared" si="6"/>
        <v>26</v>
      </c>
      <c r="H36" s="9">
        <f>IF(ISERROR(VLOOKUP(A36,Excel4!D:J,7,0)),0,VLOOKUP(A36,Excel4!D:J,7,0))</f>
        <v>66.94</v>
      </c>
      <c r="I36" s="15" t="s">
        <v>1777</v>
      </c>
      <c r="J36" s="15" t="s">
        <v>347</v>
      </c>
      <c r="K36" s="15" t="s">
        <v>37</v>
      </c>
      <c r="L36" s="18" t="str">
        <f t="shared" ref="L36:L67" si="7">IF(J36="MERKEZ",K36&amp;" "&amp;I36,IF(J36="BÜYÜKŞEHİR",K36&amp;" "&amp;J36&amp;" "&amp;I36,J36&amp;" "&amp;I36&amp;" "&amp;K36))</f>
        <v>BOLVADİN BELEDİYE BAŞKANLIĞI AFYON</v>
      </c>
      <c r="M36" s="18" t="str">
        <f t="shared" si="5"/>
        <v>BOLVADİN</v>
      </c>
      <c r="N36" t="e">
        <f>_xlfn.XLOOKUP(M36,[1]Sheet1!$C:$C,[1]Sheet1!$G:$G)</f>
        <v>#N/A</v>
      </c>
    </row>
    <row r="37" spans="1:14" ht="12.75" customHeight="1" x14ac:dyDescent="0.25">
      <c r="A37" t="s">
        <v>3638</v>
      </c>
      <c r="B37" s="19" t="s">
        <v>699</v>
      </c>
      <c r="C37" t="s">
        <v>34</v>
      </c>
      <c r="D37">
        <v>15</v>
      </c>
      <c r="E37">
        <v>90001</v>
      </c>
      <c r="F37" s="19" t="s">
        <v>2807</v>
      </c>
      <c r="G37">
        <f t="shared" si="6"/>
        <v>26</v>
      </c>
      <c r="H37" s="9">
        <f>IF(ISERROR(VLOOKUP(A37,Excel4!D:J,7,0)),0,VLOOKUP(A37,Excel4!D:J,7,0))</f>
        <v>0</v>
      </c>
      <c r="I37" s="15" t="s">
        <v>1777</v>
      </c>
      <c r="J37" s="20" t="s">
        <v>2802</v>
      </c>
      <c r="K37" s="15" t="s">
        <v>37</v>
      </c>
      <c r="L37" s="18" t="str">
        <f t="shared" si="7"/>
        <v>BÜYÜKKALECİK BELEDİYE BAŞKANLIĞI AFYON</v>
      </c>
      <c r="M37" s="18" t="str">
        <f t="shared" si="5"/>
        <v>BÜYÜKKALECİK</v>
      </c>
    </row>
    <row r="38" spans="1:14" ht="12.75" customHeight="1" x14ac:dyDescent="0.25">
      <c r="A38" t="s">
        <v>3608</v>
      </c>
      <c r="B38" t="s">
        <v>2555</v>
      </c>
      <c r="C38" t="s">
        <v>497</v>
      </c>
      <c r="D38">
        <v>12</v>
      </c>
      <c r="E38">
        <v>90001</v>
      </c>
      <c r="F38" t="s">
        <v>1612</v>
      </c>
      <c r="G38">
        <f t="shared" si="6"/>
        <v>26</v>
      </c>
      <c r="H38" s="9">
        <f>IF(ISERROR(VLOOKUP(A38,Excel4!D:J,7,0)),0,VLOOKUP(A38,Excel4!D:J,7,0))</f>
        <v>5176.3500000000004</v>
      </c>
      <c r="I38" s="15" t="s">
        <v>1777</v>
      </c>
      <c r="J38" s="15" t="s">
        <v>497</v>
      </c>
      <c r="K38" s="15" t="s">
        <v>37</v>
      </c>
      <c r="L38" s="18" t="str">
        <f t="shared" si="7"/>
        <v>ÇAY BELEDİYE BAŞKANLIĞI AFYON</v>
      </c>
      <c r="M38" s="18" t="str">
        <f t="shared" si="5"/>
        <v>ÇAY</v>
      </c>
    </row>
    <row r="39" spans="1:14" ht="12.75" customHeight="1" x14ac:dyDescent="0.25">
      <c r="A39" t="s">
        <v>3648</v>
      </c>
      <c r="B39" t="s">
        <v>704</v>
      </c>
      <c r="C39" t="s">
        <v>2381</v>
      </c>
      <c r="D39">
        <v>10</v>
      </c>
      <c r="E39">
        <v>90001</v>
      </c>
      <c r="F39" t="s">
        <v>3193</v>
      </c>
      <c r="G39">
        <f t="shared" si="6"/>
        <v>26</v>
      </c>
      <c r="H39" s="9">
        <f>IF(ISERROR(VLOOKUP(A39,Excel4!D:J,7,0)),0,VLOOKUP(A39,Excel4!D:J,7,0))</f>
        <v>0</v>
      </c>
      <c r="I39" s="15" t="s">
        <v>1777</v>
      </c>
      <c r="J39" s="15" t="s">
        <v>3064</v>
      </c>
      <c r="K39" s="15" t="s">
        <v>37</v>
      </c>
      <c r="L39" s="18" t="str">
        <f t="shared" si="7"/>
        <v>ÇAYIRBAĞ BELEDİYE BAŞKANLIĞI AFYON</v>
      </c>
      <c r="M39" s="18" t="str">
        <f t="shared" si="5"/>
        <v>ÇAYIRBAĞ</v>
      </c>
    </row>
    <row r="40" spans="1:14" ht="12.75" customHeight="1" x14ac:dyDescent="0.25">
      <c r="A40" t="s">
        <v>3651</v>
      </c>
      <c r="B40" t="s">
        <v>3319</v>
      </c>
      <c r="C40" t="s">
        <v>3320</v>
      </c>
      <c r="D40">
        <v>12</v>
      </c>
      <c r="E40">
        <v>90001</v>
      </c>
      <c r="F40" t="s">
        <v>3322</v>
      </c>
      <c r="G40">
        <f t="shared" si="6"/>
        <v>26</v>
      </c>
      <c r="H40" s="9">
        <f>IF(ISERROR(VLOOKUP(A40,Excel4!D:J,7,0)),0,VLOOKUP(A40,Excel4!D:J,7,0))</f>
        <v>0</v>
      </c>
      <c r="I40" s="15" t="s">
        <v>1777</v>
      </c>
      <c r="J40" s="15" t="s">
        <v>3298</v>
      </c>
      <c r="K40" s="15" t="s">
        <v>37</v>
      </c>
      <c r="L40" s="18" t="str">
        <f t="shared" si="7"/>
        <v>ÇIKRIK BELEDİYE BAŞKANLIĞI AFYON</v>
      </c>
      <c r="M40" s="18" t="str">
        <f t="shared" si="5"/>
        <v>ÇIKRIK</v>
      </c>
    </row>
    <row r="41" spans="1:14" ht="12.75" customHeight="1" x14ac:dyDescent="0.25">
      <c r="A41" t="s">
        <v>3618</v>
      </c>
      <c r="B41" t="s">
        <v>704</v>
      </c>
      <c r="C41" t="s">
        <v>498</v>
      </c>
      <c r="D41">
        <v>10</v>
      </c>
      <c r="E41">
        <v>90001</v>
      </c>
      <c r="F41" t="s">
        <v>918</v>
      </c>
      <c r="G41">
        <f t="shared" si="6"/>
        <v>26</v>
      </c>
      <c r="H41" s="9">
        <f>IF(ISERROR(VLOOKUP(A41,Excel4!D:J,7,0)),0,VLOOKUP(A41,Excel4!D:J,7,0))</f>
        <v>0</v>
      </c>
      <c r="I41" s="15" t="s">
        <v>1777</v>
      </c>
      <c r="J41" s="15" t="s">
        <v>498</v>
      </c>
      <c r="K41" s="15" t="s">
        <v>37</v>
      </c>
      <c r="L41" s="18" t="str">
        <f t="shared" si="7"/>
        <v>ÇOBANLAR BELEDİYE BAŞKANLIĞI AFYON</v>
      </c>
      <c r="M41" s="18" t="str">
        <f t="shared" si="5"/>
        <v>ÇOBANLAR</v>
      </c>
    </row>
    <row r="42" spans="1:14" ht="12.75" customHeight="1" x14ac:dyDescent="0.25">
      <c r="A42" t="s">
        <v>3622</v>
      </c>
      <c r="B42" t="s">
        <v>2555</v>
      </c>
      <c r="C42" t="s">
        <v>292</v>
      </c>
      <c r="D42">
        <v>12</v>
      </c>
      <c r="E42">
        <v>90001</v>
      </c>
      <c r="F42" t="s">
        <v>3019</v>
      </c>
      <c r="G42">
        <f t="shared" si="6"/>
        <v>26</v>
      </c>
      <c r="H42" s="9">
        <f>IF(ISERROR(VLOOKUP(A42,Excel4!D:J,7,0)),0,VLOOKUP(A42,Excel4!D:J,7,0))</f>
        <v>0</v>
      </c>
      <c r="I42" s="15" t="s">
        <v>1777</v>
      </c>
      <c r="J42" s="20" t="s">
        <v>3012</v>
      </c>
      <c r="K42" s="15" t="s">
        <v>37</v>
      </c>
      <c r="L42" s="18" t="str">
        <f t="shared" si="7"/>
        <v>DAVULGA BELEDİYE BAŞKANLIĞI AFYON</v>
      </c>
      <c r="M42" s="18" t="str">
        <f t="shared" si="5"/>
        <v>DAVULGA</v>
      </c>
    </row>
    <row r="43" spans="1:14" ht="12.75" customHeight="1" x14ac:dyDescent="0.25">
      <c r="A43" t="s">
        <v>3620</v>
      </c>
      <c r="B43" t="s">
        <v>704</v>
      </c>
      <c r="C43" t="s">
        <v>266</v>
      </c>
      <c r="D43">
        <v>10</v>
      </c>
      <c r="E43">
        <v>90001</v>
      </c>
      <c r="F43" t="s">
        <v>919</v>
      </c>
      <c r="G43">
        <f t="shared" si="6"/>
        <v>26</v>
      </c>
      <c r="H43" s="9">
        <f>IF(ISERROR(VLOOKUP(A43,Excel4!D:J,7,0)),0,VLOOKUP(A43,Excel4!D:J,7,0))</f>
        <v>204.95000000000002</v>
      </c>
      <c r="I43" s="15" t="s">
        <v>1777</v>
      </c>
      <c r="J43" s="15" t="s">
        <v>266</v>
      </c>
      <c r="K43" s="15" t="s">
        <v>37</v>
      </c>
      <c r="L43" s="18" t="str">
        <f t="shared" si="7"/>
        <v>DAZKIRI BELEDİYE BAŞKANLIĞI AFYON</v>
      </c>
      <c r="M43" s="18" t="str">
        <f t="shared" si="5"/>
        <v>DAZKIRI</v>
      </c>
      <c r="N43">
        <f>_xlfn.XLOOKUP(M43,[1]Sheet1!$A:$A,[1]Sheet1!$G:$G)</f>
        <v>0</v>
      </c>
    </row>
    <row r="44" spans="1:14" ht="12.75" customHeight="1" x14ac:dyDescent="0.25">
      <c r="A44" t="s">
        <v>3647</v>
      </c>
      <c r="B44" t="s">
        <v>2555</v>
      </c>
      <c r="C44" t="s">
        <v>37</v>
      </c>
      <c r="D44">
        <v>12</v>
      </c>
      <c r="E44">
        <v>90001</v>
      </c>
      <c r="F44" t="s">
        <v>3148</v>
      </c>
      <c r="G44">
        <f t="shared" si="6"/>
        <v>26</v>
      </c>
      <c r="H44" s="9">
        <f>IF(ISERROR(VLOOKUP(A44,Excel4!D:J,7,0)),0,VLOOKUP(A44,Excel4!D:J,7,0))</f>
        <v>0</v>
      </c>
      <c r="I44" s="15" t="s">
        <v>1777</v>
      </c>
      <c r="J44" s="15" t="s">
        <v>3089</v>
      </c>
      <c r="K44" s="15" t="str">
        <f>C44</f>
        <v>AFYON</v>
      </c>
      <c r="L44" s="18" t="str">
        <f t="shared" si="7"/>
        <v>DEĞİRMENAYVALI BELEDİYE BAŞKANLIĞI AFYON</v>
      </c>
      <c r="M44" s="18" t="str">
        <f t="shared" si="5"/>
        <v>DEĞİRMENAYVALI</v>
      </c>
    </row>
    <row r="45" spans="1:14" ht="12.75" customHeight="1" x14ac:dyDescent="0.25">
      <c r="A45" t="s">
        <v>3611</v>
      </c>
      <c r="B45" t="s">
        <v>699</v>
      </c>
      <c r="C45" t="s">
        <v>348</v>
      </c>
      <c r="D45">
        <v>15</v>
      </c>
      <c r="E45">
        <v>90001</v>
      </c>
      <c r="F45" t="s">
        <v>1613</v>
      </c>
      <c r="G45">
        <f t="shared" si="6"/>
        <v>26</v>
      </c>
      <c r="H45" s="9">
        <f>IF(ISERROR(VLOOKUP(A45,Excel4!D:J,7,0)),0,VLOOKUP(A45,Excel4!D:J,7,0))</f>
        <v>232.5</v>
      </c>
      <c r="I45" s="15" t="s">
        <v>1777</v>
      </c>
      <c r="J45" s="15" t="s">
        <v>348</v>
      </c>
      <c r="K45" s="15" t="s">
        <v>37</v>
      </c>
      <c r="L45" s="18" t="str">
        <f t="shared" si="7"/>
        <v>DİNAR BELEDİYE BAŞKANLIĞI AFYON</v>
      </c>
      <c r="M45" s="18" t="str">
        <f t="shared" si="5"/>
        <v>DİNAR</v>
      </c>
      <c r="N45">
        <f>_xlfn.XLOOKUP(M45,[1]Sheet1!$A:$A,[1]Sheet1!$G:$G)</f>
        <v>0</v>
      </c>
    </row>
    <row r="46" spans="1:14" ht="12.75" customHeight="1" x14ac:dyDescent="0.25">
      <c r="A46" t="s">
        <v>3621</v>
      </c>
      <c r="B46" t="s">
        <v>704</v>
      </c>
      <c r="C46" t="s">
        <v>347</v>
      </c>
      <c r="D46">
        <v>10</v>
      </c>
      <c r="E46">
        <v>90001</v>
      </c>
      <c r="F46" t="s">
        <v>2972</v>
      </c>
      <c r="G46">
        <f t="shared" si="6"/>
        <v>26</v>
      </c>
      <c r="H46" s="9">
        <f>IF(ISERROR(VLOOKUP(A46,Excel4!D:J,7,0)),0,VLOOKUP(A46,Excel4!D:J,7,0))</f>
        <v>0</v>
      </c>
      <c r="I46" s="15" t="s">
        <v>1777</v>
      </c>
      <c r="J46" s="15" t="s">
        <v>2966</v>
      </c>
      <c r="K46" s="15" t="s">
        <v>37</v>
      </c>
      <c r="L46" s="18" t="str">
        <f t="shared" si="7"/>
        <v>DİŞLİ BELEDİYE BAŞKANLIĞI AFYON</v>
      </c>
      <c r="M46" s="18" t="str">
        <f t="shared" si="5"/>
        <v>DİŞLİ</v>
      </c>
    </row>
    <row r="47" spans="1:14" ht="12.75" customHeight="1" x14ac:dyDescent="0.25">
      <c r="A47" t="s">
        <v>3610</v>
      </c>
      <c r="B47" t="s">
        <v>704</v>
      </c>
      <c r="C47" t="s">
        <v>292</v>
      </c>
      <c r="D47">
        <v>10</v>
      </c>
      <c r="E47">
        <v>90001</v>
      </c>
      <c r="F47" t="s">
        <v>2781</v>
      </c>
      <c r="G47">
        <f t="shared" si="6"/>
        <v>26</v>
      </c>
      <c r="H47" s="9">
        <f>IF(ISERROR(VLOOKUP(A47,Excel4!D:J,7,0)),0,VLOOKUP(A47,Excel4!D:J,7,0))</f>
        <v>114.25</v>
      </c>
      <c r="I47" s="15" t="s">
        <v>1777</v>
      </c>
      <c r="J47" s="15" t="s">
        <v>292</v>
      </c>
      <c r="K47" s="15" t="s">
        <v>37</v>
      </c>
      <c r="L47" s="18" t="str">
        <f t="shared" si="7"/>
        <v>EMİRDAĞ BELEDİYE BAŞKANLIĞI AFYON</v>
      </c>
      <c r="M47" s="18" t="str">
        <f t="shared" si="5"/>
        <v>EMİRDAĞ</v>
      </c>
    </row>
    <row r="48" spans="1:14" ht="12.75" customHeight="1" x14ac:dyDescent="0.25">
      <c r="A48" t="s">
        <v>3623</v>
      </c>
      <c r="B48" s="19" t="s">
        <v>699</v>
      </c>
      <c r="C48" s="19" t="s">
        <v>34</v>
      </c>
      <c r="D48">
        <v>15</v>
      </c>
      <c r="E48">
        <v>90001</v>
      </c>
      <c r="F48" s="19" t="s">
        <v>2191</v>
      </c>
      <c r="G48">
        <f t="shared" si="6"/>
        <v>26</v>
      </c>
      <c r="H48" s="9">
        <f>IF(ISERROR(VLOOKUP(A48,Excel4!D:J,7,0)),0,VLOOKUP(A48,Excel4!D:J,7,0))</f>
        <v>0</v>
      </c>
      <c r="I48" s="15" t="s">
        <v>1777</v>
      </c>
      <c r="J48" s="15" t="s">
        <v>2172</v>
      </c>
      <c r="K48" s="15" t="s">
        <v>37</v>
      </c>
      <c r="L48" s="18" t="str">
        <f t="shared" si="7"/>
        <v>ERKMEN BELEDİYE BAŞKANLIĞI AFYON</v>
      </c>
      <c r="M48" s="18" t="str">
        <f t="shared" si="5"/>
        <v>ERKMEN</v>
      </c>
    </row>
    <row r="49" spans="1:14" ht="12.75" customHeight="1" x14ac:dyDescent="0.25">
      <c r="A49" t="s">
        <v>3624</v>
      </c>
      <c r="B49" t="s">
        <v>704</v>
      </c>
      <c r="C49" t="s">
        <v>499</v>
      </c>
      <c r="D49">
        <v>10</v>
      </c>
      <c r="E49">
        <v>90001</v>
      </c>
      <c r="F49" t="s">
        <v>920</v>
      </c>
      <c r="G49">
        <f t="shared" si="6"/>
        <v>26</v>
      </c>
      <c r="H49" s="9">
        <f>IF(ISERROR(VLOOKUP(A49,Excel4!D:J,7,0)),0,VLOOKUP(A49,Excel4!D:J,7,0))</f>
        <v>0</v>
      </c>
      <c r="I49" s="15" t="s">
        <v>1777</v>
      </c>
      <c r="J49" s="15" t="s">
        <v>499</v>
      </c>
      <c r="K49" s="15" t="s">
        <v>37</v>
      </c>
      <c r="L49" s="18" t="str">
        <f t="shared" si="7"/>
        <v>EVCİLER BELEDİYE BAŞKANLIĞI AFYON</v>
      </c>
      <c r="M49" s="18" t="str">
        <f t="shared" si="5"/>
        <v>EVCİLER</v>
      </c>
    </row>
    <row r="50" spans="1:14" ht="12.75" customHeight="1" x14ac:dyDescent="0.25">
      <c r="A50" t="s">
        <v>3649</v>
      </c>
      <c r="B50" t="s">
        <v>2555</v>
      </c>
      <c r="C50" t="s">
        <v>34</v>
      </c>
      <c r="D50">
        <v>12</v>
      </c>
      <c r="E50">
        <v>90001</v>
      </c>
      <c r="F50" t="s">
        <v>3308</v>
      </c>
      <c r="G50">
        <f t="shared" si="6"/>
        <v>26</v>
      </c>
      <c r="H50" s="9">
        <f>IF(ISERROR(VLOOKUP(A50,Excel4!D:J,7,0)),0,VLOOKUP(A50,Excel4!D:J,7,0))</f>
        <v>0</v>
      </c>
      <c r="I50" s="15" t="s">
        <v>1777</v>
      </c>
      <c r="J50" s="15" t="s">
        <v>3260</v>
      </c>
      <c r="K50" s="15" t="s">
        <v>37</v>
      </c>
      <c r="L50" s="18" t="str">
        <f t="shared" si="7"/>
        <v>FETHİBEY BELEDİYE BAŞKANLIĞI AFYON</v>
      </c>
      <c r="M50" s="18" t="str">
        <f t="shared" si="5"/>
        <v>FETHİBEY</v>
      </c>
    </row>
    <row r="51" spans="1:14" ht="12.75" customHeight="1" x14ac:dyDescent="0.25">
      <c r="A51" t="s">
        <v>3631</v>
      </c>
      <c r="B51" s="19" t="s">
        <v>699</v>
      </c>
      <c r="C51" s="19" t="s">
        <v>2381</v>
      </c>
      <c r="D51">
        <v>15</v>
      </c>
      <c r="E51">
        <v>90001</v>
      </c>
      <c r="F51" s="19" t="s">
        <v>2736</v>
      </c>
      <c r="G51">
        <f t="shared" si="6"/>
        <v>26</v>
      </c>
      <c r="H51" s="9">
        <f>IF(ISERROR(VLOOKUP(A51,Excel4!D:J,7,0)),0,VLOOKUP(A51,Excel4!D:J,7,0))</f>
        <v>0</v>
      </c>
      <c r="I51" s="15" t="s">
        <v>1777</v>
      </c>
      <c r="J51" s="20" t="s">
        <v>2712</v>
      </c>
      <c r="K51" s="15" t="s">
        <v>37</v>
      </c>
      <c r="L51" s="18" t="str">
        <f t="shared" si="7"/>
        <v>GEBECELER BELEDİYE BAŞKANLIĞI AFYON</v>
      </c>
      <c r="M51" s="18" t="str">
        <f t="shared" si="5"/>
        <v>GEBECELER</v>
      </c>
    </row>
    <row r="52" spans="1:14" ht="12.75" customHeight="1" x14ac:dyDescent="0.25">
      <c r="A52" t="s">
        <v>3625</v>
      </c>
      <c r="B52" s="19" t="s">
        <v>699</v>
      </c>
      <c r="C52" s="19" t="s">
        <v>292</v>
      </c>
      <c r="D52">
        <v>15</v>
      </c>
      <c r="E52">
        <v>90001</v>
      </c>
      <c r="F52" s="19" t="s">
        <v>2192</v>
      </c>
      <c r="G52">
        <f t="shared" si="6"/>
        <v>26</v>
      </c>
      <c r="H52" s="9">
        <f>IF(ISERROR(VLOOKUP(A52,Excel4!D:J,7,0)),0,VLOOKUP(A52,Excel4!D:J,7,0))</f>
        <v>0</v>
      </c>
      <c r="I52" s="15" t="s">
        <v>1777</v>
      </c>
      <c r="J52" s="15" t="s">
        <v>2173</v>
      </c>
      <c r="K52" s="15" t="s">
        <v>37</v>
      </c>
      <c r="L52" s="18" t="str">
        <f t="shared" si="7"/>
        <v>GÖMÜ BELEDİYE BAŞKANLIĞI AFYON</v>
      </c>
      <c r="M52" s="18" t="str">
        <f t="shared" si="5"/>
        <v>GÖMÜ</v>
      </c>
    </row>
    <row r="53" spans="1:14" ht="12.75" customHeight="1" x14ac:dyDescent="0.25">
      <c r="A53" t="s">
        <v>3632</v>
      </c>
      <c r="B53" s="19" t="s">
        <v>704</v>
      </c>
      <c r="C53" s="19" t="s">
        <v>348</v>
      </c>
      <c r="D53">
        <v>10</v>
      </c>
      <c r="E53">
        <v>90001</v>
      </c>
      <c r="F53" s="19" t="s">
        <v>2769</v>
      </c>
      <c r="G53">
        <f t="shared" si="6"/>
        <v>26</v>
      </c>
      <c r="H53" s="9">
        <f>IF(ISERROR(VLOOKUP(A53,Excel4!D:J,7,0)),0,VLOOKUP(A53,Excel4!D:J,7,0))</f>
        <v>0</v>
      </c>
      <c r="I53" s="15" t="s">
        <v>1777</v>
      </c>
      <c r="J53" s="20" t="s">
        <v>2763</v>
      </c>
      <c r="K53" s="15" t="s">
        <v>37</v>
      </c>
      <c r="L53" s="18" t="str">
        <f t="shared" si="7"/>
        <v>HAYDARLI BELEDİYE BAŞKANLIĞI AFYON</v>
      </c>
      <c r="M53" s="18" t="str">
        <f t="shared" si="5"/>
        <v>HAYDARLI</v>
      </c>
    </row>
    <row r="54" spans="1:14" ht="12.75" customHeight="1" x14ac:dyDescent="0.25">
      <c r="A54" t="s">
        <v>3614</v>
      </c>
      <c r="B54" t="s">
        <v>704</v>
      </c>
      <c r="C54" t="s">
        <v>500</v>
      </c>
      <c r="D54">
        <v>10</v>
      </c>
      <c r="E54">
        <v>90001</v>
      </c>
      <c r="F54" t="s">
        <v>921</v>
      </c>
      <c r="G54">
        <f t="shared" si="6"/>
        <v>26</v>
      </c>
      <c r="H54" s="9">
        <f>IF(ISERROR(VLOOKUP(A54,Excel4!D:J,7,0)),0,VLOOKUP(A54,Excel4!D:J,7,0))</f>
        <v>31.5</v>
      </c>
      <c r="I54" s="15" t="s">
        <v>1777</v>
      </c>
      <c r="J54" s="15" t="s">
        <v>500</v>
      </c>
      <c r="K54" s="15" t="s">
        <v>37</v>
      </c>
      <c r="L54" s="18" t="str">
        <f t="shared" si="7"/>
        <v>HOCALAR BELEDİYE BAŞKANLIĞI AFYON</v>
      </c>
      <c r="M54" s="18" t="str">
        <f t="shared" si="5"/>
        <v>HOCALAR</v>
      </c>
      <c r="N54">
        <f>_xlfn.XLOOKUP(M54,[1]Sheet1!$A:$A,[1]Sheet1!$G:$G)</f>
        <v>0</v>
      </c>
    </row>
    <row r="55" spans="1:14" ht="12.75" customHeight="1" x14ac:dyDescent="0.25">
      <c r="A55" t="s">
        <v>3650</v>
      </c>
      <c r="B55" t="s">
        <v>704</v>
      </c>
      <c r="C55" t="s">
        <v>3316</v>
      </c>
      <c r="D55">
        <v>10</v>
      </c>
      <c r="E55">
        <v>90001</v>
      </c>
      <c r="F55" t="s">
        <v>3321</v>
      </c>
      <c r="G55">
        <f t="shared" si="6"/>
        <v>26</v>
      </c>
      <c r="H55" s="9">
        <f>IF(ISERROR(VLOOKUP(A55,Excel4!D:J,7,0)),0,VLOOKUP(A55,Excel4!D:J,7,0))</f>
        <v>0</v>
      </c>
      <c r="I55" s="15" t="s">
        <v>1777</v>
      </c>
      <c r="J55" s="15" t="s">
        <v>3090</v>
      </c>
      <c r="K55" s="15" t="s">
        <v>37</v>
      </c>
      <c r="L55" s="18" t="str">
        <f t="shared" si="7"/>
        <v>IŞIKLAR BELEDİYE BAŞKANLIĞI AFYON</v>
      </c>
      <c r="M55" s="18" t="str">
        <f t="shared" si="5"/>
        <v>IŞIKLAR</v>
      </c>
    </row>
    <row r="56" spans="1:14" ht="12.75" customHeight="1" x14ac:dyDescent="0.25">
      <c r="A56" t="s">
        <v>3626</v>
      </c>
      <c r="B56" t="s">
        <v>704</v>
      </c>
      <c r="C56" t="s">
        <v>501</v>
      </c>
      <c r="D56">
        <v>10</v>
      </c>
      <c r="E56">
        <v>90001</v>
      </c>
      <c r="F56" t="s">
        <v>922</v>
      </c>
      <c r="G56">
        <f t="shared" si="6"/>
        <v>26</v>
      </c>
      <c r="H56" s="9">
        <f>IF(ISERROR(VLOOKUP(A56,Excel4!D:J,7,0)),0,VLOOKUP(A56,Excel4!D:J,7,0))</f>
        <v>133.59</v>
      </c>
      <c r="I56" s="15" t="s">
        <v>1777</v>
      </c>
      <c r="J56" s="15" t="s">
        <v>501</v>
      </c>
      <c r="K56" s="15" t="s">
        <v>37</v>
      </c>
      <c r="L56" s="18" t="str">
        <f t="shared" si="7"/>
        <v>İHSANİYE BELEDİYE BAŞKANLIĞI AFYON</v>
      </c>
      <c r="M56" s="18" t="str">
        <f t="shared" si="5"/>
        <v>İHSANİYE</v>
      </c>
      <c r="N56">
        <f>_xlfn.XLOOKUP(M56,[1]Sheet1!$A:$A,[1]Sheet1!$G:$G)</f>
        <v>0</v>
      </c>
    </row>
    <row r="57" spans="1:14" x14ac:dyDescent="0.25">
      <c r="A57" t="s">
        <v>3629</v>
      </c>
      <c r="B57" t="s">
        <v>2555</v>
      </c>
      <c r="C57" t="s">
        <v>502</v>
      </c>
      <c r="D57">
        <v>12</v>
      </c>
      <c r="E57">
        <v>90001</v>
      </c>
      <c r="F57" t="s">
        <v>923</v>
      </c>
      <c r="G57">
        <f t="shared" si="6"/>
        <v>26</v>
      </c>
      <c r="H57" s="9">
        <f>IF(ISERROR(VLOOKUP(A57,Excel4!D:J,7,0)),0,VLOOKUP(A57,Excel4!D:J,7,0))</f>
        <v>235.1</v>
      </c>
      <c r="I57" s="15" t="s">
        <v>1777</v>
      </c>
      <c r="J57" s="15" t="s">
        <v>502</v>
      </c>
      <c r="K57" s="15" t="s">
        <v>37</v>
      </c>
      <c r="L57" s="18" t="str">
        <f t="shared" si="7"/>
        <v>İSCEHİSAR BELEDİYE BAŞKANLIĞI AFYON</v>
      </c>
      <c r="M57" s="18" t="str">
        <f t="shared" si="5"/>
        <v>İSCEHİSAR</v>
      </c>
    </row>
    <row r="58" spans="1:14" x14ac:dyDescent="0.25">
      <c r="A58" s="19" t="s">
        <v>3645</v>
      </c>
      <c r="B58" s="19" t="s">
        <v>704</v>
      </c>
      <c r="C58" s="19" t="s">
        <v>34</v>
      </c>
      <c r="D58">
        <v>10</v>
      </c>
      <c r="E58">
        <v>90001</v>
      </c>
      <c r="F58" s="19" t="s">
        <v>2931</v>
      </c>
      <c r="G58">
        <f t="shared" si="6"/>
        <v>26</v>
      </c>
      <c r="H58" s="9">
        <f>IF(ISERROR(VLOOKUP(A58,Excel4!D:J,7,0)),0,VLOOKUP(A58,Excel4!D:J,7,0))</f>
        <v>0</v>
      </c>
      <c r="I58" s="15" t="s">
        <v>1777</v>
      </c>
      <c r="J58" s="20" t="s">
        <v>2941</v>
      </c>
      <c r="K58" s="15" t="s">
        <v>37</v>
      </c>
      <c r="L58" s="18" t="str">
        <f t="shared" si="7"/>
        <v>KEMERKAYA  BELEDİYE BAŞKANLIĞI AFYON</v>
      </c>
      <c r="M58" s="18" t="str">
        <f t="shared" si="5"/>
        <v xml:space="preserve">KEMERKAYA </v>
      </c>
    </row>
    <row r="59" spans="1:14" x14ac:dyDescent="0.25">
      <c r="A59" t="s">
        <v>3628</v>
      </c>
      <c r="B59" t="s">
        <v>704</v>
      </c>
      <c r="C59" t="s">
        <v>2305</v>
      </c>
      <c r="D59">
        <v>10</v>
      </c>
      <c r="E59">
        <v>90001</v>
      </c>
      <c r="F59" t="s">
        <v>2687</v>
      </c>
      <c r="G59">
        <f t="shared" si="6"/>
        <v>26</v>
      </c>
      <c r="H59" s="9">
        <f>IF(ISERROR(VLOOKUP(A59,Excel4!D:J,7,0)),0,VLOOKUP(A59,Excel4!D:J,7,0))</f>
        <v>0</v>
      </c>
      <c r="I59" s="15" t="s">
        <v>1777</v>
      </c>
      <c r="J59" s="15" t="s">
        <v>2681</v>
      </c>
      <c r="K59" s="15" t="s">
        <v>37</v>
      </c>
      <c r="L59" s="18" t="str">
        <f t="shared" si="7"/>
        <v>KILINÇARSLAN BELEDİYE BAŞKANLIĞI AFYON</v>
      </c>
      <c r="M59" s="18" t="str">
        <f t="shared" si="5"/>
        <v>KILINÇARSLAN</v>
      </c>
    </row>
    <row r="60" spans="1:14" x14ac:dyDescent="0.25">
      <c r="A60" t="s">
        <v>3627</v>
      </c>
      <c r="B60" t="s">
        <v>2555</v>
      </c>
      <c r="C60" t="s">
        <v>457</v>
      </c>
      <c r="D60">
        <v>12</v>
      </c>
      <c r="E60">
        <v>90001</v>
      </c>
      <c r="F60" t="s">
        <v>924</v>
      </c>
      <c r="G60">
        <f t="shared" si="6"/>
        <v>26</v>
      </c>
      <c r="H60" s="9">
        <f>IF(ISERROR(VLOOKUP(A60,Excel4!D:J,7,0)),0,VLOOKUP(A60,Excel4!D:J,7,0))</f>
        <v>0</v>
      </c>
      <c r="I60" s="15" t="s">
        <v>1777</v>
      </c>
      <c r="J60" s="15" t="s">
        <v>457</v>
      </c>
      <c r="K60" s="15" t="s">
        <v>37</v>
      </c>
      <c r="L60" s="18" t="str">
        <f t="shared" si="7"/>
        <v>KIZILÖREN BELEDİYE BAŞKANLIĞI AFYON</v>
      </c>
      <c r="M60" s="18" t="str">
        <f t="shared" si="5"/>
        <v>KIZILÖREN</v>
      </c>
    </row>
    <row r="61" spans="1:14" x14ac:dyDescent="0.25">
      <c r="A61" t="s">
        <v>3609</v>
      </c>
      <c r="B61" t="s">
        <v>704</v>
      </c>
      <c r="C61" t="s">
        <v>3989</v>
      </c>
      <c r="D61">
        <v>10</v>
      </c>
      <c r="E61">
        <v>90001</v>
      </c>
      <c r="F61" s="23" t="s">
        <v>3990</v>
      </c>
      <c r="G61">
        <f t="shared" si="6"/>
        <v>26</v>
      </c>
      <c r="H61" s="9">
        <f>IF(ISERROR(VLOOKUP(A61,Excel4!D:J,7,0)),0,VLOOKUP(A61,Excel4!D:J,7,0))</f>
        <v>8475.83</v>
      </c>
      <c r="I61" s="15" t="s">
        <v>1777</v>
      </c>
      <c r="J61" s="20" t="s">
        <v>34</v>
      </c>
      <c r="K61" s="15" t="s">
        <v>37</v>
      </c>
      <c r="L61" s="18" t="str">
        <f t="shared" si="7"/>
        <v>AFYON BELEDİYE BAŞKANLIĞI</v>
      </c>
      <c r="M61" s="18" t="str">
        <f t="shared" si="5"/>
        <v>AFYON</v>
      </c>
      <c r="N61" t="e">
        <f>_xlfn.XLOOKUP(M61,[1]Sheet1!$C:$C,[1]Sheet1!$G:$G)</f>
        <v>#N/A</v>
      </c>
    </row>
    <row r="62" spans="1:14" x14ac:dyDescent="0.25">
      <c r="A62" t="s">
        <v>3634</v>
      </c>
      <c r="B62" s="19" t="s">
        <v>704</v>
      </c>
      <c r="C62" s="19" t="s">
        <v>347</v>
      </c>
      <c r="D62">
        <v>10</v>
      </c>
      <c r="E62">
        <v>90001</v>
      </c>
      <c r="F62" s="19" t="s">
        <v>2861</v>
      </c>
      <c r="G62">
        <f t="shared" si="6"/>
        <v>26</v>
      </c>
      <c r="H62" s="9">
        <f>IF(ISERROR(VLOOKUP(A62,Excel4!D:J,7,0)),0,VLOOKUP(A62,Excel4!D:J,7,0))</f>
        <v>0</v>
      </c>
      <c r="I62" s="15" t="s">
        <v>1777</v>
      </c>
      <c r="J62" s="20" t="s">
        <v>2854</v>
      </c>
      <c r="K62" s="15" t="s">
        <v>37</v>
      </c>
      <c r="L62" s="18" t="str">
        <f t="shared" si="7"/>
        <v>ÖZBURUN BELEDİYE BAŞKANLIĞI AFYON</v>
      </c>
      <c r="M62" s="18" t="str">
        <f t="shared" si="5"/>
        <v>ÖZBURUN</v>
      </c>
    </row>
    <row r="63" spans="1:14" x14ac:dyDescent="0.25">
      <c r="A63" t="s">
        <v>3641</v>
      </c>
      <c r="B63" s="19" t="s">
        <v>699</v>
      </c>
      <c r="C63" s="19" t="s">
        <v>2143</v>
      </c>
      <c r="D63">
        <v>15</v>
      </c>
      <c r="E63">
        <v>90001</v>
      </c>
      <c r="F63" t="s">
        <v>2379</v>
      </c>
      <c r="G63">
        <f t="shared" si="6"/>
        <v>26</v>
      </c>
      <c r="H63" s="9">
        <f>IF(ISERROR(VLOOKUP(A63,Excel4!D:J,7,0)),0,VLOOKUP(A63,Excel4!D:J,7,0))</f>
        <v>0</v>
      </c>
      <c r="I63" s="15" t="s">
        <v>1777</v>
      </c>
      <c r="J63" s="20" t="s">
        <v>2306</v>
      </c>
      <c r="K63" s="15" t="s">
        <v>37</v>
      </c>
      <c r="L63" s="18" t="str">
        <f t="shared" si="7"/>
        <v>SALAR BELEDİYE BAŞKANLIĞI AFYON</v>
      </c>
      <c r="M63" s="18" t="str">
        <f t="shared" si="5"/>
        <v>SALAR</v>
      </c>
    </row>
    <row r="64" spans="1:14" x14ac:dyDescent="0.25">
      <c r="A64" t="s">
        <v>3613</v>
      </c>
      <c r="B64" t="s">
        <v>699</v>
      </c>
      <c r="C64" t="s">
        <v>93</v>
      </c>
      <c r="D64">
        <v>15</v>
      </c>
      <c r="E64">
        <v>90001</v>
      </c>
      <c r="F64" t="s">
        <v>925</v>
      </c>
      <c r="G64">
        <f t="shared" si="6"/>
        <v>26</v>
      </c>
      <c r="H64" s="9">
        <f>IF(ISERROR(VLOOKUP(A64,Excel4!D:J,7,0)),0,VLOOKUP(A64,Excel4!D:J,7,0))</f>
        <v>77.66</v>
      </c>
      <c r="I64" s="15" t="s">
        <v>1777</v>
      </c>
      <c r="J64" s="15" t="s">
        <v>93</v>
      </c>
      <c r="K64" s="15" t="s">
        <v>37</v>
      </c>
      <c r="L64" s="18" t="str">
        <f t="shared" si="7"/>
        <v>SANDIKLI BELEDİYE BAŞKANLIĞI AFYON</v>
      </c>
      <c r="M64" s="18" t="str">
        <f t="shared" si="5"/>
        <v>SANDIKLI</v>
      </c>
      <c r="N64">
        <f>_xlfn.XLOOKUP(M64,[1]Sheet1!$A:$A,[1]Sheet1!$G:$G)</f>
        <v>0</v>
      </c>
    </row>
    <row r="65" spans="1:14" x14ac:dyDescent="0.25">
      <c r="A65" t="s">
        <v>3633</v>
      </c>
      <c r="B65" s="19" t="s">
        <v>2555</v>
      </c>
      <c r="C65" s="19" t="s">
        <v>502</v>
      </c>
      <c r="D65">
        <v>12</v>
      </c>
      <c r="E65">
        <v>90001</v>
      </c>
      <c r="F65" s="19" t="s">
        <v>2862</v>
      </c>
      <c r="G65">
        <f t="shared" si="6"/>
        <v>26</v>
      </c>
      <c r="H65" s="9">
        <f>IF(ISERROR(VLOOKUP(A65,Excel4!D:J,7,0)),0,VLOOKUP(A65,Excel4!D:J,7,0))</f>
        <v>0</v>
      </c>
      <c r="I65" s="15" t="s">
        <v>1777</v>
      </c>
      <c r="J65" s="20" t="s">
        <v>611</v>
      </c>
      <c r="K65" s="15" t="s">
        <v>37</v>
      </c>
      <c r="L65" s="18" t="str">
        <f t="shared" si="7"/>
        <v>SEYDİLER BELEDİYE BAŞKANLIĞI AFYON</v>
      </c>
      <c r="M65" s="18" t="str">
        <f t="shared" si="5"/>
        <v>SEYDİLER</v>
      </c>
    </row>
    <row r="66" spans="1:14" x14ac:dyDescent="0.25">
      <c r="A66" t="s">
        <v>3636</v>
      </c>
      <c r="B66" s="19" t="s">
        <v>704</v>
      </c>
      <c r="C66" s="19" t="s">
        <v>2305</v>
      </c>
      <c r="D66">
        <v>10</v>
      </c>
      <c r="E66">
        <v>90001</v>
      </c>
      <c r="F66" s="19" t="s">
        <v>2378</v>
      </c>
      <c r="G66">
        <f t="shared" si="6"/>
        <v>26</v>
      </c>
      <c r="H66" s="9">
        <f>IF(ISERROR(VLOOKUP(A66,Excel4!D:J,7,0)),0,VLOOKUP(A66,Excel4!D:J,7,0))</f>
        <v>98.18</v>
      </c>
      <c r="I66" s="15" t="s">
        <v>1777</v>
      </c>
      <c r="J66" s="20" t="s">
        <v>2305</v>
      </c>
      <c r="K66" s="15" t="s">
        <v>37</v>
      </c>
      <c r="L66" s="18" t="str">
        <f t="shared" si="7"/>
        <v>SİNANPAŞA BELEDİYE BAŞKANLIĞI AFYON</v>
      </c>
      <c r="M66" s="18" t="str">
        <f t="shared" si="5"/>
        <v>SİNANPAŞA</v>
      </c>
      <c r="N66" t="e">
        <f>_xlfn.XLOOKUP(M66,[1]Sheet1!$C:$C,[1]Sheet1!$G:$G)</f>
        <v>#N/A</v>
      </c>
    </row>
    <row r="67" spans="1:14" x14ac:dyDescent="0.25">
      <c r="A67" t="s">
        <v>3640</v>
      </c>
      <c r="B67" s="19" t="s">
        <v>704</v>
      </c>
      <c r="C67" s="19" t="s">
        <v>2305</v>
      </c>
      <c r="D67">
        <v>10</v>
      </c>
      <c r="E67">
        <v>90001</v>
      </c>
      <c r="F67" t="s">
        <v>2378</v>
      </c>
      <c r="G67">
        <f t="shared" si="6"/>
        <v>26</v>
      </c>
      <c r="H67" s="9">
        <f>IF(ISERROR(VLOOKUP(A67,Excel4!D:J,7,0)),0,VLOOKUP(A67,Excel4!D:J,7,0))</f>
        <v>58.16</v>
      </c>
      <c r="I67" s="15" t="s">
        <v>1777</v>
      </c>
      <c r="J67" s="20" t="s">
        <v>2305</v>
      </c>
      <c r="K67" s="15" t="s">
        <v>37</v>
      </c>
      <c r="L67" s="18" t="str">
        <f t="shared" si="7"/>
        <v>SİNANPAŞA BELEDİYE BAŞKANLIĞI AFYON</v>
      </c>
      <c r="M67" s="18" t="str">
        <f t="shared" si="5"/>
        <v>SİNANPAŞA</v>
      </c>
    </row>
    <row r="68" spans="1:14" x14ac:dyDescent="0.25">
      <c r="A68" t="s">
        <v>3630</v>
      </c>
      <c r="B68" t="s">
        <v>704</v>
      </c>
      <c r="C68" t="s">
        <v>2258</v>
      </c>
      <c r="D68">
        <v>10</v>
      </c>
      <c r="E68">
        <v>90001</v>
      </c>
      <c r="F68" t="s">
        <v>2552</v>
      </c>
      <c r="G68">
        <f t="shared" si="6"/>
        <v>26</v>
      </c>
      <c r="H68" s="9">
        <f>IF(ISERROR(VLOOKUP(A68,Excel4!D:J,7,0)),0,VLOOKUP(A68,Excel4!D:J,7,0))</f>
        <v>116.67</v>
      </c>
      <c r="I68" s="15" t="s">
        <v>1777</v>
      </c>
      <c r="J68" s="20" t="s">
        <v>2258</v>
      </c>
      <c r="K68" s="15" t="s">
        <v>37</v>
      </c>
      <c r="L68" s="18" t="str">
        <f t="shared" ref="L68:L98" si="8">IF(J68="MERKEZ",K68&amp;" "&amp;I68,IF(J68="BÜYÜKŞEHİR",K68&amp;" "&amp;J68&amp;" "&amp;I68,J68&amp;" "&amp;I68&amp;" "&amp;K68))</f>
        <v>SULTANDAĞI BELEDİYE BAŞKANLIĞI AFYON</v>
      </c>
      <c r="M68" s="18" t="str">
        <f t="shared" ref="M68:M131" si="9">IF(J68="MERKEZ",K68,IF(J68="BÜYÜKŞEHİR",K68&amp;" BÜYÜKŞEHİR",J68))</f>
        <v>SULTANDAĞI</v>
      </c>
    </row>
    <row r="69" spans="1:14" x14ac:dyDescent="0.25">
      <c r="A69" t="s">
        <v>3639</v>
      </c>
      <c r="B69" t="s">
        <v>2555</v>
      </c>
      <c r="C69" t="s">
        <v>2143</v>
      </c>
      <c r="D69">
        <v>12</v>
      </c>
      <c r="E69">
        <v>90001</v>
      </c>
      <c r="F69" t="s">
        <v>2144</v>
      </c>
      <c r="G69">
        <f t="shared" si="6"/>
        <v>26</v>
      </c>
      <c r="H69" s="9">
        <f>IF(ISERROR(VLOOKUP(A69,Excel4!D:J,7,0)),0,VLOOKUP(A69,Excel4!D:J,7,0))</f>
        <v>0</v>
      </c>
      <c r="I69" s="15" t="s">
        <v>1777</v>
      </c>
      <c r="J69" s="15" t="s">
        <v>605</v>
      </c>
      <c r="K69" s="15" t="s">
        <v>37</v>
      </c>
      <c r="L69" s="18" t="str">
        <f t="shared" si="8"/>
        <v>SUSUZ BELEDİYE BAŞKANLIĞI AFYON</v>
      </c>
      <c r="M69" s="18" t="str">
        <f t="shared" si="9"/>
        <v>SUSUZ</v>
      </c>
    </row>
    <row r="70" spans="1:14" x14ac:dyDescent="0.25">
      <c r="A70" t="s">
        <v>3646</v>
      </c>
      <c r="B70" t="s">
        <v>704</v>
      </c>
      <c r="C70" t="s">
        <v>37</v>
      </c>
      <c r="D70">
        <v>10</v>
      </c>
      <c r="E70">
        <v>90001</v>
      </c>
      <c r="F70" t="s">
        <v>3147</v>
      </c>
      <c r="G70">
        <f t="shared" si="6"/>
        <v>26</v>
      </c>
      <c r="H70" s="9">
        <f>IF(ISERROR(VLOOKUP(A70,Excel4!D:J,7,0)),0,VLOOKUP(A70,Excel4!D:J,7,0))</f>
        <v>0</v>
      </c>
      <c r="I70" s="15" t="s">
        <v>1777</v>
      </c>
      <c r="J70" s="15" t="s">
        <v>3092</v>
      </c>
      <c r="K70" s="15" t="str">
        <f>C70</f>
        <v>AFYON</v>
      </c>
      <c r="L70" s="18" t="str">
        <f t="shared" si="8"/>
        <v>SÜLÜMENLİ BELEDİYE BAŞKANLIĞI AFYON</v>
      </c>
      <c r="M70" s="18" t="str">
        <f t="shared" si="9"/>
        <v>SÜLÜMENLİ</v>
      </c>
    </row>
    <row r="71" spans="1:14" x14ac:dyDescent="0.25">
      <c r="A71" t="s">
        <v>3635</v>
      </c>
      <c r="B71" t="s">
        <v>704</v>
      </c>
      <c r="C71" t="s">
        <v>2260</v>
      </c>
      <c r="D71">
        <v>10</v>
      </c>
      <c r="E71">
        <v>90001</v>
      </c>
      <c r="F71" t="s">
        <v>2429</v>
      </c>
      <c r="G71">
        <f t="shared" si="6"/>
        <v>26</v>
      </c>
      <c r="H71" s="9">
        <f>IF(ISERROR(VLOOKUP(A71,Excel4!D:J,7,0)),0,VLOOKUP(A71,Excel4!D:J,7,0))</f>
        <v>526.25</v>
      </c>
      <c r="I71" s="15" t="s">
        <v>1777</v>
      </c>
      <c r="J71" s="15" t="s">
        <v>2260</v>
      </c>
      <c r="K71" s="15" t="s">
        <v>37</v>
      </c>
      <c r="L71" s="18" t="str">
        <f t="shared" si="8"/>
        <v>ŞUHUT BELEDİYE BAŞKANLIĞI AFYON</v>
      </c>
      <c r="M71" s="18" t="str">
        <f t="shared" si="9"/>
        <v>ŞUHUT</v>
      </c>
      <c r="N71">
        <f>_xlfn.XLOOKUP(M71,[1]Sheet1!$A:$A,[1]Sheet1!$G:$G)</f>
        <v>0</v>
      </c>
    </row>
    <row r="72" spans="1:14" x14ac:dyDescent="0.25">
      <c r="A72" t="s">
        <v>3644</v>
      </c>
      <c r="B72" t="s">
        <v>704</v>
      </c>
      <c r="C72" t="s">
        <v>2123</v>
      </c>
      <c r="D72">
        <v>10</v>
      </c>
      <c r="E72">
        <v>90001</v>
      </c>
      <c r="F72" t="s">
        <v>2146</v>
      </c>
      <c r="G72">
        <f t="shared" si="6"/>
        <v>26</v>
      </c>
      <c r="H72" s="9">
        <f>IF(ISERROR(VLOOKUP(A72,Excel4!D:J,7,0)),0,VLOOKUP(A72,Excel4!D:J,7,0))</f>
        <v>0</v>
      </c>
      <c r="I72" s="15" t="s">
        <v>1777</v>
      </c>
      <c r="J72" s="15" t="s">
        <v>2123</v>
      </c>
      <c r="K72" s="15" t="s">
        <v>37</v>
      </c>
      <c r="L72" s="18" t="str">
        <f t="shared" si="8"/>
        <v>TATARLI BELEDİYE BAŞKANLIĞI AFYON</v>
      </c>
      <c r="M72" s="18" t="str">
        <f t="shared" si="9"/>
        <v>TATARLI</v>
      </c>
    </row>
    <row r="73" spans="1:14" x14ac:dyDescent="0.25">
      <c r="A73" t="s">
        <v>3619</v>
      </c>
      <c r="B73" s="19" t="s">
        <v>704</v>
      </c>
      <c r="C73" s="19" t="s">
        <v>2721</v>
      </c>
      <c r="D73">
        <v>10</v>
      </c>
      <c r="E73">
        <v>90001</v>
      </c>
      <c r="F73" s="19" t="s">
        <v>2728</v>
      </c>
      <c r="G73">
        <f t="shared" si="6"/>
        <v>26</v>
      </c>
      <c r="H73" s="9">
        <f>IF(ISERROR(VLOOKUP(A73,Excel4!D:J,7,0)),0,VLOOKUP(A73,Excel4!D:J,7,0))</f>
        <v>0</v>
      </c>
      <c r="I73" s="15" t="s">
        <v>1777</v>
      </c>
      <c r="J73" s="20" t="s">
        <v>2713</v>
      </c>
      <c r="K73" s="15" t="s">
        <v>37</v>
      </c>
      <c r="L73" s="18" t="str">
        <f t="shared" si="8"/>
        <v>TINAZTEPE BELEDİYE BAŞKANLIĞI AFYON</v>
      </c>
      <c r="M73" s="18" t="str">
        <f t="shared" si="9"/>
        <v>TINAZTEPE</v>
      </c>
    </row>
    <row r="74" spans="1:14" x14ac:dyDescent="0.25">
      <c r="A74" s="19" t="s">
        <v>3643</v>
      </c>
      <c r="B74" t="s">
        <v>2555</v>
      </c>
      <c r="C74" t="s">
        <v>2381</v>
      </c>
      <c r="D74">
        <v>12</v>
      </c>
      <c r="E74">
        <v>90001</v>
      </c>
      <c r="F74" t="s">
        <v>2382</v>
      </c>
      <c r="G74">
        <f t="shared" si="6"/>
        <v>26</v>
      </c>
      <c r="H74" s="9">
        <f>IF(ISERROR(VLOOKUP(A74,Excel4!D:J,7,0)),0,VLOOKUP(A74,Excel4!D:J,7,0))</f>
        <v>0</v>
      </c>
      <c r="I74" s="15" t="s">
        <v>1777</v>
      </c>
      <c r="J74" s="20" t="s">
        <v>2319</v>
      </c>
      <c r="K74" s="20" t="s">
        <v>37</v>
      </c>
      <c r="L74" s="18" t="str">
        <f t="shared" si="8"/>
        <v>YAYLABAĞI BELEDİYE BAŞKANLIĞI AFYON</v>
      </c>
      <c r="M74" s="18" t="str">
        <f t="shared" si="9"/>
        <v>YAYLABAĞI</v>
      </c>
    </row>
    <row r="75" spans="1:14" x14ac:dyDescent="0.25">
      <c r="A75" t="s">
        <v>2427</v>
      </c>
      <c r="B75" t="s">
        <v>704</v>
      </c>
      <c r="C75" t="s">
        <v>2394</v>
      </c>
      <c r="D75">
        <v>10</v>
      </c>
      <c r="E75">
        <v>90001</v>
      </c>
      <c r="F75" t="s">
        <v>2428</v>
      </c>
      <c r="G75">
        <f t="shared" si="6"/>
        <v>26</v>
      </c>
      <c r="H75" s="9">
        <f>IF(ISERROR(VLOOKUP(A75,Excel4!D:J,7,0)),0,VLOOKUP(A75,Excel4!D:J,7,0))</f>
        <v>0</v>
      </c>
      <c r="I75" s="15" t="s">
        <v>1777</v>
      </c>
      <c r="J75" s="15" t="s">
        <v>2394</v>
      </c>
      <c r="K75" s="15" t="s">
        <v>175</v>
      </c>
      <c r="L75" s="18" t="str">
        <f t="shared" si="8"/>
        <v>DİYADİN BELEDİYE BAŞKANLIĞI AĞRI</v>
      </c>
      <c r="M75" s="18" t="str">
        <f t="shared" si="9"/>
        <v>DİYADİN</v>
      </c>
      <c r="N75">
        <f>_xlfn.XLOOKUP(M75,[1]Sheet1!$A:$A,[1]Sheet1!$G:$G)</f>
        <v>0</v>
      </c>
    </row>
    <row r="76" spans="1:14" x14ac:dyDescent="0.25">
      <c r="A76" t="s">
        <v>926</v>
      </c>
      <c r="B76" t="s">
        <v>704</v>
      </c>
      <c r="C76" t="s">
        <v>425</v>
      </c>
      <c r="D76">
        <v>10</v>
      </c>
      <c r="E76">
        <v>90001</v>
      </c>
      <c r="F76" t="s">
        <v>927</v>
      </c>
      <c r="G76">
        <f t="shared" si="6"/>
        <v>26</v>
      </c>
      <c r="H76" s="9">
        <f>IF(ISERROR(VLOOKUP(A76,Excel4!D:J,7,0)),0,VLOOKUP(A76,Excel4!D:J,7,0))</f>
        <v>50.27</v>
      </c>
      <c r="I76" s="15" t="s">
        <v>1777</v>
      </c>
      <c r="J76" s="15" t="s">
        <v>425</v>
      </c>
      <c r="K76" s="15" t="s">
        <v>175</v>
      </c>
      <c r="L76" s="18" t="str">
        <f t="shared" si="8"/>
        <v>DOĞUBAYAZIT BELEDİYE BAŞKANLIĞI AĞRI</v>
      </c>
      <c r="M76" s="18" t="str">
        <f t="shared" si="9"/>
        <v>DOĞUBAYAZIT</v>
      </c>
      <c r="N76">
        <f>_xlfn.XLOOKUP(M76,[1]Sheet1!$A:$A,[1]Sheet1!$G:$G)</f>
        <v>0</v>
      </c>
    </row>
    <row r="77" spans="1:14" x14ac:dyDescent="0.25">
      <c r="A77" t="s">
        <v>2530</v>
      </c>
      <c r="B77" t="s">
        <v>876</v>
      </c>
      <c r="C77" t="s">
        <v>175</v>
      </c>
      <c r="D77">
        <v>134</v>
      </c>
      <c r="E77">
        <v>90001</v>
      </c>
      <c r="F77" t="s">
        <v>2581</v>
      </c>
      <c r="G77">
        <f t="shared" si="6"/>
        <v>26</v>
      </c>
      <c r="H77" s="9">
        <f>IF(ISERROR(VLOOKUP(A77,Excel4!D:J,7,0)),0,VLOOKUP(A77,Excel4!D:J,7,0))</f>
        <v>0</v>
      </c>
      <c r="I77" s="15" t="s">
        <v>1777</v>
      </c>
      <c r="J77" s="20" t="s">
        <v>2411</v>
      </c>
      <c r="K77" s="15" t="s">
        <v>175</v>
      </c>
      <c r="L77" s="18" t="str">
        <f t="shared" si="8"/>
        <v>ELEŞKİRT BELEDİYE BAŞKANLIĞI AĞRI</v>
      </c>
      <c r="M77" s="18" t="str">
        <f t="shared" si="9"/>
        <v>ELEŞKİRT</v>
      </c>
    </row>
    <row r="78" spans="1:14" x14ac:dyDescent="0.25">
      <c r="A78" t="s">
        <v>1614</v>
      </c>
      <c r="B78" t="s">
        <v>818</v>
      </c>
      <c r="C78" t="s">
        <v>34</v>
      </c>
      <c r="D78">
        <v>64</v>
      </c>
      <c r="E78">
        <v>90001</v>
      </c>
      <c r="F78" t="s">
        <v>481</v>
      </c>
      <c r="G78">
        <f t="shared" si="6"/>
        <v>26</v>
      </c>
      <c r="H78" s="9">
        <f>IF(ISERROR(VLOOKUP(A78,Excel4!D:J,7,0)),0,VLOOKUP(A78,Excel4!D:J,7,0))</f>
        <v>1363.12</v>
      </c>
      <c r="I78" s="15" t="s">
        <v>1777</v>
      </c>
      <c r="J78" s="15" t="s">
        <v>34</v>
      </c>
      <c r="K78" s="15" t="s">
        <v>175</v>
      </c>
      <c r="L78" s="18" t="str">
        <f t="shared" si="8"/>
        <v>AĞRI BELEDİYE BAŞKANLIĞI</v>
      </c>
      <c r="M78" s="18" t="str">
        <f t="shared" si="9"/>
        <v>AĞRI</v>
      </c>
    </row>
    <row r="79" spans="1:14" x14ac:dyDescent="0.25">
      <c r="A79" t="s">
        <v>928</v>
      </c>
      <c r="B79" t="s">
        <v>699</v>
      </c>
      <c r="C79" t="s">
        <v>426</v>
      </c>
      <c r="D79">
        <v>15</v>
      </c>
      <c r="E79">
        <v>90001</v>
      </c>
      <c r="F79" t="s">
        <v>3684</v>
      </c>
      <c r="G79">
        <f t="shared" si="6"/>
        <v>26</v>
      </c>
      <c r="H79" s="9">
        <f>IF(ISERROR(VLOOKUP(A79,Excel4!D:J,7,0)),0,VLOOKUP(A79,Excel4!D:J,7,0))</f>
        <v>555.05000000000007</v>
      </c>
      <c r="I79" s="15" t="s">
        <v>1777</v>
      </c>
      <c r="J79" s="15" t="s">
        <v>426</v>
      </c>
      <c r="K79" s="15" t="s">
        <v>175</v>
      </c>
      <c r="L79" s="18" t="str">
        <f t="shared" si="8"/>
        <v>PATNOS BELEDİYE BAŞKANLIĞI AĞRI</v>
      </c>
      <c r="M79" s="18" t="str">
        <f t="shared" si="9"/>
        <v>PATNOS</v>
      </c>
      <c r="N79">
        <f>_xlfn.XLOOKUP(M79,[1]Sheet1!$A:$A,[1]Sheet1!$G:$G)</f>
        <v>0</v>
      </c>
    </row>
    <row r="80" spans="1:14" x14ac:dyDescent="0.25">
      <c r="A80" t="s">
        <v>2704</v>
      </c>
      <c r="B80" t="s">
        <v>704</v>
      </c>
      <c r="C80" t="s">
        <v>2696</v>
      </c>
      <c r="D80">
        <v>10</v>
      </c>
      <c r="E80">
        <v>90001</v>
      </c>
      <c r="F80" t="s">
        <v>2706</v>
      </c>
      <c r="G80">
        <f t="shared" si="6"/>
        <v>26</v>
      </c>
      <c r="H80" s="9">
        <f>IF(ISERROR(VLOOKUP(A80,Excel4!D:J,7,0)),0,VLOOKUP(A80,Excel4!D:J,7,0))</f>
        <v>0</v>
      </c>
      <c r="I80" s="15" t="s">
        <v>1777</v>
      </c>
      <c r="J80" s="15" t="s">
        <v>2696</v>
      </c>
      <c r="K80" s="15" t="s">
        <v>175</v>
      </c>
      <c r="L80" s="18" t="str">
        <f t="shared" si="8"/>
        <v>TAŞLIÇAY BELEDİYE BAŞKANLIĞI AĞRI</v>
      </c>
      <c r="M80" s="18" t="str">
        <f t="shared" si="9"/>
        <v>TAŞLIÇAY</v>
      </c>
      <c r="N80">
        <f>_xlfn.XLOOKUP(M80,[1]Sheet1!$A:$A,[1]Sheet1!$G:$G)</f>
        <v>0</v>
      </c>
    </row>
    <row r="81" spans="1:14" x14ac:dyDescent="0.25">
      <c r="A81" t="s">
        <v>929</v>
      </c>
      <c r="B81" t="s">
        <v>704</v>
      </c>
      <c r="C81" t="s">
        <v>503</v>
      </c>
      <c r="D81">
        <v>10</v>
      </c>
      <c r="E81">
        <v>90001</v>
      </c>
      <c r="F81" t="s">
        <v>930</v>
      </c>
      <c r="G81">
        <f t="shared" si="6"/>
        <v>26</v>
      </c>
      <c r="H81" s="9">
        <f>IF(ISERROR(VLOOKUP(A81,Excel4!D:J,7,0)),0,VLOOKUP(A81,Excel4!D:J,7,0))</f>
        <v>0</v>
      </c>
      <c r="I81" s="15" t="s">
        <v>1777</v>
      </c>
      <c r="J81" s="15" t="s">
        <v>503</v>
      </c>
      <c r="K81" s="15" t="s">
        <v>175</v>
      </c>
      <c r="L81" s="18" t="str">
        <f t="shared" si="8"/>
        <v>TUTAK BELEDİYE BAŞKANLIĞI AĞRI</v>
      </c>
      <c r="M81" s="18" t="str">
        <f t="shared" si="9"/>
        <v>TUTAK</v>
      </c>
    </row>
    <row r="82" spans="1:14" x14ac:dyDescent="0.25">
      <c r="A82" t="s">
        <v>2004</v>
      </c>
      <c r="B82" t="s">
        <v>704</v>
      </c>
      <c r="C82" t="s">
        <v>1993</v>
      </c>
      <c r="D82">
        <v>10</v>
      </c>
      <c r="E82">
        <v>90001</v>
      </c>
      <c r="F82" t="s">
        <v>2041</v>
      </c>
      <c r="G82">
        <f t="shared" si="6"/>
        <v>26</v>
      </c>
      <c r="H82" s="9">
        <f>IF(ISERROR(VLOOKUP(A82,Excel4!D:J,7,0)),0,VLOOKUP(A82,Excel4!D:J,7,0))</f>
        <v>436.23</v>
      </c>
      <c r="I82" s="15" t="s">
        <v>1777</v>
      </c>
      <c r="J82" s="15" t="s">
        <v>1993</v>
      </c>
      <c r="K82" s="15" t="s">
        <v>194</v>
      </c>
      <c r="L82" s="18" t="str">
        <f t="shared" si="8"/>
        <v>AĞAÇÖREN BELEDİYE BAŞKANLIĞI AKSARAY</v>
      </c>
      <c r="M82" s="18" t="str">
        <f t="shared" si="9"/>
        <v>AĞAÇÖREN</v>
      </c>
      <c r="N82">
        <f>_xlfn.XLOOKUP(M82,[1]Sheet1!$A:$A,[1]Sheet1!$G:$G)</f>
        <v>0</v>
      </c>
    </row>
    <row r="83" spans="1:14" x14ac:dyDescent="0.25">
      <c r="A83" s="19" t="s">
        <v>2915</v>
      </c>
      <c r="B83" s="19" t="s">
        <v>2772</v>
      </c>
      <c r="C83" s="19" t="s">
        <v>34</v>
      </c>
      <c r="D83">
        <v>11</v>
      </c>
      <c r="E83">
        <v>90001</v>
      </c>
      <c r="F83" s="19" t="s">
        <v>2768</v>
      </c>
      <c r="G83">
        <f t="shared" si="6"/>
        <v>26</v>
      </c>
      <c r="H83" s="9">
        <f>IF(ISERROR(VLOOKUP(A83,Excel4!D:J,7,0)),0,VLOOKUP(A83,Excel4!D:J,7,0))</f>
        <v>0</v>
      </c>
      <c r="I83" s="15" t="s">
        <v>1777</v>
      </c>
      <c r="J83" s="20" t="s">
        <v>2641</v>
      </c>
      <c r="K83" s="15" t="s">
        <v>194</v>
      </c>
      <c r="L83" s="18" t="str">
        <f t="shared" si="8"/>
        <v>AKÇAKENT BELEDİYE BAŞKANLIĞI AKSARAY</v>
      </c>
      <c r="M83" s="18" t="str">
        <f t="shared" si="9"/>
        <v>AKÇAKENT</v>
      </c>
    </row>
    <row r="84" spans="1:14" x14ac:dyDescent="0.25">
      <c r="A84" t="s">
        <v>2432</v>
      </c>
      <c r="B84" s="19" t="s">
        <v>704</v>
      </c>
      <c r="C84" s="19" t="s">
        <v>194</v>
      </c>
      <c r="D84">
        <v>10</v>
      </c>
      <c r="E84">
        <v>90001</v>
      </c>
      <c r="F84" s="19" t="s">
        <v>2433</v>
      </c>
      <c r="G84">
        <f t="shared" ref="G84:G147" si="10">LEN(F84)</f>
        <v>26</v>
      </c>
      <c r="H84" s="9">
        <f>IF(ISERROR(VLOOKUP(A84,Excel4!D:J,7,0)),0,VLOOKUP(A84,Excel4!D:J,7,0))</f>
        <v>0</v>
      </c>
      <c r="I84" s="15" t="s">
        <v>1777</v>
      </c>
      <c r="J84" s="15" t="s">
        <v>2425</v>
      </c>
      <c r="K84" s="15" t="s">
        <v>194</v>
      </c>
      <c r="L84" s="18" t="str">
        <f t="shared" si="8"/>
        <v>BAĞLIKAYA BELEDİYE BAŞKANLIĞI AKSARAY</v>
      </c>
      <c r="M84" s="18" t="str">
        <f t="shared" si="9"/>
        <v>BAĞLIKAYA</v>
      </c>
    </row>
    <row r="85" spans="1:14" x14ac:dyDescent="0.25">
      <c r="A85" s="19" t="s">
        <v>2327</v>
      </c>
      <c r="B85" s="19" t="s">
        <v>704</v>
      </c>
      <c r="C85" s="19" t="s">
        <v>2200</v>
      </c>
      <c r="D85">
        <v>10</v>
      </c>
      <c r="E85">
        <v>90001</v>
      </c>
      <c r="F85" t="s">
        <v>2384</v>
      </c>
      <c r="G85">
        <f t="shared" si="10"/>
        <v>26</v>
      </c>
      <c r="H85" s="9">
        <f>IF(ISERROR(VLOOKUP(A85,Excel4!D:J,7,0)),0,VLOOKUP(A85,Excel4!D:J,7,0))</f>
        <v>280.10000000000002</v>
      </c>
      <c r="I85" s="15" t="s">
        <v>1777</v>
      </c>
      <c r="J85" s="20" t="s">
        <v>2200</v>
      </c>
      <c r="K85" s="15" t="s">
        <v>194</v>
      </c>
      <c r="L85" s="18" t="str">
        <f t="shared" si="8"/>
        <v>ESKİL BELEDİYE BAŞKANLIĞI AKSARAY</v>
      </c>
      <c r="M85" s="18" t="str">
        <f t="shared" si="9"/>
        <v>ESKİL</v>
      </c>
      <c r="N85">
        <f>_xlfn.XLOOKUP(M85,[1]Sheet1!$A:$A,[1]Sheet1!$G:$G)</f>
        <v>0</v>
      </c>
    </row>
    <row r="86" spans="1:14" x14ac:dyDescent="0.25">
      <c r="A86" t="s">
        <v>2182</v>
      </c>
      <c r="B86" s="19" t="s">
        <v>704</v>
      </c>
      <c r="C86" s="19" t="s">
        <v>2200</v>
      </c>
      <c r="D86">
        <v>10</v>
      </c>
      <c r="E86">
        <v>90001</v>
      </c>
      <c r="F86" s="19" t="s">
        <v>2201</v>
      </c>
      <c r="G86">
        <f t="shared" si="10"/>
        <v>26</v>
      </c>
      <c r="H86" s="9">
        <f>IF(ISERROR(VLOOKUP(A86,Excel4!D:J,7,0)),0,VLOOKUP(A86,Excel4!D:J,7,0))</f>
        <v>0</v>
      </c>
      <c r="I86" s="15" t="s">
        <v>1777</v>
      </c>
      <c r="J86" s="15" t="s">
        <v>2174</v>
      </c>
      <c r="K86" s="15" t="s">
        <v>194</v>
      </c>
      <c r="L86" s="18" t="str">
        <f t="shared" si="8"/>
        <v>EŞMEKAYA BELEDİYE BAŞKANLIĞI AKSARAY</v>
      </c>
      <c r="M86" s="18" t="str">
        <f t="shared" si="9"/>
        <v>EŞMEKAYA</v>
      </c>
    </row>
    <row r="87" spans="1:14" x14ac:dyDescent="0.25">
      <c r="A87" t="s">
        <v>2645</v>
      </c>
      <c r="B87" s="19" t="s">
        <v>704</v>
      </c>
      <c r="C87" s="19" t="s">
        <v>2102</v>
      </c>
      <c r="D87">
        <v>10</v>
      </c>
      <c r="E87">
        <v>90001</v>
      </c>
      <c r="F87" s="19" t="s">
        <v>2650</v>
      </c>
      <c r="G87">
        <f t="shared" si="10"/>
        <v>26</v>
      </c>
      <c r="H87" s="9">
        <f>IF(ISERROR(VLOOKUP(A87,Excel4!D:J,7,0)),0,VLOOKUP(A87,Excel4!D:J,7,0))</f>
        <v>0</v>
      </c>
      <c r="I87" s="15" t="s">
        <v>1777</v>
      </c>
      <c r="J87" s="20" t="s">
        <v>2102</v>
      </c>
      <c r="K87" s="15" t="s">
        <v>194</v>
      </c>
      <c r="L87" s="18" t="str">
        <f t="shared" si="8"/>
        <v>GÜLAĞAÇ BELEDİYE BAŞKANLIĞI AKSARAY</v>
      </c>
      <c r="M87" s="18" t="str">
        <f t="shared" si="9"/>
        <v>GÜLAĞAÇ</v>
      </c>
    </row>
    <row r="88" spans="1:14" x14ac:dyDescent="0.25">
      <c r="A88" t="s">
        <v>3135</v>
      </c>
      <c r="B88" t="s">
        <v>704</v>
      </c>
      <c r="C88" t="s">
        <v>194</v>
      </c>
      <c r="D88">
        <v>10</v>
      </c>
      <c r="E88">
        <v>90001</v>
      </c>
      <c r="F88" t="s">
        <v>3149</v>
      </c>
      <c r="G88">
        <f t="shared" si="10"/>
        <v>26</v>
      </c>
      <c r="H88" s="9">
        <f>IF(ISERROR(VLOOKUP(A88,Excel4!D:J,7,0)),0,VLOOKUP(A88,Excel4!D:J,7,0))</f>
        <v>0</v>
      </c>
      <c r="I88" s="15" t="s">
        <v>1777</v>
      </c>
      <c r="J88" s="15" t="s">
        <v>3095</v>
      </c>
      <c r="K88" s="15" t="str">
        <f>C88</f>
        <v>AKSARAY</v>
      </c>
      <c r="L88" s="18" t="str">
        <f t="shared" si="8"/>
        <v>GÜLPINAR BELEDİYE BAŞKANLIĞI AKSARAY</v>
      </c>
      <c r="M88" s="18" t="str">
        <f t="shared" si="9"/>
        <v>GÜLPINAR</v>
      </c>
    </row>
    <row r="89" spans="1:14" x14ac:dyDescent="0.25">
      <c r="A89" t="s">
        <v>2430</v>
      </c>
      <c r="B89" s="19" t="s">
        <v>704</v>
      </c>
      <c r="C89" s="19" t="s">
        <v>2395</v>
      </c>
      <c r="D89">
        <v>10</v>
      </c>
      <c r="E89">
        <v>90001</v>
      </c>
      <c r="F89" s="19" t="s">
        <v>2431</v>
      </c>
      <c r="G89">
        <f t="shared" si="10"/>
        <v>26</v>
      </c>
      <c r="H89" s="9">
        <f>IF(ISERROR(VLOOKUP(A89,Excel4!D:J,7,0)),0,VLOOKUP(A89,Excel4!D:J,7,0))</f>
        <v>13.760000000000002</v>
      </c>
      <c r="I89" s="15" t="s">
        <v>1777</v>
      </c>
      <c r="J89" s="15" t="s">
        <v>2395</v>
      </c>
      <c r="K89" s="15" t="s">
        <v>194</v>
      </c>
      <c r="L89" s="18" t="str">
        <f t="shared" si="8"/>
        <v>GÜZELYURT BELEDİYE BAŞKANLIĞI AKSARAY</v>
      </c>
      <c r="M89" s="18" t="str">
        <f t="shared" si="9"/>
        <v>GÜZELYURT</v>
      </c>
      <c r="N89">
        <f>_xlfn.XLOOKUP(M89,[1]Sheet1!$A:$A,[1]Sheet1!$G:$G)</f>
        <v>0</v>
      </c>
    </row>
    <row r="90" spans="1:14" x14ac:dyDescent="0.25">
      <c r="A90" t="s">
        <v>3136</v>
      </c>
      <c r="B90" t="s">
        <v>704</v>
      </c>
      <c r="C90" t="s">
        <v>194</v>
      </c>
      <c r="D90">
        <v>10</v>
      </c>
      <c r="E90">
        <v>90001</v>
      </c>
      <c r="F90" t="s">
        <v>3150</v>
      </c>
      <c r="G90">
        <f t="shared" si="10"/>
        <v>26</v>
      </c>
      <c r="H90" s="9">
        <f>IF(ISERROR(VLOOKUP(A90,Excel4!D:J,7,0)),0,VLOOKUP(A90,Excel4!D:J,7,0))</f>
        <v>0</v>
      </c>
      <c r="I90" s="15" t="s">
        <v>1777</v>
      </c>
      <c r="J90" s="15" t="s">
        <v>3096</v>
      </c>
      <c r="K90" s="15" t="str">
        <f>C90</f>
        <v>AKSARAY</v>
      </c>
      <c r="L90" s="18" t="str">
        <f t="shared" si="8"/>
        <v>HELVADERE BELEDİYE BAŞKANLIĞI AKSARAY</v>
      </c>
      <c r="M90" s="18" t="str">
        <f t="shared" si="9"/>
        <v>HELVADERE</v>
      </c>
    </row>
    <row r="91" spans="1:14" x14ac:dyDescent="0.25">
      <c r="A91" t="s">
        <v>1615</v>
      </c>
      <c r="B91" t="s">
        <v>2772</v>
      </c>
      <c r="C91" t="s">
        <v>34</v>
      </c>
      <c r="D91">
        <v>209</v>
      </c>
      <c r="E91">
        <v>90001</v>
      </c>
      <c r="F91" t="s">
        <v>2768</v>
      </c>
      <c r="G91">
        <f t="shared" si="10"/>
        <v>26</v>
      </c>
      <c r="H91" s="9">
        <f>IF(ISERROR(VLOOKUP(A91,Excel4!D:J,7,0)),0,VLOOKUP(A91,Excel4!D:J,7,0))</f>
        <v>8770.2800000000007</v>
      </c>
      <c r="I91" s="15" t="s">
        <v>1777</v>
      </c>
      <c r="J91" s="15" t="s">
        <v>34</v>
      </c>
      <c r="K91" s="15" t="s">
        <v>194</v>
      </c>
      <c r="L91" s="18" t="str">
        <f t="shared" si="8"/>
        <v>AKSARAY BELEDİYE BAŞKANLIĞI</v>
      </c>
      <c r="M91" s="18" t="str">
        <f t="shared" si="9"/>
        <v>AKSARAY</v>
      </c>
      <c r="N91" t="e">
        <f>_xlfn.XLOOKUP(M91,[1]Sheet1!$C:$C,[1]Sheet1!$G:$G)</f>
        <v>#N/A</v>
      </c>
    </row>
    <row r="92" spans="1:14" x14ac:dyDescent="0.25">
      <c r="A92" t="s">
        <v>1616</v>
      </c>
      <c r="B92" t="s">
        <v>2555</v>
      </c>
      <c r="C92" t="s">
        <v>349</v>
      </c>
      <c r="D92">
        <v>12</v>
      </c>
      <c r="E92">
        <v>90001</v>
      </c>
      <c r="F92" t="s">
        <v>1617</v>
      </c>
      <c r="G92">
        <f t="shared" si="10"/>
        <v>26</v>
      </c>
      <c r="H92" s="9">
        <f>IF(ISERROR(VLOOKUP(A92,Excel4!D:J,7,0)),0,VLOOKUP(A92,Excel4!D:J,7,0))</f>
        <v>71.16</v>
      </c>
      <c r="I92" s="15" t="s">
        <v>1777</v>
      </c>
      <c r="J92" s="15" t="s">
        <v>349</v>
      </c>
      <c r="K92" s="15" t="s">
        <v>194</v>
      </c>
      <c r="L92" s="18" t="str">
        <f t="shared" si="8"/>
        <v>ORTAKÖY BELEDİYE BAŞKANLIĞI AKSARAY</v>
      </c>
      <c r="M92" s="18" t="str">
        <f t="shared" si="9"/>
        <v>ORTAKÖY</v>
      </c>
      <c r="N92">
        <f>_xlfn.XLOOKUP(M92,[1]Sheet1!$A:$A,[1]Sheet1!$G:$G)</f>
        <v>0</v>
      </c>
    </row>
    <row r="93" spans="1:14" x14ac:dyDescent="0.25">
      <c r="A93" s="19" t="s">
        <v>2916</v>
      </c>
      <c r="B93" s="19" t="s">
        <v>704</v>
      </c>
      <c r="C93" s="19" t="s">
        <v>34</v>
      </c>
      <c r="D93">
        <v>10</v>
      </c>
      <c r="E93">
        <v>90001</v>
      </c>
      <c r="F93" s="19" t="s">
        <v>2932</v>
      </c>
      <c r="G93">
        <f t="shared" si="10"/>
        <v>26</v>
      </c>
      <c r="H93" s="9">
        <f>IF(ISERROR(VLOOKUP(A93,Excel4!D:J,7,0)),0,VLOOKUP(A93,Excel4!D:J,7,0))</f>
        <v>0</v>
      </c>
      <c r="I93" s="15" t="s">
        <v>1777</v>
      </c>
      <c r="J93" s="20" t="s">
        <v>2911</v>
      </c>
      <c r="K93" s="15" t="s">
        <v>194</v>
      </c>
      <c r="L93" s="18" t="str">
        <f t="shared" si="8"/>
        <v>SAĞLIK BELEDİYE BAŞKANLIĞI AKSARAY</v>
      </c>
      <c r="M93" s="18" t="str">
        <f t="shared" si="9"/>
        <v>SAĞLIK</v>
      </c>
    </row>
    <row r="94" spans="1:14" x14ac:dyDescent="0.25">
      <c r="A94" t="s">
        <v>2064</v>
      </c>
      <c r="B94" t="s">
        <v>704</v>
      </c>
      <c r="C94" t="s">
        <v>2102</v>
      </c>
      <c r="D94">
        <v>10</v>
      </c>
      <c r="E94">
        <v>90001</v>
      </c>
      <c r="F94" t="s">
        <v>2103</v>
      </c>
      <c r="G94">
        <f t="shared" si="10"/>
        <v>26</v>
      </c>
      <c r="H94" s="9">
        <f>IF(ISERROR(VLOOKUP(A94,Excel4!D:J,7,0)),0,VLOOKUP(A94,Excel4!D:J,7,0))</f>
        <v>0</v>
      </c>
      <c r="I94" s="15" t="s">
        <v>1777</v>
      </c>
      <c r="J94" s="15" t="s">
        <v>2049</v>
      </c>
      <c r="K94" s="15" t="s">
        <v>194</v>
      </c>
      <c r="L94" s="18" t="str">
        <f t="shared" si="8"/>
        <v>SARATLI BELEDİYE BAŞKANLIĞI AKSARAY</v>
      </c>
      <c r="M94" s="18" t="str">
        <f t="shared" si="9"/>
        <v>SARATLI</v>
      </c>
    </row>
    <row r="95" spans="1:14" x14ac:dyDescent="0.25">
      <c r="A95" t="s">
        <v>1925</v>
      </c>
      <c r="B95" t="s">
        <v>704</v>
      </c>
      <c r="C95" t="s">
        <v>1850</v>
      </c>
      <c r="D95">
        <v>10</v>
      </c>
      <c r="E95">
        <v>90001</v>
      </c>
      <c r="F95" t="s">
        <v>1987</v>
      </c>
      <c r="G95">
        <f t="shared" si="10"/>
        <v>26</v>
      </c>
      <c r="H95" s="9">
        <f>IF(ISERROR(VLOOKUP(A95,Excel4!D:J,7,0)),0,VLOOKUP(A95,Excel4!D:J,7,0))</f>
        <v>0</v>
      </c>
      <c r="I95" s="15" t="s">
        <v>1777</v>
      </c>
      <c r="J95" s="15" t="s">
        <v>1850</v>
      </c>
      <c r="K95" s="15" t="s">
        <v>194</v>
      </c>
      <c r="L95" s="18" t="str">
        <f t="shared" si="8"/>
        <v>SARIYAHŞİ BELEDİYE BAŞKANLIĞI AKSARAY</v>
      </c>
      <c r="M95" s="18" t="str">
        <f t="shared" si="9"/>
        <v>SARIYAHŞİ</v>
      </c>
    </row>
    <row r="96" spans="1:14" x14ac:dyDescent="0.25">
      <c r="A96" t="s">
        <v>2133</v>
      </c>
      <c r="B96" t="s">
        <v>704</v>
      </c>
      <c r="C96" t="s">
        <v>194</v>
      </c>
      <c r="D96">
        <v>10</v>
      </c>
      <c r="E96">
        <v>90001</v>
      </c>
      <c r="F96" t="s">
        <v>2153</v>
      </c>
      <c r="G96">
        <f t="shared" si="10"/>
        <v>26</v>
      </c>
      <c r="H96" s="9">
        <f>IF(ISERROR(VLOOKUP(A96,Excel4!D:J,7,0)),0,VLOOKUP(A96,Excel4!D:J,7,0))</f>
        <v>1242.8899999999999</v>
      </c>
      <c r="I96" s="15" t="s">
        <v>1777</v>
      </c>
      <c r="J96" s="15" t="s">
        <v>2124</v>
      </c>
      <c r="K96" s="15" t="s">
        <v>194</v>
      </c>
      <c r="L96" s="18" t="str">
        <f t="shared" si="8"/>
        <v>SULTANHANI BELEDİYE BAŞKANLIĞI AKSARAY</v>
      </c>
      <c r="M96" s="18" t="str">
        <f t="shared" si="9"/>
        <v>SULTANHANI</v>
      </c>
    </row>
    <row r="97" spans="1:14" x14ac:dyDescent="0.25">
      <c r="A97" t="s">
        <v>2666</v>
      </c>
      <c r="B97" s="19" t="s">
        <v>704</v>
      </c>
      <c r="C97" s="19" t="s">
        <v>34</v>
      </c>
      <c r="D97">
        <v>10</v>
      </c>
      <c r="E97">
        <v>90001</v>
      </c>
      <c r="F97" s="19" t="s">
        <v>2668</v>
      </c>
      <c r="G97">
        <f t="shared" si="10"/>
        <v>26</v>
      </c>
      <c r="H97" s="9">
        <f>IF(ISERROR(VLOOKUP(A97,Excel4!D:J,7,0)),0,VLOOKUP(A97,Excel4!D:J,7,0))</f>
        <v>0</v>
      </c>
      <c r="I97" s="15" t="s">
        <v>1777</v>
      </c>
      <c r="J97" s="20" t="s">
        <v>2658</v>
      </c>
      <c r="K97" s="15" t="s">
        <v>194</v>
      </c>
      <c r="L97" s="18" t="str">
        <f t="shared" si="8"/>
        <v>TAŞPINAR BELEDİYE BAŞKANLIĞI AKSARAY</v>
      </c>
      <c r="M97" s="18" t="str">
        <f t="shared" si="9"/>
        <v>TAŞPINAR</v>
      </c>
    </row>
    <row r="98" spans="1:14" x14ac:dyDescent="0.25">
      <c r="A98" t="s">
        <v>2870</v>
      </c>
      <c r="B98" s="19" t="s">
        <v>2555</v>
      </c>
      <c r="C98" s="19" t="s">
        <v>2876</v>
      </c>
      <c r="D98">
        <v>12</v>
      </c>
      <c r="E98">
        <v>90001</v>
      </c>
      <c r="F98" s="19" t="s">
        <v>2875</v>
      </c>
      <c r="G98">
        <f t="shared" si="10"/>
        <v>26</v>
      </c>
      <c r="H98" s="9">
        <f>IF(ISERROR(VLOOKUP(A98,Excel4!D:J,7,0)),0,VLOOKUP(A98,Excel4!D:J,7,0))</f>
        <v>0</v>
      </c>
      <c r="I98" s="15" t="s">
        <v>1777</v>
      </c>
      <c r="J98" s="20" t="s">
        <v>2865</v>
      </c>
      <c r="K98" s="15" t="s">
        <v>194</v>
      </c>
      <c r="L98" s="18" t="str">
        <f t="shared" si="8"/>
        <v>TOPAKKAYA BELEDİYE BAŞKANLIĞI AKSARAY</v>
      </c>
      <c r="M98" s="18" t="str">
        <f t="shared" si="9"/>
        <v>TOPAKKAYA</v>
      </c>
    </row>
    <row r="99" spans="1:14" x14ac:dyDescent="0.25">
      <c r="A99" t="s">
        <v>2065</v>
      </c>
      <c r="B99" t="s">
        <v>704</v>
      </c>
      <c r="C99" t="s">
        <v>194</v>
      </c>
      <c r="D99">
        <v>10</v>
      </c>
      <c r="E99">
        <v>90001</v>
      </c>
      <c r="F99" t="s">
        <v>2089</v>
      </c>
      <c r="G99">
        <f t="shared" si="10"/>
        <v>26</v>
      </c>
      <c r="H99" s="9">
        <f>IF(ISERROR(VLOOKUP(A99,Excel4!D:J,7,0)),0,VLOOKUP(A99,Excel4!D:J,7,0))</f>
        <v>0</v>
      </c>
      <c r="I99" s="15" t="s">
        <v>1777</v>
      </c>
      <c r="J99" s="15" t="s">
        <v>2050</v>
      </c>
      <c r="K99" s="15" t="s">
        <v>194</v>
      </c>
      <c r="L99" s="18" t="s">
        <v>2090</v>
      </c>
      <c r="M99" s="18" t="str">
        <f t="shared" si="9"/>
        <v>YENİKENT</v>
      </c>
    </row>
    <row r="100" spans="1:14" x14ac:dyDescent="0.25">
      <c r="A100" s="19" t="s">
        <v>2917</v>
      </c>
      <c r="B100" s="19" t="s">
        <v>704</v>
      </c>
      <c r="C100" t="s">
        <v>34</v>
      </c>
      <c r="D100">
        <v>10</v>
      </c>
      <c r="E100">
        <v>90001</v>
      </c>
      <c r="F100" t="s">
        <v>2933</v>
      </c>
      <c r="G100">
        <f t="shared" si="10"/>
        <v>26</v>
      </c>
      <c r="H100" s="9">
        <f>IF(ISERROR(VLOOKUP(A100,Excel4!D:J,7,0)),0,VLOOKUP(A100,Excel4!D:J,7,0))</f>
        <v>0</v>
      </c>
      <c r="I100" s="15" t="s">
        <v>1777</v>
      </c>
      <c r="J100" s="20" t="s">
        <v>2263</v>
      </c>
      <c r="K100" s="15" t="s">
        <v>194</v>
      </c>
      <c r="L100" s="18" t="str">
        <f t="shared" ref="L100:L163" si="11">IF(J100="MERKEZ",K100&amp;" "&amp;I100,IF(J100="BÜYÜKŞEHİR",K100&amp;" "&amp;J100&amp;" "&amp;I100,J100&amp;" "&amp;I100&amp;" "&amp;K100))</f>
        <v>YEŞİLOVA BELEDİYE BAŞKANLIĞI AKSARAY</v>
      </c>
      <c r="M100" s="18" t="str">
        <f t="shared" si="9"/>
        <v>YEŞİLOVA</v>
      </c>
    </row>
    <row r="101" spans="1:14" x14ac:dyDescent="0.25">
      <c r="A101" t="s">
        <v>3227</v>
      </c>
      <c r="B101" t="s">
        <v>704</v>
      </c>
      <c r="C101" t="s">
        <v>194</v>
      </c>
      <c r="D101">
        <v>10</v>
      </c>
      <c r="E101">
        <v>90001</v>
      </c>
      <c r="F101" t="s">
        <v>3233</v>
      </c>
      <c r="G101">
        <f t="shared" si="10"/>
        <v>26</v>
      </c>
      <c r="H101" s="9">
        <f>IF(ISERROR(VLOOKUP(A101,Excel4!D:J,7,0)),0,VLOOKUP(A101,Excel4!D:J,7,0))</f>
        <v>0</v>
      </c>
      <c r="I101" s="15" t="s">
        <v>1777</v>
      </c>
      <c r="J101" s="15" t="s">
        <v>3099</v>
      </c>
      <c r="K101" s="15" t="s">
        <v>194</v>
      </c>
      <c r="L101" s="18" t="str">
        <f t="shared" si="11"/>
        <v>YEŞİLTEPE BELEDİYE BAŞKANLIĞI AKSARAY</v>
      </c>
      <c r="M101" s="18" t="str">
        <f t="shared" si="9"/>
        <v>YEŞİLTEPE</v>
      </c>
    </row>
    <row r="102" spans="1:14" x14ac:dyDescent="0.25">
      <c r="A102" s="19" t="s">
        <v>2918</v>
      </c>
      <c r="B102" t="s">
        <v>699</v>
      </c>
      <c r="C102" t="s">
        <v>34</v>
      </c>
      <c r="D102">
        <v>15</v>
      </c>
      <c r="E102">
        <v>90001</v>
      </c>
      <c r="F102" t="s">
        <v>700</v>
      </c>
      <c r="G102">
        <f t="shared" si="10"/>
        <v>26</v>
      </c>
      <c r="H102" s="9">
        <f>IF(ISERROR(VLOOKUP(A102,Excel4!D:J,7,0)),0,VLOOKUP(A102,Excel4!D:J,7,0))</f>
        <v>0</v>
      </c>
      <c r="I102" s="15" t="s">
        <v>1777</v>
      </c>
      <c r="J102" s="20" t="s">
        <v>2745</v>
      </c>
      <c r="K102" s="15" t="s">
        <v>38</v>
      </c>
      <c r="L102" s="18" t="str">
        <f t="shared" si="11"/>
        <v>DOĞANTEPE BELEDİYE BAŞKANLIĞI AMASYA</v>
      </c>
      <c r="M102" s="18" t="str">
        <f t="shared" si="9"/>
        <v>DOĞANTEPE</v>
      </c>
    </row>
    <row r="103" spans="1:14" x14ac:dyDescent="0.25">
      <c r="A103" t="s">
        <v>2667</v>
      </c>
      <c r="B103" t="s">
        <v>704</v>
      </c>
      <c r="C103" t="s">
        <v>2624</v>
      </c>
      <c r="D103">
        <v>10</v>
      </c>
      <c r="E103">
        <v>90001</v>
      </c>
      <c r="F103" t="s">
        <v>2669</v>
      </c>
      <c r="G103">
        <f t="shared" si="10"/>
        <v>26</v>
      </c>
      <c r="H103" s="9">
        <f>IF(ISERROR(VLOOKUP(A103,Excel4!D:J,7,0)),0,VLOOKUP(A103,Excel4!D:J,7,0))</f>
        <v>10.870000000000001</v>
      </c>
      <c r="I103" s="15" t="s">
        <v>1777</v>
      </c>
      <c r="J103" s="15" t="s">
        <v>2624</v>
      </c>
      <c r="K103" s="15" t="s">
        <v>38</v>
      </c>
      <c r="L103" s="18" t="str">
        <f t="shared" si="11"/>
        <v>GÖYNÜCEK BELEDİYE BAŞKANLIĞI AMASYA</v>
      </c>
      <c r="M103" s="18" t="str">
        <f t="shared" si="9"/>
        <v>GÖYNÜCEK</v>
      </c>
    </row>
    <row r="104" spans="1:14" x14ac:dyDescent="0.25">
      <c r="A104" t="s">
        <v>1618</v>
      </c>
      <c r="B104" t="s">
        <v>2555</v>
      </c>
      <c r="C104" t="s">
        <v>427</v>
      </c>
      <c r="D104">
        <v>12</v>
      </c>
      <c r="E104">
        <v>90001</v>
      </c>
      <c r="F104" t="s">
        <v>1619</v>
      </c>
      <c r="G104">
        <f t="shared" si="10"/>
        <v>26</v>
      </c>
      <c r="H104" s="9">
        <f>IF(ISERROR(VLOOKUP(A104,Excel4!D:J,7,0)),0,VLOOKUP(A104,Excel4!D:J,7,0))</f>
        <v>69.039999999999992</v>
      </c>
      <c r="I104" s="15" t="s">
        <v>1777</v>
      </c>
      <c r="J104" s="15" t="s">
        <v>427</v>
      </c>
      <c r="K104" s="15" t="s">
        <v>38</v>
      </c>
      <c r="L104" s="18" t="str">
        <f t="shared" si="11"/>
        <v>GÜMÜŞHACIKÖY BELEDİYE BAŞKANLIĞI AMASYA</v>
      </c>
      <c r="M104" s="18" t="str">
        <f t="shared" si="9"/>
        <v>GÜMÜŞHACIKÖY</v>
      </c>
      <c r="N104">
        <f>_xlfn.XLOOKUP(M104,[1]Sheet1!$A:$A,[1]Sheet1!$G:$G)</f>
        <v>0</v>
      </c>
    </row>
    <row r="105" spans="1:14" x14ac:dyDescent="0.25">
      <c r="A105" t="s">
        <v>2767</v>
      </c>
      <c r="B105" t="s">
        <v>704</v>
      </c>
      <c r="C105" t="s">
        <v>2764</v>
      </c>
      <c r="D105">
        <v>10</v>
      </c>
      <c r="E105">
        <v>90001</v>
      </c>
      <c r="F105" t="s">
        <v>2770</v>
      </c>
      <c r="G105">
        <f t="shared" si="10"/>
        <v>26</v>
      </c>
      <c r="H105" s="9">
        <f>IF(ISERROR(VLOOKUP(A105,Excel4!D:J,7,0)),0,VLOOKUP(A105,Excel4!D:J,7,0))</f>
        <v>0</v>
      </c>
      <c r="I105" s="15" t="s">
        <v>1777</v>
      </c>
      <c r="J105" s="15" t="s">
        <v>2764</v>
      </c>
      <c r="K105" s="15" t="s">
        <v>38</v>
      </c>
      <c r="L105" s="18" t="str">
        <f t="shared" si="11"/>
        <v>HAMAMÖZÜ BELEDİYE BAŞKANLIĞI AMASYA</v>
      </c>
      <c r="M105" s="18" t="str">
        <f t="shared" si="9"/>
        <v>HAMAMÖZÜ</v>
      </c>
      <c r="N105">
        <f>_xlfn.XLOOKUP(M105,[1]Sheet1!$A:$A,[1]Sheet1!$G:$G)</f>
        <v>0</v>
      </c>
    </row>
    <row r="106" spans="1:14" x14ac:dyDescent="0.25">
      <c r="A106" t="s">
        <v>698</v>
      </c>
      <c r="B106" t="s">
        <v>699</v>
      </c>
      <c r="C106" t="s">
        <v>38</v>
      </c>
      <c r="D106">
        <v>15</v>
      </c>
      <c r="E106">
        <v>90001</v>
      </c>
      <c r="F106" t="s">
        <v>700</v>
      </c>
      <c r="G106">
        <f t="shared" si="10"/>
        <v>26</v>
      </c>
      <c r="H106" s="9">
        <f>IF(ISERROR(VLOOKUP(A106,Excel4!D:J,7,0)),0,VLOOKUP(A106,Excel4!D:J,7,0))</f>
        <v>6371.64</v>
      </c>
      <c r="I106" s="15" t="s">
        <v>1777</v>
      </c>
      <c r="J106" s="15" t="s">
        <v>34</v>
      </c>
      <c r="K106" s="15" t="s">
        <v>38</v>
      </c>
      <c r="L106" s="18" t="str">
        <f t="shared" si="11"/>
        <v>AMASYA BELEDİYE BAŞKANLIĞI</v>
      </c>
      <c r="M106" s="18" t="str">
        <f t="shared" si="9"/>
        <v>AMASYA</v>
      </c>
      <c r="N106" t="e">
        <f>_xlfn.XLOOKUP(M106,[1]Sheet1!$C:$C,[1]Sheet1!$G:$G)</f>
        <v>#N/A</v>
      </c>
    </row>
    <row r="107" spans="1:14" x14ac:dyDescent="0.25">
      <c r="A107" t="s">
        <v>1620</v>
      </c>
      <c r="B107" t="s">
        <v>699</v>
      </c>
      <c r="C107" t="s">
        <v>230</v>
      </c>
      <c r="D107">
        <v>15</v>
      </c>
      <c r="E107">
        <v>90001</v>
      </c>
      <c r="F107" t="s">
        <v>1621</v>
      </c>
      <c r="G107">
        <f t="shared" si="10"/>
        <v>26</v>
      </c>
      <c r="H107" s="9">
        <f>IF(ISERROR(VLOOKUP(A107,Excel4!D:J,7,0)),0,VLOOKUP(A107,Excel4!D:J,7,0))</f>
        <v>724.29000000000008</v>
      </c>
      <c r="I107" s="15" t="s">
        <v>1777</v>
      </c>
      <c r="J107" s="15" t="s">
        <v>230</v>
      </c>
      <c r="K107" s="15" t="s">
        <v>38</v>
      </c>
      <c r="L107" s="18" t="str">
        <f t="shared" si="11"/>
        <v>MERZİFON BELEDİYE BAŞKANLIĞI AMASYA</v>
      </c>
      <c r="M107" s="18" t="str">
        <f t="shared" si="9"/>
        <v>MERZİFON</v>
      </c>
      <c r="N107">
        <f>_xlfn.XLOOKUP(M107,[1]Sheet1!$A:$A,[1]Sheet1!$G:$G)</f>
        <v>0</v>
      </c>
    </row>
    <row r="108" spans="1:14" x14ac:dyDescent="0.25">
      <c r="A108" t="s">
        <v>931</v>
      </c>
      <c r="B108" t="s">
        <v>2555</v>
      </c>
      <c r="C108" t="s">
        <v>428</v>
      </c>
      <c r="D108">
        <v>12</v>
      </c>
      <c r="E108">
        <v>90001</v>
      </c>
      <c r="F108" t="s">
        <v>932</v>
      </c>
      <c r="G108">
        <f t="shared" si="10"/>
        <v>26</v>
      </c>
      <c r="H108" s="9">
        <f>IF(ISERROR(VLOOKUP(A108,Excel4!D:J,7,0)),0,VLOOKUP(A108,Excel4!D:J,7,0))</f>
        <v>8.0599999999999987</v>
      </c>
      <c r="I108" s="15" t="s">
        <v>1777</v>
      </c>
      <c r="J108" s="15" t="s">
        <v>428</v>
      </c>
      <c r="K108" s="15" t="s">
        <v>38</v>
      </c>
      <c r="L108" s="18" t="str">
        <f t="shared" si="11"/>
        <v>SULUOVA BELEDİYE BAŞKANLIĞI AMASYA</v>
      </c>
      <c r="M108" s="18" t="str">
        <f t="shared" si="9"/>
        <v>SULUOVA</v>
      </c>
      <c r="N108">
        <f>_xlfn.XLOOKUP(M108,[1]Sheet1!$A:$A,[1]Sheet1!$G:$G)</f>
        <v>0</v>
      </c>
    </row>
    <row r="109" spans="1:14" x14ac:dyDescent="0.25">
      <c r="A109" t="s">
        <v>933</v>
      </c>
      <c r="B109" t="s">
        <v>818</v>
      </c>
      <c r="C109" t="s">
        <v>328</v>
      </c>
      <c r="D109">
        <v>64</v>
      </c>
      <c r="E109">
        <v>90001</v>
      </c>
      <c r="F109" t="s">
        <v>934</v>
      </c>
      <c r="G109">
        <f t="shared" si="10"/>
        <v>26</v>
      </c>
      <c r="H109" s="9">
        <f>IF(ISERROR(VLOOKUP(A109,Excel4!D:J,7,0)),0,VLOOKUP(A109,Excel4!D:J,7,0))</f>
        <v>10.870000000000001</v>
      </c>
      <c r="I109" s="15" t="s">
        <v>1777</v>
      </c>
      <c r="J109" s="15" t="s">
        <v>328</v>
      </c>
      <c r="K109" s="15" t="s">
        <v>38</v>
      </c>
      <c r="L109" s="18" t="str">
        <f t="shared" si="11"/>
        <v>TAŞOVA BELEDİYE BAŞKANLIĞI AMASYA</v>
      </c>
      <c r="M109" s="18" t="str">
        <f t="shared" si="9"/>
        <v>TAŞOVA</v>
      </c>
      <c r="N109">
        <f>_xlfn.XLOOKUP(M109,[1]Sheet1!$A:$A,[1]Sheet1!$G:$G)</f>
        <v>0</v>
      </c>
    </row>
    <row r="110" spans="1:14" x14ac:dyDescent="0.25">
      <c r="A110" t="s">
        <v>1622</v>
      </c>
      <c r="B110" t="s">
        <v>699</v>
      </c>
      <c r="C110" t="s">
        <v>505</v>
      </c>
      <c r="D110">
        <v>15</v>
      </c>
      <c r="E110">
        <v>90001</v>
      </c>
      <c r="F110" t="s">
        <v>1623</v>
      </c>
      <c r="G110">
        <f t="shared" si="10"/>
        <v>26</v>
      </c>
      <c r="H110" s="9">
        <f>IF(ISERROR(VLOOKUP(A110,Excel4!D:J,7,0)),0,VLOOKUP(A110,Excel4!D:J,7,0))</f>
        <v>0</v>
      </c>
      <c r="I110" s="15" t="s">
        <v>1777</v>
      </c>
      <c r="J110" s="15" t="s">
        <v>505</v>
      </c>
      <c r="K110" s="15" t="s">
        <v>38</v>
      </c>
      <c r="L110" s="18" t="str">
        <f t="shared" si="11"/>
        <v>ZİYARET BELEDİYE BAŞKANLIĞI AMASYA</v>
      </c>
      <c r="M110" s="18" t="str">
        <f t="shared" si="9"/>
        <v>ZİYARET</v>
      </c>
    </row>
    <row r="111" spans="1:14" x14ac:dyDescent="0.25">
      <c r="A111" t="s">
        <v>935</v>
      </c>
      <c r="B111" t="s">
        <v>704</v>
      </c>
      <c r="C111" t="s">
        <v>11</v>
      </c>
      <c r="D111">
        <v>10</v>
      </c>
      <c r="E111">
        <v>90001</v>
      </c>
      <c r="F111" t="s">
        <v>936</v>
      </c>
      <c r="G111">
        <f t="shared" si="10"/>
        <v>26</v>
      </c>
      <c r="H111" s="9">
        <f>IF(ISERROR(VLOOKUP(A111,Excel4!D:J,7,0)),0,VLOOKUP(A111,Excel4!D:J,7,0))</f>
        <v>0</v>
      </c>
      <c r="I111" s="15" t="s">
        <v>1777</v>
      </c>
      <c r="J111" s="15" t="s">
        <v>11</v>
      </c>
      <c r="K111" s="15" t="s">
        <v>31</v>
      </c>
      <c r="L111" s="18" t="str">
        <f t="shared" si="11"/>
        <v>AKYURT BELEDİYE BAŞKANLIĞI ANKARA</v>
      </c>
      <c r="M111" s="18" t="str">
        <f t="shared" si="9"/>
        <v>AKYURT</v>
      </c>
    </row>
    <row r="112" spans="1:14" x14ac:dyDescent="0.25">
      <c r="A112" t="s">
        <v>937</v>
      </c>
      <c r="B112" t="s">
        <v>704</v>
      </c>
      <c r="C112" t="s">
        <v>251</v>
      </c>
      <c r="D112">
        <v>10</v>
      </c>
      <c r="E112">
        <v>90001</v>
      </c>
      <c r="F112" t="s">
        <v>938</v>
      </c>
      <c r="G112">
        <f t="shared" si="10"/>
        <v>26</v>
      </c>
      <c r="H112" s="9">
        <f>IF(ISERROR(VLOOKUP(A112,Excel4!D:J,7,0)),0,VLOOKUP(A112,Excel4!D:J,7,0))</f>
        <v>0</v>
      </c>
      <c r="I112" s="15" t="s">
        <v>1777</v>
      </c>
      <c r="J112" s="15" t="s">
        <v>251</v>
      </c>
      <c r="K112" s="15" t="s">
        <v>31</v>
      </c>
      <c r="L112" s="18" t="str">
        <f t="shared" si="11"/>
        <v>AYAŞ BELEDİYE BAŞKANLIĞI ANKARA</v>
      </c>
      <c r="M112" s="18" t="str">
        <f t="shared" si="9"/>
        <v>AYAŞ</v>
      </c>
    </row>
    <row r="113" spans="1:14" x14ac:dyDescent="0.25">
      <c r="A113" t="s">
        <v>939</v>
      </c>
      <c r="B113" t="s">
        <v>940</v>
      </c>
      <c r="C113" t="s">
        <v>506</v>
      </c>
      <c r="D113">
        <v>46</v>
      </c>
      <c r="E113">
        <v>90001</v>
      </c>
      <c r="F113" t="s">
        <v>941</v>
      </c>
      <c r="G113">
        <f t="shared" si="10"/>
        <v>26</v>
      </c>
      <c r="H113" s="9">
        <f>IF(ISERROR(VLOOKUP(A113,Excel4!D:J,7,0)),0,VLOOKUP(A113,Excel4!D:J,7,0))</f>
        <v>0</v>
      </c>
      <c r="I113" s="15" t="s">
        <v>1777</v>
      </c>
      <c r="J113" s="15" t="s">
        <v>506</v>
      </c>
      <c r="K113" s="15" t="s">
        <v>31</v>
      </c>
      <c r="L113" s="18" t="str">
        <f t="shared" si="11"/>
        <v>BALA BELEDİYE BAŞKANLIĞI ANKARA</v>
      </c>
      <c r="M113" s="18" t="str">
        <f t="shared" si="9"/>
        <v>BALA</v>
      </c>
    </row>
    <row r="114" spans="1:14" x14ac:dyDescent="0.25">
      <c r="A114" t="s">
        <v>942</v>
      </c>
      <c r="B114" t="s">
        <v>699</v>
      </c>
      <c r="C114" t="s">
        <v>507</v>
      </c>
      <c r="D114">
        <v>15</v>
      </c>
      <c r="E114">
        <v>90001</v>
      </c>
      <c r="F114" t="s">
        <v>943</v>
      </c>
      <c r="G114">
        <f t="shared" si="10"/>
        <v>26</v>
      </c>
      <c r="H114" s="9">
        <f>IF(ISERROR(VLOOKUP(A114,Excel4!D:J,7,0)),0,VLOOKUP(A114,Excel4!D:J,7,0))</f>
        <v>0</v>
      </c>
      <c r="I114" s="15" t="s">
        <v>1777</v>
      </c>
      <c r="J114" s="15" t="s">
        <v>507</v>
      </c>
      <c r="K114" s="15" t="s">
        <v>31</v>
      </c>
      <c r="L114" s="18" t="str">
        <f t="shared" si="11"/>
        <v>BEYPAZARI BELEDİYE BAŞKANLIĞI ANKARA</v>
      </c>
      <c r="M114" s="18" t="str">
        <f t="shared" si="9"/>
        <v>BEYPAZARI</v>
      </c>
    </row>
    <row r="115" spans="1:14" x14ac:dyDescent="0.25">
      <c r="A115" t="s">
        <v>1894</v>
      </c>
      <c r="B115" t="s">
        <v>699</v>
      </c>
      <c r="C115" t="s">
        <v>31</v>
      </c>
      <c r="D115">
        <v>15</v>
      </c>
      <c r="E115">
        <v>90001</v>
      </c>
      <c r="F115" t="s">
        <v>389</v>
      </c>
      <c r="G115">
        <f t="shared" si="10"/>
        <v>26</v>
      </c>
      <c r="H115" s="9">
        <f>IF(ISERROR(VLOOKUP(A115,Excel4!D:J,7,0)),0,VLOOKUP(A115,Excel4!D:J,7,0))</f>
        <v>234888.37000000002</v>
      </c>
      <c r="I115" s="15" t="s">
        <v>1777</v>
      </c>
      <c r="J115" s="15" t="s">
        <v>27</v>
      </c>
      <c r="K115" s="15" t="s">
        <v>31</v>
      </c>
      <c r="L115" s="18" t="str">
        <f t="shared" si="11"/>
        <v>ANKARA BÜYÜKŞEHİR BELEDİYE BAŞKANLIĞI</v>
      </c>
      <c r="M115" s="18" t="str">
        <f t="shared" si="9"/>
        <v>ANKARA BÜYÜKŞEHİR</v>
      </c>
      <c r="N115">
        <f>_xlfn.XLOOKUP(M115,[1]Sheet1!$A:$A,[1]Sheet1!$G:$G)</f>
        <v>0</v>
      </c>
    </row>
    <row r="116" spans="1:14" x14ac:dyDescent="0.25">
      <c r="A116" t="s">
        <v>944</v>
      </c>
      <c r="B116" t="s">
        <v>704</v>
      </c>
      <c r="C116" t="s">
        <v>508</v>
      </c>
      <c r="D116">
        <v>10</v>
      </c>
      <c r="E116">
        <v>90001</v>
      </c>
      <c r="F116" t="s">
        <v>945</v>
      </c>
      <c r="G116">
        <f t="shared" si="10"/>
        <v>26</v>
      </c>
      <c r="H116" s="9">
        <f>IF(ISERROR(VLOOKUP(A116,Excel4!D:J,7,0)),0,VLOOKUP(A116,Excel4!D:J,7,0))</f>
        <v>0</v>
      </c>
      <c r="I116" s="15" t="s">
        <v>1777</v>
      </c>
      <c r="J116" s="15" t="s">
        <v>508</v>
      </c>
      <c r="K116" s="15" t="s">
        <v>31</v>
      </c>
      <c r="L116" s="18" t="str">
        <f t="shared" si="11"/>
        <v>ÇAYIRHAN BELEDİYE BAŞKANLIĞI ANKARA</v>
      </c>
      <c r="M116" s="18" t="str">
        <f t="shared" si="9"/>
        <v>ÇAYIRHAN</v>
      </c>
    </row>
    <row r="117" spans="1:14" x14ac:dyDescent="0.25">
      <c r="A117" t="s">
        <v>946</v>
      </c>
      <c r="B117" t="s">
        <v>704</v>
      </c>
      <c r="C117" t="s">
        <v>231</v>
      </c>
      <c r="D117">
        <v>10</v>
      </c>
      <c r="E117">
        <v>90001</v>
      </c>
      <c r="F117" t="s">
        <v>947</v>
      </c>
      <c r="G117">
        <f t="shared" si="10"/>
        <v>26</v>
      </c>
      <c r="H117" s="9">
        <f>IF(ISERROR(VLOOKUP(A117,Excel4!D:J,7,0)),0,VLOOKUP(A117,Excel4!D:J,7,0))</f>
        <v>0</v>
      </c>
      <c r="I117" s="15" t="s">
        <v>1777</v>
      </c>
      <c r="J117" s="15" t="s">
        <v>231</v>
      </c>
      <c r="K117" s="15" t="s">
        <v>31</v>
      </c>
      <c r="L117" s="18" t="str">
        <f t="shared" si="11"/>
        <v>ÇUBUK BELEDİYE BAŞKANLIĞI ANKARA</v>
      </c>
      <c r="M117" s="18" t="str">
        <f t="shared" si="9"/>
        <v>ÇUBUK</v>
      </c>
    </row>
    <row r="118" spans="1:14" x14ac:dyDescent="0.25">
      <c r="A118" t="s">
        <v>1624</v>
      </c>
      <c r="B118" t="s">
        <v>2555</v>
      </c>
      <c r="C118" t="s">
        <v>16</v>
      </c>
      <c r="D118">
        <v>12</v>
      </c>
      <c r="E118">
        <v>90001</v>
      </c>
      <c r="F118" t="s">
        <v>1625</v>
      </c>
      <c r="G118">
        <f t="shared" si="10"/>
        <v>26</v>
      </c>
      <c r="H118" s="9">
        <f>IF(ISERROR(VLOOKUP(A118,Excel4!D:J,7,0)),0,VLOOKUP(A118,Excel4!D:J,7,0))</f>
        <v>0</v>
      </c>
      <c r="I118" s="15" t="s">
        <v>1777</v>
      </c>
      <c r="J118" s="15" t="s">
        <v>16</v>
      </c>
      <c r="K118" s="15" t="s">
        <v>31</v>
      </c>
      <c r="L118" s="18" t="str">
        <f t="shared" si="11"/>
        <v>ELMADAĞ BELEDİYE BAŞKANLIĞI ANKARA</v>
      </c>
      <c r="M118" s="18" t="str">
        <f t="shared" si="9"/>
        <v>ELMADAĞ</v>
      </c>
    </row>
    <row r="119" spans="1:14" x14ac:dyDescent="0.25">
      <c r="A119" t="s">
        <v>948</v>
      </c>
      <c r="B119" t="s">
        <v>704</v>
      </c>
      <c r="C119" t="s">
        <v>429</v>
      </c>
      <c r="D119">
        <v>10</v>
      </c>
      <c r="E119">
        <v>90001</v>
      </c>
      <c r="F119" t="s">
        <v>949</v>
      </c>
      <c r="G119">
        <f t="shared" si="10"/>
        <v>26</v>
      </c>
      <c r="H119" s="9">
        <f>IF(ISERROR(VLOOKUP(A119,Excel4!D:J,7,0)),0,VLOOKUP(A119,Excel4!D:J,7,0))</f>
        <v>0</v>
      </c>
      <c r="I119" s="15" t="s">
        <v>1777</v>
      </c>
      <c r="J119" s="15" t="s">
        <v>429</v>
      </c>
      <c r="K119" s="15" t="s">
        <v>31</v>
      </c>
      <c r="L119" s="18" t="str">
        <f t="shared" si="11"/>
        <v>KALECİK BELEDİYE BAŞKANLIĞI ANKARA</v>
      </c>
      <c r="M119" s="18" t="str">
        <f t="shared" si="9"/>
        <v>KALECİK</v>
      </c>
    </row>
    <row r="120" spans="1:14" x14ac:dyDescent="0.25">
      <c r="A120" t="s">
        <v>950</v>
      </c>
      <c r="B120" t="s">
        <v>704</v>
      </c>
      <c r="C120" t="s">
        <v>14</v>
      </c>
      <c r="D120">
        <v>10</v>
      </c>
      <c r="E120">
        <v>90001</v>
      </c>
      <c r="F120" t="s">
        <v>951</v>
      </c>
      <c r="G120">
        <f t="shared" si="10"/>
        <v>26</v>
      </c>
      <c r="H120" s="9">
        <f>IF(ISERROR(VLOOKUP(A120,Excel4!D:J,7,0)),0,VLOOKUP(A120,Excel4!D:J,7,0))</f>
        <v>0</v>
      </c>
      <c r="I120" s="15" t="s">
        <v>1777</v>
      </c>
      <c r="J120" s="15" t="s">
        <v>14</v>
      </c>
      <c r="K120" s="15" t="s">
        <v>31</v>
      </c>
      <c r="L120" s="18" t="str">
        <f t="shared" si="11"/>
        <v>KAZAN BELEDİYE BAŞKANLIĞI ANKARA</v>
      </c>
      <c r="M120" s="18" t="str">
        <f t="shared" si="9"/>
        <v>KAZAN</v>
      </c>
    </row>
    <row r="121" spans="1:14" x14ac:dyDescent="0.25">
      <c r="A121" t="s">
        <v>952</v>
      </c>
      <c r="B121" t="s">
        <v>704</v>
      </c>
      <c r="C121" t="s">
        <v>430</v>
      </c>
      <c r="D121">
        <v>10</v>
      </c>
      <c r="E121">
        <v>90001</v>
      </c>
      <c r="F121" t="s">
        <v>953</v>
      </c>
      <c r="G121">
        <f t="shared" si="10"/>
        <v>26</v>
      </c>
      <c r="H121" s="9">
        <f>IF(ISERROR(VLOOKUP(A121,Excel4!D:J,7,0)),0,VLOOKUP(A121,Excel4!D:J,7,0))</f>
        <v>0</v>
      </c>
      <c r="I121" s="15" t="s">
        <v>1777</v>
      </c>
      <c r="J121" s="15" t="s">
        <v>430</v>
      </c>
      <c r="K121" s="15" t="s">
        <v>31</v>
      </c>
      <c r="L121" s="18" t="str">
        <f t="shared" si="11"/>
        <v>KIZILCAHAMAM BELEDİYE BAŞKANLIĞI ANKARA</v>
      </c>
      <c r="M121" s="18" t="str">
        <f t="shared" si="9"/>
        <v>KIZILCAHAMAM</v>
      </c>
    </row>
    <row r="122" spans="1:14" x14ac:dyDescent="0.25">
      <c r="A122" t="s">
        <v>954</v>
      </c>
      <c r="B122" t="s">
        <v>704</v>
      </c>
      <c r="C122" t="s">
        <v>278</v>
      </c>
      <c r="D122">
        <v>10</v>
      </c>
      <c r="E122">
        <v>90001</v>
      </c>
      <c r="F122" t="s">
        <v>955</v>
      </c>
      <c r="G122">
        <f t="shared" si="10"/>
        <v>26</v>
      </c>
      <c r="H122" s="9">
        <f>IF(ISERROR(VLOOKUP(A122,Excel4!D:J,7,0)),0,VLOOKUP(A122,Excel4!D:J,7,0))</f>
        <v>0</v>
      </c>
      <c r="I122" s="15" t="s">
        <v>1777</v>
      </c>
      <c r="J122" s="15" t="s">
        <v>278</v>
      </c>
      <c r="K122" s="15" t="s">
        <v>31</v>
      </c>
      <c r="L122" s="18" t="str">
        <f t="shared" si="11"/>
        <v>NALLIHAN BELEDİYE BAŞKANLIĞI ANKARA</v>
      </c>
      <c r="M122" s="18" t="str">
        <f t="shared" si="9"/>
        <v>NALLIHAN</v>
      </c>
    </row>
    <row r="123" spans="1:14" x14ac:dyDescent="0.25">
      <c r="A123" t="s">
        <v>697</v>
      </c>
      <c r="B123" t="s">
        <v>704</v>
      </c>
      <c r="C123" t="s">
        <v>214</v>
      </c>
      <c r="D123">
        <v>10</v>
      </c>
      <c r="E123">
        <v>90001</v>
      </c>
      <c r="F123" t="s">
        <v>956</v>
      </c>
      <c r="G123">
        <f t="shared" si="10"/>
        <v>26</v>
      </c>
      <c r="H123" s="9">
        <f>IF(ISERROR(VLOOKUP(A123,Excel4!D:J,7,0)),0,VLOOKUP(A123,Excel4!D:J,7,0))</f>
        <v>0</v>
      </c>
      <c r="I123" s="15" t="s">
        <v>1777</v>
      </c>
      <c r="J123" s="15" t="s">
        <v>214</v>
      </c>
      <c r="K123" s="15" t="s">
        <v>31</v>
      </c>
      <c r="L123" s="18" t="str">
        <f t="shared" si="11"/>
        <v>POLATLI BELEDİYE BAŞKANLIĞI ANKARA</v>
      </c>
      <c r="M123" s="18" t="str">
        <f t="shared" si="9"/>
        <v>POLATLI</v>
      </c>
    </row>
    <row r="124" spans="1:14" x14ac:dyDescent="0.25">
      <c r="A124" t="s">
        <v>696</v>
      </c>
      <c r="B124" t="s">
        <v>2555</v>
      </c>
      <c r="C124" t="s">
        <v>350</v>
      </c>
      <c r="D124">
        <v>12</v>
      </c>
      <c r="E124">
        <v>90001</v>
      </c>
      <c r="F124" t="s">
        <v>390</v>
      </c>
      <c r="G124">
        <f t="shared" si="10"/>
        <v>26</v>
      </c>
      <c r="H124" s="9">
        <f>IF(ISERROR(VLOOKUP(A124,Excel4!D:J,7,0)),0,VLOOKUP(A124,Excel4!D:J,7,0))</f>
        <v>0</v>
      </c>
      <c r="I124" s="15" t="s">
        <v>1777</v>
      </c>
      <c r="J124" s="15" t="s">
        <v>350</v>
      </c>
      <c r="K124" s="15" t="s">
        <v>31</v>
      </c>
      <c r="L124" s="18" t="str">
        <f t="shared" si="11"/>
        <v>ŞEREFLİKOÇHİSAR BELEDİYE BAŞKANLIĞI ANKARA</v>
      </c>
      <c r="M124" s="18" t="str">
        <f t="shared" si="9"/>
        <v>ŞEREFLİKOÇHİSAR</v>
      </c>
    </row>
    <row r="125" spans="1:14" x14ac:dyDescent="0.25">
      <c r="A125" t="s">
        <v>957</v>
      </c>
      <c r="B125" t="s">
        <v>704</v>
      </c>
      <c r="C125" t="s">
        <v>509</v>
      </c>
      <c r="D125">
        <v>10</v>
      </c>
      <c r="E125">
        <v>90001</v>
      </c>
      <c r="F125" t="s">
        <v>958</v>
      </c>
      <c r="G125">
        <f t="shared" si="10"/>
        <v>26</v>
      </c>
      <c r="H125" s="9">
        <f>IF(ISERROR(VLOOKUP(A125,Excel4!D:J,7,0)),0,VLOOKUP(A125,Excel4!D:J,7,0))</f>
        <v>0</v>
      </c>
      <c r="I125" s="15" t="s">
        <v>1777</v>
      </c>
      <c r="J125" s="15" t="s">
        <v>509</v>
      </c>
      <c r="K125" s="15" t="s">
        <v>40</v>
      </c>
      <c r="L125" s="18" t="str">
        <f t="shared" si="11"/>
        <v>AKSEKİ BELEDİYE BAŞKANLIĞI ANTALYA</v>
      </c>
      <c r="M125" s="18" t="str">
        <f t="shared" si="9"/>
        <v>AKSEKİ</v>
      </c>
    </row>
    <row r="126" spans="1:14" x14ac:dyDescent="0.25">
      <c r="A126" t="s">
        <v>959</v>
      </c>
      <c r="B126" t="s">
        <v>699</v>
      </c>
      <c r="C126" t="s">
        <v>39</v>
      </c>
      <c r="D126">
        <v>15</v>
      </c>
      <c r="E126">
        <v>90001</v>
      </c>
      <c r="F126" t="s">
        <v>960</v>
      </c>
      <c r="G126">
        <f t="shared" si="10"/>
        <v>26</v>
      </c>
      <c r="H126" s="9">
        <f>IF(ISERROR(VLOOKUP(A126,Excel4!D:J,7,0)),0,VLOOKUP(A126,Excel4!D:J,7,0))</f>
        <v>0</v>
      </c>
      <c r="I126" s="15" t="s">
        <v>1777</v>
      </c>
      <c r="J126" s="15" t="s">
        <v>39</v>
      </c>
      <c r="K126" s="15" t="s">
        <v>40</v>
      </c>
      <c r="L126" s="18" t="str">
        <f t="shared" si="11"/>
        <v>ALANYA BELEDİYE BAŞKANLIĞI ANTALYA</v>
      </c>
      <c r="M126" s="18" t="str">
        <f t="shared" si="9"/>
        <v>ALANYA</v>
      </c>
    </row>
    <row r="127" spans="1:14" x14ac:dyDescent="0.25">
      <c r="A127" t="s">
        <v>1940</v>
      </c>
      <c r="B127" t="s">
        <v>704</v>
      </c>
      <c r="C127" t="s">
        <v>39</v>
      </c>
      <c r="D127">
        <v>10</v>
      </c>
      <c r="E127">
        <v>90001</v>
      </c>
      <c r="F127" t="s">
        <v>1959</v>
      </c>
      <c r="G127">
        <f t="shared" si="10"/>
        <v>26</v>
      </c>
      <c r="H127" s="9">
        <f>IF(ISERROR(VLOOKUP(A127,Excel4!D:J,7,0)),0,VLOOKUP(A127,Excel4!D:J,7,0))</f>
        <v>0</v>
      </c>
      <c r="I127" s="15" t="s">
        <v>1777</v>
      </c>
      <c r="J127" s="15" t="s">
        <v>1853</v>
      </c>
      <c r="K127" s="15" t="s">
        <v>40</v>
      </c>
      <c r="L127" s="18" t="str">
        <f t="shared" si="11"/>
        <v>AVSALLAR BELEDİYE BAŞKANLIĞI ANTALYA</v>
      </c>
      <c r="M127" s="18" t="str">
        <f t="shared" si="9"/>
        <v>AVSALLAR</v>
      </c>
    </row>
    <row r="128" spans="1:14" x14ac:dyDescent="0.25">
      <c r="A128" t="s">
        <v>961</v>
      </c>
      <c r="B128" t="s">
        <v>2555</v>
      </c>
      <c r="C128" t="s">
        <v>5</v>
      </c>
      <c r="D128">
        <v>12</v>
      </c>
      <c r="E128">
        <v>90001</v>
      </c>
      <c r="F128" t="s">
        <v>962</v>
      </c>
      <c r="G128">
        <f t="shared" si="10"/>
        <v>26</v>
      </c>
      <c r="H128" s="9">
        <f>IF(ISERROR(VLOOKUP(A128,Excel4!D:J,7,0)),0,VLOOKUP(A128,Excel4!D:J,7,0))</f>
        <v>0</v>
      </c>
      <c r="I128" s="15" t="s">
        <v>1777</v>
      </c>
      <c r="J128" s="15" t="s">
        <v>5</v>
      </c>
      <c r="K128" s="15" t="s">
        <v>40</v>
      </c>
      <c r="L128" s="18" t="str">
        <f t="shared" si="11"/>
        <v>BELEK BELEDİYE BAŞKANLIĞI ANTALYA</v>
      </c>
      <c r="M128" s="18" t="str">
        <f t="shared" si="9"/>
        <v>BELEK</v>
      </c>
    </row>
    <row r="129" spans="1:14" x14ac:dyDescent="0.25">
      <c r="A129" t="s">
        <v>1915</v>
      </c>
      <c r="B129" t="s">
        <v>704</v>
      </c>
      <c r="C129" t="s">
        <v>196</v>
      </c>
      <c r="D129">
        <v>10</v>
      </c>
      <c r="E129">
        <v>90001</v>
      </c>
      <c r="F129" t="s">
        <v>1962</v>
      </c>
      <c r="G129">
        <f t="shared" si="10"/>
        <v>26</v>
      </c>
      <c r="H129" s="9">
        <f>IF(ISERROR(VLOOKUP(A129,Excel4!D:J,7,0)),0,VLOOKUP(A129,Excel4!D:J,7,0))</f>
        <v>0</v>
      </c>
      <c r="I129" s="15" t="s">
        <v>1777</v>
      </c>
      <c r="J129" s="15" t="s">
        <v>1780</v>
      </c>
      <c r="K129" s="15" t="s">
        <v>40</v>
      </c>
      <c r="L129" s="18" t="str">
        <f t="shared" si="11"/>
        <v>BOĞAZKENT BELEDİYE BAŞKANLIĞI ANTALYA</v>
      </c>
      <c r="M129" s="18" t="str">
        <f t="shared" si="9"/>
        <v>BOĞAZKENT</v>
      </c>
    </row>
    <row r="130" spans="1:14" x14ac:dyDescent="0.25">
      <c r="A130" t="s">
        <v>1900</v>
      </c>
      <c r="B130" s="19" t="s">
        <v>699</v>
      </c>
      <c r="C130" s="19" t="s">
        <v>2711</v>
      </c>
      <c r="D130">
        <v>15</v>
      </c>
      <c r="E130">
        <v>90001</v>
      </c>
      <c r="F130" s="19" t="s">
        <v>2705</v>
      </c>
      <c r="G130">
        <f t="shared" si="10"/>
        <v>26</v>
      </c>
      <c r="H130" s="9">
        <f>IF(ISERROR(VLOOKUP(A130,Excel4!D:J,7,0)),0,VLOOKUP(A130,Excel4!D:J,7,0))</f>
        <v>155972.60999999999</v>
      </c>
      <c r="I130" s="15" t="s">
        <v>1777</v>
      </c>
      <c r="J130" s="15" t="s">
        <v>27</v>
      </c>
      <c r="K130" s="15" t="s">
        <v>40</v>
      </c>
      <c r="L130" s="18" t="str">
        <f t="shared" si="11"/>
        <v>ANTALYA BÜYÜKŞEHİR BELEDİYE BAŞKANLIĞI</v>
      </c>
      <c r="M130" s="18" t="str">
        <f t="shared" si="9"/>
        <v>ANTALYA BÜYÜKŞEHİR</v>
      </c>
      <c r="N130">
        <f>_xlfn.XLOOKUP(M130,[1]Sheet1!$A:$A,[1]Sheet1!$G:$G)</f>
        <v>0</v>
      </c>
    </row>
    <row r="131" spans="1:14" x14ac:dyDescent="0.25">
      <c r="A131" t="s">
        <v>963</v>
      </c>
      <c r="B131" t="s">
        <v>704</v>
      </c>
      <c r="C131" t="s">
        <v>431</v>
      </c>
      <c r="D131">
        <v>10</v>
      </c>
      <c r="E131">
        <v>90001</v>
      </c>
      <c r="F131" t="s">
        <v>964</v>
      </c>
      <c r="G131">
        <f t="shared" si="10"/>
        <v>26</v>
      </c>
      <c r="H131" s="9">
        <f>IF(ISERROR(VLOOKUP(A131,Excel4!D:J,7,0)),0,VLOOKUP(A131,Excel4!D:J,7,0))</f>
        <v>0</v>
      </c>
      <c r="I131" s="15" t="s">
        <v>1777</v>
      </c>
      <c r="J131" s="15" t="s">
        <v>431</v>
      </c>
      <c r="K131" s="15" t="s">
        <v>40</v>
      </c>
      <c r="L131" s="18" t="str">
        <f t="shared" si="11"/>
        <v>ÇAMYUVA BELEDİYE BAŞKANLIĞI ANTALYA</v>
      </c>
      <c r="M131" s="18" t="str">
        <f t="shared" si="9"/>
        <v>ÇAMYUVA</v>
      </c>
    </row>
    <row r="132" spans="1:14" x14ac:dyDescent="0.25">
      <c r="A132" t="s">
        <v>965</v>
      </c>
      <c r="B132" t="s">
        <v>699</v>
      </c>
      <c r="C132" t="s">
        <v>232</v>
      </c>
      <c r="D132">
        <v>15</v>
      </c>
      <c r="E132">
        <v>90001</v>
      </c>
      <c r="F132" t="s">
        <v>966</v>
      </c>
      <c r="G132">
        <f t="shared" si="10"/>
        <v>26</v>
      </c>
      <c r="H132" s="9">
        <f>IF(ISERROR(VLOOKUP(A132,Excel4!D:J,7,0)),0,VLOOKUP(A132,Excel4!D:J,7,0))</f>
        <v>0</v>
      </c>
      <c r="I132" s="15" t="s">
        <v>1777</v>
      </c>
      <c r="J132" s="15" t="s">
        <v>232</v>
      </c>
      <c r="K132" s="15" t="s">
        <v>40</v>
      </c>
      <c r="L132" s="18" t="str">
        <f t="shared" si="11"/>
        <v>ÇOLAKLI BELEDİYE BAŞKANLIĞI ANTALYA</v>
      </c>
      <c r="M132" s="18" t="str">
        <f t="shared" ref="M132:M195" si="12">IF(J132="MERKEZ",K132,IF(J132="BÜYÜKŞEHİR",K132&amp;" BÜYÜKŞEHİR",J132))</f>
        <v>ÇOLAKLI</v>
      </c>
    </row>
    <row r="133" spans="1:14" x14ac:dyDescent="0.25">
      <c r="A133" t="s">
        <v>967</v>
      </c>
      <c r="B133" t="s">
        <v>704</v>
      </c>
      <c r="C133" t="s">
        <v>510</v>
      </c>
      <c r="D133">
        <v>10</v>
      </c>
      <c r="E133">
        <v>90001</v>
      </c>
      <c r="F133" t="s">
        <v>968</v>
      </c>
      <c r="G133">
        <f t="shared" si="10"/>
        <v>26</v>
      </c>
      <c r="H133" s="9">
        <f>IF(ISERROR(VLOOKUP(A133,Excel4!D:J,7,0)),0,VLOOKUP(A133,Excel4!D:J,7,0))</f>
        <v>0</v>
      </c>
      <c r="I133" s="15" t="s">
        <v>1777</v>
      </c>
      <c r="J133" s="15" t="s">
        <v>510</v>
      </c>
      <c r="K133" s="15" t="s">
        <v>40</v>
      </c>
      <c r="L133" s="18" t="str">
        <f t="shared" si="11"/>
        <v>DEMRE BELEDİYE BAŞKANLIĞI ANTALYA</v>
      </c>
      <c r="M133" s="18" t="str">
        <f t="shared" si="12"/>
        <v>DEMRE</v>
      </c>
    </row>
    <row r="134" spans="1:14" x14ac:dyDescent="0.25">
      <c r="A134" t="s">
        <v>969</v>
      </c>
      <c r="B134" t="s">
        <v>704</v>
      </c>
      <c r="C134" t="s">
        <v>300</v>
      </c>
      <c r="D134">
        <v>10</v>
      </c>
      <c r="E134">
        <v>90001</v>
      </c>
      <c r="F134" t="s">
        <v>970</v>
      </c>
      <c r="G134">
        <f t="shared" si="10"/>
        <v>26</v>
      </c>
      <c r="H134" s="9">
        <f>IF(ISERROR(VLOOKUP(A134,Excel4!D:J,7,0)),0,VLOOKUP(A134,Excel4!D:J,7,0))</f>
        <v>0</v>
      </c>
      <c r="I134" s="15" t="s">
        <v>1777</v>
      </c>
      <c r="J134" s="15" t="s">
        <v>300</v>
      </c>
      <c r="K134" s="15" t="s">
        <v>40</v>
      </c>
      <c r="L134" s="18" t="str">
        <f t="shared" si="11"/>
        <v>ELMALI BELEDİYE BAŞKANLIĞI ANTALYA</v>
      </c>
      <c r="M134" s="18" t="str">
        <f t="shared" si="12"/>
        <v>ELMALI</v>
      </c>
    </row>
    <row r="135" spans="1:14" x14ac:dyDescent="0.25">
      <c r="A135" t="s">
        <v>1943</v>
      </c>
      <c r="B135" t="s">
        <v>699</v>
      </c>
      <c r="C135" t="s">
        <v>41</v>
      </c>
      <c r="D135">
        <v>15</v>
      </c>
      <c r="E135">
        <v>90001</v>
      </c>
      <c r="F135" t="s">
        <v>1965</v>
      </c>
      <c r="G135">
        <f t="shared" si="10"/>
        <v>26</v>
      </c>
      <c r="H135" s="9">
        <f>IF(ISERROR(VLOOKUP(A135,Excel4!D:J,7,0)),0,VLOOKUP(A135,Excel4!D:J,7,0))</f>
        <v>0</v>
      </c>
      <c r="I135" s="15" t="s">
        <v>1777</v>
      </c>
      <c r="J135" s="15" t="s">
        <v>1854</v>
      </c>
      <c r="K135" s="15" t="s">
        <v>40</v>
      </c>
      <c r="L135" s="18" t="str">
        <f t="shared" si="11"/>
        <v>EVRENSEKİ BELEDİYE BAŞKANLIĞI ANTALYA</v>
      </c>
      <c r="M135" s="18" t="str">
        <f t="shared" si="12"/>
        <v>EVRENSEKİ</v>
      </c>
    </row>
    <row r="136" spans="1:14" x14ac:dyDescent="0.25">
      <c r="A136" t="s">
        <v>971</v>
      </c>
      <c r="B136" t="s">
        <v>704</v>
      </c>
      <c r="C136" t="s">
        <v>351</v>
      </c>
      <c r="D136">
        <v>10</v>
      </c>
      <c r="E136">
        <v>90001</v>
      </c>
      <c r="F136" t="s">
        <v>972</v>
      </c>
      <c r="G136">
        <f t="shared" si="10"/>
        <v>26</v>
      </c>
      <c r="H136" s="9">
        <f>IF(ISERROR(VLOOKUP(A136,Excel4!D:J,7,0)),0,VLOOKUP(A136,Excel4!D:J,7,0))</f>
        <v>0</v>
      </c>
      <c r="I136" s="15" t="s">
        <v>1777</v>
      </c>
      <c r="J136" s="15" t="s">
        <v>351</v>
      </c>
      <c r="K136" s="15" t="s">
        <v>40</v>
      </c>
      <c r="L136" s="18" t="str">
        <f t="shared" si="11"/>
        <v>FİNİKE BELEDİYE BAŞKANLIĞI ANTALYA</v>
      </c>
      <c r="M136" s="18" t="str">
        <f t="shared" si="12"/>
        <v>FİNİKE</v>
      </c>
    </row>
    <row r="137" spans="1:14" x14ac:dyDescent="0.25">
      <c r="A137" t="s">
        <v>1626</v>
      </c>
      <c r="B137" t="s">
        <v>699</v>
      </c>
      <c r="C137" t="s">
        <v>293</v>
      </c>
      <c r="D137">
        <v>15</v>
      </c>
      <c r="E137">
        <v>90001</v>
      </c>
      <c r="F137" t="s">
        <v>1627</v>
      </c>
      <c r="G137">
        <f t="shared" si="10"/>
        <v>26</v>
      </c>
      <c r="H137" s="9">
        <f>IF(ISERROR(VLOOKUP(A137,Excel4!D:J,7,0)),0,VLOOKUP(A137,Excel4!D:J,7,0))</f>
        <v>0</v>
      </c>
      <c r="I137" s="15" t="s">
        <v>1777</v>
      </c>
      <c r="J137" s="15" t="s">
        <v>293</v>
      </c>
      <c r="K137" s="15" t="s">
        <v>40</v>
      </c>
      <c r="L137" s="18" t="str">
        <f t="shared" si="11"/>
        <v>GAZİPAŞA BELEDİYE BAŞKANLIĞI ANTALYA</v>
      </c>
      <c r="M137" s="18" t="str">
        <f t="shared" si="12"/>
        <v>GAZİPAŞA</v>
      </c>
    </row>
    <row r="138" spans="1:14" x14ac:dyDescent="0.25">
      <c r="A138" t="s">
        <v>701</v>
      </c>
      <c r="B138" t="s">
        <v>699</v>
      </c>
      <c r="C138" t="s">
        <v>511</v>
      </c>
      <c r="D138">
        <v>15</v>
      </c>
      <c r="E138">
        <v>90001</v>
      </c>
      <c r="F138" t="s">
        <v>702</v>
      </c>
      <c r="G138">
        <f t="shared" si="10"/>
        <v>26</v>
      </c>
      <c r="H138" s="9">
        <f>IF(ISERROR(VLOOKUP(A138,Excel4!D:J,7,0)),0,VLOOKUP(A138,Excel4!D:J,7,0))</f>
        <v>0</v>
      </c>
      <c r="I138" s="15" t="s">
        <v>1777</v>
      </c>
      <c r="J138" s="15" t="s">
        <v>511</v>
      </c>
      <c r="K138" s="15" t="s">
        <v>40</v>
      </c>
      <c r="L138" s="18" t="str">
        <f t="shared" si="11"/>
        <v>GÜNDOĞDU BELEDİYE BAŞKANLIĞI ANTALYA</v>
      </c>
      <c r="M138" s="18" t="str">
        <f t="shared" si="12"/>
        <v>GÜNDOĞDU</v>
      </c>
    </row>
    <row r="139" spans="1:14" x14ac:dyDescent="0.25">
      <c r="A139" t="s">
        <v>1930</v>
      </c>
      <c r="B139" t="s">
        <v>704</v>
      </c>
      <c r="C139" t="s">
        <v>1873</v>
      </c>
      <c r="D139">
        <v>10</v>
      </c>
      <c r="E139">
        <v>90001</v>
      </c>
      <c r="F139" t="s">
        <v>1969</v>
      </c>
      <c r="G139">
        <f t="shared" si="10"/>
        <v>26</v>
      </c>
      <c r="H139" s="9">
        <f>IF(ISERROR(VLOOKUP(A139,Excel4!D:J,7,0)),0,VLOOKUP(A139,Excel4!D:J,7,0))</f>
        <v>0</v>
      </c>
      <c r="I139" s="15" t="s">
        <v>1777</v>
      </c>
      <c r="J139" s="15" t="s">
        <v>1855</v>
      </c>
      <c r="K139" s="15" t="s">
        <v>40</v>
      </c>
      <c r="L139" s="18" t="str">
        <f t="shared" si="11"/>
        <v>İNCEKUM BELEDİYE BAŞKANLIĞI ANTALYA</v>
      </c>
      <c r="M139" s="18" t="str">
        <f t="shared" si="12"/>
        <v>İNCEKUM</v>
      </c>
    </row>
    <row r="140" spans="1:14" x14ac:dyDescent="0.25">
      <c r="A140" t="s">
        <v>973</v>
      </c>
      <c r="B140" t="s">
        <v>2555</v>
      </c>
      <c r="C140" t="s">
        <v>312</v>
      </c>
      <c r="D140">
        <v>12</v>
      </c>
      <c r="E140">
        <v>90001</v>
      </c>
      <c r="F140" t="s">
        <v>974</v>
      </c>
      <c r="G140">
        <f t="shared" si="10"/>
        <v>26</v>
      </c>
      <c r="H140" s="9">
        <f>IF(ISERROR(VLOOKUP(A140,Excel4!D:J,7,0)),0,VLOOKUP(A140,Excel4!D:J,7,0))</f>
        <v>0</v>
      </c>
      <c r="I140" s="15" t="s">
        <v>1777</v>
      </c>
      <c r="J140" s="15" t="s">
        <v>312</v>
      </c>
      <c r="K140" s="15" t="s">
        <v>40</v>
      </c>
      <c r="L140" s="18" t="str">
        <f t="shared" si="11"/>
        <v>KADRİYE BELEDİYE BAŞKANLIĞI ANTALYA</v>
      </c>
      <c r="M140" s="18" t="str">
        <f t="shared" si="12"/>
        <v>KADRİYE</v>
      </c>
    </row>
    <row r="141" spans="1:14" x14ac:dyDescent="0.25">
      <c r="A141" t="s">
        <v>975</v>
      </c>
      <c r="B141" t="s">
        <v>704</v>
      </c>
      <c r="C141" t="s">
        <v>195</v>
      </c>
      <c r="D141">
        <v>10</v>
      </c>
      <c r="E141">
        <v>90001</v>
      </c>
      <c r="F141" t="s">
        <v>976</v>
      </c>
      <c r="G141">
        <f t="shared" si="10"/>
        <v>26</v>
      </c>
      <c r="H141" s="9">
        <f>IF(ISERROR(VLOOKUP(A141,Excel4!D:J,7,0)),0,VLOOKUP(A141,Excel4!D:J,7,0))</f>
        <v>0</v>
      </c>
      <c r="I141" s="15" t="s">
        <v>1777</v>
      </c>
      <c r="J141" s="15" t="s">
        <v>195</v>
      </c>
      <c r="K141" s="15" t="s">
        <v>40</v>
      </c>
      <c r="L141" s="18" t="str">
        <f t="shared" si="11"/>
        <v>KALKAN BELEDİYE BAŞKANLIĞI ANTALYA</v>
      </c>
      <c r="M141" s="18" t="str">
        <f t="shared" si="12"/>
        <v>KALKAN</v>
      </c>
    </row>
    <row r="142" spans="1:14" x14ac:dyDescent="0.25">
      <c r="A142" t="s">
        <v>977</v>
      </c>
      <c r="B142" t="s">
        <v>704</v>
      </c>
      <c r="C142" t="s">
        <v>162</v>
      </c>
      <c r="D142">
        <v>10</v>
      </c>
      <c r="E142">
        <v>90001</v>
      </c>
      <c r="F142" t="s">
        <v>978</v>
      </c>
      <c r="G142">
        <f t="shared" si="10"/>
        <v>26</v>
      </c>
      <c r="H142" s="9">
        <f>IF(ISERROR(VLOOKUP(A142,Excel4!D:J,7,0)),0,VLOOKUP(A142,Excel4!D:J,7,0))</f>
        <v>0</v>
      </c>
      <c r="I142" s="15" t="s">
        <v>1777</v>
      </c>
      <c r="J142" s="15" t="s">
        <v>162</v>
      </c>
      <c r="K142" s="15" t="s">
        <v>40</v>
      </c>
      <c r="L142" s="18" t="str">
        <f t="shared" si="11"/>
        <v>KAŞ BELEDİYE BAŞKANLIĞI ANTALYA</v>
      </c>
      <c r="M142" s="18" t="str">
        <f t="shared" si="12"/>
        <v>KAŞ</v>
      </c>
    </row>
    <row r="143" spans="1:14" x14ac:dyDescent="0.25">
      <c r="A143" t="s">
        <v>979</v>
      </c>
      <c r="B143" t="s">
        <v>704</v>
      </c>
      <c r="C143" t="s">
        <v>165</v>
      </c>
      <c r="D143">
        <v>10</v>
      </c>
      <c r="E143">
        <v>90001</v>
      </c>
      <c r="F143" t="s">
        <v>980</v>
      </c>
      <c r="G143">
        <f t="shared" si="10"/>
        <v>26</v>
      </c>
      <c r="H143" s="9">
        <f>IF(ISERROR(VLOOKUP(A143,Excel4!D:J,7,0)),0,VLOOKUP(A143,Excel4!D:J,7,0))</f>
        <v>0</v>
      </c>
      <c r="I143" s="15" t="s">
        <v>1777</v>
      </c>
      <c r="J143" s="15" t="s">
        <v>165</v>
      </c>
      <c r="K143" s="15" t="s">
        <v>40</v>
      </c>
      <c r="L143" s="18" t="str">
        <f t="shared" si="11"/>
        <v>KEMER BELEDİYE BAŞKANLIĞI ANTALYA</v>
      </c>
      <c r="M143" s="18" t="str">
        <f t="shared" si="12"/>
        <v>KEMER</v>
      </c>
    </row>
    <row r="144" spans="1:14" x14ac:dyDescent="0.25">
      <c r="A144" t="s">
        <v>981</v>
      </c>
      <c r="B144" t="s">
        <v>704</v>
      </c>
      <c r="C144" t="s">
        <v>75</v>
      </c>
      <c r="D144">
        <v>10</v>
      </c>
      <c r="E144">
        <v>90001</v>
      </c>
      <c r="F144" t="s">
        <v>982</v>
      </c>
      <c r="G144">
        <f t="shared" si="10"/>
        <v>26</v>
      </c>
      <c r="H144" s="9">
        <f>IF(ISERROR(VLOOKUP(A144,Excel4!D:J,7,0)),0,VLOOKUP(A144,Excel4!D:J,7,0))</f>
        <v>0</v>
      </c>
      <c r="I144" s="15" t="s">
        <v>1777</v>
      </c>
      <c r="J144" s="15" t="s">
        <v>75</v>
      </c>
      <c r="K144" s="15" t="s">
        <v>40</v>
      </c>
      <c r="L144" s="18" t="str">
        <f t="shared" si="11"/>
        <v>KESTEL BELEDİYE BAŞKANLIĞI ANTALYA</v>
      </c>
      <c r="M144" s="18" t="str">
        <f t="shared" si="12"/>
        <v>KESTEL</v>
      </c>
    </row>
    <row r="145" spans="1:14" x14ac:dyDescent="0.25">
      <c r="A145" t="s">
        <v>983</v>
      </c>
      <c r="B145" t="s">
        <v>699</v>
      </c>
      <c r="C145" t="s">
        <v>512</v>
      </c>
      <c r="D145">
        <v>15</v>
      </c>
      <c r="E145">
        <v>90001</v>
      </c>
      <c r="F145" t="s">
        <v>984</v>
      </c>
      <c r="G145">
        <f t="shared" si="10"/>
        <v>26</v>
      </c>
      <c r="H145" s="9">
        <f>IF(ISERROR(VLOOKUP(A145,Excel4!D:J,7,0)),0,VLOOKUP(A145,Excel4!D:J,7,0))</f>
        <v>0</v>
      </c>
      <c r="I145" s="15" t="s">
        <v>1777</v>
      </c>
      <c r="J145" s="15" t="s">
        <v>512</v>
      </c>
      <c r="K145" s="15" t="s">
        <v>40</v>
      </c>
      <c r="L145" s="18" t="str">
        <f t="shared" si="11"/>
        <v>KONAKLI BELEDİYE BAŞKANLIĞI ANTALYA</v>
      </c>
      <c r="M145" s="18" t="str">
        <f t="shared" si="12"/>
        <v>KONAKLI</v>
      </c>
    </row>
    <row r="146" spans="1:14" x14ac:dyDescent="0.25">
      <c r="A146" t="s">
        <v>985</v>
      </c>
      <c r="B146" t="s">
        <v>704</v>
      </c>
      <c r="C146" t="s">
        <v>143</v>
      </c>
      <c r="D146">
        <v>10</v>
      </c>
      <c r="E146">
        <v>90001</v>
      </c>
      <c r="F146" t="s">
        <v>986</v>
      </c>
      <c r="G146">
        <f t="shared" si="10"/>
        <v>26</v>
      </c>
      <c r="H146" s="9">
        <f>IF(ISERROR(VLOOKUP(A146,Excel4!D:J,7,0)),0,VLOOKUP(A146,Excel4!D:J,7,0))</f>
        <v>0</v>
      </c>
      <c r="I146" s="15" t="s">
        <v>1777</v>
      </c>
      <c r="J146" s="15" t="s">
        <v>143</v>
      </c>
      <c r="K146" s="15" t="s">
        <v>40</v>
      </c>
      <c r="L146" s="18" t="str">
        <f t="shared" si="11"/>
        <v>KORKUTELİ BELEDİYE BAŞKANLIĞI ANTALYA</v>
      </c>
      <c r="M146" s="18" t="str">
        <f t="shared" si="12"/>
        <v>KORKUTELİ</v>
      </c>
    </row>
    <row r="147" spans="1:14" x14ac:dyDescent="0.25">
      <c r="A147" t="s">
        <v>703</v>
      </c>
      <c r="B147" t="s">
        <v>704</v>
      </c>
      <c r="C147" t="s">
        <v>215</v>
      </c>
      <c r="D147">
        <v>10</v>
      </c>
      <c r="E147">
        <v>90001</v>
      </c>
      <c r="F147" t="s">
        <v>705</v>
      </c>
      <c r="G147">
        <f t="shared" si="10"/>
        <v>26</v>
      </c>
      <c r="H147" s="9">
        <f>IF(ISERROR(VLOOKUP(A147,Excel4!D:J,7,0)),0,VLOOKUP(A147,Excel4!D:J,7,0))</f>
        <v>0</v>
      </c>
      <c r="I147" s="15" t="s">
        <v>1777</v>
      </c>
      <c r="J147" s="15" t="s">
        <v>215</v>
      </c>
      <c r="K147" s="15" t="s">
        <v>40</v>
      </c>
      <c r="L147" s="18" t="str">
        <f t="shared" si="11"/>
        <v>KUMLUCA BELEDİYE BAŞKANLIĞI ANTALYA</v>
      </c>
      <c r="M147" s="18" t="str">
        <f t="shared" si="12"/>
        <v>KUMLUCA</v>
      </c>
    </row>
    <row r="148" spans="1:14" x14ac:dyDescent="0.25">
      <c r="A148" t="s">
        <v>987</v>
      </c>
      <c r="B148" t="s">
        <v>704</v>
      </c>
      <c r="C148" t="s">
        <v>238</v>
      </c>
      <c r="D148">
        <v>10</v>
      </c>
      <c r="E148">
        <v>90001</v>
      </c>
      <c r="F148" t="s">
        <v>988</v>
      </c>
      <c r="G148">
        <f t="shared" ref="G148:G211" si="13">LEN(F148)</f>
        <v>26</v>
      </c>
      <c r="H148" s="9">
        <f>IF(ISERROR(VLOOKUP(A148,Excel4!D:J,7,0)),0,VLOOKUP(A148,Excel4!D:J,7,0))</f>
        <v>0</v>
      </c>
      <c r="I148" s="15" t="s">
        <v>1777</v>
      </c>
      <c r="J148" s="15" t="s">
        <v>238</v>
      </c>
      <c r="K148" s="15" t="s">
        <v>40</v>
      </c>
      <c r="L148" s="18" t="str">
        <f t="shared" si="11"/>
        <v>MAHMUTLAR BELEDİYE BAŞKANLIĞI ANTALYA</v>
      </c>
      <c r="M148" s="18" t="str">
        <f t="shared" si="12"/>
        <v>MAHMUTLAR</v>
      </c>
    </row>
    <row r="149" spans="1:14" x14ac:dyDescent="0.25">
      <c r="A149" t="s">
        <v>1628</v>
      </c>
      <c r="B149" t="s">
        <v>2555</v>
      </c>
      <c r="C149" t="s">
        <v>41</v>
      </c>
      <c r="D149">
        <v>12</v>
      </c>
      <c r="E149">
        <v>90001</v>
      </c>
      <c r="F149" t="s">
        <v>391</v>
      </c>
      <c r="G149">
        <f t="shared" si="13"/>
        <v>26</v>
      </c>
      <c r="H149" s="9">
        <f>IF(ISERROR(VLOOKUP(A149,Excel4!D:J,7,0)),0,VLOOKUP(A149,Excel4!D:J,7,0))</f>
        <v>0</v>
      </c>
      <c r="I149" s="15" t="s">
        <v>1777</v>
      </c>
      <c r="J149" s="15" t="s">
        <v>41</v>
      </c>
      <c r="K149" s="15" t="s">
        <v>40</v>
      </c>
      <c r="L149" s="18" t="str">
        <f t="shared" si="11"/>
        <v>MANAVGAT BELEDİYE BAŞKANLIĞI ANTALYA</v>
      </c>
      <c r="M149" s="18" t="str">
        <f t="shared" si="12"/>
        <v>MANAVGAT</v>
      </c>
    </row>
    <row r="150" spans="1:14" x14ac:dyDescent="0.25">
      <c r="A150" t="s">
        <v>989</v>
      </c>
      <c r="B150" t="s">
        <v>704</v>
      </c>
      <c r="C150" t="s">
        <v>249</v>
      </c>
      <c r="D150">
        <v>10</v>
      </c>
      <c r="E150">
        <v>90001</v>
      </c>
      <c r="F150" t="s">
        <v>990</v>
      </c>
      <c r="G150">
        <f t="shared" si="13"/>
        <v>26</v>
      </c>
      <c r="H150" s="9">
        <f>IF(ISERROR(VLOOKUP(A150,Excel4!D:J,7,0)),0,VLOOKUP(A150,Excel4!D:J,7,0))</f>
        <v>0</v>
      </c>
      <c r="I150" s="15" t="s">
        <v>1777</v>
      </c>
      <c r="J150" s="15" t="s">
        <v>249</v>
      </c>
      <c r="K150" s="15" t="s">
        <v>40</v>
      </c>
      <c r="L150" s="18" t="str">
        <f t="shared" si="11"/>
        <v>OBA BELEDİYE BAŞKANLIĞI ANTALYA</v>
      </c>
      <c r="M150" s="18" t="str">
        <f t="shared" si="12"/>
        <v>OBA</v>
      </c>
    </row>
    <row r="151" spans="1:14" x14ac:dyDescent="0.25">
      <c r="A151" t="s">
        <v>1931</v>
      </c>
      <c r="B151" t="s">
        <v>704</v>
      </c>
      <c r="C151" t="s">
        <v>39</v>
      </c>
      <c r="D151">
        <v>10</v>
      </c>
      <c r="E151">
        <v>90001</v>
      </c>
      <c r="F151" t="s">
        <v>1983</v>
      </c>
      <c r="G151">
        <f t="shared" si="13"/>
        <v>26</v>
      </c>
      <c r="H151" s="9">
        <f>IF(ISERROR(VLOOKUP(A151,Excel4!D:J,7,0)),0,VLOOKUP(A151,Excel4!D:J,7,0))</f>
        <v>0</v>
      </c>
      <c r="I151" s="15" t="s">
        <v>1777</v>
      </c>
      <c r="J151" s="15" t="s">
        <v>1856</v>
      </c>
      <c r="K151" s="15" t="s">
        <v>40</v>
      </c>
      <c r="L151" s="18" t="str">
        <f t="shared" si="11"/>
        <v>OKURCALAR BELEDİYE BAŞKANLIĞI ANTALYA</v>
      </c>
      <c r="M151" s="18" t="str">
        <f t="shared" si="12"/>
        <v>OKURCALAR</v>
      </c>
    </row>
    <row r="152" spans="1:14" x14ac:dyDescent="0.25">
      <c r="A152" t="s">
        <v>1629</v>
      </c>
      <c r="B152" t="s">
        <v>699</v>
      </c>
      <c r="C152" t="s">
        <v>432</v>
      </c>
      <c r="D152">
        <v>15</v>
      </c>
      <c r="E152">
        <v>90001</v>
      </c>
      <c r="F152" t="s">
        <v>1630</v>
      </c>
      <c r="G152">
        <f t="shared" si="13"/>
        <v>26</v>
      </c>
      <c r="H152" s="9">
        <f>IF(ISERROR(VLOOKUP(A152,Excel4!D:J,7,0)),0,VLOOKUP(A152,Excel4!D:J,7,0))</f>
        <v>0</v>
      </c>
      <c r="I152" s="15" t="s">
        <v>1777</v>
      </c>
      <c r="J152" s="15" t="s">
        <v>432</v>
      </c>
      <c r="K152" s="15" t="s">
        <v>40</v>
      </c>
      <c r="L152" s="18" t="str">
        <f t="shared" si="11"/>
        <v>OYMAPINAR BELEDİYE BAŞKANLIĞI ANTALYA</v>
      </c>
      <c r="M152" s="18" t="str">
        <f t="shared" si="12"/>
        <v>OYMAPINAR</v>
      </c>
    </row>
    <row r="153" spans="1:14" x14ac:dyDescent="0.25">
      <c r="A153" t="s">
        <v>991</v>
      </c>
      <c r="B153" t="s">
        <v>704</v>
      </c>
      <c r="C153" t="s">
        <v>196</v>
      </c>
      <c r="D153">
        <v>10</v>
      </c>
      <c r="E153">
        <v>90001</v>
      </c>
      <c r="F153" t="s">
        <v>992</v>
      </c>
      <c r="G153">
        <f t="shared" si="13"/>
        <v>26</v>
      </c>
      <c r="H153" s="9">
        <f>IF(ISERROR(VLOOKUP(A153,Excel4!D:J,7,0)),0,VLOOKUP(A153,Excel4!D:J,7,0))</f>
        <v>0</v>
      </c>
      <c r="I153" s="15" t="s">
        <v>1777</v>
      </c>
      <c r="J153" s="15" t="s">
        <v>196</v>
      </c>
      <c r="K153" s="15" t="s">
        <v>40</v>
      </c>
      <c r="L153" s="18" t="str">
        <f t="shared" si="11"/>
        <v>SERİK BELEDİYE BAŞKANLIĞI ANTALYA</v>
      </c>
      <c r="M153" s="18" t="str">
        <f t="shared" si="12"/>
        <v>SERİK</v>
      </c>
    </row>
    <row r="154" spans="1:14" x14ac:dyDescent="0.25">
      <c r="A154" t="s">
        <v>1631</v>
      </c>
      <c r="B154" t="s">
        <v>699</v>
      </c>
      <c r="C154" t="s">
        <v>89</v>
      </c>
      <c r="D154">
        <v>15</v>
      </c>
      <c r="E154">
        <v>90001</v>
      </c>
      <c r="F154" t="s">
        <v>1632</v>
      </c>
      <c r="G154">
        <f t="shared" si="13"/>
        <v>26</v>
      </c>
      <c r="H154" s="9">
        <f>IF(ISERROR(VLOOKUP(A154,Excel4!D:J,7,0)),0,VLOOKUP(A154,Excel4!D:J,7,0))</f>
        <v>0</v>
      </c>
      <c r="I154" s="15" t="s">
        <v>1777</v>
      </c>
      <c r="J154" s="15" t="s">
        <v>89</v>
      </c>
      <c r="K154" s="15" t="s">
        <v>40</v>
      </c>
      <c r="L154" s="18" t="str">
        <f t="shared" si="11"/>
        <v>SİDE BELEDİYE BAŞKANLIĞI ANTALYA</v>
      </c>
      <c r="M154" s="18" t="str">
        <f t="shared" si="12"/>
        <v>SİDE</v>
      </c>
    </row>
    <row r="155" spans="1:14" x14ac:dyDescent="0.25">
      <c r="A155" t="s">
        <v>993</v>
      </c>
      <c r="B155" t="s">
        <v>704</v>
      </c>
      <c r="C155" t="s">
        <v>513</v>
      </c>
      <c r="D155">
        <v>10</v>
      </c>
      <c r="E155">
        <v>90001</v>
      </c>
      <c r="F155" t="s">
        <v>994</v>
      </c>
      <c r="G155">
        <f t="shared" si="13"/>
        <v>26</v>
      </c>
      <c r="H155" s="9">
        <f>IF(ISERROR(VLOOKUP(A155,Excel4!D:J,7,0)),0,VLOOKUP(A155,Excel4!D:J,7,0))</f>
        <v>0</v>
      </c>
      <c r="I155" s="15" t="s">
        <v>1777</v>
      </c>
      <c r="J155" s="15" t="s">
        <v>513</v>
      </c>
      <c r="K155" s="15" t="s">
        <v>40</v>
      </c>
      <c r="L155" s="18" t="str">
        <f t="shared" si="11"/>
        <v>TAŞAĞIL BELEDİYE BAŞKANLIĞI ANTALYA</v>
      </c>
      <c r="M155" s="18" t="str">
        <f t="shared" si="12"/>
        <v>TAŞAĞIL</v>
      </c>
    </row>
    <row r="156" spans="1:14" x14ac:dyDescent="0.25">
      <c r="A156" t="s">
        <v>1810</v>
      </c>
      <c r="B156" t="s">
        <v>704</v>
      </c>
      <c r="C156" t="s">
        <v>301</v>
      </c>
      <c r="D156">
        <v>10</v>
      </c>
      <c r="E156">
        <v>90001</v>
      </c>
      <c r="F156" t="s">
        <v>1842</v>
      </c>
      <c r="G156">
        <f t="shared" si="13"/>
        <v>26</v>
      </c>
      <c r="H156" s="9">
        <f>IF(ISERROR(VLOOKUP(A156,Excel4!D:J,7,0)),0,VLOOKUP(A156,Excel4!D:J,7,0))</f>
        <v>0</v>
      </c>
      <c r="I156" s="15" t="s">
        <v>1777</v>
      </c>
      <c r="J156" s="15" t="s">
        <v>301</v>
      </c>
      <c r="K156" s="15" t="s">
        <v>40</v>
      </c>
      <c r="L156" s="18" t="str">
        <f t="shared" si="11"/>
        <v>TEKİROVA BELEDİYE BAŞKANLIĞI ANTALYA</v>
      </c>
      <c r="M156" s="18" t="str">
        <f t="shared" si="12"/>
        <v>TEKİROVA</v>
      </c>
    </row>
    <row r="157" spans="1:14" x14ac:dyDescent="0.25">
      <c r="A157" t="s">
        <v>2632</v>
      </c>
      <c r="B157" t="s">
        <v>704</v>
      </c>
      <c r="C157" t="s">
        <v>2625</v>
      </c>
      <c r="D157">
        <v>10</v>
      </c>
      <c r="E157">
        <v>90001</v>
      </c>
      <c r="F157" t="s">
        <v>2640</v>
      </c>
      <c r="G157">
        <f t="shared" si="13"/>
        <v>26</v>
      </c>
      <c r="H157" s="9">
        <f>IF(ISERROR(VLOOKUP(A157,Excel4!D:J,7,0)),0,VLOOKUP(A157,Excel4!D:J,7,0))</f>
        <v>0</v>
      </c>
      <c r="I157" s="15" t="s">
        <v>1777</v>
      </c>
      <c r="J157" s="15" t="s">
        <v>2625</v>
      </c>
      <c r="K157" s="15" t="s">
        <v>313</v>
      </c>
      <c r="L157" s="18" t="str">
        <f t="shared" si="11"/>
        <v>ÇILDIR BELEDİYE BAŞKANLIĞI ARDAHAN</v>
      </c>
      <c r="M157" s="18" t="str">
        <f t="shared" si="12"/>
        <v>ÇILDIR</v>
      </c>
      <c r="N157">
        <f>_xlfn.XLOOKUP(M157,[1]Sheet1!$A:$A,[1]Sheet1!$G:$G)</f>
        <v>0</v>
      </c>
    </row>
    <row r="158" spans="1:14" x14ac:dyDescent="0.25">
      <c r="A158" t="s">
        <v>2886</v>
      </c>
      <c r="B158" t="s">
        <v>704</v>
      </c>
      <c r="C158" t="s">
        <v>2885</v>
      </c>
      <c r="D158">
        <v>10</v>
      </c>
      <c r="E158">
        <v>90001</v>
      </c>
      <c r="F158" t="s">
        <v>2887</v>
      </c>
      <c r="G158">
        <f t="shared" si="13"/>
        <v>26</v>
      </c>
      <c r="H158" s="9">
        <f>IF(ISERROR(VLOOKUP(A158,Excel4!D:J,7,0)),0,VLOOKUP(A158,Excel4!D:J,7,0))</f>
        <v>47.510000000000005</v>
      </c>
      <c r="I158" s="15" t="s">
        <v>1777</v>
      </c>
      <c r="J158" s="15" t="s">
        <v>2885</v>
      </c>
      <c r="K158" s="15" t="s">
        <v>313</v>
      </c>
      <c r="L158" s="18" t="str">
        <f t="shared" si="11"/>
        <v>DAMAL BELEDİYE BAŞKANLIĞI ARDAHAN</v>
      </c>
      <c r="M158" s="18" t="str">
        <f t="shared" si="12"/>
        <v>DAMAL</v>
      </c>
    </row>
    <row r="159" spans="1:14" x14ac:dyDescent="0.25">
      <c r="A159" t="s">
        <v>995</v>
      </c>
      <c r="B159" t="s">
        <v>704</v>
      </c>
      <c r="C159" t="s">
        <v>514</v>
      </c>
      <c r="D159">
        <v>10</v>
      </c>
      <c r="E159">
        <v>90001</v>
      </c>
      <c r="F159" t="s">
        <v>996</v>
      </c>
      <c r="G159">
        <f t="shared" si="13"/>
        <v>26</v>
      </c>
      <c r="H159" s="9">
        <f>IF(ISERROR(VLOOKUP(A159,Excel4!D:J,7,0)),0,VLOOKUP(A159,Excel4!D:J,7,0))</f>
        <v>220.54000000000002</v>
      </c>
      <c r="I159" s="15" t="s">
        <v>1777</v>
      </c>
      <c r="J159" s="15" t="s">
        <v>514</v>
      </c>
      <c r="K159" s="15" t="s">
        <v>313</v>
      </c>
      <c r="L159" s="18" t="str">
        <f t="shared" si="11"/>
        <v>GÖLE BELEDİYE BAŞKANLIĞI ARDAHAN</v>
      </c>
      <c r="M159" s="18" t="str">
        <f t="shared" si="12"/>
        <v>GÖLE</v>
      </c>
      <c r="N159">
        <f>_xlfn.XLOOKUP(M159,[1]Sheet1!$A:$A,[1]Sheet1!$G:$G)</f>
        <v>0</v>
      </c>
    </row>
    <row r="160" spans="1:14" x14ac:dyDescent="0.25">
      <c r="A160" t="s">
        <v>2856</v>
      </c>
      <c r="B160" t="s">
        <v>704</v>
      </c>
      <c r="C160" t="s">
        <v>2849</v>
      </c>
      <c r="D160">
        <v>10</v>
      </c>
      <c r="E160">
        <v>90001</v>
      </c>
      <c r="F160" t="s">
        <v>2863</v>
      </c>
      <c r="G160">
        <f t="shared" si="13"/>
        <v>26</v>
      </c>
      <c r="H160" s="9">
        <f>IF(ISERROR(VLOOKUP(A160,Excel4!D:J,7,0)),0,VLOOKUP(A160,Excel4!D:J,7,0))</f>
        <v>50.16</v>
      </c>
      <c r="I160" s="15" t="s">
        <v>1777</v>
      </c>
      <c r="J160" s="15" t="s">
        <v>2849</v>
      </c>
      <c r="K160" s="15" t="s">
        <v>313</v>
      </c>
      <c r="L160" s="18" t="str">
        <f t="shared" si="11"/>
        <v>HANAK BELEDİYE BAŞKANLIĞI ARDAHAN</v>
      </c>
      <c r="M160" s="18" t="str">
        <f t="shared" si="12"/>
        <v>HANAK</v>
      </c>
      <c r="N160">
        <f>_xlfn.XLOOKUP(M160,[1]Sheet1!$A:$A,[1]Sheet1!$G:$G)</f>
        <v>0</v>
      </c>
    </row>
    <row r="161" spans="1:14" x14ac:dyDescent="0.25">
      <c r="A161" t="s">
        <v>2434</v>
      </c>
      <c r="B161" t="s">
        <v>704</v>
      </c>
      <c r="C161" t="s">
        <v>313</v>
      </c>
      <c r="D161">
        <v>10</v>
      </c>
      <c r="E161">
        <v>90001</v>
      </c>
      <c r="F161" t="s">
        <v>2435</v>
      </c>
      <c r="G161">
        <f t="shared" si="13"/>
        <v>26</v>
      </c>
      <c r="H161" s="9">
        <f>IF(ISERROR(VLOOKUP(A161,Excel4!D:J,7,0)),0,VLOOKUP(A161,Excel4!D:J,7,0))</f>
        <v>501.74</v>
      </c>
      <c r="I161" s="15" t="s">
        <v>1777</v>
      </c>
      <c r="J161" s="15" t="s">
        <v>34</v>
      </c>
      <c r="K161" s="15" t="s">
        <v>313</v>
      </c>
      <c r="L161" s="18" t="str">
        <f t="shared" si="11"/>
        <v>ARDAHAN BELEDİYE BAŞKANLIĞI</v>
      </c>
      <c r="M161" s="18" t="str">
        <f t="shared" si="12"/>
        <v>ARDAHAN</v>
      </c>
      <c r="N161" t="e">
        <f>_xlfn.XLOOKUP(M161,[1]Sheet1!$C:$C,[1]Sheet1!$G:$G)</f>
        <v>#N/A</v>
      </c>
    </row>
    <row r="162" spans="1:14" x14ac:dyDescent="0.25">
      <c r="A162" t="s">
        <v>997</v>
      </c>
      <c r="B162" t="s">
        <v>704</v>
      </c>
      <c r="C162" t="s">
        <v>433</v>
      </c>
      <c r="D162">
        <v>10</v>
      </c>
      <c r="E162">
        <v>90001</v>
      </c>
      <c r="F162" t="s">
        <v>998</v>
      </c>
      <c r="G162">
        <f t="shared" si="13"/>
        <v>26</v>
      </c>
      <c r="H162" s="9">
        <f>IF(ISERROR(VLOOKUP(A162,Excel4!D:J,7,0)),0,VLOOKUP(A162,Excel4!D:J,7,0))</f>
        <v>48.31</v>
      </c>
      <c r="I162" s="15" t="s">
        <v>1777</v>
      </c>
      <c r="J162" s="15" t="s">
        <v>433</v>
      </c>
      <c r="K162" s="15" t="s">
        <v>313</v>
      </c>
      <c r="L162" s="18" t="str">
        <f t="shared" si="11"/>
        <v>POSOF BELEDİYE BAŞKANLIĞI ARDAHAN</v>
      </c>
      <c r="M162" s="18" t="str">
        <f t="shared" si="12"/>
        <v>POSOF</v>
      </c>
      <c r="N162">
        <f>_xlfn.XLOOKUP(M162,[1]Sheet1!$A:$A,[1]Sheet1!$G:$G)</f>
        <v>0</v>
      </c>
    </row>
    <row r="163" spans="1:14" x14ac:dyDescent="0.25">
      <c r="A163" t="s">
        <v>2531</v>
      </c>
      <c r="B163" t="s">
        <v>704</v>
      </c>
      <c r="C163" t="s">
        <v>2528</v>
      </c>
      <c r="D163">
        <v>10</v>
      </c>
      <c r="E163">
        <v>90001</v>
      </c>
      <c r="F163" t="s">
        <v>2553</v>
      </c>
      <c r="G163">
        <f t="shared" si="13"/>
        <v>26</v>
      </c>
      <c r="H163" s="9">
        <f>IF(ISERROR(VLOOKUP(A163,Excel4!D:J,7,0)),0,VLOOKUP(A163,Excel4!D:J,7,0))</f>
        <v>0</v>
      </c>
      <c r="I163" s="15" t="s">
        <v>1777</v>
      </c>
      <c r="J163" s="20" t="s">
        <v>2528</v>
      </c>
      <c r="K163" s="15" t="s">
        <v>2</v>
      </c>
      <c r="L163" s="18" t="str">
        <f t="shared" si="11"/>
        <v>ARDANUÇ BELEDİYE BAŞKANLIĞI ARTVİN</v>
      </c>
      <c r="M163" s="18" t="str">
        <f t="shared" si="12"/>
        <v>ARDANUÇ</v>
      </c>
    </row>
    <row r="164" spans="1:14" x14ac:dyDescent="0.25">
      <c r="A164" t="s">
        <v>2113</v>
      </c>
      <c r="B164" t="s">
        <v>2555</v>
      </c>
      <c r="C164" t="s">
        <v>2108</v>
      </c>
      <c r="D164">
        <v>12</v>
      </c>
      <c r="E164">
        <v>90001</v>
      </c>
      <c r="F164" t="s">
        <v>2120</v>
      </c>
      <c r="G164">
        <f t="shared" si="13"/>
        <v>26</v>
      </c>
      <c r="H164" s="9">
        <f>IF(ISERROR(VLOOKUP(A164,Excel4!D:J,7,0)),0,VLOOKUP(A164,Excel4!D:J,7,0))</f>
        <v>61.19</v>
      </c>
      <c r="I164" s="15" t="s">
        <v>1777</v>
      </c>
      <c r="J164" s="15" t="s">
        <v>2108</v>
      </c>
      <c r="K164" s="15" t="s">
        <v>2</v>
      </c>
      <c r="L164" s="18" t="str">
        <f t="shared" ref="L164:L227" si="14">IF(J164="MERKEZ",K164&amp;" "&amp;I164,IF(J164="BÜYÜKŞEHİR",K164&amp;" "&amp;J164&amp;" "&amp;I164,J164&amp;" "&amp;I164&amp;" "&amp;K164))</f>
        <v>ARHAVİ BELEDİYE BAŞKANLIĞI ARTVİN</v>
      </c>
      <c r="M164" s="18" t="str">
        <f t="shared" si="12"/>
        <v>ARHAVİ</v>
      </c>
      <c r="N164">
        <f>_xlfn.XLOOKUP(M164,[1]Sheet1!$A:$A,[1]Sheet1!$G:$G)</f>
        <v>0</v>
      </c>
    </row>
    <row r="165" spans="1:14" x14ac:dyDescent="0.25">
      <c r="A165" t="s">
        <v>2005</v>
      </c>
      <c r="B165" t="s">
        <v>2555</v>
      </c>
      <c r="C165" t="s">
        <v>1994</v>
      </c>
      <c r="D165">
        <v>12</v>
      </c>
      <c r="E165">
        <v>90001</v>
      </c>
      <c r="F165" t="s">
        <v>2044</v>
      </c>
      <c r="G165">
        <f t="shared" si="13"/>
        <v>26</v>
      </c>
      <c r="H165" s="9">
        <f>IF(ISERROR(VLOOKUP(A165,Excel4!D:J,7,0)),0,VLOOKUP(A165,Excel4!D:J,7,0))</f>
        <v>0</v>
      </c>
      <c r="I165" s="15" t="s">
        <v>1777</v>
      </c>
      <c r="J165" s="15" t="s">
        <v>1994</v>
      </c>
      <c r="K165" s="15" t="s">
        <v>2</v>
      </c>
      <c r="L165" s="18" t="str">
        <f t="shared" si="14"/>
        <v>BORÇKA BELEDİYE BAŞKANLIĞI ARTVİN</v>
      </c>
      <c r="M165" s="18" t="str">
        <f t="shared" si="12"/>
        <v>BORÇKA</v>
      </c>
    </row>
    <row r="166" spans="1:14" x14ac:dyDescent="0.25">
      <c r="A166" t="s">
        <v>999</v>
      </c>
      <c r="B166" t="s">
        <v>704</v>
      </c>
      <c r="C166" t="s">
        <v>515</v>
      </c>
      <c r="D166">
        <v>10</v>
      </c>
      <c r="E166">
        <v>90001</v>
      </c>
      <c r="F166" t="s">
        <v>1000</v>
      </c>
      <c r="G166">
        <f t="shared" si="13"/>
        <v>26</v>
      </c>
      <c r="H166" s="9">
        <f>IF(ISERROR(VLOOKUP(A166,Excel4!D:J,7,0)),0,VLOOKUP(A166,Excel4!D:J,7,0))</f>
        <v>264.01</v>
      </c>
      <c r="I166" s="15" t="s">
        <v>1777</v>
      </c>
      <c r="J166" s="15" t="s">
        <v>515</v>
      </c>
      <c r="K166" s="15" t="s">
        <v>2</v>
      </c>
      <c r="L166" s="18" t="str">
        <f t="shared" si="14"/>
        <v>HOPA BELEDİYE BAŞKANLIĞI ARTVİN</v>
      </c>
      <c r="M166" s="18" t="str">
        <f t="shared" si="12"/>
        <v>HOPA</v>
      </c>
      <c r="N166">
        <f>_xlfn.XLOOKUP(M166,[1]Sheet1!$A:$A,[1]Sheet1!$G:$G)</f>
        <v>0</v>
      </c>
    </row>
    <row r="167" spans="1:14" x14ac:dyDescent="0.25">
      <c r="A167" s="19" t="s">
        <v>2266</v>
      </c>
      <c r="B167" t="s">
        <v>704</v>
      </c>
      <c r="C167" t="s">
        <v>515</v>
      </c>
      <c r="D167">
        <v>10</v>
      </c>
      <c r="E167">
        <v>90001</v>
      </c>
      <c r="F167" t="s">
        <v>2386</v>
      </c>
      <c r="G167">
        <f t="shared" si="13"/>
        <v>26</v>
      </c>
      <c r="H167" s="9">
        <f>IF(ISERROR(VLOOKUP(A167,Excel4!D:J,7,0)),0,VLOOKUP(A167,Excel4!D:J,7,0))</f>
        <v>0</v>
      </c>
      <c r="I167" s="15" t="s">
        <v>1777</v>
      </c>
      <c r="J167" s="20" t="s">
        <v>152</v>
      </c>
      <c r="K167" s="15" t="s">
        <v>2</v>
      </c>
      <c r="L167" s="18" t="str">
        <f t="shared" si="14"/>
        <v>KEMALPAŞA BELEDİYE BAŞKANLIĞI ARTVİN</v>
      </c>
      <c r="M167" s="18" t="str">
        <f t="shared" si="12"/>
        <v>KEMALPAŞA</v>
      </c>
      <c r="N167">
        <f>_xlfn.XLOOKUP(M167,[1]Sheet1!$A:$A,[1]Sheet1!$G:$G)</f>
        <v>0</v>
      </c>
    </row>
    <row r="168" spans="1:14" x14ac:dyDescent="0.25">
      <c r="A168" t="s">
        <v>1001</v>
      </c>
      <c r="B168" t="s">
        <v>704</v>
      </c>
      <c r="C168" t="s">
        <v>34</v>
      </c>
      <c r="D168">
        <v>10</v>
      </c>
      <c r="E168">
        <v>90001</v>
      </c>
      <c r="F168" t="s">
        <v>1002</v>
      </c>
      <c r="G168">
        <f t="shared" si="13"/>
        <v>26</v>
      </c>
      <c r="H168" s="9">
        <f>IF(ISERROR(VLOOKUP(A168,Excel4!D:J,7,0)),0,VLOOKUP(A168,Excel4!D:J,7,0))</f>
        <v>103.16999999999999</v>
      </c>
      <c r="I168" s="15" t="s">
        <v>1777</v>
      </c>
      <c r="J168" s="15" t="s">
        <v>34</v>
      </c>
      <c r="K168" s="15" t="s">
        <v>2</v>
      </c>
      <c r="L168" s="18" t="str">
        <f t="shared" si="14"/>
        <v>ARTVİN BELEDİYE BAŞKANLIĞI</v>
      </c>
      <c r="M168" s="18" t="str">
        <f t="shared" si="12"/>
        <v>ARTVİN</v>
      </c>
      <c r="N168" t="e">
        <f>_xlfn.XLOOKUP(M168,[1]Sheet1!$C:$C,[1]Sheet1!$G:$G)</f>
        <v>#N/A</v>
      </c>
    </row>
    <row r="169" spans="1:14" x14ac:dyDescent="0.25">
      <c r="A169" t="s">
        <v>1003</v>
      </c>
      <c r="B169" t="s">
        <v>704</v>
      </c>
      <c r="C169" t="s">
        <v>516</v>
      </c>
      <c r="D169">
        <v>10</v>
      </c>
      <c r="E169">
        <v>90001</v>
      </c>
      <c r="F169" t="s">
        <v>1004</v>
      </c>
      <c r="G169">
        <f t="shared" si="13"/>
        <v>26</v>
      </c>
      <c r="H169" s="9">
        <f>IF(ISERROR(VLOOKUP(A169,Excel4!D:J,7,0)),0,VLOOKUP(A169,Excel4!D:J,7,0))</f>
        <v>0</v>
      </c>
      <c r="I169" s="15" t="s">
        <v>1777</v>
      </c>
      <c r="J169" s="15" t="s">
        <v>516</v>
      </c>
      <c r="K169" s="15" t="s">
        <v>2</v>
      </c>
      <c r="L169" s="18" t="str">
        <f t="shared" si="14"/>
        <v>MURGUL BELEDİYE BAŞKANLIĞI ARTVİN</v>
      </c>
      <c r="M169" s="18" t="str">
        <f t="shared" si="12"/>
        <v>MURGUL</v>
      </c>
      <c r="N169">
        <f>_xlfn.XLOOKUP(M169,[1]Sheet1!$A:$A,[1]Sheet1!$G:$G)</f>
        <v>0</v>
      </c>
    </row>
    <row r="170" spans="1:14" x14ac:dyDescent="0.25">
      <c r="A170" t="s">
        <v>1005</v>
      </c>
      <c r="B170" t="s">
        <v>704</v>
      </c>
      <c r="C170" t="s">
        <v>352</v>
      </c>
      <c r="D170">
        <v>10</v>
      </c>
      <c r="E170">
        <v>90001</v>
      </c>
      <c r="F170" t="s">
        <v>1006</v>
      </c>
      <c r="G170">
        <f t="shared" si="13"/>
        <v>26</v>
      </c>
      <c r="H170" s="9">
        <f>IF(ISERROR(VLOOKUP(A170,Excel4!D:J,7,0)),0,VLOOKUP(A170,Excel4!D:J,7,0))</f>
        <v>0</v>
      </c>
      <c r="I170" s="15" t="s">
        <v>1777</v>
      </c>
      <c r="J170" s="15" t="s">
        <v>352</v>
      </c>
      <c r="K170" s="15" t="s">
        <v>2</v>
      </c>
      <c r="L170" s="18" t="str">
        <f t="shared" si="14"/>
        <v>ŞAVŞAT BELEDİYE BAŞKANLIĞI ARTVİN</v>
      </c>
      <c r="M170" s="18" t="str">
        <f t="shared" si="12"/>
        <v>ŞAVŞAT</v>
      </c>
    </row>
    <row r="171" spans="1:14" x14ac:dyDescent="0.25">
      <c r="A171" s="19" t="s">
        <v>2265</v>
      </c>
      <c r="B171" t="s">
        <v>2555</v>
      </c>
      <c r="C171" s="27" t="s">
        <v>2264</v>
      </c>
      <c r="D171">
        <v>12</v>
      </c>
      <c r="E171">
        <v>90001</v>
      </c>
      <c r="F171" s="27" t="s">
        <v>2619</v>
      </c>
      <c r="G171">
        <f t="shared" si="13"/>
        <v>26</v>
      </c>
      <c r="H171" s="9">
        <f>IF(ISERROR(VLOOKUP(A171,Excel4!D:J,7,0)),0,VLOOKUP(A171,Excel4!D:J,7,0))</f>
        <v>74.75</v>
      </c>
      <c r="I171" s="15" t="s">
        <v>1777</v>
      </c>
      <c r="J171" s="20" t="s">
        <v>2264</v>
      </c>
      <c r="K171" s="15" t="s">
        <v>2</v>
      </c>
      <c r="L171" s="18" t="str">
        <f t="shared" si="14"/>
        <v>YUSUFELİ BELEDİYE BAŞKANLIĞI ARTVİN</v>
      </c>
      <c r="M171" s="18" t="str">
        <f t="shared" si="12"/>
        <v>YUSUFELİ</v>
      </c>
      <c r="N171">
        <f>_xlfn.XLOOKUP(M171,[1]Sheet1!$A:$A,[1]Sheet1!$G:$G)</f>
        <v>0</v>
      </c>
    </row>
    <row r="172" spans="1:14" x14ac:dyDescent="0.25">
      <c r="A172" t="s">
        <v>1007</v>
      </c>
      <c r="B172" t="s">
        <v>704</v>
      </c>
      <c r="C172" t="s">
        <v>140</v>
      </c>
      <c r="D172">
        <v>10</v>
      </c>
      <c r="E172">
        <v>90001</v>
      </c>
      <c r="F172" t="s">
        <v>1008</v>
      </c>
      <c r="G172">
        <f t="shared" si="13"/>
        <v>26</v>
      </c>
      <c r="H172" s="9">
        <f>IF(ISERROR(VLOOKUP(A172,Excel4!D:J,7,0)),0,VLOOKUP(A172,Excel4!D:J,7,0))</f>
        <v>0</v>
      </c>
      <c r="I172" s="15" t="s">
        <v>1777</v>
      </c>
      <c r="J172" s="15" t="s">
        <v>140</v>
      </c>
      <c r="K172" s="15" t="s">
        <v>42</v>
      </c>
      <c r="L172" s="18" t="str">
        <f t="shared" si="14"/>
        <v>AKBÜK BELEDİYE BAŞKANLIĞI AYDIN</v>
      </c>
      <c r="M172" s="18" t="str">
        <f t="shared" si="12"/>
        <v>AKBÜK</v>
      </c>
    </row>
    <row r="173" spans="1:14" x14ac:dyDescent="0.25">
      <c r="A173" t="s">
        <v>1916</v>
      </c>
      <c r="B173" t="s">
        <v>1957</v>
      </c>
      <c r="C173" t="s">
        <v>166</v>
      </c>
      <c r="D173">
        <v>62</v>
      </c>
      <c r="E173">
        <v>90001</v>
      </c>
      <c r="F173" t="s">
        <v>1958</v>
      </c>
      <c r="G173">
        <f t="shared" si="13"/>
        <v>26</v>
      </c>
      <c r="H173" s="9">
        <f>IF(ISERROR(VLOOKUP(A173,Excel4!D:J,7,0)),0,VLOOKUP(A173,Excel4!D:J,7,0))</f>
        <v>0</v>
      </c>
      <c r="I173" s="15" t="s">
        <v>1777</v>
      </c>
      <c r="J173" s="15" t="s">
        <v>1857</v>
      </c>
      <c r="K173" s="15" t="s">
        <v>42</v>
      </c>
      <c r="L173" s="18" t="str">
        <f t="shared" si="14"/>
        <v>ATBURGAZI BELEDİYE BAŞKANLIĞI AYDIN</v>
      </c>
      <c r="M173" s="18" t="str">
        <f t="shared" si="12"/>
        <v>ATBURGAZI</v>
      </c>
    </row>
    <row r="174" spans="1:14" x14ac:dyDescent="0.25">
      <c r="A174" t="s">
        <v>1009</v>
      </c>
      <c r="B174" t="s">
        <v>2555</v>
      </c>
      <c r="C174" t="s">
        <v>517</v>
      </c>
      <c r="D174">
        <v>12</v>
      </c>
      <c r="E174">
        <v>90001</v>
      </c>
      <c r="F174" t="s">
        <v>1010</v>
      </c>
      <c r="G174">
        <f t="shared" si="13"/>
        <v>26</v>
      </c>
      <c r="H174" s="9">
        <f>IF(ISERROR(VLOOKUP(A174,Excel4!D:J,7,0)),0,VLOOKUP(A174,Excel4!D:J,7,0))</f>
        <v>0</v>
      </c>
      <c r="I174" s="15" t="s">
        <v>1777</v>
      </c>
      <c r="J174" s="15" t="s">
        <v>517</v>
      </c>
      <c r="K174" s="15" t="s">
        <v>42</v>
      </c>
      <c r="L174" s="18" t="str">
        <f t="shared" si="14"/>
        <v>BOZDOĞAN BELEDİYE BAŞKANLIĞI AYDIN</v>
      </c>
      <c r="M174" s="18" t="str">
        <f t="shared" si="12"/>
        <v>BOZDOĞAN</v>
      </c>
    </row>
    <row r="175" spans="1:14" x14ac:dyDescent="0.25">
      <c r="A175" t="s">
        <v>1011</v>
      </c>
      <c r="B175" t="s">
        <v>704</v>
      </c>
      <c r="C175" t="s">
        <v>518</v>
      </c>
      <c r="D175">
        <v>10</v>
      </c>
      <c r="E175">
        <v>90001</v>
      </c>
      <c r="F175" t="s">
        <v>1012</v>
      </c>
      <c r="G175">
        <f t="shared" si="13"/>
        <v>26</v>
      </c>
      <c r="H175" s="9">
        <f>IF(ISERROR(VLOOKUP(A175,Excel4!D:J,7,0)),0,VLOOKUP(A175,Excel4!D:J,7,0))</f>
        <v>0</v>
      </c>
      <c r="I175" s="15" t="s">
        <v>1777</v>
      </c>
      <c r="J175" s="15" t="s">
        <v>518</v>
      </c>
      <c r="K175" s="15" t="s">
        <v>42</v>
      </c>
      <c r="L175" s="18" t="str">
        <f t="shared" si="14"/>
        <v>BUHARKENT BELEDİYE BAŞKANLIĞI AYDIN</v>
      </c>
      <c r="M175" s="18" t="str">
        <f t="shared" si="12"/>
        <v>BUHARKENT</v>
      </c>
    </row>
    <row r="176" spans="1:14" x14ac:dyDescent="0.25">
      <c r="A176" t="s">
        <v>2025</v>
      </c>
      <c r="B176" t="s">
        <v>2555</v>
      </c>
      <c r="C176" t="s">
        <v>42</v>
      </c>
      <c r="D176">
        <v>12</v>
      </c>
      <c r="E176">
        <v>90001</v>
      </c>
      <c r="F176" t="s">
        <v>708</v>
      </c>
      <c r="G176">
        <f t="shared" si="13"/>
        <v>26</v>
      </c>
      <c r="H176" s="9">
        <f>IF(ISERROR(VLOOKUP(A176,Excel4!D:J,7,0)),0,VLOOKUP(A176,Excel4!D:J,7,0))</f>
        <v>19363.680000000004</v>
      </c>
      <c r="I176" s="15" t="s">
        <v>1777</v>
      </c>
      <c r="J176" s="15" t="s">
        <v>27</v>
      </c>
      <c r="K176" s="15" t="s">
        <v>42</v>
      </c>
      <c r="L176" s="18" t="str">
        <f t="shared" si="14"/>
        <v>AYDIN BÜYÜKŞEHİR BELEDİYE BAŞKANLIĞI</v>
      </c>
      <c r="M176" s="18" t="str">
        <f t="shared" si="12"/>
        <v>AYDIN BÜYÜKŞEHİR</v>
      </c>
      <c r="N176">
        <f>_xlfn.XLOOKUP(M176,[1]Sheet1!$A:$A,[1]Sheet1!$G:$G)</f>
        <v>0</v>
      </c>
    </row>
    <row r="177" spans="1:13" x14ac:dyDescent="0.25">
      <c r="A177" t="s">
        <v>1013</v>
      </c>
      <c r="B177" t="s">
        <v>2555</v>
      </c>
      <c r="C177" t="s">
        <v>353</v>
      </c>
      <c r="D177">
        <v>12</v>
      </c>
      <c r="E177">
        <v>90001</v>
      </c>
      <c r="F177" t="s">
        <v>1014</v>
      </c>
      <c r="G177">
        <f t="shared" si="13"/>
        <v>26</v>
      </c>
      <c r="H177" s="9">
        <f>IF(ISERROR(VLOOKUP(A177,Excel4!D:J,7,0)),0,VLOOKUP(A177,Excel4!D:J,7,0))</f>
        <v>0</v>
      </c>
      <c r="I177" s="15" t="s">
        <v>1777</v>
      </c>
      <c r="J177" s="15" t="s">
        <v>353</v>
      </c>
      <c r="K177" s="15" t="s">
        <v>42</v>
      </c>
      <c r="L177" s="18" t="str">
        <f t="shared" si="14"/>
        <v>ÇİNE BELEDİYE BAŞKANLIĞI AYDIN</v>
      </c>
      <c r="M177" s="18" t="str">
        <f t="shared" si="12"/>
        <v>ÇİNE</v>
      </c>
    </row>
    <row r="178" spans="1:13" x14ac:dyDescent="0.25">
      <c r="A178" t="s">
        <v>1015</v>
      </c>
      <c r="B178" t="s">
        <v>2555</v>
      </c>
      <c r="C178" t="s">
        <v>197</v>
      </c>
      <c r="D178">
        <v>12</v>
      </c>
      <c r="E178">
        <v>90001</v>
      </c>
      <c r="F178" t="s">
        <v>1016</v>
      </c>
      <c r="G178">
        <f t="shared" si="13"/>
        <v>26</v>
      </c>
      <c r="H178" s="9">
        <f>IF(ISERROR(VLOOKUP(A178,Excel4!D:J,7,0)),0,VLOOKUP(A178,Excel4!D:J,7,0))</f>
        <v>0</v>
      </c>
      <c r="I178" s="15" t="s">
        <v>1777</v>
      </c>
      <c r="J178" s="15" t="s">
        <v>197</v>
      </c>
      <c r="K178" s="15" t="s">
        <v>42</v>
      </c>
      <c r="L178" s="18" t="str">
        <f t="shared" si="14"/>
        <v>DAVUTLAR BELEDİYE BAŞKANLIĞI AYDIN</v>
      </c>
      <c r="M178" s="18" t="str">
        <f t="shared" si="12"/>
        <v>DAVUTLAR</v>
      </c>
    </row>
    <row r="179" spans="1:13" x14ac:dyDescent="0.25">
      <c r="A179" t="s">
        <v>1633</v>
      </c>
      <c r="B179" t="s">
        <v>2555</v>
      </c>
      <c r="C179" t="s">
        <v>172</v>
      </c>
      <c r="D179">
        <v>12</v>
      </c>
      <c r="E179">
        <v>90001</v>
      </c>
      <c r="F179" t="s">
        <v>418</v>
      </c>
      <c r="G179">
        <f t="shared" si="13"/>
        <v>26</v>
      </c>
      <c r="H179" s="9">
        <f>IF(ISERROR(VLOOKUP(A179,Excel4!D:J,7,0)),0,VLOOKUP(A179,Excel4!D:J,7,0))</f>
        <v>0</v>
      </c>
      <c r="I179" s="15" t="s">
        <v>1777</v>
      </c>
      <c r="J179" s="15" t="s">
        <v>172</v>
      </c>
      <c r="K179" s="15" t="s">
        <v>42</v>
      </c>
      <c r="L179" s="18" t="str">
        <f t="shared" si="14"/>
        <v>DİDİM BELEDİYE BAŞKANLIĞI AYDIN</v>
      </c>
      <c r="M179" s="18" t="str">
        <f t="shared" si="12"/>
        <v>DİDİM</v>
      </c>
    </row>
    <row r="180" spans="1:13" x14ac:dyDescent="0.25">
      <c r="A180" t="s">
        <v>1634</v>
      </c>
      <c r="B180" t="s">
        <v>2555</v>
      </c>
      <c r="C180" t="s">
        <v>3</v>
      </c>
      <c r="D180">
        <v>12</v>
      </c>
      <c r="E180">
        <v>90001</v>
      </c>
      <c r="F180" t="s">
        <v>1635</v>
      </c>
      <c r="G180">
        <f t="shared" si="13"/>
        <v>26</v>
      </c>
      <c r="H180" s="9">
        <f>IF(ISERROR(VLOOKUP(A180,Excel4!D:J,7,0)),0,VLOOKUP(A180,Excel4!D:J,7,0))</f>
        <v>0</v>
      </c>
      <c r="I180" s="15" t="s">
        <v>1777</v>
      </c>
      <c r="J180" s="15" t="s">
        <v>3</v>
      </c>
      <c r="K180" s="15" t="s">
        <v>42</v>
      </c>
      <c r="L180" s="18" t="str">
        <f t="shared" si="14"/>
        <v>GERMENCİK BELEDİYE BAŞKANLIĞI AYDIN</v>
      </c>
      <c r="M180" s="18" t="str">
        <f t="shared" si="12"/>
        <v>GERMENCİK</v>
      </c>
    </row>
    <row r="181" spans="1:13" x14ac:dyDescent="0.25">
      <c r="A181" t="s">
        <v>1636</v>
      </c>
      <c r="B181" t="s">
        <v>818</v>
      </c>
      <c r="C181" t="s">
        <v>233</v>
      </c>
      <c r="D181">
        <v>64</v>
      </c>
      <c r="E181">
        <v>90001</v>
      </c>
      <c r="F181" t="s">
        <v>1637</v>
      </c>
      <c r="G181">
        <f t="shared" si="13"/>
        <v>26</v>
      </c>
      <c r="H181" s="9">
        <f>IF(ISERROR(VLOOKUP(A181,Excel4!D:J,7,0)),0,VLOOKUP(A181,Excel4!D:J,7,0))</f>
        <v>0</v>
      </c>
      <c r="I181" s="15" t="s">
        <v>1777</v>
      </c>
      <c r="J181" s="15" t="s">
        <v>233</v>
      </c>
      <c r="K181" s="15" t="s">
        <v>42</v>
      </c>
      <c r="L181" s="18" t="str">
        <f t="shared" si="14"/>
        <v>GÜZELÇAMLI BELEDİYE BAŞKANLIĞI AYDIN</v>
      </c>
      <c r="M181" s="18" t="str">
        <f t="shared" si="12"/>
        <v>GÜZELÇAMLI</v>
      </c>
    </row>
    <row r="182" spans="1:13" x14ac:dyDescent="0.25">
      <c r="A182" t="s">
        <v>706</v>
      </c>
      <c r="B182" t="s">
        <v>2555</v>
      </c>
      <c r="C182" t="s">
        <v>314</v>
      </c>
      <c r="D182">
        <v>12</v>
      </c>
      <c r="E182">
        <v>90001</v>
      </c>
      <c r="F182" t="s">
        <v>707</v>
      </c>
      <c r="G182">
        <f t="shared" si="13"/>
        <v>26</v>
      </c>
      <c r="H182" s="9">
        <f>IF(ISERROR(VLOOKUP(A182,Excel4!D:J,7,0)),0,VLOOKUP(A182,Excel4!D:J,7,0))</f>
        <v>0</v>
      </c>
      <c r="I182" s="15" t="s">
        <v>1777</v>
      </c>
      <c r="J182" s="15" t="s">
        <v>314</v>
      </c>
      <c r="K182" s="15" t="s">
        <v>42</v>
      </c>
      <c r="L182" s="18" t="str">
        <f t="shared" si="14"/>
        <v>İNCİRLİOVA BELEDİYE BAŞKANLIĞI AYDIN</v>
      </c>
      <c r="M182" s="18" t="str">
        <f t="shared" si="12"/>
        <v>İNCİRLİOVA</v>
      </c>
    </row>
    <row r="183" spans="1:13" x14ac:dyDescent="0.25">
      <c r="A183" t="s">
        <v>1017</v>
      </c>
      <c r="B183" t="s">
        <v>704</v>
      </c>
      <c r="C183" t="s">
        <v>354</v>
      </c>
      <c r="D183">
        <v>10</v>
      </c>
      <c r="E183">
        <v>90001</v>
      </c>
      <c r="F183" t="s">
        <v>1018</v>
      </c>
      <c r="G183">
        <f t="shared" si="13"/>
        <v>26</v>
      </c>
      <c r="H183" s="9">
        <f>IF(ISERROR(VLOOKUP(A183,Excel4!D:J,7,0)),0,VLOOKUP(A183,Excel4!D:J,7,0))</f>
        <v>0</v>
      </c>
      <c r="I183" s="15" t="s">
        <v>1777</v>
      </c>
      <c r="J183" s="15" t="s">
        <v>354</v>
      </c>
      <c r="K183" s="15" t="s">
        <v>42</v>
      </c>
      <c r="L183" s="18" t="str">
        <f t="shared" si="14"/>
        <v>KOÇARLI BELEDİYE BAŞKANLIĞI AYDIN</v>
      </c>
      <c r="M183" s="18" t="str">
        <f t="shared" si="12"/>
        <v>KOÇARLI</v>
      </c>
    </row>
    <row r="184" spans="1:13" x14ac:dyDescent="0.25">
      <c r="A184" t="s">
        <v>1638</v>
      </c>
      <c r="B184" t="s">
        <v>2555</v>
      </c>
      <c r="C184" t="s">
        <v>519</v>
      </c>
      <c r="D184">
        <v>12</v>
      </c>
      <c r="E184">
        <v>90001</v>
      </c>
      <c r="F184" t="s">
        <v>1639</v>
      </c>
      <c r="G184">
        <f t="shared" si="13"/>
        <v>26</v>
      </c>
      <c r="H184" s="9">
        <f>IF(ISERROR(VLOOKUP(A184,Excel4!D:J,7,0)),0,VLOOKUP(A184,Excel4!D:J,7,0))</f>
        <v>0</v>
      </c>
      <c r="I184" s="15" t="s">
        <v>1777</v>
      </c>
      <c r="J184" s="15" t="s">
        <v>519</v>
      </c>
      <c r="K184" s="15" t="s">
        <v>42</v>
      </c>
      <c r="L184" s="18" t="str">
        <f t="shared" si="14"/>
        <v>KÖŞK BELEDİYE BAŞKANLIĞI AYDIN</v>
      </c>
      <c r="M184" s="18" t="str">
        <f t="shared" si="12"/>
        <v>KÖŞK</v>
      </c>
    </row>
    <row r="185" spans="1:13" x14ac:dyDescent="0.25">
      <c r="A185" t="s">
        <v>1019</v>
      </c>
      <c r="B185" t="s">
        <v>704</v>
      </c>
      <c r="C185" t="s">
        <v>43</v>
      </c>
      <c r="D185">
        <v>10</v>
      </c>
      <c r="E185">
        <v>90001</v>
      </c>
      <c r="F185" t="s">
        <v>1020</v>
      </c>
      <c r="G185">
        <f t="shared" si="13"/>
        <v>26</v>
      </c>
      <c r="H185" s="9">
        <f>IF(ISERROR(VLOOKUP(A185,Excel4!D:J,7,0)),0,VLOOKUP(A185,Excel4!D:J,7,0))</f>
        <v>0</v>
      </c>
      <c r="I185" s="15" t="s">
        <v>1777</v>
      </c>
      <c r="J185" s="15" t="s">
        <v>43</v>
      </c>
      <c r="K185" s="15" t="s">
        <v>42</v>
      </c>
      <c r="L185" s="18" t="str">
        <f t="shared" si="14"/>
        <v>KUŞADASI BELEDİYE BAŞKANLIĞI AYDIN</v>
      </c>
      <c r="M185" s="18" t="str">
        <f t="shared" si="12"/>
        <v>KUŞADASI</v>
      </c>
    </row>
    <row r="186" spans="1:13" x14ac:dyDescent="0.25">
      <c r="A186" t="s">
        <v>1021</v>
      </c>
      <c r="B186" t="s">
        <v>2555</v>
      </c>
      <c r="C186" t="s">
        <v>520</v>
      </c>
      <c r="D186">
        <v>12</v>
      </c>
      <c r="E186">
        <v>90001</v>
      </c>
      <c r="F186" t="s">
        <v>1022</v>
      </c>
      <c r="G186">
        <f t="shared" si="13"/>
        <v>26</v>
      </c>
      <c r="H186" s="9">
        <f>IF(ISERROR(VLOOKUP(A186,Excel4!D:J,7,0)),0,VLOOKUP(A186,Excel4!D:J,7,0))</f>
        <v>0</v>
      </c>
      <c r="I186" s="15" t="s">
        <v>1777</v>
      </c>
      <c r="J186" s="15" t="s">
        <v>520</v>
      </c>
      <c r="K186" s="15" t="s">
        <v>42</v>
      </c>
      <c r="L186" s="18" t="str">
        <f t="shared" si="14"/>
        <v>KUYUCAK BELEDİYE BAŞKANLIĞI AYDIN</v>
      </c>
      <c r="M186" s="18" t="str">
        <f t="shared" si="12"/>
        <v>KUYUCAK</v>
      </c>
    </row>
    <row r="187" spans="1:13" x14ac:dyDescent="0.25">
      <c r="A187" t="s">
        <v>1023</v>
      </c>
      <c r="B187" t="s">
        <v>2555</v>
      </c>
      <c r="C187" t="s">
        <v>86</v>
      </c>
      <c r="D187">
        <v>12</v>
      </c>
      <c r="E187">
        <v>90001</v>
      </c>
      <c r="F187" t="s">
        <v>1024</v>
      </c>
      <c r="G187">
        <f t="shared" si="13"/>
        <v>26</v>
      </c>
      <c r="H187" s="9">
        <f>IF(ISERROR(VLOOKUP(A187,Excel4!D:J,7,0)),0,VLOOKUP(A187,Excel4!D:J,7,0))</f>
        <v>0</v>
      </c>
      <c r="I187" s="15" t="s">
        <v>1777</v>
      </c>
      <c r="J187" s="15" t="s">
        <v>86</v>
      </c>
      <c r="K187" s="15" t="s">
        <v>42</v>
      </c>
      <c r="L187" s="18" t="str">
        <f t="shared" si="14"/>
        <v>NAZİLLİ BELEDİYE BAŞKANLIĞI AYDIN</v>
      </c>
      <c r="M187" s="18" t="str">
        <f t="shared" si="12"/>
        <v>NAZİLLİ</v>
      </c>
    </row>
    <row r="188" spans="1:13" x14ac:dyDescent="0.25">
      <c r="A188" t="s">
        <v>1025</v>
      </c>
      <c r="B188" t="s">
        <v>699</v>
      </c>
      <c r="C188" t="s">
        <v>166</v>
      </c>
      <c r="D188">
        <v>15</v>
      </c>
      <c r="E188">
        <v>90001</v>
      </c>
      <c r="F188" t="s">
        <v>1026</v>
      </c>
      <c r="G188">
        <f t="shared" si="13"/>
        <v>26</v>
      </c>
      <c r="H188" s="9">
        <f>IF(ISERROR(VLOOKUP(A188,Excel4!D:J,7,0)),0,VLOOKUP(A188,Excel4!D:J,7,0))</f>
        <v>0</v>
      </c>
      <c r="I188" s="15" t="s">
        <v>1777</v>
      </c>
      <c r="J188" s="15" t="s">
        <v>166</v>
      </c>
      <c r="K188" s="15" t="s">
        <v>42</v>
      </c>
      <c r="L188" s="18" t="str">
        <f t="shared" si="14"/>
        <v>SÖKE BELEDİYE BAŞKANLIĞI AYDIN</v>
      </c>
      <c r="M188" s="18" t="str">
        <f t="shared" si="12"/>
        <v>SÖKE</v>
      </c>
    </row>
    <row r="189" spans="1:13" x14ac:dyDescent="0.25">
      <c r="A189" t="s">
        <v>1027</v>
      </c>
      <c r="B189" t="s">
        <v>704</v>
      </c>
      <c r="C189" t="s">
        <v>521</v>
      </c>
      <c r="D189">
        <v>10</v>
      </c>
      <c r="E189">
        <v>90001</v>
      </c>
      <c r="F189" t="s">
        <v>1028</v>
      </c>
      <c r="G189">
        <f t="shared" si="13"/>
        <v>26</v>
      </c>
      <c r="H189" s="9">
        <f>IF(ISERROR(VLOOKUP(A189,Excel4!D:J,7,0)),0,VLOOKUP(A189,Excel4!D:J,7,0))</f>
        <v>0</v>
      </c>
      <c r="I189" s="15" t="s">
        <v>1777</v>
      </c>
      <c r="J189" s="15" t="s">
        <v>521</v>
      </c>
      <c r="K189" s="15" t="s">
        <v>42</v>
      </c>
      <c r="L189" s="18" t="str">
        <f t="shared" si="14"/>
        <v>SULTANHİSAR BELEDİYE BAŞKANLIĞI AYDIN</v>
      </c>
      <c r="M189" s="18" t="str">
        <f t="shared" si="12"/>
        <v>SULTANHİSAR</v>
      </c>
    </row>
    <row r="190" spans="1:13" x14ac:dyDescent="0.25">
      <c r="A190" t="s">
        <v>1811</v>
      </c>
      <c r="B190" t="s">
        <v>704</v>
      </c>
      <c r="C190" t="s">
        <v>1822</v>
      </c>
      <c r="D190">
        <v>10</v>
      </c>
      <c r="E190">
        <v>90001</v>
      </c>
      <c r="F190" t="s">
        <v>1843</v>
      </c>
      <c r="G190">
        <f t="shared" si="13"/>
        <v>26</v>
      </c>
      <c r="H190" s="9">
        <f>IF(ISERROR(VLOOKUP(A190,Excel4!D:J,7,0)),0,VLOOKUP(A190,Excel4!D:J,7,0))</f>
        <v>0</v>
      </c>
      <c r="I190" s="15" t="s">
        <v>1777</v>
      </c>
      <c r="J190" s="15" t="s">
        <v>1781</v>
      </c>
      <c r="K190" s="15" t="s">
        <v>42</v>
      </c>
      <c r="L190" s="18" t="str">
        <f t="shared" si="14"/>
        <v>TEPECİK BELEDİYE BAŞKANLIĞI AYDIN</v>
      </c>
      <c r="M190" s="18" t="str">
        <f t="shared" si="12"/>
        <v>TEPECİK</v>
      </c>
    </row>
    <row r="191" spans="1:13" x14ac:dyDescent="0.25">
      <c r="A191" t="s">
        <v>1029</v>
      </c>
      <c r="B191" t="s">
        <v>704</v>
      </c>
      <c r="C191" t="s">
        <v>522</v>
      </c>
      <c r="D191">
        <v>10</v>
      </c>
      <c r="E191">
        <v>90001</v>
      </c>
      <c r="F191" t="s">
        <v>1030</v>
      </c>
      <c r="G191">
        <f t="shared" si="13"/>
        <v>26</v>
      </c>
      <c r="H191" s="9">
        <f>IF(ISERROR(VLOOKUP(A191,Excel4!D:J,7,0)),0,VLOOKUP(A191,Excel4!D:J,7,0))</f>
        <v>0</v>
      </c>
      <c r="I191" s="15" t="s">
        <v>1777</v>
      </c>
      <c r="J191" s="15" t="s">
        <v>522</v>
      </c>
      <c r="K191" s="15" t="s">
        <v>42</v>
      </c>
      <c r="L191" s="18" t="str">
        <f t="shared" si="14"/>
        <v>YENİDOĞAN BELEDİYE BAŞKANLIĞI AYDIN</v>
      </c>
      <c r="M191" s="18" t="str">
        <f t="shared" si="12"/>
        <v>YENİDOĞAN</v>
      </c>
    </row>
    <row r="192" spans="1:13" x14ac:dyDescent="0.25">
      <c r="A192" t="s">
        <v>1640</v>
      </c>
      <c r="B192" t="s">
        <v>2555</v>
      </c>
      <c r="C192" t="s">
        <v>286</v>
      </c>
      <c r="D192">
        <v>12</v>
      </c>
      <c r="E192">
        <v>90001</v>
      </c>
      <c r="F192" t="s">
        <v>1641</v>
      </c>
      <c r="G192">
        <f t="shared" si="13"/>
        <v>26</v>
      </c>
      <c r="H192" s="9">
        <f>IF(ISERROR(VLOOKUP(A192,Excel4!D:J,7,0)),0,VLOOKUP(A192,Excel4!D:J,7,0))</f>
        <v>0</v>
      </c>
      <c r="I192" s="15" t="s">
        <v>1777</v>
      </c>
      <c r="J192" s="15" t="s">
        <v>286</v>
      </c>
      <c r="K192" s="15" t="s">
        <v>44</v>
      </c>
      <c r="L192" s="18" t="str">
        <f t="shared" si="14"/>
        <v>AKÇAY BELEDİYE BAŞKANLIĞI BALIKESİR</v>
      </c>
      <c r="M192" s="18" t="str">
        <f t="shared" si="12"/>
        <v>AKÇAY</v>
      </c>
    </row>
    <row r="193" spans="1:14" x14ac:dyDescent="0.25">
      <c r="A193" t="s">
        <v>1031</v>
      </c>
      <c r="B193" t="s">
        <v>704</v>
      </c>
      <c r="C193" t="s">
        <v>157</v>
      </c>
      <c r="D193">
        <v>10</v>
      </c>
      <c r="E193">
        <v>90001</v>
      </c>
      <c r="F193" t="s">
        <v>1032</v>
      </c>
      <c r="G193">
        <f t="shared" si="13"/>
        <v>26</v>
      </c>
      <c r="H193" s="9">
        <f>IF(ISERROR(VLOOKUP(A193,Excel4!D:J,7,0)),0,VLOOKUP(A193,Excel4!D:J,7,0))</f>
        <v>0</v>
      </c>
      <c r="I193" s="15" t="s">
        <v>1777</v>
      </c>
      <c r="J193" s="15" t="s">
        <v>157</v>
      </c>
      <c r="K193" s="15" t="s">
        <v>44</v>
      </c>
      <c r="L193" s="18" t="str">
        <f t="shared" si="14"/>
        <v>ALTINOLUK BELEDİYE BAŞKANLIĞI BALIKESİR</v>
      </c>
      <c r="M193" s="18" t="str">
        <f t="shared" si="12"/>
        <v>ALTINOLUK</v>
      </c>
    </row>
    <row r="194" spans="1:14" x14ac:dyDescent="0.25">
      <c r="A194" t="s">
        <v>1033</v>
      </c>
      <c r="B194" t="s">
        <v>704</v>
      </c>
      <c r="C194" t="s">
        <v>183</v>
      </c>
      <c r="D194">
        <v>10</v>
      </c>
      <c r="E194">
        <v>90001</v>
      </c>
      <c r="F194" t="s">
        <v>1034</v>
      </c>
      <c r="G194">
        <f t="shared" si="13"/>
        <v>26</v>
      </c>
      <c r="H194" s="9">
        <f>IF(ISERROR(VLOOKUP(A194,Excel4!D:J,7,0)),0,VLOOKUP(A194,Excel4!D:J,7,0))</f>
        <v>0</v>
      </c>
      <c r="I194" s="15" t="s">
        <v>1777</v>
      </c>
      <c r="J194" s="15" t="s">
        <v>183</v>
      </c>
      <c r="K194" s="15" t="s">
        <v>44</v>
      </c>
      <c r="L194" s="18" t="str">
        <f t="shared" si="14"/>
        <v>ALTINOVA BELEDİYE BAŞKANLIĞI BALIKESİR</v>
      </c>
      <c r="M194" s="18" t="str">
        <f t="shared" si="12"/>
        <v>ALTINOVA</v>
      </c>
    </row>
    <row r="195" spans="1:14" x14ac:dyDescent="0.25">
      <c r="A195" t="s">
        <v>709</v>
      </c>
      <c r="B195" t="s">
        <v>704</v>
      </c>
      <c r="C195" t="s">
        <v>45</v>
      </c>
      <c r="D195">
        <v>10</v>
      </c>
      <c r="E195">
        <v>90001</v>
      </c>
      <c r="F195" t="s">
        <v>710</v>
      </c>
      <c r="G195">
        <f t="shared" si="13"/>
        <v>26</v>
      </c>
      <c r="H195" s="9">
        <f>IF(ISERROR(VLOOKUP(A195,Excel4!D:J,7,0)),0,VLOOKUP(A195,Excel4!D:J,7,0))</f>
        <v>0</v>
      </c>
      <c r="I195" s="15" t="s">
        <v>1777</v>
      </c>
      <c r="J195" s="15" t="s">
        <v>45</v>
      </c>
      <c r="K195" s="15" t="s">
        <v>44</v>
      </c>
      <c r="L195" s="18" t="str">
        <f t="shared" si="14"/>
        <v>AYVALIK BELEDİYE BAŞKANLIĞI BALIKESİR</v>
      </c>
      <c r="M195" s="18" t="str">
        <f t="shared" si="12"/>
        <v>AYVALIK</v>
      </c>
    </row>
    <row r="196" spans="1:14" x14ac:dyDescent="0.25">
      <c r="A196" t="s">
        <v>1035</v>
      </c>
      <c r="B196" t="s">
        <v>704</v>
      </c>
      <c r="C196" t="s">
        <v>523</v>
      </c>
      <c r="D196">
        <v>10</v>
      </c>
      <c r="E196">
        <v>90001</v>
      </c>
      <c r="F196" t="s">
        <v>1036</v>
      </c>
      <c r="G196">
        <f t="shared" si="13"/>
        <v>26</v>
      </c>
      <c r="H196" s="9">
        <f>IF(ISERROR(VLOOKUP(A196,Excel4!D:J,7,0)),0,VLOOKUP(A196,Excel4!D:J,7,0))</f>
        <v>0</v>
      </c>
      <c r="I196" s="15" t="s">
        <v>1777</v>
      </c>
      <c r="J196" s="15" t="s">
        <v>523</v>
      </c>
      <c r="K196" s="15" t="s">
        <v>44</v>
      </c>
      <c r="L196" s="18" t="str">
        <f t="shared" si="14"/>
        <v>BALYA BELEDİYE BAŞKANLIĞI BALIKESİR</v>
      </c>
      <c r="M196" s="18" t="str">
        <f t="shared" ref="M196:M259" si="15">IF(J196="MERKEZ",K196,IF(J196="BÜYÜKŞEHİR",K196&amp;" BÜYÜKŞEHİR",J196))</f>
        <v>BALYA</v>
      </c>
    </row>
    <row r="197" spans="1:14" x14ac:dyDescent="0.25">
      <c r="A197" t="s">
        <v>1037</v>
      </c>
      <c r="B197" t="s">
        <v>704</v>
      </c>
      <c r="C197" t="s">
        <v>198</v>
      </c>
      <c r="D197">
        <v>10</v>
      </c>
      <c r="E197">
        <v>90001</v>
      </c>
      <c r="F197" t="s">
        <v>1038</v>
      </c>
      <c r="G197">
        <f t="shared" si="13"/>
        <v>26</v>
      </c>
      <c r="H197" s="9">
        <f>IF(ISERROR(VLOOKUP(A197,Excel4!D:J,7,0)),0,VLOOKUP(A197,Excel4!D:J,7,0))</f>
        <v>0</v>
      </c>
      <c r="I197" s="15" t="s">
        <v>1777</v>
      </c>
      <c r="J197" s="15" t="s">
        <v>198</v>
      </c>
      <c r="K197" s="15" t="s">
        <v>44</v>
      </c>
      <c r="L197" s="18" t="str">
        <f t="shared" si="14"/>
        <v>BANDIRMA BELEDİYE BAŞKANLIĞI BALIKESİR</v>
      </c>
      <c r="M197" s="18" t="str">
        <f t="shared" si="15"/>
        <v>BANDIRMA</v>
      </c>
    </row>
    <row r="198" spans="1:14" x14ac:dyDescent="0.25">
      <c r="A198" t="s">
        <v>1039</v>
      </c>
      <c r="B198" t="s">
        <v>2555</v>
      </c>
      <c r="C198" t="s">
        <v>524</v>
      </c>
      <c r="D198">
        <v>12</v>
      </c>
      <c r="E198">
        <v>90001</v>
      </c>
      <c r="F198" t="s">
        <v>1040</v>
      </c>
      <c r="G198">
        <f t="shared" si="13"/>
        <v>26</v>
      </c>
      <c r="H198" s="9">
        <f>IF(ISERROR(VLOOKUP(A198,Excel4!D:J,7,0)),0,VLOOKUP(A198,Excel4!D:J,7,0))</f>
        <v>0</v>
      </c>
      <c r="I198" s="15" t="s">
        <v>1777</v>
      </c>
      <c r="J198" s="15" t="s">
        <v>524</v>
      </c>
      <c r="K198" s="15" t="s">
        <v>44</v>
      </c>
      <c r="L198" s="18" t="str">
        <f t="shared" si="14"/>
        <v>BİGADİÇ BELEDİYE BAŞKANLIĞI BALIKESİR</v>
      </c>
      <c r="M198" s="18" t="str">
        <f t="shared" si="15"/>
        <v>BİGADİÇ</v>
      </c>
    </row>
    <row r="199" spans="1:14" x14ac:dyDescent="0.25">
      <c r="A199" t="s">
        <v>1642</v>
      </c>
      <c r="B199" t="s">
        <v>2555</v>
      </c>
      <c r="C199" t="s">
        <v>46</v>
      </c>
      <c r="D199">
        <v>12</v>
      </c>
      <c r="E199">
        <v>90001</v>
      </c>
      <c r="F199" t="s">
        <v>392</v>
      </c>
      <c r="G199">
        <f t="shared" si="13"/>
        <v>26</v>
      </c>
      <c r="H199" s="9">
        <f>IF(ISERROR(VLOOKUP(A199,Excel4!D:J,7,0)),0,VLOOKUP(A199,Excel4!D:J,7,0))</f>
        <v>0</v>
      </c>
      <c r="I199" s="15" t="s">
        <v>1777</v>
      </c>
      <c r="J199" s="15" t="s">
        <v>46</v>
      </c>
      <c r="K199" s="15" t="s">
        <v>44</v>
      </c>
      <c r="L199" s="18" t="str">
        <f t="shared" si="14"/>
        <v>BURHANİYE BELEDİYE BAŞKANLIĞI BALIKESİR</v>
      </c>
      <c r="M199" s="18" t="str">
        <f t="shared" si="15"/>
        <v>BURHANİYE</v>
      </c>
    </row>
    <row r="200" spans="1:14" x14ac:dyDescent="0.25">
      <c r="A200" t="s">
        <v>2026</v>
      </c>
      <c r="B200" t="s">
        <v>704</v>
      </c>
      <c r="C200" t="s">
        <v>34</v>
      </c>
      <c r="D200">
        <v>10</v>
      </c>
      <c r="E200">
        <v>90001</v>
      </c>
      <c r="F200" t="s">
        <v>1053</v>
      </c>
      <c r="G200">
        <f t="shared" si="13"/>
        <v>26</v>
      </c>
      <c r="H200" s="9">
        <f>IF(ISERROR(VLOOKUP(A200,Excel4!D:J,7,0)),0,VLOOKUP(A200,Excel4!D:J,7,0))</f>
        <v>27867.180000000004</v>
      </c>
      <c r="I200" s="15" t="s">
        <v>1777</v>
      </c>
      <c r="J200" s="15" t="s">
        <v>27</v>
      </c>
      <c r="K200" s="15" t="s">
        <v>44</v>
      </c>
      <c r="L200" s="18" t="str">
        <f t="shared" si="14"/>
        <v>BALIKESİR BÜYÜKŞEHİR BELEDİYE BAŞKANLIĞI</v>
      </c>
      <c r="M200" s="18" t="str">
        <f t="shared" si="15"/>
        <v>BALIKESİR BÜYÜKŞEHİR</v>
      </c>
      <c r="N200">
        <f>_xlfn.XLOOKUP(M200,[1]Sheet1!$A:$A,[1]Sheet1!$G:$G)</f>
        <v>0</v>
      </c>
    </row>
    <row r="201" spans="1:14" x14ac:dyDescent="0.25">
      <c r="A201" t="s">
        <v>1041</v>
      </c>
      <c r="B201" t="s">
        <v>699</v>
      </c>
      <c r="C201" t="s">
        <v>434</v>
      </c>
      <c r="D201">
        <v>15</v>
      </c>
      <c r="E201">
        <v>90001</v>
      </c>
      <c r="F201" t="s">
        <v>1042</v>
      </c>
      <c r="G201">
        <f t="shared" si="13"/>
        <v>26</v>
      </c>
      <c r="H201" s="9">
        <f>IF(ISERROR(VLOOKUP(A201,Excel4!D:J,7,0)),0,VLOOKUP(A201,Excel4!D:J,7,0))</f>
        <v>0</v>
      </c>
      <c r="I201" s="15" t="s">
        <v>1777</v>
      </c>
      <c r="J201" s="15" t="s">
        <v>434</v>
      </c>
      <c r="K201" s="15" t="s">
        <v>44</v>
      </c>
      <c r="L201" s="18" t="str">
        <f t="shared" si="14"/>
        <v>DURSUNBEY BELEDİYE BAŞKANLIĞI BALIKESİR</v>
      </c>
      <c r="M201" s="18" t="str">
        <f t="shared" si="15"/>
        <v>DURSUNBEY</v>
      </c>
    </row>
    <row r="202" spans="1:14" x14ac:dyDescent="0.25">
      <c r="A202" t="s">
        <v>1043</v>
      </c>
      <c r="B202" t="s">
        <v>2555</v>
      </c>
      <c r="C202" t="s">
        <v>47</v>
      </c>
      <c r="D202">
        <v>12</v>
      </c>
      <c r="E202">
        <v>90001</v>
      </c>
      <c r="F202" t="s">
        <v>1044</v>
      </c>
      <c r="G202">
        <f t="shared" si="13"/>
        <v>26</v>
      </c>
      <c r="H202" s="9">
        <f>IF(ISERROR(VLOOKUP(A202,Excel4!D:J,7,0)),0,VLOOKUP(A202,Excel4!D:J,7,0))</f>
        <v>0</v>
      </c>
      <c r="I202" s="15" t="s">
        <v>1777</v>
      </c>
      <c r="J202" s="15" t="s">
        <v>47</v>
      </c>
      <c r="K202" s="15" t="s">
        <v>44</v>
      </c>
      <c r="L202" s="18" t="str">
        <f t="shared" si="14"/>
        <v>EDREMİT BELEDİYE BAŞKANLIĞI BALIKESİR</v>
      </c>
      <c r="M202" s="18" t="str">
        <f t="shared" si="15"/>
        <v>EDREMİT</v>
      </c>
    </row>
    <row r="203" spans="1:14" x14ac:dyDescent="0.25">
      <c r="A203" t="s">
        <v>1643</v>
      </c>
      <c r="B203" t="s">
        <v>2555</v>
      </c>
      <c r="C203" t="s">
        <v>158</v>
      </c>
      <c r="D203">
        <v>12</v>
      </c>
      <c r="E203">
        <v>90001</v>
      </c>
      <c r="F203" t="s">
        <v>393</v>
      </c>
      <c r="G203">
        <f t="shared" si="13"/>
        <v>26</v>
      </c>
      <c r="H203" s="9">
        <f>IF(ISERROR(VLOOKUP(A203,Excel4!D:J,7,0)),0,VLOOKUP(A203,Excel4!D:J,7,0))</f>
        <v>0</v>
      </c>
      <c r="I203" s="15" t="s">
        <v>1777</v>
      </c>
      <c r="J203" s="15" t="s">
        <v>158</v>
      </c>
      <c r="K203" s="15" t="s">
        <v>44</v>
      </c>
      <c r="L203" s="18" t="str">
        <f t="shared" si="14"/>
        <v>ERDEK BELEDİYE BAŞKANLIĞI BALIKESİR</v>
      </c>
      <c r="M203" s="18" t="str">
        <f t="shared" si="15"/>
        <v>ERDEK</v>
      </c>
    </row>
    <row r="204" spans="1:14" x14ac:dyDescent="0.25">
      <c r="A204" t="s">
        <v>1045</v>
      </c>
      <c r="B204" t="s">
        <v>704</v>
      </c>
      <c r="C204" t="s">
        <v>257</v>
      </c>
      <c r="D204">
        <v>10</v>
      </c>
      <c r="E204">
        <v>90001</v>
      </c>
      <c r="F204" t="s">
        <v>1046</v>
      </c>
      <c r="G204">
        <f t="shared" si="13"/>
        <v>26</v>
      </c>
      <c r="H204" s="9">
        <f>IF(ISERROR(VLOOKUP(A204,Excel4!D:J,7,0)),0,VLOOKUP(A204,Excel4!D:J,7,0))</f>
        <v>0</v>
      </c>
      <c r="I204" s="15" t="s">
        <v>1777</v>
      </c>
      <c r="J204" s="15" t="s">
        <v>257</v>
      </c>
      <c r="K204" s="15" t="s">
        <v>44</v>
      </c>
      <c r="L204" s="18" t="str">
        <f t="shared" si="14"/>
        <v>GÖNEN BELEDİYE BAŞKANLIĞI BALIKESİR</v>
      </c>
      <c r="M204" s="18" t="str">
        <f t="shared" si="15"/>
        <v>GÖNEN</v>
      </c>
    </row>
    <row r="205" spans="1:14" x14ac:dyDescent="0.25">
      <c r="A205" t="s">
        <v>1644</v>
      </c>
      <c r="B205" t="s">
        <v>2555</v>
      </c>
      <c r="C205" t="s">
        <v>70</v>
      </c>
      <c r="D205">
        <v>12</v>
      </c>
      <c r="E205">
        <v>90001</v>
      </c>
      <c r="F205" t="s">
        <v>1645</v>
      </c>
      <c r="G205">
        <f t="shared" si="13"/>
        <v>26</v>
      </c>
      <c r="H205" s="9">
        <f>IF(ISERROR(VLOOKUP(A205,Excel4!D:J,7,0)),0,VLOOKUP(A205,Excel4!D:J,7,0))</f>
        <v>0</v>
      </c>
      <c r="I205" s="15" t="s">
        <v>1777</v>
      </c>
      <c r="J205" s="15" t="s">
        <v>70</v>
      </c>
      <c r="K205" s="15" t="s">
        <v>44</v>
      </c>
      <c r="L205" s="18" t="str">
        <f t="shared" si="14"/>
        <v>GÜRE BELEDİYE BAŞKANLIĞI BALIKESİR</v>
      </c>
      <c r="M205" s="18" t="str">
        <f t="shared" si="15"/>
        <v>GÜRE</v>
      </c>
    </row>
    <row r="206" spans="1:14" x14ac:dyDescent="0.25">
      <c r="A206" t="s">
        <v>1047</v>
      </c>
      <c r="B206" t="s">
        <v>704</v>
      </c>
      <c r="C206" t="s">
        <v>525</v>
      </c>
      <c r="D206">
        <v>10</v>
      </c>
      <c r="E206">
        <v>90001</v>
      </c>
      <c r="F206" t="s">
        <v>1048</v>
      </c>
      <c r="G206">
        <f t="shared" si="13"/>
        <v>26</v>
      </c>
      <c r="H206" s="9">
        <f>IF(ISERROR(VLOOKUP(A206,Excel4!D:J,7,0)),0,VLOOKUP(A206,Excel4!D:J,7,0))</f>
        <v>0</v>
      </c>
      <c r="I206" s="15" t="s">
        <v>1777</v>
      </c>
      <c r="J206" s="15" t="s">
        <v>525</v>
      </c>
      <c r="K206" s="15" t="s">
        <v>44</v>
      </c>
      <c r="L206" s="18" t="str">
        <f t="shared" si="14"/>
        <v>HAVRAN BELEDİYE BAŞKANLIĞI BALIKESİR</v>
      </c>
      <c r="M206" s="18" t="str">
        <f t="shared" si="15"/>
        <v>HAVRAN</v>
      </c>
    </row>
    <row r="207" spans="1:14" x14ac:dyDescent="0.25">
      <c r="A207" t="s">
        <v>1049</v>
      </c>
      <c r="C207" t="s">
        <v>355</v>
      </c>
      <c r="D207">
        <v>10</v>
      </c>
      <c r="E207">
        <v>90001</v>
      </c>
      <c r="F207" t="s">
        <v>1050</v>
      </c>
      <c r="G207">
        <f t="shared" si="13"/>
        <v>26</v>
      </c>
      <c r="H207" s="9">
        <f>IF(ISERROR(VLOOKUP(A207,Excel4!D:J,7,0)),0,VLOOKUP(A207,Excel4!D:J,7,0))</f>
        <v>0</v>
      </c>
      <c r="I207" s="15" t="s">
        <v>1777</v>
      </c>
      <c r="J207" s="15" t="s">
        <v>355</v>
      </c>
      <c r="K207" s="15" t="s">
        <v>44</v>
      </c>
      <c r="L207" s="18" t="str">
        <f t="shared" si="14"/>
        <v>KEPSUT BELEDİYE BAŞKANLIĞI BALIKESİR</v>
      </c>
      <c r="M207" s="18" t="str">
        <f t="shared" si="15"/>
        <v>KEPSUT</v>
      </c>
    </row>
    <row r="208" spans="1:14" x14ac:dyDescent="0.25">
      <c r="A208" t="s">
        <v>1051</v>
      </c>
      <c r="B208" t="s">
        <v>940</v>
      </c>
      <c r="C208" t="s">
        <v>111</v>
      </c>
      <c r="D208">
        <v>46</v>
      </c>
      <c r="E208">
        <v>90001</v>
      </c>
      <c r="F208" t="s">
        <v>1052</v>
      </c>
      <c r="G208">
        <f t="shared" si="13"/>
        <v>26</v>
      </c>
      <c r="H208" s="9">
        <f>IF(ISERROR(VLOOKUP(A208,Excel4!D:J,7,0)),0,VLOOKUP(A208,Excel4!D:J,7,0))</f>
        <v>0</v>
      </c>
      <c r="I208" s="15" t="s">
        <v>1777</v>
      </c>
      <c r="J208" s="15" t="s">
        <v>111</v>
      </c>
      <c r="K208" s="15" t="s">
        <v>44</v>
      </c>
      <c r="L208" s="18" t="str">
        <f t="shared" si="14"/>
        <v>KÜÇÜKKÖY BELEDİYE BAŞKANLIĞI BALIKESİR</v>
      </c>
      <c r="M208" s="18" t="str">
        <f t="shared" si="15"/>
        <v>KÜÇÜKKÖY</v>
      </c>
    </row>
    <row r="209" spans="1:14" x14ac:dyDescent="0.25">
      <c r="A209" t="s">
        <v>1054</v>
      </c>
      <c r="B209" t="s">
        <v>704</v>
      </c>
      <c r="C209" t="s">
        <v>526</v>
      </c>
      <c r="D209">
        <v>10</v>
      </c>
      <c r="E209">
        <v>90001</v>
      </c>
      <c r="F209" t="s">
        <v>1055</v>
      </c>
      <c r="G209">
        <f t="shared" si="13"/>
        <v>26</v>
      </c>
      <c r="H209" s="9">
        <f>IF(ISERROR(VLOOKUP(A209,Excel4!D:J,7,0)),0,VLOOKUP(A209,Excel4!D:J,7,0))</f>
        <v>0</v>
      </c>
      <c r="I209" s="15" t="s">
        <v>1777</v>
      </c>
      <c r="J209" s="15" t="s">
        <v>526</v>
      </c>
      <c r="K209" s="15" t="s">
        <v>44</v>
      </c>
      <c r="L209" s="18" t="str">
        <f t="shared" si="14"/>
        <v>OCAKLAR BELEDİYE BAŞKANLIĞI BALIKESİR</v>
      </c>
      <c r="M209" s="18" t="str">
        <f t="shared" si="15"/>
        <v>OCAKLAR</v>
      </c>
    </row>
    <row r="210" spans="1:14" x14ac:dyDescent="0.25">
      <c r="A210" t="s">
        <v>1056</v>
      </c>
      <c r="B210" t="s">
        <v>704</v>
      </c>
      <c r="C210" t="s">
        <v>356</v>
      </c>
      <c r="D210">
        <v>10</v>
      </c>
      <c r="E210">
        <v>90001</v>
      </c>
      <c r="F210" t="s">
        <v>1057</v>
      </c>
      <c r="G210">
        <f t="shared" si="13"/>
        <v>26</v>
      </c>
      <c r="H210" s="9">
        <f>IF(ISERROR(VLOOKUP(A210,Excel4!D:J,7,0)),0,VLOOKUP(A210,Excel4!D:J,7,0))</f>
        <v>0</v>
      </c>
      <c r="I210" s="15" t="s">
        <v>1777</v>
      </c>
      <c r="J210" s="15" t="s">
        <v>356</v>
      </c>
      <c r="K210" s="15" t="s">
        <v>44</v>
      </c>
      <c r="L210" s="18" t="str">
        <f t="shared" si="14"/>
        <v>SINDIRGI BELEDİYE BAŞKANLIĞI BALIKESİR</v>
      </c>
      <c r="M210" s="18" t="str">
        <f t="shared" si="15"/>
        <v>SINDIRGI</v>
      </c>
    </row>
    <row r="211" spans="1:14" x14ac:dyDescent="0.25">
      <c r="A211" t="s">
        <v>1646</v>
      </c>
      <c r="B211" t="s">
        <v>2555</v>
      </c>
      <c r="C211" t="s">
        <v>357</v>
      </c>
      <c r="D211">
        <v>12</v>
      </c>
      <c r="E211">
        <v>90001</v>
      </c>
      <c r="F211" t="s">
        <v>1647</v>
      </c>
      <c r="G211">
        <f t="shared" si="13"/>
        <v>26</v>
      </c>
      <c r="H211" s="9">
        <f>IF(ISERROR(VLOOKUP(A211,Excel4!D:J,7,0)),0,VLOOKUP(A211,Excel4!D:J,7,0))</f>
        <v>0</v>
      </c>
      <c r="I211" s="15" t="s">
        <v>1777</v>
      </c>
      <c r="J211" s="15" t="s">
        <v>357</v>
      </c>
      <c r="K211" s="15" t="s">
        <v>44</v>
      </c>
      <c r="L211" s="18" t="str">
        <f t="shared" si="14"/>
        <v>SUSURLUK BELEDİYE BAŞKANLIĞI BALIKESİR</v>
      </c>
      <c r="M211" s="18" t="str">
        <f t="shared" si="15"/>
        <v>SUSURLUK</v>
      </c>
    </row>
    <row r="212" spans="1:14" x14ac:dyDescent="0.25">
      <c r="A212" t="s">
        <v>1648</v>
      </c>
      <c r="B212" t="s">
        <v>2555</v>
      </c>
      <c r="C212" t="s">
        <v>315</v>
      </c>
      <c r="D212">
        <v>12</v>
      </c>
      <c r="E212">
        <v>90001</v>
      </c>
      <c r="F212" t="s">
        <v>1649</v>
      </c>
      <c r="G212">
        <f t="shared" ref="G212:G275" si="16">LEN(F212)</f>
        <v>26</v>
      </c>
      <c r="H212" s="9">
        <f>IF(ISERROR(VLOOKUP(A212,Excel4!D:J,7,0)),0,VLOOKUP(A212,Excel4!D:J,7,0))</f>
        <v>0</v>
      </c>
      <c r="I212" s="15" t="s">
        <v>1777</v>
      </c>
      <c r="J212" s="15" t="s">
        <v>315</v>
      </c>
      <c r="K212" s="15" t="s">
        <v>44</v>
      </c>
      <c r="L212" s="18" t="str">
        <f t="shared" si="14"/>
        <v>ZEYTİNLİ BELEDİYE BAŞKANLIĞI BALIKESİR</v>
      </c>
      <c r="M212" s="18" t="str">
        <f t="shared" si="15"/>
        <v>ZEYTİNLİ</v>
      </c>
    </row>
    <row r="213" spans="1:14" x14ac:dyDescent="0.25">
      <c r="A213" t="s">
        <v>1792</v>
      </c>
      <c r="B213" t="s">
        <v>704</v>
      </c>
      <c r="C213" t="s">
        <v>1816</v>
      </c>
      <c r="D213">
        <v>10</v>
      </c>
      <c r="E213">
        <v>90001</v>
      </c>
      <c r="F213" t="s">
        <v>1823</v>
      </c>
      <c r="G213">
        <f t="shared" si="16"/>
        <v>26</v>
      </c>
      <c r="H213" s="9">
        <f>IF(ISERROR(VLOOKUP(A213,Excel4!D:J,7,0)),0,VLOOKUP(A213,Excel4!D:J,7,0))</f>
        <v>0</v>
      </c>
      <c r="I213" s="15" t="s">
        <v>1777</v>
      </c>
      <c r="J213" s="15" t="s">
        <v>1782</v>
      </c>
      <c r="K213" s="15" t="s">
        <v>67</v>
      </c>
      <c r="L213" s="18" t="str">
        <f t="shared" si="14"/>
        <v>ABDİPAŞA BELEDİYE BAŞKANLIĞI BARTIN</v>
      </c>
      <c r="M213" s="18" t="str">
        <f t="shared" si="15"/>
        <v>ABDİPAŞA</v>
      </c>
    </row>
    <row r="214" spans="1:14" x14ac:dyDescent="0.25">
      <c r="A214" t="s">
        <v>2440</v>
      </c>
      <c r="B214" t="s">
        <v>699</v>
      </c>
      <c r="C214" t="s">
        <v>2315</v>
      </c>
      <c r="D214">
        <v>15</v>
      </c>
      <c r="E214">
        <v>90001</v>
      </c>
      <c r="F214" t="s">
        <v>2441</v>
      </c>
      <c r="G214">
        <f t="shared" si="16"/>
        <v>26</v>
      </c>
      <c r="H214" s="9">
        <f>IF(ISERROR(VLOOKUP(A214,Excel4!D:J,7,0)),0,VLOOKUP(A214,Excel4!D:J,7,0))</f>
        <v>9.32</v>
      </c>
      <c r="I214" s="15" t="s">
        <v>1777</v>
      </c>
      <c r="J214" s="15" t="s">
        <v>2315</v>
      </c>
      <c r="K214" s="15" t="s">
        <v>67</v>
      </c>
      <c r="L214" s="18" t="str">
        <f t="shared" si="14"/>
        <v>AMASRA BELEDİYE BAŞKANLIĞI BARTIN</v>
      </c>
      <c r="M214" s="18" t="str">
        <f t="shared" si="15"/>
        <v>AMASRA</v>
      </c>
      <c r="N214">
        <f>_xlfn.XLOOKUP(M214,[1]Sheet1!$A:$A,[1]Sheet1!$G:$G)</f>
        <v>0</v>
      </c>
    </row>
    <row r="215" spans="1:14" x14ac:dyDescent="0.25">
      <c r="A215" t="s">
        <v>2789</v>
      </c>
      <c r="B215" t="s">
        <v>2555</v>
      </c>
      <c r="C215" t="s">
        <v>34</v>
      </c>
      <c r="D215">
        <v>12</v>
      </c>
      <c r="E215">
        <v>90001</v>
      </c>
      <c r="F215" t="s">
        <v>2792</v>
      </c>
      <c r="G215">
        <f t="shared" si="16"/>
        <v>26</v>
      </c>
      <c r="H215" s="9">
        <f>IF(ISERROR(VLOOKUP(A215,Excel4!D:J,7,0)),0,VLOOKUP(A215,Excel4!D:J,7,0))</f>
        <v>0</v>
      </c>
      <c r="I215" s="15" t="s">
        <v>1777</v>
      </c>
      <c r="J215" s="20" t="s">
        <v>2746</v>
      </c>
      <c r="K215" s="15" t="s">
        <v>67</v>
      </c>
      <c r="L215" s="18" t="str">
        <f t="shared" si="14"/>
        <v>HASANKADI BELEDİYE BAŞKANLIĞI BARTIN</v>
      </c>
      <c r="M215" s="18" t="str">
        <f t="shared" si="15"/>
        <v>HASANKADI</v>
      </c>
    </row>
    <row r="216" spans="1:14" x14ac:dyDescent="0.25">
      <c r="A216" t="s">
        <v>1926</v>
      </c>
      <c r="B216" t="s">
        <v>704</v>
      </c>
      <c r="C216" t="s">
        <v>1858</v>
      </c>
      <c r="D216">
        <v>10</v>
      </c>
      <c r="E216">
        <v>90001</v>
      </c>
      <c r="F216" t="s">
        <v>1977</v>
      </c>
      <c r="G216">
        <f t="shared" si="16"/>
        <v>26</v>
      </c>
      <c r="H216" s="9">
        <f>IF(ISERROR(VLOOKUP(A216,Excel4!D:J,7,0)),0,VLOOKUP(A216,Excel4!D:J,7,0))</f>
        <v>0</v>
      </c>
      <c r="I216" s="15" t="s">
        <v>1777</v>
      </c>
      <c r="J216" s="15" t="s">
        <v>1858</v>
      </c>
      <c r="K216" s="15" t="s">
        <v>67</v>
      </c>
      <c r="L216" s="18" t="str">
        <f t="shared" si="14"/>
        <v>KOZCAĞIZ BELEDİYE BAŞKANLIĞI BARTIN</v>
      </c>
      <c r="M216" s="18" t="str">
        <f t="shared" si="15"/>
        <v>KOZCAĞIZ</v>
      </c>
    </row>
    <row r="217" spans="1:14" x14ac:dyDescent="0.25">
      <c r="A217" t="s">
        <v>1058</v>
      </c>
      <c r="B217" t="s">
        <v>704</v>
      </c>
      <c r="C217" t="s">
        <v>215</v>
      </c>
      <c r="D217">
        <v>10</v>
      </c>
      <c r="E217">
        <v>90001</v>
      </c>
      <c r="F217" t="s">
        <v>1059</v>
      </c>
      <c r="G217">
        <f t="shared" si="16"/>
        <v>26</v>
      </c>
      <c r="H217" s="9">
        <f>IF(ISERROR(VLOOKUP(A217,Excel4!D:J,7,0)),0,VLOOKUP(A217,Excel4!D:J,7,0))</f>
        <v>0</v>
      </c>
      <c r="I217" s="15" t="s">
        <v>1777</v>
      </c>
      <c r="J217" s="15" t="s">
        <v>215</v>
      </c>
      <c r="K217" s="15" t="s">
        <v>67</v>
      </c>
      <c r="L217" s="18" t="str">
        <f t="shared" si="14"/>
        <v>KUMLUCA BELEDİYE BAŞKANLIĞI BARTIN</v>
      </c>
      <c r="M217" s="18" t="str">
        <f t="shared" si="15"/>
        <v>KUMLUCA</v>
      </c>
    </row>
    <row r="218" spans="1:14" x14ac:dyDescent="0.25">
      <c r="A218" t="s">
        <v>2328</v>
      </c>
      <c r="B218" s="19" t="s">
        <v>704</v>
      </c>
      <c r="C218" s="19" t="s">
        <v>2317</v>
      </c>
      <c r="D218">
        <v>10</v>
      </c>
      <c r="E218">
        <v>90001</v>
      </c>
      <c r="F218" t="s">
        <v>2368</v>
      </c>
      <c r="G218">
        <f t="shared" si="16"/>
        <v>26</v>
      </c>
      <c r="H218" s="9">
        <f>IF(ISERROR(VLOOKUP(A218,Excel4!D:J,7,0)),0,VLOOKUP(A218,Excel4!D:J,7,0))</f>
        <v>11.870000000000001</v>
      </c>
      <c r="I218" s="15" t="s">
        <v>1777</v>
      </c>
      <c r="J218" s="20" t="s">
        <v>2317</v>
      </c>
      <c r="K218" s="15" t="s">
        <v>67</v>
      </c>
      <c r="L218" s="18" t="str">
        <f t="shared" si="14"/>
        <v>KURUCAŞİLE BELEDİYE BAŞKANLIĞI BARTIN</v>
      </c>
      <c r="M218" s="18" t="str">
        <f t="shared" si="15"/>
        <v>KURUCAŞİLE</v>
      </c>
      <c r="N218">
        <f>_xlfn.XLOOKUP(M218,[1]Sheet1!$A:$A,[1]Sheet1!$G:$G)</f>
        <v>0</v>
      </c>
    </row>
    <row r="219" spans="1:14" x14ac:dyDescent="0.25">
      <c r="A219" t="s">
        <v>1060</v>
      </c>
      <c r="B219" t="s">
        <v>704</v>
      </c>
      <c r="C219" t="s">
        <v>34</v>
      </c>
      <c r="D219">
        <v>10</v>
      </c>
      <c r="E219">
        <v>90001</v>
      </c>
      <c r="F219" t="s">
        <v>1061</v>
      </c>
      <c r="G219">
        <f t="shared" si="16"/>
        <v>26</v>
      </c>
      <c r="H219" s="9">
        <f>IF(ISERROR(VLOOKUP(A219,Excel4!D:J,7,0)),0,VLOOKUP(A219,Excel4!D:J,7,0))</f>
        <v>461.18999999999994</v>
      </c>
      <c r="I219" s="15" t="s">
        <v>1777</v>
      </c>
      <c r="J219" s="15" t="s">
        <v>34</v>
      </c>
      <c r="K219" s="15" t="s">
        <v>67</v>
      </c>
      <c r="L219" s="18" t="str">
        <f t="shared" si="14"/>
        <v>BARTIN BELEDİYE BAŞKANLIĞI</v>
      </c>
      <c r="M219" s="18" t="str">
        <f t="shared" si="15"/>
        <v>BARTIN</v>
      </c>
      <c r="N219" t="e">
        <f>_xlfn.XLOOKUP(M219,[1]Sheet1!$C:$C,[1]Sheet1!$G:$G)</f>
        <v>#N/A</v>
      </c>
    </row>
    <row r="220" spans="1:14" x14ac:dyDescent="0.25">
      <c r="A220" t="s">
        <v>2438</v>
      </c>
      <c r="B220" t="s">
        <v>704</v>
      </c>
      <c r="C220" t="s">
        <v>1816</v>
      </c>
      <c r="D220">
        <v>10</v>
      </c>
      <c r="E220">
        <v>90001</v>
      </c>
      <c r="F220" t="s">
        <v>2439</v>
      </c>
      <c r="G220">
        <f t="shared" si="16"/>
        <v>26</v>
      </c>
      <c r="H220" s="9">
        <f>IF(ISERROR(VLOOKUP(A220,Excel4!D:J,7,0)),0,VLOOKUP(A220,Excel4!D:J,7,0))</f>
        <v>869.37999999999988</v>
      </c>
      <c r="I220" s="15" t="s">
        <v>1777</v>
      </c>
      <c r="J220" s="15" t="s">
        <v>1816</v>
      </c>
      <c r="K220" s="15" t="s">
        <v>67</v>
      </c>
      <c r="L220" s="18" t="str">
        <f t="shared" si="14"/>
        <v>ULUS BELEDİYE BAŞKANLIĞI BARTIN</v>
      </c>
      <c r="M220" s="18" t="str">
        <f t="shared" si="15"/>
        <v>ULUS</v>
      </c>
      <c r="N220">
        <f>_xlfn.XLOOKUP(M220,[1]Sheet1!$A:$A,[1]Sheet1!$G:$G)</f>
        <v>0</v>
      </c>
    </row>
    <row r="221" spans="1:14" x14ac:dyDescent="0.25">
      <c r="A221" t="s">
        <v>2006</v>
      </c>
      <c r="B221" t="s">
        <v>2555</v>
      </c>
      <c r="C221" t="s">
        <v>49</v>
      </c>
      <c r="D221">
        <v>12</v>
      </c>
      <c r="E221">
        <v>90001</v>
      </c>
      <c r="F221" t="s">
        <v>2042</v>
      </c>
      <c r="G221">
        <f t="shared" si="16"/>
        <v>26</v>
      </c>
      <c r="H221" s="9">
        <f>IF(ISERROR(VLOOKUP(A221,Excel4!D:J,7,0)),0,VLOOKUP(A221,Excel4!D:J,7,0))</f>
        <v>0</v>
      </c>
      <c r="I221" s="15" t="s">
        <v>1777</v>
      </c>
      <c r="J221" s="15" t="s">
        <v>1995</v>
      </c>
      <c r="K221" s="15" t="s">
        <v>49</v>
      </c>
      <c r="L221" s="18" t="str">
        <f t="shared" si="14"/>
        <v>BALPINAR BELEDİYE BAŞKANLIĞI BATMAN</v>
      </c>
      <c r="M221" s="18" t="str">
        <f t="shared" si="15"/>
        <v>BALPINAR</v>
      </c>
    </row>
    <row r="222" spans="1:14" x14ac:dyDescent="0.25">
      <c r="A222" t="s">
        <v>2739</v>
      </c>
      <c r="G222">
        <f t="shared" si="16"/>
        <v>0</v>
      </c>
      <c r="H222" s="9">
        <f>IF(ISERROR(VLOOKUP(A222,Excel4!D:J,7,0)),0,VLOOKUP(A222,Excel4!D:J,7,0))</f>
        <v>0</v>
      </c>
      <c r="I222" s="15" t="s">
        <v>1777</v>
      </c>
      <c r="J222" s="20" t="s">
        <v>2737</v>
      </c>
      <c r="K222" s="15" t="s">
        <v>49</v>
      </c>
      <c r="L222" s="18" t="str">
        <f t="shared" si="14"/>
        <v>BEKİRHAN BELEDİYE BAŞKANLIĞI BATMAN</v>
      </c>
      <c r="M222" s="18" t="str">
        <f t="shared" si="15"/>
        <v>BEKİRHAN</v>
      </c>
    </row>
    <row r="223" spans="1:14" x14ac:dyDescent="0.25">
      <c r="A223" t="s">
        <v>711</v>
      </c>
      <c r="B223" t="s">
        <v>704</v>
      </c>
      <c r="C223" t="s">
        <v>527</v>
      </c>
      <c r="D223">
        <v>10</v>
      </c>
      <c r="E223">
        <v>90001</v>
      </c>
      <c r="F223" t="s">
        <v>2579</v>
      </c>
      <c r="G223">
        <f t="shared" si="16"/>
        <v>26</v>
      </c>
      <c r="H223" s="9">
        <f>IF(ISERROR(VLOOKUP(A223,Excel4!D:J,7,0)),0,VLOOKUP(A223,Excel4!D:J,7,0))</f>
        <v>1239.3599999999999</v>
      </c>
      <c r="I223" s="15" t="s">
        <v>1777</v>
      </c>
      <c r="J223" s="15" t="s">
        <v>527</v>
      </c>
      <c r="K223" s="15" t="s">
        <v>49</v>
      </c>
      <c r="L223" s="18" t="str">
        <f t="shared" si="14"/>
        <v>BEŞİRİ BELEDİYE BAŞKANLIĞI BATMAN</v>
      </c>
      <c r="M223" s="18" t="str">
        <f t="shared" si="15"/>
        <v>BEŞİRİ</v>
      </c>
      <c r="N223">
        <f>_xlfn.XLOOKUP(M223,[1]Sheet1!$A:$A,[1]Sheet1!$G:$G)</f>
        <v>0</v>
      </c>
    </row>
    <row r="224" spans="1:14" x14ac:dyDescent="0.25">
      <c r="A224" s="19" t="s">
        <v>2267</v>
      </c>
      <c r="B224" s="26" t="s">
        <v>704</v>
      </c>
      <c r="C224" s="26" t="s">
        <v>2243</v>
      </c>
      <c r="D224" s="26">
        <v>10</v>
      </c>
      <c r="E224" s="26">
        <v>90001</v>
      </c>
      <c r="F224" s="81" t="s">
        <v>3872</v>
      </c>
      <c r="G224">
        <f t="shared" si="16"/>
        <v>26</v>
      </c>
      <c r="H224" s="9">
        <f>IF(ISERROR(VLOOKUP(A224,Excel4!D:J,7,0)),0,VLOOKUP(A224,Excel4!D:J,7,0))</f>
        <v>96.39</v>
      </c>
      <c r="I224" s="15" t="s">
        <v>1777</v>
      </c>
      <c r="J224" s="20" t="s">
        <v>2243</v>
      </c>
      <c r="K224" s="15" t="s">
        <v>49</v>
      </c>
      <c r="L224" s="18" t="str">
        <f t="shared" si="14"/>
        <v>GERCÜŞ BELEDİYE BAŞKANLIĞI BATMAN</v>
      </c>
      <c r="M224" s="18" t="str">
        <f t="shared" si="15"/>
        <v>GERCÜŞ</v>
      </c>
    </row>
    <row r="225" spans="1:14" x14ac:dyDescent="0.25">
      <c r="A225" t="s">
        <v>2532</v>
      </c>
      <c r="B225" t="s">
        <v>704</v>
      </c>
      <c r="C225" t="s">
        <v>49</v>
      </c>
      <c r="D225">
        <v>10</v>
      </c>
      <c r="E225">
        <v>90001</v>
      </c>
      <c r="F225" t="s">
        <v>2554</v>
      </c>
      <c r="G225">
        <f t="shared" si="16"/>
        <v>26</v>
      </c>
      <c r="H225" s="9">
        <f>IF(ISERROR(VLOOKUP(A225,Excel4!D:J,7,0)),0,VLOOKUP(A225,Excel4!D:J,7,0))</f>
        <v>0</v>
      </c>
      <c r="I225" s="15" t="s">
        <v>1777</v>
      </c>
      <c r="J225" s="20" t="s">
        <v>2522</v>
      </c>
      <c r="K225" s="15" t="s">
        <v>49</v>
      </c>
      <c r="L225" s="18" t="str">
        <f t="shared" si="14"/>
        <v>HASANKEYF BELEDİYE BAŞKANLIĞI BATMAN</v>
      </c>
      <c r="M225" s="18" t="str">
        <f t="shared" si="15"/>
        <v>HASANKEYF</v>
      </c>
    </row>
    <row r="226" spans="1:14" x14ac:dyDescent="0.25">
      <c r="A226" t="s">
        <v>1062</v>
      </c>
      <c r="B226" t="s">
        <v>2555</v>
      </c>
      <c r="C226" t="s">
        <v>528</v>
      </c>
      <c r="D226">
        <v>12</v>
      </c>
      <c r="E226">
        <v>90001</v>
      </c>
      <c r="F226" t="s">
        <v>1063</v>
      </c>
      <c r="G226">
        <f t="shared" si="16"/>
        <v>26</v>
      </c>
      <c r="H226" s="9">
        <f>IF(ISERROR(VLOOKUP(A226,Excel4!D:J,7,0)),0,VLOOKUP(A226,Excel4!D:J,7,0))</f>
        <v>0</v>
      </c>
      <c r="I226" s="15" t="s">
        <v>1777</v>
      </c>
      <c r="J226" s="15" t="s">
        <v>528</v>
      </c>
      <c r="K226" s="15" t="s">
        <v>49</v>
      </c>
      <c r="L226" s="18" t="str">
        <f t="shared" si="14"/>
        <v>KOZLUK BELEDİYE BAŞKANLIĞI BATMAN</v>
      </c>
      <c r="M226" s="18" t="str">
        <f t="shared" si="15"/>
        <v>KOZLUK</v>
      </c>
    </row>
    <row r="227" spans="1:14" x14ac:dyDescent="0.25">
      <c r="A227" t="s">
        <v>1064</v>
      </c>
      <c r="B227" t="s">
        <v>2555</v>
      </c>
      <c r="C227" t="s">
        <v>34</v>
      </c>
      <c r="D227">
        <v>12</v>
      </c>
      <c r="E227">
        <v>90001</v>
      </c>
      <c r="F227" t="s">
        <v>1065</v>
      </c>
      <c r="G227">
        <f t="shared" si="16"/>
        <v>26</v>
      </c>
      <c r="H227" s="9">
        <f>IF(ISERROR(VLOOKUP(A227,Excel4!D:J,7,0)),0,VLOOKUP(A227,Excel4!D:J,7,0))</f>
        <v>1203.96</v>
      </c>
      <c r="I227" s="15" t="s">
        <v>1777</v>
      </c>
      <c r="J227" s="15" t="s">
        <v>34</v>
      </c>
      <c r="K227" s="15" t="s">
        <v>49</v>
      </c>
      <c r="L227" s="18" t="str">
        <f t="shared" si="14"/>
        <v>BATMAN BELEDİYE BAŞKANLIĞI</v>
      </c>
      <c r="M227" s="18" t="str">
        <f t="shared" si="15"/>
        <v>BATMAN</v>
      </c>
      <c r="N227" t="e">
        <f>_xlfn.XLOOKUP(M227,[1]Sheet1!$C:$C,[1]Sheet1!$G:$G)</f>
        <v>#N/A</v>
      </c>
    </row>
    <row r="228" spans="1:14" x14ac:dyDescent="0.25">
      <c r="A228" t="s">
        <v>2066</v>
      </c>
      <c r="B228" t="s">
        <v>704</v>
      </c>
      <c r="C228" t="s">
        <v>2051</v>
      </c>
      <c r="D228">
        <v>10</v>
      </c>
      <c r="E228">
        <v>90001</v>
      </c>
      <c r="F228" t="s">
        <v>2105</v>
      </c>
      <c r="G228">
        <f t="shared" si="16"/>
        <v>26</v>
      </c>
      <c r="H228" s="9">
        <f>IF(ISERROR(VLOOKUP(A228,Excel4!D:J,7,0)),0,VLOOKUP(A228,Excel4!D:J,7,0))</f>
        <v>0</v>
      </c>
      <c r="I228" s="15" t="s">
        <v>1777</v>
      </c>
      <c r="J228" s="15" t="s">
        <v>2051</v>
      </c>
      <c r="K228" s="15" t="s">
        <v>49</v>
      </c>
      <c r="L228" s="18" t="str">
        <f t="shared" ref="L228:L291" si="17">IF(J228="MERKEZ",K228&amp;" "&amp;I228,IF(J228="BÜYÜKŞEHİR",K228&amp;" "&amp;J228&amp;" "&amp;I228,J228&amp;" "&amp;I228&amp;" "&amp;K228))</f>
        <v>SASON BELEDİYE BAŞKANLIĞI BATMAN</v>
      </c>
      <c r="M228" s="18" t="str">
        <f t="shared" si="15"/>
        <v>SASON</v>
      </c>
    </row>
    <row r="229" spans="1:14" x14ac:dyDescent="0.25">
      <c r="A229" t="s">
        <v>3883</v>
      </c>
      <c r="B229" t="s">
        <v>704</v>
      </c>
      <c r="C229" t="s">
        <v>3599</v>
      </c>
      <c r="D229">
        <v>10</v>
      </c>
      <c r="E229">
        <v>90001</v>
      </c>
      <c r="F229" t="s">
        <v>3885</v>
      </c>
      <c r="G229">
        <f t="shared" si="16"/>
        <v>26</v>
      </c>
      <c r="H229" s="9">
        <f>IF(ISERROR(VLOOKUP(A229,Excel4!D:J,7,0)),0,VLOOKUP(A229,Excel4!D:J,7,0))</f>
        <v>0</v>
      </c>
      <c r="I229" s="15" t="s">
        <v>1777</v>
      </c>
      <c r="J229" s="15" t="s">
        <v>3599</v>
      </c>
      <c r="K229" s="15" t="s">
        <v>529</v>
      </c>
      <c r="L229" s="18" t="str">
        <f t="shared" si="17"/>
        <v>DEMİRÖZÜ BELEDİYE BAŞKANLIĞI BAYBURT</v>
      </c>
      <c r="M229" s="18" t="str">
        <f t="shared" si="15"/>
        <v>DEMİRÖZÜ</v>
      </c>
    </row>
    <row r="230" spans="1:14" x14ac:dyDescent="0.25">
      <c r="A230" t="s">
        <v>712</v>
      </c>
      <c r="B230" t="s">
        <v>699</v>
      </c>
      <c r="C230" t="s">
        <v>529</v>
      </c>
      <c r="D230">
        <v>15</v>
      </c>
      <c r="E230">
        <v>90001</v>
      </c>
      <c r="F230" t="s">
        <v>713</v>
      </c>
      <c r="G230">
        <f t="shared" si="16"/>
        <v>26</v>
      </c>
      <c r="H230" s="9">
        <f>IF(ISERROR(VLOOKUP(A230,Excel4!D:J,7,0)),0,VLOOKUP(A230,Excel4!D:J,7,0))</f>
        <v>11</v>
      </c>
      <c r="I230" s="15" t="s">
        <v>1777</v>
      </c>
      <c r="J230" s="15" t="s">
        <v>34</v>
      </c>
      <c r="K230" s="15" t="s">
        <v>529</v>
      </c>
      <c r="L230" s="18" t="str">
        <f t="shared" si="17"/>
        <v>BAYBURT BELEDİYE BAŞKANLIĞI</v>
      </c>
      <c r="M230" s="18" t="str">
        <f t="shared" si="15"/>
        <v>BAYBURT</v>
      </c>
    </row>
    <row r="231" spans="1:14" x14ac:dyDescent="0.25">
      <c r="A231" t="s">
        <v>2759</v>
      </c>
      <c r="B231" t="s">
        <v>704</v>
      </c>
      <c r="C231" t="s">
        <v>34</v>
      </c>
      <c r="D231">
        <v>10</v>
      </c>
      <c r="E231">
        <v>90001</v>
      </c>
      <c r="F231" t="s">
        <v>2761</v>
      </c>
      <c r="G231">
        <f t="shared" si="16"/>
        <v>26</v>
      </c>
      <c r="H231" s="9">
        <f>IF(ISERROR(VLOOKUP(A231,Excel4!D:J,7,0)),0,VLOOKUP(A231,Excel4!D:J,7,0))</f>
        <v>0</v>
      </c>
      <c r="I231" s="15" t="s">
        <v>1777</v>
      </c>
      <c r="J231" s="15" t="s">
        <v>2753</v>
      </c>
      <c r="K231" s="15" t="s">
        <v>50</v>
      </c>
      <c r="L231" s="18" t="str">
        <f t="shared" si="17"/>
        <v>BAYIRKÖY BELEDİYE BAŞKANLIĞI BİLECİK</v>
      </c>
      <c r="M231" s="18" t="str">
        <f t="shared" si="15"/>
        <v>BAYIRKÖY</v>
      </c>
    </row>
    <row r="232" spans="1:14" x14ac:dyDescent="0.25">
      <c r="A232" t="s">
        <v>1650</v>
      </c>
      <c r="B232" t="s">
        <v>699</v>
      </c>
      <c r="C232" t="s">
        <v>167</v>
      </c>
      <c r="D232">
        <v>15</v>
      </c>
      <c r="E232">
        <v>90001</v>
      </c>
      <c r="F232" t="s">
        <v>482</v>
      </c>
      <c r="G232">
        <f t="shared" si="16"/>
        <v>26</v>
      </c>
      <c r="H232" s="9">
        <f>IF(ISERROR(VLOOKUP(A232,Excel4!D:J,7,0)),0,VLOOKUP(A232,Excel4!D:J,7,0))</f>
        <v>498.52000000000004</v>
      </c>
      <c r="I232" s="15" t="s">
        <v>1777</v>
      </c>
      <c r="J232" s="15" t="s">
        <v>167</v>
      </c>
      <c r="K232" s="15" t="s">
        <v>50</v>
      </c>
      <c r="L232" s="18" t="str">
        <f t="shared" si="17"/>
        <v>BOZÜYÜK BELEDİYE BAŞKANLIĞI BİLECİK</v>
      </c>
      <c r="M232" s="18" t="str">
        <f t="shared" si="15"/>
        <v>BOZÜYÜK</v>
      </c>
      <c r="N232">
        <f>_xlfn.XLOOKUP(M232,[1]Sheet1!$A:$A,[1]Sheet1!$G:$G)</f>
        <v>0</v>
      </c>
    </row>
    <row r="233" spans="1:14" x14ac:dyDescent="0.25">
      <c r="A233" t="s">
        <v>3315</v>
      </c>
      <c r="B233" t="s">
        <v>704</v>
      </c>
      <c r="C233" t="s">
        <v>3317</v>
      </c>
      <c r="D233">
        <v>10</v>
      </c>
      <c r="E233">
        <v>90001</v>
      </c>
      <c r="F233" t="s">
        <v>3323</v>
      </c>
      <c r="G233">
        <f t="shared" si="16"/>
        <v>26</v>
      </c>
      <c r="H233" s="9">
        <f>IF(ISERROR(VLOOKUP(A233,Excel4!D:J,7,0)),0,VLOOKUP(A233,Excel4!D:J,7,0))</f>
        <v>0</v>
      </c>
      <c r="I233" s="15" t="s">
        <v>1777</v>
      </c>
      <c r="J233" s="15" t="s">
        <v>3264</v>
      </c>
      <c r="K233" s="15" t="s">
        <v>50</v>
      </c>
      <c r="L233" s="18" t="str">
        <f t="shared" si="17"/>
        <v>DODURGA BELEDİYE BAŞKANLIĞI BİLECİK</v>
      </c>
      <c r="M233" s="18" t="str">
        <f t="shared" si="15"/>
        <v>DODURGA</v>
      </c>
    </row>
    <row r="234" spans="1:14" x14ac:dyDescent="0.25">
      <c r="A234" t="s">
        <v>1066</v>
      </c>
      <c r="B234" t="s">
        <v>704</v>
      </c>
      <c r="C234" t="s">
        <v>279</v>
      </c>
      <c r="D234">
        <v>10</v>
      </c>
      <c r="E234">
        <v>90001</v>
      </c>
      <c r="F234" t="s">
        <v>1067</v>
      </c>
      <c r="G234">
        <f t="shared" si="16"/>
        <v>26</v>
      </c>
      <c r="H234" s="9">
        <f>IF(ISERROR(VLOOKUP(A234,Excel4!D:J,7,0)),0,VLOOKUP(A234,Excel4!D:J,7,0))</f>
        <v>67.06</v>
      </c>
      <c r="I234" s="15" t="s">
        <v>1777</v>
      </c>
      <c r="J234" s="15" t="s">
        <v>279</v>
      </c>
      <c r="K234" s="15" t="s">
        <v>50</v>
      </c>
      <c r="L234" s="18" t="str">
        <f t="shared" si="17"/>
        <v>GÖLPAZARI BELEDİYE BAŞKANLIĞI BİLECİK</v>
      </c>
      <c r="M234" s="18" t="str">
        <f t="shared" si="15"/>
        <v>GÖLPAZARI</v>
      </c>
    </row>
    <row r="235" spans="1:14" x14ac:dyDescent="0.25">
      <c r="A235" t="s">
        <v>1801</v>
      </c>
      <c r="B235" t="s">
        <v>704</v>
      </c>
      <c r="C235" t="s">
        <v>532</v>
      </c>
      <c r="D235">
        <v>10</v>
      </c>
      <c r="E235">
        <v>90001</v>
      </c>
      <c r="F235" t="s">
        <v>1833</v>
      </c>
      <c r="G235">
        <f t="shared" si="16"/>
        <v>26</v>
      </c>
      <c r="H235" s="9">
        <f>IF(ISERROR(VLOOKUP(A235,Excel4!D:J,7,0)),0,VLOOKUP(A235,Excel4!D:J,7,0))</f>
        <v>0</v>
      </c>
      <c r="I235" s="15" t="s">
        <v>1777</v>
      </c>
      <c r="J235" s="15" t="s">
        <v>530</v>
      </c>
      <c r="K235" s="15" t="s">
        <v>50</v>
      </c>
      <c r="L235" s="18" t="str">
        <f t="shared" si="17"/>
        <v>İNHİSAR BELEDİYE BAŞKANLIĞI BİLECİK</v>
      </c>
      <c r="M235" s="18" t="str">
        <f t="shared" si="15"/>
        <v>İNHİSAR</v>
      </c>
    </row>
    <row r="236" spans="1:14" x14ac:dyDescent="0.25">
      <c r="A236" t="s">
        <v>1068</v>
      </c>
      <c r="B236" t="s">
        <v>704</v>
      </c>
      <c r="C236" t="s">
        <v>34</v>
      </c>
      <c r="D236">
        <v>10</v>
      </c>
      <c r="E236">
        <v>90001</v>
      </c>
      <c r="F236" t="s">
        <v>1069</v>
      </c>
      <c r="G236">
        <f t="shared" si="16"/>
        <v>26</v>
      </c>
      <c r="H236" s="9">
        <f>IF(ISERROR(VLOOKUP(A236,Excel4!D:J,7,0)),0,VLOOKUP(A236,Excel4!D:J,7,0))</f>
        <v>241.82</v>
      </c>
      <c r="I236" s="15" t="s">
        <v>1777</v>
      </c>
      <c r="J236" s="15" t="s">
        <v>34</v>
      </c>
      <c r="K236" s="15" t="s">
        <v>50</v>
      </c>
      <c r="L236" s="18" t="str">
        <f t="shared" si="17"/>
        <v>BİLECİK BELEDİYE BAŞKANLIĞI</v>
      </c>
      <c r="M236" s="18" t="str">
        <f t="shared" si="15"/>
        <v>BİLECİK</v>
      </c>
      <c r="N236" t="e">
        <f>_xlfn.XLOOKUP(M236,[1]Sheet1!$C:$C,[1]Sheet1!$G:$G)</f>
        <v>#N/A</v>
      </c>
    </row>
    <row r="237" spans="1:14" x14ac:dyDescent="0.25">
      <c r="A237" t="s">
        <v>1070</v>
      </c>
      <c r="B237" t="s">
        <v>704</v>
      </c>
      <c r="C237" t="s">
        <v>531</v>
      </c>
      <c r="D237">
        <v>10</v>
      </c>
      <c r="E237">
        <v>90001</v>
      </c>
      <c r="F237" t="s">
        <v>1071</v>
      </c>
      <c r="G237">
        <f t="shared" si="16"/>
        <v>26</v>
      </c>
      <c r="H237" s="9">
        <f>IF(ISERROR(VLOOKUP(A237,Excel4!D:J,7,0)),0,VLOOKUP(A237,Excel4!D:J,7,0))</f>
        <v>150.21</v>
      </c>
      <c r="I237" s="15" t="s">
        <v>1777</v>
      </c>
      <c r="J237" s="15" t="s">
        <v>531</v>
      </c>
      <c r="K237" s="15" t="s">
        <v>50</v>
      </c>
      <c r="L237" s="18" t="str">
        <f t="shared" si="17"/>
        <v>OSMANELİ BELEDİYE BAŞKANLIĞI BİLECİK</v>
      </c>
      <c r="M237" s="18" t="str">
        <f t="shared" si="15"/>
        <v>OSMANELİ</v>
      </c>
      <c r="N237">
        <f>_xlfn.XLOOKUP(M237,[1]Sheet1!$A:$A,[1]Sheet1!$G:$G)</f>
        <v>0</v>
      </c>
    </row>
    <row r="238" spans="1:14" x14ac:dyDescent="0.25">
      <c r="A238" t="s">
        <v>2007</v>
      </c>
      <c r="B238" t="s">
        <v>704</v>
      </c>
      <c r="C238" t="s">
        <v>1996</v>
      </c>
      <c r="D238">
        <v>10</v>
      </c>
      <c r="E238">
        <v>90001</v>
      </c>
      <c r="F238" t="s">
        <v>2039</v>
      </c>
      <c r="G238">
        <f t="shared" si="16"/>
        <v>26</v>
      </c>
      <c r="H238" s="9">
        <f>IF(ISERROR(VLOOKUP(A238,Excel4!D:J,7,0)),0,VLOOKUP(A238,Excel4!D:J,7,0))</f>
        <v>0</v>
      </c>
      <c r="I238" s="15" t="s">
        <v>1777</v>
      </c>
      <c r="J238" s="15" t="s">
        <v>1996</v>
      </c>
      <c r="K238" s="15" t="s">
        <v>50</v>
      </c>
      <c r="L238" s="18" t="str">
        <f t="shared" si="17"/>
        <v>PAZARYERİ BELEDİYE BAŞKANLIĞI BİLECİK</v>
      </c>
      <c r="M238" s="18" t="str">
        <f t="shared" si="15"/>
        <v>PAZARYERİ</v>
      </c>
    </row>
    <row r="239" spans="1:14" x14ac:dyDescent="0.25">
      <c r="A239" t="s">
        <v>1072</v>
      </c>
      <c r="B239" t="s">
        <v>704</v>
      </c>
      <c r="C239" t="s">
        <v>532</v>
      </c>
      <c r="D239">
        <v>10</v>
      </c>
      <c r="E239">
        <v>90001</v>
      </c>
      <c r="F239" t="s">
        <v>1073</v>
      </c>
      <c r="G239">
        <f t="shared" si="16"/>
        <v>26</v>
      </c>
      <c r="H239" s="9">
        <f>IF(ISERROR(VLOOKUP(A239,Excel4!D:J,7,0)),0,VLOOKUP(A239,Excel4!D:J,7,0))</f>
        <v>258.02000000000004</v>
      </c>
      <c r="I239" s="15" t="s">
        <v>1777</v>
      </c>
      <c r="J239" s="15" t="s">
        <v>532</v>
      </c>
      <c r="K239" s="15" t="s">
        <v>50</v>
      </c>
      <c r="L239" s="18" t="str">
        <f t="shared" si="17"/>
        <v>SÖĞÜT BELEDİYE BAŞKANLIĞI BİLECİK</v>
      </c>
      <c r="M239" s="18" t="str">
        <f t="shared" si="15"/>
        <v>SÖĞÜT</v>
      </c>
      <c r="N239">
        <f>_xlfn.XLOOKUP(M239,[1]Sheet1!$A:$A,[1]Sheet1!$G:$G)</f>
        <v>0</v>
      </c>
    </row>
    <row r="240" spans="1:14" x14ac:dyDescent="0.25">
      <c r="A240" t="s">
        <v>3228</v>
      </c>
      <c r="B240" t="s">
        <v>2555</v>
      </c>
      <c r="C240" t="s">
        <v>50</v>
      </c>
      <c r="D240">
        <v>12</v>
      </c>
      <c r="E240">
        <v>90001</v>
      </c>
      <c r="F240" t="s">
        <v>3234</v>
      </c>
      <c r="G240">
        <f t="shared" si="16"/>
        <v>26</v>
      </c>
      <c r="H240" s="9">
        <f>IF(ISERROR(VLOOKUP(A240,Excel4!D:J,7,0)),0,VLOOKUP(A240,Excel4!D:J,7,0))</f>
        <v>0</v>
      </c>
      <c r="I240" s="15" t="s">
        <v>1777</v>
      </c>
      <c r="J240" s="15" t="s">
        <v>3104</v>
      </c>
      <c r="K240" s="15" t="s">
        <v>50</v>
      </c>
      <c r="L240" s="18" t="str">
        <f t="shared" si="17"/>
        <v>VEZİRHAN BELEDİYE BAŞKANLIĞI BİLECİK</v>
      </c>
      <c r="M240" s="18" t="str">
        <f t="shared" si="15"/>
        <v>VEZİRHAN</v>
      </c>
    </row>
    <row r="241" spans="1:14" x14ac:dyDescent="0.25">
      <c r="A241" t="s">
        <v>2436</v>
      </c>
      <c r="B241" t="s">
        <v>704</v>
      </c>
      <c r="C241" t="s">
        <v>2304</v>
      </c>
      <c r="D241">
        <v>10</v>
      </c>
      <c r="E241">
        <v>90001</v>
      </c>
      <c r="F241" t="s">
        <v>2437</v>
      </c>
      <c r="G241">
        <f t="shared" si="16"/>
        <v>26</v>
      </c>
      <c r="H241" s="9">
        <f>IF(ISERROR(VLOOKUP(A241,Excel4!D:J,7,0)),0,VLOOKUP(A241,Excel4!D:J,7,0))</f>
        <v>0</v>
      </c>
      <c r="I241" s="15" t="s">
        <v>1777</v>
      </c>
      <c r="J241" s="15" t="s">
        <v>2304</v>
      </c>
      <c r="K241" s="15" t="s">
        <v>50</v>
      </c>
      <c r="L241" s="18" t="str">
        <f t="shared" si="17"/>
        <v>YENİPAZAR BELEDİYE BAŞKANLIĞI BİLECİK</v>
      </c>
      <c r="M241" s="18" t="str">
        <f t="shared" si="15"/>
        <v>YENİPAZAR</v>
      </c>
      <c r="N241">
        <f>_xlfn.XLOOKUP(M241,[1]Sheet1!$A:$A,[1]Sheet1!$G:$G)</f>
        <v>0</v>
      </c>
    </row>
    <row r="242" spans="1:14" x14ac:dyDescent="0.25">
      <c r="A242" t="s">
        <v>714</v>
      </c>
      <c r="B242" t="s">
        <v>704</v>
      </c>
      <c r="C242" t="s">
        <v>435</v>
      </c>
      <c r="D242">
        <v>10</v>
      </c>
      <c r="E242">
        <v>90001</v>
      </c>
      <c r="F242" t="s">
        <v>715</v>
      </c>
      <c r="G242">
        <f t="shared" si="16"/>
        <v>26</v>
      </c>
      <c r="H242" s="9">
        <f>IF(ISERROR(VLOOKUP(A242,Excel4!D:J,7,0)),0,VLOOKUP(A242,Excel4!D:J,7,0))</f>
        <v>0</v>
      </c>
      <c r="I242" s="15" t="s">
        <v>1777</v>
      </c>
      <c r="J242" s="15" t="s">
        <v>435</v>
      </c>
      <c r="K242" s="15" t="s">
        <v>199</v>
      </c>
      <c r="L242" s="18" t="str">
        <f t="shared" si="17"/>
        <v>GENÇ BELEDİYE BAŞKANLIĞI BİNGÖL</v>
      </c>
      <c r="M242" s="18" t="str">
        <f t="shared" si="15"/>
        <v>GENÇ</v>
      </c>
    </row>
    <row r="243" spans="1:14" x14ac:dyDescent="0.25">
      <c r="A243" t="s">
        <v>3229</v>
      </c>
      <c r="B243" t="s">
        <v>704</v>
      </c>
      <c r="C243" t="s">
        <v>3235</v>
      </c>
      <c r="D243">
        <v>10</v>
      </c>
      <c r="E243">
        <v>90001</v>
      </c>
      <c r="F243" t="s">
        <v>3236</v>
      </c>
      <c r="G243">
        <f t="shared" si="16"/>
        <v>26</v>
      </c>
      <c r="H243" s="9">
        <f>IF(ISERROR(VLOOKUP(A243,Excel4!D:J,7,0)),0,VLOOKUP(A243,Excel4!D:J,7,0))</f>
        <v>0</v>
      </c>
      <c r="I243" s="15" t="s">
        <v>1777</v>
      </c>
      <c r="J243" s="15" t="s">
        <v>3023</v>
      </c>
      <c r="K243" s="15" t="s">
        <v>199</v>
      </c>
      <c r="L243" s="18" t="str">
        <f t="shared" si="17"/>
        <v>ILICALAR BELEDİYE BAŞKANLIĞI BİNGÖL</v>
      </c>
      <c r="M243" s="18" t="str">
        <f t="shared" si="15"/>
        <v>ILICALAR</v>
      </c>
    </row>
    <row r="244" spans="1:14" x14ac:dyDescent="0.25">
      <c r="A244" t="s">
        <v>1804</v>
      </c>
      <c r="B244" t="s">
        <v>704</v>
      </c>
      <c r="C244" t="s">
        <v>258</v>
      </c>
      <c r="D244">
        <v>10</v>
      </c>
      <c r="E244">
        <v>90001</v>
      </c>
      <c r="F244" t="s">
        <v>1836</v>
      </c>
      <c r="G244">
        <f t="shared" si="16"/>
        <v>26</v>
      </c>
      <c r="H244" s="9">
        <f>IF(ISERROR(VLOOKUP(A244,Excel4!D:J,7,0)),0,VLOOKUP(A244,Excel4!D:J,7,0))</f>
        <v>91.75</v>
      </c>
      <c r="I244" s="15" t="s">
        <v>1777</v>
      </c>
      <c r="J244" s="15" t="s">
        <v>258</v>
      </c>
      <c r="K244" s="15" t="s">
        <v>199</v>
      </c>
      <c r="L244" s="18" t="str">
        <f t="shared" si="17"/>
        <v>KARLIOVA BELEDİYE BAŞKANLIĞI BİNGÖL</v>
      </c>
      <c r="M244" s="18" t="str">
        <f t="shared" si="15"/>
        <v>KARLIOVA</v>
      </c>
    </row>
    <row r="245" spans="1:14" x14ac:dyDescent="0.25">
      <c r="A245" t="s">
        <v>2008</v>
      </c>
      <c r="B245" t="s">
        <v>704</v>
      </c>
      <c r="C245" t="s">
        <v>1997</v>
      </c>
      <c r="D245">
        <v>10</v>
      </c>
      <c r="E245">
        <v>90001</v>
      </c>
      <c r="F245" t="s">
        <v>2046</v>
      </c>
      <c r="G245">
        <f t="shared" si="16"/>
        <v>26</v>
      </c>
      <c r="H245" s="9">
        <f>IF(ISERROR(VLOOKUP(A245,Excel4!D:J,7,0)),0,VLOOKUP(A245,Excel4!D:J,7,0))</f>
        <v>0</v>
      </c>
      <c r="I245" s="15" t="s">
        <v>1777</v>
      </c>
      <c r="J245" s="15" t="s">
        <v>1997</v>
      </c>
      <c r="K245" s="15" t="s">
        <v>199</v>
      </c>
      <c r="L245" s="18" t="str">
        <f t="shared" si="17"/>
        <v>KİĞI BELEDİYE BAŞKANLIĞI BİNGÖL</v>
      </c>
      <c r="M245" s="18" t="str">
        <f t="shared" si="15"/>
        <v>KİĞI</v>
      </c>
    </row>
    <row r="246" spans="1:14" x14ac:dyDescent="0.25">
      <c r="A246" t="s">
        <v>1074</v>
      </c>
      <c r="B246" t="s">
        <v>2555</v>
      </c>
      <c r="C246" t="s">
        <v>34</v>
      </c>
      <c r="D246">
        <v>12</v>
      </c>
      <c r="E246">
        <v>90001</v>
      </c>
      <c r="F246" t="s">
        <v>1075</v>
      </c>
      <c r="G246">
        <f t="shared" si="16"/>
        <v>26</v>
      </c>
      <c r="H246" s="9">
        <f>IF(ISERROR(VLOOKUP(A246,Excel4!D:J,7,0)),0,VLOOKUP(A246,Excel4!D:J,7,0))</f>
        <v>1428.12</v>
      </c>
      <c r="I246" s="15" t="s">
        <v>1777</v>
      </c>
      <c r="J246" s="15" t="s">
        <v>34</v>
      </c>
      <c r="K246" s="15" t="s">
        <v>199</v>
      </c>
      <c r="L246" s="18" t="str">
        <f t="shared" si="17"/>
        <v>BİNGÖL BELEDİYE BAŞKANLIĞI</v>
      </c>
      <c r="M246" s="18" t="str">
        <f t="shared" si="15"/>
        <v>BİNGÖL</v>
      </c>
      <c r="N246" t="e">
        <f>_xlfn.XLOOKUP(M246,[1]Sheet1!$C:$C,[1]Sheet1!$G:$G)</f>
        <v>#N/A</v>
      </c>
    </row>
    <row r="247" spans="1:14" x14ac:dyDescent="0.25">
      <c r="A247" t="s">
        <v>1076</v>
      </c>
      <c r="B247" t="s">
        <v>704</v>
      </c>
      <c r="C247" t="s">
        <v>533</v>
      </c>
      <c r="D247">
        <v>10</v>
      </c>
      <c r="E247">
        <v>90001</v>
      </c>
      <c r="F247" t="s">
        <v>2864</v>
      </c>
      <c r="G247">
        <f t="shared" si="16"/>
        <v>26</v>
      </c>
      <c r="H247" s="9">
        <f>IF(ISERROR(VLOOKUP(A247,Excel4!D:J,7,0)),0,VLOOKUP(A247,Excel4!D:J,7,0))</f>
        <v>0</v>
      </c>
      <c r="I247" s="15" t="s">
        <v>1777</v>
      </c>
      <c r="J247" s="15" t="s">
        <v>533</v>
      </c>
      <c r="K247" s="15" t="s">
        <v>199</v>
      </c>
      <c r="L247" s="18" t="str">
        <f t="shared" si="17"/>
        <v>SOLHAN BELEDİYE BAŞKANLIĞI BİNGÖL</v>
      </c>
      <c r="M247" s="18" t="str">
        <f t="shared" si="15"/>
        <v>SOLHAN</v>
      </c>
    </row>
    <row r="248" spans="1:14" x14ac:dyDescent="0.25">
      <c r="A248" t="s">
        <v>2183</v>
      </c>
      <c r="B248" s="19" t="s">
        <v>704</v>
      </c>
      <c r="C248" s="19" t="s">
        <v>2175</v>
      </c>
      <c r="D248">
        <v>10</v>
      </c>
      <c r="E248">
        <v>90001</v>
      </c>
      <c r="F248" s="19" t="s">
        <v>2196</v>
      </c>
      <c r="G248">
        <f t="shared" si="16"/>
        <v>26</v>
      </c>
      <c r="H248" s="9">
        <f>IF(ISERROR(VLOOKUP(A248,Excel4!D:J,7,0)),0,VLOOKUP(A248,Excel4!D:J,7,0))</f>
        <v>0</v>
      </c>
      <c r="I248" s="15" t="s">
        <v>1777</v>
      </c>
      <c r="J248" s="15" t="s">
        <v>2175</v>
      </c>
      <c r="K248" s="15" t="s">
        <v>358</v>
      </c>
      <c r="L248" s="18" t="str">
        <f t="shared" si="17"/>
        <v>ADİLCEVAZ BELEDİYE BAŞKANLIĞI BİTLİS</v>
      </c>
      <c r="M248" s="18" t="str">
        <f t="shared" si="15"/>
        <v>ADİLCEVAZ</v>
      </c>
    </row>
    <row r="249" spans="1:14" x14ac:dyDescent="0.25">
      <c r="A249" t="s">
        <v>2329</v>
      </c>
      <c r="B249" s="19" t="s">
        <v>704</v>
      </c>
      <c r="C249" s="19" t="s">
        <v>2307</v>
      </c>
      <c r="D249">
        <v>10</v>
      </c>
      <c r="E249">
        <v>90001</v>
      </c>
      <c r="F249" t="s">
        <v>3560</v>
      </c>
      <c r="G249">
        <f t="shared" si="16"/>
        <v>26</v>
      </c>
      <c r="H249" s="9">
        <f>IF(ISERROR(VLOOKUP(A249,Excel4!D:J,7,0)),0,VLOOKUP(A249,Excel4!D:J,7,0))</f>
        <v>52.13</v>
      </c>
      <c r="I249" s="15" t="s">
        <v>1777</v>
      </c>
      <c r="J249" s="20" t="s">
        <v>2307</v>
      </c>
      <c r="K249" s="15" t="s">
        <v>358</v>
      </c>
      <c r="L249" s="18" t="str">
        <f t="shared" si="17"/>
        <v>AHLAT BELEDİYE BAŞKANLIĞI BİTLİS</v>
      </c>
      <c r="M249" s="18" t="str">
        <f t="shared" si="15"/>
        <v>AHLAT</v>
      </c>
    </row>
    <row r="250" spans="1:14" x14ac:dyDescent="0.25">
      <c r="A250" t="s">
        <v>2330</v>
      </c>
      <c r="B250" s="19" t="s">
        <v>704</v>
      </c>
      <c r="C250" s="19" t="s">
        <v>2246</v>
      </c>
      <c r="D250">
        <v>10</v>
      </c>
      <c r="E250">
        <v>90001</v>
      </c>
      <c r="F250" t="s">
        <v>2383</v>
      </c>
      <c r="G250">
        <f t="shared" si="16"/>
        <v>26</v>
      </c>
      <c r="H250" s="9">
        <f>IF(ISERROR(VLOOKUP(A250,Excel4!D:J,7,0)),0,VLOOKUP(A250,Excel4!D:J,7,0))</f>
        <v>0</v>
      </c>
      <c r="I250" s="15" t="s">
        <v>1777</v>
      </c>
      <c r="J250" s="20" t="s">
        <v>2246</v>
      </c>
      <c r="K250" s="15" t="s">
        <v>358</v>
      </c>
      <c r="L250" s="18" t="str">
        <f t="shared" si="17"/>
        <v>GÜROYMAK BELEDİYE BAŞKANLIĞI BİTLİS</v>
      </c>
      <c r="M250" s="18" t="str">
        <f t="shared" si="15"/>
        <v>GÜROYMAK</v>
      </c>
    </row>
    <row r="251" spans="1:14" x14ac:dyDescent="0.25">
      <c r="A251" s="19" t="s">
        <v>2268</v>
      </c>
      <c r="B251" t="s">
        <v>704</v>
      </c>
      <c r="C251" s="19" t="s">
        <v>2247</v>
      </c>
      <c r="D251">
        <v>10</v>
      </c>
      <c r="E251">
        <v>90001</v>
      </c>
      <c r="F251" t="s">
        <v>2621</v>
      </c>
      <c r="G251">
        <f t="shared" si="16"/>
        <v>26</v>
      </c>
      <c r="H251" s="9">
        <f>IF(ISERROR(VLOOKUP(A251,Excel4!D:J,7,0)),0,VLOOKUP(A251,Excel4!D:J,7,0))</f>
        <v>0</v>
      </c>
      <c r="I251" s="15" t="s">
        <v>1777</v>
      </c>
      <c r="J251" s="20" t="s">
        <v>2247</v>
      </c>
      <c r="K251" s="15" t="s">
        <v>358</v>
      </c>
      <c r="L251" s="18" t="str">
        <f t="shared" si="17"/>
        <v>HİZAN BELEDİYE BAŞKANLIĞI BİTLİS</v>
      </c>
      <c r="M251" s="18" t="str">
        <f t="shared" si="15"/>
        <v>HİZAN</v>
      </c>
    </row>
    <row r="252" spans="1:14" x14ac:dyDescent="0.25">
      <c r="A252" t="s">
        <v>1077</v>
      </c>
      <c r="B252" t="s">
        <v>704</v>
      </c>
      <c r="C252" t="s">
        <v>34</v>
      </c>
      <c r="D252">
        <v>10</v>
      </c>
      <c r="E252">
        <v>90001</v>
      </c>
      <c r="F252" t="s">
        <v>1078</v>
      </c>
      <c r="G252">
        <f t="shared" si="16"/>
        <v>26</v>
      </c>
      <c r="H252" s="9">
        <f>IF(ISERROR(VLOOKUP(A252,Excel4!D:J,7,0)),0,VLOOKUP(A252,Excel4!D:J,7,0))</f>
        <v>576.4</v>
      </c>
      <c r="I252" s="15" t="s">
        <v>1777</v>
      </c>
      <c r="J252" s="15" t="s">
        <v>34</v>
      </c>
      <c r="K252" s="15" t="s">
        <v>358</v>
      </c>
      <c r="L252" s="18" t="str">
        <f t="shared" si="17"/>
        <v>BİTLİS BELEDİYE BAŞKANLIĞI</v>
      </c>
      <c r="M252" s="18" t="str">
        <f t="shared" si="15"/>
        <v>BİTLİS</v>
      </c>
      <c r="N252" t="e">
        <f>_xlfn.XLOOKUP(M252,[1]Sheet1!$C:$C,[1]Sheet1!$G:$G)</f>
        <v>#N/A</v>
      </c>
    </row>
    <row r="253" spans="1:14" x14ac:dyDescent="0.25">
      <c r="A253" s="19" t="s">
        <v>2959</v>
      </c>
      <c r="B253" t="s">
        <v>876</v>
      </c>
      <c r="C253" t="s">
        <v>2960</v>
      </c>
      <c r="D253">
        <v>134</v>
      </c>
      <c r="E253">
        <v>90001</v>
      </c>
      <c r="F253" t="s">
        <v>2961</v>
      </c>
      <c r="G253">
        <f t="shared" si="16"/>
        <v>26</v>
      </c>
      <c r="H253" s="9">
        <f>IF(ISERROR(VLOOKUP(A253,Excel4!D:J,7,0)),0,VLOOKUP(A253,Excel4!D:J,7,0))</f>
        <v>0</v>
      </c>
      <c r="I253" s="15" t="s">
        <v>1777</v>
      </c>
      <c r="J253" s="20" t="s">
        <v>2957</v>
      </c>
      <c r="K253" s="15" t="s">
        <v>358</v>
      </c>
      <c r="L253" s="18" t="str">
        <f t="shared" si="17"/>
        <v>MUTKİ BELEDİYE BAŞKANLIĞI BİTLİS</v>
      </c>
      <c r="M253" s="18" t="str">
        <f t="shared" si="15"/>
        <v>MUTKİ</v>
      </c>
    </row>
    <row r="254" spans="1:14" x14ac:dyDescent="0.25">
      <c r="A254" t="s">
        <v>1651</v>
      </c>
      <c r="B254" t="s">
        <v>2555</v>
      </c>
      <c r="C254" t="s">
        <v>359</v>
      </c>
      <c r="D254">
        <v>12</v>
      </c>
      <c r="E254">
        <v>90001</v>
      </c>
      <c r="F254" t="s">
        <v>394</v>
      </c>
      <c r="G254">
        <f t="shared" si="16"/>
        <v>26</v>
      </c>
      <c r="H254" s="9">
        <f>IF(ISERROR(VLOOKUP(A254,Excel4!D:J,7,0)),0,VLOOKUP(A254,Excel4!D:J,7,0))</f>
        <v>63.87</v>
      </c>
      <c r="I254" s="15" t="s">
        <v>1777</v>
      </c>
      <c r="J254" s="15" t="s">
        <v>359</v>
      </c>
      <c r="K254" s="15" t="s">
        <v>358</v>
      </c>
      <c r="L254" s="18" t="str">
        <f t="shared" si="17"/>
        <v>TATVAN BELEDİYE BAŞKANLIĞI BİTLİS</v>
      </c>
      <c r="M254" s="18" t="str">
        <f t="shared" si="15"/>
        <v>TATVAN</v>
      </c>
    </row>
    <row r="255" spans="1:14" x14ac:dyDescent="0.25">
      <c r="A255" t="s">
        <v>1079</v>
      </c>
      <c r="B255" t="s">
        <v>704</v>
      </c>
      <c r="C255" t="s">
        <v>436</v>
      </c>
      <c r="D255">
        <v>10</v>
      </c>
      <c r="E255">
        <v>90001</v>
      </c>
      <c r="F255" t="s">
        <v>1080</v>
      </c>
      <c r="G255">
        <f t="shared" si="16"/>
        <v>26</v>
      </c>
      <c r="H255" s="9">
        <f>IF(ISERROR(VLOOKUP(A255,Excel4!D:J,7,0)),0,VLOOKUP(A255,Excel4!D:J,7,0))</f>
        <v>0</v>
      </c>
      <c r="I255" s="15" t="s">
        <v>1777</v>
      </c>
      <c r="J255" s="15" t="s">
        <v>436</v>
      </c>
      <c r="K255" s="15" t="s">
        <v>51</v>
      </c>
      <c r="L255" s="18" t="str">
        <f t="shared" si="17"/>
        <v>DÖRTDİVAN BELEDİYE BAŞKANLIĞI BOLU</v>
      </c>
      <c r="M255" s="18" t="str">
        <f t="shared" si="15"/>
        <v>DÖRTDİVAN</v>
      </c>
    </row>
    <row r="256" spans="1:14" x14ac:dyDescent="0.25">
      <c r="A256" t="s">
        <v>1081</v>
      </c>
      <c r="B256" t="s">
        <v>704</v>
      </c>
      <c r="C256" t="s">
        <v>316</v>
      </c>
      <c r="D256">
        <v>10</v>
      </c>
      <c r="E256">
        <v>90001</v>
      </c>
      <c r="F256" t="s">
        <v>1082</v>
      </c>
      <c r="G256">
        <f t="shared" si="16"/>
        <v>26</v>
      </c>
      <c r="H256" s="9">
        <f>IF(ISERROR(VLOOKUP(A256,Excel4!D:J,7,0)),0,VLOOKUP(A256,Excel4!D:J,7,0))</f>
        <v>17</v>
      </c>
      <c r="I256" s="15" t="s">
        <v>1777</v>
      </c>
      <c r="J256" s="15" t="s">
        <v>316</v>
      </c>
      <c r="K256" s="15" t="s">
        <v>51</v>
      </c>
      <c r="L256" s="18" t="str">
        <f t="shared" si="17"/>
        <v>GEREDE BELEDİYE BAŞKANLIĞI BOLU</v>
      </c>
      <c r="M256" s="18" t="str">
        <f t="shared" si="15"/>
        <v>GEREDE</v>
      </c>
      <c r="N256">
        <f>_xlfn.XLOOKUP(M256,[1]Sheet1!$A:$A,[1]Sheet1!$G:$G)</f>
        <v>0</v>
      </c>
    </row>
    <row r="257" spans="1:14" x14ac:dyDescent="0.25">
      <c r="A257" t="s">
        <v>2533</v>
      </c>
      <c r="B257" t="s">
        <v>2555</v>
      </c>
      <c r="C257" t="s">
        <v>2083</v>
      </c>
      <c r="D257">
        <v>12</v>
      </c>
      <c r="E257">
        <v>90001</v>
      </c>
      <c r="F257" t="s">
        <v>2556</v>
      </c>
      <c r="G257">
        <f t="shared" si="16"/>
        <v>26</v>
      </c>
      <c r="H257" s="9">
        <f>IF(ISERROR(VLOOKUP(A257,Excel4!D:J,7,0)),0,VLOOKUP(A257,Excel4!D:J,7,0))</f>
        <v>0</v>
      </c>
      <c r="I257" s="15" t="s">
        <v>1777</v>
      </c>
      <c r="J257" s="20" t="s">
        <v>2415</v>
      </c>
      <c r="K257" s="15" t="s">
        <v>51</v>
      </c>
      <c r="L257" s="18" t="str">
        <f t="shared" si="17"/>
        <v>GÖKÇESU BELEDİYE BAŞKANLIĞI BOLU</v>
      </c>
      <c r="M257" s="18" t="str">
        <f t="shared" si="15"/>
        <v>GÖKÇESU</v>
      </c>
    </row>
    <row r="258" spans="1:14" x14ac:dyDescent="0.25">
      <c r="A258" t="s">
        <v>1934</v>
      </c>
      <c r="B258" t="s">
        <v>704</v>
      </c>
      <c r="C258" t="s">
        <v>317</v>
      </c>
      <c r="D258">
        <v>10</v>
      </c>
      <c r="E258">
        <v>90001</v>
      </c>
      <c r="F258" t="s">
        <v>1966</v>
      </c>
      <c r="G258">
        <f t="shared" si="16"/>
        <v>26</v>
      </c>
      <c r="H258" s="9">
        <f>IF(ISERROR(VLOOKUP(A258,Excel4!D:J,7,0)),0,VLOOKUP(A258,Excel4!D:J,7,0))</f>
        <v>10.870000000000001</v>
      </c>
      <c r="I258" s="15" t="s">
        <v>1777</v>
      </c>
      <c r="J258" s="15" t="s">
        <v>317</v>
      </c>
      <c r="K258" s="15" t="s">
        <v>51</v>
      </c>
      <c r="L258" s="18" t="str">
        <f t="shared" si="17"/>
        <v>GÖYNÜK BELEDİYE BAŞKANLIĞI BOLU</v>
      </c>
      <c r="M258" s="18" t="str">
        <f t="shared" si="15"/>
        <v>GÖYNÜK</v>
      </c>
    </row>
    <row r="259" spans="1:14" x14ac:dyDescent="0.25">
      <c r="A259" t="s">
        <v>2067</v>
      </c>
      <c r="B259" t="s">
        <v>704</v>
      </c>
      <c r="C259" t="s">
        <v>51</v>
      </c>
      <c r="D259">
        <v>10</v>
      </c>
      <c r="E259">
        <v>90001</v>
      </c>
      <c r="F259" t="s">
        <v>2092</v>
      </c>
      <c r="G259">
        <f t="shared" si="16"/>
        <v>26</v>
      </c>
      <c r="H259" s="9">
        <f>IF(ISERROR(VLOOKUP(A259,Excel4!D:J,7,0)),0,VLOOKUP(A259,Excel4!D:J,7,0))</f>
        <v>0</v>
      </c>
      <c r="I259" s="15" t="s">
        <v>1777</v>
      </c>
      <c r="J259" s="15" t="s">
        <v>2052</v>
      </c>
      <c r="K259" s="15" t="s">
        <v>51</v>
      </c>
      <c r="L259" s="18" t="str">
        <f t="shared" si="17"/>
        <v>KARACASU BELEDİYE BAŞKANLIĞI BOLU</v>
      </c>
      <c r="M259" s="18" t="str">
        <f t="shared" si="15"/>
        <v>KARACASU</v>
      </c>
    </row>
    <row r="260" spans="1:14" x14ac:dyDescent="0.25">
      <c r="A260" t="s">
        <v>2534</v>
      </c>
      <c r="B260" t="s">
        <v>704</v>
      </c>
      <c r="C260" t="s">
        <v>2412</v>
      </c>
      <c r="D260">
        <v>10</v>
      </c>
      <c r="E260">
        <v>90001</v>
      </c>
      <c r="F260" t="s">
        <v>2557</v>
      </c>
      <c r="G260">
        <f t="shared" si="16"/>
        <v>26</v>
      </c>
      <c r="H260" s="9">
        <f>IF(ISERROR(VLOOKUP(A260,Excel4!D:J,7,0)),0,VLOOKUP(A260,Excel4!D:J,7,0))</f>
        <v>0</v>
      </c>
      <c r="I260" s="15" t="s">
        <v>1777</v>
      </c>
      <c r="J260" s="20" t="s">
        <v>2412</v>
      </c>
      <c r="K260" s="15" t="s">
        <v>51</v>
      </c>
      <c r="L260" s="18" t="str">
        <f t="shared" si="17"/>
        <v>KIBRISCIK BELEDİYE BAŞKANLIĞI BOLU</v>
      </c>
      <c r="M260" s="18" t="str">
        <f t="shared" ref="M260:M323" si="18">IF(J260="MERKEZ",K260,IF(J260="BÜYÜKŞEHİR",K260&amp;" BÜYÜKŞEHİR",J260))</f>
        <v>KIBRISCIK</v>
      </c>
    </row>
    <row r="261" spans="1:14" x14ac:dyDescent="0.25">
      <c r="A261" t="s">
        <v>2084</v>
      </c>
      <c r="B261" t="s">
        <v>704</v>
      </c>
      <c r="C261" t="s">
        <v>2083</v>
      </c>
      <c r="D261">
        <v>10</v>
      </c>
      <c r="E261">
        <v>90001</v>
      </c>
      <c r="F261" t="s">
        <v>2093</v>
      </c>
      <c r="G261">
        <f t="shared" si="16"/>
        <v>26</v>
      </c>
      <c r="H261" s="9">
        <f>IF(ISERROR(VLOOKUP(A261,Excel4!D:J,7,0)),0,VLOOKUP(A261,Excel4!D:J,7,0))</f>
        <v>0</v>
      </c>
      <c r="I261" s="15" t="s">
        <v>1777</v>
      </c>
      <c r="J261" s="15" t="s">
        <v>2083</v>
      </c>
      <c r="K261" s="15" t="s">
        <v>51</v>
      </c>
      <c r="L261" s="18" t="str">
        <f t="shared" si="17"/>
        <v>MENGEN BELEDİYE BAŞKANLIĞI BOLU</v>
      </c>
      <c r="M261" s="18" t="str">
        <f t="shared" si="18"/>
        <v>MENGEN</v>
      </c>
      <c r="N261">
        <f>_xlfn.XLOOKUP(M261,[1]Sheet1!$A:$A,[1]Sheet1!$G:$G)</f>
        <v>0</v>
      </c>
    </row>
    <row r="262" spans="1:14" x14ac:dyDescent="0.25">
      <c r="A262" t="s">
        <v>1083</v>
      </c>
      <c r="B262" t="s">
        <v>2555</v>
      </c>
      <c r="C262" t="s">
        <v>34</v>
      </c>
      <c r="D262">
        <v>12</v>
      </c>
      <c r="E262">
        <v>90001</v>
      </c>
      <c r="F262" t="s">
        <v>1084</v>
      </c>
      <c r="G262">
        <f t="shared" si="16"/>
        <v>26</v>
      </c>
      <c r="H262" s="9">
        <f>IF(ISERROR(VLOOKUP(A262,Excel4!D:J,7,0)),0,VLOOKUP(A262,Excel4!D:J,7,0))</f>
        <v>12049.82</v>
      </c>
      <c r="I262" s="15" t="s">
        <v>1777</v>
      </c>
      <c r="J262" s="15" t="s">
        <v>34</v>
      </c>
      <c r="K262" s="15" t="s">
        <v>51</v>
      </c>
      <c r="L262" s="18" t="str">
        <f t="shared" si="17"/>
        <v>BOLU BELEDİYE BAŞKANLIĞI</v>
      </c>
      <c r="M262" s="18" t="str">
        <f t="shared" si="18"/>
        <v>BOLU</v>
      </c>
      <c r="N262" t="e">
        <f>_xlfn.XLOOKUP(M262,[1]Sheet1!$C:$C,[1]Sheet1!$G:$G)</f>
        <v>#N/A</v>
      </c>
    </row>
    <row r="263" spans="1:14" x14ac:dyDescent="0.25">
      <c r="A263" t="s">
        <v>1085</v>
      </c>
      <c r="B263" t="s">
        <v>704</v>
      </c>
      <c r="C263" t="s">
        <v>437</v>
      </c>
      <c r="D263">
        <v>10</v>
      </c>
      <c r="E263">
        <v>90001</v>
      </c>
      <c r="F263" t="s">
        <v>1086</v>
      </c>
      <c r="G263">
        <f t="shared" si="16"/>
        <v>26</v>
      </c>
      <c r="H263" s="9">
        <f>IF(ISERROR(VLOOKUP(A263,Excel4!D:J,7,0)),0,VLOOKUP(A263,Excel4!D:J,7,0))</f>
        <v>0</v>
      </c>
      <c r="I263" s="15" t="s">
        <v>1777</v>
      </c>
      <c r="J263" s="15" t="s">
        <v>437</v>
      </c>
      <c r="K263" s="15" t="s">
        <v>51</v>
      </c>
      <c r="L263" s="18" t="str">
        <f t="shared" si="17"/>
        <v>MUDURNU BELEDİYE BAŞKANLIĞI BOLU</v>
      </c>
      <c r="M263" s="18" t="str">
        <f t="shared" si="18"/>
        <v>MUDURNU</v>
      </c>
      <c r="N263">
        <f>_xlfn.XLOOKUP(M263,[1]Sheet1!$A:$A,[1]Sheet1!$G:$G)</f>
        <v>0</v>
      </c>
    </row>
    <row r="264" spans="1:14" x14ac:dyDescent="0.25">
      <c r="A264" t="s">
        <v>2724</v>
      </c>
      <c r="G264">
        <f t="shared" si="16"/>
        <v>0</v>
      </c>
      <c r="H264" s="9">
        <f>IF(ISERROR(VLOOKUP(A264,Excel4!D:J,7,0)),0,VLOOKUP(A264,Excel4!D:J,7,0))</f>
        <v>0</v>
      </c>
      <c r="I264" s="15" t="s">
        <v>1777</v>
      </c>
      <c r="J264" s="20" t="s">
        <v>2714</v>
      </c>
      <c r="K264" s="15" t="s">
        <v>51</v>
      </c>
      <c r="L264" s="18" t="str">
        <f t="shared" si="17"/>
        <v>PAZARKÖY BELEDİYE BAŞKANLIĞI BOLU</v>
      </c>
      <c r="M264" s="18" t="str">
        <f t="shared" si="18"/>
        <v>PAZARKÖY</v>
      </c>
    </row>
    <row r="265" spans="1:14" x14ac:dyDescent="0.25">
      <c r="A265" t="s">
        <v>1087</v>
      </c>
      <c r="B265" t="s">
        <v>704</v>
      </c>
      <c r="C265" t="s">
        <v>534</v>
      </c>
      <c r="D265">
        <v>10</v>
      </c>
      <c r="E265">
        <v>90001</v>
      </c>
      <c r="F265" t="s">
        <v>1088</v>
      </c>
      <c r="G265">
        <f t="shared" si="16"/>
        <v>26</v>
      </c>
      <c r="H265" s="9">
        <f>IF(ISERROR(VLOOKUP(A265,Excel4!D:J,7,0)),0,VLOOKUP(A265,Excel4!D:J,7,0))</f>
        <v>0</v>
      </c>
      <c r="I265" s="15" t="s">
        <v>1777</v>
      </c>
      <c r="J265" s="15" t="s">
        <v>534</v>
      </c>
      <c r="K265" s="15" t="s">
        <v>51</v>
      </c>
      <c r="L265" s="18" t="str">
        <f t="shared" si="17"/>
        <v>SEBEN BELEDİYE BAŞKANLIĞI BOLU</v>
      </c>
      <c r="M265" s="18" t="str">
        <f t="shared" si="18"/>
        <v>SEBEN</v>
      </c>
    </row>
    <row r="266" spans="1:14" x14ac:dyDescent="0.25">
      <c r="A266" t="s">
        <v>2331</v>
      </c>
      <c r="B266" s="19" t="s">
        <v>704</v>
      </c>
      <c r="C266" s="19" t="s">
        <v>2321</v>
      </c>
      <c r="D266">
        <v>10</v>
      </c>
      <c r="E266">
        <v>90001</v>
      </c>
      <c r="F266" t="s">
        <v>2371</v>
      </c>
      <c r="G266">
        <f t="shared" si="16"/>
        <v>26</v>
      </c>
      <c r="H266" s="9">
        <f>IF(ISERROR(VLOOKUP(A266,Excel4!D:J,7,0)),0,VLOOKUP(A266,Excel4!D:J,7,0))</f>
        <v>0</v>
      </c>
      <c r="I266" s="15" t="s">
        <v>1777</v>
      </c>
      <c r="J266" s="20" t="s">
        <v>2321</v>
      </c>
      <c r="K266" s="15" t="s">
        <v>51</v>
      </c>
      <c r="L266" s="18" t="str">
        <f t="shared" si="17"/>
        <v>TAŞKESTİ BELEDİYE BAŞKANLIĞI BOLU</v>
      </c>
      <c r="M266" s="18" t="str">
        <f t="shared" si="18"/>
        <v>TAŞKESTİ</v>
      </c>
    </row>
    <row r="267" spans="1:14" x14ac:dyDescent="0.25">
      <c r="A267" t="s">
        <v>1089</v>
      </c>
      <c r="B267" t="s">
        <v>704</v>
      </c>
      <c r="C267" t="s">
        <v>535</v>
      </c>
      <c r="D267">
        <v>10</v>
      </c>
      <c r="E267">
        <v>90001</v>
      </c>
      <c r="F267" t="s">
        <v>1090</v>
      </c>
      <c r="G267">
        <f t="shared" si="16"/>
        <v>26</v>
      </c>
      <c r="H267" s="9">
        <f>IF(ISERROR(VLOOKUP(A267,Excel4!D:J,7,0)),0,VLOOKUP(A267,Excel4!D:J,7,0))</f>
        <v>10.870000000000001</v>
      </c>
      <c r="I267" s="15" t="s">
        <v>1777</v>
      </c>
      <c r="J267" s="15" t="s">
        <v>535</v>
      </c>
      <c r="K267" s="15" t="s">
        <v>51</v>
      </c>
      <c r="L267" s="18" t="str">
        <f t="shared" si="17"/>
        <v>YENİÇAĞA BELEDİYE BAŞKANLIĞI BOLU</v>
      </c>
      <c r="M267" s="18" t="str">
        <f t="shared" si="18"/>
        <v>YENİÇAĞA</v>
      </c>
    </row>
    <row r="268" spans="1:14" x14ac:dyDescent="0.25">
      <c r="A268" t="s">
        <v>2332</v>
      </c>
      <c r="B268" s="19" t="s">
        <v>704</v>
      </c>
      <c r="C268" s="19" t="s">
        <v>2229</v>
      </c>
      <c r="D268">
        <v>10</v>
      </c>
      <c r="E268">
        <v>90001</v>
      </c>
      <c r="F268" t="s">
        <v>2373</v>
      </c>
      <c r="G268">
        <f t="shared" si="16"/>
        <v>26</v>
      </c>
      <c r="H268" s="9">
        <f>IF(ISERROR(VLOOKUP(A268,Excel4!D:J,7,0)),0,VLOOKUP(A268,Excel4!D:J,7,0))</f>
        <v>0</v>
      </c>
      <c r="I268" s="15" t="s">
        <v>1777</v>
      </c>
      <c r="J268" s="20" t="s">
        <v>2229</v>
      </c>
      <c r="K268" s="15" t="s">
        <v>69</v>
      </c>
      <c r="L268" s="18" t="str">
        <f t="shared" si="17"/>
        <v>AĞLASUN BELEDİYE BAŞKANLIĞI BURDUR</v>
      </c>
      <c r="M268" s="18" t="str">
        <f t="shared" si="18"/>
        <v>AĞLASUN</v>
      </c>
    </row>
    <row r="269" spans="1:14" x14ac:dyDescent="0.25">
      <c r="A269" t="s">
        <v>1091</v>
      </c>
      <c r="B269" t="s">
        <v>704</v>
      </c>
      <c r="C269" t="s">
        <v>360</v>
      </c>
      <c r="D269">
        <v>10</v>
      </c>
      <c r="E269">
        <v>90001</v>
      </c>
      <c r="F269" t="s">
        <v>1092</v>
      </c>
      <c r="G269">
        <f t="shared" si="16"/>
        <v>26</v>
      </c>
      <c r="H269" s="9">
        <f>IF(ISERROR(VLOOKUP(A269,Excel4!D:J,7,0)),0,VLOOKUP(A269,Excel4!D:J,7,0))</f>
        <v>0</v>
      </c>
      <c r="I269" s="15" t="s">
        <v>1777</v>
      </c>
      <c r="J269" s="15" t="s">
        <v>360</v>
      </c>
      <c r="K269" s="15" t="s">
        <v>69</v>
      </c>
      <c r="L269" s="18" t="str">
        <f t="shared" si="17"/>
        <v>ALTINYAYLA BELEDİYE BAŞKANLIĞI BURDUR</v>
      </c>
      <c r="M269" s="18" t="str">
        <f t="shared" si="18"/>
        <v>ALTINYAYLA</v>
      </c>
      <c r="N269">
        <f>_xlfn.XLOOKUP(M269,[1]Sheet1!$A:$A,[1]Sheet1!$G:$G)</f>
        <v>0</v>
      </c>
    </row>
    <row r="270" spans="1:14" x14ac:dyDescent="0.25">
      <c r="A270" t="s">
        <v>1093</v>
      </c>
      <c r="B270" t="s">
        <v>2555</v>
      </c>
      <c r="C270" t="s">
        <v>268</v>
      </c>
      <c r="D270">
        <v>12</v>
      </c>
      <c r="E270">
        <v>90001</v>
      </c>
      <c r="F270" t="s">
        <v>1094</v>
      </c>
      <c r="G270">
        <f t="shared" si="16"/>
        <v>26</v>
      </c>
      <c r="H270" s="9">
        <f>IF(ISERROR(VLOOKUP(A270,Excel4!D:J,7,0)),0,VLOOKUP(A270,Excel4!D:J,7,0))</f>
        <v>0</v>
      </c>
      <c r="I270" s="15" t="s">
        <v>1777</v>
      </c>
      <c r="J270" s="15" t="s">
        <v>268</v>
      </c>
      <c r="K270" s="15" t="s">
        <v>69</v>
      </c>
      <c r="L270" s="18" t="str">
        <f t="shared" si="17"/>
        <v>BUCAK BELEDİYE BAŞKANLIĞI BURDUR</v>
      </c>
      <c r="M270" s="18" t="str">
        <f t="shared" si="18"/>
        <v>BUCAK</v>
      </c>
      <c r="N270">
        <f>_xlfn.XLOOKUP(M270,[1]Sheet1!$A:$A,[1]Sheet1!$G:$G)</f>
        <v>0</v>
      </c>
    </row>
    <row r="271" spans="1:14" x14ac:dyDescent="0.25">
      <c r="A271" t="s">
        <v>2068</v>
      </c>
      <c r="B271" t="s">
        <v>704</v>
      </c>
      <c r="C271" t="s">
        <v>2053</v>
      </c>
      <c r="D271">
        <v>10</v>
      </c>
      <c r="E271">
        <v>90001</v>
      </c>
      <c r="F271" t="s">
        <v>2095</v>
      </c>
      <c r="G271">
        <f t="shared" si="16"/>
        <v>26</v>
      </c>
      <c r="H271" s="9">
        <f>IF(ISERROR(VLOOKUP(A271,Excel4!D:J,7,0)),0,VLOOKUP(A271,Excel4!D:J,7,0))</f>
        <v>128.80000000000001</v>
      </c>
      <c r="I271" s="15" t="s">
        <v>1777</v>
      </c>
      <c r="J271" s="15" t="s">
        <v>2053</v>
      </c>
      <c r="K271" s="15" t="s">
        <v>69</v>
      </c>
      <c r="L271" s="18" t="str">
        <f t="shared" si="17"/>
        <v>ÇAVDIR BELEDİYE BAŞKANLIĞI BURDUR</v>
      </c>
      <c r="M271" s="18" t="str">
        <f t="shared" si="18"/>
        <v>ÇAVDIR</v>
      </c>
    </row>
    <row r="272" spans="1:14" x14ac:dyDescent="0.25">
      <c r="A272" t="s">
        <v>2114</v>
      </c>
      <c r="B272" t="s">
        <v>704</v>
      </c>
      <c r="C272" t="s">
        <v>2109</v>
      </c>
      <c r="D272">
        <v>10</v>
      </c>
      <c r="E272">
        <v>90001</v>
      </c>
      <c r="F272" t="s">
        <v>2121</v>
      </c>
      <c r="G272">
        <f t="shared" si="16"/>
        <v>26</v>
      </c>
      <c r="H272" s="9">
        <f>IF(ISERROR(VLOOKUP(A272,Excel4!D:J,7,0)),0,VLOOKUP(A272,Excel4!D:J,7,0))</f>
        <v>0</v>
      </c>
      <c r="I272" s="15" t="s">
        <v>1777</v>
      </c>
      <c r="J272" s="15" t="s">
        <v>2109</v>
      </c>
      <c r="K272" s="15" t="s">
        <v>69</v>
      </c>
      <c r="L272" s="18" t="str">
        <f t="shared" si="17"/>
        <v>ÇELTİKÇİ BELEDİYE BAŞKANLIĞI BURDUR</v>
      </c>
      <c r="M272" s="18" t="str">
        <f t="shared" si="18"/>
        <v>ÇELTİKÇİ</v>
      </c>
    </row>
    <row r="273" spans="1:14" x14ac:dyDescent="0.25">
      <c r="A273" s="19" t="s">
        <v>2607</v>
      </c>
      <c r="B273" s="27" t="s">
        <v>704</v>
      </c>
      <c r="C273" s="27" t="s">
        <v>2155</v>
      </c>
      <c r="D273">
        <v>10</v>
      </c>
      <c r="E273">
        <v>90001</v>
      </c>
      <c r="F273" s="27" t="s">
        <v>2612</v>
      </c>
      <c r="G273">
        <f t="shared" si="16"/>
        <v>26</v>
      </c>
      <c r="H273" s="9">
        <f>IF(ISERROR(VLOOKUP(A273,Excel4!D:J,7,0)),0,VLOOKUP(A273,Excel4!D:J,7,0))</f>
        <v>12.46</v>
      </c>
      <c r="I273" s="15" t="s">
        <v>1777</v>
      </c>
      <c r="J273" s="20" t="s">
        <v>2155</v>
      </c>
      <c r="K273" s="15" t="s">
        <v>69</v>
      </c>
      <c r="L273" s="18" t="str">
        <f t="shared" si="17"/>
        <v>GÖLHİSAR BELEDİYE BAŞKANLIĞI BURDUR</v>
      </c>
      <c r="M273" s="18" t="str">
        <f t="shared" si="18"/>
        <v>GÖLHİSAR</v>
      </c>
      <c r="N273">
        <f>_xlfn.XLOOKUP(M273,[1]Sheet1!$A:$A,[1]Sheet1!$G:$G)</f>
        <v>0</v>
      </c>
    </row>
    <row r="274" spans="1:14" x14ac:dyDescent="0.25">
      <c r="A274" t="s">
        <v>1095</v>
      </c>
      <c r="B274" t="s">
        <v>2555</v>
      </c>
      <c r="C274" t="s">
        <v>302</v>
      </c>
      <c r="D274">
        <v>12</v>
      </c>
      <c r="E274">
        <v>90001</v>
      </c>
      <c r="F274" t="s">
        <v>1096</v>
      </c>
      <c r="G274">
        <f t="shared" si="16"/>
        <v>26</v>
      </c>
      <c r="H274" s="9">
        <f>IF(ISERROR(VLOOKUP(A274,Excel4!D:J,7,0)),0,VLOOKUP(A274,Excel4!D:J,7,0))</f>
        <v>7.6899999999999995</v>
      </c>
      <c r="I274" s="15" t="s">
        <v>1777</v>
      </c>
      <c r="J274" s="15" t="s">
        <v>302</v>
      </c>
      <c r="K274" s="15" t="s">
        <v>69</v>
      </c>
      <c r="L274" s="18" t="str">
        <f t="shared" si="17"/>
        <v>KARAMANLI BELEDİYE BAŞKANLIĞI BURDUR</v>
      </c>
      <c r="M274" s="18" t="str">
        <f t="shared" si="18"/>
        <v>KARAMANLI</v>
      </c>
      <c r="N274">
        <f>_xlfn.XLOOKUP(M274,[1]Sheet1!$A:$A,[1]Sheet1!$G:$G)</f>
        <v>0</v>
      </c>
    </row>
    <row r="275" spans="1:14" x14ac:dyDescent="0.25">
      <c r="A275" t="s">
        <v>1097</v>
      </c>
      <c r="B275" t="s">
        <v>704</v>
      </c>
      <c r="C275" t="s">
        <v>165</v>
      </c>
      <c r="D275">
        <v>10</v>
      </c>
      <c r="E275">
        <v>90001</v>
      </c>
      <c r="F275" t="s">
        <v>1098</v>
      </c>
      <c r="G275">
        <f t="shared" si="16"/>
        <v>26</v>
      </c>
      <c r="H275" s="9">
        <f>IF(ISERROR(VLOOKUP(A275,Excel4!D:J,7,0)),0,VLOOKUP(A275,Excel4!D:J,7,0))</f>
        <v>0</v>
      </c>
      <c r="I275" s="15" t="s">
        <v>1777</v>
      </c>
      <c r="J275" s="15" t="s">
        <v>165</v>
      </c>
      <c r="K275" s="15" t="s">
        <v>69</v>
      </c>
      <c r="L275" s="18" t="str">
        <f t="shared" si="17"/>
        <v>KEMER BELEDİYE BAŞKANLIĞI BURDUR</v>
      </c>
      <c r="M275" s="18" t="str">
        <f t="shared" si="18"/>
        <v>KEMER</v>
      </c>
      <c r="N275">
        <f>_xlfn.XLOOKUP(M275,[1]Sheet1!$A:$A,[1]Sheet1!$G:$G)</f>
        <v>0</v>
      </c>
    </row>
    <row r="276" spans="1:14" x14ac:dyDescent="0.25">
      <c r="A276" s="19" t="s">
        <v>2269</v>
      </c>
      <c r="G276">
        <f t="shared" ref="G276:G339" si="19">LEN(F276)</f>
        <v>0</v>
      </c>
      <c r="H276" s="9">
        <f>IF(ISERROR(VLOOKUP(A276,Excel4!D:J,7,0)),0,VLOOKUP(A276,Excel4!D:J,7,0))</f>
        <v>0</v>
      </c>
      <c r="I276" s="15" t="s">
        <v>1777</v>
      </c>
      <c r="J276" s="15" t="s">
        <v>2252</v>
      </c>
      <c r="K276" s="15" t="s">
        <v>69</v>
      </c>
      <c r="L276" s="18" t="str">
        <f t="shared" si="17"/>
        <v>KIZILKAYA BELEDİYE BAŞKANLIĞI BURDUR</v>
      </c>
      <c r="M276" s="18" t="str">
        <f t="shared" si="18"/>
        <v>KIZILKAYA</v>
      </c>
    </row>
    <row r="277" spans="1:14" x14ac:dyDescent="0.25">
      <c r="A277" t="s">
        <v>3335</v>
      </c>
      <c r="B277" t="s">
        <v>704</v>
      </c>
      <c r="C277" t="s">
        <v>3349</v>
      </c>
      <c r="D277">
        <v>10</v>
      </c>
      <c r="E277">
        <v>90001</v>
      </c>
      <c r="F277" t="s">
        <v>3350</v>
      </c>
      <c r="G277">
        <f t="shared" si="19"/>
        <v>26</v>
      </c>
      <c r="H277" s="9">
        <f>IF(ISERROR(VLOOKUP(A277,Excel4!D:J,7,0)),0,VLOOKUP(A277,Excel4!D:J,7,0))</f>
        <v>0</v>
      </c>
      <c r="I277" s="15" t="s">
        <v>1777</v>
      </c>
      <c r="J277" s="15" t="s">
        <v>3330</v>
      </c>
      <c r="K277" s="15" t="s">
        <v>69</v>
      </c>
      <c r="L277" s="18" t="str">
        <f t="shared" si="17"/>
        <v>KOCAALİLER BELEDİYE BAŞKANLIĞI BURDUR</v>
      </c>
      <c r="M277" s="18" t="str">
        <f t="shared" si="18"/>
        <v>KOCAALİLER</v>
      </c>
    </row>
    <row r="278" spans="1:14" x14ac:dyDescent="0.25">
      <c r="A278" t="s">
        <v>1099</v>
      </c>
      <c r="B278" t="s">
        <v>704</v>
      </c>
      <c r="C278" t="s">
        <v>34</v>
      </c>
      <c r="D278">
        <v>10</v>
      </c>
      <c r="E278">
        <v>90001</v>
      </c>
      <c r="F278" t="s">
        <v>1100</v>
      </c>
      <c r="G278">
        <f t="shared" si="19"/>
        <v>26</v>
      </c>
      <c r="H278" s="9">
        <f>IF(ISERROR(VLOOKUP(A278,Excel4!D:J,7,0)),0,VLOOKUP(A278,Excel4!D:J,7,0))</f>
        <v>1513.56</v>
      </c>
      <c r="I278" s="15" t="s">
        <v>1777</v>
      </c>
      <c r="J278" s="15" t="s">
        <v>34</v>
      </c>
      <c r="K278" s="15" t="s">
        <v>69</v>
      </c>
      <c r="L278" s="18" t="str">
        <f t="shared" si="17"/>
        <v>BURDUR BELEDİYE BAŞKANLIĞI</v>
      </c>
      <c r="M278" s="18" t="str">
        <f t="shared" si="18"/>
        <v>BURDUR</v>
      </c>
      <c r="N278" t="e">
        <f>_xlfn.XLOOKUP(M278,[1]Sheet1!$C:$C,[1]Sheet1!$G:$G)</f>
        <v>#N/A</v>
      </c>
    </row>
    <row r="279" spans="1:14" x14ac:dyDescent="0.25">
      <c r="A279" s="19" t="s">
        <v>2270</v>
      </c>
      <c r="B279" t="s">
        <v>704</v>
      </c>
      <c r="C279" t="s">
        <v>532</v>
      </c>
      <c r="D279">
        <v>10</v>
      </c>
      <c r="E279">
        <v>90001</v>
      </c>
      <c r="F279" t="s">
        <v>1073</v>
      </c>
      <c r="G279">
        <f t="shared" si="19"/>
        <v>26</v>
      </c>
      <c r="H279" s="9">
        <f>IF(ISERROR(VLOOKUP(A279,Excel4!D:J,7,0)),0,VLOOKUP(A279,Excel4!D:J,7,0))</f>
        <v>0</v>
      </c>
      <c r="I279" s="15" t="s">
        <v>1777</v>
      </c>
      <c r="J279" s="15" t="s">
        <v>532</v>
      </c>
      <c r="K279" s="15" t="s">
        <v>69</v>
      </c>
      <c r="L279" s="18" t="str">
        <f t="shared" si="17"/>
        <v>SÖĞÜT BELEDİYE BAŞKANLIĞI BURDUR</v>
      </c>
      <c r="M279" s="18" t="str">
        <f t="shared" si="18"/>
        <v>SÖĞÜT</v>
      </c>
    </row>
    <row r="280" spans="1:14" x14ac:dyDescent="0.25">
      <c r="A280" t="s">
        <v>1101</v>
      </c>
      <c r="B280" t="s">
        <v>704</v>
      </c>
      <c r="C280" t="s">
        <v>536</v>
      </c>
      <c r="D280">
        <v>10</v>
      </c>
      <c r="E280">
        <v>90001</v>
      </c>
      <c r="F280" t="s">
        <v>1102</v>
      </c>
      <c r="G280">
        <f t="shared" si="19"/>
        <v>26</v>
      </c>
      <c r="H280" s="9">
        <f>IF(ISERROR(VLOOKUP(A280,Excel4!D:J,7,0)),0,VLOOKUP(A280,Excel4!D:J,7,0))</f>
        <v>0</v>
      </c>
      <c r="I280" s="15" t="s">
        <v>1777</v>
      </c>
      <c r="J280" s="15" t="s">
        <v>536</v>
      </c>
      <c r="K280" s="15" t="s">
        <v>69</v>
      </c>
      <c r="L280" s="18" t="str">
        <f t="shared" si="17"/>
        <v>TEFENNİ BELEDİYE BAŞKANLIĞI BURDUR</v>
      </c>
      <c r="M280" s="18" t="str">
        <f t="shared" si="18"/>
        <v>TEFENNİ</v>
      </c>
    </row>
    <row r="281" spans="1:14" x14ac:dyDescent="0.25">
      <c r="A281" t="s">
        <v>2442</v>
      </c>
      <c r="B281" t="s">
        <v>704</v>
      </c>
      <c r="C281" t="s">
        <v>2263</v>
      </c>
      <c r="D281">
        <v>10</v>
      </c>
      <c r="E281">
        <v>90001</v>
      </c>
      <c r="F281" t="s">
        <v>2443</v>
      </c>
      <c r="G281">
        <f t="shared" si="19"/>
        <v>26</v>
      </c>
      <c r="H281" s="9">
        <f>IF(ISERROR(VLOOKUP(A281,Excel4!D:J,7,0)),0,VLOOKUP(A281,Excel4!D:J,7,0))</f>
        <v>0</v>
      </c>
      <c r="I281" s="15" t="s">
        <v>1777</v>
      </c>
      <c r="J281" s="15" t="s">
        <v>2263</v>
      </c>
      <c r="K281" s="15" t="s">
        <v>69</v>
      </c>
      <c r="L281" s="18" t="str">
        <f t="shared" si="17"/>
        <v>YEŞİLOVA BELEDİYE BAŞKANLIĞI BURDUR</v>
      </c>
      <c r="M281" s="18" t="str">
        <f t="shared" si="18"/>
        <v>YEŞİLOVA</v>
      </c>
    </row>
    <row r="282" spans="1:14" x14ac:dyDescent="0.25">
      <c r="A282" s="19" t="s">
        <v>2919</v>
      </c>
      <c r="B282" t="s">
        <v>2555</v>
      </c>
      <c r="C282" t="s">
        <v>303</v>
      </c>
      <c r="D282">
        <v>12</v>
      </c>
      <c r="E282">
        <v>9286</v>
      </c>
      <c r="F282" t="s">
        <v>1112</v>
      </c>
      <c r="G282">
        <f t="shared" si="19"/>
        <v>26</v>
      </c>
      <c r="H282" s="9">
        <f>IF(ISERROR(VLOOKUP(A282,Excel4!D:J,7,0)),0,VLOOKUP(A282,Excel4!D:J,7,0))</f>
        <v>0</v>
      </c>
      <c r="I282" s="15" t="s">
        <v>1777</v>
      </c>
      <c r="J282" s="20" t="s">
        <v>2773</v>
      </c>
      <c r="K282" s="15" t="s">
        <v>52</v>
      </c>
      <c r="L282" s="18" t="str">
        <f t="shared" si="17"/>
        <v>BOYALICA BELEDİYE BAŞKANLIĞI BURSA</v>
      </c>
      <c r="M282" s="18" t="str">
        <f t="shared" si="18"/>
        <v>BOYALICA</v>
      </c>
    </row>
    <row r="283" spans="1:14" x14ac:dyDescent="0.25">
      <c r="A283" t="s">
        <v>1897</v>
      </c>
      <c r="B283" t="s">
        <v>2555</v>
      </c>
      <c r="C283" t="s">
        <v>1765</v>
      </c>
      <c r="D283">
        <v>12</v>
      </c>
      <c r="E283">
        <v>90001</v>
      </c>
      <c r="F283" t="s">
        <v>395</v>
      </c>
      <c r="G283">
        <f t="shared" si="19"/>
        <v>26</v>
      </c>
      <c r="H283" s="9">
        <f>IF(ISERROR(VLOOKUP(A283,Excel4!D:J,7,0)),0,VLOOKUP(A283,Excel4!D:J,7,0))</f>
        <v>103235.70000000001</v>
      </c>
      <c r="I283" s="15" t="s">
        <v>1777</v>
      </c>
      <c r="J283" s="15" t="s">
        <v>27</v>
      </c>
      <c r="K283" s="15" t="s">
        <v>52</v>
      </c>
      <c r="L283" s="18" t="str">
        <f t="shared" si="17"/>
        <v>BURSA BÜYÜKŞEHİR BELEDİYE BAŞKANLIĞI</v>
      </c>
      <c r="M283" s="18" t="str">
        <f t="shared" si="18"/>
        <v>BURSA BÜYÜKŞEHİR</v>
      </c>
      <c r="N283" t="e">
        <f>_xlfn.XLOOKUP(M283,[1]Sheet1!$C:$C,[1]Sheet1!$G:$G)</f>
        <v>#N/A</v>
      </c>
    </row>
    <row r="284" spans="1:14" x14ac:dyDescent="0.25">
      <c r="A284" s="19" t="s">
        <v>2920</v>
      </c>
      <c r="B284" s="19" t="s">
        <v>704</v>
      </c>
      <c r="C284" t="s">
        <v>2109</v>
      </c>
      <c r="D284">
        <v>10</v>
      </c>
      <c r="F284" t="s">
        <v>2121</v>
      </c>
      <c r="G284">
        <f t="shared" si="19"/>
        <v>26</v>
      </c>
      <c r="H284" s="9">
        <f>IF(ISERROR(VLOOKUP(A284,Excel4!D:J,7,0)),0,VLOOKUP(A284,Excel4!D:J,7,0))</f>
        <v>0</v>
      </c>
      <c r="I284" s="15" t="s">
        <v>1777</v>
      </c>
      <c r="J284" s="20" t="s">
        <v>2109</v>
      </c>
      <c r="K284" s="15" t="s">
        <v>52</v>
      </c>
      <c r="L284" s="18" t="str">
        <f t="shared" si="17"/>
        <v>ÇELTİKÇİ BELEDİYE BAŞKANLIĞI BURSA</v>
      </c>
      <c r="M284" s="18" t="str">
        <f t="shared" si="18"/>
        <v>ÇELTİKÇİ</v>
      </c>
    </row>
    <row r="285" spans="1:14" x14ac:dyDescent="0.25">
      <c r="A285" t="s">
        <v>1103</v>
      </c>
      <c r="B285" t="s">
        <v>2555</v>
      </c>
      <c r="C285" t="s">
        <v>53</v>
      </c>
      <c r="D285">
        <v>12</v>
      </c>
      <c r="E285">
        <v>90001</v>
      </c>
      <c r="F285" t="s">
        <v>1104</v>
      </c>
      <c r="G285">
        <f t="shared" si="19"/>
        <v>26</v>
      </c>
      <c r="H285" s="9">
        <f>IF(ISERROR(VLOOKUP(A285,Excel4!D:J,7,0)),0,VLOOKUP(A285,Excel4!D:J,7,0))</f>
        <v>0</v>
      </c>
      <c r="I285" s="15" t="s">
        <v>1777</v>
      </c>
      <c r="J285" s="15" t="s">
        <v>53</v>
      </c>
      <c r="K285" s="15" t="s">
        <v>52</v>
      </c>
      <c r="L285" s="18" t="str">
        <f t="shared" si="17"/>
        <v>GEMLİK BELEDİYE BAŞKANLIĞI BURSA</v>
      </c>
      <c r="M285" s="18" t="str">
        <f t="shared" si="18"/>
        <v>GEMLİK</v>
      </c>
    </row>
    <row r="286" spans="1:14" x14ac:dyDescent="0.25">
      <c r="A286" t="s">
        <v>1105</v>
      </c>
      <c r="B286" t="s">
        <v>2555</v>
      </c>
      <c r="C286" t="s">
        <v>252</v>
      </c>
      <c r="D286">
        <v>12</v>
      </c>
      <c r="E286">
        <v>90001</v>
      </c>
      <c r="F286" t="s">
        <v>1106</v>
      </c>
      <c r="G286">
        <f t="shared" si="19"/>
        <v>26</v>
      </c>
      <c r="H286" s="9">
        <f>IF(ISERROR(VLOOKUP(A286,Excel4!D:J,7,0)),0,VLOOKUP(A286,Excel4!D:J,7,0))</f>
        <v>0</v>
      </c>
      <c r="I286" s="15" t="s">
        <v>1777</v>
      </c>
      <c r="J286" s="15" t="s">
        <v>252</v>
      </c>
      <c r="K286" s="15" t="s">
        <v>52</v>
      </c>
      <c r="L286" s="18" t="str">
        <f t="shared" si="17"/>
        <v>GÜRSU BELEDİYE BAŞKANLIĞI BURSA</v>
      </c>
      <c r="M286" s="18" t="str">
        <f t="shared" si="18"/>
        <v>GÜRSU</v>
      </c>
    </row>
    <row r="287" spans="1:14" x14ac:dyDescent="0.25">
      <c r="A287" t="s">
        <v>1107</v>
      </c>
      <c r="B287" t="s">
        <v>704</v>
      </c>
      <c r="C287" t="s">
        <v>537</v>
      </c>
      <c r="D287">
        <v>10</v>
      </c>
      <c r="E287">
        <v>90001</v>
      </c>
      <c r="F287" t="s">
        <v>1108</v>
      </c>
      <c r="G287">
        <f t="shared" si="19"/>
        <v>26</v>
      </c>
      <c r="H287" s="9">
        <f>IF(ISERROR(VLOOKUP(A287,Excel4!D:J,7,0)),0,VLOOKUP(A287,Excel4!D:J,7,0))</f>
        <v>0</v>
      </c>
      <c r="I287" s="15" t="s">
        <v>1777</v>
      </c>
      <c r="J287" s="15" t="s">
        <v>537</v>
      </c>
      <c r="K287" s="15" t="s">
        <v>52</v>
      </c>
      <c r="L287" s="18" t="str">
        <f t="shared" si="17"/>
        <v>HARMANCIK BELEDİYE BAŞKANLIĞI BURSA</v>
      </c>
      <c r="M287" s="18" t="str">
        <f t="shared" si="18"/>
        <v>HARMANCIK</v>
      </c>
    </row>
    <row r="288" spans="1:14" x14ac:dyDescent="0.25">
      <c r="A288" t="s">
        <v>1109</v>
      </c>
      <c r="B288" t="s">
        <v>704</v>
      </c>
      <c r="C288" t="s">
        <v>54</v>
      </c>
      <c r="D288">
        <v>10</v>
      </c>
      <c r="E288">
        <v>90001</v>
      </c>
      <c r="F288" t="s">
        <v>1110</v>
      </c>
      <c r="G288">
        <f t="shared" si="19"/>
        <v>26</v>
      </c>
      <c r="H288" s="9">
        <f>IF(ISERROR(VLOOKUP(A288,Excel4!D:J,7,0)),0,VLOOKUP(A288,Excel4!D:J,7,0))</f>
        <v>0</v>
      </c>
      <c r="I288" s="15" t="s">
        <v>1777</v>
      </c>
      <c r="J288" s="15" t="s">
        <v>54</v>
      </c>
      <c r="K288" s="15" t="s">
        <v>52</v>
      </c>
      <c r="L288" s="18" t="str">
        <f t="shared" si="17"/>
        <v>İNEGÖL BELEDİYE BAŞKANLIĞI BURSA</v>
      </c>
      <c r="M288" s="18" t="str">
        <f t="shared" si="18"/>
        <v>İNEGÖL</v>
      </c>
    </row>
    <row r="289" spans="1:14" x14ac:dyDescent="0.25">
      <c r="A289" t="s">
        <v>1111</v>
      </c>
      <c r="B289" t="s">
        <v>2555</v>
      </c>
      <c r="C289" t="s">
        <v>303</v>
      </c>
      <c r="D289">
        <v>12</v>
      </c>
      <c r="E289">
        <v>90001</v>
      </c>
      <c r="F289" t="s">
        <v>1112</v>
      </c>
      <c r="G289">
        <f t="shared" si="19"/>
        <v>26</v>
      </c>
      <c r="H289" s="9">
        <f>IF(ISERROR(VLOOKUP(A289,Excel4!D:J,7,0)),0,VLOOKUP(A289,Excel4!D:J,7,0))</f>
        <v>0</v>
      </c>
      <c r="I289" s="15" t="s">
        <v>1777</v>
      </c>
      <c r="J289" s="15" t="s">
        <v>303</v>
      </c>
      <c r="K289" s="15" t="s">
        <v>52</v>
      </c>
      <c r="L289" s="18" t="str">
        <f t="shared" si="17"/>
        <v>İZNİK BELEDİYE BAŞKANLIĞI BURSA</v>
      </c>
      <c r="M289" s="18" t="str">
        <f t="shared" si="18"/>
        <v>İZNİK</v>
      </c>
    </row>
    <row r="290" spans="1:14" x14ac:dyDescent="0.25">
      <c r="A290" t="s">
        <v>1113</v>
      </c>
      <c r="B290" t="s">
        <v>704</v>
      </c>
      <c r="C290" t="s">
        <v>361</v>
      </c>
      <c r="D290">
        <v>10</v>
      </c>
      <c r="E290">
        <v>90001</v>
      </c>
      <c r="F290" t="s">
        <v>1114</v>
      </c>
      <c r="G290">
        <f t="shared" si="19"/>
        <v>26</v>
      </c>
      <c r="H290" s="9">
        <f>IF(ISERROR(VLOOKUP(A290,Excel4!D:J,7,0)),0,VLOOKUP(A290,Excel4!D:J,7,0))</f>
        <v>0</v>
      </c>
      <c r="I290" s="15" t="s">
        <v>1777</v>
      </c>
      <c r="J290" s="15" t="s">
        <v>361</v>
      </c>
      <c r="K290" s="15" t="s">
        <v>52</v>
      </c>
      <c r="L290" s="18" t="str">
        <f t="shared" si="17"/>
        <v>KARACABEY BELEDİYE BAŞKANLIĞI BURSA</v>
      </c>
      <c r="M290" s="18" t="str">
        <f t="shared" si="18"/>
        <v>KARACABEY</v>
      </c>
    </row>
    <row r="291" spans="1:14" x14ac:dyDescent="0.25">
      <c r="A291" t="s">
        <v>1115</v>
      </c>
      <c r="B291" t="s">
        <v>704</v>
      </c>
      <c r="C291" t="s">
        <v>75</v>
      </c>
      <c r="D291">
        <v>10</v>
      </c>
      <c r="E291">
        <v>90001</v>
      </c>
      <c r="F291" t="s">
        <v>1116</v>
      </c>
      <c r="G291">
        <f t="shared" si="19"/>
        <v>26</v>
      </c>
      <c r="H291" s="9">
        <f>IF(ISERROR(VLOOKUP(A291,Excel4!D:J,7,0)),0,VLOOKUP(A291,Excel4!D:J,7,0))</f>
        <v>0</v>
      </c>
      <c r="I291" s="15" t="s">
        <v>1777</v>
      </c>
      <c r="J291" s="15" t="s">
        <v>75</v>
      </c>
      <c r="K291" s="15" t="s">
        <v>52</v>
      </c>
      <c r="L291" s="18" t="str">
        <f t="shared" si="17"/>
        <v>KESTEL BELEDİYE BAŞKANLIĞI BURSA</v>
      </c>
      <c r="M291" s="18" t="str">
        <f t="shared" si="18"/>
        <v>KESTEL</v>
      </c>
    </row>
    <row r="292" spans="1:14" x14ac:dyDescent="0.25">
      <c r="A292" t="s">
        <v>1117</v>
      </c>
      <c r="B292" t="s">
        <v>699</v>
      </c>
      <c r="C292" t="s">
        <v>168</v>
      </c>
      <c r="D292">
        <v>15</v>
      </c>
      <c r="E292">
        <v>90001</v>
      </c>
      <c r="F292" t="s">
        <v>1118</v>
      </c>
      <c r="G292">
        <f t="shared" si="19"/>
        <v>26</v>
      </c>
      <c r="H292" s="9">
        <f>IF(ISERROR(VLOOKUP(A292,Excel4!D:J,7,0)),0,VLOOKUP(A292,Excel4!D:J,7,0))</f>
        <v>0</v>
      </c>
      <c r="I292" s="15" t="s">
        <v>1777</v>
      </c>
      <c r="J292" s="15" t="s">
        <v>168</v>
      </c>
      <c r="K292" s="15" t="s">
        <v>52</v>
      </c>
      <c r="L292" s="18" t="str">
        <f t="shared" ref="L292:L355" si="20">IF(J292="MERKEZ",K292&amp;" "&amp;I292,IF(J292="BÜYÜKŞEHİR",K292&amp;" "&amp;J292&amp;" "&amp;I292,J292&amp;" "&amp;I292&amp;" "&amp;K292))</f>
        <v>MUDANYA BELEDİYE BAŞKANLIĞI BURSA</v>
      </c>
      <c r="M292" s="18" t="str">
        <f t="shared" si="18"/>
        <v>MUDANYA</v>
      </c>
    </row>
    <row r="293" spans="1:14" x14ac:dyDescent="0.25">
      <c r="A293" t="s">
        <v>1119</v>
      </c>
      <c r="B293" t="s">
        <v>699</v>
      </c>
      <c r="C293" t="s">
        <v>94</v>
      </c>
      <c r="D293">
        <v>15</v>
      </c>
      <c r="E293">
        <v>90001</v>
      </c>
      <c r="F293" t="s">
        <v>1120</v>
      </c>
      <c r="G293">
        <f t="shared" si="19"/>
        <v>26</v>
      </c>
      <c r="H293" s="9">
        <f>IF(ISERROR(VLOOKUP(A293,Excel4!D:J,7,0)),0,VLOOKUP(A293,Excel4!D:J,7,0))</f>
        <v>0</v>
      </c>
      <c r="I293" s="15" t="s">
        <v>1777</v>
      </c>
      <c r="J293" s="15" t="s">
        <v>94</v>
      </c>
      <c r="K293" s="15" t="s">
        <v>52</v>
      </c>
      <c r="L293" s="18" t="str">
        <f t="shared" si="20"/>
        <v>MUSTAFAKEMALPAŞA BELEDİYE BAŞKANLIĞI BURSA</v>
      </c>
      <c r="M293" s="18" t="str">
        <f t="shared" si="18"/>
        <v>MUSTAFAKEMALPAŞA</v>
      </c>
    </row>
    <row r="294" spans="1:14" x14ac:dyDescent="0.25">
      <c r="A294" t="s">
        <v>1121</v>
      </c>
      <c r="B294" t="s">
        <v>704</v>
      </c>
      <c r="C294" t="s">
        <v>538</v>
      </c>
      <c r="D294">
        <v>10</v>
      </c>
      <c r="E294">
        <v>90001</v>
      </c>
      <c r="F294" t="s">
        <v>1122</v>
      </c>
      <c r="G294">
        <f t="shared" si="19"/>
        <v>26</v>
      </c>
      <c r="H294" s="9">
        <f>IF(ISERROR(VLOOKUP(A294,Excel4!D:J,7,0)),0,VLOOKUP(A294,Excel4!D:J,7,0))</f>
        <v>0</v>
      </c>
      <c r="I294" s="15" t="s">
        <v>1777</v>
      </c>
      <c r="J294" s="15" t="s">
        <v>538</v>
      </c>
      <c r="K294" s="15" t="s">
        <v>52</v>
      </c>
      <c r="L294" s="18" t="str">
        <f t="shared" si="20"/>
        <v>ORHANELİ BELEDİYE BAŞKANLIĞI BURSA</v>
      </c>
      <c r="M294" s="18" t="str">
        <f t="shared" si="18"/>
        <v>ORHANELİ</v>
      </c>
    </row>
    <row r="295" spans="1:14" x14ac:dyDescent="0.25">
      <c r="A295" t="s">
        <v>1123</v>
      </c>
      <c r="B295" t="s">
        <v>704</v>
      </c>
      <c r="C295" t="s">
        <v>169</v>
      </c>
      <c r="D295">
        <v>10</v>
      </c>
      <c r="E295">
        <v>90001</v>
      </c>
      <c r="F295" t="s">
        <v>1124</v>
      </c>
      <c r="G295">
        <f t="shared" si="19"/>
        <v>26</v>
      </c>
      <c r="H295" s="9">
        <f>IF(ISERROR(VLOOKUP(A295,Excel4!D:J,7,0)),0,VLOOKUP(A295,Excel4!D:J,7,0))</f>
        <v>0</v>
      </c>
      <c r="I295" s="15" t="s">
        <v>1777</v>
      </c>
      <c r="J295" s="15" t="s">
        <v>169</v>
      </c>
      <c r="K295" s="15" t="s">
        <v>52</v>
      </c>
      <c r="L295" s="18" t="str">
        <f t="shared" si="20"/>
        <v>ORHANGAZİ BELEDİYE BAŞKANLIĞI BURSA</v>
      </c>
      <c r="M295" s="18" t="str">
        <f t="shared" si="18"/>
        <v>ORHANGAZİ</v>
      </c>
    </row>
    <row r="296" spans="1:14" x14ac:dyDescent="0.25">
      <c r="A296" t="s">
        <v>1125</v>
      </c>
      <c r="B296" t="s">
        <v>2555</v>
      </c>
      <c r="C296" t="s">
        <v>438</v>
      </c>
      <c r="D296">
        <v>12</v>
      </c>
      <c r="E296">
        <v>90001</v>
      </c>
      <c r="F296" t="s">
        <v>1126</v>
      </c>
      <c r="G296">
        <f t="shared" si="19"/>
        <v>26</v>
      </c>
      <c r="H296" s="9">
        <f>IF(ISERROR(VLOOKUP(A296,Excel4!D:J,7,0)),0,VLOOKUP(A296,Excel4!D:J,7,0))</f>
        <v>0</v>
      </c>
      <c r="I296" s="15" t="s">
        <v>1777</v>
      </c>
      <c r="J296" s="15" t="s">
        <v>438</v>
      </c>
      <c r="K296" s="15" t="s">
        <v>52</v>
      </c>
      <c r="L296" s="18" t="str">
        <f t="shared" si="20"/>
        <v>TATKAVAKLI BELEDİYE BAŞKANLIĞI BURSA</v>
      </c>
      <c r="M296" s="18" t="str">
        <f t="shared" si="18"/>
        <v>TATKAVAKLI</v>
      </c>
    </row>
    <row r="297" spans="1:14" x14ac:dyDescent="0.25">
      <c r="A297" t="s">
        <v>1127</v>
      </c>
      <c r="B297" t="s">
        <v>704</v>
      </c>
      <c r="C297" t="s">
        <v>56</v>
      </c>
      <c r="D297">
        <v>10</v>
      </c>
      <c r="E297">
        <v>90001</v>
      </c>
      <c r="F297" t="s">
        <v>1128</v>
      </c>
      <c r="G297">
        <f t="shared" si="19"/>
        <v>26</v>
      </c>
      <c r="H297" s="9">
        <f>IF(ISERROR(VLOOKUP(A297,Excel4!D:J,7,0)),0,VLOOKUP(A297,Excel4!D:J,7,0))</f>
        <v>0</v>
      </c>
      <c r="I297" s="15" t="s">
        <v>1777</v>
      </c>
      <c r="J297" s="15" t="s">
        <v>56</v>
      </c>
      <c r="K297" s="15" t="s">
        <v>52</v>
      </c>
      <c r="L297" s="18" t="str">
        <f t="shared" si="20"/>
        <v>YENİŞEHİR BELEDİYE BAŞKANLIĞI BURSA</v>
      </c>
      <c r="M297" s="18" t="str">
        <f t="shared" si="18"/>
        <v>YENİŞEHİR</v>
      </c>
    </row>
    <row r="298" spans="1:14" x14ac:dyDescent="0.25">
      <c r="A298" s="19" t="s">
        <v>2921</v>
      </c>
      <c r="B298" s="19" t="s">
        <v>704</v>
      </c>
      <c r="C298" t="s">
        <v>2365</v>
      </c>
      <c r="D298">
        <v>10</v>
      </c>
      <c r="E298">
        <v>90001</v>
      </c>
      <c r="F298" t="s">
        <v>2935</v>
      </c>
      <c r="G298">
        <f t="shared" si="19"/>
        <v>26</v>
      </c>
      <c r="H298" s="9">
        <f>IF(ISERROR(VLOOKUP(A298,Excel4!D:J,7,0)),0,VLOOKUP(A298,Excel4!D:J,7,0))</f>
        <v>0</v>
      </c>
      <c r="I298" s="15" t="s">
        <v>1777</v>
      </c>
      <c r="J298" s="20" t="s">
        <v>2942</v>
      </c>
      <c r="K298" s="15" t="s">
        <v>2945</v>
      </c>
      <c r="L298" s="18" t="str">
        <f t="shared" si="20"/>
        <v>KUMKALEALE BELEDİYE BAŞKANLIĞI ÇANAKK</v>
      </c>
      <c r="M298" s="18" t="str">
        <f t="shared" si="18"/>
        <v>KUMKALEALE</v>
      </c>
    </row>
    <row r="299" spans="1:14" x14ac:dyDescent="0.25">
      <c r="A299" t="s">
        <v>1129</v>
      </c>
      <c r="B299" t="s">
        <v>704</v>
      </c>
      <c r="C299" t="s">
        <v>4</v>
      </c>
      <c r="D299">
        <v>10</v>
      </c>
      <c r="E299">
        <v>90001</v>
      </c>
      <c r="F299" t="s">
        <v>1130</v>
      </c>
      <c r="G299">
        <f t="shared" si="19"/>
        <v>26</v>
      </c>
      <c r="H299" s="9">
        <f>IF(ISERROR(VLOOKUP(A299,Excel4!D:J,7,0)),0,VLOOKUP(A299,Excel4!D:J,7,0))</f>
        <v>1694.1200000000001</v>
      </c>
      <c r="I299" s="15" t="s">
        <v>1777</v>
      </c>
      <c r="J299" s="15" t="s">
        <v>4</v>
      </c>
      <c r="K299" s="15" t="s">
        <v>55</v>
      </c>
      <c r="L299" s="18" t="str">
        <f t="shared" si="20"/>
        <v>AYVACIK BELEDİYE BAŞKANLIĞI ÇANAKKALE</v>
      </c>
      <c r="M299" s="18" t="str">
        <f t="shared" si="18"/>
        <v>AYVACIK</v>
      </c>
      <c r="N299">
        <f>_xlfn.XLOOKUP(M299,[1]Sheet1!$A:$A,[1]Sheet1!$G:$G)</f>
        <v>0</v>
      </c>
    </row>
    <row r="300" spans="1:14" x14ac:dyDescent="0.25">
      <c r="A300" t="s">
        <v>1131</v>
      </c>
      <c r="B300" t="s">
        <v>704</v>
      </c>
      <c r="C300" t="s">
        <v>439</v>
      </c>
      <c r="D300">
        <v>10</v>
      </c>
      <c r="E300">
        <v>90001</v>
      </c>
      <c r="F300" t="s">
        <v>1132</v>
      </c>
      <c r="G300">
        <f t="shared" si="19"/>
        <v>26</v>
      </c>
      <c r="H300" s="9">
        <f>IF(ISERROR(VLOOKUP(A300,Excel4!D:J,7,0)),0,VLOOKUP(A300,Excel4!D:J,7,0))</f>
        <v>22.93</v>
      </c>
      <c r="I300" s="15" t="s">
        <v>1777</v>
      </c>
      <c r="J300" s="15" t="s">
        <v>439</v>
      </c>
      <c r="K300" s="15" t="s">
        <v>55</v>
      </c>
      <c r="L300" s="18" t="str">
        <f t="shared" si="20"/>
        <v>BAYRAMİÇ BELEDİYE BAŞKANLIĞI ÇANAKKALE</v>
      </c>
      <c r="M300" s="18" t="str">
        <f t="shared" si="18"/>
        <v>BAYRAMİÇ</v>
      </c>
    </row>
    <row r="301" spans="1:14" x14ac:dyDescent="0.25">
      <c r="A301" t="s">
        <v>1133</v>
      </c>
      <c r="B301" t="s">
        <v>704</v>
      </c>
      <c r="C301" t="s">
        <v>153</v>
      </c>
      <c r="D301">
        <v>10</v>
      </c>
      <c r="E301">
        <v>90001</v>
      </c>
      <c r="F301" t="s">
        <v>1134</v>
      </c>
      <c r="G301">
        <f t="shared" si="19"/>
        <v>26</v>
      </c>
      <c r="H301" s="9">
        <f>IF(ISERROR(VLOOKUP(A301,Excel4!D:J,7,0)),0,VLOOKUP(A301,Excel4!D:J,7,0))</f>
        <v>917.82999999999993</v>
      </c>
      <c r="I301" s="15" t="s">
        <v>1777</v>
      </c>
      <c r="J301" s="15" t="s">
        <v>153</v>
      </c>
      <c r="K301" s="15" t="s">
        <v>55</v>
      </c>
      <c r="L301" s="18" t="str">
        <f t="shared" si="20"/>
        <v>BİGA BELEDİYE BAŞKANLIĞI ÇANAKKALE</v>
      </c>
      <c r="M301" s="18" t="str">
        <f t="shared" si="18"/>
        <v>BİGA</v>
      </c>
      <c r="N301">
        <f>_xlfn.XLOOKUP(M301,[1]Sheet1!$A:$A,[1]Sheet1!$G:$G)</f>
        <v>0</v>
      </c>
    </row>
    <row r="302" spans="1:14" x14ac:dyDescent="0.25">
      <c r="A302" t="s">
        <v>1135</v>
      </c>
      <c r="B302" t="s">
        <v>704</v>
      </c>
      <c r="C302" t="s">
        <v>80</v>
      </c>
      <c r="D302">
        <v>10</v>
      </c>
      <c r="E302">
        <v>90001</v>
      </c>
      <c r="F302" t="s">
        <v>1136</v>
      </c>
      <c r="G302">
        <f t="shared" si="19"/>
        <v>26</v>
      </c>
      <c r="H302" s="9">
        <f>IF(ISERROR(VLOOKUP(A302,Excel4!D:J,7,0)),0,VLOOKUP(A302,Excel4!D:J,7,0))</f>
        <v>0</v>
      </c>
      <c r="I302" s="15" t="s">
        <v>1777</v>
      </c>
      <c r="J302" s="15" t="s">
        <v>80</v>
      </c>
      <c r="K302" s="15" t="s">
        <v>55</v>
      </c>
      <c r="L302" s="18" t="str">
        <f t="shared" si="20"/>
        <v>BOLAYIR BELEDİYE BAŞKANLIĞI ÇANAKKALE</v>
      </c>
      <c r="M302" s="18" t="str">
        <f t="shared" si="18"/>
        <v>BOLAYIR</v>
      </c>
    </row>
    <row r="303" spans="1:14" x14ac:dyDescent="0.25">
      <c r="A303" t="s">
        <v>1137</v>
      </c>
      <c r="B303" t="s">
        <v>704</v>
      </c>
      <c r="C303" t="s">
        <v>68</v>
      </c>
      <c r="D303">
        <v>10</v>
      </c>
      <c r="E303">
        <v>90001</v>
      </c>
      <c r="F303" t="s">
        <v>1138</v>
      </c>
      <c r="G303">
        <f t="shared" si="19"/>
        <v>26</v>
      </c>
      <c r="H303" s="9">
        <f>IF(ISERROR(VLOOKUP(A303,Excel4!D:J,7,0)),0,VLOOKUP(A303,Excel4!D:J,7,0))</f>
        <v>761.8900000000001</v>
      </c>
      <c r="I303" s="15" t="s">
        <v>1777</v>
      </c>
      <c r="J303" s="15" t="s">
        <v>68</v>
      </c>
      <c r="K303" s="15" t="s">
        <v>55</v>
      </c>
      <c r="L303" s="18" t="str">
        <f t="shared" si="20"/>
        <v>BOZCAADA BELEDİYE BAŞKANLIĞI ÇANAKKALE</v>
      </c>
      <c r="M303" s="18" t="str">
        <f t="shared" si="18"/>
        <v>BOZCAADA</v>
      </c>
      <c r="N303">
        <f>_xlfn.XLOOKUP(M303,[1]Sheet1!$A:$A,[1]Sheet1!$G:$G)</f>
        <v>0</v>
      </c>
    </row>
    <row r="304" spans="1:14" x14ac:dyDescent="0.25">
      <c r="A304" t="s">
        <v>1139</v>
      </c>
      <c r="B304" t="s">
        <v>704</v>
      </c>
      <c r="C304" t="s">
        <v>341</v>
      </c>
      <c r="D304">
        <v>10</v>
      </c>
      <c r="E304">
        <v>90001</v>
      </c>
      <c r="F304" t="s">
        <v>1140</v>
      </c>
      <c r="G304">
        <f t="shared" si="19"/>
        <v>26</v>
      </c>
      <c r="H304" s="9">
        <f>IF(ISERROR(VLOOKUP(A304,Excel4!D:J,7,0)),0,VLOOKUP(A304,Excel4!D:J,7,0))</f>
        <v>384.49</v>
      </c>
      <c r="I304" s="15" t="s">
        <v>1777</v>
      </c>
      <c r="J304" s="15" t="s">
        <v>341</v>
      </c>
      <c r="K304" s="15" t="s">
        <v>55</v>
      </c>
      <c r="L304" s="18" t="str">
        <f t="shared" si="20"/>
        <v>ÇAN BELEDİYE BAŞKANLIĞI ÇANAKKALE</v>
      </c>
      <c r="M304" s="18" t="str">
        <f t="shared" si="18"/>
        <v>ÇAN</v>
      </c>
      <c r="N304">
        <f>_xlfn.XLOOKUP(M304,[1]Sheet1!$A:$A,[1]Sheet1!$G:$G)</f>
        <v>0</v>
      </c>
    </row>
    <row r="305" spans="1:14" x14ac:dyDescent="0.25">
      <c r="A305" t="s">
        <v>2608</v>
      </c>
      <c r="B305" s="27" t="s">
        <v>704</v>
      </c>
      <c r="C305" s="19" t="s">
        <v>541</v>
      </c>
      <c r="D305">
        <v>10</v>
      </c>
      <c r="E305">
        <v>90001</v>
      </c>
      <c r="F305" t="s">
        <v>2613</v>
      </c>
      <c r="G305">
        <f t="shared" si="19"/>
        <v>26</v>
      </c>
      <c r="H305" s="9">
        <f>IF(ISERROR(VLOOKUP(A305,Excel4!D:J,7,0)),0,VLOOKUP(A305,Excel4!D:J,7,0))</f>
        <v>0</v>
      </c>
      <c r="I305" s="15" t="s">
        <v>1777</v>
      </c>
      <c r="J305" s="20" t="s">
        <v>539</v>
      </c>
      <c r="K305" s="15" t="s">
        <v>55</v>
      </c>
      <c r="L305" s="18" t="str">
        <f t="shared" si="20"/>
        <v>ÇARDAK BELEDİYE BAŞKANLIĞI ÇANAKKALE</v>
      </c>
      <c r="M305" s="18" t="str">
        <f t="shared" si="18"/>
        <v>ÇARDAK</v>
      </c>
    </row>
    <row r="306" spans="1:14" x14ac:dyDescent="0.25">
      <c r="A306" t="s">
        <v>1141</v>
      </c>
      <c r="B306" t="s">
        <v>704</v>
      </c>
      <c r="C306" t="s">
        <v>97</v>
      </c>
      <c r="D306">
        <v>10</v>
      </c>
      <c r="E306">
        <v>90001</v>
      </c>
      <c r="F306" t="s">
        <v>1142</v>
      </c>
      <c r="G306">
        <f t="shared" si="19"/>
        <v>26</v>
      </c>
      <c r="H306" s="9">
        <f>IF(ISERROR(VLOOKUP(A306,Excel4!D:J,7,0)),0,VLOOKUP(A306,Excel4!D:J,7,0))</f>
        <v>468.11</v>
      </c>
      <c r="I306" s="15" t="s">
        <v>1777</v>
      </c>
      <c r="J306" s="15" t="s">
        <v>97</v>
      </c>
      <c r="K306" s="15" t="s">
        <v>55</v>
      </c>
      <c r="L306" s="18" t="str">
        <f t="shared" si="20"/>
        <v>ECEABAT BELEDİYE BAŞKANLIĞI ÇANAKKALE</v>
      </c>
      <c r="M306" s="18" t="str">
        <f t="shared" si="18"/>
        <v>ECEABAT</v>
      </c>
      <c r="N306">
        <f>_xlfn.XLOOKUP(M306,[1]Sheet1!$A:$A,[1]Sheet1!$G:$G)</f>
        <v>0</v>
      </c>
    </row>
    <row r="307" spans="1:14" x14ac:dyDescent="0.25">
      <c r="A307" s="19" t="s">
        <v>2333</v>
      </c>
      <c r="B307" s="19" t="s">
        <v>704</v>
      </c>
      <c r="C307" s="19" t="s">
        <v>200</v>
      </c>
      <c r="D307">
        <v>10</v>
      </c>
      <c r="E307">
        <v>90001</v>
      </c>
      <c r="F307" t="s">
        <v>2367</v>
      </c>
      <c r="G307">
        <f t="shared" si="19"/>
        <v>26</v>
      </c>
      <c r="H307" s="9">
        <f>IF(ISERROR(VLOOKUP(A307,Excel4!D:J,7,0)),0,VLOOKUP(A307,Excel4!D:J,7,0))</f>
        <v>0</v>
      </c>
      <c r="I307" s="15" t="s">
        <v>1777</v>
      </c>
      <c r="J307" s="20" t="s">
        <v>2242</v>
      </c>
      <c r="K307" s="15" t="s">
        <v>55</v>
      </c>
      <c r="L307" s="18" t="str">
        <f t="shared" si="20"/>
        <v>EVREŞE BELEDİYE BAŞKANLIĞI ÇANAKKALE</v>
      </c>
      <c r="M307" s="18" t="str">
        <f t="shared" si="18"/>
        <v>EVREŞE</v>
      </c>
    </row>
    <row r="308" spans="1:14" x14ac:dyDescent="0.25">
      <c r="A308" t="s">
        <v>1143</v>
      </c>
      <c r="B308" t="s">
        <v>704</v>
      </c>
      <c r="C308" t="s">
        <v>218</v>
      </c>
      <c r="D308">
        <v>10</v>
      </c>
      <c r="E308">
        <v>90001</v>
      </c>
      <c r="F308" t="s">
        <v>1144</v>
      </c>
      <c r="G308">
        <f t="shared" si="19"/>
        <v>26</v>
      </c>
      <c r="H308" s="9">
        <f>IF(ISERROR(VLOOKUP(A308,Excel4!D:J,7,0)),0,VLOOKUP(A308,Excel4!D:J,7,0))</f>
        <v>404.78000000000003</v>
      </c>
      <c r="I308" s="15" t="s">
        <v>1777</v>
      </c>
      <c r="J308" s="15" t="s">
        <v>218</v>
      </c>
      <c r="K308" s="15" t="s">
        <v>55</v>
      </c>
      <c r="L308" s="18" t="str">
        <f t="shared" si="20"/>
        <v>EZİNE BELEDİYE BAŞKANLIĞI ÇANAKKALE</v>
      </c>
      <c r="M308" s="18" t="str">
        <f t="shared" si="18"/>
        <v>EZİNE</v>
      </c>
      <c r="N308">
        <f>_xlfn.XLOOKUP(M308,[1]Sheet1!$A:$A,[1]Sheet1!$G:$G)</f>
        <v>0</v>
      </c>
    </row>
    <row r="309" spans="1:14" x14ac:dyDescent="0.25">
      <c r="A309" t="s">
        <v>1145</v>
      </c>
      <c r="B309" t="s">
        <v>2555</v>
      </c>
      <c r="C309" t="s">
        <v>200</v>
      </c>
      <c r="D309">
        <v>12</v>
      </c>
      <c r="E309">
        <v>90001</v>
      </c>
      <c r="F309" t="s">
        <v>1146</v>
      </c>
      <c r="G309">
        <f t="shared" si="19"/>
        <v>26</v>
      </c>
      <c r="H309" s="9">
        <f>IF(ISERROR(VLOOKUP(A309,Excel4!D:J,7,0)),0,VLOOKUP(A309,Excel4!D:J,7,0))</f>
        <v>80.72999999999999</v>
      </c>
      <c r="I309" s="15" t="s">
        <v>1777</v>
      </c>
      <c r="J309" s="15" t="s">
        <v>200</v>
      </c>
      <c r="K309" s="15" t="s">
        <v>55</v>
      </c>
      <c r="L309" s="18" t="str">
        <f t="shared" si="20"/>
        <v>GELİBOLU BELEDİYE BAŞKANLIĞI ÇANAKKALE</v>
      </c>
      <c r="M309" s="18" t="str">
        <f t="shared" si="18"/>
        <v>GELİBOLU</v>
      </c>
      <c r="N309">
        <f>_xlfn.XLOOKUP(M309,[1]Sheet1!$A:$A,[1]Sheet1!$G:$G)</f>
        <v>0</v>
      </c>
    </row>
    <row r="310" spans="1:14" x14ac:dyDescent="0.25">
      <c r="A310" t="s">
        <v>1147</v>
      </c>
      <c r="B310" t="s">
        <v>704</v>
      </c>
      <c r="C310" t="s">
        <v>280</v>
      </c>
      <c r="D310">
        <v>10</v>
      </c>
      <c r="E310">
        <v>90001</v>
      </c>
      <c r="F310" t="s">
        <v>1148</v>
      </c>
      <c r="G310">
        <f t="shared" si="19"/>
        <v>26</v>
      </c>
      <c r="H310" s="9">
        <f>IF(ISERROR(VLOOKUP(A310,Excel4!D:J,7,0)),0,VLOOKUP(A310,Excel4!D:J,7,0))</f>
        <v>0</v>
      </c>
      <c r="I310" s="15" t="s">
        <v>1777</v>
      </c>
      <c r="J310" s="15" t="s">
        <v>280</v>
      </c>
      <c r="K310" s="15" t="s">
        <v>55</v>
      </c>
      <c r="L310" s="18" t="str">
        <f t="shared" si="20"/>
        <v>GEYİKLİ BELEDİYE BAŞKANLIĞI ÇANAKKALE</v>
      </c>
      <c r="M310" s="18" t="str">
        <f t="shared" si="18"/>
        <v>GEYİKLİ</v>
      </c>
    </row>
    <row r="311" spans="1:14" x14ac:dyDescent="0.25">
      <c r="A311" t="s">
        <v>1149</v>
      </c>
      <c r="B311" t="s">
        <v>704</v>
      </c>
      <c r="C311" t="s">
        <v>540</v>
      </c>
      <c r="D311">
        <v>10</v>
      </c>
      <c r="E311">
        <v>90001</v>
      </c>
      <c r="F311" t="s">
        <v>1150</v>
      </c>
      <c r="G311">
        <f t="shared" si="19"/>
        <v>26</v>
      </c>
      <c r="H311" s="9">
        <f>IF(ISERROR(VLOOKUP(A311,Excel4!D:J,7,0)),0,VLOOKUP(A311,Excel4!D:J,7,0))</f>
        <v>275.12</v>
      </c>
      <c r="I311" s="15" t="s">
        <v>1777</v>
      </c>
      <c r="J311" s="15" t="s">
        <v>540</v>
      </c>
      <c r="K311" s="15" t="s">
        <v>55</v>
      </c>
      <c r="L311" s="18" t="str">
        <f t="shared" si="20"/>
        <v>GÖKÇEADA BELEDİYE BAŞKANLIĞI ÇANAKKALE</v>
      </c>
      <c r="M311" s="18" t="str">
        <f t="shared" si="18"/>
        <v>GÖKÇEADA</v>
      </c>
      <c r="N311">
        <f>_xlfn.XLOOKUP(M311,[1]Sheet1!$A:$A,[1]Sheet1!$G:$G)</f>
        <v>0</v>
      </c>
    </row>
    <row r="312" spans="1:14" x14ac:dyDescent="0.25">
      <c r="A312" t="s">
        <v>2892</v>
      </c>
      <c r="B312" t="s">
        <v>704</v>
      </c>
      <c r="C312" t="s">
        <v>153</v>
      </c>
      <c r="D312">
        <v>10</v>
      </c>
      <c r="E312">
        <v>90001</v>
      </c>
      <c r="F312" t="s">
        <v>2897</v>
      </c>
      <c r="G312">
        <f t="shared" si="19"/>
        <v>26</v>
      </c>
      <c r="H312" s="9">
        <f>IF(ISERROR(VLOOKUP(A312,Excel4!D:J,7,0)),0,VLOOKUP(A312,Excel4!D:J,7,0))</f>
        <v>0</v>
      </c>
      <c r="I312" s="15" t="s">
        <v>1777</v>
      </c>
      <c r="J312" s="15" t="s">
        <v>2877</v>
      </c>
      <c r="K312" s="15" t="s">
        <v>55</v>
      </c>
      <c r="L312" s="18" t="str">
        <f t="shared" si="20"/>
        <v>GÜMÜŞÇAY BELEDİYE BAŞKANLIĞI ÇANAKKALE</v>
      </c>
      <c r="M312" s="18" t="str">
        <f t="shared" si="18"/>
        <v>GÜMÜŞÇAY</v>
      </c>
    </row>
    <row r="313" spans="1:14" x14ac:dyDescent="0.25">
      <c r="A313" t="s">
        <v>1764</v>
      </c>
      <c r="B313" t="s">
        <v>699</v>
      </c>
      <c r="C313" t="s">
        <v>55</v>
      </c>
      <c r="D313">
        <v>15</v>
      </c>
      <c r="E313">
        <v>90001</v>
      </c>
      <c r="F313" t="s">
        <v>716</v>
      </c>
      <c r="G313">
        <f t="shared" si="19"/>
        <v>26</v>
      </c>
      <c r="H313" s="9">
        <f>IF(ISERROR(VLOOKUP(A313,Excel4!D:J,7,0)),0,VLOOKUP(A313,Excel4!D:J,7,0))</f>
        <v>0</v>
      </c>
      <c r="I313" s="15" t="s">
        <v>1777</v>
      </c>
      <c r="J313" s="15" t="s">
        <v>362</v>
      </c>
      <c r="K313" s="15" t="s">
        <v>55</v>
      </c>
      <c r="L313" s="18" t="str">
        <f t="shared" si="20"/>
        <v>İNTEPE BELEDİYE BAŞKANLIĞI ÇANAKKALE</v>
      </c>
      <c r="M313" s="18" t="str">
        <f t="shared" si="18"/>
        <v>İNTEPE</v>
      </c>
    </row>
    <row r="314" spans="1:14" x14ac:dyDescent="0.25">
      <c r="A314" t="s">
        <v>1938</v>
      </c>
      <c r="B314" t="s">
        <v>704</v>
      </c>
      <c r="C314" t="s">
        <v>153</v>
      </c>
      <c r="D314">
        <v>10</v>
      </c>
      <c r="E314">
        <v>90001</v>
      </c>
      <c r="F314" t="s">
        <v>1972</v>
      </c>
      <c r="G314">
        <f t="shared" si="19"/>
        <v>26</v>
      </c>
      <c r="H314" s="9">
        <f>IF(ISERROR(VLOOKUP(A314,Excel4!D:J,7,0)),0,VLOOKUP(A314,Excel4!D:J,7,0))</f>
        <v>0</v>
      </c>
      <c r="I314" s="15" t="s">
        <v>1777</v>
      </c>
      <c r="J314" s="15" t="s">
        <v>1860</v>
      </c>
      <c r="K314" s="15" t="s">
        <v>55</v>
      </c>
      <c r="L314" s="18" t="str">
        <f t="shared" si="20"/>
        <v>KARABİGA BELEDİYE BAŞKANLIĞI ÇANAKKALE</v>
      </c>
      <c r="M314" s="18" t="str">
        <f t="shared" si="18"/>
        <v>KARABİGA</v>
      </c>
    </row>
    <row r="315" spans="1:14" x14ac:dyDescent="0.25">
      <c r="A315" t="s">
        <v>3137</v>
      </c>
      <c r="B315" t="s">
        <v>704</v>
      </c>
      <c r="C315" t="s">
        <v>55</v>
      </c>
      <c r="D315">
        <v>10</v>
      </c>
      <c r="E315">
        <v>90001</v>
      </c>
      <c r="F315" t="s">
        <v>3151</v>
      </c>
      <c r="G315">
        <f t="shared" si="19"/>
        <v>26</v>
      </c>
      <c r="H315" s="9">
        <f>IF(ISERROR(VLOOKUP(A315,Excel4!D:J,7,0)),0,VLOOKUP(A315,Excel4!D:J,7,0))</f>
        <v>0</v>
      </c>
      <c r="I315" s="15" t="s">
        <v>1777</v>
      </c>
      <c r="J315" s="15" t="s">
        <v>3105</v>
      </c>
      <c r="K315" s="15" t="str">
        <f>C315</f>
        <v>ÇANAKKALE</v>
      </c>
      <c r="L315" s="18" t="str">
        <f t="shared" si="20"/>
        <v>KAVAKKÖY BELEDİYE BAŞKANLIĞI ÇANAKKALE</v>
      </c>
      <c r="M315" s="18" t="str">
        <f t="shared" si="18"/>
        <v>KAVAKKÖY</v>
      </c>
    </row>
    <row r="316" spans="1:14" x14ac:dyDescent="0.25">
      <c r="A316" s="19" t="s">
        <v>2271</v>
      </c>
      <c r="B316" s="19" t="s">
        <v>704</v>
      </c>
      <c r="C316" s="19" t="s">
        <v>2365</v>
      </c>
      <c r="D316">
        <v>10</v>
      </c>
      <c r="E316">
        <v>90001</v>
      </c>
      <c r="F316" t="s">
        <v>2366</v>
      </c>
      <c r="G316">
        <f t="shared" si="19"/>
        <v>26</v>
      </c>
      <c r="H316" s="9">
        <f>IF(ISERROR(VLOOKUP(A316,Excel4!D:J,7,0)),0,VLOOKUP(A316,Excel4!D:J,7,0))</f>
        <v>0</v>
      </c>
      <c r="I316" s="15" t="s">
        <v>1777</v>
      </c>
      <c r="J316" s="20" t="s">
        <v>72</v>
      </c>
      <c r="K316" s="15" t="s">
        <v>55</v>
      </c>
      <c r="L316" s="18" t="str">
        <f t="shared" si="20"/>
        <v>KEPEZ BELEDİYE BAŞKANLIĞI ÇANAKKALE</v>
      </c>
      <c r="M316" s="18" t="str">
        <f t="shared" si="18"/>
        <v>KEPEZ</v>
      </c>
    </row>
    <row r="317" spans="1:14" x14ac:dyDescent="0.25">
      <c r="A317" t="s">
        <v>717</v>
      </c>
      <c r="B317" t="s">
        <v>704</v>
      </c>
      <c r="C317" t="s">
        <v>248</v>
      </c>
      <c r="D317">
        <v>10</v>
      </c>
      <c r="E317">
        <v>90001</v>
      </c>
      <c r="F317" t="s">
        <v>718</v>
      </c>
      <c r="G317">
        <f t="shared" si="19"/>
        <v>26</v>
      </c>
      <c r="H317" s="9">
        <f>IF(ISERROR(VLOOKUP(A317,Excel4!D:J,7,0)),0,VLOOKUP(A317,Excel4!D:J,7,0))</f>
        <v>0</v>
      </c>
      <c r="I317" s="15" t="s">
        <v>1777</v>
      </c>
      <c r="J317" s="15" t="s">
        <v>248</v>
      </c>
      <c r="K317" s="15" t="s">
        <v>55</v>
      </c>
      <c r="L317" s="18" t="str">
        <f t="shared" si="20"/>
        <v>KÜÇÜKKUYU BELEDİYE BAŞKANLIĞI ÇANAKKALE</v>
      </c>
      <c r="M317" s="18" t="str">
        <f t="shared" si="18"/>
        <v>KÜÇÜKKUYU</v>
      </c>
    </row>
    <row r="318" spans="1:14" x14ac:dyDescent="0.25">
      <c r="A318" t="s">
        <v>1652</v>
      </c>
      <c r="B318" t="s">
        <v>2555</v>
      </c>
      <c r="C318" t="s">
        <v>541</v>
      </c>
      <c r="D318">
        <v>12</v>
      </c>
      <c r="E318">
        <v>90001</v>
      </c>
      <c r="F318" t="s">
        <v>1653</v>
      </c>
      <c r="G318">
        <f t="shared" si="19"/>
        <v>26</v>
      </c>
      <c r="H318" s="9">
        <f>IF(ISERROR(VLOOKUP(A318,Excel4!D:J,7,0)),0,VLOOKUP(A318,Excel4!D:J,7,0))</f>
        <v>864.72999999999979</v>
      </c>
      <c r="I318" s="15" t="s">
        <v>1777</v>
      </c>
      <c r="J318" s="15" t="s">
        <v>541</v>
      </c>
      <c r="K318" s="15" t="s">
        <v>55</v>
      </c>
      <c r="L318" s="18" t="str">
        <f t="shared" si="20"/>
        <v>LAPSEKİ BELEDİYE BAŞKANLIĞI ÇANAKKALE</v>
      </c>
      <c r="M318" s="18" t="str">
        <f t="shared" si="18"/>
        <v>LAPSEKİ</v>
      </c>
      <c r="N318">
        <f>_xlfn.XLOOKUP(M318,[1]Sheet1!$A:$A,[1]Sheet1!$G:$G)</f>
        <v>0</v>
      </c>
    </row>
    <row r="319" spans="1:14" x14ac:dyDescent="0.25">
      <c r="A319" t="s">
        <v>1151</v>
      </c>
      <c r="B319" t="s">
        <v>704</v>
      </c>
      <c r="C319" t="s">
        <v>34</v>
      </c>
      <c r="D319">
        <v>10</v>
      </c>
      <c r="E319">
        <v>90001</v>
      </c>
      <c r="F319" t="s">
        <v>1152</v>
      </c>
      <c r="G319">
        <f t="shared" si="19"/>
        <v>26</v>
      </c>
      <c r="H319" s="9">
        <f>IF(ISERROR(VLOOKUP(A319,Excel4!D:J,7,0)),0,VLOOKUP(A319,Excel4!D:J,7,0))</f>
        <v>1284.56</v>
      </c>
      <c r="I319" s="15" t="s">
        <v>1777</v>
      </c>
      <c r="J319" s="15" t="s">
        <v>34</v>
      </c>
      <c r="K319" s="15" t="s">
        <v>55</v>
      </c>
      <c r="L319" s="18" t="str">
        <f t="shared" si="20"/>
        <v>ÇANAKKALE BELEDİYE BAŞKANLIĞI</v>
      </c>
      <c r="M319" s="18" t="str">
        <f t="shared" si="18"/>
        <v>ÇANAKKALE</v>
      </c>
      <c r="N319" t="e">
        <f>_xlfn.XLOOKUP(M319,[1]Sheet1!$C:$C,[1]Sheet1!$G:$G)</f>
        <v>#N/A</v>
      </c>
    </row>
    <row r="320" spans="1:14" x14ac:dyDescent="0.25">
      <c r="A320" s="19" t="s">
        <v>2922</v>
      </c>
      <c r="B320" t="s">
        <v>2555</v>
      </c>
      <c r="C320" t="s">
        <v>90</v>
      </c>
      <c r="D320">
        <v>12</v>
      </c>
      <c r="E320">
        <v>645</v>
      </c>
      <c r="F320" t="s">
        <v>2936</v>
      </c>
      <c r="G320">
        <f t="shared" si="19"/>
        <v>26</v>
      </c>
      <c r="H320" s="9">
        <f>IF(ISERROR(VLOOKUP(A320,Excel4!D:J,7,0)),0,VLOOKUP(A320,Excel4!D:J,7,0))</f>
        <v>0</v>
      </c>
      <c r="I320" s="15" t="s">
        <v>1777</v>
      </c>
      <c r="J320" s="20" t="s">
        <v>2714</v>
      </c>
      <c r="K320" s="15" t="s">
        <v>55</v>
      </c>
      <c r="L320" s="18" t="str">
        <f t="shared" si="20"/>
        <v>PAZARKÖY BELEDİYE BAŞKANLIĞI ÇANAKKALE</v>
      </c>
      <c r="M320" s="18" t="str">
        <f t="shared" si="18"/>
        <v>PAZARKÖY</v>
      </c>
    </row>
    <row r="321" spans="1:14" x14ac:dyDescent="0.25">
      <c r="A321" t="s">
        <v>2069</v>
      </c>
      <c r="B321" t="s">
        <v>2555</v>
      </c>
      <c r="C321" t="s">
        <v>341</v>
      </c>
      <c r="D321">
        <v>12</v>
      </c>
      <c r="E321">
        <v>90001</v>
      </c>
      <c r="F321" t="s">
        <v>2107</v>
      </c>
      <c r="G321">
        <f t="shared" si="19"/>
        <v>26</v>
      </c>
      <c r="H321" s="9">
        <f>IF(ISERROR(VLOOKUP(A321,Excel4!D:J,7,0)),0,VLOOKUP(A321,Excel4!D:J,7,0))</f>
        <v>0</v>
      </c>
      <c r="I321" s="15" t="s">
        <v>1777</v>
      </c>
      <c r="J321" s="15" t="s">
        <v>2054</v>
      </c>
      <c r="K321" s="15" t="s">
        <v>55</v>
      </c>
      <c r="L321" s="18" t="str">
        <f t="shared" si="20"/>
        <v>TERZİALAN BELEDİYE BAŞKANLIĞI ÇANAKKALE</v>
      </c>
      <c r="M321" s="18" t="str">
        <f t="shared" si="18"/>
        <v>TERZİALAN</v>
      </c>
    </row>
    <row r="322" spans="1:14" x14ac:dyDescent="0.25">
      <c r="A322" t="s">
        <v>2446</v>
      </c>
      <c r="B322" t="s">
        <v>704</v>
      </c>
      <c r="C322" t="s">
        <v>541</v>
      </c>
      <c r="D322">
        <v>10</v>
      </c>
      <c r="E322">
        <v>90001</v>
      </c>
      <c r="F322" t="s">
        <v>2447</v>
      </c>
      <c r="G322">
        <f t="shared" si="19"/>
        <v>26</v>
      </c>
      <c r="H322" s="9">
        <f>IF(ISERROR(VLOOKUP(A322,Excel4!D:J,7,0)),0,VLOOKUP(A322,Excel4!D:J,7,0))</f>
        <v>0</v>
      </c>
      <c r="I322" s="15" t="s">
        <v>1777</v>
      </c>
      <c r="J322" s="15" t="s">
        <v>2401</v>
      </c>
      <c r="K322" s="15" t="s">
        <v>55</v>
      </c>
      <c r="L322" s="18" t="str">
        <f t="shared" si="20"/>
        <v>UMURBEY BELEDİYE BAŞKANLIĞI ÇANAKKALE</v>
      </c>
      <c r="M322" s="18" t="str">
        <f t="shared" si="18"/>
        <v>UMURBEY</v>
      </c>
    </row>
    <row r="323" spans="1:14" x14ac:dyDescent="0.25">
      <c r="A323" t="s">
        <v>2444</v>
      </c>
      <c r="B323" t="s">
        <v>704</v>
      </c>
      <c r="C323" t="s">
        <v>90</v>
      </c>
      <c r="D323">
        <v>10</v>
      </c>
      <c r="E323">
        <v>90001</v>
      </c>
      <c r="F323" t="s">
        <v>2445</v>
      </c>
      <c r="G323">
        <f t="shared" si="19"/>
        <v>26</v>
      </c>
      <c r="H323" s="9">
        <f>IF(ISERROR(VLOOKUP(A323,Excel4!D:J,7,0)),0,VLOOKUP(A323,Excel4!D:J,7,0))</f>
        <v>77.990000000000009</v>
      </c>
      <c r="I323" s="15" t="s">
        <v>1777</v>
      </c>
      <c r="J323" s="15" t="s">
        <v>90</v>
      </c>
      <c r="K323" s="15" t="s">
        <v>55</v>
      </c>
      <c r="L323" s="18" t="str">
        <f t="shared" si="20"/>
        <v>YENİCE BELEDİYE BAŞKANLIĞI ÇANAKKALE</v>
      </c>
      <c r="M323" s="18" t="str">
        <f t="shared" si="18"/>
        <v>YENİCE</v>
      </c>
      <c r="N323">
        <f>_xlfn.XLOOKUP(M323,[1]Sheet1!$A:$A,[1]Sheet1!$G:$G)</f>
        <v>0</v>
      </c>
    </row>
    <row r="324" spans="1:14" x14ac:dyDescent="0.25">
      <c r="A324" t="s">
        <v>2335</v>
      </c>
      <c r="B324" s="19" t="s">
        <v>704</v>
      </c>
      <c r="C324" s="19" t="s">
        <v>2322</v>
      </c>
      <c r="D324">
        <v>10</v>
      </c>
      <c r="E324">
        <v>90001</v>
      </c>
      <c r="F324" t="s">
        <v>2356</v>
      </c>
      <c r="G324">
        <f t="shared" si="19"/>
        <v>26</v>
      </c>
      <c r="H324" s="9">
        <f>IF(ISERROR(VLOOKUP(A324,Excel4!D:J,7,0)),0,VLOOKUP(A324,Excel4!D:J,7,0))</f>
        <v>0</v>
      </c>
      <c r="I324" s="15" t="s">
        <v>1777</v>
      </c>
      <c r="J324" s="20" t="s">
        <v>2322</v>
      </c>
      <c r="K324" s="15" t="s">
        <v>184</v>
      </c>
      <c r="L324" s="18" t="str">
        <f t="shared" si="20"/>
        <v>ATKARACALAR BELEDİYE BAŞKANLIĞI ÇANKIRI</v>
      </c>
      <c r="M324" s="18" t="str">
        <f t="shared" ref="M324:M387" si="21">IF(J324="MERKEZ",K324,IF(J324="BÜYÜKŞEHİR",K324&amp;" BÜYÜKŞEHİR",J324))</f>
        <v>ATKARACALAR</v>
      </c>
    </row>
    <row r="325" spans="1:14" x14ac:dyDescent="0.25">
      <c r="A325" t="s">
        <v>4015</v>
      </c>
      <c r="B325" t="s">
        <v>704</v>
      </c>
      <c r="C325" t="s">
        <v>4008</v>
      </c>
      <c r="D325">
        <v>10</v>
      </c>
      <c r="E325">
        <v>90001</v>
      </c>
      <c r="F325" t="s">
        <v>4018</v>
      </c>
      <c r="G325">
        <f t="shared" si="19"/>
        <v>26</v>
      </c>
      <c r="H325" s="9">
        <f>IF(ISERROR(VLOOKUP(A325,Excel4!D:J,7,0)),0,VLOOKUP(A325,Excel4!D:J,7,0))</f>
        <v>0</v>
      </c>
      <c r="I325" s="15" t="s">
        <v>1777</v>
      </c>
      <c r="J325" s="15" t="s">
        <v>4008</v>
      </c>
      <c r="K325" s="15" t="s">
        <v>184</v>
      </c>
      <c r="L325" s="18" t="str">
        <f t="shared" si="20"/>
        <v>BAYRAMÖREN BELEDİYE BAŞKANLIĞI ÇANKIRI</v>
      </c>
      <c r="M325" s="18" t="str">
        <f t="shared" si="21"/>
        <v>BAYRAMÖREN</v>
      </c>
    </row>
    <row r="326" spans="1:14" x14ac:dyDescent="0.25">
      <c r="A326" t="s">
        <v>2336</v>
      </c>
      <c r="B326" s="19" t="s">
        <v>704</v>
      </c>
      <c r="C326" s="19" t="s">
        <v>2322</v>
      </c>
      <c r="D326">
        <v>10</v>
      </c>
      <c r="E326">
        <v>90001</v>
      </c>
      <c r="F326" t="s">
        <v>2355</v>
      </c>
      <c r="G326">
        <f t="shared" si="19"/>
        <v>26</v>
      </c>
      <c r="H326" s="9">
        <f>IF(ISERROR(VLOOKUP(A326,Excel4!D:J,7,0)),0,VLOOKUP(A326,Excel4!D:J,7,0))</f>
        <v>0</v>
      </c>
      <c r="I326" s="15" t="s">
        <v>1777</v>
      </c>
      <c r="J326" s="20" t="s">
        <v>2203</v>
      </c>
      <c r="K326" s="15" t="s">
        <v>184</v>
      </c>
      <c r="L326" s="18" t="str">
        <f t="shared" si="20"/>
        <v>ÇARDAKLI BELEDİYE BAŞKANLIĞI ÇANKIRI</v>
      </c>
      <c r="M326" s="18" t="str">
        <f t="shared" si="21"/>
        <v>ÇARDAKLI</v>
      </c>
    </row>
    <row r="327" spans="1:14" x14ac:dyDescent="0.25">
      <c r="A327" t="s">
        <v>1153</v>
      </c>
      <c r="B327" t="s">
        <v>2555</v>
      </c>
      <c r="C327" t="s">
        <v>219</v>
      </c>
      <c r="D327">
        <v>12</v>
      </c>
      <c r="E327">
        <v>90001</v>
      </c>
      <c r="F327" s="19" t="s">
        <v>2694</v>
      </c>
      <c r="G327">
        <f t="shared" si="19"/>
        <v>26</v>
      </c>
      <c r="H327" s="9">
        <f>IF(ISERROR(VLOOKUP(A327,Excel4!D:J,7,0)),0,VLOOKUP(A327,Excel4!D:J,7,0))</f>
        <v>237.22</v>
      </c>
      <c r="I327" s="15" t="s">
        <v>1777</v>
      </c>
      <c r="J327" s="15" t="s">
        <v>219</v>
      </c>
      <c r="K327" s="15" t="s">
        <v>184</v>
      </c>
      <c r="L327" s="18" t="str">
        <f t="shared" si="20"/>
        <v>ÇERKEŞ BELEDİYE BAŞKANLIĞI ÇANKIRI</v>
      </c>
      <c r="M327" s="18" t="str">
        <f t="shared" si="21"/>
        <v>ÇERKEŞ</v>
      </c>
      <c r="N327">
        <f>_xlfn.XLOOKUP(M327,[1]Sheet1!$A:$A,[1]Sheet1!$G:$G)</f>
        <v>0</v>
      </c>
    </row>
    <row r="328" spans="1:14" x14ac:dyDescent="0.25">
      <c r="A328" t="s">
        <v>2334</v>
      </c>
      <c r="B328" s="19" t="s">
        <v>704</v>
      </c>
      <c r="C328" s="19" t="s">
        <v>2311</v>
      </c>
      <c r="D328">
        <v>10</v>
      </c>
      <c r="E328">
        <v>90001</v>
      </c>
      <c r="F328" t="s">
        <v>2354</v>
      </c>
      <c r="G328">
        <f t="shared" si="19"/>
        <v>26</v>
      </c>
      <c r="H328" s="9">
        <f>IF(ISERROR(VLOOKUP(A328,Excel4!D:J,7,0)),0,VLOOKUP(A328,Excel4!D:J,7,0))</f>
        <v>33.15</v>
      </c>
      <c r="I328" s="15" t="s">
        <v>1777</v>
      </c>
      <c r="J328" s="20" t="s">
        <v>2311</v>
      </c>
      <c r="K328" s="15" t="s">
        <v>184</v>
      </c>
      <c r="L328" s="18" t="str">
        <f t="shared" si="20"/>
        <v>ELDİVAN BELEDİYE BAŞKANLIĞI ÇANKIRI</v>
      </c>
      <c r="M328" s="18" t="str">
        <f t="shared" si="21"/>
        <v>ELDİVAN</v>
      </c>
      <c r="N328">
        <f>_xlfn.XLOOKUP(M328,[1]Sheet1!$A:$A,[1]Sheet1!$G:$G)</f>
        <v>0</v>
      </c>
    </row>
    <row r="329" spans="1:14" x14ac:dyDescent="0.25">
      <c r="A329" t="s">
        <v>1154</v>
      </c>
      <c r="B329" t="s">
        <v>704</v>
      </c>
      <c r="C329" t="s">
        <v>440</v>
      </c>
      <c r="D329">
        <v>10</v>
      </c>
      <c r="E329">
        <v>90001</v>
      </c>
      <c r="F329" t="s">
        <v>1155</v>
      </c>
      <c r="G329">
        <f t="shared" si="19"/>
        <v>26</v>
      </c>
      <c r="H329" s="9">
        <f>IF(ISERROR(VLOOKUP(A329,Excel4!D:J,7,0)),0,VLOOKUP(A329,Excel4!D:J,7,0))</f>
        <v>9.43</v>
      </c>
      <c r="I329" s="15" t="s">
        <v>1777</v>
      </c>
      <c r="J329" s="15" t="s">
        <v>440</v>
      </c>
      <c r="K329" s="15" t="s">
        <v>184</v>
      </c>
      <c r="L329" s="18" t="str">
        <f t="shared" si="20"/>
        <v>ILGAZ BELEDİYE BAŞKANLIĞI ÇANKIRI</v>
      </c>
      <c r="M329" s="18" t="str">
        <f t="shared" si="21"/>
        <v>ILGAZ</v>
      </c>
    </row>
    <row r="330" spans="1:14" x14ac:dyDescent="0.25">
      <c r="A330" t="s">
        <v>2337</v>
      </c>
      <c r="B330" s="19" t="s">
        <v>704</v>
      </c>
      <c r="C330" s="19" t="s">
        <v>2251</v>
      </c>
      <c r="D330">
        <v>10</v>
      </c>
      <c r="E330">
        <v>90001</v>
      </c>
      <c r="F330" t="s">
        <v>2357</v>
      </c>
      <c r="G330">
        <f t="shared" si="19"/>
        <v>26</v>
      </c>
      <c r="H330" s="9">
        <f>IF(ISERROR(VLOOKUP(A330,Excel4!D:J,7,0)),0,VLOOKUP(A330,Excel4!D:J,7,0))</f>
        <v>0</v>
      </c>
      <c r="I330" s="15" t="s">
        <v>1777</v>
      </c>
      <c r="J330" s="20" t="s">
        <v>2251</v>
      </c>
      <c r="K330" s="15" t="s">
        <v>184</v>
      </c>
      <c r="L330" s="18" t="str">
        <f t="shared" si="20"/>
        <v>KIZILIRMAK BELEDİYE BAŞKANLIĞI ÇANKIRI</v>
      </c>
      <c r="M330" s="18" t="str">
        <f t="shared" si="21"/>
        <v>KIZILIRMAK</v>
      </c>
    </row>
    <row r="331" spans="1:14" x14ac:dyDescent="0.25">
      <c r="A331" t="s">
        <v>1156</v>
      </c>
      <c r="B331" t="s">
        <v>2555</v>
      </c>
      <c r="C331" t="s">
        <v>542</v>
      </c>
      <c r="D331">
        <v>12</v>
      </c>
      <c r="E331">
        <v>90001</v>
      </c>
      <c r="F331" t="s">
        <v>4341</v>
      </c>
      <c r="G331">
        <f t="shared" si="19"/>
        <v>26</v>
      </c>
      <c r="H331" s="9">
        <f>IF(ISERROR(VLOOKUP(A331,Excel4!D:J,7,0)),0,VLOOKUP(A331,Excel4!D:J,7,0))</f>
        <v>0</v>
      </c>
      <c r="I331" s="15" t="s">
        <v>1777</v>
      </c>
      <c r="J331" s="15" t="s">
        <v>542</v>
      </c>
      <c r="K331" s="15" t="s">
        <v>184</v>
      </c>
      <c r="L331" s="18" t="str">
        <f t="shared" si="20"/>
        <v>KORGUN BELEDİYE BAŞKANLIĞI ÇANKIRI</v>
      </c>
      <c r="M331" s="18" t="str">
        <f t="shared" si="21"/>
        <v>KORGUN</v>
      </c>
    </row>
    <row r="332" spans="1:14" x14ac:dyDescent="0.25">
      <c r="A332" t="s">
        <v>1157</v>
      </c>
      <c r="B332" t="s">
        <v>704</v>
      </c>
      <c r="C332" t="s">
        <v>543</v>
      </c>
      <c r="D332">
        <v>10</v>
      </c>
      <c r="E332">
        <v>90001</v>
      </c>
      <c r="F332" t="s">
        <v>1158</v>
      </c>
      <c r="G332">
        <f t="shared" si="19"/>
        <v>26</v>
      </c>
      <c r="H332" s="9">
        <f>IF(ISERROR(VLOOKUP(A332,Excel4!D:J,7,0)),0,VLOOKUP(A332,Excel4!D:J,7,0))</f>
        <v>0</v>
      </c>
      <c r="I332" s="15" t="s">
        <v>1777</v>
      </c>
      <c r="J332" s="15" t="s">
        <v>543</v>
      </c>
      <c r="K332" s="15" t="s">
        <v>184</v>
      </c>
      <c r="L332" s="18" t="str">
        <f t="shared" si="20"/>
        <v>KURŞUNLU BELEDİYE BAŞKANLIĞI ÇANKIRI</v>
      </c>
      <c r="M332" s="18" t="str">
        <f t="shared" si="21"/>
        <v>KURŞUNLU</v>
      </c>
      <c r="N332">
        <f>_xlfn.XLOOKUP(M332,[1]Sheet1!$A:$A,[1]Sheet1!$G:$G)</f>
        <v>0</v>
      </c>
    </row>
    <row r="333" spans="1:14" x14ac:dyDescent="0.25">
      <c r="A333" t="s">
        <v>1159</v>
      </c>
      <c r="B333" t="s">
        <v>704</v>
      </c>
      <c r="C333" t="s">
        <v>34</v>
      </c>
      <c r="D333">
        <v>10</v>
      </c>
      <c r="E333">
        <v>90001</v>
      </c>
      <c r="F333" t="s">
        <v>1160</v>
      </c>
      <c r="G333">
        <f t="shared" si="19"/>
        <v>26</v>
      </c>
      <c r="H333" s="9">
        <f>IF(ISERROR(VLOOKUP(A333,Excel4!D:J,7,0)),0,VLOOKUP(A333,Excel4!D:J,7,0))</f>
        <v>1229.58</v>
      </c>
      <c r="I333" s="15" t="s">
        <v>1777</v>
      </c>
      <c r="J333" s="15" t="s">
        <v>34</v>
      </c>
      <c r="K333" s="15" t="s">
        <v>184</v>
      </c>
      <c r="L333" s="18" t="str">
        <f t="shared" si="20"/>
        <v>ÇANKIRI BELEDİYE BAŞKANLIĞI</v>
      </c>
      <c r="M333" s="18" t="str">
        <f t="shared" si="21"/>
        <v>ÇANKIRI</v>
      </c>
      <c r="N333" t="e">
        <f>_xlfn.XLOOKUP(M333,[1]Sheet1!$C:$C,[1]Sheet1!$G:$G)</f>
        <v>#N/A</v>
      </c>
    </row>
    <row r="334" spans="1:14" x14ac:dyDescent="0.25">
      <c r="A334" t="s">
        <v>1161</v>
      </c>
      <c r="B334" t="s">
        <v>704</v>
      </c>
      <c r="C334" t="s">
        <v>544</v>
      </c>
      <c r="D334">
        <v>10</v>
      </c>
      <c r="E334">
        <v>90001</v>
      </c>
      <c r="F334" t="s">
        <v>1162</v>
      </c>
      <c r="G334">
        <f t="shared" si="19"/>
        <v>26</v>
      </c>
      <c r="H334" s="9">
        <f>IF(ISERROR(VLOOKUP(A334,Excel4!D:J,7,0)),0,VLOOKUP(A334,Excel4!D:J,7,0))</f>
        <v>90.03</v>
      </c>
      <c r="I334" s="15" t="s">
        <v>1777</v>
      </c>
      <c r="J334" s="15" t="s">
        <v>544</v>
      </c>
      <c r="K334" s="15" t="s">
        <v>184</v>
      </c>
      <c r="L334" s="18" t="str">
        <f t="shared" si="20"/>
        <v>ORTA BELEDİYE BAŞKANLIĞI ÇANKIRI</v>
      </c>
      <c r="M334" s="18" t="str">
        <f t="shared" si="21"/>
        <v>ORTA</v>
      </c>
    </row>
    <row r="335" spans="1:14" x14ac:dyDescent="0.25">
      <c r="A335" t="s">
        <v>3138</v>
      </c>
      <c r="B335" t="s">
        <v>2555</v>
      </c>
      <c r="C335" t="s">
        <v>184</v>
      </c>
      <c r="D335">
        <v>12</v>
      </c>
      <c r="E335">
        <v>90001</v>
      </c>
      <c r="F335" t="s">
        <v>3152</v>
      </c>
      <c r="G335">
        <f t="shared" si="19"/>
        <v>26</v>
      </c>
      <c r="H335" s="9">
        <f>IF(ISERROR(VLOOKUP(A335,Excel4!D:J,7,0)),0,VLOOKUP(A335,Excel4!D:J,7,0))</f>
        <v>0</v>
      </c>
      <c r="I335" s="15" t="s">
        <v>1777</v>
      </c>
      <c r="J335" s="15" t="s">
        <v>3107</v>
      </c>
      <c r="K335" s="15" t="str">
        <f>C335</f>
        <v>ÇANKIRI</v>
      </c>
      <c r="L335" s="18" t="str">
        <f t="shared" si="20"/>
        <v>SAÇAK BELEDİYE BAŞKANLIĞI ÇANKIRI</v>
      </c>
      <c r="M335" s="18" t="str">
        <f t="shared" si="21"/>
        <v>SAÇAK</v>
      </c>
    </row>
    <row r="336" spans="1:14" x14ac:dyDescent="0.25">
      <c r="A336" t="s">
        <v>1163</v>
      </c>
      <c r="B336" t="s">
        <v>704</v>
      </c>
      <c r="C336" t="s">
        <v>545</v>
      </c>
      <c r="D336">
        <v>10</v>
      </c>
      <c r="E336">
        <v>90001</v>
      </c>
      <c r="F336" t="s">
        <v>1164</v>
      </c>
      <c r="G336">
        <f t="shared" si="19"/>
        <v>26</v>
      </c>
      <c r="H336" s="9">
        <f>IF(ISERROR(VLOOKUP(A336,Excel4!D:J,7,0)),0,VLOOKUP(A336,Excel4!D:J,7,0))</f>
        <v>10.870000000000001</v>
      </c>
      <c r="I336" s="15" t="s">
        <v>1777</v>
      </c>
      <c r="J336" s="15" t="s">
        <v>545</v>
      </c>
      <c r="K336" s="15" t="s">
        <v>184</v>
      </c>
      <c r="L336" s="18" t="str">
        <f t="shared" si="20"/>
        <v>ŞABANÖZÜ BELEDİYE BAŞKANLIĞI ÇANKIRI</v>
      </c>
      <c r="M336" s="18" t="str">
        <f t="shared" si="21"/>
        <v>ŞABANÖZÜ</v>
      </c>
      <c r="N336">
        <f>_xlfn.XLOOKUP(M336,[1]Sheet1!$A:$A,[1]Sheet1!$G:$G)</f>
        <v>0</v>
      </c>
    </row>
    <row r="337" spans="1:14" x14ac:dyDescent="0.25">
      <c r="A337" t="s">
        <v>2893</v>
      </c>
      <c r="B337" t="s">
        <v>704</v>
      </c>
      <c r="C337" s="19" t="s">
        <v>544</v>
      </c>
      <c r="D337">
        <v>10</v>
      </c>
      <c r="E337">
        <v>90001</v>
      </c>
      <c r="F337" t="s">
        <v>2898</v>
      </c>
      <c r="G337">
        <f t="shared" si="19"/>
        <v>26</v>
      </c>
      <c r="H337" s="9">
        <f>IF(ISERROR(VLOOKUP(A337,Excel4!D:J,7,0)),0,VLOOKUP(A337,Excel4!D:J,7,0))</f>
        <v>0</v>
      </c>
      <c r="I337" s="15" t="s">
        <v>1777</v>
      </c>
      <c r="J337" s="20" t="s">
        <v>2888</v>
      </c>
      <c r="K337" s="15" t="s">
        <v>184</v>
      </c>
      <c r="L337" s="18" t="str">
        <f t="shared" si="20"/>
        <v>YAYLAKENT BELEDİYE BAŞKANLIĞI ÇANKIRI</v>
      </c>
      <c r="M337" s="18" t="str">
        <f t="shared" si="21"/>
        <v>YAYLAKENT</v>
      </c>
    </row>
    <row r="338" spans="1:14" x14ac:dyDescent="0.25">
      <c r="A338" t="s">
        <v>2134</v>
      </c>
      <c r="B338" t="s">
        <v>704</v>
      </c>
      <c r="C338" t="s">
        <v>2125</v>
      </c>
      <c r="D338">
        <v>10</v>
      </c>
      <c r="E338">
        <v>90001</v>
      </c>
      <c r="F338" t="s">
        <v>2150</v>
      </c>
      <c r="G338">
        <f t="shared" si="19"/>
        <v>26</v>
      </c>
      <c r="H338" s="9">
        <f>IF(ISERROR(VLOOKUP(A338,Excel4!D:J,7,0)),0,VLOOKUP(A338,Excel4!D:J,7,0))</f>
        <v>0</v>
      </c>
      <c r="I338" s="15" t="s">
        <v>1777</v>
      </c>
      <c r="J338" s="15" t="s">
        <v>2125</v>
      </c>
      <c r="K338" s="15" t="s">
        <v>170</v>
      </c>
      <c r="L338" s="18" t="str">
        <f t="shared" si="20"/>
        <v>ALACA BELEDİYE BAŞKANLIĞI ÇORUM</v>
      </c>
      <c r="M338" s="18" t="str">
        <f t="shared" si="21"/>
        <v>ALACA</v>
      </c>
      <c r="N338">
        <f>_xlfn.XLOOKUP(M338,[1]Sheet1!$A:$A,[1]Sheet1!$G:$G)</f>
        <v>0</v>
      </c>
    </row>
    <row r="339" spans="1:14" x14ac:dyDescent="0.25">
      <c r="A339" t="s">
        <v>3943</v>
      </c>
      <c r="B339" t="s">
        <v>3155</v>
      </c>
      <c r="C339" t="s">
        <v>496</v>
      </c>
      <c r="D339">
        <v>12</v>
      </c>
      <c r="E339">
        <v>90001</v>
      </c>
      <c r="F339" t="s">
        <v>3945</v>
      </c>
      <c r="G339">
        <f t="shared" si="19"/>
        <v>26</v>
      </c>
      <c r="H339" s="9">
        <f>IF(ISERROR(VLOOKUP(A339,Excel4!D:J,7,0)),0,VLOOKUP(A339,Excel4!D:J,7,0))</f>
        <v>0</v>
      </c>
      <c r="I339" s="15" t="s">
        <v>1777</v>
      </c>
      <c r="J339" s="15" t="s">
        <v>496</v>
      </c>
      <c r="K339" s="15" t="s">
        <v>170</v>
      </c>
      <c r="L339" s="18" t="str">
        <f t="shared" si="20"/>
        <v>BAYAT BELEDİYE BAŞKANLIĞI ÇORUM</v>
      </c>
      <c r="M339" s="18" t="str">
        <f t="shared" si="21"/>
        <v>BAYAT</v>
      </c>
      <c r="N339">
        <f>_xlfn.XLOOKUP(M339,[1]Sheet1!$A:$A,[1]Sheet1!$G:$G)</f>
        <v>0</v>
      </c>
    </row>
    <row r="340" spans="1:14" x14ac:dyDescent="0.25">
      <c r="A340" s="19" t="s">
        <v>3519</v>
      </c>
      <c r="B340" t="s">
        <v>704</v>
      </c>
      <c r="C340" t="s">
        <v>549</v>
      </c>
      <c r="D340">
        <v>10</v>
      </c>
      <c r="E340">
        <v>90001</v>
      </c>
      <c r="F340" t="s">
        <v>3520</v>
      </c>
      <c r="G340">
        <f t="shared" ref="G340:G403" si="22">LEN(F340)</f>
        <v>26</v>
      </c>
      <c r="H340" s="9">
        <f>IF(ISERROR(VLOOKUP(A340,Excel4!D:J,7,0)),0,VLOOKUP(A340,Excel4!D:J,7,0))</f>
        <v>69.73</v>
      </c>
      <c r="I340" s="15" t="s">
        <v>1777</v>
      </c>
      <c r="J340" s="15" t="s">
        <v>3264</v>
      </c>
      <c r="K340" s="15" t="s">
        <v>170</v>
      </c>
      <c r="L340" s="18" t="str">
        <f t="shared" si="20"/>
        <v>DODURGA BELEDİYE BAŞKANLIĞI ÇORUM</v>
      </c>
      <c r="M340" s="18" t="str">
        <f t="shared" si="21"/>
        <v>DODURGA</v>
      </c>
    </row>
    <row r="341" spans="1:14" x14ac:dyDescent="0.25">
      <c r="A341" t="s">
        <v>2751</v>
      </c>
      <c r="B341" t="s">
        <v>2555</v>
      </c>
      <c r="C341" t="s">
        <v>170</v>
      </c>
      <c r="D341">
        <v>12</v>
      </c>
      <c r="E341">
        <v>90001</v>
      </c>
      <c r="F341" t="s">
        <v>2743</v>
      </c>
      <c r="G341">
        <f t="shared" si="22"/>
        <v>26</v>
      </c>
      <c r="H341" s="9">
        <f>IF(ISERROR(VLOOKUP(A341,Excel4!D:J,7,0)),0,VLOOKUP(A341,Excel4!D:J,7,0))</f>
        <v>0</v>
      </c>
      <c r="I341" s="15" t="s">
        <v>1777</v>
      </c>
      <c r="J341" s="20" t="s">
        <v>2697</v>
      </c>
      <c r="K341" s="15" t="s">
        <v>170</v>
      </c>
      <c r="L341" s="18" t="str">
        <f t="shared" si="20"/>
        <v>DÜVECİ BELEDİYE BAŞKANLIĞI ÇORUM</v>
      </c>
      <c r="M341" s="18" t="str">
        <f t="shared" si="21"/>
        <v>DÜVECİ</v>
      </c>
    </row>
    <row r="342" spans="1:14" x14ac:dyDescent="0.25">
      <c r="A342" t="s">
        <v>2740</v>
      </c>
      <c r="B342" t="s">
        <v>2555</v>
      </c>
      <c r="C342" t="s">
        <v>170</v>
      </c>
      <c r="D342">
        <v>12</v>
      </c>
      <c r="E342">
        <v>90001</v>
      </c>
      <c r="F342" t="s">
        <v>2743</v>
      </c>
      <c r="G342">
        <f t="shared" si="22"/>
        <v>26</v>
      </c>
      <c r="H342" s="9">
        <f>IF(ISERROR(VLOOKUP(A342,Excel4!D:J,7,0)),0,VLOOKUP(A342,Excel4!D:J,7,0))</f>
        <v>0</v>
      </c>
      <c r="I342" s="15" t="s">
        <v>1777</v>
      </c>
      <c r="J342" s="20" t="s">
        <v>2738</v>
      </c>
      <c r="K342" s="15" t="s">
        <v>170</v>
      </c>
      <c r="L342" s="18" t="str">
        <f t="shared" si="20"/>
        <v>DÜVENCİ BELEDİYE BAŞKANLIĞI ÇORUM</v>
      </c>
      <c r="M342" s="18" t="str">
        <f t="shared" si="21"/>
        <v>DÜVENCİ</v>
      </c>
    </row>
    <row r="343" spans="1:14" x14ac:dyDescent="0.25">
      <c r="A343" t="s">
        <v>1165</v>
      </c>
      <c r="B343" t="s">
        <v>2555</v>
      </c>
      <c r="C343" t="s">
        <v>546</v>
      </c>
      <c r="D343">
        <v>12</v>
      </c>
      <c r="E343">
        <v>90001</v>
      </c>
      <c r="F343" s="23" t="s">
        <v>4371</v>
      </c>
      <c r="G343">
        <f t="shared" si="22"/>
        <v>26</v>
      </c>
      <c r="H343" s="9">
        <f>IF(ISERROR(VLOOKUP(A343,Excel4!D:J,7,0)),0,VLOOKUP(A343,Excel4!D:J,7,0))</f>
        <v>44.78</v>
      </c>
      <c r="I343" s="15" t="s">
        <v>1777</v>
      </c>
      <c r="J343" s="15" t="s">
        <v>546</v>
      </c>
      <c r="K343" s="15" t="s">
        <v>170</v>
      </c>
      <c r="L343" s="18" t="str">
        <f t="shared" si="20"/>
        <v>İSKİLİP BELEDİYE BAŞKANLIĞI ÇORUM</v>
      </c>
      <c r="M343" s="18" t="str">
        <f t="shared" si="21"/>
        <v>İSKİLİP</v>
      </c>
      <c r="N343">
        <f>_xlfn.XLOOKUP(M343,[1]Sheet1!$A:$A,[1]Sheet1!$G:$G)</f>
        <v>0</v>
      </c>
    </row>
    <row r="344" spans="1:14" x14ac:dyDescent="0.25">
      <c r="A344" t="s">
        <v>1166</v>
      </c>
      <c r="B344" t="s">
        <v>704</v>
      </c>
      <c r="C344" t="s">
        <v>547</v>
      </c>
      <c r="D344">
        <v>10</v>
      </c>
      <c r="E344">
        <v>90001</v>
      </c>
      <c r="F344" t="s">
        <v>1167</v>
      </c>
      <c r="G344">
        <f t="shared" si="22"/>
        <v>26</v>
      </c>
      <c r="H344" s="9">
        <f>IF(ISERROR(VLOOKUP(A344,Excel4!D:J,7,0)),0,VLOOKUP(A344,Excel4!D:J,7,0))</f>
        <v>20.05</v>
      </c>
      <c r="I344" s="15" t="s">
        <v>1777</v>
      </c>
      <c r="J344" s="15" t="s">
        <v>547</v>
      </c>
      <c r="K344" s="15" t="s">
        <v>170</v>
      </c>
      <c r="L344" s="18" t="str">
        <f t="shared" si="20"/>
        <v>KARGI BELEDİYE BAŞKANLIĞI ÇORUM</v>
      </c>
      <c r="M344" s="18" t="str">
        <f t="shared" si="21"/>
        <v>KARGI</v>
      </c>
      <c r="N344">
        <f>_xlfn.XLOOKUP(M344,[1]Sheet1!$A:$A,[1]Sheet1!$G:$G)</f>
        <v>0</v>
      </c>
    </row>
    <row r="345" spans="1:14" x14ac:dyDescent="0.25">
      <c r="A345" s="19" t="s">
        <v>2448</v>
      </c>
      <c r="B345" s="19" t="s">
        <v>704</v>
      </c>
      <c r="C345" s="19" t="s">
        <v>170</v>
      </c>
      <c r="D345">
        <v>10</v>
      </c>
      <c r="E345">
        <v>90001</v>
      </c>
      <c r="F345" t="s">
        <v>2449</v>
      </c>
      <c r="G345">
        <f t="shared" si="22"/>
        <v>26</v>
      </c>
      <c r="H345" s="9">
        <f>IF(ISERROR(VLOOKUP(A345,Excel4!D:J,7,0)),0,VLOOKUP(A345,Excel4!D:J,7,0))</f>
        <v>0</v>
      </c>
      <c r="I345" s="15" t="s">
        <v>1777</v>
      </c>
      <c r="J345" s="20" t="s">
        <v>2417</v>
      </c>
      <c r="K345" s="20" t="s">
        <v>170</v>
      </c>
      <c r="L345" s="18" t="str">
        <f t="shared" si="20"/>
        <v>LAÇİN BELEDİYE BAŞKANLIĞI ÇORUM</v>
      </c>
      <c r="M345" s="18" t="str">
        <f t="shared" si="21"/>
        <v>LAÇİN</v>
      </c>
    </row>
    <row r="346" spans="1:14" x14ac:dyDescent="0.25">
      <c r="A346" t="s">
        <v>1654</v>
      </c>
      <c r="B346" t="s">
        <v>818</v>
      </c>
      <c r="C346" t="s">
        <v>548</v>
      </c>
      <c r="D346">
        <v>64</v>
      </c>
      <c r="E346">
        <v>90001</v>
      </c>
      <c r="F346" t="s">
        <v>1655</v>
      </c>
      <c r="G346">
        <f t="shared" si="22"/>
        <v>26</v>
      </c>
      <c r="H346" s="9">
        <f>IF(ISERROR(VLOOKUP(A346,Excel4!D:J,7,0)),0,VLOOKUP(A346,Excel4!D:J,7,0))</f>
        <v>44.78</v>
      </c>
      <c r="I346" s="15" t="s">
        <v>1777</v>
      </c>
      <c r="J346" s="15" t="s">
        <v>548</v>
      </c>
      <c r="K346" s="15" t="s">
        <v>170</v>
      </c>
      <c r="L346" s="18" t="str">
        <f t="shared" si="20"/>
        <v>MECİTÖZÜ BELEDİYE BAŞKANLIĞI ÇORUM</v>
      </c>
      <c r="M346" s="18" t="str">
        <f t="shared" si="21"/>
        <v>MECİTÖZÜ</v>
      </c>
      <c r="N346">
        <f>_xlfn.XLOOKUP(M346,[1]Sheet1!$A:$A,[1]Sheet1!$G:$G)</f>
        <v>0</v>
      </c>
    </row>
    <row r="347" spans="1:14" x14ac:dyDescent="0.25">
      <c r="A347" t="s">
        <v>1168</v>
      </c>
      <c r="B347" t="s">
        <v>704</v>
      </c>
      <c r="C347" t="s">
        <v>34</v>
      </c>
      <c r="D347">
        <v>10</v>
      </c>
      <c r="E347">
        <v>90001</v>
      </c>
      <c r="F347" t="s">
        <v>1169</v>
      </c>
      <c r="G347">
        <f t="shared" si="22"/>
        <v>26</v>
      </c>
      <c r="H347" s="9">
        <f>IF(ISERROR(VLOOKUP(A347,Excel4!D:J,7,0)),0,VLOOKUP(A347,Excel4!D:J,7,0))</f>
        <v>4312.7299999999996</v>
      </c>
      <c r="I347" s="15" t="s">
        <v>1777</v>
      </c>
      <c r="J347" s="15" t="s">
        <v>34</v>
      </c>
      <c r="K347" s="15" t="s">
        <v>170</v>
      </c>
      <c r="L347" s="18" t="str">
        <f t="shared" si="20"/>
        <v>ÇORUM BELEDİYE BAŞKANLIĞI</v>
      </c>
      <c r="M347" s="18" t="str">
        <f t="shared" si="21"/>
        <v>ÇORUM</v>
      </c>
      <c r="N347" t="e">
        <f>_xlfn.XLOOKUP(M347,[1]Sheet1!$C:$C,[1]Sheet1!$G:$G)</f>
        <v>#N/A</v>
      </c>
    </row>
    <row r="348" spans="1:14" x14ac:dyDescent="0.25">
      <c r="A348" t="s">
        <v>2827</v>
      </c>
      <c r="B348" t="s">
        <v>704</v>
      </c>
      <c r="C348" t="s">
        <v>2821</v>
      </c>
      <c r="D348">
        <v>10</v>
      </c>
      <c r="E348">
        <v>90001</v>
      </c>
      <c r="F348" t="s">
        <v>2830</v>
      </c>
      <c r="G348">
        <f t="shared" si="22"/>
        <v>26</v>
      </c>
      <c r="H348" s="9">
        <f>IF(ISERROR(VLOOKUP(A348,Excel4!D:J,7,0)),0,VLOOKUP(A348,Excel4!D:J,7,0))</f>
        <v>55.65</v>
      </c>
      <c r="I348" s="15" t="s">
        <v>1777</v>
      </c>
      <c r="J348" s="20" t="s">
        <v>2821</v>
      </c>
      <c r="K348" s="15" t="s">
        <v>170</v>
      </c>
      <c r="L348" s="18" t="str">
        <f t="shared" si="20"/>
        <v>OĞUZLAR BELEDİYE BAŞKANLIĞI ÇORUM</v>
      </c>
      <c r="M348" s="18" t="str">
        <f t="shared" si="21"/>
        <v>OĞUZLAR</v>
      </c>
    </row>
    <row r="349" spans="1:14" x14ac:dyDescent="0.25">
      <c r="A349" s="19" t="s">
        <v>2338</v>
      </c>
      <c r="B349" s="19" t="s">
        <v>704</v>
      </c>
      <c r="C349" s="19" t="s">
        <v>349</v>
      </c>
      <c r="D349">
        <v>10</v>
      </c>
      <c r="E349">
        <v>90001</v>
      </c>
      <c r="F349" t="s">
        <v>2358</v>
      </c>
      <c r="G349">
        <f t="shared" si="22"/>
        <v>26</v>
      </c>
      <c r="H349" s="9">
        <f>IF(ISERROR(VLOOKUP(A349,Excel4!D:J,7,0)),0,VLOOKUP(A349,Excel4!D:J,7,0))</f>
        <v>0</v>
      </c>
      <c r="I349" s="15" t="s">
        <v>1777</v>
      </c>
      <c r="J349" s="20" t="s">
        <v>349</v>
      </c>
      <c r="K349" s="20" t="s">
        <v>170</v>
      </c>
      <c r="L349" s="18" t="str">
        <f t="shared" si="20"/>
        <v>ORTAKÖY BELEDİYE BAŞKANLIĞI ÇORUM</v>
      </c>
      <c r="M349" s="18" t="str">
        <f t="shared" si="21"/>
        <v>ORTAKÖY</v>
      </c>
    </row>
    <row r="350" spans="1:14" x14ac:dyDescent="0.25">
      <c r="A350" t="s">
        <v>1656</v>
      </c>
      <c r="B350" t="s">
        <v>2555</v>
      </c>
      <c r="C350" t="s">
        <v>549</v>
      </c>
      <c r="D350">
        <v>12</v>
      </c>
      <c r="E350">
        <v>90001</v>
      </c>
      <c r="F350" t="s">
        <v>1657</v>
      </c>
      <c r="G350">
        <f t="shared" si="22"/>
        <v>26</v>
      </c>
      <c r="H350" s="9">
        <f>IF(ISERROR(VLOOKUP(A350,Excel4!D:J,7,0)),0,VLOOKUP(A350,Excel4!D:J,7,0))</f>
        <v>204.12</v>
      </c>
      <c r="I350" s="15" t="s">
        <v>1777</v>
      </c>
      <c r="J350" s="15" t="s">
        <v>549</v>
      </c>
      <c r="K350" s="15" t="s">
        <v>170</v>
      </c>
      <c r="L350" s="18" t="str">
        <f t="shared" si="20"/>
        <v>OSMANCIK BELEDİYE BAŞKANLIĞI ÇORUM</v>
      </c>
      <c r="M350" s="18" t="str">
        <f t="shared" si="21"/>
        <v>OSMANCIK</v>
      </c>
      <c r="N350" t="e">
        <f>_xlfn.XLOOKUP(M350,[1]Sheet1!$C:$C,[1]Sheet1!$G:$G)</f>
        <v>#N/A</v>
      </c>
    </row>
    <row r="351" spans="1:14" x14ac:dyDescent="0.25">
      <c r="A351" t="s">
        <v>1658</v>
      </c>
      <c r="B351" t="s">
        <v>699</v>
      </c>
      <c r="C351" t="s">
        <v>363</v>
      </c>
      <c r="D351">
        <v>15</v>
      </c>
      <c r="E351">
        <v>90001</v>
      </c>
      <c r="F351" t="s">
        <v>1659</v>
      </c>
      <c r="G351">
        <f t="shared" si="22"/>
        <v>26</v>
      </c>
      <c r="H351" s="9">
        <f>IF(ISERROR(VLOOKUP(A351,Excel4!D:J,7,0)),0,VLOOKUP(A351,Excel4!D:J,7,0))</f>
        <v>1517.06</v>
      </c>
      <c r="I351" s="15" t="s">
        <v>1777</v>
      </c>
      <c r="J351" s="15" t="s">
        <v>363</v>
      </c>
      <c r="K351" s="15" t="s">
        <v>170</v>
      </c>
      <c r="L351" s="18" t="str">
        <f t="shared" si="20"/>
        <v>SUNGURLU BELEDİYE BAŞKANLIĞI ÇORUM</v>
      </c>
      <c r="M351" s="18" t="str">
        <f t="shared" si="21"/>
        <v>SUNGURLU</v>
      </c>
      <c r="N351">
        <f>_xlfn.XLOOKUP(M351,[1]Sheet1!$A:$A,[1]Sheet1!$G:$G)</f>
        <v>0</v>
      </c>
    </row>
    <row r="352" spans="1:14" x14ac:dyDescent="0.25">
      <c r="A352" t="s">
        <v>3884</v>
      </c>
      <c r="B352" t="s">
        <v>704</v>
      </c>
      <c r="C352" t="s">
        <v>3882</v>
      </c>
      <c r="D352">
        <v>10</v>
      </c>
      <c r="E352">
        <v>90001</v>
      </c>
      <c r="F352" t="s">
        <v>3886</v>
      </c>
      <c r="G352">
        <f t="shared" si="22"/>
        <v>26</v>
      </c>
      <c r="H352" s="9">
        <f>IF(ISERROR(VLOOKUP(A352,Excel4!D:J,7,0)),0,VLOOKUP(A352,Excel4!D:J,7,0))</f>
        <v>0</v>
      </c>
      <c r="I352" s="15" t="s">
        <v>1777</v>
      </c>
      <c r="J352" s="15" t="s">
        <v>3882</v>
      </c>
      <c r="K352" s="15" t="s">
        <v>170</v>
      </c>
      <c r="L352" s="18" t="str">
        <f t="shared" si="20"/>
        <v>UĞURLUDAĞ BELEDİYE BAŞKANLIĞI ÇORUM</v>
      </c>
      <c r="M352" s="18" t="str">
        <f t="shared" si="21"/>
        <v>UĞURLUDAĞ</v>
      </c>
      <c r="N352">
        <f>_xlfn.XLOOKUP(M352,[1]Sheet1!$A:$A,[1]Sheet1!$G:$G)</f>
        <v>0</v>
      </c>
    </row>
    <row r="353" spans="1:14" x14ac:dyDescent="0.25">
      <c r="A353" t="s">
        <v>1170</v>
      </c>
      <c r="B353" t="s">
        <v>704</v>
      </c>
      <c r="C353" t="s">
        <v>15</v>
      </c>
      <c r="D353">
        <v>10</v>
      </c>
      <c r="E353">
        <v>90001</v>
      </c>
      <c r="F353" t="s">
        <v>1171</v>
      </c>
      <c r="G353">
        <f t="shared" si="22"/>
        <v>26</v>
      </c>
      <c r="H353" s="9">
        <f>IF(ISERROR(VLOOKUP(A353,Excel4!D:J,7,0)),0,VLOOKUP(A353,Excel4!D:J,7,0))</f>
        <v>0</v>
      </c>
      <c r="I353" s="15" t="s">
        <v>1777</v>
      </c>
      <c r="J353" s="15" t="s">
        <v>15</v>
      </c>
      <c r="K353" s="15" t="s">
        <v>57</v>
      </c>
      <c r="L353" s="18" t="str">
        <f t="shared" si="20"/>
        <v>ACIPAYAM BELEDİYE BAŞKANLIĞI DENİZLİ</v>
      </c>
      <c r="M353" s="18" t="str">
        <f t="shared" si="21"/>
        <v>ACIPAYAM</v>
      </c>
    </row>
    <row r="354" spans="1:14" x14ac:dyDescent="0.25">
      <c r="A354" t="s">
        <v>1172</v>
      </c>
      <c r="B354" t="s">
        <v>704</v>
      </c>
      <c r="C354" t="s">
        <v>550</v>
      </c>
      <c r="D354">
        <v>10</v>
      </c>
      <c r="E354">
        <v>90001</v>
      </c>
      <c r="F354" t="s">
        <v>1173</v>
      </c>
      <c r="G354">
        <f t="shared" si="22"/>
        <v>26</v>
      </c>
      <c r="H354" s="9">
        <f>IF(ISERROR(VLOOKUP(A354,Excel4!D:J,7,0)),0,VLOOKUP(A354,Excel4!D:J,7,0))</f>
        <v>0</v>
      </c>
      <c r="I354" s="15" t="s">
        <v>1777</v>
      </c>
      <c r="J354" s="15" t="s">
        <v>550</v>
      </c>
      <c r="K354" s="15" t="s">
        <v>57</v>
      </c>
      <c r="L354" s="18" t="str">
        <f t="shared" si="20"/>
        <v>AKKÖY BELEDİYE BAŞKANLIĞI DENİZLİ</v>
      </c>
      <c r="M354" s="18" t="str">
        <f t="shared" si="21"/>
        <v>AKKÖY</v>
      </c>
    </row>
    <row r="355" spans="1:14" x14ac:dyDescent="0.25">
      <c r="A355" t="s">
        <v>1660</v>
      </c>
      <c r="B355" t="s">
        <v>2555</v>
      </c>
      <c r="C355" t="s">
        <v>551</v>
      </c>
      <c r="D355">
        <v>12</v>
      </c>
      <c r="E355">
        <v>90001</v>
      </c>
      <c r="F355" t="s">
        <v>1661</v>
      </c>
      <c r="G355">
        <f t="shared" si="22"/>
        <v>26</v>
      </c>
      <c r="H355" s="9">
        <f>IF(ISERROR(VLOOKUP(A355,Excel4!D:J,7,0)),0,VLOOKUP(A355,Excel4!D:J,7,0))</f>
        <v>0</v>
      </c>
      <c r="I355" s="15" t="s">
        <v>1777</v>
      </c>
      <c r="J355" s="15" t="s">
        <v>551</v>
      </c>
      <c r="K355" s="15" t="s">
        <v>57</v>
      </c>
      <c r="L355" s="18" t="str">
        <f t="shared" si="20"/>
        <v>BAŞKARCI BELEDİYE BAŞKANLIĞI DENİZLİ</v>
      </c>
      <c r="M355" s="18" t="str">
        <f t="shared" si="21"/>
        <v>BAŞKARCI</v>
      </c>
    </row>
    <row r="356" spans="1:14" x14ac:dyDescent="0.25">
      <c r="A356" t="s">
        <v>1924</v>
      </c>
      <c r="B356" t="s">
        <v>704</v>
      </c>
      <c r="C356" t="s">
        <v>1861</v>
      </c>
      <c r="D356">
        <v>10</v>
      </c>
      <c r="E356">
        <v>90001</v>
      </c>
      <c r="F356" t="s">
        <v>1961</v>
      </c>
      <c r="G356">
        <f t="shared" si="22"/>
        <v>26</v>
      </c>
      <c r="H356" s="9">
        <f>IF(ISERROR(VLOOKUP(A356,Excel4!D:J,7,0)),0,VLOOKUP(A356,Excel4!D:J,7,0))</f>
        <v>0</v>
      </c>
      <c r="I356" s="15" t="s">
        <v>1777</v>
      </c>
      <c r="J356" s="15" t="s">
        <v>1861</v>
      </c>
      <c r="K356" s="15" t="s">
        <v>57</v>
      </c>
      <c r="L356" s="18" t="str">
        <f t="shared" ref="L356:L419" si="23">IF(J356="MERKEZ",K356&amp;" "&amp;I356,IF(J356="BÜYÜKŞEHİR",K356&amp;" "&amp;J356&amp;" "&amp;I356,J356&amp;" "&amp;I356&amp;" "&amp;K356))</f>
        <v>BEKİLLİ BELEDİYE BAŞKANLIĞI DENİZLİ</v>
      </c>
      <c r="M356" s="18" t="str">
        <f t="shared" si="21"/>
        <v>BEKİLLİ</v>
      </c>
    </row>
    <row r="357" spans="1:14" x14ac:dyDescent="0.25">
      <c r="A357" t="s">
        <v>1174</v>
      </c>
      <c r="B357" t="s">
        <v>2555</v>
      </c>
      <c r="C357" t="s">
        <v>552</v>
      </c>
      <c r="D357">
        <v>12</v>
      </c>
      <c r="E357">
        <v>90001</v>
      </c>
      <c r="F357" t="s">
        <v>1175</v>
      </c>
      <c r="G357">
        <f t="shared" si="22"/>
        <v>26</v>
      </c>
      <c r="H357" s="9">
        <f>IF(ISERROR(VLOOKUP(A357,Excel4!D:J,7,0)),0,VLOOKUP(A357,Excel4!D:J,7,0))</f>
        <v>0</v>
      </c>
      <c r="I357" s="15" t="s">
        <v>1777</v>
      </c>
      <c r="J357" s="15" t="s">
        <v>552</v>
      </c>
      <c r="K357" s="15" t="s">
        <v>57</v>
      </c>
      <c r="L357" s="18" t="str">
        <f t="shared" si="23"/>
        <v>BOZKURT BELEDİYE BAŞKANLIĞI DENİZLİ</v>
      </c>
      <c r="M357" s="18" t="str">
        <f t="shared" si="21"/>
        <v>BOZKURT</v>
      </c>
    </row>
    <row r="358" spans="1:14" x14ac:dyDescent="0.25">
      <c r="A358" t="s">
        <v>2027</v>
      </c>
      <c r="B358" t="s">
        <v>2555</v>
      </c>
      <c r="C358" t="s">
        <v>34</v>
      </c>
      <c r="D358">
        <v>12</v>
      </c>
      <c r="E358">
        <v>90001</v>
      </c>
      <c r="F358" t="s">
        <v>396</v>
      </c>
      <c r="G358">
        <f t="shared" si="22"/>
        <v>26</v>
      </c>
      <c r="H358" s="9">
        <f>IF(ISERROR(VLOOKUP(A358,Excel4!D:J,7,0)),0,VLOOKUP(A358,Excel4!D:J,7,0))</f>
        <v>59679.079999999994</v>
      </c>
      <c r="I358" s="15" t="s">
        <v>1777</v>
      </c>
      <c r="J358" s="15" t="s">
        <v>27</v>
      </c>
      <c r="K358" s="15" t="s">
        <v>57</v>
      </c>
      <c r="L358" s="18" t="str">
        <f t="shared" si="23"/>
        <v>DENİZLİ BÜYÜKŞEHİR BELEDİYE BAŞKANLIĞI</v>
      </c>
      <c r="M358" s="18" t="str">
        <f t="shared" si="21"/>
        <v>DENİZLİ BÜYÜKŞEHİR</v>
      </c>
      <c r="N358">
        <f>_xlfn.XLOOKUP(M358,[1]Sheet1!$A:$A,[1]Sheet1!$G:$G)</f>
        <v>0</v>
      </c>
    </row>
    <row r="359" spans="1:14" x14ac:dyDescent="0.25">
      <c r="A359" t="s">
        <v>719</v>
      </c>
      <c r="B359" t="s">
        <v>704</v>
      </c>
      <c r="C359" t="s">
        <v>539</v>
      </c>
      <c r="D359">
        <v>10</v>
      </c>
      <c r="E359">
        <v>90001</v>
      </c>
      <c r="F359" t="s">
        <v>720</v>
      </c>
      <c r="G359">
        <f t="shared" si="22"/>
        <v>26</v>
      </c>
      <c r="H359" s="9">
        <f>IF(ISERROR(VLOOKUP(A359,Excel4!D:J,7,0)),0,VLOOKUP(A359,Excel4!D:J,7,0))</f>
        <v>0</v>
      </c>
      <c r="I359" s="15" t="s">
        <v>1777</v>
      </c>
      <c r="J359" s="15" t="s">
        <v>539</v>
      </c>
      <c r="K359" s="15" t="s">
        <v>57</v>
      </c>
      <c r="L359" s="18" t="str">
        <f t="shared" si="23"/>
        <v>ÇARDAK BELEDİYE BAŞKANLIĞI DENİZLİ</v>
      </c>
      <c r="M359" s="18" t="str">
        <f t="shared" si="21"/>
        <v>ÇARDAK</v>
      </c>
    </row>
    <row r="360" spans="1:14" x14ac:dyDescent="0.25">
      <c r="A360" t="s">
        <v>1176</v>
      </c>
      <c r="B360" t="s">
        <v>704</v>
      </c>
      <c r="C360" t="s">
        <v>553</v>
      </c>
      <c r="D360">
        <v>10</v>
      </c>
      <c r="E360">
        <v>90001</v>
      </c>
      <c r="F360" t="s">
        <v>1177</v>
      </c>
      <c r="G360">
        <f t="shared" si="22"/>
        <v>26</v>
      </c>
      <c r="H360" s="9">
        <f>IF(ISERROR(VLOOKUP(A360,Excel4!D:J,7,0)),0,VLOOKUP(A360,Excel4!D:J,7,0))</f>
        <v>0</v>
      </c>
      <c r="I360" s="15" t="s">
        <v>1777</v>
      </c>
      <c r="J360" s="15" t="s">
        <v>553</v>
      </c>
      <c r="K360" s="15" t="s">
        <v>57</v>
      </c>
      <c r="L360" s="18" t="str">
        <f t="shared" si="23"/>
        <v>ÇİVRİL BELEDİYE BAŞKANLIĞI DENİZLİ</v>
      </c>
      <c r="M360" s="18" t="str">
        <f t="shared" si="21"/>
        <v>ÇİVRİL</v>
      </c>
    </row>
    <row r="361" spans="1:14" x14ac:dyDescent="0.25">
      <c r="A361" t="s">
        <v>1178</v>
      </c>
      <c r="B361" t="s">
        <v>699</v>
      </c>
      <c r="C361" t="s">
        <v>259</v>
      </c>
      <c r="D361">
        <v>15</v>
      </c>
      <c r="E361">
        <v>90001</v>
      </c>
      <c r="F361" t="s">
        <v>1179</v>
      </c>
      <c r="G361">
        <f t="shared" si="22"/>
        <v>26</v>
      </c>
      <c r="H361" s="9">
        <f>IF(ISERROR(VLOOKUP(A361,Excel4!D:J,7,0)),0,VLOOKUP(A361,Excel4!D:J,7,0))</f>
        <v>0</v>
      </c>
      <c r="I361" s="15" t="s">
        <v>1777</v>
      </c>
      <c r="J361" s="15" t="s">
        <v>259</v>
      </c>
      <c r="K361" s="15" t="s">
        <v>57</v>
      </c>
      <c r="L361" s="18" t="str">
        <f t="shared" si="23"/>
        <v>HONAZ BELEDİYE BAŞKANLIĞI DENİZLİ</v>
      </c>
      <c r="M361" s="18" t="str">
        <f t="shared" si="21"/>
        <v>HONAZ</v>
      </c>
    </row>
    <row r="362" spans="1:14" x14ac:dyDescent="0.25">
      <c r="A362" t="s">
        <v>1805</v>
      </c>
      <c r="B362" t="s">
        <v>704</v>
      </c>
      <c r="C362" t="s">
        <v>1821</v>
      </c>
      <c r="D362">
        <v>10</v>
      </c>
      <c r="E362">
        <v>90001</v>
      </c>
      <c r="F362" t="s">
        <v>1837</v>
      </c>
      <c r="G362">
        <f t="shared" si="22"/>
        <v>26</v>
      </c>
      <c r="H362" s="9">
        <f>IF(ISERROR(VLOOKUP(A362,Excel4!D:J,7,0)),0,VLOOKUP(A362,Excel4!D:J,7,0))</f>
        <v>0</v>
      </c>
      <c r="I362" s="15" t="s">
        <v>1777</v>
      </c>
      <c r="J362" s="15" t="s">
        <v>1783</v>
      </c>
      <c r="K362" s="15" t="s">
        <v>57</v>
      </c>
      <c r="L362" s="18" t="str">
        <f t="shared" si="23"/>
        <v>KELEKÇİ BELEDİYE BAŞKANLIĞI DENİZLİ</v>
      </c>
      <c r="M362" s="18" t="str">
        <f t="shared" si="21"/>
        <v>KELEKÇİ</v>
      </c>
    </row>
    <row r="363" spans="1:14" x14ac:dyDescent="0.25">
      <c r="A363" t="s">
        <v>1806</v>
      </c>
      <c r="B363" t="s">
        <v>2555</v>
      </c>
      <c r="C363" t="s">
        <v>552</v>
      </c>
      <c r="D363">
        <v>12</v>
      </c>
      <c r="E363">
        <v>90001</v>
      </c>
      <c r="F363" t="s">
        <v>1838</v>
      </c>
      <c r="G363">
        <f t="shared" si="22"/>
        <v>26</v>
      </c>
      <c r="H363" s="9">
        <f>IF(ISERROR(VLOOKUP(A363,Excel4!D:J,7,0)),0,VLOOKUP(A363,Excel4!D:J,7,0))</f>
        <v>0</v>
      </c>
      <c r="I363" s="15" t="s">
        <v>1777</v>
      </c>
      <c r="J363" s="15" t="s">
        <v>1784</v>
      </c>
      <c r="K363" s="15" t="s">
        <v>57</v>
      </c>
      <c r="L363" s="18" t="str">
        <f t="shared" si="23"/>
        <v>KIZILYER BELEDİYE BAŞKANLIĞI DENİZLİ</v>
      </c>
      <c r="M363" s="18" t="str">
        <f t="shared" si="21"/>
        <v>KIZILYER</v>
      </c>
    </row>
    <row r="364" spans="1:14" x14ac:dyDescent="0.25">
      <c r="A364" t="s">
        <v>1662</v>
      </c>
      <c r="B364" t="s">
        <v>699</v>
      </c>
      <c r="C364" t="s">
        <v>441</v>
      </c>
      <c r="D364">
        <v>15</v>
      </c>
      <c r="E364">
        <v>90001</v>
      </c>
      <c r="F364" t="s">
        <v>1663</v>
      </c>
      <c r="G364">
        <f t="shared" si="22"/>
        <v>26</v>
      </c>
      <c r="H364" s="9">
        <f>IF(ISERROR(VLOOKUP(A364,Excel4!D:J,7,0)),0,VLOOKUP(A364,Excel4!D:J,7,0))</f>
        <v>0</v>
      </c>
      <c r="I364" s="15" t="s">
        <v>1777</v>
      </c>
      <c r="J364" s="15" t="s">
        <v>441</v>
      </c>
      <c r="K364" s="15" t="s">
        <v>57</v>
      </c>
      <c r="L364" s="18" t="str">
        <f t="shared" si="23"/>
        <v>PAMUKKALE BELEDİYE BAŞKANLIĞI DENİZLİ</v>
      </c>
      <c r="M364" s="18" t="str">
        <f t="shared" si="21"/>
        <v>PAMUKKALE</v>
      </c>
    </row>
    <row r="365" spans="1:14" x14ac:dyDescent="0.25">
      <c r="A365" t="s">
        <v>1664</v>
      </c>
      <c r="B365" t="s">
        <v>2555</v>
      </c>
      <c r="C365" t="s">
        <v>91</v>
      </c>
      <c r="D365">
        <v>12</v>
      </c>
      <c r="E365">
        <v>90001</v>
      </c>
      <c r="F365" t="s">
        <v>483</v>
      </c>
      <c r="G365">
        <f t="shared" si="22"/>
        <v>26</v>
      </c>
      <c r="H365" s="9">
        <f>IF(ISERROR(VLOOKUP(A365,Excel4!D:J,7,0)),0,VLOOKUP(A365,Excel4!D:J,7,0))</f>
        <v>0</v>
      </c>
      <c r="I365" s="15" t="s">
        <v>1777</v>
      </c>
      <c r="J365" s="15" t="s">
        <v>91</v>
      </c>
      <c r="K365" s="15" t="s">
        <v>57</v>
      </c>
      <c r="L365" s="18" t="str">
        <f t="shared" si="23"/>
        <v>SARAYKÖY BELEDİYE BAŞKANLIĞI DENİZLİ</v>
      </c>
      <c r="M365" s="18" t="str">
        <f t="shared" si="21"/>
        <v>SARAYKÖY</v>
      </c>
    </row>
    <row r="366" spans="1:14" x14ac:dyDescent="0.25">
      <c r="A366" t="s">
        <v>1180</v>
      </c>
      <c r="B366" t="s">
        <v>704</v>
      </c>
      <c r="C366" t="s">
        <v>554</v>
      </c>
      <c r="D366">
        <v>10</v>
      </c>
      <c r="E366">
        <v>90001</v>
      </c>
      <c r="F366" t="s">
        <v>1181</v>
      </c>
      <c r="G366">
        <f t="shared" si="22"/>
        <v>26</v>
      </c>
      <c r="H366" s="9">
        <f>IF(ISERROR(VLOOKUP(A366,Excel4!D:J,7,0)),0,VLOOKUP(A366,Excel4!D:J,7,0))</f>
        <v>0</v>
      </c>
      <c r="I366" s="15" t="s">
        <v>1777</v>
      </c>
      <c r="J366" s="15" t="s">
        <v>554</v>
      </c>
      <c r="K366" s="15" t="s">
        <v>57</v>
      </c>
      <c r="L366" s="18" t="str">
        <f t="shared" si="23"/>
        <v>SERİNHİSAR BELEDİYE BAŞKANLIĞI DENİZLİ</v>
      </c>
      <c r="M366" s="18" t="str">
        <f t="shared" si="21"/>
        <v>SERİNHİSAR</v>
      </c>
    </row>
    <row r="367" spans="1:14" x14ac:dyDescent="0.25">
      <c r="A367" t="s">
        <v>721</v>
      </c>
      <c r="B367" t="s">
        <v>2555</v>
      </c>
      <c r="C367" t="s">
        <v>329</v>
      </c>
      <c r="D367">
        <v>12</v>
      </c>
      <c r="E367">
        <v>90001</v>
      </c>
      <c r="F367" t="s">
        <v>722</v>
      </c>
      <c r="G367">
        <f t="shared" si="22"/>
        <v>26</v>
      </c>
      <c r="H367" s="9">
        <f>IF(ISERROR(VLOOKUP(A367,Excel4!D:J,7,0)),0,VLOOKUP(A367,Excel4!D:J,7,0))</f>
        <v>0</v>
      </c>
      <c r="I367" s="15" t="s">
        <v>1777</v>
      </c>
      <c r="J367" s="15" t="s">
        <v>329</v>
      </c>
      <c r="K367" s="15" t="s">
        <v>57</v>
      </c>
      <c r="L367" s="18" t="str">
        <f t="shared" si="23"/>
        <v>TAVAS BELEDİYE BAŞKANLIĞI DENİZLİ</v>
      </c>
      <c r="M367" s="18" t="str">
        <f t="shared" si="21"/>
        <v>TAVAS</v>
      </c>
    </row>
    <row r="368" spans="1:14" x14ac:dyDescent="0.25">
      <c r="A368" t="s">
        <v>1665</v>
      </c>
      <c r="B368" t="s">
        <v>2555</v>
      </c>
      <c r="C368" t="s">
        <v>253</v>
      </c>
      <c r="D368">
        <v>12</v>
      </c>
      <c r="E368">
        <v>90001</v>
      </c>
      <c r="F368" t="s">
        <v>397</v>
      </c>
      <c r="G368">
        <f t="shared" si="22"/>
        <v>26</v>
      </c>
      <c r="H368" s="9">
        <f>IF(ISERROR(VLOOKUP(A368,Excel4!D:J,7,0)),0,VLOOKUP(A368,Excel4!D:J,7,0))</f>
        <v>0</v>
      </c>
      <c r="I368" s="15" t="s">
        <v>1777</v>
      </c>
      <c r="J368" s="15" t="s">
        <v>253</v>
      </c>
      <c r="K368" s="15" t="s">
        <v>58</v>
      </c>
      <c r="L368" s="18" t="str">
        <f t="shared" si="23"/>
        <v>BİSMİL BELEDİYE BAŞKANLIĞI DİYARBAKIR</v>
      </c>
      <c r="M368" s="18" t="str">
        <f t="shared" si="21"/>
        <v>BİSMİL</v>
      </c>
    </row>
    <row r="369" spans="1:14" x14ac:dyDescent="0.25">
      <c r="A369" t="s">
        <v>1911</v>
      </c>
      <c r="B369" t="s">
        <v>699</v>
      </c>
      <c r="C369" t="s">
        <v>1766</v>
      </c>
      <c r="D369">
        <v>15</v>
      </c>
      <c r="E369">
        <v>90001</v>
      </c>
      <c r="F369" t="s">
        <v>398</v>
      </c>
      <c r="G369">
        <f t="shared" si="22"/>
        <v>26</v>
      </c>
      <c r="H369" s="9">
        <f>IF(ISERROR(VLOOKUP(A369,Excel4!D:J,7,0)),0,VLOOKUP(A369,Excel4!D:J,7,0))</f>
        <v>10930.43</v>
      </c>
      <c r="I369" s="15" t="s">
        <v>1777</v>
      </c>
      <c r="J369" s="15" t="s">
        <v>27</v>
      </c>
      <c r="K369" s="15" t="s">
        <v>58</v>
      </c>
      <c r="L369" s="18" t="str">
        <f t="shared" si="23"/>
        <v>DİYARBAKIR BÜYÜKŞEHİR BELEDİYE BAŞKANLIĞI</v>
      </c>
      <c r="M369" s="18" t="str">
        <f t="shared" si="21"/>
        <v>DİYARBAKIR BÜYÜKŞEHİR</v>
      </c>
      <c r="N369">
        <f>_xlfn.XLOOKUP(M369,[1]Sheet1!$A:$A,[1]Sheet1!$G:$G)</f>
        <v>0</v>
      </c>
    </row>
    <row r="370" spans="1:14" x14ac:dyDescent="0.25">
      <c r="A370" t="s">
        <v>1182</v>
      </c>
      <c r="B370" t="s">
        <v>704</v>
      </c>
      <c r="C370" t="s">
        <v>555</v>
      </c>
      <c r="D370">
        <v>10</v>
      </c>
      <c r="E370">
        <v>90001</v>
      </c>
      <c r="F370" t="s">
        <v>1183</v>
      </c>
      <c r="G370">
        <f t="shared" si="22"/>
        <v>26</v>
      </c>
      <c r="H370" s="9">
        <f>IF(ISERROR(VLOOKUP(A370,Excel4!D:J,7,0)),0,VLOOKUP(A370,Excel4!D:J,7,0))</f>
        <v>0</v>
      </c>
      <c r="I370" s="15" t="s">
        <v>1777</v>
      </c>
      <c r="J370" s="15" t="s">
        <v>555</v>
      </c>
      <c r="K370" s="15" t="s">
        <v>58</v>
      </c>
      <c r="L370" s="18" t="str">
        <f t="shared" si="23"/>
        <v>ÇERMİK BELEDİYE BAŞKANLIĞI DİYARBAKIR</v>
      </c>
      <c r="M370" s="18" t="str">
        <f t="shared" si="21"/>
        <v>ÇERMİK</v>
      </c>
    </row>
    <row r="371" spans="1:14" x14ac:dyDescent="0.25">
      <c r="A371" t="s">
        <v>1184</v>
      </c>
      <c r="B371" t="s">
        <v>704</v>
      </c>
      <c r="C371" t="s">
        <v>556</v>
      </c>
      <c r="D371">
        <v>10</v>
      </c>
      <c r="E371">
        <v>90001</v>
      </c>
      <c r="F371" t="s">
        <v>1185</v>
      </c>
      <c r="G371">
        <f t="shared" si="22"/>
        <v>26</v>
      </c>
      <c r="H371" s="9">
        <f>IF(ISERROR(VLOOKUP(A371,Excel4!D:J,7,0)),0,VLOOKUP(A371,Excel4!D:J,7,0))</f>
        <v>0</v>
      </c>
      <c r="I371" s="15" t="s">
        <v>1777</v>
      </c>
      <c r="J371" s="15" t="s">
        <v>556</v>
      </c>
      <c r="K371" s="15" t="s">
        <v>58</v>
      </c>
      <c r="L371" s="18" t="str">
        <f t="shared" si="23"/>
        <v>ÇINAR BELEDİYE BAŞKANLIĞI DİYARBAKIR</v>
      </c>
      <c r="M371" s="18" t="str">
        <f t="shared" si="21"/>
        <v>ÇINAR</v>
      </c>
    </row>
    <row r="372" spans="1:14" x14ac:dyDescent="0.25">
      <c r="A372" t="s">
        <v>1666</v>
      </c>
      <c r="B372" t="s">
        <v>2555</v>
      </c>
      <c r="C372" t="s">
        <v>442</v>
      </c>
      <c r="D372">
        <v>12</v>
      </c>
      <c r="E372">
        <v>90001</v>
      </c>
      <c r="F372" t="s">
        <v>1667</v>
      </c>
      <c r="G372">
        <f t="shared" si="22"/>
        <v>26</v>
      </c>
      <c r="H372" s="9">
        <f>IF(ISERROR(VLOOKUP(A372,Excel4!D:J,7,0)),0,VLOOKUP(A372,Excel4!D:J,7,0))</f>
        <v>0</v>
      </c>
      <c r="I372" s="15" t="s">
        <v>1777</v>
      </c>
      <c r="J372" s="15" t="s">
        <v>442</v>
      </c>
      <c r="K372" s="15" t="s">
        <v>58</v>
      </c>
      <c r="L372" s="18" t="str">
        <f t="shared" si="23"/>
        <v>ERGANİ BELEDİYE BAŞKANLIĞI DİYARBAKIR</v>
      </c>
      <c r="M372" s="18" t="str">
        <f t="shared" si="21"/>
        <v>ERGANİ</v>
      </c>
    </row>
    <row r="373" spans="1:14" x14ac:dyDescent="0.25">
      <c r="A373" t="s">
        <v>1917</v>
      </c>
      <c r="B373" t="s">
        <v>704</v>
      </c>
      <c r="C373" t="s">
        <v>1967</v>
      </c>
      <c r="D373">
        <v>10</v>
      </c>
      <c r="E373">
        <v>90001</v>
      </c>
      <c r="F373" t="s">
        <v>1968</v>
      </c>
      <c r="G373">
        <f t="shared" si="22"/>
        <v>26</v>
      </c>
      <c r="H373" s="9">
        <f>IF(ISERROR(VLOOKUP(A373,Excel4!D:J,7,0)),0,VLOOKUP(A373,Excel4!D:J,7,0))</f>
        <v>0</v>
      </c>
      <c r="I373" s="15" t="s">
        <v>1777</v>
      </c>
      <c r="J373" s="15" t="s">
        <v>1863</v>
      </c>
      <c r="K373" s="15" t="s">
        <v>58</v>
      </c>
      <c r="L373" s="18" t="str">
        <f t="shared" si="23"/>
        <v>GÜRBÜZ BELEDİYE BAŞKANLIĞI DİYARBAKIR</v>
      </c>
      <c r="M373" s="18" t="str">
        <f t="shared" si="21"/>
        <v>GÜRBÜZ</v>
      </c>
    </row>
    <row r="374" spans="1:14" x14ac:dyDescent="0.25">
      <c r="A374" t="s">
        <v>1186</v>
      </c>
      <c r="B374" t="s">
        <v>704</v>
      </c>
      <c r="C374" t="s">
        <v>557</v>
      </c>
      <c r="D374">
        <v>10</v>
      </c>
      <c r="E374">
        <v>90001</v>
      </c>
      <c r="F374" t="s">
        <v>1187</v>
      </c>
      <c r="G374">
        <f t="shared" si="22"/>
        <v>26</v>
      </c>
      <c r="H374" s="9">
        <f>IF(ISERROR(VLOOKUP(A374,Excel4!D:J,7,0)),0,VLOOKUP(A374,Excel4!D:J,7,0))</f>
        <v>0</v>
      </c>
      <c r="I374" s="15" t="s">
        <v>1777</v>
      </c>
      <c r="J374" s="15" t="s">
        <v>557</v>
      </c>
      <c r="K374" s="15" t="s">
        <v>58</v>
      </c>
      <c r="L374" s="18" t="str">
        <f t="shared" si="23"/>
        <v>KOCAKÖY BELEDİYE BAŞKANLIĞI DİYARBAKIR</v>
      </c>
      <c r="M374" s="18" t="str">
        <f t="shared" si="21"/>
        <v>KOCAKÖY</v>
      </c>
    </row>
    <row r="375" spans="1:14" x14ac:dyDescent="0.25">
      <c r="A375" t="s">
        <v>1188</v>
      </c>
      <c r="B375" t="s">
        <v>704</v>
      </c>
      <c r="C375" t="s">
        <v>558</v>
      </c>
      <c r="D375">
        <v>10</v>
      </c>
      <c r="E375">
        <v>90001</v>
      </c>
      <c r="F375" t="s">
        <v>1189</v>
      </c>
      <c r="G375">
        <f t="shared" si="22"/>
        <v>26</v>
      </c>
      <c r="H375" s="9">
        <f>IF(ISERROR(VLOOKUP(A375,Excel4!D:J,7,0)),0,VLOOKUP(A375,Excel4!D:J,7,0))</f>
        <v>0</v>
      </c>
      <c r="I375" s="15" t="s">
        <v>1777</v>
      </c>
      <c r="J375" s="15" t="s">
        <v>558</v>
      </c>
      <c r="K375" s="15" t="s">
        <v>58</v>
      </c>
      <c r="L375" s="18" t="str">
        <f t="shared" si="23"/>
        <v>LİCE BELEDİYE BAŞKANLIĞI DİYARBAKIR</v>
      </c>
      <c r="M375" s="18" t="str">
        <f t="shared" si="21"/>
        <v>LİCE</v>
      </c>
    </row>
    <row r="376" spans="1:14" x14ac:dyDescent="0.25">
      <c r="A376" t="s">
        <v>1668</v>
      </c>
      <c r="B376" t="s">
        <v>2555</v>
      </c>
      <c r="C376" t="s">
        <v>559</v>
      </c>
      <c r="D376">
        <v>12</v>
      </c>
      <c r="E376">
        <v>90001</v>
      </c>
      <c r="F376" t="s">
        <v>1669</v>
      </c>
      <c r="G376">
        <f t="shared" si="22"/>
        <v>26</v>
      </c>
      <c r="H376" s="9">
        <f>IF(ISERROR(VLOOKUP(A376,Excel4!D:J,7,0)),0,VLOOKUP(A376,Excel4!D:J,7,0))</f>
        <v>0</v>
      </c>
      <c r="I376" s="15" t="s">
        <v>1777</v>
      </c>
      <c r="J376" s="15" t="s">
        <v>559</v>
      </c>
      <c r="K376" s="15" t="s">
        <v>58</v>
      </c>
      <c r="L376" s="18" t="str">
        <f t="shared" si="23"/>
        <v>SİLVAN BELEDİYE BAŞKANLIĞI DİYARBAKIR</v>
      </c>
      <c r="M376" s="18" t="str">
        <f t="shared" si="21"/>
        <v>SİLVAN</v>
      </c>
    </row>
    <row r="377" spans="1:14" x14ac:dyDescent="0.25">
      <c r="A377" t="s">
        <v>1190</v>
      </c>
      <c r="B377" t="s">
        <v>2555</v>
      </c>
      <c r="C377" t="s">
        <v>21</v>
      </c>
      <c r="D377">
        <v>12</v>
      </c>
      <c r="E377">
        <v>90001</v>
      </c>
      <c r="F377" t="s">
        <v>1191</v>
      </c>
      <c r="G377">
        <f t="shared" si="22"/>
        <v>26</v>
      </c>
      <c r="H377" s="9">
        <f>IF(ISERROR(VLOOKUP(A377,Excel4!D:J,7,0)),0,VLOOKUP(A377,Excel4!D:J,7,0))</f>
        <v>1068.1199999999999</v>
      </c>
      <c r="I377" s="15" t="s">
        <v>1777</v>
      </c>
      <c r="J377" s="15" t="s">
        <v>21</v>
      </c>
      <c r="K377" s="15" t="s">
        <v>201</v>
      </c>
      <c r="L377" s="18" t="str">
        <f t="shared" si="23"/>
        <v>AKÇAKOCA BELEDİYE BAŞKANLIĞI DÜZCE</v>
      </c>
      <c r="M377" s="18" t="str">
        <f t="shared" si="21"/>
        <v>AKÇAKOCA</v>
      </c>
      <c r="N377">
        <f>_xlfn.XLOOKUP(M377,[1]Sheet1!$A:$A,[1]Sheet1!$G:$G)</f>
        <v>0</v>
      </c>
    </row>
    <row r="378" spans="1:14" x14ac:dyDescent="0.25">
      <c r="A378" t="s">
        <v>1192</v>
      </c>
      <c r="B378" t="s">
        <v>704</v>
      </c>
      <c r="C378" t="s">
        <v>560</v>
      </c>
      <c r="D378">
        <v>10</v>
      </c>
      <c r="E378">
        <v>90001</v>
      </c>
      <c r="F378" t="s">
        <v>1193</v>
      </c>
      <c r="G378">
        <f t="shared" si="22"/>
        <v>26</v>
      </c>
      <c r="H378" s="9">
        <f>IF(ISERROR(VLOOKUP(A378,Excel4!D:J,7,0)),0,VLOOKUP(A378,Excel4!D:J,7,0))</f>
        <v>562.04</v>
      </c>
      <c r="I378" s="15" t="s">
        <v>1777</v>
      </c>
      <c r="J378" s="15" t="s">
        <v>560</v>
      </c>
      <c r="K378" s="15" t="s">
        <v>201</v>
      </c>
      <c r="L378" s="18" t="str">
        <f t="shared" si="23"/>
        <v>CUMAYERİ BELEDİYE BAŞKANLIĞI DÜZCE</v>
      </c>
      <c r="M378" s="18" t="str">
        <f t="shared" si="21"/>
        <v>CUMAYERİ</v>
      </c>
      <c r="N378">
        <f>_xlfn.XLOOKUP(M378,[1]Sheet1!$A:$A,[1]Sheet1!$G:$G)</f>
        <v>0</v>
      </c>
    </row>
    <row r="379" spans="1:14" x14ac:dyDescent="0.25">
      <c r="A379" t="s">
        <v>1194</v>
      </c>
      <c r="B379" t="s">
        <v>2555</v>
      </c>
      <c r="C379" t="s">
        <v>561</v>
      </c>
      <c r="D379">
        <v>12</v>
      </c>
      <c r="E379">
        <v>90001</v>
      </c>
      <c r="F379" t="s">
        <v>1195</v>
      </c>
      <c r="G379">
        <f t="shared" si="22"/>
        <v>26</v>
      </c>
      <c r="H379" s="9">
        <f>IF(ISERROR(VLOOKUP(A379,Excel4!D:J,7,0)),0,VLOOKUP(A379,Excel4!D:J,7,0))</f>
        <v>46.71</v>
      </c>
      <c r="I379" s="15" t="s">
        <v>1777</v>
      </c>
      <c r="J379" s="15" t="s">
        <v>561</v>
      </c>
      <c r="K379" s="15" t="s">
        <v>201</v>
      </c>
      <c r="L379" s="18" t="str">
        <f t="shared" si="23"/>
        <v>ÇİLİMLİ BELEDİYE BAŞKANLIĞI DÜZCE</v>
      </c>
      <c r="M379" s="18" t="str">
        <f t="shared" si="21"/>
        <v>ÇİLİMLİ</v>
      </c>
    </row>
    <row r="380" spans="1:14" x14ac:dyDescent="0.25">
      <c r="A380" t="s">
        <v>2166</v>
      </c>
      <c r="B380" t="s">
        <v>704</v>
      </c>
      <c r="C380" s="19" t="s">
        <v>2126</v>
      </c>
      <c r="D380">
        <v>10</v>
      </c>
      <c r="E380">
        <v>90001</v>
      </c>
      <c r="F380" t="s">
        <v>2167</v>
      </c>
      <c r="G380">
        <f t="shared" si="22"/>
        <v>26</v>
      </c>
      <c r="H380" s="9">
        <f>IF(ISERROR(VLOOKUP(A380,Excel4!D:J,7,0)),0,VLOOKUP(A380,Excel4!D:J,7,0))</f>
        <v>7.94</v>
      </c>
      <c r="I380" s="15" t="s">
        <v>1777</v>
      </c>
      <c r="J380" s="20" t="s">
        <v>2126</v>
      </c>
      <c r="K380" s="20" t="s">
        <v>201</v>
      </c>
      <c r="L380" s="18" t="str">
        <f t="shared" si="23"/>
        <v>GÖLYAKA BELEDİYE BAŞKANLIĞI DÜZCE</v>
      </c>
      <c r="M380" s="18" t="str">
        <f t="shared" si="21"/>
        <v>GÖLYAKA</v>
      </c>
      <c r="N380">
        <f>_xlfn.XLOOKUP(M380,[1]Sheet1!$A:$A,[1]Sheet1!$G:$G)</f>
        <v>0</v>
      </c>
    </row>
    <row r="381" spans="1:14" x14ac:dyDescent="0.25">
      <c r="A381" t="s">
        <v>2135</v>
      </c>
      <c r="B381" t="s">
        <v>704</v>
      </c>
      <c r="C381" t="s">
        <v>2127</v>
      </c>
      <c r="D381">
        <v>10</v>
      </c>
      <c r="E381">
        <v>90001</v>
      </c>
      <c r="F381" t="s">
        <v>2141</v>
      </c>
      <c r="G381">
        <f t="shared" si="22"/>
        <v>26</v>
      </c>
      <c r="H381" s="9">
        <f>IF(ISERROR(VLOOKUP(A381,Excel4!D:J,7,0)),0,VLOOKUP(A381,Excel4!D:J,7,0))</f>
        <v>25.130000000000003</v>
      </c>
      <c r="I381" s="15" t="s">
        <v>1777</v>
      </c>
      <c r="J381" s="15" t="s">
        <v>2127</v>
      </c>
      <c r="K381" s="15" t="s">
        <v>201</v>
      </c>
      <c r="L381" s="18" t="str">
        <f t="shared" si="23"/>
        <v>GÜMÜŞOVA BELEDİYE BAŞKANLIĞI DÜZCE</v>
      </c>
      <c r="M381" s="18" t="str">
        <f t="shared" si="21"/>
        <v>GÜMÜŞOVA</v>
      </c>
      <c r="N381">
        <f>_xlfn.XLOOKUP(M381,[1]Sheet1!$A:$A,[1]Sheet1!$G:$G)</f>
        <v>0</v>
      </c>
    </row>
    <row r="382" spans="1:14" x14ac:dyDescent="0.25">
      <c r="A382" t="s">
        <v>1196</v>
      </c>
      <c r="B382" t="s">
        <v>704</v>
      </c>
      <c r="C382" t="s">
        <v>443</v>
      </c>
      <c r="D382">
        <v>10</v>
      </c>
      <c r="E382">
        <v>90001</v>
      </c>
      <c r="F382" t="s">
        <v>1197</v>
      </c>
      <c r="G382">
        <f t="shared" si="22"/>
        <v>26</v>
      </c>
      <c r="H382" s="9">
        <f>IF(ISERROR(VLOOKUP(A382,Excel4!D:J,7,0)),0,VLOOKUP(A382,Excel4!D:J,7,0))</f>
        <v>18.02</v>
      </c>
      <c r="I382" s="15" t="s">
        <v>1777</v>
      </c>
      <c r="J382" s="15" t="s">
        <v>443</v>
      </c>
      <c r="K382" s="15" t="s">
        <v>201</v>
      </c>
      <c r="L382" s="18" t="str">
        <f t="shared" si="23"/>
        <v>KAYNAŞLI BELEDİYE BAŞKANLIĞI DÜZCE</v>
      </c>
      <c r="M382" s="18" t="str">
        <f t="shared" si="21"/>
        <v>KAYNAŞLI</v>
      </c>
      <c r="N382">
        <f>_xlfn.XLOOKUP(M382,[1]Sheet1!$A:$A,[1]Sheet1!$G:$G)</f>
        <v>0</v>
      </c>
    </row>
    <row r="383" spans="1:14" x14ac:dyDescent="0.25">
      <c r="A383" t="s">
        <v>1807</v>
      </c>
      <c r="B383" t="s">
        <v>2555</v>
      </c>
      <c r="C383" t="s">
        <v>201</v>
      </c>
      <c r="D383">
        <v>12</v>
      </c>
      <c r="E383">
        <v>90001</v>
      </c>
      <c r="F383" t="s">
        <v>1839</v>
      </c>
      <c r="G383">
        <f t="shared" si="22"/>
        <v>26</v>
      </c>
      <c r="H383" s="9">
        <f>IF(ISERROR(VLOOKUP(A383,Excel4!D:J,7,0)),0,VLOOKUP(A383,Excel4!D:J,7,0))</f>
        <v>16697.37</v>
      </c>
      <c r="I383" s="15" t="s">
        <v>1777</v>
      </c>
      <c r="J383" s="15" t="s">
        <v>34</v>
      </c>
      <c r="K383" s="15" t="s">
        <v>201</v>
      </c>
      <c r="L383" s="18" t="str">
        <f t="shared" si="23"/>
        <v>DÜZCE BELEDİYE BAŞKANLIĞI</v>
      </c>
      <c r="M383" s="18" t="str">
        <f t="shared" si="21"/>
        <v>DÜZCE</v>
      </c>
      <c r="N383" t="e">
        <f>_xlfn.XLOOKUP(M383,[1]Sheet1!$C:$C,[1]Sheet1!$G:$G)</f>
        <v>#N/A</v>
      </c>
    </row>
    <row r="384" spans="1:14" x14ac:dyDescent="0.25">
      <c r="A384" t="s">
        <v>1198</v>
      </c>
      <c r="B384" t="s">
        <v>704</v>
      </c>
      <c r="C384" t="s">
        <v>562</v>
      </c>
      <c r="D384">
        <v>10</v>
      </c>
      <c r="E384">
        <v>90001</v>
      </c>
      <c r="F384" t="s">
        <v>1199</v>
      </c>
      <c r="G384">
        <f t="shared" si="22"/>
        <v>26</v>
      </c>
      <c r="H384" s="9">
        <f>IF(ISERROR(VLOOKUP(A384,Excel4!D:J,7,0)),0,VLOOKUP(A384,Excel4!D:J,7,0))</f>
        <v>0</v>
      </c>
      <c r="I384" s="15" t="s">
        <v>1777</v>
      </c>
      <c r="J384" s="15" t="s">
        <v>562</v>
      </c>
      <c r="K384" s="15" t="s">
        <v>201</v>
      </c>
      <c r="L384" s="18" t="str">
        <f t="shared" si="23"/>
        <v>YIĞILCA BELEDİYE BAŞKANLIĞI DÜZCE</v>
      </c>
      <c r="M384" s="18" t="str">
        <f t="shared" si="21"/>
        <v>YIĞILCA</v>
      </c>
      <c r="N384">
        <f>_xlfn.XLOOKUP(M384,[1]Sheet1!$A:$A,[1]Sheet1!$G:$G)</f>
        <v>0</v>
      </c>
    </row>
    <row r="385" spans="1:14" x14ac:dyDescent="0.25">
      <c r="A385" t="s">
        <v>2968</v>
      </c>
      <c r="B385" t="s">
        <v>704</v>
      </c>
      <c r="C385" t="s">
        <v>176</v>
      </c>
      <c r="D385">
        <v>10</v>
      </c>
      <c r="E385">
        <v>90001</v>
      </c>
      <c r="F385" t="s">
        <v>2902</v>
      </c>
      <c r="G385">
        <f t="shared" si="22"/>
        <v>26</v>
      </c>
      <c r="H385" s="9">
        <f>IF(ISERROR(VLOOKUP(A385,Excel4!D:J,7,0)),0,VLOOKUP(A385,Excel4!D:J,7,0))</f>
        <v>0</v>
      </c>
      <c r="I385" s="15" t="s">
        <v>1777</v>
      </c>
      <c r="J385" s="20" t="s">
        <v>2683</v>
      </c>
      <c r="K385" s="15" t="s">
        <v>59</v>
      </c>
      <c r="L385" s="18" t="str">
        <f t="shared" si="23"/>
        <v>BEĞENDİK BELEDİYE BAŞKANLIĞI EDİRNE</v>
      </c>
      <c r="M385" s="18" t="str">
        <f t="shared" si="21"/>
        <v>BEĞENDİK</v>
      </c>
    </row>
    <row r="386" spans="1:14" x14ac:dyDescent="0.25">
      <c r="A386" t="s">
        <v>2965</v>
      </c>
      <c r="B386" t="s">
        <v>704</v>
      </c>
      <c r="C386" t="s">
        <v>176</v>
      </c>
      <c r="D386">
        <v>10</v>
      </c>
      <c r="E386">
        <v>90001</v>
      </c>
      <c r="F386" t="s">
        <v>2902</v>
      </c>
      <c r="G386">
        <f t="shared" si="22"/>
        <v>26</v>
      </c>
      <c r="H386" s="9">
        <f>IF(ISERROR(VLOOKUP(A386,Excel4!D:J,7,0)),0,VLOOKUP(A386,Excel4!D:J,7,0))</f>
        <v>0</v>
      </c>
      <c r="I386" s="15" t="s">
        <v>1777</v>
      </c>
      <c r="J386" s="15" t="s">
        <v>2964</v>
      </c>
      <c r="K386" s="15" t="s">
        <v>59</v>
      </c>
      <c r="L386" s="18" t="str">
        <f t="shared" si="23"/>
        <v>BEYENDİK BELEDİYE BAŞKANLIĞI EDİRNE</v>
      </c>
      <c r="M386" s="18" t="str">
        <f t="shared" si="21"/>
        <v>BEYENDİK</v>
      </c>
    </row>
    <row r="387" spans="1:14" x14ac:dyDescent="0.25">
      <c r="A387" t="s">
        <v>2070</v>
      </c>
      <c r="B387" t="s">
        <v>704</v>
      </c>
      <c r="C387" t="s">
        <v>74</v>
      </c>
      <c r="D387">
        <v>10</v>
      </c>
      <c r="E387">
        <v>90001</v>
      </c>
      <c r="F387" t="s">
        <v>2096</v>
      </c>
      <c r="G387">
        <f t="shared" si="22"/>
        <v>26</v>
      </c>
      <c r="H387" s="9">
        <f>IF(ISERROR(VLOOKUP(A387,Excel4!D:J,7,0)),0,VLOOKUP(A387,Excel4!D:J,7,0))</f>
        <v>127.02</v>
      </c>
      <c r="I387" s="15" t="s">
        <v>1777</v>
      </c>
      <c r="J387" s="15" t="s">
        <v>74</v>
      </c>
      <c r="K387" s="15" t="s">
        <v>59</v>
      </c>
      <c r="L387" s="18" t="str">
        <f t="shared" si="23"/>
        <v>ENEZ BELEDİYE BAŞKANLIĞI EDİRNE</v>
      </c>
      <c r="M387" s="18" t="str">
        <f t="shared" si="21"/>
        <v>ENEZ</v>
      </c>
      <c r="N387">
        <f>_xlfn.XLOOKUP(M387,[1]Sheet1!$A:$A,[1]Sheet1!$G:$G)</f>
        <v>0</v>
      </c>
    </row>
    <row r="388" spans="1:14" x14ac:dyDescent="0.25">
      <c r="A388" t="s">
        <v>1200</v>
      </c>
      <c r="B388" t="s">
        <v>704</v>
      </c>
      <c r="C388" t="s">
        <v>563</v>
      </c>
      <c r="D388">
        <v>10</v>
      </c>
      <c r="E388">
        <v>90001</v>
      </c>
      <c r="F388" t="s">
        <v>1201</v>
      </c>
      <c r="G388">
        <f t="shared" si="22"/>
        <v>26</v>
      </c>
      <c r="H388" s="9">
        <f>IF(ISERROR(VLOOKUP(A388,Excel4!D:J,7,0)),0,VLOOKUP(A388,Excel4!D:J,7,0))</f>
        <v>2301.67</v>
      </c>
      <c r="I388" s="15" t="s">
        <v>1777</v>
      </c>
      <c r="J388" s="15" t="s">
        <v>563</v>
      </c>
      <c r="K388" s="15" t="s">
        <v>59</v>
      </c>
      <c r="L388" s="18" t="str">
        <f t="shared" si="23"/>
        <v>HAVSA BELEDİYE BAŞKANLIĞI EDİRNE</v>
      </c>
      <c r="M388" s="18" t="str">
        <f t="shared" ref="M388:M451" si="24">IF(J388="MERKEZ",K388,IF(J388="BÜYÜKŞEHİR",K388&amp;" BÜYÜKŞEHİR",J388))</f>
        <v>HAVSA</v>
      </c>
      <c r="N388">
        <f>_xlfn.XLOOKUP(M388,[1]Sheet1!$A:$A,[1]Sheet1!$G:$G)</f>
        <v>0</v>
      </c>
    </row>
    <row r="389" spans="1:14" x14ac:dyDescent="0.25">
      <c r="A389" t="s">
        <v>1202</v>
      </c>
      <c r="B389" t="s">
        <v>704</v>
      </c>
      <c r="C389" t="s">
        <v>330</v>
      </c>
      <c r="D389">
        <v>10</v>
      </c>
      <c r="E389">
        <v>90001</v>
      </c>
      <c r="F389" t="s">
        <v>1203</v>
      </c>
      <c r="G389">
        <f t="shared" si="22"/>
        <v>26</v>
      </c>
      <c r="H389" s="9">
        <f>IF(ISERROR(VLOOKUP(A389,Excel4!D:J,7,0)),0,VLOOKUP(A389,Excel4!D:J,7,0))</f>
        <v>0</v>
      </c>
      <c r="I389" s="15" t="s">
        <v>1777</v>
      </c>
      <c r="J389" s="15" t="s">
        <v>330</v>
      </c>
      <c r="K389" s="15" t="s">
        <v>59</v>
      </c>
      <c r="L389" s="18" t="str">
        <f t="shared" si="23"/>
        <v>İPSALA BELEDİYE BAŞKANLIĞI EDİRNE</v>
      </c>
      <c r="M389" s="18" t="str">
        <f t="shared" si="24"/>
        <v>İPSALA</v>
      </c>
      <c r="N389">
        <f>_xlfn.XLOOKUP(M389,[1]Sheet1!$A:$A,[1]Sheet1!$G:$G)</f>
        <v>0</v>
      </c>
    </row>
    <row r="390" spans="1:14" x14ac:dyDescent="0.25">
      <c r="A390" t="s">
        <v>1204</v>
      </c>
      <c r="B390" t="s">
        <v>699</v>
      </c>
      <c r="C390" t="s">
        <v>176</v>
      </c>
      <c r="D390">
        <v>15</v>
      </c>
      <c r="E390">
        <v>90001</v>
      </c>
      <c r="F390" t="s">
        <v>1205</v>
      </c>
      <c r="G390">
        <f t="shared" si="22"/>
        <v>26</v>
      </c>
      <c r="H390" s="9">
        <f>IF(ISERROR(VLOOKUP(A390,Excel4!D:J,7,0)),0,VLOOKUP(A390,Excel4!D:J,7,0))</f>
        <v>2090.44</v>
      </c>
      <c r="I390" s="15" t="s">
        <v>1777</v>
      </c>
      <c r="J390" s="15" t="s">
        <v>176</v>
      </c>
      <c r="K390" s="15" t="s">
        <v>59</v>
      </c>
      <c r="L390" s="18" t="str">
        <f t="shared" si="23"/>
        <v>KEŞAN BELEDİYE BAŞKANLIĞI EDİRNE</v>
      </c>
      <c r="M390" s="18" t="str">
        <f t="shared" si="24"/>
        <v>KEŞAN</v>
      </c>
      <c r="N390">
        <f>_xlfn.XLOOKUP(M390,[1]Sheet1!$A:$A,[1]Sheet1!$G:$G)</f>
        <v>0</v>
      </c>
    </row>
    <row r="391" spans="1:14" x14ac:dyDescent="0.25">
      <c r="A391" t="s">
        <v>2184</v>
      </c>
      <c r="B391" t="s">
        <v>704</v>
      </c>
      <c r="C391" t="s">
        <v>294</v>
      </c>
      <c r="D391">
        <v>10</v>
      </c>
      <c r="E391">
        <v>90001</v>
      </c>
      <c r="F391" t="s">
        <v>2202</v>
      </c>
      <c r="G391">
        <f t="shared" si="22"/>
        <v>26</v>
      </c>
      <c r="H391" s="9">
        <f>IF(ISERROR(VLOOKUP(A391,Excel4!D:J,7,0)),0,VLOOKUP(A391,Excel4!D:J,7,0))</f>
        <v>0</v>
      </c>
      <c r="I391" s="15" t="s">
        <v>1777</v>
      </c>
      <c r="J391" s="15" t="s">
        <v>2176</v>
      </c>
      <c r="K391" s="15" t="s">
        <v>59</v>
      </c>
      <c r="L391" s="18" t="str">
        <f t="shared" si="23"/>
        <v>KIRCASALİH BELEDİYE BAŞKANLIĞI EDİRNE</v>
      </c>
      <c r="M391" s="18" t="str">
        <f t="shared" si="24"/>
        <v>KIRCASALİH</v>
      </c>
    </row>
    <row r="392" spans="1:14" x14ac:dyDescent="0.25">
      <c r="A392" t="s">
        <v>2535</v>
      </c>
      <c r="B392" t="s">
        <v>704</v>
      </c>
      <c r="C392" t="s">
        <v>565</v>
      </c>
      <c r="D392">
        <v>10</v>
      </c>
      <c r="E392">
        <v>90001</v>
      </c>
      <c r="F392" t="s">
        <v>2558</v>
      </c>
      <c r="G392">
        <f t="shared" si="22"/>
        <v>26</v>
      </c>
      <c r="H392" s="9">
        <f>IF(ISERROR(VLOOKUP(A392,Excel4!D:J,7,0)),0,VLOOKUP(A392,Excel4!D:J,7,0))</f>
        <v>0</v>
      </c>
      <c r="I392" s="15" t="s">
        <v>1777</v>
      </c>
      <c r="J392" s="20" t="s">
        <v>2423</v>
      </c>
      <c r="K392" s="15" t="s">
        <v>59</v>
      </c>
      <c r="L392" s="18" t="str">
        <f t="shared" si="23"/>
        <v>KÜPLÜ BELEDİYE BAŞKANLIĞI EDİRNE</v>
      </c>
      <c r="M392" s="18" t="str">
        <f t="shared" si="24"/>
        <v>KÜPLÜ</v>
      </c>
    </row>
    <row r="393" spans="1:14" x14ac:dyDescent="0.25">
      <c r="A393" t="s">
        <v>1206</v>
      </c>
      <c r="B393" t="s">
        <v>704</v>
      </c>
      <c r="C393" t="s">
        <v>564</v>
      </c>
      <c r="D393">
        <v>10</v>
      </c>
      <c r="E393">
        <v>90001</v>
      </c>
      <c r="F393" t="s">
        <v>1207</v>
      </c>
      <c r="G393">
        <f t="shared" si="22"/>
        <v>26</v>
      </c>
      <c r="H393" s="9">
        <f>IF(ISERROR(VLOOKUP(A393,Excel4!D:J,7,0)),0,VLOOKUP(A393,Excel4!D:J,7,0))</f>
        <v>0</v>
      </c>
      <c r="I393" s="15" t="s">
        <v>1777</v>
      </c>
      <c r="J393" s="15" t="s">
        <v>564</v>
      </c>
      <c r="K393" s="15" t="s">
        <v>59</v>
      </c>
      <c r="L393" s="18" t="str">
        <f t="shared" si="23"/>
        <v>LALAPAŞA BELEDİYE BAŞKANLIĞI EDİRNE</v>
      </c>
      <c r="M393" s="18" t="str">
        <f t="shared" si="24"/>
        <v>LALAPAŞA</v>
      </c>
      <c r="N393">
        <f>_xlfn.XLOOKUP(M393,[1]Sheet1!$A:$A,[1]Sheet1!$G:$G)</f>
        <v>0</v>
      </c>
    </row>
    <row r="394" spans="1:14" x14ac:dyDescent="0.25">
      <c r="A394" t="s">
        <v>1208</v>
      </c>
      <c r="B394" t="s">
        <v>704</v>
      </c>
      <c r="C394" t="s">
        <v>565</v>
      </c>
      <c r="D394">
        <v>10</v>
      </c>
      <c r="E394">
        <v>90001</v>
      </c>
      <c r="F394" t="s">
        <v>1209</v>
      </c>
      <c r="G394">
        <f t="shared" si="22"/>
        <v>26</v>
      </c>
      <c r="H394" s="9">
        <f>IF(ISERROR(VLOOKUP(A394,Excel4!D:J,7,0)),0,VLOOKUP(A394,Excel4!D:J,7,0))</f>
        <v>0</v>
      </c>
      <c r="I394" s="15" t="s">
        <v>1777</v>
      </c>
      <c r="J394" s="15" t="s">
        <v>565</v>
      </c>
      <c r="K394" s="15" t="s">
        <v>59</v>
      </c>
      <c r="L394" s="18" t="str">
        <f t="shared" si="23"/>
        <v>MERİÇ BELEDİYE BAŞKANLIĞI EDİRNE</v>
      </c>
      <c r="M394" s="18" t="str">
        <f t="shared" si="24"/>
        <v>MERİÇ</v>
      </c>
    </row>
    <row r="395" spans="1:14" x14ac:dyDescent="0.25">
      <c r="A395" t="s">
        <v>1210</v>
      </c>
      <c r="B395" t="s">
        <v>699</v>
      </c>
      <c r="C395" t="s">
        <v>3468</v>
      </c>
      <c r="D395">
        <v>15</v>
      </c>
      <c r="E395">
        <v>90001</v>
      </c>
      <c r="F395" t="s">
        <v>3326</v>
      </c>
      <c r="G395">
        <f t="shared" si="22"/>
        <v>26</v>
      </c>
      <c r="H395" s="9">
        <f>IF(ISERROR(VLOOKUP(A395,Excel4!D:J,7,0)),0,VLOOKUP(A395,Excel4!D:J,7,0))</f>
        <v>10768.79</v>
      </c>
      <c r="I395" s="15" t="s">
        <v>1777</v>
      </c>
      <c r="J395" s="15" t="s">
        <v>34</v>
      </c>
      <c r="K395" s="15" t="s">
        <v>59</v>
      </c>
      <c r="L395" s="18" t="str">
        <f t="shared" si="23"/>
        <v>EDİRNE BELEDİYE BAŞKANLIĞI</v>
      </c>
      <c r="M395" s="18" t="str">
        <f t="shared" si="24"/>
        <v>EDİRNE</v>
      </c>
      <c r="N395" t="e">
        <f>_xlfn.XLOOKUP(M395,[1]Sheet1!$C:$C,[1]Sheet1!$G:$G)</f>
        <v>#N/A</v>
      </c>
    </row>
    <row r="396" spans="1:14" x14ac:dyDescent="0.25">
      <c r="A396" t="s">
        <v>2450</v>
      </c>
      <c r="B396" t="s">
        <v>704</v>
      </c>
      <c r="C396" t="s">
        <v>2399</v>
      </c>
      <c r="D396">
        <v>10</v>
      </c>
      <c r="E396">
        <v>90001</v>
      </c>
      <c r="F396" t="s">
        <v>3048</v>
      </c>
      <c r="G396">
        <f t="shared" si="22"/>
        <v>26</v>
      </c>
      <c r="H396" s="9">
        <f>IF(ISERROR(VLOOKUP(A396,Excel4!D:J,7,0)),0,VLOOKUP(A396,Excel4!D:J,7,0))</f>
        <v>0</v>
      </c>
      <c r="I396" s="15" t="s">
        <v>1777</v>
      </c>
      <c r="J396" s="15" t="s">
        <v>2399</v>
      </c>
      <c r="K396" s="15" t="s">
        <v>59</v>
      </c>
      <c r="L396" s="18" t="str">
        <f t="shared" si="23"/>
        <v>SÜLOĞLU BELEDİYE BAŞKANLIĞI EDİRNE</v>
      </c>
      <c r="M396" s="18" t="str">
        <f t="shared" si="24"/>
        <v>SÜLOĞLU</v>
      </c>
    </row>
    <row r="397" spans="1:14" x14ac:dyDescent="0.25">
      <c r="A397" t="s">
        <v>1211</v>
      </c>
      <c r="B397" t="s">
        <v>2555</v>
      </c>
      <c r="C397" t="s">
        <v>294</v>
      </c>
      <c r="D397">
        <v>12</v>
      </c>
      <c r="E397">
        <v>90001</v>
      </c>
      <c r="F397" t="s">
        <v>1212</v>
      </c>
      <c r="G397">
        <f t="shared" si="22"/>
        <v>26</v>
      </c>
      <c r="H397" s="9">
        <f>IF(ISERROR(VLOOKUP(A397,Excel4!D:J,7,0)),0,VLOOKUP(A397,Excel4!D:J,7,0))</f>
        <v>1590.8000000000002</v>
      </c>
      <c r="I397" s="15" t="s">
        <v>1777</v>
      </c>
      <c r="J397" s="15" t="s">
        <v>294</v>
      </c>
      <c r="K397" s="15" t="s">
        <v>59</v>
      </c>
      <c r="L397" s="18" t="str">
        <f t="shared" si="23"/>
        <v>UZUNKÖPRÜ BELEDİYE BAŞKANLIĞI EDİRNE</v>
      </c>
      <c r="M397" s="18" t="str">
        <f t="shared" si="24"/>
        <v>UZUNKÖPRÜ</v>
      </c>
      <c r="N397">
        <f>_xlfn.XLOOKUP(M397,[1]Sheet1!$A:$A,[1]Sheet1!$G:$G)</f>
        <v>0</v>
      </c>
    </row>
    <row r="398" spans="1:14" x14ac:dyDescent="0.25">
      <c r="A398" t="s">
        <v>3296</v>
      </c>
      <c r="B398" t="s">
        <v>2934</v>
      </c>
      <c r="C398" t="s">
        <v>3318</v>
      </c>
      <c r="D398">
        <v>15</v>
      </c>
      <c r="E398">
        <v>90001</v>
      </c>
      <c r="F398" t="s">
        <v>3324</v>
      </c>
      <c r="G398">
        <f t="shared" si="22"/>
        <v>26</v>
      </c>
      <c r="H398" s="9">
        <f>IF(ISERROR(VLOOKUP(A398,Excel4!D:J,7,0)),0,VLOOKUP(A398,Excel4!D:J,7,0))</f>
        <v>0</v>
      </c>
      <c r="I398" s="15" t="s">
        <v>1777</v>
      </c>
      <c r="J398" s="15" t="s">
        <v>3112</v>
      </c>
      <c r="K398" s="15" t="s">
        <v>59</v>
      </c>
      <c r="L398" s="18" t="str">
        <f t="shared" si="23"/>
        <v>YENİMUHACİR BELEDİYE BAŞKANLIĞI EDİRNE</v>
      </c>
      <c r="M398" s="18" t="str">
        <f t="shared" si="24"/>
        <v>YENİMUHACİR</v>
      </c>
    </row>
    <row r="399" spans="1:14" x14ac:dyDescent="0.25">
      <c r="A399" t="s">
        <v>3040</v>
      </c>
      <c r="B399" t="s">
        <v>704</v>
      </c>
      <c r="C399" t="s">
        <v>3014</v>
      </c>
      <c r="D399">
        <v>10</v>
      </c>
      <c r="E399">
        <v>90001</v>
      </c>
      <c r="F399" t="s">
        <v>3047</v>
      </c>
      <c r="G399">
        <f t="shared" si="22"/>
        <v>26</v>
      </c>
      <c r="H399" s="9">
        <f>IF(ISERROR(VLOOKUP(A399,Excel4!D:J,7,0)),0,VLOOKUP(A399,Excel4!D:J,7,0))</f>
        <v>0</v>
      </c>
      <c r="I399" s="15" t="s">
        <v>1777</v>
      </c>
      <c r="J399" s="20" t="s">
        <v>3014</v>
      </c>
      <c r="K399" s="15" t="s">
        <v>161</v>
      </c>
      <c r="L399" s="18" t="str">
        <f t="shared" si="23"/>
        <v>AĞIN BELEDİYE BAŞKANLIĞI ELAZIĞ</v>
      </c>
      <c r="M399" s="18" t="str">
        <f t="shared" si="24"/>
        <v>AĞIN</v>
      </c>
    </row>
    <row r="400" spans="1:14" x14ac:dyDescent="0.25">
      <c r="A400" t="s">
        <v>1794</v>
      </c>
      <c r="B400" t="s">
        <v>704</v>
      </c>
      <c r="C400" t="s">
        <v>1818</v>
      </c>
      <c r="D400">
        <v>10</v>
      </c>
      <c r="E400">
        <v>90001</v>
      </c>
      <c r="F400" t="s">
        <v>1825</v>
      </c>
      <c r="G400">
        <f t="shared" si="22"/>
        <v>26</v>
      </c>
      <c r="H400" s="9">
        <f>IF(ISERROR(VLOOKUP(A400,Excel4!D:J,7,0)),0,VLOOKUP(A400,Excel4!D:J,7,0))</f>
        <v>0</v>
      </c>
      <c r="I400" s="15" t="s">
        <v>1777</v>
      </c>
      <c r="J400" s="15" t="s">
        <v>1785</v>
      </c>
      <c r="K400" s="15" t="s">
        <v>161</v>
      </c>
      <c r="L400" s="18" t="str">
        <f t="shared" si="23"/>
        <v>AKÇAKİRAZ BELEDİYE BAŞKANLIĞI ELAZIĞ</v>
      </c>
      <c r="M400" s="18" t="str">
        <f t="shared" si="24"/>
        <v>AKÇAKİRAZ</v>
      </c>
    </row>
    <row r="401" spans="1:14" x14ac:dyDescent="0.25">
      <c r="A401" t="s">
        <v>723</v>
      </c>
      <c r="B401" t="s">
        <v>704</v>
      </c>
      <c r="C401" t="s">
        <v>566</v>
      </c>
      <c r="D401">
        <v>10</v>
      </c>
      <c r="E401">
        <v>90001</v>
      </c>
      <c r="F401" t="s">
        <v>724</v>
      </c>
      <c r="G401">
        <f t="shared" si="22"/>
        <v>26</v>
      </c>
      <c r="H401" s="9">
        <f>IF(ISERROR(VLOOKUP(A401,Excel4!D:J,7,0)),0,VLOOKUP(A401,Excel4!D:J,7,0))</f>
        <v>0</v>
      </c>
      <c r="I401" s="15" t="s">
        <v>1777</v>
      </c>
      <c r="J401" s="15" t="s">
        <v>566</v>
      </c>
      <c r="K401" s="15" t="s">
        <v>161</v>
      </c>
      <c r="L401" s="18" t="str">
        <f t="shared" si="23"/>
        <v>ARICAK BELEDİYE BAŞKANLIĞI ELAZIĞ</v>
      </c>
      <c r="M401" s="18" t="str">
        <f t="shared" si="24"/>
        <v>ARICAK</v>
      </c>
    </row>
    <row r="402" spans="1:14" x14ac:dyDescent="0.25">
      <c r="A402" t="s">
        <v>2457</v>
      </c>
      <c r="B402" t="s">
        <v>704</v>
      </c>
      <c r="C402" t="s">
        <v>2403</v>
      </c>
      <c r="D402">
        <v>10</v>
      </c>
      <c r="E402">
        <v>90001</v>
      </c>
      <c r="F402" t="s">
        <v>2458</v>
      </c>
      <c r="G402">
        <f t="shared" si="22"/>
        <v>26</v>
      </c>
      <c r="H402" s="9">
        <f>IF(ISERROR(VLOOKUP(A402,Excel4!D:J,7,0)),0,VLOOKUP(A402,Excel4!D:J,7,0))</f>
        <v>0</v>
      </c>
      <c r="I402" s="15" t="s">
        <v>1777</v>
      </c>
      <c r="J402" s="20" t="s">
        <v>2403</v>
      </c>
      <c r="K402" s="15" t="s">
        <v>161</v>
      </c>
      <c r="L402" s="18" t="str">
        <f t="shared" si="23"/>
        <v>BASKİL BELEDİYE BAŞKANLIĞI ELAZIĞ</v>
      </c>
      <c r="M402" s="18" t="str">
        <f t="shared" si="24"/>
        <v>BASKİL</v>
      </c>
    </row>
    <row r="403" spans="1:14" x14ac:dyDescent="0.25">
      <c r="A403" t="s">
        <v>2071</v>
      </c>
      <c r="B403" t="s">
        <v>704</v>
      </c>
      <c r="C403" t="s">
        <v>2055</v>
      </c>
      <c r="D403">
        <v>10</v>
      </c>
      <c r="E403">
        <v>90001</v>
      </c>
      <c r="F403" t="s">
        <v>2097</v>
      </c>
      <c r="G403">
        <f t="shared" si="22"/>
        <v>26</v>
      </c>
      <c r="H403" s="9">
        <f>IF(ISERROR(VLOOKUP(A403,Excel4!D:J,7,0)),0,VLOOKUP(A403,Excel4!D:J,7,0))</f>
        <v>35.589999999999996</v>
      </c>
      <c r="I403" s="15" t="s">
        <v>1777</v>
      </c>
      <c r="J403" s="15" t="s">
        <v>2055</v>
      </c>
      <c r="K403" s="15" t="s">
        <v>161</v>
      </c>
      <c r="L403" s="18" t="str">
        <f t="shared" si="23"/>
        <v>KARAKOÇAN BELEDİYE BAŞKANLIĞI ELAZIĞ</v>
      </c>
      <c r="M403" s="18" t="str">
        <f t="shared" si="24"/>
        <v>KARAKOÇAN</v>
      </c>
      <c r="N403">
        <f>_xlfn.XLOOKUP(M403,[1]Sheet1!$A:$A,[1]Sheet1!$G:$G)</f>
        <v>0</v>
      </c>
    </row>
    <row r="404" spans="1:14" x14ac:dyDescent="0.25">
      <c r="A404" t="s">
        <v>2631</v>
      </c>
      <c r="B404" s="19" t="s">
        <v>704</v>
      </c>
      <c r="C404" s="19" t="s">
        <v>2626</v>
      </c>
      <c r="D404">
        <v>10</v>
      </c>
      <c r="E404">
        <v>90001</v>
      </c>
      <c r="F404" s="19" t="s">
        <v>2635</v>
      </c>
      <c r="G404">
        <f t="shared" ref="G404:G467" si="25">LEN(F404)</f>
        <v>26</v>
      </c>
      <c r="H404" s="9">
        <f>IF(ISERROR(VLOOKUP(A404,Excel4!D:J,7,0)),0,VLOOKUP(A404,Excel4!D:J,7,0))</f>
        <v>0</v>
      </c>
      <c r="I404" s="15" t="s">
        <v>1777</v>
      </c>
      <c r="J404" s="15" t="s">
        <v>2626</v>
      </c>
      <c r="K404" s="15" t="s">
        <v>161</v>
      </c>
      <c r="L404" s="18" t="str">
        <f t="shared" si="23"/>
        <v>KEBAN BELEDİYE BAŞKANLIĞI ELAZIĞ</v>
      </c>
      <c r="M404" s="18" t="str">
        <f t="shared" si="24"/>
        <v>KEBAN</v>
      </c>
    </row>
    <row r="405" spans="1:14" x14ac:dyDescent="0.25">
      <c r="A405" t="s">
        <v>1213</v>
      </c>
      <c r="B405" t="s">
        <v>704</v>
      </c>
      <c r="C405" t="s">
        <v>567</v>
      </c>
      <c r="D405">
        <v>10</v>
      </c>
      <c r="E405">
        <v>90001</v>
      </c>
      <c r="F405" t="s">
        <v>1214</v>
      </c>
      <c r="G405">
        <f t="shared" si="25"/>
        <v>26</v>
      </c>
      <c r="H405" s="9">
        <f>IF(ISERROR(VLOOKUP(A405,Excel4!D:J,7,0)),0,VLOOKUP(A405,Excel4!D:J,7,0))</f>
        <v>18.939999999999998</v>
      </c>
      <c r="I405" s="15" t="s">
        <v>1777</v>
      </c>
      <c r="J405" s="15" t="s">
        <v>567</v>
      </c>
      <c r="K405" s="15" t="s">
        <v>161</v>
      </c>
      <c r="L405" s="18" t="str">
        <f t="shared" si="23"/>
        <v>KOVANCILAR BELEDİYE BAŞKANLIĞI ELAZIĞ</v>
      </c>
      <c r="M405" s="18" t="str">
        <f t="shared" si="24"/>
        <v>KOVANCILAR</v>
      </c>
    </row>
    <row r="406" spans="1:14" x14ac:dyDescent="0.25">
      <c r="A406" t="s">
        <v>1215</v>
      </c>
      <c r="B406" t="s">
        <v>704</v>
      </c>
      <c r="C406" t="s">
        <v>568</v>
      </c>
      <c r="D406">
        <v>10</v>
      </c>
      <c r="E406">
        <v>90001</v>
      </c>
      <c r="F406" t="s">
        <v>1216</v>
      </c>
      <c r="G406">
        <f t="shared" si="25"/>
        <v>26</v>
      </c>
      <c r="H406" s="9">
        <f>IF(ISERROR(VLOOKUP(A406,Excel4!D:J,7,0)),0,VLOOKUP(A406,Excel4!D:J,7,0))</f>
        <v>0</v>
      </c>
      <c r="I406" s="15" t="s">
        <v>1777</v>
      </c>
      <c r="J406" s="15" t="s">
        <v>568</v>
      </c>
      <c r="K406" s="15" t="s">
        <v>161</v>
      </c>
      <c r="L406" s="18" t="str">
        <f t="shared" si="23"/>
        <v>MADEN BELEDİYE BAŞKANLIĞI ELAZIĞ</v>
      </c>
      <c r="M406" s="18" t="str">
        <f t="shared" si="24"/>
        <v>MADEN</v>
      </c>
    </row>
    <row r="407" spans="1:14" x14ac:dyDescent="0.25">
      <c r="A407" t="s">
        <v>725</v>
      </c>
      <c r="B407" t="s">
        <v>699</v>
      </c>
      <c r="C407" t="s">
        <v>1818</v>
      </c>
      <c r="D407">
        <v>15</v>
      </c>
      <c r="E407">
        <v>90001</v>
      </c>
      <c r="F407" t="s">
        <v>2853</v>
      </c>
      <c r="G407">
        <f t="shared" si="25"/>
        <v>26</v>
      </c>
      <c r="H407" s="9">
        <f>IF(ISERROR(VLOOKUP(A407,Excel4!D:J,7,0)),0,VLOOKUP(A407,Excel4!D:J,7,0))</f>
        <v>4546.58</v>
      </c>
      <c r="I407" s="15" t="s">
        <v>1777</v>
      </c>
      <c r="J407" s="15" t="s">
        <v>34</v>
      </c>
      <c r="K407" s="15" t="s">
        <v>161</v>
      </c>
      <c r="L407" s="18" t="str">
        <f t="shared" si="23"/>
        <v>ELAZIĞ BELEDİYE BAŞKANLIĞI</v>
      </c>
      <c r="M407" s="18" t="str">
        <f t="shared" si="24"/>
        <v>ELAZIĞ</v>
      </c>
      <c r="N407" t="e">
        <f>_xlfn.XLOOKUP(M407,[1]Sheet1!$C:$C,[1]Sheet1!$G:$G)</f>
        <v>#N/A</v>
      </c>
    </row>
    <row r="408" spans="1:14" x14ac:dyDescent="0.25">
      <c r="A408" t="s">
        <v>3139</v>
      </c>
      <c r="B408" t="s">
        <v>818</v>
      </c>
      <c r="C408" t="s">
        <v>34</v>
      </c>
      <c r="D408">
        <v>64</v>
      </c>
      <c r="E408">
        <v>90001</v>
      </c>
      <c r="F408" t="s">
        <v>3153</v>
      </c>
      <c r="G408">
        <f t="shared" si="25"/>
        <v>26</v>
      </c>
      <c r="H408" s="9">
        <f>IF(ISERROR(VLOOKUP(A408,Excel4!D:J,7,0)),0,VLOOKUP(A408,Excel4!D:J,7,0))</f>
        <v>0</v>
      </c>
      <c r="I408" s="15" t="s">
        <v>1777</v>
      </c>
      <c r="J408" s="15" t="s">
        <v>3066</v>
      </c>
      <c r="K408" s="15" t="s">
        <v>161</v>
      </c>
      <c r="L408" s="18" t="str">
        <f t="shared" si="23"/>
        <v>MOLLAKENDİ BELEDİYE BAŞKANLIĞI ELAZIĞ</v>
      </c>
      <c r="M408" s="18" t="str">
        <f t="shared" si="24"/>
        <v>MOLLAKENDİ</v>
      </c>
    </row>
    <row r="409" spans="1:14" x14ac:dyDescent="0.25">
      <c r="A409" t="s">
        <v>1217</v>
      </c>
      <c r="B409" t="s">
        <v>704</v>
      </c>
      <c r="C409" t="s">
        <v>569</v>
      </c>
      <c r="D409">
        <v>10</v>
      </c>
      <c r="E409">
        <v>90001</v>
      </c>
      <c r="F409" t="s">
        <v>1218</v>
      </c>
      <c r="G409">
        <f t="shared" si="25"/>
        <v>26</v>
      </c>
      <c r="H409" s="9">
        <f>IF(ISERROR(VLOOKUP(A409,Excel4!D:J,7,0)),0,VLOOKUP(A409,Excel4!D:J,7,0))</f>
        <v>0</v>
      </c>
      <c r="I409" s="15" t="s">
        <v>1777</v>
      </c>
      <c r="J409" s="15" t="s">
        <v>569</v>
      </c>
      <c r="K409" s="15" t="s">
        <v>161</v>
      </c>
      <c r="L409" s="18" t="str">
        <f t="shared" si="23"/>
        <v>PALU BELEDİYE BAŞKANLIĞI ELAZIĞ</v>
      </c>
      <c r="M409" s="18" t="str">
        <f t="shared" si="24"/>
        <v>PALU</v>
      </c>
    </row>
    <row r="410" spans="1:14" x14ac:dyDescent="0.25">
      <c r="A410" t="s">
        <v>2455</v>
      </c>
      <c r="B410" t="s">
        <v>704</v>
      </c>
      <c r="C410" t="s">
        <v>2420</v>
      </c>
      <c r="D410">
        <v>10</v>
      </c>
      <c r="E410">
        <v>90001</v>
      </c>
      <c r="F410" t="s">
        <v>2456</v>
      </c>
      <c r="G410">
        <f t="shared" si="25"/>
        <v>26</v>
      </c>
      <c r="H410" s="9">
        <f>IF(ISERROR(VLOOKUP(A410,Excel4!D:J,7,0)),0,VLOOKUP(A410,Excel4!D:J,7,0))</f>
        <v>71.19</v>
      </c>
      <c r="I410" s="15" t="s">
        <v>1777</v>
      </c>
      <c r="J410" s="20" t="s">
        <v>2420</v>
      </c>
      <c r="K410" s="15" t="s">
        <v>161</v>
      </c>
      <c r="L410" s="18" t="str">
        <f t="shared" si="23"/>
        <v>SİVRİCE BELEDİYE BAŞKANLIĞI ELAZIĞ</v>
      </c>
      <c r="M410" s="18" t="str">
        <f t="shared" si="24"/>
        <v>SİVRİCE</v>
      </c>
      <c r="N410">
        <f>_xlfn.XLOOKUP(M410,[1]Sheet1!$A:$A,[1]Sheet1!$G:$G)</f>
        <v>0</v>
      </c>
    </row>
    <row r="411" spans="1:14" x14ac:dyDescent="0.25">
      <c r="A411" t="s">
        <v>2609</v>
      </c>
      <c r="B411" s="19" t="s">
        <v>704</v>
      </c>
      <c r="C411" s="19" t="s">
        <v>1818</v>
      </c>
      <c r="D411">
        <v>10</v>
      </c>
      <c r="E411">
        <v>90001</v>
      </c>
      <c r="F411" s="27" t="s">
        <v>2615</v>
      </c>
      <c r="G411">
        <f t="shared" si="25"/>
        <v>26</v>
      </c>
      <c r="H411" s="9">
        <f>IF(ISERROR(VLOOKUP(A411,Excel4!D:J,7,0)),0,VLOOKUP(A411,Excel4!D:J,7,0))</f>
        <v>0</v>
      </c>
      <c r="I411" s="15" t="s">
        <v>1777</v>
      </c>
      <c r="J411" s="20" t="s">
        <v>2602</v>
      </c>
      <c r="K411" s="15" t="s">
        <v>161</v>
      </c>
      <c r="L411" s="18" t="str">
        <f t="shared" si="23"/>
        <v>YAZIKONAK BELEDİYE BAŞKANLIĞI ELAZIĞ</v>
      </c>
      <c r="M411" s="18" t="str">
        <f t="shared" si="24"/>
        <v>YAZIKONAK</v>
      </c>
    </row>
    <row r="412" spans="1:14" x14ac:dyDescent="0.25">
      <c r="A412" t="s">
        <v>1670</v>
      </c>
      <c r="B412" t="s">
        <v>2555</v>
      </c>
      <c r="C412" t="s">
        <v>570</v>
      </c>
      <c r="D412">
        <v>12</v>
      </c>
      <c r="E412">
        <v>90001</v>
      </c>
      <c r="F412" t="s">
        <v>1671</v>
      </c>
      <c r="G412">
        <f t="shared" si="25"/>
        <v>26</v>
      </c>
      <c r="H412" s="9">
        <f>IF(ISERROR(VLOOKUP(A412,Excel4!D:J,7,0)),0,VLOOKUP(A412,Excel4!D:J,7,0))</f>
        <v>0</v>
      </c>
      <c r="I412" s="15" t="s">
        <v>1777</v>
      </c>
      <c r="J412" s="15" t="s">
        <v>570</v>
      </c>
      <c r="K412" s="15" t="s">
        <v>161</v>
      </c>
      <c r="L412" s="18" t="str">
        <f t="shared" si="23"/>
        <v>YURTBAŞI BELEDİYE BAŞKANLIĞI ELAZIĞ</v>
      </c>
      <c r="M412" s="18" t="str">
        <f t="shared" si="24"/>
        <v>YURTBAŞI</v>
      </c>
    </row>
    <row r="413" spans="1:14" x14ac:dyDescent="0.25">
      <c r="A413" t="s">
        <v>2665</v>
      </c>
      <c r="B413" s="19" t="s">
        <v>699</v>
      </c>
      <c r="C413" s="19" t="s">
        <v>2676</v>
      </c>
      <c r="D413">
        <v>15</v>
      </c>
      <c r="E413">
        <v>90001</v>
      </c>
      <c r="F413" t="s">
        <v>2671</v>
      </c>
      <c r="G413">
        <f t="shared" si="25"/>
        <v>26</v>
      </c>
      <c r="H413" s="9">
        <f>IF(ISERROR(VLOOKUP(A413,Excel4!D:J,7,0)),0,VLOOKUP(A413,Excel4!D:J,7,0))</f>
        <v>0</v>
      </c>
      <c r="I413" s="15" t="s">
        <v>1777</v>
      </c>
      <c r="J413" s="20" t="s">
        <v>83</v>
      </c>
      <c r="K413" s="15" t="s">
        <v>173</v>
      </c>
      <c r="L413" s="18" t="str">
        <f t="shared" si="23"/>
        <v>AKYAZI BELEDİYE BAŞKANLIĞI ERZİNCAN</v>
      </c>
      <c r="M413" s="18" t="str">
        <f t="shared" si="24"/>
        <v>AKYAZI</v>
      </c>
    </row>
    <row r="414" spans="1:14" x14ac:dyDescent="0.25">
      <c r="A414" t="s">
        <v>2750</v>
      </c>
      <c r="B414" s="19" t="s">
        <v>699</v>
      </c>
      <c r="C414" s="19" t="s">
        <v>173</v>
      </c>
      <c r="D414">
        <v>15</v>
      </c>
      <c r="E414">
        <v>90001</v>
      </c>
      <c r="F414" t="s">
        <v>2752</v>
      </c>
      <c r="G414">
        <f t="shared" si="25"/>
        <v>26</v>
      </c>
      <c r="H414" s="9">
        <f>IF(ISERROR(VLOOKUP(A414,Excel4!D:J,7,0)),0,VLOOKUP(A414,Excel4!D:J,7,0))</f>
        <v>0</v>
      </c>
      <c r="I414" s="15" t="s">
        <v>1777</v>
      </c>
      <c r="J414" s="20" t="s">
        <v>2715</v>
      </c>
      <c r="K414" s="20" t="s">
        <v>173</v>
      </c>
      <c r="L414" s="18" t="str">
        <f t="shared" si="23"/>
        <v>ÇAĞLAYAN BELEDİYE BAŞKANLIĞI ERZİNCAN</v>
      </c>
      <c r="M414" s="18" t="str">
        <f t="shared" si="24"/>
        <v>ÇAĞLAYAN</v>
      </c>
    </row>
    <row r="415" spans="1:14" x14ac:dyDescent="0.25">
      <c r="A415" t="s">
        <v>1219</v>
      </c>
      <c r="B415" t="s">
        <v>704</v>
      </c>
      <c r="C415" t="s">
        <v>571</v>
      </c>
      <c r="D415">
        <v>10</v>
      </c>
      <c r="E415">
        <v>90001</v>
      </c>
      <c r="F415" t="s">
        <v>1220</v>
      </c>
      <c r="G415">
        <f t="shared" si="25"/>
        <v>26</v>
      </c>
      <c r="H415" s="9">
        <f>IF(ISERROR(VLOOKUP(A415,Excel4!D:J,7,0)),0,VLOOKUP(A415,Excel4!D:J,7,0))</f>
        <v>0</v>
      </c>
      <c r="I415" s="15" t="s">
        <v>1777</v>
      </c>
      <c r="J415" s="15" t="s">
        <v>571</v>
      </c>
      <c r="K415" s="15" t="s">
        <v>173</v>
      </c>
      <c r="L415" s="18" t="str">
        <f t="shared" si="23"/>
        <v>ÇAYIRLI BELEDİYE BAŞKANLIĞI ERZİNCAN</v>
      </c>
      <c r="M415" s="18" t="str">
        <f t="shared" si="24"/>
        <v>ÇAYIRLI</v>
      </c>
    </row>
    <row r="416" spans="1:14" x14ac:dyDescent="0.25">
      <c r="A416" t="s">
        <v>2894</v>
      </c>
      <c r="B416" t="s">
        <v>704</v>
      </c>
      <c r="C416" t="s">
        <v>173</v>
      </c>
      <c r="D416">
        <v>10</v>
      </c>
      <c r="E416">
        <v>90001</v>
      </c>
      <c r="F416" t="s">
        <v>2899</v>
      </c>
      <c r="G416">
        <f t="shared" si="25"/>
        <v>26</v>
      </c>
      <c r="H416" s="9">
        <f>IF(ISERROR(VLOOKUP(A416,Excel4!D:J,7,0)),0,VLOOKUP(A416,Excel4!D:J,7,0))</f>
        <v>0</v>
      </c>
      <c r="I416" s="15" t="s">
        <v>1777</v>
      </c>
      <c r="J416" s="15" t="s">
        <v>2866</v>
      </c>
      <c r="K416" s="15" t="s">
        <v>173</v>
      </c>
      <c r="L416" s="18" t="str">
        <f t="shared" si="23"/>
        <v>DEMİRKENT BELEDİYE BAŞKANLIĞI ERZİNCAN</v>
      </c>
      <c r="M416" s="18" t="str">
        <f t="shared" si="24"/>
        <v>DEMİRKENT</v>
      </c>
    </row>
    <row r="417" spans="1:14" x14ac:dyDescent="0.25">
      <c r="A417" t="s">
        <v>2339</v>
      </c>
      <c r="B417" s="19" t="s">
        <v>704</v>
      </c>
      <c r="C417" s="19" t="s">
        <v>2312</v>
      </c>
      <c r="D417">
        <v>10</v>
      </c>
      <c r="E417">
        <v>90001</v>
      </c>
      <c r="F417" t="s">
        <v>2387</v>
      </c>
      <c r="G417">
        <f t="shared" si="25"/>
        <v>26</v>
      </c>
      <c r="H417" s="9">
        <f>IF(ISERROR(VLOOKUP(A417,Excel4!D:J,7,0)),0,VLOOKUP(A417,Excel4!D:J,7,0))</f>
        <v>203.11</v>
      </c>
      <c r="I417" s="15" t="s">
        <v>1777</v>
      </c>
      <c r="J417" s="20" t="s">
        <v>2312</v>
      </c>
      <c r="K417" s="20" t="s">
        <v>173</v>
      </c>
      <c r="L417" s="18" t="str">
        <f t="shared" si="23"/>
        <v>İLİÇ BELEDİYE BAŞKANLIĞI ERZİNCAN</v>
      </c>
      <c r="M417" s="18" t="str">
        <f t="shared" si="24"/>
        <v>İLİÇ</v>
      </c>
    </row>
    <row r="418" spans="1:14" x14ac:dyDescent="0.25">
      <c r="A418" s="19" t="s">
        <v>2950</v>
      </c>
      <c r="B418" t="s">
        <v>704</v>
      </c>
      <c r="C418" t="s">
        <v>2949</v>
      </c>
      <c r="D418">
        <v>10</v>
      </c>
      <c r="E418">
        <v>337</v>
      </c>
      <c r="F418" t="s">
        <v>2951</v>
      </c>
      <c r="G418">
        <f t="shared" si="25"/>
        <v>26</v>
      </c>
      <c r="H418" s="9">
        <f>IF(ISERROR(VLOOKUP(A418,Excel4!D:J,7,0)),0,VLOOKUP(A418,Excel4!D:J,7,0))</f>
        <v>67.7</v>
      </c>
      <c r="I418" s="15" t="s">
        <v>1777</v>
      </c>
      <c r="J418" s="20" t="s">
        <v>2949</v>
      </c>
      <c r="K418" s="15" t="s">
        <v>173</v>
      </c>
      <c r="L418" s="18" t="str">
        <f t="shared" si="23"/>
        <v>KEMAH BELEDİYE BAŞKANLIĞI ERZİNCAN</v>
      </c>
      <c r="M418" s="18" t="str">
        <f t="shared" si="24"/>
        <v>KEMAH</v>
      </c>
      <c r="N418">
        <f>_xlfn.XLOOKUP(M418,[1]Sheet1!$A:$A,[1]Sheet1!$G:$G)</f>
        <v>0</v>
      </c>
    </row>
    <row r="419" spans="1:14" x14ac:dyDescent="0.25">
      <c r="A419" t="s">
        <v>4439</v>
      </c>
      <c r="B419" t="s">
        <v>704</v>
      </c>
      <c r="C419" t="s">
        <v>4377</v>
      </c>
      <c r="D419">
        <v>10</v>
      </c>
      <c r="E419">
        <v>90001</v>
      </c>
      <c r="F419" s="19" t="s">
        <v>4442</v>
      </c>
      <c r="G419">
        <f t="shared" si="25"/>
        <v>26</v>
      </c>
      <c r="H419" s="9">
        <f>IF(ISERROR(VLOOKUP(A419,Excel4!D:J,7,0)),0,VLOOKUP(A419,Excel4!D:J,7,0))</f>
        <v>0</v>
      </c>
      <c r="I419" s="15" t="s">
        <v>1777</v>
      </c>
      <c r="J419" s="20" t="s">
        <v>4377</v>
      </c>
      <c r="K419" s="15" t="s">
        <v>161</v>
      </c>
      <c r="L419" s="18" t="str">
        <f t="shared" si="23"/>
        <v>ALACAKAYA BELEDİYE BAŞKANLIĞI ELAZIĞ</v>
      </c>
      <c r="M419" s="18" t="str">
        <f t="shared" si="24"/>
        <v>ALACAKAYA</v>
      </c>
      <c r="N419">
        <f>_xlfn.XLOOKUP(M419,[1]Sheet1!$A:$A,[1]Sheet1!$G:$G)</f>
        <v>0</v>
      </c>
    </row>
    <row r="420" spans="1:14" x14ac:dyDescent="0.25">
      <c r="A420" t="s">
        <v>1221</v>
      </c>
      <c r="B420" t="s">
        <v>704</v>
      </c>
      <c r="C420" t="s">
        <v>572</v>
      </c>
      <c r="D420">
        <v>10</v>
      </c>
      <c r="E420">
        <v>90001</v>
      </c>
      <c r="F420" t="s">
        <v>1222</v>
      </c>
      <c r="G420">
        <f t="shared" si="25"/>
        <v>26</v>
      </c>
      <c r="H420" s="9">
        <f>IF(ISERROR(VLOOKUP(A420,Excel4!D:J,7,0)),0,VLOOKUP(A420,Excel4!D:J,7,0))</f>
        <v>38.450000000000003</v>
      </c>
      <c r="I420" s="15" t="s">
        <v>1777</v>
      </c>
      <c r="J420" s="15" t="s">
        <v>572</v>
      </c>
      <c r="K420" s="15" t="s">
        <v>173</v>
      </c>
      <c r="L420" s="18" t="str">
        <f t="shared" ref="L420:L483" si="26">IF(J420="MERKEZ",K420&amp;" "&amp;I420,IF(J420="BÜYÜKŞEHİR",K420&amp;" "&amp;J420&amp;" "&amp;I420,J420&amp;" "&amp;I420&amp;" "&amp;K420))</f>
        <v>KEMALİYE BELEDİYE BAŞKANLIĞI ERZİNCAN</v>
      </c>
      <c r="M420" s="18" t="str">
        <f t="shared" si="24"/>
        <v>KEMALİYE</v>
      </c>
    </row>
    <row r="421" spans="1:14" x14ac:dyDescent="0.25">
      <c r="A421" t="s">
        <v>1225</v>
      </c>
      <c r="B421" t="s">
        <v>704</v>
      </c>
      <c r="C421" t="s">
        <v>573</v>
      </c>
      <c r="D421">
        <v>10</v>
      </c>
      <c r="E421">
        <v>90001</v>
      </c>
      <c r="F421" t="s">
        <v>1226</v>
      </c>
      <c r="G421">
        <f t="shared" si="25"/>
        <v>26</v>
      </c>
      <c r="H421" s="9">
        <f>IF(ISERROR(VLOOKUP(A421,Excel4!D:J,7,0)),0,VLOOKUP(A421,Excel4!D:J,7,0))</f>
        <v>0</v>
      </c>
      <c r="I421" s="15" t="s">
        <v>1777</v>
      </c>
      <c r="J421" s="15" t="s">
        <v>573</v>
      </c>
      <c r="K421" s="15" t="s">
        <v>173</v>
      </c>
      <c r="L421" s="18" t="str">
        <f t="shared" si="26"/>
        <v>REFAHİYE BELEDİYE BAŞKANLIĞI ERZİNCAN</v>
      </c>
      <c r="M421" s="18" t="str">
        <f t="shared" si="24"/>
        <v>REFAHİYE</v>
      </c>
      <c r="N421">
        <f>_xlfn.XLOOKUP(M421,[1]Sheet1!$A:$A,[1]Sheet1!$G:$G)</f>
        <v>0</v>
      </c>
    </row>
    <row r="422" spans="1:14" x14ac:dyDescent="0.25">
      <c r="A422" t="s">
        <v>1227</v>
      </c>
      <c r="B422" t="s">
        <v>704</v>
      </c>
      <c r="C422" t="s">
        <v>444</v>
      </c>
      <c r="D422">
        <v>10</v>
      </c>
      <c r="E422">
        <v>90001</v>
      </c>
      <c r="F422" t="s">
        <v>1228</v>
      </c>
      <c r="G422">
        <f t="shared" si="25"/>
        <v>26</v>
      </c>
      <c r="H422" s="9">
        <f>IF(ISERROR(VLOOKUP(A422,Excel4!D:J,7,0)),0,VLOOKUP(A422,Excel4!D:J,7,0))</f>
        <v>55.760000000000005</v>
      </c>
      <c r="I422" s="15" t="s">
        <v>1777</v>
      </c>
      <c r="J422" s="15" t="s">
        <v>444</v>
      </c>
      <c r="K422" s="15" t="s">
        <v>173</v>
      </c>
      <c r="L422" s="18" t="str">
        <f t="shared" si="26"/>
        <v>TERCAN BELEDİYE BAŞKANLIĞI ERZİNCAN</v>
      </c>
      <c r="M422" s="18" t="str">
        <f t="shared" si="24"/>
        <v>TERCAN</v>
      </c>
    </row>
    <row r="423" spans="1:14" x14ac:dyDescent="0.25">
      <c r="A423" t="s">
        <v>1229</v>
      </c>
      <c r="B423" t="s">
        <v>704</v>
      </c>
      <c r="C423" t="s">
        <v>575</v>
      </c>
      <c r="D423">
        <v>10</v>
      </c>
      <c r="E423">
        <v>90001</v>
      </c>
      <c r="F423" t="s">
        <v>1230</v>
      </c>
      <c r="G423">
        <f t="shared" si="25"/>
        <v>26</v>
      </c>
      <c r="H423" s="9">
        <f>IF(ISERROR(VLOOKUP(A423,Excel4!D:J,7,0)),0,VLOOKUP(A423,Excel4!D:J,7,0))</f>
        <v>0</v>
      </c>
      <c r="I423" s="15" t="s">
        <v>1777</v>
      </c>
      <c r="J423" s="15" t="s">
        <v>575</v>
      </c>
      <c r="K423" s="15" t="s">
        <v>173</v>
      </c>
      <c r="L423" s="18" t="str">
        <f t="shared" si="26"/>
        <v>ÜZÜMLÜ BELEDİYE BAŞKANLIĞI ERZİNCAN</v>
      </c>
      <c r="M423" s="18" t="str">
        <f t="shared" si="24"/>
        <v>ÜZÜMLÜ</v>
      </c>
      <c r="N423">
        <f>_xlfn.XLOOKUP(M423,[1]Sheet1!$A:$A,[1]Sheet1!$G:$G)</f>
        <v>0</v>
      </c>
    </row>
    <row r="424" spans="1:14" x14ac:dyDescent="0.25">
      <c r="A424" t="s">
        <v>2646</v>
      </c>
      <c r="B424" s="19" t="s">
        <v>2555</v>
      </c>
      <c r="C424" s="19" t="s">
        <v>173</v>
      </c>
      <c r="D424">
        <v>12</v>
      </c>
      <c r="E424">
        <v>90001</v>
      </c>
      <c r="F424" t="s">
        <v>2651</v>
      </c>
      <c r="G424">
        <f t="shared" si="25"/>
        <v>26</v>
      </c>
      <c r="H424" s="9">
        <f>IF(ISERROR(VLOOKUP(A424,Excel4!D:J,7,0)),0,VLOOKUP(A424,Excel4!D:J,7,0))</f>
        <v>0</v>
      </c>
      <c r="I424" s="15" t="s">
        <v>1777</v>
      </c>
      <c r="J424" s="20" t="s">
        <v>2642</v>
      </c>
      <c r="K424" s="15" t="s">
        <v>173</v>
      </c>
      <c r="L424" s="18" t="str">
        <f t="shared" si="26"/>
        <v>YOĞURTLU BELEDİYE BAŞKANLIĞI ERZİNCAN</v>
      </c>
      <c r="M424" s="18" t="str">
        <f t="shared" si="24"/>
        <v>YOĞURTLU</v>
      </c>
    </row>
    <row r="425" spans="1:14" x14ac:dyDescent="0.25">
      <c r="A425" t="s">
        <v>1797</v>
      </c>
      <c r="B425" t="s">
        <v>704</v>
      </c>
      <c r="C425" t="s">
        <v>1820</v>
      </c>
      <c r="D425">
        <v>10</v>
      </c>
      <c r="E425">
        <v>90001</v>
      </c>
      <c r="F425" t="s">
        <v>1828</v>
      </c>
      <c r="G425">
        <f t="shared" si="25"/>
        <v>26</v>
      </c>
      <c r="H425" s="9">
        <f>IF(ISERROR(VLOOKUP(A425,Excel4!D:J,7,0)),0,VLOOKUP(A425,Excel4!D:J,7,0))</f>
        <v>0</v>
      </c>
      <c r="I425" s="15" t="s">
        <v>1777</v>
      </c>
      <c r="J425" s="15" t="s">
        <v>1786</v>
      </c>
      <c r="K425" s="15" t="s">
        <v>60</v>
      </c>
      <c r="L425" s="18" t="str">
        <f t="shared" si="26"/>
        <v>ALVAR BELEDİYE BAŞKANLIĞI ERZURUM</v>
      </c>
      <c r="M425" s="18" t="str">
        <f t="shared" si="24"/>
        <v>ALVAR</v>
      </c>
    </row>
    <row r="426" spans="1:14" x14ac:dyDescent="0.25">
      <c r="A426" t="s">
        <v>1231</v>
      </c>
      <c r="B426" t="s">
        <v>704</v>
      </c>
      <c r="C426" t="s">
        <v>445</v>
      </c>
      <c r="D426">
        <v>10</v>
      </c>
      <c r="E426">
        <v>90001</v>
      </c>
      <c r="F426" t="s">
        <v>1232</v>
      </c>
      <c r="G426">
        <f t="shared" si="25"/>
        <v>26</v>
      </c>
      <c r="H426" s="9">
        <f>IF(ISERROR(VLOOKUP(A426,Excel4!D:J,7,0)),0,VLOOKUP(A426,Excel4!D:J,7,0))</f>
        <v>0</v>
      </c>
      <c r="I426" s="15" t="s">
        <v>1777</v>
      </c>
      <c r="J426" s="15" t="s">
        <v>445</v>
      </c>
      <c r="K426" s="15" t="s">
        <v>60</v>
      </c>
      <c r="L426" s="18" t="str">
        <f t="shared" si="26"/>
        <v>AŞKALE BELEDİYE BAŞKANLIĞI ERZURUM</v>
      </c>
      <c r="M426" s="18" t="str">
        <f t="shared" si="24"/>
        <v>AŞKALE</v>
      </c>
    </row>
    <row r="427" spans="1:14" x14ac:dyDescent="0.25">
      <c r="A427" t="s">
        <v>1223</v>
      </c>
      <c r="B427" t="s">
        <v>2555</v>
      </c>
      <c r="C427" t="s">
        <v>34</v>
      </c>
      <c r="D427">
        <v>12</v>
      </c>
      <c r="E427">
        <v>90001</v>
      </c>
      <c r="F427" t="s">
        <v>1224</v>
      </c>
      <c r="G427">
        <f t="shared" si="25"/>
        <v>26</v>
      </c>
      <c r="H427" s="9">
        <f>IF(ISERROR(VLOOKUP(A427,Excel4!D:J,7,0)),0,VLOOKUP(A427,Excel4!D:J,7,0))</f>
        <v>900.72</v>
      </c>
      <c r="I427" s="15" t="s">
        <v>1777</v>
      </c>
      <c r="J427" s="15" t="s">
        <v>34</v>
      </c>
      <c r="K427" s="15" t="s">
        <v>173</v>
      </c>
      <c r="L427" s="18" t="str">
        <f t="shared" si="26"/>
        <v>ERZİNCAN BELEDİYE BAŞKANLIĞI</v>
      </c>
      <c r="M427" s="18" t="str">
        <f t="shared" si="24"/>
        <v>ERZİNCAN</v>
      </c>
      <c r="N427" t="e">
        <f>_xlfn.XLOOKUP(M427,[1]Sheet1!$C:$C,[1]Sheet1!$G:$G)</f>
        <v>#N/A</v>
      </c>
    </row>
    <row r="428" spans="1:14" x14ac:dyDescent="0.25">
      <c r="A428" t="s">
        <v>1233</v>
      </c>
      <c r="B428" t="s">
        <v>704</v>
      </c>
      <c r="C428" t="s">
        <v>576</v>
      </c>
      <c r="D428">
        <v>10</v>
      </c>
      <c r="E428">
        <v>90001</v>
      </c>
      <c r="F428" t="s">
        <v>1234</v>
      </c>
      <c r="G428">
        <f t="shared" si="25"/>
        <v>26</v>
      </c>
      <c r="H428" s="9">
        <f>IF(ISERROR(VLOOKUP(A428,Excel4!D:J,7,0)),0,VLOOKUP(A428,Excel4!D:J,7,0))</f>
        <v>0</v>
      </c>
      <c r="I428" s="15" t="s">
        <v>1777</v>
      </c>
      <c r="J428" s="15" t="s">
        <v>576</v>
      </c>
      <c r="K428" s="15" t="s">
        <v>60</v>
      </c>
      <c r="L428" s="18" t="str">
        <f t="shared" si="26"/>
        <v>ÇAT BELEDİYE BAŞKANLIĞI ERZURUM</v>
      </c>
      <c r="M428" s="18" t="str">
        <f t="shared" si="24"/>
        <v>ÇAT</v>
      </c>
    </row>
    <row r="429" spans="1:14" x14ac:dyDescent="0.25">
      <c r="A429" t="s">
        <v>1235</v>
      </c>
      <c r="B429" t="s">
        <v>704</v>
      </c>
      <c r="C429" t="s">
        <v>577</v>
      </c>
      <c r="D429">
        <v>10</v>
      </c>
      <c r="E429">
        <v>90001</v>
      </c>
      <c r="F429" t="s">
        <v>1236</v>
      </c>
      <c r="G429">
        <f t="shared" si="25"/>
        <v>26</v>
      </c>
      <c r="H429" s="9">
        <f>IF(ISERROR(VLOOKUP(A429,Excel4!D:J,7,0)),0,VLOOKUP(A429,Excel4!D:J,7,0))</f>
        <v>0</v>
      </c>
      <c r="I429" s="15" t="s">
        <v>1777</v>
      </c>
      <c r="J429" s="15" t="s">
        <v>577</v>
      </c>
      <c r="K429" s="15" t="s">
        <v>60</v>
      </c>
      <c r="L429" s="18" t="str">
        <f t="shared" si="26"/>
        <v>İSPİR BELEDİYE BAŞKANLIĞI ERZURUM</v>
      </c>
      <c r="M429" s="18" t="str">
        <f t="shared" si="24"/>
        <v>İSPİR</v>
      </c>
    </row>
    <row r="430" spans="1:14" x14ac:dyDescent="0.25">
      <c r="A430" t="s">
        <v>1237</v>
      </c>
      <c r="B430" t="s">
        <v>704</v>
      </c>
      <c r="C430" t="s">
        <v>578</v>
      </c>
      <c r="D430">
        <v>10</v>
      </c>
      <c r="E430">
        <v>90001</v>
      </c>
      <c r="F430" t="s">
        <v>1238</v>
      </c>
      <c r="G430">
        <f t="shared" si="25"/>
        <v>26</v>
      </c>
      <c r="H430" s="9">
        <f>IF(ISERROR(VLOOKUP(A430,Excel4!D:J,7,0)),0,VLOOKUP(A430,Excel4!D:J,7,0))</f>
        <v>0</v>
      </c>
      <c r="I430" s="15" t="s">
        <v>1777</v>
      </c>
      <c r="J430" s="15" t="s">
        <v>578</v>
      </c>
      <c r="K430" s="15" t="s">
        <v>60</v>
      </c>
      <c r="L430" s="18" t="str">
        <f t="shared" si="26"/>
        <v>KARAYAZI BELEDİYE BAŞKANLIĞI ERZURUM</v>
      </c>
      <c r="M430" s="18" t="str">
        <f t="shared" si="24"/>
        <v>KARAYAZI</v>
      </c>
    </row>
    <row r="431" spans="1:14" x14ac:dyDescent="0.25">
      <c r="A431" t="s">
        <v>1239</v>
      </c>
      <c r="B431" t="s">
        <v>2555</v>
      </c>
      <c r="C431" t="s">
        <v>579</v>
      </c>
      <c r="D431">
        <v>12</v>
      </c>
      <c r="E431">
        <v>90001</v>
      </c>
      <c r="F431" t="s">
        <v>1240</v>
      </c>
      <c r="G431">
        <f t="shared" si="25"/>
        <v>26</v>
      </c>
      <c r="H431" s="9">
        <f>IF(ISERROR(VLOOKUP(A431,Excel4!D:J,7,0)),0,VLOOKUP(A431,Excel4!D:J,7,0))</f>
        <v>0</v>
      </c>
      <c r="I431" s="15" t="s">
        <v>1777</v>
      </c>
      <c r="J431" s="15" t="s">
        <v>579</v>
      </c>
      <c r="K431" s="15" t="s">
        <v>60</v>
      </c>
      <c r="L431" s="18" t="str">
        <f t="shared" si="26"/>
        <v>OLTU BELEDİYE BAŞKANLIĞI ERZURUM</v>
      </c>
      <c r="M431" s="18" t="str">
        <f t="shared" si="24"/>
        <v>OLTU</v>
      </c>
    </row>
    <row r="432" spans="1:14" x14ac:dyDescent="0.25">
      <c r="A432" t="s">
        <v>1241</v>
      </c>
      <c r="B432" t="s">
        <v>704</v>
      </c>
      <c r="C432" t="s">
        <v>580</v>
      </c>
      <c r="D432">
        <v>10</v>
      </c>
      <c r="E432">
        <v>90001</v>
      </c>
      <c r="F432" t="s">
        <v>1242</v>
      </c>
      <c r="G432">
        <f t="shared" si="25"/>
        <v>26</v>
      </c>
      <c r="H432" s="9">
        <f>IF(ISERROR(VLOOKUP(A432,Excel4!D:J,7,0)),0,VLOOKUP(A432,Excel4!D:J,7,0))</f>
        <v>0</v>
      </c>
      <c r="I432" s="15" t="s">
        <v>1777</v>
      </c>
      <c r="J432" s="15" t="s">
        <v>580</v>
      </c>
      <c r="K432" s="15" t="s">
        <v>60</v>
      </c>
      <c r="L432" s="18" t="str">
        <f t="shared" si="26"/>
        <v>TORTUM BELEDİYE BAŞKANLIĞI ERZURUM</v>
      </c>
      <c r="M432" s="18" t="str">
        <f t="shared" si="24"/>
        <v>TORTUM</v>
      </c>
    </row>
    <row r="433" spans="1:14" x14ac:dyDescent="0.25">
      <c r="A433" t="s">
        <v>1929</v>
      </c>
      <c r="B433" t="s">
        <v>699</v>
      </c>
      <c r="C433" t="s">
        <v>60</v>
      </c>
      <c r="D433">
        <v>15</v>
      </c>
      <c r="E433">
        <v>90001</v>
      </c>
      <c r="F433" t="s">
        <v>726</v>
      </c>
      <c r="G433">
        <f t="shared" si="25"/>
        <v>26</v>
      </c>
      <c r="H433" s="9">
        <f>IF(ISERROR(VLOOKUP(A433,Excel4!D:J,7,0)),0,VLOOKUP(A433,Excel4!D:J,7,0))</f>
        <v>141709.34000000003</v>
      </c>
      <c r="I433" s="15" t="s">
        <v>1777</v>
      </c>
      <c r="J433" s="15" t="s">
        <v>27</v>
      </c>
      <c r="K433" s="15" t="s">
        <v>60</v>
      </c>
      <c r="L433" s="18" t="str">
        <f t="shared" si="26"/>
        <v>ERZURUM BÜYÜKŞEHİR BELEDİYE BAŞKANLIĞI</v>
      </c>
      <c r="M433" s="18" t="str">
        <f t="shared" si="24"/>
        <v>ERZURUM BÜYÜKŞEHİR</v>
      </c>
      <c r="N433">
        <f>_xlfn.XLOOKUP(M433,[1]Sheet1!$A:$A,[1]Sheet1!$G:$G)</f>
        <v>0</v>
      </c>
    </row>
    <row r="434" spans="1:14" x14ac:dyDescent="0.25">
      <c r="A434" t="s">
        <v>1243</v>
      </c>
      <c r="B434" t="s">
        <v>704</v>
      </c>
      <c r="C434" t="s">
        <v>364</v>
      </c>
      <c r="D434">
        <v>10</v>
      </c>
      <c r="E434">
        <v>90001</v>
      </c>
      <c r="F434" t="s">
        <v>1244</v>
      </c>
      <c r="G434">
        <f t="shared" si="25"/>
        <v>26</v>
      </c>
      <c r="H434" s="9">
        <f>IF(ISERROR(VLOOKUP(A434,Excel4!D:J,7,0)),0,VLOOKUP(A434,Excel4!D:J,7,0))</f>
        <v>0</v>
      </c>
      <c r="I434" s="15" t="s">
        <v>1777</v>
      </c>
      <c r="J434" s="15" t="s">
        <v>364</v>
      </c>
      <c r="K434" s="15" t="s">
        <v>61</v>
      </c>
      <c r="L434" s="18" t="str">
        <f t="shared" si="26"/>
        <v>İNÖNÜ BELEDİYE BAŞKANLIĞI ESKİŞEHİR</v>
      </c>
      <c r="M434" s="18" t="str">
        <f t="shared" si="24"/>
        <v>İNÖNÜ</v>
      </c>
    </row>
    <row r="435" spans="1:14" x14ac:dyDescent="0.25">
      <c r="A435" t="s">
        <v>1245</v>
      </c>
      <c r="B435" t="s">
        <v>704</v>
      </c>
      <c r="C435" t="s">
        <v>581</v>
      </c>
      <c r="D435">
        <v>10</v>
      </c>
      <c r="E435">
        <v>90001</v>
      </c>
      <c r="F435" t="s">
        <v>1246</v>
      </c>
      <c r="G435">
        <f t="shared" si="25"/>
        <v>26</v>
      </c>
      <c r="H435" s="9">
        <f>IF(ISERROR(VLOOKUP(A435,Excel4!D:J,7,0)),0,VLOOKUP(A435,Excel4!D:J,7,0))</f>
        <v>0</v>
      </c>
      <c r="I435" s="15" t="s">
        <v>1777</v>
      </c>
      <c r="J435" s="15" t="s">
        <v>581</v>
      </c>
      <c r="K435" s="15" t="s">
        <v>61</v>
      </c>
      <c r="L435" s="18" t="str">
        <f t="shared" si="26"/>
        <v>MAHMUDİYE BELEDİYE BAŞKANLIĞI ESKİŞEHİR</v>
      </c>
      <c r="M435" s="18" t="str">
        <f t="shared" si="24"/>
        <v>MAHMUDİYE</v>
      </c>
    </row>
    <row r="436" spans="1:14" x14ac:dyDescent="0.25">
      <c r="A436" t="s">
        <v>1808</v>
      </c>
      <c r="B436" t="s">
        <v>704</v>
      </c>
      <c r="C436" t="s">
        <v>582</v>
      </c>
      <c r="D436">
        <v>10</v>
      </c>
      <c r="E436">
        <v>90001</v>
      </c>
      <c r="F436" t="s">
        <v>1840</v>
      </c>
      <c r="G436">
        <f t="shared" si="25"/>
        <v>26</v>
      </c>
      <c r="H436" s="9">
        <f>IF(ISERROR(VLOOKUP(A436,Excel4!D:J,7,0)),0,VLOOKUP(A436,Excel4!D:J,7,0))</f>
        <v>0</v>
      </c>
      <c r="I436" s="15" t="s">
        <v>1777</v>
      </c>
      <c r="J436" s="15" t="s">
        <v>582</v>
      </c>
      <c r="K436" s="15" t="s">
        <v>61</v>
      </c>
      <c r="L436" s="18" t="str">
        <f t="shared" si="26"/>
        <v>MİHALGAZİ BELEDİYE BAŞKANLIĞI ESKİŞEHİR</v>
      </c>
      <c r="M436" s="18" t="str">
        <f t="shared" si="24"/>
        <v>MİHALGAZİ</v>
      </c>
    </row>
    <row r="437" spans="1:14" x14ac:dyDescent="0.25">
      <c r="A437" t="s">
        <v>1247</v>
      </c>
      <c r="B437" t="s">
        <v>704</v>
      </c>
      <c r="C437" t="s">
        <v>583</v>
      </c>
      <c r="D437">
        <v>10</v>
      </c>
      <c r="E437">
        <v>90001</v>
      </c>
      <c r="F437" t="s">
        <v>1248</v>
      </c>
      <c r="G437">
        <f t="shared" si="25"/>
        <v>26</v>
      </c>
      <c r="H437" s="9">
        <f>IF(ISERROR(VLOOKUP(A437,Excel4!D:J,7,0)),0,VLOOKUP(A437,Excel4!D:J,7,0))</f>
        <v>0</v>
      </c>
      <c r="I437" s="15" t="s">
        <v>1777</v>
      </c>
      <c r="J437" s="15" t="s">
        <v>583</v>
      </c>
      <c r="K437" s="15" t="s">
        <v>61</v>
      </c>
      <c r="L437" s="18" t="str">
        <f t="shared" si="26"/>
        <v>SEYİTGAZİ BELEDİYE BAŞKANLIĞI ESKİŞEHİR</v>
      </c>
      <c r="M437" s="18" t="str">
        <f t="shared" si="24"/>
        <v>SEYİTGAZİ</v>
      </c>
    </row>
    <row r="438" spans="1:14" x14ac:dyDescent="0.25">
      <c r="A438" t="s">
        <v>1249</v>
      </c>
      <c r="B438" t="s">
        <v>2555</v>
      </c>
      <c r="C438" t="s">
        <v>446</v>
      </c>
      <c r="D438">
        <v>12</v>
      </c>
      <c r="E438">
        <v>90001</v>
      </c>
      <c r="F438" t="s">
        <v>1250</v>
      </c>
      <c r="G438">
        <f t="shared" si="25"/>
        <v>26</v>
      </c>
      <c r="H438" s="9">
        <f>IF(ISERROR(VLOOKUP(A438,Excel4!D:J,7,0)),0,VLOOKUP(A438,Excel4!D:J,7,0))</f>
        <v>0</v>
      </c>
      <c r="I438" s="15" t="s">
        <v>1777</v>
      </c>
      <c r="J438" s="15" t="s">
        <v>446</v>
      </c>
      <c r="K438" s="15" t="s">
        <v>61</v>
      </c>
      <c r="L438" s="18" t="str">
        <f t="shared" si="26"/>
        <v>SİVRİHİSAR BELEDİYE BAŞKANLIĞI ESKİŞEHİR</v>
      </c>
      <c r="M438" s="18" t="str">
        <f t="shared" si="24"/>
        <v>SİVRİHİSAR</v>
      </c>
    </row>
    <row r="439" spans="1:14" x14ac:dyDescent="0.25">
      <c r="A439" t="s">
        <v>1251</v>
      </c>
      <c r="B439" t="s">
        <v>2555</v>
      </c>
      <c r="C439" t="s">
        <v>584</v>
      </c>
      <c r="D439">
        <v>12</v>
      </c>
      <c r="E439">
        <v>90001</v>
      </c>
      <c r="F439" t="s">
        <v>1252</v>
      </c>
      <c r="G439">
        <f t="shared" si="25"/>
        <v>26</v>
      </c>
      <c r="H439" s="9">
        <f>IF(ISERROR(VLOOKUP(A439,Excel4!D:J,7,0)),0,VLOOKUP(A439,Excel4!D:J,7,0))</f>
        <v>0</v>
      </c>
      <c r="I439" s="15" t="s">
        <v>1777</v>
      </c>
      <c r="J439" s="15" t="s">
        <v>584</v>
      </c>
      <c r="K439" s="15" t="s">
        <v>62</v>
      </c>
      <c r="L439" s="18" t="str">
        <f t="shared" si="26"/>
        <v>ARABAN BELEDİYE BAŞKANLIĞI GAZİANTEP</v>
      </c>
      <c r="M439" s="18" t="str">
        <f t="shared" si="24"/>
        <v>ARABAN</v>
      </c>
    </row>
    <row r="440" spans="1:14" x14ac:dyDescent="0.25">
      <c r="A440" t="s">
        <v>1901</v>
      </c>
      <c r="B440" t="s">
        <v>699</v>
      </c>
      <c r="C440" t="s">
        <v>1767</v>
      </c>
      <c r="D440">
        <v>15</v>
      </c>
      <c r="E440">
        <v>90001</v>
      </c>
      <c r="F440" t="s">
        <v>399</v>
      </c>
      <c r="G440">
        <f t="shared" si="25"/>
        <v>26</v>
      </c>
      <c r="H440" s="9">
        <f>IF(ISERROR(VLOOKUP(A440,Excel4!D:J,7,0)),0,VLOOKUP(A440,Excel4!D:J,7,0))</f>
        <v>14821.83</v>
      </c>
      <c r="I440" s="15" t="s">
        <v>1777</v>
      </c>
      <c r="J440" s="15" t="s">
        <v>27</v>
      </c>
      <c r="K440" s="15" t="s">
        <v>61</v>
      </c>
      <c r="L440" s="18" t="str">
        <f t="shared" si="26"/>
        <v>ESKİŞEHİR BÜYÜKŞEHİR BELEDİYE BAŞKANLIĞI</v>
      </c>
      <c r="M440" s="18" t="str">
        <f t="shared" si="24"/>
        <v>ESKİŞEHİR BÜYÜKŞEHİR</v>
      </c>
      <c r="N440">
        <f>_xlfn.XLOOKUP(M440,[1]Sheet1!$A:$A,[1]Sheet1!$G:$G)</f>
        <v>0</v>
      </c>
    </row>
    <row r="441" spans="1:14" x14ac:dyDescent="0.25">
      <c r="A441" t="s">
        <v>1904</v>
      </c>
      <c r="B441" t="s">
        <v>704</v>
      </c>
      <c r="C441" t="s">
        <v>1866</v>
      </c>
      <c r="D441">
        <v>10</v>
      </c>
      <c r="E441">
        <v>90001</v>
      </c>
      <c r="F441" t="s">
        <v>1973</v>
      </c>
      <c r="G441">
        <f t="shared" si="25"/>
        <v>26</v>
      </c>
      <c r="H441" s="9">
        <f>IF(ISERROR(VLOOKUP(A441,Excel4!D:J,7,0)),0,VLOOKUP(A441,Excel4!D:J,7,0))</f>
        <v>0</v>
      </c>
      <c r="I441" s="15" t="s">
        <v>1777</v>
      </c>
      <c r="J441" s="15" t="s">
        <v>1866</v>
      </c>
      <c r="K441" s="15" t="s">
        <v>62</v>
      </c>
      <c r="L441" s="18" t="str">
        <f t="shared" si="26"/>
        <v>KARGAMIŞ BELEDİYE BAŞKANLIĞI GAZİANTEP</v>
      </c>
      <c r="M441" s="18" t="str">
        <f t="shared" si="24"/>
        <v>KARGAMIŞ</v>
      </c>
    </row>
    <row r="442" spans="1:14" x14ac:dyDescent="0.25">
      <c r="A442" t="s">
        <v>1672</v>
      </c>
      <c r="B442" t="s">
        <v>699</v>
      </c>
      <c r="C442" t="s">
        <v>447</v>
      </c>
      <c r="D442">
        <v>15</v>
      </c>
      <c r="E442">
        <v>90001</v>
      </c>
      <c r="F442" t="s">
        <v>1673</v>
      </c>
      <c r="G442">
        <f t="shared" si="25"/>
        <v>26</v>
      </c>
      <c r="H442" s="9">
        <f>IF(ISERROR(VLOOKUP(A442,Excel4!D:J,7,0)),0,VLOOKUP(A442,Excel4!D:J,7,0))</f>
        <v>0</v>
      </c>
      <c r="I442" s="15" t="s">
        <v>1777</v>
      </c>
      <c r="J442" s="15" t="s">
        <v>447</v>
      </c>
      <c r="K442" s="15" t="s">
        <v>62</v>
      </c>
      <c r="L442" s="18" t="str">
        <f t="shared" si="26"/>
        <v>NİZİP BELEDİYE BAŞKANLIĞI GAZİANTEP</v>
      </c>
      <c r="M442" s="18" t="str">
        <f t="shared" si="24"/>
        <v>NİZİP</v>
      </c>
    </row>
    <row r="443" spans="1:14" x14ac:dyDescent="0.25">
      <c r="A443" t="s">
        <v>1253</v>
      </c>
      <c r="B443" t="s">
        <v>704</v>
      </c>
      <c r="C443" t="s">
        <v>585</v>
      </c>
      <c r="D443">
        <v>10</v>
      </c>
      <c r="E443">
        <v>90001</v>
      </c>
      <c r="F443" t="s">
        <v>1254</v>
      </c>
      <c r="G443">
        <f t="shared" si="25"/>
        <v>26</v>
      </c>
      <c r="H443" s="9">
        <f>IF(ISERROR(VLOOKUP(A443,Excel4!D:J,7,0)),0,VLOOKUP(A443,Excel4!D:J,7,0))</f>
        <v>0</v>
      </c>
      <c r="I443" s="15" t="s">
        <v>1777</v>
      </c>
      <c r="J443" s="15" t="s">
        <v>585</v>
      </c>
      <c r="K443" s="15" t="s">
        <v>62</v>
      </c>
      <c r="L443" s="18" t="str">
        <f t="shared" si="26"/>
        <v>NURDAĞI BELEDİYE BAŞKANLIĞI GAZİANTEP</v>
      </c>
      <c r="M443" s="18" t="str">
        <f t="shared" si="24"/>
        <v>NURDAĞI</v>
      </c>
    </row>
    <row r="444" spans="1:14" x14ac:dyDescent="0.25">
      <c r="A444" t="s">
        <v>1255</v>
      </c>
      <c r="B444" t="s">
        <v>704</v>
      </c>
      <c r="C444" t="s">
        <v>448</v>
      </c>
      <c r="D444">
        <v>10</v>
      </c>
      <c r="E444">
        <v>90001</v>
      </c>
      <c r="F444" t="s">
        <v>1256</v>
      </c>
      <c r="G444">
        <f t="shared" si="25"/>
        <v>26</v>
      </c>
      <c r="H444" s="9">
        <f>IF(ISERROR(VLOOKUP(A444,Excel4!D:J,7,0)),0,VLOOKUP(A444,Excel4!D:J,7,0))</f>
        <v>0</v>
      </c>
      <c r="I444" s="15" t="s">
        <v>1777</v>
      </c>
      <c r="J444" s="15" t="s">
        <v>448</v>
      </c>
      <c r="K444" s="15" t="s">
        <v>62</v>
      </c>
      <c r="L444" s="18" t="str">
        <f t="shared" si="26"/>
        <v>OĞUZELİ BELEDİYE BAŞKANLIĞI GAZİANTEP</v>
      </c>
      <c r="M444" s="18" t="str">
        <f t="shared" si="24"/>
        <v>OĞUZELİ</v>
      </c>
    </row>
    <row r="445" spans="1:14" x14ac:dyDescent="0.25">
      <c r="A445" t="s">
        <v>1257</v>
      </c>
      <c r="B445" t="s">
        <v>704</v>
      </c>
      <c r="C445" t="s">
        <v>342</v>
      </c>
      <c r="D445">
        <v>10</v>
      </c>
      <c r="E445">
        <v>90001</v>
      </c>
      <c r="F445" t="s">
        <v>1258</v>
      </c>
      <c r="G445">
        <f t="shared" si="25"/>
        <v>26</v>
      </c>
      <c r="H445" s="9">
        <f>IF(ISERROR(VLOOKUP(A445,Excel4!D:J,7,0)),0,VLOOKUP(A445,Excel4!D:J,7,0))</f>
        <v>0</v>
      </c>
      <c r="I445" s="15" t="s">
        <v>1777</v>
      </c>
      <c r="J445" s="15" t="s">
        <v>342</v>
      </c>
      <c r="K445" s="15" t="s">
        <v>163</v>
      </c>
      <c r="L445" s="18" t="str">
        <f t="shared" si="26"/>
        <v>ALUCRA BELEDİYE BAŞKANLIĞI GİRESUN</v>
      </c>
      <c r="M445" s="18" t="str">
        <f t="shared" si="24"/>
        <v>ALUCRA</v>
      </c>
    </row>
    <row r="446" spans="1:14" x14ac:dyDescent="0.25">
      <c r="A446" t="s">
        <v>2755</v>
      </c>
      <c r="B446" t="s">
        <v>704</v>
      </c>
      <c r="C446" t="s">
        <v>95</v>
      </c>
      <c r="D446">
        <v>10</v>
      </c>
      <c r="E446">
        <v>90001</v>
      </c>
      <c r="F446" t="s">
        <v>2757</v>
      </c>
      <c r="G446">
        <f t="shared" si="25"/>
        <v>26</v>
      </c>
      <c r="H446" s="9">
        <f>IF(ISERROR(VLOOKUP(A446,Excel4!D:J,7,0)),0,VLOOKUP(A446,Excel4!D:J,7,0))</f>
        <v>0</v>
      </c>
      <c r="I446" s="15" t="s">
        <v>1777</v>
      </c>
      <c r="J446" s="15" t="s">
        <v>2698</v>
      </c>
      <c r="K446" s="15" t="s">
        <v>163</v>
      </c>
      <c r="L446" s="18" t="str">
        <f t="shared" si="26"/>
        <v>AYDINDERE BELEDİYE BAŞKANLIĞI GİRESUN</v>
      </c>
      <c r="M446" s="18" t="str">
        <f t="shared" si="24"/>
        <v>AYDINDERE</v>
      </c>
    </row>
    <row r="447" spans="1:14" x14ac:dyDescent="0.25">
      <c r="A447" t="s">
        <v>1905</v>
      </c>
      <c r="B447" t="s">
        <v>699</v>
      </c>
      <c r="C447" t="s">
        <v>63</v>
      </c>
      <c r="D447">
        <v>15</v>
      </c>
      <c r="E447">
        <v>90001</v>
      </c>
      <c r="F447" t="s">
        <v>400</v>
      </c>
      <c r="G447">
        <f t="shared" si="25"/>
        <v>26</v>
      </c>
      <c r="H447" s="9">
        <f>IF(ISERROR(VLOOKUP(A447,Excel4!D:J,7,0)),0,VLOOKUP(A447,Excel4!D:J,7,0))</f>
        <v>22361.759999999998</v>
      </c>
      <c r="I447" s="15" t="s">
        <v>1777</v>
      </c>
      <c r="J447" s="15" t="s">
        <v>27</v>
      </c>
      <c r="K447" s="15" t="s">
        <v>62</v>
      </c>
      <c r="L447" s="18" t="str">
        <f t="shared" si="26"/>
        <v>GAZİANTEP BÜYÜKŞEHİR BELEDİYE BAŞKANLIĞI</v>
      </c>
      <c r="M447" s="18" t="str">
        <f t="shared" si="24"/>
        <v>GAZİANTEP BÜYÜKŞEHİR</v>
      </c>
      <c r="N447">
        <f>_xlfn.XLOOKUP(M447,[1]Sheet1!$A:$A,[1]Sheet1!$G:$G)</f>
        <v>0</v>
      </c>
    </row>
    <row r="448" spans="1:14" x14ac:dyDescent="0.25">
      <c r="A448" t="s">
        <v>1259</v>
      </c>
      <c r="B448" t="s">
        <v>704</v>
      </c>
      <c r="C448" t="s">
        <v>449</v>
      </c>
      <c r="D448">
        <v>10</v>
      </c>
      <c r="E448">
        <v>90001</v>
      </c>
      <c r="F448" t="s">
        <v>1260</v>
      </c>
      <c r="G448">
        <f t="shared" si="25"/>
        <v>26</v>
      </c>
      <c r="H448" s="9">
        <f>IF(ISERROR(VLOOKUP(A448,Excel4!D:J,7,0)),0,VLOOKUP(A448,Excel4!D:J,7,0))</f>
        <v>0</v>
      </c>
      <c r="I448" s="15" t="s">
        <v>1777</v>
      </c>
      <c r="J448" s="15" t="s">
        <v>449</v>
      </c>
      <c r="K448" s="15" t="s">
        <v>163</v>
      </c>
      <c r="L448" s="18" t="str">
        <f t="shared" si="26"/>
        <v>ÇAMOLUK BELEDİYE BAŞKANLIĞI GİRESUN</v>
      </c>
      <c r="M448" s="18" t="str">
        <f t="shared" si="24"/>
        <v>ÇAMOLUK</v>
      </c>
    </row>
    <row r="449" spans="1:14" x14ac:dyDescent="0.25">
      <c r="A449" t="s">
        <v>1261</v>
      </c>
      <c r="B449" t="s">
        <v>704</v>
      </c>
      <c r="C449" t="s">
        <v>586</v>
      </c>
      <c r="D449">
        <v>10</v>
      </c>
      <c r="E449">
        <v>90001</v>
      </c>
      <c r="F449" t="s">
        <v>1262</v>
      </c>
      <c r="G449">
        <f t="shared" si="25"/>
        <v>26</v>
      </c>
      <c r="H449" s="9">
        <f>IF(ISERROR(VLOOKUP(A449,Excel4!D:J,7,0)),0,VLOOKUP(A449,Excel4!D:J,7,0))</f>
        <v>0</v>
      </c>
      <c r="I449" s="15" t="s">
        <v>1777</v>
      </c>
      <c r="J449" s="15" t="s">
        <v>586</v>
      </c>
      <c r="K449" s="15" t="s">
        <v>163</v>
      </c>
      <c r="L449" s="18" t="str">
        <f t="shared" si="26"/>
        <v>ÇANAKÇI BELEDİYE BAŞKANLIĞI GİRESUN</v>
      </c>
      <c r="M449" s="18" t="str">
        <f t="shared" si="24"/>
        <v>ÇANAKÇI</v>
      </c>
    </row>
    <row r="450" spans="1:14" x14ac:dyDescent="0.25">
      <c r="A450" t="s">
        <v>2895</v>
      </c>
      <c r="B450" t="s">
        <v>2555</v>
      </c>
      <c r="C450" t="s">
        <v>318</v>
      </c>
      <c r="D450">
        <v>12</v>
      </c>
      <c r="E450">
        <v>90001</v>
      </c>
      <c r="F450" t="s">
        <v>2900</v>
      </c>
      <c r="G450">
        <f t="shared" si="25"/>
        <v>26</v>
      </c>
      <c r="H450" s="9">
        <f>IF(ISERROR(VLOOKUP(A450,Excel4!D:J,7,0)),0,VLOOKUP(A450,Excel4!D:J,7,0))</f>
        <v>0</v>
      </c>
      <c r="I450" s="15" t="s">
        <v>1777</v>
      </c>
      <c r="J450" s="15" t="s">
        <v>2889</v>
      </c>
      <c r="K450" s="15" t="s">
        <v>163</v>
      </c>
      <c r="L450" s="18" t="str">
        <f t="shared" si="26"/>
        <v>ÇAVUŞLU BELEDİYE BAŞKANLIĞI GİRESUN</v>
      </c>
      <c r="M450" s="18" t="str">
        <f t="shared" si="24"/>
        <v>ÇAVUŞLU</v>
      </c>
    </row>
    <row r="451" spans="1:14" x14ac:dyDescent="0.25">
      <c r="A451" t="s">
        <v>727</v>
      </c>
      <c r="B451" t="s">
        <v>704</v>
      </c>
      <c r="C451" t="s">
        <v>95</v>
      </c>
      <c r="D451">
        <v>10</v>
      </c>
      <c r="E451">
        <v>90001</v>
      </c>
      <c r="F451" t="s">
        <v>728</v>
      </c>
      <c r="G451">
        <f t="shared" si="25"/>
        <v>26</v>
      </c>
      <c r="H451" s="9">
        <f>IF(ISERROR(VLOOKUP(A451,Excel4!D:J,7,0)),0,VLOOKUP(A451,Excel4!D:J,7,0))</f>
        <v>428.03000000000003</v>
      </c>
      <c r="I451" s="15" t="s">
        <v>1777</v>
      </c>
      <c r="J451" s="15" t="s">
        <v>95</v>
      </c>
      <c r="K451" s="15" t="s">
        <v>163</v>
      </c>
      <c r="L451" s="18" t="str">
        <f t="shared" si="26"/>
        <v>BULANCAK BELEDİYE BAŞKANLIĞI GİRESUN</v>
      </c>
      <c r="M451" s="18" t="str">
        <f t="shared" si="24"/>
        <v>BULANCAK</v>
      </c>
      <c r="N451">
        <f>_xlfn.XLOOKUP(M451,[1]Sheet1!$A:$A,[1]Sheet1!$G:$G)</f>
        <v>0</v>
      </c>
    </row>
    <row r="452" spans="1:14" x14ac:dyDescent="0.25">
      <c r="A452" t="s">
        <v>2610</v>
      </c>
      <c r="B452" s="27" t="s">
        <v>704</v>
      </c>
      <c r="C452" s="19" t="s">
        <v>2600</v>
      </c>
      <c r="D452">
        <v>10</v>
      </c>
      <c r="E452">
        <v>90001</v>
      </c>
      <c r="F452" s="27" t="s">
        <v>2614</v>
      </c>
      <c r="G452">
        <f t="shared" si="25"/>
        <v>26</v>
      </c>
      <c r="H452" s="9">
        <f>IF(ISERROR(VLOOKUP(A452,Excel4!D:J,7,0)),0,VLOOKUP(A452,Excel4!D:J,7,0))</f>
        <v>0</v>
      </c>
      <c r="I452" s="15" t="s">
        <v>1777</v>
      </c>
      <c r="J452" s="20" t="s">
        <v>2600</v>
      </c>
      <c r="K452" s="15" t="s">
        <v>163</v>
      </c>
      <c r="L452" s="18" t="str">
        <f t="shared" si="26"/>
        <v>DOĞANKENT BELEDİYE BAŞKANLIĞI GİRESUN</v>
      </c>
      <c r="M452" s="18" t="str">
        <f t="shared" ref="M452:M515" si="27">IF(J452="MERKEZ",K452,IF(J452="BÜYÜKŞEHİR",K452&amp;" BÜYÜKŞEHİR",J452))</f>
        <v>DOĞANKENT</v>
      </c>
    </row>
    <row r="453" spans="1:14" x14ac:dyDescent="0.25">
      <c r="A453" t="s">
        <v>2722</v>
      </c>
      <c r="B453" s="19" t="s">
        <v>704</v>
      </c>
      <c r="C453" s="19" t="s">
        <v>163</v>
      </c>
      <c r="D453">
        <v>10</v>
      </c>
      <c r="E453">
        <v>90001</v>
      </c>
      <c r="F453" s="19" t="s">
        <v>2729</v>
      </c>
      <c r="G453">
        <f t="shared" si="25"/>
        <v>26</v>
      </c>
      <c r="H453" s="9">
        <f>IF(ISERROR(VLOOKUP(A453,Excel4!D:J,7,0)),0,VLOOKUP(A453,Excel4!D:J,7,0))</f>
        <v>0</v>
      </c>
      <c r="I453" s="15" t="s">
        <v>1777</v>
      </c>
      <c r="J453" s="20" t="s">
        <v>2716</v>
      </c>
      <c r="K453" s="15" t="s">
        <v>163</v>
      </c>
      <c r="L453" s="18" t="str">
        <f t="shared" si="26"/>
        <v>DUROĞLU BELEDİYE BAŞKANLIĞI GİRESUN</v>
      </c>
      <c r="M453" s="18" t="str">
        <f t="shared" si="27"/>
        <v>DUROĞLU</v>
      </c>
    </row>
    <row r="454" spans="1:14" x14ac:dyDescent="0.25">
      <c r="A454" t="s">
        <v>1263</v>
      </c>
      <c r="B454" t="s">
        <v>704</v>
      </c>
      <c r="C454" t="s">
        <v>587</v>
      </c>
      <c r="D454">
        <v>10</v>
      </c>
      <c r="E454">
        <v>90001</v>
      </c>
      <c r="F454" t="s">
        <v>1264</v>
      </c>
      <c r="G454">
        <f t="shared" si="25"/>
        <v>26</v>
      </c>
      <c r="H454" s="9">
        <f>IF(ISERROR(VLOOKUP(A454,Excel4!D:J,7,0)),0,VLOOKUP(A454,Excel4!D:J,7,0))</f>
        <v>99.73</v>
      </c>
      <c r="I454" s="15" t="s">
        <v>1777</v>
      </c>
      <c r="J454" s="15" t="s">
        <v>587</v>
      </c>
      <c r="K454" s="15" t="s">
        <v>163</v>
      </c>
      <c r="L454" s="18" t="str">
        <f t="shared" si="26"/>
        <v>DERELİ BELEDİYE BAŞKANLIĞI GİRESUN</v>
      </c>
      <c r="M454" s="18" t="str">
        <f t="shared" si="27"/>
        <v>DERELİ</v>
      </c>
    </row>
    <row r="455" spans="1:14" x14ac:dyDescent="0.25">
      <c r="A455" s="19" t="s">
        <v>2272</v>
      </c>
      <c r="B455" t="s">
        <v>2555</v>
      </c>
      <c r="C455" t="s">
        <v>2204</v>
      </c>
      <c r="D455">
        <v>12</v>
      </c>
      <c r="E455">
        <v>90001</v>
      </c>
      <c r="F455" t="s">
        <v>2467</v>
      </c>
      <c r="G455">
        <f t="shared" si="25"/>
        <v>26</v>
      </c>
      <c r="H455" s="9">
        <f>IF(ISERROR(VLOOKUP(A455,Excel4!D:J,7,0)),0,VLOOKUP(A455,Excel4!D:J,7,0))</f>
        <v>1278.5999999999999</v>
      </c>
      <c r="I455" s="15" t="s">
        <v>1777</v>
      </c>
      <c r="J455" s="20" t="s">
        <v>2204</v>
      </c>
      <c r="K455" s="15" t="s">
        <v>163</v>
      </c>
      <c r="L455" s="18" t="str">
        <f t="shared" si="26"/>
        <v>ESPİYE BELEDİYE BAŞKANLIĞI GİRESUN</v>
      </c>
      <c r="M455" s="18" t="str">
        <f t="shared" si="27"/>
        <v>ESPİYE</v>
      </c>
      <c r="N455">
        <f>_xlfn.XLOOKUP(M455,[1]Sheet1!$A:$A,[1]Sheet1!$G:$G)</f>
        <v>0</v>
      </c>
    </row>
    <row r="456" spans="1:14" x14ac:dyDescent="0.25">
      <c r="A456" t="s">
        <v>1265</v>
      </c>
      <c r="B456" t="s">
        <v>704</v>
      </c>
      <c r="C456" t="s">
        <v>588</v>
      </c>
      <c r="D456">
        <v>10</v>
      </c>
      <c r="E456">
        <v>90001</v>
      </c>
      <c r="F456" t="s">
        <v>1266</v>
      </c>
      <c r="G456">
        <f t="shared" si="25"/>
        <v>26</v>
      </c>
      <c r="H456" s="9">
        <f>IF(ISERROR(VLOOKUP(A456,Excel4!D:J,7,0)),0,VLOOKUP(A456,Excel4!D:J,7,0))</f>
        <v>0</v>
      </c>
      <c r="I456" s="15" t="s">
        <v>1777</v>
      </c>
      <c r="J456" s="15" t="s">
        <v>588</v>
      </c>
      <c r="K456" s="15" t="s">
        <v>163</v>
      </c>
      <c r="L456" s="18" t="str">
        <f t="shared" si="26"/>
        <v>EYNESİL BELEDİYE BAŞKANLIĞI GİRESUN</v>
      </c>
      <c r="M456" s="18" t="str">
        <f t="shared" si="27"/>
        <v>EYNESİL</v>
      </c>
      <c r="N456">
        <f>_xlfn.XLOOKUP(M456,[1]Sheet1!$A:$A,[1]Sheet1!$G:$G)</f>
        <v>0</v>
      </c>
    </row>
    <row r="457" spans="1:14" x14ac:dyDescent="0.25">
      <c r="A457" t="s">
        <v>2451</v>
      </c>
      <c r="B457" t="s">
        <v>704</v>
      </c>
      <c r="C457" t="s">
        <v>2398</v>
      </c>
      <c r="D457">
        <v>10</v>
      </c>
      <c r="E457">
        <v>90001</v>
      </c>
      <c r="F457" t="s">
        <v>2452</v>
      </c>
      <c r="G457">
        <f t="shared" si="25"/>
        <v>26</v>
      </c>
      <c r="H457" s="9">
        <f>IF(ISERROR(VLOOKUP(A457,Excel4!D:J,7,0)),0,VLOOKUP(A457,Excel4!D:J,7,0))</f>
        <v>51.45</v>
      </c>
      <c r="I457" s="15" t="s">
        <v>1777</v>
      </c>
      <c r="J457" s="15" t="s">
        <v>2398</v>
      </c>
      <c r="K457" s="15" t="s">
        <v>163</v>
      </c>
      <c r="L457" s="18" t="str">
        <f t="shared" si="26"/>
        <v>GÜCE BELEDİYE BAŞKANLIĞI GİRESUN</v>
      </c>
      <c r="M457" s="18" t="str">
        <f t="shared" si="27"/>
        <v>GÜCE</v>
      </c>
    </row>
    <row r="458" spans="1:14" x14ac:dyDescent="0.25">
      <c r="A458" t="s">
        <v>729</v>
      </c>
      <c r="B458" t="s">
        <v>2555</v>
      </c>
      <c r="C458" t="s">
        <v>318</v>
      </c>
      <c r="D458">
        <v>12</v>
      </c>
      <c r="E458">
        <v>90001</v>
      </c>
      <c r="F458" t="s">
        <v>730</v>
      </c>
      <c r="G458">
        <f t="shared" si="25"/>
        <v>26</v>
      </c>
      <c r="H458" s="9">
        <f>IF(ISERROR(VLOOKUP(A458,Excel4!D:J,7,0)),0,VLOOKUP(A458,Excel4!D:J,7,0))</f>
        <v>60.78</v>
      </c>
      <c r="I458" s="15" t="s">
        <v>1777</v>
      </c>
      <c r="J458" s="15" t="s">
        <v>318</v>
      </c>
      <c r="K458" s="15" t="s">
        <v>163</v>
      </c>
      <c r="L458" s="18" t="str">
        <f t="shared" si="26"/>
        <v>GÖRELE BELEDİYE BAŞKANLIĞI GİRESUN</v>
      </c>
      <c r="M458" s="18" t="str">
        <f t="shared" si="27"/>
        <v>GÖRELE</v>
      </c>
    </row>
    <row r="459" spans="1:14" x14ac:dyDescent="0.25">
      <c r="A459" t="s">
        <v>3140</v>
      </c>
      <c r="B459" t="s">
        <v>699</v>
      </c>
      <c r="C459" t="s">
        <v>163</v>
      </c>
      <c r="D459">
        <v>15</v>
      </c>
      <c r="E459">
        <v>90001</v>
      </c>
      <c r="F459" t="s">
        <v>3145</v>
      </c>
      <c r="G459">
        <f t="shared" si="25"/>
        <v>26</v>
      </c>
      <c r="H459" s="9">
        <f>IF(ISERROR(VLOOKUP(A459,Excel4!D:J,7,0)),0,VLOOKUP(A459,Excel4!D:J,7,0))</f>
        <v>0</v>
      </c>
      <c r="I459" s="15" t="s">
        <v>1777</v>
      </c>
      <c r="J459" s="15" t="s">
        <v>3028</v>
      </c>
      <c r="K459" s="15" t="s">
        <v>163</v>
      </c>
      <c r="L459" s="18" t="str">
        <f t="shared" si="26"/>
        <v>KOVANLIK BELEDİYE BAŞKANLIĞI GİRESUN</v>
      </c>
      <c r="M459" s="18" t="str">
        <f t="shared" si="27"/>
        <v>KOVANLIK</v>
      </c>
    </row>
    <row r="460" spans="1:14" x14ac:dyDescent="0.25">
      <c r="A460" t="s">
        <v>1267</v>
      </c>
      <c r="B460" t="s">
        <v>704</v>
      </c>
      <c r="C460" t="s">
        <v>450</v>
      </c>
      <c r="D460">
        <v>10</v>
      </c>
      <c r="E460">
        <v>90001</v>
      </c>
      <c r="F460" t="s">
        <v>1268</v>
      </c>
      <c r="G460">
        <f t="shared" si="25"/>
        <v>26</v>
      </c>
      <c r="H460" s="9">
        <f>IF(ISERROR(VLOOKUP(A460,Excel4!D:J,7,0)),0,VLOOKUP(A460,Excel4!D:J,7,0))</f>
        <v>8402.44</v>
      </c>
      <c r="I460" s="15" t="s">
        <v>1777</v>
      </c>
      <c r="J460" s="15" t="s">
        <v>450</v>
      </c>
      <c r="K460" s="15" t="s">
        <v>163</v>
      </c>
      <c r="L460" s="18" t="str">
        <f t="shared" si="26"/>
        <v>KEŞAP BELEDİYE BAŞKANLIĞI GİRESUN</v>
      </c>
      <c r="M460" s="18" t="str">
        <f t="shared" si="27"/>
        <v>KEŞAP</v>
      </c>
      <c r="N460">
        <f>_xlfn.XLOOKUP(M460,[1]Sheet1!$A:$A,[1]Sheet1!$G:$G)</f>
        <v>0</v>
      </c>
    </row>
    <row r="461" spans="1:14" x14ac:dyDescent="0.25">
      <c r="A461" t="s">
        <v>1269</v>
      </c>
      <c r="B461" t="s">
        <v>704</v>
      </c>
      <c r="C461" t="s">
        <v>34</v>
      </c>
      <c r="D461">
        <v>10</v>
      </c>
      <c r="E461">
        <v>90001</v>
      </c>
      <c r="F461" t="s">
        <v>1270</v>
      </c>
      <c r="G461">
        <f t="shared" si="25"/>
        <v>26</v>
      </c>
      <c r="H461" s="9">
        <f>IF(ISERROR(VLOOKUP(A461,Excel4!D:J,7,0)),0,VLOOKUP(A461,Excel4!D:J,7,0))</f>
        <v>3818.6400000000003</v>
      </c>
      <c r="I461" s="15" t="s">
        <v>1777</v>
      </c>
      <c r="J461" s="15" t="s">
        <v>34</v>
      </c>
      <c r="K461" s="15" t="s">
        <v>163</v>
      </c>
      <c r="L461" s="18" t="str">
        <f t="shared" si="26"/>
        <v>GİRESUN BELEDİYE BAŞKANLIĞI</v>
      </c>
      <c r="M461" s="18" t="str">
        <f t="shared" si="27"/>
        <v>GİRESUN</v>
      </c>
      <c r="N461" t="e">
        <f>_xlfn.XLOOKUP(M461,[1]Sheet1!$C:$C,[1]Sheet1!$G:$G)</f>
        <v>#N/A</v>
      </c>
    </row>
    <row r="462" spans="1:14" x14ac:dyDescent="0.25">
      <c r="A462" t="s">
        <v>2723</v>
      </c>
      <c r="B462" s="19" t="s">
        <v>704</v>
      </c>
      <c r="C462" s="19" t="s">
        <v>2204</v>
      </c>
      <c r="D462">
        <v>10</v>
      </c>
      <c r="E462">
        <v>90001</v>
      </c>
      <c r="F462" s="19" t="s">
        <v>2730</v>
      </c>
      <c r="G462">
        <f t="shared" si="25"/>
        <v>26</v>
      </c>
      <c r="H462" s="9">
        <f>IF(ISERROR(VLOOKUP(A462,Excel4!D:J,7,0)),0,VLOOKUP(A462,Excel4!D:J,7,0))</f>
        <v>0</v>
      </c>
      <c r="I462" s="15" t="s">
        <v>1777</v>
      </c>
      <c r="J462" s="20" t="s">
        <v>2717</v>
      </c>
      <c r="K462" s="15" t="s">
        <v>163</v>
      </c>
      <c r="L462" s="18" t="str">
        <f t="shared" si="26"/>
        <v>SOĞUKPINAR BELEDİYE BAŞKANLIĞI GİRESUN</v>
      </c>
      <c r="M462" s="18" t="str">
        <f t="shared" si="27"/>
        <v>SOĞUKPINAR</v>
      </c>
    </row>
    <row r="463" spans="1:14" x14ac:dyDescent="0.25">
      <c r="A463" t="s">
        <v>1271</v>
      </c>
      <c r="B463" t="s">
        <v>704</v>
      </c>
      <c r="C463" t="s">
        <v>365</v>
      </c>
      <c r="D463">
        <v>10</v>
      </c>
      <c r="E463">
        <v>90001</v>
      </c>
      <c r="F463" t="s">
        <v>1272</v>
      </c>
      <c r="G463">
        <f t="shared" si="25"/>
        <v>26</v>
      </c>
      <c r="H463" s="9">
        <f>IF(ISERROR(VLOOKUP(A463,Excel4!D:J,7,0)),0,VLOOKUP(A463,Excel4!D:J,7,0))</f>
        <v>0</v>
      </c>
      <c r="I463" s="15" t="s">
        <v>1777</v>
      </c>
      <c r="J463" s="15" t="s">
        <v>365</v>
      </c>
      <c r="K463" s="15" t="s">
        <v>163</v>
      </c>
      <c r="L463" s="18" t="str">
        <f t="shared" si="26"/>
        <v>PİRAZİZ BELEDİYE BAŞKANLIĞI GİRESUN</v>
      </c>
      <c r="M463" s="18" t="str">
        <f t="shared" si="27"/>
        <v>PİRAZİZ</v>
      </c>
      <c r="N463">
        <f>_xlfn.XLOOKUP(M463,[1]Sheet1!$A:$A,[1]Sheet1!$G:$G)</f>
        <v>0</v>
      </c>
    </row>
    <row r="464" spans="1:14" x14ac:dyDescent="0.25">
      <c r="A464" t="s">
        <v>2009</v>
      </c>
      <c r="B464" t="s">
        <v>2555</v>
      </c>
      <c r="C464" t="s">
        <v>1998</v>
      </c>
      <c r="D464">
        <v>12</v>
      </c>
      <c r="E464">
        <v>90001</v>
      </c>
      <c r="F464" t="s">
        <v>2043</v>
      </c>
      <c r="G464">
        <f t="shared" si="25"/>
        <v>26</v>
      </c>
      <c r="H464" s="9">
        <f>IF(ISERROR(VLOOKUP(A464,Excel4!D:J,7,0)),0,VLOOKUP(A464,Excel4!D:J,7,0))</f>
        <v>82.550000000000011</v>
      </c>
      <c r="I464" s="15" t="s">
        <v>1777</v>
      </c>
      <c r="J464" s="15" t="s">
        <v>1998</v>
      </c>
      <c r="K464" s="15" t="s">
        <v>163</v>
      </c>
      <c r="L464" s="18" t="str">
        <f t="shared" si="26"/>
        <v>ŞEBİNKARAHİSAR BELEDİYE BAŞKANLIĞI GİRESUN</v>
      </c>
      <c r="M464" s="18" t="str">
        <f t="shared" si="27"/>
        <v>ŞEBİNKARAHİSAR</v>
      </c>
    </row>
    <row r="465" spans="1:14" x14ac:dyDescent="0.25">
      <c r="A465" t="s">
        <v>1273</v>
      </c>
      <c r="B465" t="s">
        <v>704</v>
      </c>
      <c r="C465" t="s">
        <v>589</v>
      </c>
      <c r="D465">
        <v>10</v>
      </c>
      <c r="E465">
        <v>90001</v>
      </c>
      <c r="F465" t="s">
        <v>1274</v>
      </c>
      <c r="G465">
        <f t="shared" si="25"/>
        <v>26</v>
      </c>
      <c r="H465" s="9">
        <f>IF(ISERROR(VLOOKUP(A465,Excel4!D:J,7,0)),0,VLOOKUP(A465,Excel4!D:J,7,0))</f>
        <v>0</v>
      </c>
      <c r="I465" s="15" t="s">
        <v>1777</v>
      </c>
      <c r="J465" s="15" t="s">
        <v>589</v>
      </c>
      <c r="K465" s="15" t="s">
        <v>163</v>
      </c>
      <c r="L465" s="18" t="str">
        <f t="shared" si="26"/>
        <v>ÜÇTEPE BELEDİYE BAŞKANLIĞI GİRESUN</v>
      </c>
      <c r="M465" s="18" t="str">
        <f t="shared" si="27"/>
        <v>ÜÇTEPE</v>
      </c>
    </row>
    <row r="466" spans="1:14" x14ac:dyDescent="0.25">
      <c r="A466" t="s">
        <v>731</v>
      </c>
      <c r="B466" t="s">
        <v>704</v>
      </c>
      <c r="C466" t="s">
        <v>319</v>
      </c>
      <c r="D466">
        <v>10</v>
      </c>
      <c r="E466">
        <v>90001</v>
      </c>
      <c r="F466" t="s">
        <v>732</v>
      </c>
      <c r="G466">
        <f t="shared" si="25"/>
        <v>26</v>
      </c>
      <c r="H466" s="9">
        <f>IF(ISERROR(VLOOKUP(A466,Excel4!D:J,7,0)),0,VLOOKUP(A466,Excel4!D:J,7,0))</f>
        <v>0</v>
      </c>
      <c r="I466" s="15" t="s">
        <v>1777</v>
      </c>
      <c r="J466" s="15" t="s">
        <v>319</v>
      </c>
      <c r="K466" s="15" t="s">
        <v>163</v>
      </c>
      <c r="L466" s="18" t="str">
        <f t="shared" si="26"/>
        <v>TİREBOLU BELEDİYE BAŞKANLIĞI GİRESUN</v>
      </c>
      <c r="M466" s="18" t="str">
        <f t="shared" si="27"/>
        <v>TİREBOLU</v>
      </c>
      <c r="N466">
        <f>_xlfn.XLOOKUP(M466,[1]Sheet1!$A:$A,[1]Sheet1!$G:$G)</f>
        <v>0</v>
      </c>
    </row>
    <row r="467" spans="1:14" x14ac:dyDescent="0.25">
      <c r="A467" t="s">
        <v>2453</v>
      </c>
      <c r="B467" t="s">
        <v>704</v>
      </c>
      <c r="C467" t="s">
        <v>587</v>
      </c>
      <c r="D467">
        <v>10</v>
      </c>
      <c r="E467">
        <v>90001</v>
      </c>
      <c r="F467" t="s">
        <v>2454</v>
      </c>
      <c r="G467">
        <f t="shared" si="25"/>
        <v>26</v>
      </c>
      <c r="H467" s="9">
        <f>IF(ISERROR(VLOOKUP(A467,Excel4!D:J,7,0)),0,VLOOKUP(A467,Excel4!D:J,7,0))</f>
        <v>0</v>
      </c>
      <c r="I467" s="15" t="s">
        <v>1777</v>
      </c>
      <c r="J467" s="15" t="s">
        <v>2177</v>
      </c>
      <c r="K467" s="15" t="s">
        <v>163</v>
      </c>
      <c r="L467" s="18" t="str">
        <f t="shared" si="26"/>
        <v>YAVUZKEMAL BELEDİYE BAŞKANLIĞI GİRESUN</v>
      </c>
      <c r="M467" s="18" t="str">
        <f t="shared" si="27"/>
        <v>YAVUZKEMAL</v>
      </c>
    </row>
    <row r="468" spans="1:14" x14ac:dyDescent="0.25">
      <c r="A468" t="s">
        <v>3141</v>
      </c>
      <c r="B468" t="s">
        <v>704</v>
      </c>
      <c r="C468" t="s">
        <v>34</v>
      </c>
      <c r="D468">
        <v>10</v>
      </c>
      <c r="E468">
        <v>90001</v>
      </c>
      <c r="F468" t="s">
        <v>2817</v>
      </c>
      <c r="G468">
        <f t="shared" ref="G468:G475" si="28">LEN(F468)</f>
        <v>26</v>
      </c>
      <c r="H468" s="9">
        <f>IF(ISERROR(VLOOKUP(A468,Excel4!D:J,7,0)),0,VLOOKUP(A468,Excel4!D:J,7,0))</f>
        <v>0</v>
      </c>
      <c r="I468" s="15" t="s">
        <v>1777</v>
      </c>
      <c r="J468" s="15" t="s">
        <v>3133</v>
      </c>
      <c r="K468" s="15" t="s">
        <v>247</v>
      </c>
      <c r="L468" s="18" t="str">
        <f t="shared" si="26"/>
        <v>ARZULARKABAKÖY BELEDİYE BAŞKANLIĞI GÜMÜŞHANE</v>
      </c>
      <c r="M468" s="18" t="str">
        <f t="shared" si="27"/>
        <v>ARZULARKABAKÖY</v>
      </c>
    </row>
    <row r="469" spans="1:14" x14ac:dyDescent="0.25">
      <c r="A469" s="19" t="s">
        <v>2340</v>
      </c>
      <c r="B469" s="19" t="s">
        <v>704</v>
      </c>
      <c r="C469" s="19" t="s">
        <v>2261</v>
      </c>
      <c r="D469">
        <v>10</v>
      </c>
      <c r="E469">
        <v>90001</v>
      </c>
      <c r="F469" s="19" t="s">
        <v>2994</v>
      </c>
      <c r="G469">
        <f t="shared" si="28"/>
        <v>26</v>
      </c>
      <c r="H469" s="9">
        <f>IF(ISERROR(VLOOKUP(A469,Excel4!D:J,7,0)),0,VLOOKUP(A469,Excel4!D:J,7,0))</f>
        <v>0</v>
      </c>
      <c r="I469" s="15" t="s">
        <v>1777</v>
      </c>
      <c r="J469" s="20" t="s">
        <v>2261</v>
      </c>
      <c r="K469" s="20" t="s">
        <v>163</v>
      </c>
      <c r="L469" s="18" t="str">
        <f t="shared" si="26"/>
        <v>YAĞLIDERE BELEDİYE BAŞKANLIĞI GİRESUN</v>
      </c>
      <c r="M469" s="18" t="str">
        <f t="shared" si="27"/>
        <v>YAĞLIDERE</v>
      </c>
      <c r="N469">
        <f>_xlfn.XLOOKUP(M469,[1]Sheet1!$A:$A,[1]Sheet1!$G:$G)</f>
        <v>0</v>
      </c>
    </row>
    <row r="470" spans="1:14" x14ac:dyDescent="0.25">
      <c r="A470" t="s">
        <v>2341</v>
      </c>
      <c r="B470" s="19" t="s">
        <v>704</v>
      </c>
      <c r="C470" s="19" t="s">
        <v>2250</v>
      </c>
      <c r="D470">
        <v>10</v>
      </c>
      <c r="E470">
        <v>90001</v>
      </c>
      <c r="F470" t="s">
        <v>2359</v>
      </c>
      <c r="G470">
        <f t="shared" si="28"/>
        <v>26</v>
      </c>
      <c r="H470" s="9">
        <f>IF(ISERROR(VLOOKUP(A470,Excel4!D:J,7,0)),0,VLOOKUP(A470,Excel4!D:J,7,0))</f>
        <v>131.34</v>
      </c>
      <c r="I470" s="15" t="s">
        <v>1777</v>
      </c>
      <c r="J470" s="20" t="s">
        <v>2250</v>
      </c>
      <c r="K470" s="20" t="s">
        <v>247</v>
      </c>
      <c r="L470" s="18" t="str">
        <f t="shared" si="26"/>
        <v>KELKİT BELEDİYE BAŞKANLIĞI GÜMÜŞHANE</v>
      </c>
      <c r="M470" s="18" t="str">
        <f t="shared" si="27"/>
        <v>KELKİT</v>
      </c>
    </row>
    <row r="471" spans="1:14" x14ac:dyDescent="0.25">
      <c r="A471" t="s">
        <v>2686</v>
      </c>
      <c r="B471" t="s">
        <v>704</v>
      </c>
      <c r="C471" t="s">
        <v>2678</v>
      </c>
      <c r="D471">
        <v>10</v>
      </c>
      <c r="E471">
        <v>90001</v>
      </c>
      <c r="F471" t="s">
        <v>2689</v>
      </c>
      <c r="G471">
        <f t="shared" si="28"/>
        <v>26</v>
      </c>
      <c r="H471" s="9">
        <f>IF(ISERROR(VLOOKUP(A471,Excel4!D:J,7,0)),0,VLOOKUP(A471,Excel4!D:J,7,0))</f>
        <v>0</v>
      </c>
      <c r="I471" s="15" t="s">
        <v>1777</v>
      </c>
      <c r="J471" s="15" t="s">
        <v>2678</v>
      </c>
      <c r="K471" s="15" t="s">
        <v>247</v>
      </c>
      <c r="L471" s="18" t="str">
        <f t="shared" si="26"/>
        <v>KÖSE BELEDİYE BAŞKANLIĞI GÜMÜŞHANE</v>
      </c>
      <c r="M471" s="18" t="str">
        <f t="shared" si="27"/>
        <v>KÖSE</v>
      </c>
    </row>
    <row r="472" spans="1:14" x14ac:dyDescent="0.25">
      <c r="A472" t="s">
        <v>2342</v>
      </c>
      <c r="B472" t="s">
        <v>704</v>
      </c>
      <c r="C472" t="s">
        <v>2205</v>
      </c>
      <c r="D472">
        <v>10</v>
      </c>
      <c r="E472">
        <v>90001</v>
      </c>
      <c r="F472" t="s">
        <v>2385</v>
      </c>
      <c r="G472">
        <f t="shared" si="28"/>
        <v>26</v>
      </c>
      <c r="H472" s="9">
        <f>IF(ISERROR(VLOOKUP(A472,Excel4!D:J,7,0)),0,VLOOKUP(A472,Excel4!D:J,7,0))</f>
        <v>0</v>
      </c>
      <c r="I472" s="15" t="s">
        <v>1777</v>
      </c>
      <c r="J472" s="15" t="s">
        <v>2205</v>
      </c>
      <c r="K472" s="15" t="s">
        <v>247</v>
      </c>
      <c r="L472" s="18" t="str">
        <f t="shared" si="26"/>
        <v>KÜRTÜN BELEDİYE BAŞKANLIĞI GÜMÜŞHANE</v>
      </c>
      <c r="M472" s="18" t="str">
        <f t="shared" si="27"/>
        <v>KÜRTÜN</v>
      </c>
    </row>
    <row r="473" spans="1:14" x14ac:dyDescent="0.25">
      <c r="A473" t="s">
        <v>1275</v>
      </c>
      <c r="B473" t="s">
        <v>704</v>
      </c>
      <c r="C473" t="s">
        <v>343</v>
      </c>
      <c r="D473">
        <v>10</v>
      </c>
      <c r="E473">
        <v>90001</v>
      </c>
      <c r="F473" t="s">
        <v>1276</v>
      </c>
      <c r="G473">
        <f t="shared" si="28"/>
        <v>26</v>
      </c>
      <c r="H473" s="9">
        <f>IF(ISERROR(VLOOKUP(A473,Excel4!D:J,7,0)),0,VLOOKUP(A473,Excel4!D:J,7,0))</f>
        <v>0</v>
      </c>
      <c r="I473" s="15" t="s">
        <v>1777</v>
      </c>
      <c r="J473" s="15" t="s">
        <v>343</v>
      </c>
      <c r="K473" s="15" t="s">
        <v>247</v>
      </c>
      <c r="L473" s="18" t="str">
        <f t="shared" si="26"/>
        <v>ŞİRAN BELEDİYE BAŞKANLIĞI GÜMÜŞHANE</v>
      </c>
      <c r="M473" s="18" t="str">
        <f t="shared" si="27"/>
        <v>ŞİRAN</v>
      </c>
    </row>
    <row r="474" spans="1:14" x14ac:dyDescent="0.25">
      <c r="A474" t="s">
        <v>2664</v>
      </c>
      <c r="B474" t="s">
        <v>704</v>
      </c>
      <c r="C474" t="s">
        <v>2643</v>
      </c>
      <c r="D474">
        <v>10</v>
      </c>
      <c r="E474">
        <v>90001</v>
      </c>
      <c r="F474" t="s">
        <v>2670</v>
      </c>
      <c r="G474">
        <f t="shared" si="28"/>
        <v>26</v>
      </c>
      <c r="H474" s="9">
        <f>IF(ISERROR(VLOOKUP(A474,Excel4!D:J,7,0)),0,VLOOKUP(A474,Excel4!D:J,7,0))</f>
        <v>0</v>
      </c>
      <c r="I474" s="15" t="s">
        <v>1777</v>
      </c>
      <c r="J474" s="15" t="s">
        <v>2643</v>
      </c>
      <c r="K474" s="15" t="s">
        <v>247</v>
      </c>
      <c r="L474" s="18" t="str">
        <f t="shared" si="26"/>
        <v>TORUL BELEDİYE BAŞKANLIĞI GÜMÜŞHANE</v>
      </c>
      <c r="M474" s="18" t="str">
        <f t="shared" si="27"/>
        <v>TORUL</v>
      </c>
      <c r="N474">
        <f>_xlfn.XLOOKUP(M474,[1]Sheet1!$A:$A,[1]Sheet1!$G:$G)</f>
        <v>0</v>
      </c>
    </row>
    <row r="475" spans="1:14" x14ac:dyDescent="0.25">
      <c r="A475" t="s">
        <v>2136</v>
      </c>
      <c r="B475" t="s">
        <v>2555</v>
      </c>
      <c r="C475" t="s">
        <v>590</v>
      </c>
      <c r="D475">
        <v>12</v>
      </c>
      <c r="E475">
        <v>90001</v>
      </c>
      <c r="F475" t="s">
        <v>2151</v>
      </c>
      <c r="G475">
        <f t="shared" si="28"/>
        <v>26</v>
      </c>
      <c r="H475" s="9">
        <f>IF(ISERROR(VLOOKUP(A475,Excel4!D:J,7,0)),0,VLOOKUP(A475,Excel4!D:J,7,0))</f>
        <v>0</v>
      </c>
      <c r="I475" s="15" t="s">
        <v>1777</v>
      </c>
      <c r="J475" s="15" t="s">
        <v>2128</v>
      </c>
      <c r="K475" s="15" t="s">
        <v>344</v>
      </c>
      <c r="L475" s="18" t="str">
        <f t="shared" si="26"/>
        <v>BÜYÜKÇİFTLİK BELEDİYE BAŞKANLIĞI HAKKARİ</v>
      </c>
      <c r="M475" s="18" t="str">
        <f t="shared" si="27"/>
        <v>BÜYÜKÇİFTLİK</v>
      </c>
    </row>
    <row r="476" spans="1:14" x14ac:dyDescent="0.25">
      <c r="A476" t="s">
        <v>2677</v>
      </c>
      <c r="H476" s="9">
        <f>IF(ISERROR(VLOOKUP(A476,Excel4!D:J,7,0)),0,VLOOKUP(A476,Excel4!D:J,7,0))</f>
        <v>0</v>
      </c>
      <c r="I476" s="15" t="s">
        <v>1777</v>
      </c>
      <c r="J476" s="20" t="s">
        <v>2659</v>
      </c>
      <c r="K476" s="15" t="s">
        <v>344</v>
      </c>
      <c r="L476" s="18" t="str">
        <f t="shared" si="26"/>
        <v>DURANKAYA BELEDİYE BAŞKANLIĞI HAKKARİ</v>
      </c>
      <c r="M476" s="18" t="str">
        <f t="shared" si="27"/>
        <v>DURANKAYA</v>
      </c>
    </row>
    <row r="477" spans="1:14" x14ac:dyDescent="0.25">
      <c r="A477" t="s">
        <v>2974</v>
      </c>
      <c r="F477" s="19"/>
      <c r="G477">
        <f t="shared" ref="G477:G515" si="29">LEN(F477)</f>
        <v>0</v>
      </c>
      <c r="H477" s="9">
        <f>IF(ISERROR(VLOOKUP(A477,Excel4!D:J,7,0)),0,VLOOKUP(A477,Excel4!D:J,7,0))</f>
        <v>0</v>
      </c>
      <c r="I477" s="15" t="s">
        <v>1777</v>
      </c>
      <c r="J477" s="20" t="s">
        <v>2973</v>
      </c>
      <c r="K477" s="15" t="s">
        <v>344</v>
      </c>
      <c r="L477" s="18" t="str">
        <f t="shared" si="26"/>
        <v>ESENDERE BELEDİYE BAŞKANLIĞI HAKKARİ</v>
      </c>
      <c r="M477" s="18" t="str">
        <f t="shared" si="27"/>
        <v>ESENDERE</v>
      </c>
    </row>
    <row r="478" spans="1:14" x14ac:dyDescent="0.25">
      <c r="A478" t="s">
        <v>1676</v>
      </c>
      <c r="B478" t="s">
        <v>2555</v>
      </c>
      <c r="C478" t="s">
        <v>34</v>
      </c>
      <c r="D478">
        <v>12</v>
      </c>
      <c r="E478">
        <v>90001</v>
      </c>
      <c r="F478" t="s">
        <v>421</v>
      </c>
      <c r="G478">
        <f t="shared" si="29"/>
        <v>26</v>
      </c>
      <c r="H478" s="9">
        <f>IF(ISERROR(VLOOKUP(A478,Excel4!D:J,7,0)),0,VLOOKUP(A478,Excel4!D:J,7,0))</f>
        <v>0</v>
      </c>
      <c r="I478" s="15" t="s">
        <v>1777</v>
      </c>
      <c r="J478" s="15" t="s">
        <v>34</v>
      </c>
      <c r="K478" s="15" t="s">
        <v>344</v>
      </c>
      <c r="L478" s="18" t="str">
        <f t="shared" si="26"/>
        <v>HAKKARİ BELEDİYE BAŞKANLIĞI</v>
      </c>
      <c r="M478" s="18" t="str">
        <f t="shared" si="27"/>
        <v>HAKKARİ</v>
      </c>
    </row>
    <row r="479" spans="1:14" x14ac:dyDescent="0.25">
      <c r="A479" t="s">
        <v>2630</v>
      </c>
      <c r="B479" s="19" t="s">
        <v>704</v>
      </c>
      <c r="C479" s="19" t="s">
        <v>2622</v>
      </c>
      <c r="D479">
        <v>10</v>
      </c>
      <c r="E479">
        <v>90001</v>
      </c>
      <c r="F479" s="19" t="s">
        <v>2638</v>
      </c>
      <c r="G479">
        <f t="shared" si="29"/>
        <v>26</v>
      </c>
      <c r="H479" s="9">
        <f>IF(ISERROR(VLOOKUP(A479,Excel4!D:J,7,0)),0,VLOOKUP(A479,Excel4!D:J,7,0))</f>
        <v>0</v>
      </c>
      <c r="I479" s="15" t="s">
        <v>1777</v>
      </c>
      <c r="J479" s="15" t="s">
        <v>2622</v>
      </c>
      <c r="K479" s="15" t="s">
        <v>344</v>
      </c>
      <c r="L479" s="18" t="str">
        <f t="shared" si="26"/>
        <v>ŞEMDİNLİ BELEDİYE BAŞKANLIĞI HAKKARİ</v>
      </c>
      <c r="M479" s="18" t="str">
        <f t="shared" si="27"/>
        <v>ŞEMDİNLİ</v>
      </c>
    </row>
    <row r="480" spans="1:14" x14ac:dyDescent="0.25">
      <c r="A480" t="s">
        <v>1677</v>
      </c>
      <c r="B480" t="s">
        <v>2555</v>
      </c>
      <c r="C480" t="s">
        <v>590</v>
      </c>
      <c r="D480">
        <v>12</v>
      </c>
      <c r="E480">
        <v>90001</v>
      </c>
      <c r="F480" t="s">
        <v>1678</v>
      </c>
      <c r="G480">
        <f t="shared" si="29"/>
        <v>26</v>
      </c>
      <c r="H480" s="9">
        <f>IF(ISERROR(VLOOKUP(A480,Excel4!D:J,7,0)),0,VLOOKUP(A480,Excel4!D:J,7,0))</f>
        <v>0</v>
      </c>
      <c r="I480" s="15" t="s">
        <v>1777</v>
      </c>
      <c r="J480" s="15" t="s">
        <v>590</v>
      </c>
      <c r="K480" s="15" t="s">
        <v>344</v>
      </c>
      <c r="L480" s="18" t="str">
        <f t="shared" si="26"/>
        <v>YÜKSEKOVA BELEDİYE BAŞKANLIĞI HAKKARİ</v>
      </c>
      <c r="M480" s="18" t="str">
        <f t="shared" si="27"/>
        <v>YÜKSEKOVA</v>
      </c>
      <c r="N480">
        <f>_xlfn.XLOOKUP(M480,[1]Sheet1!$A:$A,[1]Sheet1!$G:$G)</f>
        <v>0</v>
      </c>
    </row>
    <row r="481" spans="1:14" x14ac:dyDescent="0.25">
      <c r="A481" t="s">
        <v>733</v>
      </c>
      <c r="B481" t="s">
        <v>704</v>
      </c>
      <c r="C481" t="s">
        <v>591</v>
      </c>
      <c r="D481">
        <v>10</v>
      </c>
      <c r="E481">
        <v>90001</v>
      </c>
      <c r="F481" t="s">
        <v>734</v>
      </c>
      <c r="G481">
        <f t="shared" si="29"/>
        <v>26</v>
      </c>
      <c r="H481" s="9">
        <f>IF(ISERROR(VLOOKUP(A481,Excel4!D:J,7,0)),0,VLOOKUP(A481,Excel4!D:J,7,0))</f>
        <v>0</v>
      </c>
      <c r="I481" s="15" t="s">
        <v>1777</v>
      </c>
      <c r="J481" s="15" t="s">
        <v>591</v>
      </c>
      <c r="K481" s="15" t="s">
        <v>65</v>
      </c>
      <c r="L481" s="18" t="str">
        <f t="shared" si="26"/>
        <v>ALTINÖZÜ BELEDİYE BAŞKANLIĞI HATAY</v>
      </c>
      <c r="M481" s="18" t="str">
        <f t="shared" si="27"/>
        <v>ALTINÖZÜ</v>
      </c>
    </row>
    <row r="482" spans="1:14" x14ac:dyDescent="0.25">
      <c r="A482" t="s">
        <v>1679</v>
      </c>
      <c r="B482" t="s">
        <v>2555</v>
      </c>
      <c r="C482" t="s">
        <v>234</v>
      </c>
      <c r="D482">
        <v>12</v>
      </c>
      <c r="E482">
        <v>90001</v>
      </c>
      <c r="F482" t="s">
        <v>1680</v>
      </c>
      <c r="G482">
        <f t="shared" si="29"/>
        <v>26</v>
      </c>
      <c r="H482" s="9">
        <f>IF(ISERROR(VLOOKUP(A482,Excel4!D:J,7,0)),0,VLOOKUP(A482,Excel4!D:J,7,0))</f>
        <v>0</v>
      </c>
      <c r="I482" s="15" t="s">
        <v>1777</v>
      </c>
      <c r="J482" s="15" t="s">
        <v>234</v>
      </c>
      <c r="K482" s="15" t="s">
        <v>65</v>
      </c>
      <c r="L482" s="18" t="str">
        <f t="shared" si="26"/>
        <v>BELEN BELEDİYE BAŞKANLIĞI HATAY</v>
      </c>
      <c r="M482" s="18" t="str">
        <f t="shared" si="27"/>
        <v>BELEN</v>
      </c>
    </row>
    <row r="483" spans="1:14" x14ac:dyDescent="0.25">
      <c r="A483" t="s">
        <v>1674</v>
      </c>
      <c r="B483" t="s">
        <v>699</v>
      </c>
      <c r="C483" t="s">
        <v>34</v>
      </c>
      <c r="D483">
        <v>15</v>
      </c>
      <c r="E483">
        <v>90001</v>
      </c>
      <c r="F483" t="s">
        <v>1675</v>
      </c>
      <c r="G483">
        <f t="shared" si="29"/>
        <v>26</v>
      </c>
      <c r="H483" s="9">
        <f>IF(ISERROR(VLOOKUP(A483,Excel4!D:J,7,0)),0,VLOOKUP(A483,Excel4!D:J,7,0))</f>
        <v>222.01</v>
      </c>
      <c r="I483" s="15" t="s">
        <v>1777</v>
      </c>
      <c r="J483" s="15" t="s">
        <v>34</v>
      </c>
      <c r="K483" s="15" t="s">
        <v>247</v>
      </c>
      <c r="L483" s="18" t="str">
        <f t="shared" si="26"/>
        <v>GÜMÜŞHANE BELEDİYE BAŞKANLIĞI</v>
      </c>
      <c r="M483" s="18" t="str">
        <f t="shared" si="27"/>
        <v>GÜMÜŞHANE</v>
      </c>
      <c r="N483" t="e">
        <f>_xlfn.XLOOKUP(M483,[1]Sheet1!$C:$C,[1]Sheet1!$G:$G)</f>
        <v>#N/A</v>
      </c>
    </row>
    <row r="484" spans="1:14" x14ac:dyDescent="0.25">
      <c r="A484" t="s">
        <v>1277</v>
      </c>
      <c r="B484" t="s">
        <v>704</v>
      </c>
      <c r="C484" t="s">
        <v>17</v>
      </c>
      <c r="D484">
        <v>10</v>
      </c>
      <c r="E484">
        <v>90001</v>
      </c>
      <c r="F484" t="s">
        <v>1278</v>
      </c>
      <c r="G484">
        <f t="shared" si="29"/>
        <v>26</v>
      </c>
      <c r="H484" s="9">
        <f>IF(ISERROR(VLOOKUP(A484,Excel4!D:J,7,0)),0,VLOOKUP(A484,Excel4!D:J,7,0))</f>
        <v>0</v>
      </c>
      <c r="I484" s="15" t="s">
        <v>1777</v>
      </c>
      <c r="J484" s="15" t="s">
        <v>17</v>
      </c>
      <c r="K484" s="15" t="s">
        <v>65</v>
      </c>
      <c r="L484" s="18" t="str">
        <f t="shared" ref="L484:L547" si="30">IF(J484="MERKEZ",K484&amp;" "&amp;I484,IF(J484="BÜYÜKŞEHİR",K484&amp;" "&amp;J484&amp;" "&amp;I484,J484&amp;" "&amp;I484&amp;" "&amp;K484))</f>
        <v>DÖRTYOL BELEDİYE BAŞKANLIĞI HATAY</v>
      </c>
      <c r="M484" s="18" t="str">
        <f t="shared" si="27"/>
        <v>DÖRTYOL</v>
      </c>
    </row>
    <row r="485" spans="1:14" x14ac:dyDescent="0.25">
      <c r="A485" t="s">
        <v>1279</v>
      </c>
      <c r="B485" t="s">
        <v>704</v>
      </c>
      <c r="C485" t="s">
        <v>366</v>
      </c>
      <c r="D485">
        <v>10</v>
      </c>
      <c r="E485">
        <v>90001</v>
      </c>
      <c r="F485" t="s">
        <v>1280</v>
      </c>
      <c r="G485">
        <f t="shared" si="29"/>
        <v>26</v>
      </c>
      <c r="H485" s="9">
        <f>IF(ISERROR(VLOOKUP(A485,Excel4!D:J,7,0)),0,VLOOKUP(A485,Excel4!D:J,7,0))</f>
        <v>0</v>
      </c>
      <c r="I485" s="15" t="s">
        <v>1777</v>
      </c>
      <c r="J485" s="15" t="s">
        <v>366</v>
      </c>
      <c r="K485" s="15" t="s">
        <v>65</v>
      </c>
      <c r="L485" s="18" t="str">
        <f t="shared" si="30"/>
        <v>ERZİN BELEDİYE BAŞKANLIĞI HATAY</v>
      </c>
      <c r="M485" s="18" t="str">
        <f t="shared" si="27"/>
        <v>ERZİN</v>
      </c>
    </row>
    <row r="486" spans="1:14" x14ac:dyDescent="0.25">
      <c r="A486" t="s">
        <v>1681</v>
      </c>
      <c r="B486" t="s">
        <v>2555</v>
      </c>
      <c r="C486" t="s">
        <v>64</v>
      </c>
      <c r="D486">
        <v>12</v>
      </c>
      <c r="E486">
        <v>90001</v>
      </c>
      <c r="F486" t="s">
        <v>401</v>
      </c>
      <c r="G486">
        <f t="shared" si="29"/>
        <v>26</v>
      </c>
      <c r="H486" s="9">
        <f>IF(ISERROR(VLOOKUP(A486,Excel4!D:J,7,0)),0,VLOOKUP(A486,Excel4!D:J,7,0))</f>
        <v>0</v>
      </c>
      <c r="I486" s="15" t="s">
        <v>1777</v>
      </c>
      <c r="J486" s="15" t="s">
        <v>64</v>
      </c>
      <c r="K486" s="15" t="s">
        <v>65</v>
      </c>
      <c r="L486" s="18" t="str">
        <f t="shared" si="30"/>
        <v>İSKENDERUN BELEDİYE BAŞKANLIĞI HATAY</v>
      </c>
      <c r="M486" s="18" t="str">
        <f t="shared" si="27"/>
        <v>İSKENDERUN</v>
      </c>
    </row>
    <row r="487" spans="1:14" x14ac:dyDescent="0.25">
      <c r="A487" t="s">
        <v>735</v>
      </c>
      <c r="B487" t="s">
        <v>2555</v>
      </c>
      <c r="C487" t="s">
        <v>64</v>
      </c>
      <c r="D487">
        <v>12</v>
      </c>
      <c r="E487">
        <v>90001</v>
      </c>
      <c r="F487" t="s">
        <v>736</v>
      </c>
      <c r="G487">
        <f t="shared" si="29"/>
        <v>26</v>
      </c>
      <c r="H487" s="9">
        <f>IF(ISERROR(VLOOKUP(A487,Excel4!D:J,7,0)),0,VLOOKUP(A487,Excel4!D:J,7,0))</f>
        <v>0</v>
      </c>
      <c r="I487" s="15" t="s">
        <v>1777</v>
      </c>
      <c r="J487" s="15" t="s">
        <v>48</v>
      </c>
      <c r="K487" s="15" t="s">
        <v>65</v>
      </c>
      <c r="L487" s="18" t="str">
        <f t="shared" si="30"/>
        <v>KARAAĞAÇ BELEDİYE BAŞKANLIĞI HATAY</v>
      </c>
      <c r="M487" s="18" t="str">
        <f t="shared" si="27"/>
        <v>KARAAĞAÇ</v>
      </c>
    </row>
    <row r="488" spans="1:14" x14ac:dyDescent="0.25">
      <c r="A488" t="s">
        <v>1682</v>
      </c>
      <c r="B488" t="s">
        <v>699</v>
      </c>
      <c r="C488" t="s">
        <v>367</v>
      </c>
      <c r="D488">
        <v>15</v>
      </c>
      <c r="E488">
        <v>90001</v>
      </c>
      <c r="F488" t="s">
        <v>402</v>
      </c>
      <c r="G488">
        <f t="shared" si="29"/>
        <v>26</v>
      </c>
      <c r="H488" s="9">
        <f>IF(ISERROR(VLOOKUP(A488,Excel4!D:J,7,0)),0,VLOOKUP(A488,Excel4!D:J,7,0))</f>
        <v>0</v>
      </c>
      <c r="I488" s="15" t="s">
        <v>1777</v>
      </c>
      <c r="J488" s="15" t="s">
        <v>367</v>
      </c>
      <c r="K488" s="15" t="s">
        <v>65</v>
      </c>
      <c r="L488" s="18" t="str">
        <f t="shared" si="30"/>
        <v>KIRIKHAN BELEDİYE BAŞKANLIĞI HATAY</v>
      </c>
      <c r="M488" s="18" t="str">
        <f t="shared" si="27"/>
        <v>KIRIKHAN</v>
      </c>
    </row>
    <row r="489" spans="1:14" x14ac:dyDescent="0.25">
      <c r="A489" t="s">
        <v>1281</v>
      </c>
      <c r="B489" t="s">
        <v>704</v>
      </c>
      <c r="C489" t="s">
        <v>592</v>
      </c>
      <c r="D489">
        <v>10</v>
      </c>
      <c r="E489">
        <v>90001</v>
      </c>
      <c r="F489" t="s">
        <v>1282</v>
      </c>
      <c r="G489">
        <f t="shared" si="29"/>
        <v>26</v>
      </c>
      <c r="H489" s="9">
        <f>IF(ISERROR(VLOOKUP(A489,Excel4!D:J,7,0)),0,VLOOKUP(A489,Excel4!D:J,7,0))</f>
        <v>0</v>
      </c>
      <c r="I489" s="15" t="s">
        <v>1777</v>
      </c>
      <c r="J489" s="15" t="s">
        <v>592</v>
      </c>
      <c r="K489" s="15" t="s">
        <v>65</v>
      </c>
      <c r="L489" s="18" t="str">
        <f t="shared" si="30"/>
        <v>KUMLU BELEDİYE BAŞKANLIĞI HATAY</v>
      </c>
      <c r="M489" s="18" t="str">
        <f t="shared" si="27"/>
        <v>KUMLU</v>
      </c>
    </row>
    <row r="490" spans="1:14" x14ac:dyDescent="0.25">
      <c r="A490" t="s">
        <v>1932</v>
      </c>
      <c r="B490" t="s">
        <v>2555</v>
      </c>
      <c r="C490" t="s">
        <v>651</v>
      </c>
      <c r="D490">
        <v>12</v>
      </c>
      <c r="E490">
        <v>90001</v>
      </c>
      <c r="F490" t="s">
        <v>1981</v>
      </c>
      <c r="G490">
        <f t="shared" si="29"/>
        <v>26</v>
      </c>
      <c r="H490" s="9">
        <f>IF(ISERROR(VLOOKUP(A490,Excel4!D:J,7,0)),0,VLOOKUP(A490,Excel4!D:J,7,0))</f>
        <v>0</v>
      </c>
      <c r="I490" s="15" t="s">
        <v>1777</v>
      </c>
      <c r="J490" s="15" t="s">
        <v>1868</v>
      </c>
      <c r="K490" s="15" t="s">
        <v>65</v>
      </c>
      <c r="L490" s="18" t="str">
        <f t="shared" si="30"/>
        <v>MAŞUKLU BELEDİYE BAŞKANLIĞI HATAY</v>
      </c>
      <c r="M490" s="18" t="str">
        <f t="shared" si="27"/>
        <v>MAŞUKLU</v>
      </c>
    </row>
    <row r="491" spans="1:14" x14ac:dyDescent="0.25">
      <c r="A491" t="s">
        <v>1283</v>
      </c>
      <c r="B491" t="s">
        <v>704</v>
      </c>
      <c r="C491" t="s">
        <v>368</v>
      </c>
      <c r="D491">
        <v>10</v>
      </c>
      <c r="E491">
        <v>90001</v>
      </c>
      <c r="F491" t="s">
        <v>1284</v>
      </c>
      <c r="G491">
        <f t="shared" si="29"/>
        <v>26</v>
      </c>
      <c r="H491" s="9">
        <f>IF(ISERROR(VLOOKUP(A491,Excel4!D:J,7,0)),0,VLOOKUP(A491,Excel4!D:J,7,0))</f>
        <v>0</v>
      </c>
      <c r="I491" s="15" t="s">
        <v>1777</v>
      </c>
      <c r="J491" s="15" t="s">
        <v>368</v>
      </c>
      <c r="K491" s="15" t="s">
        <v>65</v>
      </c>
      <c r="L491" s="18" t="str">
        <f t="shared" si="30"/>
        <v>NARDÜZÜ BELEDİYE BAŞKANLIĞI HATAY</v>
      </c>
      <c r="M491" s="18" t="str">
        <f t="shared" si="27"/>
        <v>NARDÜZÜ</v>
      </c>
    </row>
    <row r="492" spans="1:14" x14ac:dyDescent="0.25">
      <c r="A492" t="s">
        <v>1918</v>
      </c>
      <c r="B492" t="s">
        <v>704</v>
      </c>
      <c r="C492" t="s">
        <v>1776</v>
      </c>
      <c r="D492">
        <v>10</v>
      </c>
      <c r="E492">
        <v>90001</v>
      </c>
      <c r="F492" t="s">
        <v>1982</v>
      </c>
      <c r="G492">
        <f t="shared" si="29"/>
        <v>26</v>
      </c>
      <c r="H492" s="9">
        <f>IF(ISERROR(VLOOKUP(A492,Excel4!D:J,7,0)),0,VLOOKUP(A492,Excel4!D:J,7,0))</f>
        <v>0</v>
      </c>
      <c r="I492" s="15" t="s">
        <v>1777</v>
      </c>
      <c r="J492" s="15" t="s">
        <v>1869</v>
      </c>
      <c r="K492" s="15" t="s">
        <v>65</v>
      </c>
      <c r="L492" s="18" t="str">
        <f t="shared" si="30"/>
        <v>NARLICA BELEDİYE BAŞKANLIĞI HATAY</v>
      </c>
      <c r="M492" s="18" t="str">
        <f t="shared" si="27"/>
        <v>NARLICA</v>
      </c>
    </row>
    <row r="493" spans="1:14" x14ac:dyDescent="0.25">
      <c r="A493" t="s">
        <v>1936</v>
      </c>
      <c r="B493" t="s">
        <v>2555</v>
      </c>
      <c r="C493" t="s">
        <v>1870</v>
      </c>
      <c r="D493">
        <v>12</v>
      </c>
      <c r="E493">
        <v>90001</v>
      </c>
      <c r="F493" t="s">
        <v>1985</v>
      </c>
      <c r="G493">
        <f t="shared" si="29"/>
        <v>26</v>
      </c>
      <c r="H493" s="9">
        <f>IF(ISERROR(VLOOKUP(A493,Excel4!D:J,7,0)),0,VLOOKUP(A493,Excel4!D:J,7,0))</f>
        <v>0</v>
      </c>
      <c r="I493" s="15" t="s">
        <v>1777</v>
      </c>
      <c r="J493" s="15" t="s">
        <v>1870</v>
      </c>
      <c r="K493" s="15" t="s">
        <v>65</v>
      </c>
      <c r="L493" s="18" t="str">
        <f t="shared" si="30"/>
        <v>PAYAS BELEDİYE BAŞKANLIĞI HATAY</v>
      </c>
      <c r="M493" s="18" t="str">
        <f t="shared" si="27"/>
        <v>PAYAS</v>
      </c>
    </row>
    <row r="494" spans="1:14" x14ac:dyDescent="0.25">
      <c r="A494" t="s">
        <v>1683</v>
      </c>
      <c r="B494" t="s">
        <v>2555</v>
      </c>
      <c r="C494" t="s">
        <v>320</v>
      </c>
      <c r="D494">
        <v>12</v>
      </c>
      <c r="E494">
        <v>90001</v>
      </c>
      <c r="F494" t="s">
        <v>484</v>
      </c>
      <c r="G494">
        <f t="shared" si="29"/>
        <v>26</v>
      </c>
      <c r="H494" s="9">
        <f>IF(ISERROR(VLOOKUP(A494,Excel4!D:J,7,0)),0,VLOOKUP(A494,Excel4!D:J,7,0))</f>
        <v>0</v>
      </c>
      <c r="I494" s="15" t="s">
        <v>1777</v>
      </c>
      <c r="J494" s="15" t="s">
        <v>320</v>
      </c>
      <c r="K494" s="15" t="s">
        <v>65</v>
      </c>
      <c r="L494" s="18" t="str">
        <f t="shared" si="30"/>
        <v>REYHANLI BELEDİYE BAŞKANLIĞI HATAY</v>
      </c>
      <c r="M494" s="18" t="str">
        <f t="shared" si="27"/>
        <v>REYHANLI</v>
      </c>
    </row>
    <row r="495" spans="1:14" x14ac:dyDescent="0.25">
      <c r="A495" t="s">
        <v>1684</v>
      </c>
      <c r="B495" t="s">
        <v>2555</v>
      </c>
      <c r="C495" t="s">
        <v>593</v>
      </c>
      <c r="D495">
        <v>12</v>
      </c>
      <c r="E495">
        <v>90001</v>
      </c>
      <c r="F495" t="s">
        <v>1685</v>
      </c>
      <c r="G495">
        <f t="shared" si="29"/>
        <v>26</v>
      </c>
      <c r="H495" s="9">
        <f>IF(ISERROR(VLOOKUP(A495,Excel4!D:J,7,0)),0,VLOOKUP(A495,Excel4!D:J,7,0))</f>
        <v>0</v>
      </c>
      <c r="I495" s="15" t="s">
        <v>1777</v>
      </c>
      <c r="J495" s="15" t="s">
        <v>593</v>
      </c>
      <c r="K495" s="15" t="s">
        <v>65</v>
      </c>
      <c r="L495" s="18" t="str">
        <f t="shared" si="30"/>
        <v>SAMANDAĞ BELEDİYE BAŞKANLIĞI HATAY</v>
      </c>
      <c r="M495" s="18" t="str">
        <f t="shared" si="27"/>
        <v>SAMANDAĞ</v>
      </c>
    </row>
    <row r="496" spans="1:14" x14ac:dyDescent="0.25">
      <c r="A496" t="s">
        <v>2536</v>
      </c>
      <c r="B496" t="s">
        <v>704</v>
      </c>
      <c r="C496" t="s">
        <v>2527</v>
      </c>
      <c r="D496">
        <v>10</v>
      </c>
      <c r="E496">
        <v>90001</v>
      </c>
      <c r="F496" t="s">
        <v>2559</v>
      </c>
      <c r="G496">
        <f t="shared" si="29"/>
        <v>26</v>
      </c>
      <c r="H496" s="9">
        <f>IF(ISERROR(VLOOKUP(A496,Excel4!D:J,7,0)),0,VLOOKUP(A496,Excel4!D:J,7,0))</f>
        <v>0</v>
      </c>
      <c r="I496" s="15" t="s">
        <v>1777</v>
      </c>
      <c r="J496" s="20" t="s">
        <v>2527</v>
      </c>
      <c r="K496" s="15" t="s">
        <v>239</v>
      </c>
      <c r="L496" s="18" t="str">
        <f t="shared" si="30"/>
        <v>ARALIK BELEDİYE BAŞKANLIĞI IĞDIR</v>
      </c>
      <c r="M496" s="18" t="str">
        <f t="shared" si="27"/>
        <v>ARALIK</v>
      </c>
      <c r="N496">
        <f>_xlfn.XLOOKUP(M496,[1]Sheet1!$A:$A,[1]Sheet1!$G:$G)</f>
        <v>0</v>
      </c>
    </row>
    <row r="497" spans="1:14" x14ac:dyDescent="0.25">
      <c r="A497" t="s">
        <v>2908</v>
      </c>
      <c r="B497" t="s">
        <v>699</v>
      </c>
      <c r="C497" t="s">
        <v>239</v>
      </c>
      <c r="D497">
        <v>15</v>
      </c>
      <c r="E497">
        <v>90001</v>
      </c>
      <c r="F497" t="s">
        <v>2909</v>
      </c>
      <c r="G497">
        <f t="shared" si="29"/>
        <v>26</v>
      </c>
      <c r="H497" s="9">
        <f>IF(ISERROR(VLOOKUP(A497,Excel4!D:J,7,0)),0,VLOOKUP(A497,Excel4!D:J,7,0))</f>
        <v>0</v>
      </c>
      <c r="I497" s="15" t="s">
        <v>1777</v>
      </c>
      <c r="J497" s="15" t="s">
        <v>2903</v>
      </c>
      <c r="K497" s="15" t="s">
        <v>239</v>
      </c>
      <c r="L497" s="18" t="str">
        <f t="shared" si="30"/>
        <v>HALFELİ BELEDİYE BAŞKANLIĞI IĞDIR</v>
      </c>
      <c r="M497" s="18" t="str">
        <f t="shared" si="27"/>
        <v>HALFELİ</v>
      </c>
    </row>
    <row r="498" spans="1:14" x14ac:dyDescent="0.25">
      <c r="A498" t="s">
        <v>1285</v>
      </c>
      <c r="B498" t="s">
        <v>704</v>
      </c>
      <c r="C498" t="s">
        <v>594</v>
      </c>
      <c r="D498">
        <v>10</v>
      </c>
      <c r="E498">
        <v>90001</v>
      </c>
      <c r="F498" t="s">
        <v>1286</v>
      </c>
      <c r="G498">
        <f t="shared" si="29"/>
        <v>26</v>
      </c>
      <c r="H498" s="9">
        <f>IF(ISERROR(VLOOKUP(A498,Excel4!D:J,7,0)),0,VLOOKUP(A498,Excel4!D:J,7,0))</f>
        <v>0</v>
      </c>
      <c r="I498" s="15" t="s">
        <v>1777</v>
      </c>
      <c r="J498" s="15" t="s">
        <v>594</v>
      </c>
      <c r="K498" s="15" t="s">
        <v>239</v>
      </c>
      <c r="L498" s="18" t="str">
        <f t="shared" si="30"/>
        <v>KARAKOYUNLU BELEDİYE BAŞKANLIĞI IĞDIR</v>
      </c>
      <c r="M498" s="18" t="str">
        <f t="shared" si="27"/>
        <v>KARAKOYUNLU</v>
      </c>
    </row>
    <row r="499" spans="1:14" x14ac:dyDescent="0.25">
      <c r="A499" t="s">
        <v>2010</v>
      </c>
      <c r="B499" t="s">
        <v>2555</v>
      </c>
      <c r="C499" t="s">
        <v>239</v>
      </c>
      <c r="D499">
        <v>12</v>
      </c>
      <c r="E499">
        <v>90001</v>
      </c>
      <c r="F499" t="s">
        <v>2948</v>
      </c>
      <c r="G499">
        <f t="shared" si="29"/>
        <v>26</v>
      </c>
      <c r="H499" s="9">
        <f>IF(ISERROR(VLOOKUP(A499,Excel4!D:J,7,0)),0,VLOOKUP(A499,Excel4!D:J,7,0))</f>
        <v>0</v>
      </c>
      <c r="I499" s="15" t="s">
        <v>1777</v>
      </c>
      <c r="J499" s="15" t="s">
        <v>1999</v>
      </c>
      <c r="K499" s="15" t="s">
        <v>239</v>
      </c>
      <c r="L499" s="18" t="str">
        <f t="shared" si="30"/>
        <v>MELEKLİ BELEDİYE BAŞKANLIĞI IĞDIR</v>
      </c>
      <c r="M499" s="18" t="str">
        <f t="shared" si="27"/>
        <v>MELEKLİ</v>
      </c>
    </row>
    <row r="500" spans="1:14" x14ac:dyDescent="0.25">
      <c r="A500" t="s">
        <v>2028</v>
      </c>
      <c r="B500" t="s">
        <v>704</v>
      </c>
      <c r="C500" t="s">
        <v>1776</v>
      </c>
      <c r="D500">
        <v>10</v>
      </c>
      <c r="E500">
        <v>90001</v>
      </c>
      <c r="F500" t="s">
        <v>1991</v>
      </c>
      <c r="G500">
        <f t="shared" si="29"/>
        <v>26</v>
      </c>
      <c r="H500" s="9">
        <f>IF(ISERROR(VLOOKUP(A500,Excel4!D:J,7,0)),0,VLOOKUP(A500,Excel4!D:J,7,0))</f>
        <v>17019.819999999996</v>
      </c>
      <c r="I500" s="15" t="s">
        <v>1777</v>
      </c>
      <c r="J500" s="15" t="s">
        <v>27</v>
      </c>
      <c r="K500" s="15" t="s">
        <v>65</v>
      </c>
      <c r="L500" s="18" t="str">
        <f t="shared" si="30"/>
        <v>HATAY BÜYÜKŞEHİR BELEDİYE BAŞKANLIĞI</v>
      </c>
      <c r="M500" s="18" t="str">
        <f t="shared" si="27"/>
        <v>HATAY BÜYÜKŞEHİR</v>
      </c>
      <c r="N500">
        <f>_xlfn.XLOOKUP(M500,[1]Sheet1!$A:$A,[1]Sheet1!$G:$G)</f>
        <v>0</v>
      </c>
    </row>
    <row r="501" spans="1:14" x14ac:dyDescent="0.25">
      <c r="A501" t="s">
        <v>1289</v>
      </c>
      <c r="B501" t="s">
        <v>704</v>
      </c>
      <c r="C501" t="s">
        <v>595</v>
      </c>
      <c r="D501">
        <v>10</v>
      </c>
      <c r="E501">
        <v>90001</v>
      </c>
      <c r="F501" t="s">
        <v>1290</v>
      </c>
      <c r="G501">
        <f t="shared" si="29"/>
        <v>26</v>
      </c>
      <c r="H501" s="9">
        <f>IF(ISERROR(VLOOKUP(A501,Excel4!D:J,7,0)),0,VLOOKUP(A501,Excel4!D:J,7,0))</f>
        <v>0</v>
      </c>
      <c r="I501" s="15" t="s">
        <v>1777</v>
      </c>
      <c r="J501" s="15" t="s">
        <v>595</v>
      </c>
      <c r="K501" s="15" t="s">
        <v>239</v>
      </c>
      <c r="L501" s="18" t="str">
        <f t="shared" si="30"/>
        <v>TUZLUCA BELEDİYE BAŞKANLIĞI IĞDIR</v>
      </c>
      <c r="M501" s="18" t="str">
        <f t="shared" si="27"/>
        <v>TUZLUCA</v>
      </c>
    </row>
    <row r="502" spans="1:14" x14ac:dyDescent="0.25">
      <c r="A502" t="s">
        <v>2463</v>
      </c>
      <c r="B502" t="s">
        <v>704</v>
      </c>
      <c r="C502" t="s">
        <v>267</v>
      </c>
      <c r="D502">
        <v>10</v>
      </c>
      <c r="E502">
        <v>90001</v>
      </c>
      <c r="F502" t="s">
        <v>2464</v>
      </c>
      <c r="G502">
        <f t="shared" si="29"/>
        <v>26</v>
      </c>
      <c r="H502" s="9">
        <f>IF(ISERROR(VLOOKUP(A502,Excel4!D:J,7,0)),0,VLOOKUP(A502,Excel4!D:J,7,0))</f>
        <v>22.28</v>
      </c>
      <c r="I502" s="15" t="s">
        <v>1777</v>
      </c>
      <c r="J502" s="15" t="s">
        <v>267</v>
      </c>
      <c r="K502" s="15" t="s">
        <v>66</v>
      </c>
      <c r="L502" s="18" t="str">
        <f t="shared" si="30"/>
        <v>AKSU BELEDİYE BAŞKANLIĞI ISPARTA</v>
      </c>
      <c r="M502" s="18" t="str">
        <f t="shared" si="27"/>
        <v>AKSU</v>
      </c>
    </row>
    <row r="503" spans="1:14" x14ac:dyDescent="0.25">
      <c r="A503" t="s">
        <v>2459</v>
      </c>
      <c r="B503" t="s">
        <v>704</v>
      </c>
      <c r="C503" t="s">
        <v>2231</v>
      </c>
      <c r="D503">
        <v>10</v>
      </c>
      <c r="E503">
        <v>90001</v>
      </c>
      <c r="F503" t="s">
        <v>2460</v>
      </c>
      <c r="G503">
        <f t="shared" si="29"/>
        <v>26</v>
      </c>
      <c r="H503" s="9">
        <f>IF(ISERROR(VLOOKUP(A503,Excel4!D:J,7,0)),0,VLOOKUP(A503,Excel4!D:J,7,0))</f>
        <v>264.77</v>
      </c>
      <c r="I503" s="15" t="s">
        <v>1777</v>
      </c>
      <c r="J503" s="15" t="s">
        <v>2231</v>
      </c>
      <c r="K503" s="15" t="s">
        <v>66</v>
      </c>
      <c r="L503" s="18" t="str">
        <f t="shared" si="30"/>
        <v>ATABEY BELEDİYE BAŞKANLIĞI ISPARTA</v>
      </c>
      <c r="M503" s="18" t="str">
        <f t="shared" si="27"/>
        <v>ATABEY</v>
      </c>
      <c r="N503">
        <f>_xlfn.XLOOKUP(M503,[1]Sheet1!$A:$A,[1]Sheet1!$G:$G)</f>
        <v>0</v>
      </c>
    </row>
    <row r="504" spans="1:14" x14ac:dyDescent="0.25">
      <c r="A504" t="s">
        <v>2465</v>
      </c>
      <c r="B504" t="s">
        <v>704</v>
      </c>
      <c r="C504" t="s">
        <v>331</v>
      </c>
      <c r="D504">
        <v>10</v>
      </c>
      <c r="E504">
        <v>90001</v>
      </c>
      <c r="F504" t="s">
        <v>2466</v>
      </c>
      <c r="G504">
        <f t="shared" si="29"/>
        <v>26</v>
      </c>
      <c r="H504" s="9">
        <f>IF(ISERROR(VLOOKUP(A504,Excel4!D:J,7,0)),0,VLOOKUP(A504,Excel4!D:J,7,0))</f>
        <v>0</v>
      </c>
      <c r="I504" s="15" t="s">
        <v>1777</v>
      </c>
      <c r="J504" s="15" t="s">
        <v>2409</v>
      </c>
      <c r="K504" s="15" t="s">
        <v>66</v>
      </c>
      <c r="L504" s="18" t="str">
        <f t="shared" si="30"/>
        <v>BÜYÜKKABACA BELEDİYE BAŞKANLIĞI ISPARTA</v>
      </c>
      <c r="M504" s="18" t="str">
        <f t="shared" si="27"/>
        <v>BÜYÜKKABACA</v>
      </c>
    </row>
    <row r="505" spans="1:14" x14ac:dyDescent="0.25">
      <c r="A505" t="s">
        <v>3336</v>
      </c>
      <c r="B505" t="s">
        <v>704</v>
      </c>
      <c r="C505" t="s">
        <v>260</v>
      </c>
      <c r="D505">
        <v>10</v>
      </c>
      <c r="E505">
        <v>90001</v>
      </c>
      <c r="F505" t="s">
        <v>3348</v>
      </c>
      <c r="G505">
        <f t="shared" si="29"/>
        <v>26</v>
      </c>
      <c r="H505" s="9">
        <f>IF(ISERROR(VLOOKUP(A505,Excel4!D:J,7,0)),0,VLOOKUP(A505,Excel4!D:J,7,0))</f>
        <v>0</v>
      </c>
      <c r="I505" s="15" t="s">
        <v>1777</v>
      </c>
      <c r="J505" s="15" t="s">
        <v>3080</v>
      </c>
      <c r="K505" s="15" t="s">
        <v>66</v>
      </c>
      <c r="L505" s="18" t="str">
        <f t="shared" si="30"/>
        <v>ÇARIKSARAYLAR BELEDİYE BAŞKANLIĞI ISPARTA</v>
      </c>
      <c r="M505" s="18" t="str">
        <f t="shared" si="27"/>
        <v>ÇARIKSARAYLAR</v>
      </c>
    </row>
    <row r="506" spans="1:14" x14ac:dyDescent="0.25">
      <c r="A506" t="s">
        <v>2727</v>
      </c>
      <c r="B506" s="19" t="s">
        <v>704</v>
      </c>
      <c r="C506" s="19" t="s">
        <v>2732</v>
      </c>
      <c r="D506">
        <v>10</v>
      </c>
      <c r="E506">
        <v>90001</v>
      </c>
      <c r="F506" s="19" t="s">
        <v>2731</v>
      </c>
      <c r="G506">
        <f t="shared" si="29"/>
        <v>26</v>
      </c>
      <c r="H506" s="9">
        <f>IF(ISERROR(VLOOKUP(A506,Excel4!D:J,7,0)),0,VLOOKUP(A506,Excel4!D:J,7,0))</f>
        <v>0</v>
      </c>
      <c r="I506" s="15" t="s">
        <v>1777</v>
      </c>
      <c r="J506" s="20" t="s">
        <v>2718</v>
      </c>
      <c r="K506" s="15" t="s">
        <v>66</v>
      </c>
      <c r="L506" s="18" t="str">
        <f t="shared" si="30"/>
        <v>ÇİÇEKPINAR BELEDİYE BAŞKANLIĞI ISPARTA</v>
      </c>
      <c r="M506" s="18" t="str">
        <f t="shared" si="27"/>
        <v>ÇİÇEKPINAR</v>
      </c>
    </row>
    <row r="507" spans="1:14" x14ac:dyDescent="0.25">
      <c r="A507" t="s">
        <v>1287</v>
      </c>
      <c r="B507" t="s">
        <v>2555</v>
      </c>
      <c r="C507" t="s">
        <v>34</v>
      </c>
      <c r="D507">
        <v>12</v>
      </c>
      <c r="E507">
        <v>90001</v>
      </c>
      <c r="F507" t="s">
        <v>1288</v>
      </c>
      <c r="G507">
        <f t="shared" si="29"/>
        <v>26</v>
      </c>
      <c r="H507" s="9">
        <f>IF(ISERROR(VLOOKUP(A507,Excel4!D:J,7,0)),0,VLOOKUP(A507,Excel4!D:J,7,0))</f>
        <v>1006.9200000000001</v>
      </c>
      <c r="I507" s="15" t="s">
        <v>1777</v>
      </c>
      <c r="J507" s="15" t="s">
        <v>34</v>
      </c>
      <c r="K507" s="15" t="s">
        <v>239</v>
      </c>
      <c r="L507" s="18" t="str">
        <f t="shared" si="30"/>
        <v>IĞDIR BELEDİYE BAŞKANLIĞI</v>
      </c>
      <c r="M507" s="18" t="str">
        <f t="shared" si="27"/>
        <v>IĞDIR</v>
      </c>
      <c r="N507" t="e">
        <f>_xlfn.XLOOKUP(M507,[1]Sheet1!$C:$C,[1]Sheet1!$G:$G)</f>
        <v>#N/A</v>
      </c>
    </row>
    <row r="508" spans="1:14" x14ac:dyDescent="0.25">
      <c r="A508" t="s">
        <v>1686</v>
      </c>
      <c r="B508" t="s">
        <v>1687</v>
      </c>
      <c r="C508" t="s">
        <v>597</v>
      </c>
      <c r="D508">
        <v>59</v>
      </c>
      <c r="E508">
        <v>90001</v>
      </c>
      <c r="F508" t="s">
        <v>1688</v>
      </c>
      <c r="G508">
        <f t="shared" si="29"/>
        <v>26</v>
      </c>
      <c r="H508" s="9">
        <f>IF(ISERROR(VLOOKUP(A508,Excel4!D:J,7,0)),0,VLOOKUP(A508,Excel4!D:J,7,0))</f>
        <v>44.78</v>
      </c>
      <c r="I508" s="15" t="s">
        <v>1777</v>
      </c>
      <c r="J508" s="15" t="s">
        <v>597</v>
      </c>
      <c r="K508" s="15" t="s">
        <v>66</v>
      </c>
      <c r="L508" s="18" t="str">
        <f t="shared" si="30"/>
        <v>GELENDOST BELEDİYE BAŞKANLIĞI ISPARTA</v>
      </c>
      <c r="M508" s="18" t="str">
        <f t="shared" si="27"/>
        <v>GELENDOST</v>
      </c>
      <c r="N508">
        <f>_xlfn.XLOOKUP(M508,[1]Sheet1!$A:$A,[1]Sheet1!$G:$G)</f>
        <v>0</v>
      </c>
    </row>
    <row r="509" spans="1:14" x14ac:dyDescent="0.25">
      <c r="A509" t="s">
        <v>1291</v>
      </c>
      <c r="B509" t="s">
        <v>699</v>
      </c>
      <c r="C509" t="s">
        <v>596</v>
      </c>
      <c r="D509">
        <v>15</v>
      </c>
      <c r="E509">
        <v>90001</v>
      </c>
      <c r="F509" t="s">
        <v>1292</v>
      </c>
      <c r="G509">
        <f t="shared" si="29"/>
        <v>26</v>
      </c>
      <c r="H509" s="9">
        <f>IF(ISERROR(VLOOKUP(A509,Excel4!D:J,7,0)),0,VLOOKUP(A509,Excel4!D:J,7,0))</f>
        <v>49.09</v>
      </c>
      <c r="I509" s="15" t="s">
        <v>1777</v>
      </c>
      <c r="J509" s="15" t="s">
        <v>596</v>
      </c>
      <c r="K509" s="15" t="s">
        <v>66</v>
      </c>
      <c r="L509" s="18" t="str">
        <f t="shared" si="30"/>
        <v>EĞİRDİR BELEDİYE BAŞKANLIĞI ISPARTA</v>
      </c>
      <c r="M509" s="18" t="str">
        <f t="shared" si="27"/>
        <v>EĞİRDİR</v>
      </c>
    </row>
    <row r="510" spans="1:14" x14ac:dyDescent="0.25">
      <c r="A510" t="s">
        <v>3230</v>
      </c>
      <c r="B510" t="s">
        <v>704</v>
      </c>
      <c r="C510" t="s">
        <v>257</v>
      </c>
      <c r="D510">
        <v>10</v>
      </c>
      <c r="E510">
        <v>90001</v>
      </c>
      <c r="F510" t="s">
        <v>3237</v>
      </c>
      <c r="G510">
        <f t="shared" si="29"/>
        <v>26</v>
      </c>
      <c r="H510" s="9">
        <f>IF(ISERROR(VLOOKUP(A510,Excel4!D:J,7,0)),0,VLOOKUP(A510,Excel4!D:J,7,0))</f>
        <v>0</v>
      </c>
      <c r="I510" s="15" t="s">
        <v>1777</v>
      </c>
      <c r="J510" s="15" t="s">
        <v>3238</v>
      </c>
      <c r="K510" s="15" t="s">
        <v>66</v>
      </c>
      <c r="L510" s="18" t="str">
        <f t="shared" si="30"/>
        <v>GÜNEYTKENT BELEDİYE BAŞKANLIĞI ISPARTA</v>
      </c>
      <c r="M510" s="18" t="str">
        <f t="shared" si="27"/>
        <v>GÜNEYTKENT</v>
      </c>
    </row>
    <row r="511" spans="1:14" x14ac:dyDescent="0.25">
      <c r="A511" t="s">
        <v>2185</v>
      </c>
      <c r="B511" s="19" t="s">
        <v>704</v>
      </c>
      <c r="C511" s="19" t="s">
        <v>202</v>
      </c>
      <c r="D511">
        <v>10</v>
      </c>
      <c r="E511">
        <v>90001</v>
      </c>
      <c r="F511" s="19" t="s">
        <v>2195</v>
      </c>
      <c r="G511">
        <f t="shared" si="29"/>
        <v>26</v>
      </c>
      <c r="H511" s="9">
        <f>IF(ISERROR(VLOOKUP(A511,Excel4!D:J,7,0)),0,VLOOKUP(A511,Excel4!D:J,7,0))</f>
        <v>0</v>
      </c>
      <c r="I511" s="15" t="s">
        <v>1777</v>
      </c>
      <c r="J511" s="15" t="s">
        <v>2178</v>
      </c>
      <c r="K511" s="15" t="s">
        <v>66</v>
      </c>
      <c r="L511" s="18" t="str">
        <f t="shared" si="30"/>
        <v>HÜYÜKLÜ BELEDİYE BAŞKANLIĞI ISPARTA</v>
      </c>
      <c r="M511" s="18" t="str">
        <f t="shared" si="27"/>
        <v>HÜYÜKLÜ</v>
      </c>
    </row>
    <row r="512" spans="1:14" x14ac:dyDescent="0.25">
      <c r="A512" t="s">
        <v>1293</v>
      </c>
      <c r="B512" t="s">
        <v>704</v>
      </c>
      <c r="C512" t="s">
        <v>257</v>
      </c>
      <c r="D512">
        <v>10</v>
      </c>
      <c r="E512">
        <v>90001</v>
      </c>
      <c r="F512" t="s">
        <v>1294</v>
      </c>
      <c r="G512">
        <f t="shared" si="29"/>
        <v>26</v>
      </c>
      <c r="H512" s="9">
        <f>IF(ISERROR(VLOOKUP(A512,Excel4!D:J,7,0)),0,VLOOKUP(A512,Excel4!D:J,7,0))</f>
        <v>146.38999999999999</v>
      </c>
      <c r="I512" s="15" t="s">
        <v>1777</v>
      </c>
      <c r="J512" s="15" t="s">
        <v>257</v>
      </c>
      <c r="K512" s="15" t="s">
        <v>66</v>
      </c>
      <c r="L512" s="18" t="str">
        <f t="shared" si="30"/>
        <v>GÖNEN BELEDİYE BAŞKANLIĞI ISPARTA</v>
      </c>
      <c r="M512" s="18" t="str">
        <f t="shared" si="27"/>
        <v>GÖNEN</v>
      </c>
    </row>
    <row r="513" spans="1:14" x14ac:dyDescent="0.25">
      <c r="A513" t="s">
        <v>2798</v>
      </c>
      <c r="B513" t="s">
        <v>704</v>
      </c>
      <c r="C513" t="s">
        <v>34</v>
      </c>
      <c r="D513">
        <v>10</v>
      </c>
      <c r="E513">
        <v>90001</v>
      </c>
      <c r="F513" t="s">
        <v>2800</v>
      </c>
      <c r="G513">
        <f t="shared" si="29"/>
        <v>26</v>
      </c>
      <c r="H513" s="9">
        <f>IF(ISERROR(VLOOKUP(A513,Excel4!D:J,7,0)),0,VLOOKUP(A513,Excel4!D:J,7,0))</f>
        <v>0</v>
      </c>
      <c r="I513" s="15" t="s">
        <v>1777</v>
      </c>
      <c r="J513" s="15" t="s">
        <v>2794</v>
      </c>
      <c r="K513" s="15" t="s">
        <v>66</v>
      </c>
      <c r="L513" s="18" t="str">
        <f t="shared" si="30"/>
        <v>KULEÖNÜ BELEDİYE BAŞKANLIĞI ISPARTA</v>
      </c>
      <c r="M513" s="18" t="str">
        <f t="shared" si="27"/>
        <v>KULEÖNÜ</v>
      </c>
    </row>
    <row r="514" spans="1:14" x14ac:dyDescent="0.25">
      <c r="A514" t="s">
        <v>1295</v>
      </c>
      <c r="B514" t="s">
        <v>704</v>
      </c>
      <c r="C514" t="s">
        <v>598</v>
      </c>
      <c r="D514">
        <v>10</v>
      </c>
      <c r="E514">
        <v>90001</v>
      </c>
      <c r="F514" t="s">
        <v>1296</v>
      </c>
      <c r="G514">
        <f t="shared" si="29"/>
        <v>26</v>
      </c>
      <c r="H514" s="9">
        <f>IF(ISERROR(VLOOKUP(A514,Excel4!D:J,7,0)),0,VLOOKUP(A514,Excel4!D:J,7,0))</f>
        <v>249.39</v>
      </c>
      <c r="I514" s="15" t="s">
        <v>1777</v>
      </c>
      <c r="J514" s="15" t="s">
        <v>598</v>
      </c>
      <c r="K514" s="15" t="s">
        <v>66</v>
      </c>
      <c r="L514" s="18" t="str">
        <f t="shared" si="30"/>
        <v>KEÇİBORLU BELEDİYE BAŞKANLIĞI ISPARTA</v>
      </c>
      <c r="M514" s="18" t="str">
        <f t="shared" si="27"/>
        <v>KEÇİBORLU</v>
      </c>
      <c r="N514">
        <f>_xlfn.XLOOKUP(M514,[1]Sheet1!$A:$A,[1]Sheet1!$G:$G)</f>
        <v>0</v>
      </c>
    </row>
    <row r="515" spans="1:14" x14ac:dyDescent="0.25">
      <c r="A515" t="s">
        <v>2840</v>
      </c>
      <c r="B515" t="s">
        <v>704</v>
      </c>
      <c r="C515" t="s">
        <v>2844</v>
      </c>
      <c r="D515">
        <v>10</v>
      </c>
      <c r="E515">
        <v>90001</v>
      </c>
      <c r="F515" t="s">
        <v>2843</v>
      </c>
      <c r="G515">
        <f t="shared" si="29"/>
        <v>26</v>
      </c>
      <c r="H515" s="9">
        <f>IF(ISERROR(VLOOKUP(A515,Excel4!D:J,7,0)),0,VLOOKUP(A515,Excel4!D:J,7,0))</f>
        <v>0</v>
      </c>
      <c r="I515" s="15" t="s">
        <v>1777</v>
      </c>
      <c r="J515" s="15" t="s">
        <v>2837</v>
      </c>
      <c r="K515" s="15" t="s">
        <v>66</v>
      </c>
      <c r="L515" s="18" t="str">
        <f t="shared" si="30"/>
        <v>SAV BELEDİYE BAŞKANLIĞI ISPARTA</v>
      </c>
      <c r="M515" s="18" t="str">
        <f t="shared" si="27"/>
        <v>SAV</v>
      </c>
    </row>
    <row r="516" spans="1:14" x14ac:dyDescent="0.25">
      <c r="A516" s="19" t="s">
        <v>3060</v>
      </c>
      <c r="B516" s="19" t="s">
        <v>704</v>
      </c>
      <c r="C516" t="s">
        <v>598</v>
      </c>
      <c r="D516">
        <v>10</v>
      </c>
      <c r="E516">
        <v>90001</v>
      </c>
      <c r="F516" t="s">
        <v>3062</v>
      </c>
      <c r="G516">
        <f>LEN(F515)</f>
        <v>26</v>
      </c>
      <c r="H516" s="9">
        <f>IF(ISERROR(VLOOKUP(A516,Excel4!D:J,7,0)),0,VLOOKUP(A516,Excel4!D:J,7,0))</f>
        <v>0</v>
      </c>
      <c r="I516" s="15" t="s">
        <v>1777</v>
      </c>
      <c r="J516" s="20" t="s">
        <v>3052</v>
      </c>
      <c r="K516" s="15" t="s">
        <v>66</v>
      </c>
      <c r="L516" s="18" t="str">
        <f t="shared" si="30"/>
        <v>SENİR BELEDİYE BAŞKANLIĞI ISPARTA</v>
      </c>
      <c r="M516" s="18" t="str">
        <f t="shared" ref="M516:M579" si="31">IF(J516="MERKEZ",K516,IF(J516="BÜYÜKŞEHİR",K516&amp;" BÜYÜKŞEHİR",J516))</f>
        <v>SENİR</v>
      </c>
    </row>
    <row r="517" spans="1:14" x14ac:dyDescent="0.25">
      <c r="A517" t="s">
        <v>1297</v>
      </c>
      <c r="B517" t="s">
        <v>704</v>
      </c>
      <c r="C517" t="s">
        <v>34</v>
      </c>
      <c r="D517">
        <v>10</v>
      </c>
      <c r="E517">
        <v>90001</v>
      </c>
      <c r="F517" t="s">
        <v>1298</v>
      </c>
      <c r="G517">
        <f t="shared" ref="G517:G580" si="32">LEN(F517)</f>
        <v>26</v>
      </c>
      <c r="H517" s="9">
        <f>IF(ISERROR(VLOOKUP(A517,Excel4!D:J,7,0)),0,VLOOKUP(A517,Excel4!D:J,7,0))</f>
        <v>2300.6799999999998</v>
      </c>
      <c r="I517" s="15" t="s">
        <v>1777</v>
      </c>
      <c r="J517" s="15" t="s">
        <v>34</v>
      </c>
      <c r="K517" s="15" t="s">
        <v>66</v>
      </c>
      <c r="L517" s="18" t="str">
        <f t="shared" si="30"/>
        <v>ISPARTA BELEDİYE BAŞKANLIĞI</v>
      </c>
      <c r="M517" s="18" t="str">
        <f t="shared" si="31"/>
        <v>ISPARTA</v>
      </c>
      <c r="N517" t="e">
        <f>_xlfn.XLOOKUP(M517,[1]Sheet1!$C:$C,[1]Sheet1!$G:$G)</f>
        <v>#N/A</v>
      </c>
    </row>
    <row r="518" spans="1:14" x14ac:dyDescent="0.25">
      <c r="A518" t="s">
        <v>1299</v>
      </c>
      <c r="B518" t="s">
        <v>704</v>
      </c>
      <c r="C518" t="s">
        <v>599</v>
      </c>
      <c r="D518">
        <v>10</v>
      </c>
      <c r="E518">
        <v>90001</v>
      </c>
      <c r="F518" t="s">
        <v>1300</v>
      </c>
      <c r="G518">
        <f t="shared" si="32"/>
        <v>26</v>
      </c>
      <c r="H518" s="9">
        <f>IF(ISERROR(VLOOKUP(A518,Excel4!D:J,7,0)),0,VLOOKUP(A518,Excel4!D:J,7,0))</f>
        <v>0</v>
      </c>
      <c r="I518" s="15" t="s">
        <v>1777</v>
      </c>
      <c r="J518" s="15" t="s">
        <v>599</v>
      </c>
      <c r="K518" s="15" t="s">
        <v>66</v>
      </c>
      <c r="L518" s="18" t="str">
        <f t="shared" si="30"/>
        <v>SÜTÇÜLER BELEDİYE BAŞKANLIĞI ISPARTA</v>
      </c>
      <c r="M518" s="18" t="str">
        <f t="shared" si="31"/>
        <v>SÜTÇÜLER</v>
      </c>
      <c r="N518">
        <f>_xlfn.XLOOKUP(M518,[1]Sheet1!$A:$A,[1]Sheet1!$G:$G)</f>
        <v>0</v>
      </c>
    </row>
    <row r="519" spans="1:14" x14ac:dyDescent="0.25">
      <c r="A519" t="s">
        <v>2461</v>
      </c>
      <c r="B519" t="s">
        <v>704</v>
      </c>
      <c r="C519" t="s">
        <v>2256</v>
      </c>
      <c r="D519">
        <v>10</v>
      </c>
      <c r="E519">
        <v>90001</v>
      </c>
      <c r="F519" t="s">
        <v>2462</v>
      </c>
      <c r="G519">
        <f t="shared" si="32"/>
        <v>26</v>
      </c>
      <c r="H519" s="9">
        <f>IF(ISERROR(VLOOKUP(A519,Excel4!D:J,7,0)),0,VLOOKUP(A519,Excel4!D:J,7,0))</f>
        <v>21.119999999999997</v>
      </c>
      <c r="I519" s="15" t="s">
        <v>1777</v>
      </c>
      <c r="J519" s="15" t="s">
        <v>2256</v>
      </c>
      <c r="K519" s="15" t="s">
        <v>66</v>
      </c>
      <c r="L519" s="18" t="str">
        <f t="shared" si="30"/>
        <v>SENİRKENT BELEDİYE BAŞKANLIĞI ISPARTA</v>
      </c>
      <c r="M519" s="18" t="str">
        <f t="shared" si="31"/>
        <v>SENİRKENT</v>
      </c>
    </row>
    <row r="520" spans="1:14" x14ac:dyDescent="0.25">
      <c r="A520" t="s">
        <v>1301</v>
      </c>
      <c r="B520" t="s">
        <v>704</v>
      </c>
      <c r="C520" t="s">
        <v>260</v>
      </c>
      <c r="D520">
        <v>10</v>
      </c>
      <c r="E520">
        <v>90001</v>
      </c>
      <c r="F520" t="s">
        <v>1302</v>
      </c>
      <c r="G520">
        <f t="shared" si="32"/>
        <v>26</v>
      </c>
      <c r="H520" s="9">
        <f>IF(ISERROR(VLOOKUP(A520,Excel4!D:J,7,0)),0,VLOOKUP(A520,Excel4!D:J,7,0))</f>
        <v>141.63999999999999</v>
      </c>
      <c r="I520" s="15" t="s">
        <v>1777</v>
      </c>
      <c r="J520" s="15" t="s">
        <v>260</v>
      </c>
      <c r="K520" s="15" t="s">
        <v>66</v>
      </c>
      <c r="L520" s="18" t="str">
        <f t="shared" si="30"/>
        <v>ŞARKİKARAAĞAÇ BELEDİYE BAŞKANLIĞI ISPARTA</v>
      </c>
      <c r="M520" s="18" t="str">
        <f t="shared" si="31"/>
        <v>ŞARKİKARAAĞAÇ</v>
      </c>
      <c r="N520">
        <f>_xlfn.XLOOKUP(M520,[1]Sheet1!$A:$A,[1]Sheet1!$G:$G)</f>
        <v>0</v>
      </c>
    </row>
    <row r="521" spans="1:14" x14ac:dyDescent="0.25">
      <c r="A521" t="s">
        <v>1303</v>
      </c>
      <c r="B521" t="s">
        <v>704</v>
      </c>
      <c r="C521" t="s">
        <v>331</v>
      </c>
      <c r="D521">
        <v>10</v>
      </c>
      <c r="E521">
        <v>90001</v>
      </c>
      <c r="F521" t="s">
        <v>1304</v>
      </c>
      <c r="G521">
        <f t="shared" si="32"/>
        <v>26</v>
      </c>
      <c r="H521" s="9">
        <f>IF(ISERROR(VLOOKUP(A521,Excel4!D:J,7,0)),0,VLOOKUP(A521,Excel4!D:J,7,0))</f>
        <v>26.05</v>
      </c>
      <c r="I521" s="15" t="s">
        <v>1777</v>
      </c>
      <c r="J521" s="15" t="s">
        <v>331</v>
      </c>
      <c r="K521" s="15" t="s">
        <v>66</v>
      </c>
      <c r="L521" s="18" t="str">
        <f t="shared" si="30"/>
        <v>ULUBORLU BELEDİYE BAŞKANLIĞI ISPARTA</v>
      </c>
      <c r="M521" s="18" t="str">
        <f t="shared" si="31"/>
        <v>ULUBORLU</v>
      </c>
      <c r="N521">
        <f>_xlfn.XLOOKUP(M521,[1]Sheet1!$A:$A,[1]Sheet1!$G:$G)</f>
        <v>0</v>
      </c>
    </row>
    <row r="522" spans="1:14" x14ac:dyDescent="0.25">
      <c r="A522" t="s">
        <v>2611</v>
      </c>
      <c r="B522" s="19" t="s">
        <v>704</v>
      </c>
      <c r="C522" s="27" t="s">
        <v>2603</v>
      </c>
      <c r="D522">
        <v>10</v>
      </c>
      <c r="E522">
        <v>90001</v>
      </c>
      <c r="F522" s="27" t="s">
        <v>2616</v>
      </c>
      <c r="G522">
        <f t="shared" si="32"/>
        <v>26</v>
      </c>
      <c r="H522" s="9">
        <f>IF(ISERROR(VLOOKUP(A522,Excel4!D:J,7,0)),0,VLOOKUP(A522,Excel4!D:J,7,0))</f>
        <v>0</v>
      </c>
      <c r="I522" s="15" t="s">
        <v>1777</v>
      </c>
      <c r="J522" s="20" t="s">
        <v>2603</v>
      </c>
      <c r="K522" s="15" t="s">
        <v>66</v>
      </c>
      <c r="L522" s="18" t="str">
        <f t="shared" si="30"/>
        <v>YENİŞARBADEMLİ BELEDİYE BAŞKANLIĞI ISPARTA</v>
      </c>
      <c r="M522" s="18" t="str">
        <f t="shared" si="31"/>
        <v>YENİŞARBADEMLİ</v>
      </c>
    </row>
    <row r="523" spans="1:14" x14ac:dyDescent="0.25">
      <c r="A523" t="s">
        <v>1305</v>
      </c>
      <c r="B523" t="s">
        <v>2555</v>
      </c>
      <c r="C523" t="s">
        <v>250</v>
      </c>
      <c r="D523">
        <v>12</v>
      </c>
      <c r="E523">
        <v>90001</v>
      </c>
      <c r="F523" t="s">
        <v>1306</v>
      </c>
      <c r="G523">
        <f t="shared" si="32"/>
        <v>26</v>
      </c>
      <c r="H523" s="9">
        <f>IF(ISERROR(VLOOKUP(A523,Excel4!D:J,7,0)),0,VLOOKUP(A523,Excel4!D:J,7,0))</f>
        <v>0</v>
      </c>
      <c r="I523" s="15" t="s">
        <v>1777</v>
      </c>
      <c r="J523" s="15" t="s">
        <v>250</v>
      </c>
      <c r="K523" s="15" t="s">
        <v>29</v>
      </c>
      <c r="L523" s="18" t="str">
        <f t="shared" si="30"/>
        <v>BEYLİKDÜZÜ BELEDİYE BAŞKANLIĞI İSTANBUL</v>
      </c>
      <c r="M523" s="18" t="str">
        <f t="shared" si="31"/>
        <v>BEYLİKDÜZÜ</v>
      </c>
    </row>
    <row r="524" spans="1:14" x14ac:dyDescent="0.25">
      <c r="A524" t="s">
        <v>1307</v>
      </c>
      <c r="B524" t="s">
        <v>704</v>
      </c>
      <c r="C524" t="s">
        <v>185</v>
      </c>
      <c r="D524">
        <v>10</v>
      </c>
      <c r="E524">
        <v>90001</v>
      </c>
      <c r="F524" t="s">
        <v>1308</v>
      </c>
      <c r="G524">
        <f t="shared" si="32"/>
        <v>26</v>
      </c>
      <c r="H524" s="9">
        <f>IF(ISERROR(VLOOKUP(A524,Excel4!D:J,7,0)),0,VLOOKUP(A524,Excel4!D:J,7,0))</f>
        <v>0</v>
      </c>
      <c r="I524" s="15" t="s">
        <v>1777</v>
      </c>
      <c r="J524" s="15" t="s">
        <v>185</v>
      </c>
      <c r="K524" s="15" t="s">
        <v>112</v>
      </c>
      <c r="L524" s="18" t="str">
        <f t="shared" si="30"/>
        <v>ALAÇATI BELEDİYE BAŞKANLIĞI İZMİR</v>
      </c>
      <c r="M524" s="18" t="str">
        <f t="shared" si="31"/>
        <v>ALAÇATI</v>
      </c>
    </row>
    <row r="525" spans="1:14" x14ac:dyDescent="0.25">
      <c r="A525" t="s">
        <v>1309</v>
      </c>
      <c r="B525" t="s">
        <v>2555</v>
      </c>
      <c r="C525" t="s">
        <v>164</v>
      </c>
      <c r="D525">
        <v>12</v>
      </c>
      <c r="E525">
        <v>90001</v>
      </c>
      <c r="F525" t="s">
        <v>1310</v>
      </c>
      <c r="G525">
        <f t="shared" si="32"/>
        <v>26</v>
      </c>
      <c r="H525" s="9">
        <f>IF(ISERROR(VLOOKUP(A525,Excel4!D:J,7,0)),0,VLOOKUP(A525,Excel4!D:J,7,0))</f>
        <v>0</v>
      </c>
      <c r="I525" s="15" t="s">
        <v>1777</v>
      </c>
      <c r="J525" s="15" t="s">
        <v>164</v>
      </c>
      <c r="K525" s="15" t="s">
        <v>112</v>
      </c>
      <c r="L525" s="18" t="str">
        <f t="shared" si="30"/>
        <v>ALİAĞA BELEDİYE BAŞKANLIĞI İZMİR</v>
      </c>
      <c r="M525" s="18" t="str">
        <f t="shared" si="31"/>
        <v>ALİAĞA</v>
      </c>
    </row>
    <row r="526" spans="1:14" x14ac:dyDescent="0.25">
      <c r="A526" t="s">
        <v>1311</v>
      </c>
      <c r="B526" t="s">
        <v>704</v>
      </c>
      <c r="C526" t="s">
        <v>71</v>
      </c>
      <c r="D526">
        <v>10</v>
      </c>
      <c r="E526">
        <v>90001</v>
      </c>
      <c r="F526" t="s">
        <v>1312</v>
      </c>
      <c r="G526">
        <f t="shared" si="32"/>
        <v>26</v>
      </c>
      <c r="H526" s="9">
        <f>IF(ISERROR(VLOOKUP(A526,Excel4!D:J,7,0)),0,VLOOKUP(A526,Excel4!D:J,7,0))</f>
        <v>0</v>
      </c>
      <c r="I526" s="15" t="s">
        <v>1777</v>
      </c>
      <c r="J526" s="15" t="s">
        <v>71</v>
      </c>
      <c r="K526" s="15" t="s">
        <v>112</v>
      </c>
      <c r="L526" s="18" t="str">
        <f t="shared" si="30"/>
        <v>BERGAMA BELEDİYE BAŞKANLIĞI İZMİR</v>
      </c>
      <c r="M526" s="18" t="str">
        <f t="shared" si="31"/>
        <v>BERGAMA</v>
      </c>
    </row>
    <row r="527" spans="1:14" x14ac:dyDescent="0.25">
      <c r="A527" t="s">
        <v>1313</v>
      </c>
      <c r="B527" t="s">
        <v>704</v>
      </c>
      <c r="C527" t="s">
        <v>600</v>
      </c>
      <c r="D527">
        <v>10</v>
      </c>
      <c r="E527">
        <v>90001</v>
      </c>
      <c r="F527" t="s">
        <v>1314</v>
      </c>
      <c r="G527">
        <f t="shared" si="32"/>
        <v>26</v>
      </c>
      <c r="H527" s="9">
        <f>IF(ISERROR(VLOOKUP(A527,Excel4!D:J,7,0)),0,VLOOKUP(A527,Excel4!D:J,7,0))</f>
        <v>0</v>
      </c>
      <c r="I527" s="15" t="s">
        <v>1777</v>
      </c>
      <c r="J527" s="15" t="s">
        <v>600</v>
      </c>
      <c r="K527" s="15" t="s">
        <v>112</v>
      </c>
      <c r="L527" s="18" t="str">
        <f t="shared" si="30"/>
        <v>BEYDAĞ BELEDİYE BAŞKANLIĞI İZMİR</v>
      </c>
      <c r="M527" s="18" t="str">
        <f t="shared" si="31"/>
        <v>BEYDAĞ</v>
      </c>
    </row>
    <row r="528" spans="1:14" x14ac:dyDescent="0.25">
      <c r="A528" t="s">
        <v>737</v>
      </c>
      <c r="B528" t="s">
        <v>704</v>
      </c>
      <c r="C528" t="s">
        <v>202</v>
      </c>
      <c r="D528">
        <v>10</v>
      </c>
      <c r="E528">
        <v>90001</v>
      </c>
      <c r="F528" t="s">
        <v>738</v>
      </c>
      <c r="G528">
        <f t="shared" si="32"/>
        <v>26</v>
      </c>
      <c r="H528" s="9">
        <f>IF(ISERROR(VLOOKUP(A528,Excel4!D:J,7,0)),0,VLOOKUP(A528,Excel4!D:J,7,0))</f>
        <v>1274.3500000000001</v>
      </c>
      <c r="I528" s="15" t="s">
        <v>1777</v>
      </c>
      <c r="J528" s="15" t="s">
        <v>202</v>
      </c>
      <c r="K528" s="15" t="s">
        <v>66</v>
      </c>
      <c r="L528" s="18" t="str">
        <f t="shared" si="30"/>
        <v>YALVAÇ BELEDİYE BAŞKANLIĞI ISPARTA</v>
      </c>
      <c r="M528" s="18" t="str">
        <f t="shared" si="31"/>
        <v>YALVAÇ</v>
      </c>
      <c r="N528">
        <f>_xlfn.XLOOKUP(M528,[1]Sheet1!$A:$A,[1]Sheet1!$G:$G)</f>
        <v>0</v>
      </c>
    </row>
    <row r="529" spans="1:13" x14ac:dyDescent="0.25">
      <c r="A529" t="s">
        <v>1315</v>
      </c>
      <c r="B529" t="s">
        <v>704</v>
      </c>
      <c r="C529" t="s">
        <v>84</v>
      </c>
      <c r="D529">
        <v>10</v>
      </c>
      <c r="E529">
        <v>90001</v>
      </c>
      <c r="F529" t="s">
        <v>1316</v>
      </c>
      <c r="G529">
        <f t="shared" si="32"/>
        <v>26</v>
      </c>
      <c r="H529" s="9">
        <f>IF(ISERROR(VLOOKUP(A529,Excel4!D:J,7,0)),0,VLOOKUP(A529,Excel4!D:J,7,0))</f>
        <v>0</v>
      </c>
      <c r="I529" s="15" t="s">
        <v>1777</v>
      </c>
      <c r="J529" s="15" t="s">
        <v>84</v>
      </c>
      <c r="K529" s="15" t="s">
        <v>112</v>
      </c>
      <c r="L529" s="18" t="str">
        <f t="shared" si="30"/>
        <v>ÇANDARLI BELEDİYE BAŞKANLIĞI İZMİR</v>
      </c>
      <c r="M529" s="18" t="str">
        <f t="shared" si="31"/>
        <v>ÇANDARLI</v>
      </c>
    </row>
    <row r="530" spans="1:13" x14ac:dyDescent="0.25">
      <c r="A530" t="s">
        <v>1317</v>
      </c>
      <c r="B530" t="s">
        <v>704</v>
      </c>
      <c r="C530" t="s">
        <v>113</v>
      </c>
      <c r="D530">
        <v>10</v>
      </c>
      <c r="E530">
        <v>90001</v>
      </c>
      <c r="F530" t="s">
        <v>1318</v>
      </c>
      <c r="G530">
        <f t="shared" si="32"/>
        <v>26</v>
      </c>
      <c r="H530" s="9">
        <f>IF(ISERROR(VLOOKUP(A530,Excel4!D:J,7,0)),0,VLOOKUP(A530,Excel4!D:J,7,0))</f>
        <v>0</v>
      </c>
      <c r="I530" s="15" t="s">
        <v>1777</v>
      </c>
      <c r="J530" s="15" t="s">
        <v>113</v>
      </c>
      <c r="K530" s="15" t="s">
        <v>112</v>
      </c>
      <c r="L530" s="18" t="str">
        <f t="shared" si="30"/>
        <v>ÇEŞME BELEDİYE BAŞKANLIĞI İZMİR</v>
      </c>
      <c r="M530" s="18" t="str">
        <f t="shared" si="31"/>
        <v>ÇEŞME</v>
      </c>
    </row>
    <row r="531" spans="1:13" x14ac:dyDescent="0.25">
      <c r="A531" t="s">
        <v>1689</v>
      </c>
      <c r="B531" t="s">
        <v>2555</v>
      </c>
      <c r="C531" t="s">
        <v>114</v>
      </c>
      <c r="D531">
        <v>12</v>
      </c>
      <c r="E531">
        <v>90001</v>
      </c>
      <c r="F531" t="s">
        <v>404</v>
      </c>
      <c r="G531">
        <f t="shared" si="32"/>
        <v>26</v>
      </c>
      <c r="H531" s="9">
        <f>IF(ISERROR(VLOOKUP(A531,Excel4!D:J,7,0)),0,VLOOKUP(A531,Excel4!D:J,7,0))</f>
        <v>0</v>
      </c>
      <c r="I531" s="15" t="s">
        <v>1777</v>
      </c>
      <c r="J531" s="15" t="s">
        <v>114</v>
      </c>
      <c r="K531" s="15" t="s">
        <v>112</v>
      </c>
      <c r="L531" s="18" t="str">
        <f t="shared" si="30"/>
        <v>DİKİLİ BELEDİYE BAŞKANLIĞI İZMİR</v>
      </c>
      <c r="M531" s="18" t="str">
        <f t="shared" si="31"/>
        <v>DİKİLİ</v>
      </c>
    </row>
    <row r="532" spans="1:13" x14ac:dyDescent="0.25">
      <c r="A532" t="s">
        <v>1690</v>
      </c>
      <c r="B532" t="s">
        <v>818</v>
      </c>
      <c r="C532" t="s">
        <v>115</v>
      </c>
      <c r="D532">
        <v>64</v>
      </c>
      <c r="E532">
        <v>90001</v>
      </c>
      <c r="F532" t="s">
        <v>1691</v>
      </c>
      <c r="G532">
        <f t="shared" si="32"/>
        <v>26</v>
      </c>
      <c r="H532" s="9">
        <f>IF(ISERROR(VLOOKUP(A532,Excel4!D:J,7,0)),0,VLOOKUP(A532,Excel4!D:J,7,0))</f>
        <v>0</v>
      </c>
      <c r="I532" s="15" t="s">
        <v>1777</v>
      </c>
      <c r="J532" s="15" t="s">
        <v>115</v>
      </c>
      <c r="K532" s="15" t="s">
        <v>112</v>
      </c>
      <c r="L532" s="18" t="str">
        <f t="shared" si="30"/>
        <v>FOÇA BELEDİYE BAŞKANLIĞI İZMİR</v>
      </c>
      <c r="M532" s="18" t="str">
        <f t="shared" si="31"/>
        <v>FOÇA</v>
      </c>
    </row>
    <row r="533" spans="1:13" x14ac:dyDescent="0.25">
      <c r="A533" t="s">
        <v>1319</v>
      </c>
      <c r="B533" t="s">
        <v>704</v>
      </c>
      <c r="C533" t="s">
        <v>79</v>
      </c>
      <c r="D533">
        <v>10</v>
      </c>
      <c r="E533">
        <v>90001</v>
      </c>
      <c r="F533" t="s">
        <v>1320</v>
      </c>
      <c r="G533">
        <f t="shared" si="32"/>
        <v>26</v>
      </c>
      <c r="H533" s="9">
        <f>IF(ISERROR(VLOOKUP(A533,Excel4!D:J,7,0)),0,VLOOKUP(A533,Excel4!D:J,7,0))</f>
        <v>0</v>
      </c>
      <c r="I533" s="15" t="s">
        <v>1777</v>
      </c>
      <c r="J533" s="15" t="s">
        <v>79</v>
      </c>
      <c r="K533" s="15" t="s">
        <v>112</v>
      </c>
      <c r="L533" s="18" t="str">
        <f t="shared" si="30"/>
        <v>KARABURUN BELEDİYE BAŞKANLIĞI İZMİR</v>
      </c>
      <c r="M533" s="18" t="str">
        <f t="shared" si="31"/>
        <v>KARABURUN</v>
      </c>
    </row>
    <row r="534" spans="1:13" x14ac:dyDescent="0.25">
      <c r="A534" t="s">
        <v>1321</v>
      </c>
      <c r="B534" t="s">
        <v>818</v>
      </c>
      <c r="C534" t="s">
        <v>332</v>
      </c>
      <c r="D534">
        <v>64</v>
      </c>
      <c r="E534">
        <v>90001</v>
      </c>
      <c r="F534" t="s">
        <v>1322</v>
      </c>
      <c r="G534">
        <f t="shared" si="32"/>
        <v>26</v>
      </c>
      <c r="H534" s="9">
        <f>IF(ISERROR(VLOOKUP(A534,Excel4!D:J,7,0)),0,VLOOKUP(A534,Excel4!D:J,7,0))</f>
        <v>0</v>
      </c>
      <c r="I534" s="15" t="s">
        <v>1777</v>
      </c>
      <c r="J534" s="15" t="s">
        <v>332</v>
      </c>
      <c r="K534" s="15" t="s">
        <v>112</v>
      </c>
      <c r="L534" s="18" t="str">
        <f t="shared" si="30"/>
        <v>KINIK BELEDİYE BAŞKANLIĞI İZMİR</v>
      </c>
      <c r="M534" s="18" t="str">
        <f t="shared" si="31"/>
        <v>KINIK</v>
      </c>
    </row>
    <row r="535" spans="1:13" x14ac:dyDescent="0.25">
      <c r="A535" t="s">
        <v>1323</v>
      </c>
      <c r="B535" t="s">
        <v>704</v>
      </c>
      <c r="C535" t="s">
        <v>304</v>
      </c>
      <c r="D535">
        <v>10</v>
      </c>
      <c r="E535">
        <v>90001</v>
      </c>
      <c r="F535" t="s">
        <v>1324</v>
      </c>
      <c r="G535">
        <f t="shared" si="32"/>
        <v>26</v>
      </c>
      <c r="H535" s="9">
        <f>IF(ISERROR(VLOOKUP(A535,Excel4!D:J,7,0)),0,VLOOKUP(A535,Excel4!D:J,7,0))</f>
        <v>0</v>
      </c>
      <c r="I535" s="15" t="s">
        <v>1777</v>
      </c>
      <c r="J535" s="15" t="s">
        <v>304</v>
      </c>
      <c r="K535" s="15" t="s">
        <v>112</v>
      </c>
      <c r="L535" s="18" t="str">
        <f t="shared" si="30"/>
        <v>KİRAZ BELEDİYE BAŞKANLIĞI İZMİR</v>
      </c>
      <c r="M535" s="18" t="str">
        <f t="shared" si="31"/>
        <v>KİRAZ</v>
      </c>
    </row>
    <row r="536" spans="1:13" x14ac:dyDescent="0.25">
      <c r="A536" t="s">
        <v>1325</v>
      </c>
      <c r="B536" t="s">
        <v>2555</v>
      </c>
      <c r="C536" t="s">
        <v>203</v>
      </c>
      <c r="D536">
        <v>12</v>
      </c>
      <c r="E536">
        <v>90001</v>
      </c>
      <c r="F536" t="s">
        <v>1326</v>
      </c>
      <c r="G536">
        <f t="shared" si="32"/>
        <v>26</v>
      </c>
      <c r="H536" s="9">
        <f>IF(ISERROR(VLOOKUP(A536,Excel4!D:J,7,0)),0,VLOOKUP(A536,Excel4!D:J,7,0))</f>
        <v>0</v>
      </c>
      <c r="I536" s="15" t="s">
        <v>1777</v>
      </c>
      <c r="J536" s="15" t="s">
        <v>203</v>
      </c>
      <c r="K536" s="15" t="s">
        <v>112</v>
      </c>
      <c r="L536" s="18" t="str">
        <f t="shared" si="30"/>
        <v>MENDERES BELEDİYE BAŞKANLIĞI İZMİR</v>
      </c>
      <c r="M536" s="18" t="str">
        <f t="shared" si="31"/>
        <v>MENDERES</v>
      </c>
    </row>
    <row r="537" spans="1:13" x14ac:dyDescent="0.25">
      <c r="A537" t="s">
        <v>1327</v>
      </c>
      <c r="B537" t="s">
        <v>704</v>
      </c>
      <c r="C537" t="s">
        <v>240</v>
      </c>
      <c r="D537">
        <v>10</v>
      </c>
      <c r="E537">
        <v>90001</v>
      </c>
      <c r="F537" t="s">
        <v>1328</v>
      </c>
      <c r="G537">
        <f t="shared" si="32"/>
        <v>26</v>
      </c>
      <c r="H537" s="9">
        <f>IF(ISERROR(VLOOKUP(A537,Excel4!D:J,7,0)),0,VLOOKUP(A537,Excel4!D:J,7,0))</f>
        <v>0</v>
      </c>
      <c r="I537" s="15" t="s">
        <v>1777</v>
      </c>
      <c r="J537" s="15" t="s">
        <v>240</v>
      </c>
      <c r="K537" s="15" t="s">
        <v>112</v>
      </c>
      <c r="L537" s="18" t="str">
        <f t="shared" si="30"/>
        <v>MORDOĞAN BELEDİYE BAŞKANLIĞI İZMİR</v>
      </c>
      <c r="M537" s="18" t="str">
        <f t="shared" si="31"/>
        <v>MORDOĞAN</v>
      </c>
    </row>
    <row r="538" spans="1:13" x14ac:dyDescent="0.25">
      <c r="A538" s="6" t="s">
        <v>1329</v>
      </c>
      <c r="B538" t="s">
        <v>704</v>
      </c>
      <c r="C538" t="s">
        <v>261</v>
      </c>
      <c r="D538">
        <v>10</v>
      </c>
      <c r="E538">
        <v>90001</v>
      </c>
      <c r="F538" t="s">
        <v>1330</v>
      </c>
      <c r="G538">
        <f t="shared" si="32"/>
        <v>26</v>
      </c>
      <c r="H538" s="9">
        <f>IF(ISERROR(VLOOKUP(A538,Excel4!D:J,7,0)),0,VLOOKUP(A538,Excel4!D:J,7,0))</f>
        <v>0</v>
      </c>
      <c r="I538" s="15" t="s">
        <v>1777</v>
      </c>
      <c r="J538" s="15" t="s">
        <v>261</v>
      </c>
      <c r="K538" s="15" t="s">
        <v>112</v>
      </c>
      <c r="L538" s="18" t="str">
        <f t="shared" si="30"/>
        <v>ÖDEMİŞ BELEDİYE BAŞKANLIĞI İZMİR</v>
      </c>
      <c r="M538" s="18" t="str">
        <f t="shared" si="31"/>
        <v>ÖDEMİŞ</v>
      </c>
    </row>
    <row r="539" spans="1:13" x14ac:dyDescent="0.25">
      <c r="A539" t="s">
        <v>1692</v>
      </c>
      <c r="B539" t="s">
        <v>2555</v>
      </c>
      <c r="C539" t="s">
        <v>177</v>
      </c>
      <c r="D539">
        <v>12</v>
      </c>
      <c r="E539">
        <v>90001</v>
      </c>
      <c r="F539" t="s">
        <v>1693</v>
      </c>
      <c r="G539">
        <f t="shared" si="32"/>
        <v>26</v>
      </c>
      <c r="H539" s="9">
        <f>IF(ISERROR(VLOOKUP(A539,Excel4!D:J,7,0)),0,VLOOKUP(A539,Excel4!D:J,7,0))</f>
        <v>0</v>
      </c>
      <c r="I539" s="15" t="s">
        <v>1777</v>
      </c>
      <c r="J539" s="15" t="s">
        <v>177</v>
      </c>
      <c r="K539" s="15" t="s">
        <v>112</v>
      </c>
      <c r="L539" s="18" t="str">
        <f t="shared" si="30"/>
        <v>SEFERİHİSAR BELEDİYE BAŞKANLIĞI İZMİR</v>
      </c>
      <c r="M539" s="18" t="str">
        <f t="shared" si="31"/>
        <v>SEFERİHİSAR</v>
      </c>
    </row>
    <row r="540" spans="1:13" x14ac:dyDescent="0.25">
      <c r="A540" t="s">
        <v>1331</v>
      </c>
      <c r="B540" t="s">
        <v>704</v>
      </c>
      <c r="C540" t="s">
        <v>237</v>
      </c>
      <c r="D540">
        <v>10</v>
      </c>
      <c r="E540">
        <v>90001</v>
      </c>
      <c r="F540" t="s">
        <v>1332</v>
      </c>
      <c r="G540">
        <f t="shared" si="32"/>
        <v>26</v>
      </c>
      <c r="H540" s="9">
        <f>IF(ISERROR(VLOOKUP(A540,Excel4!D:J,7,0)),0,VLOOKUP(A540,Excel4!D:J,7,0))</f>
        <v>0</v>
      </c>
      <c r="I540" s="15" t="s">
        <v>1777</v>
      </c>
      <c r="J540" s="15" t="s">
        <v>237</v>
      </c>
      <c r="K540" s="15" t="s">
        <v>112</v>
      </c>
      <c r="L540" s="18" t="str">
        <f t="shared" si="30"/>
        <v>SELÇUK BELEDİYE BAŞKANLIĞI İZMİR</v>
      </c>
      <c r="M540" s="18" t="str">
        <f t="shared" si="31"/>
        <v>SELÇUK</v>
      </c>
    </row>
    <row r="541" spans="1:13" x14ac:dyDescent="0.25">
      <c r="A541" t="s">
        <v>1694</v>
      </c>
      <c r="B541" t="s">
        <v>699</v>
      </c>
      <c r="C541" t="s">
        <v>12</v>
      </c>
      <c r="D541">
        <v>15</v>
      </c>
      <c r="E541">
        <v>90001</v>
      </c>
      <c r="F541" t="s">
        <v>485</v>
      </c>
      <c r="G541">
        <f t="shared" si="32"/>
        <v>26</v>
      </c>
      <c r="H541" s="9">
        <f>IF(ISERROR(VLOOKUP(A541,Excel4!D:J,7,0)),0,VLOOKUP(A541,Excel4!D:J,7,0))</f>
        <v>0</v>
      </c>
      <c r="I541" s="15" t="s">
        <v>1777</v>
      </c>
      <c r="J541" s="15" t="s">
        <v>12</v>
      </c>
      <c r="K541" s="15" t="s">
        <v>112</v>
      </c>
      <c r="L541" s="18" t="str">
        <f t="shared" si="30"/>
        <v>TİRE BELEDİYE BAŞKANLIĞI İZMİR</v>
      </c>
      <c r="M541" s="18" t="str">
        <f t="shared" si="31"/>
        <v>TİRE</v>
      </c>
    </row>
    <row r="542" spans="1:13" x14ac:dyDescent="0.25">
      <c r="A542" t="s">
        <v>1695</v>
      </c>
      <c r="B542" t="s">
        <v>699</v>
      </c>
      <c r="C542" t="s">
        <v>82</v>
      </c>
      <c r="D542">
        <v>15</v>
      </c>
      <c r="E542">
        <v>90001</v>
      </c>
      <c r="F542" t="s">
        <v>1696</v>
      </c>
      <c r="G542">
        <f t="shared" si="32"/>
        <v>26</v>
      </c>
      <c r="H542" s="9">
        <f>IF(ISERROR(VLOOKUP(A542,Excel4!D:J,7,0)),0,VLOOKUP(A542,Excel4!D:J,7,0))</f>
        <v>0</v>
      </c>
      <c r="I542" s="15" t="s">
        <v>1777</v>
      </c>
      <c r="J542" s="15" t="s">
        <v>82</v>
      </c>
      <c r="K542" s="15" t="s">
        <v>112</v>
      </c>
      <c r="L542" s="18" t="str">
        <f t="shared" si="30"/>
        <v>TORBALI BELEDİYE BAŞKANLIĞI İZMİR</v>
      </c>
      <c r="M542" s="18" t="str">
        <f t="shared" si="31"/>
        <v>TORBALI</v>
      </c>
    </row>
    <row r="543" spans="1:13" x14ac:dyDescent="0.25">
      <c r="A543" t="s">
        <v>1941</v>
      </c>
      <c r="B543" t="s">
        <v>818</v>
      </c>
      <c r="C543" t="s">
        <v>84</v>
      </c>
      <c r="D543">
        <v>64</v>
      </c>
      <c r="E543">
        <v>90001</v>
      </c>
      <c r="F543" t="s">
        <v>1990</v>
      </c>
      <c r="G543">
        <f t="shared" si="32"/>
        <v>26</v>
      </c>
      <c r="H543" s="9">
        <f>IF(ISERROR(VLOOKUP(A543,Excel4!D:J,7,0)),0,VLOOKUP(A543,Excel4!D:J,7,0))</f>
        <v>0</v>
      </c>
      <c r="I543" s="15" t="s">
        <v>1777</v>
      </c>
      <c r="J543" s="15" t="s">
        <v>1874</v>
      </c>
      <c r="K543" s="15" t="s">
        <v>112</v>
      </c>
      <c r="L543" s="18" t="str">
        <f t="shared" si="30"/>
        <v>ZEYTİNDAĞ BELEDİYE BAŞKANLIĞI İZMİR</v>
      </c>
      <c r="M543" s="18" t="str">
        <f t="shared" si="31"/>
        <v>ZEYTİNDAĞ</v>
      </c>
    </row>
    <row r="544" spans="1:13" x14ac:dyDescent="0.25">
      <c r="A544" t="s">
        <v>1333</v>
      </c>
      <c r="B544" t="s">
        <v>704</v>
      </c>
      <c r="C544" t="s">
        <v>623</v>
      </c>
      <c r="D544">
        <v>10</v>
      </c>
      <c r="E544">
        <v>90001</v>
      </c>
      <c r="F544" t="s">
        <v>1334</v>
      </c>
      <c r="G544">
        <f t="shared" si="32"/>
        <v>26</v>
      </c>
      <c r="H544" s="9">
        <f>IF(ISERROR(VLOOKUP(A544,Excel4!D:J,7,0)),0,VLOOKUP(A544,Excel4!D:J,7,0))</f>
        <v>0</v>
      </c>
      <c r="I544" s="15" t="s">
        <v>1777</v>
      </c>
      <c r="J544" s="15" t="s">
        <v>623</v>
      </c>
      <c r="K544" s="15" t="s">
        <v>78</v>
      </c>
      <c r="L544" s="18" t="str">
        <f t="shared" si="30"/>
        <v>AFŞİN BELEDİYE BAŞKANLIĞI K.MARAŞ</v>
      </c>
      <c r="M544" s="18" t="str">
        <f t="shared" si="31"/>
        <v>AFŞİN</v>
      </c>
    </row>
    <row r="545" spans="1:14" x14ac:dyDescent="0.25">
      <c r="A545" t="s">
        <v>1335</v>
      </c>
      <c r="B545" t="s">
        <v>704</v>
      </c>
      <c r="C545" t="s">
        <v>624</v>
      </c>
      <c r="D545">
        <v>10</v>
      </c>
      <c r="E545">
        <v>90001</v>
      </c>
      <c r="F545" t="s">
        <v>1336</v>
      </c>
      <c r="G545">
        <f t="shared" si="32"/>
        <v>26</v>
      </c>
      <c r="H545" s="9">
        <f>IF(ISERROR(VLOOKUP(A545,Excel4!D:J,7,0)),0,VLOOKUP(A545,Excel4!D:J,7,0))</f>
        <v>0</v>
      </c>
      <c r="I545" s="15" t="s">
        <v>1777</v>
      </c>
      <c r="J545" s="15" t="s">
        <v>624</v>
      </c>
      <c r="K545" s="15" t="s">
        <v>78</v>
      </c>
      <c r="L545" s="18" t="str">
        <f t="shared" si="30"/>
        <v>ANDIRIN BELEDİYE BAŞKANLIĞI K.MARAŞ</v>
      </c>
      <c r="M545" s="18" t="str">
        <f t="shared" si="31"/>
        <v>ANDIRIN</v>
      </c>
    </row>
    <row r="546" spans="1:14" x14ac:dyDescent="0.25">
      <c r="A546" t="s">
        <v>1896</v>
      </c>
      <c r="B546" t="s">
        <v>699</v>
      </c>
      <c r="C546" t="s">
        <v>1768</v>
      </c>
      <c r="D546">
        <v>15</v>
      </c>
      <c r="E546">
        <v>90001</v>
      </c>
      <c r="F546" t="s">
        <v>403</v>
      </c>
      <c r="G546">
        <f t="shared" si="32"/>
        <v>26</v>
      </c>
      <c r="H546" s="9">
        <f>IF(ISERROR(VLOOKUP(A546,Excel4!D:J,7,0)),0,VLOOKUP(A546,Excel4!D:J,7,0))</f>
        <v>285524.80999999994</v>
      </c>
      <c r="I546" s="15" t="s">
        <v>1777</v>
      </c>
      <c r="J546" s="15" t="s">
        <v>27</v>
      </c>
      <c r="K546" s="15" t="s">
        <v>112</v>
      </c>
      <c r="L546" s="18" t="str">
        <f t="shared" si="30"/>
        <v>İZMİR BÜYÜKŞEHİR BELEDİYE BAŞKANLIĞI</v>
      </c>
      <c r="M546" s="18" t="str">
        <f t="shared" si="31"/>
        <v>İZMİR BÜYÜKŞEHİR</v>
      </c>
      <c r="N546">
        <f>_xlfn.XLOOKUP(M546,[1]Sheet1!$A:$A,[1]Sheet1!$G:$G)</f>
        <v>0</v>
      </c>
    </row>
    <row r="547" spans="1:14" x14ac:dyDescent="0.25">
      <c r="A547" t="s">
        <v>1337</v>
      </c>
      <c r="B547" t="s">
        <v>704</v>
      </c>
      <c r="C547" t="s">
        <v>625</v>
      </c>
      <c r="D547">
        <v>10</v>
      </c>
      <c r="E547">
        <v>90001</v>
      </c>
      <c r="F547" t="s">
        <v>1338</v>
      </c>
      <c r="G547">
        <f t="shared" si="32"/>
        <v>26</v>
      </c>
      <c r="H547" s="9">
        <f>IF(ISERROR(VLOOKUP(A547,Excel4!D:J,7,0)),0,VLOOKUP(A547,Excel4!D:J,7,0))</f>
        <v>0</v>
      </c>
      <c r="I547" s="15" t="s">
        <v>1777</v>
      </c>
      <c r="J547" s="15" t="s">
        <v>625</v>
      </c>
      <c r="K547" s="15" t="s">
        <v>78</v>
      </c>
      <c r="L547" s="18" t="str">
        <f t="shared" si="30"/>
        <v>ELBİSTAN BELEDİYE BAŞKANLIĞI K.MARAŞ</v>
      </c>
      <c r="M547" s="18" t="str">
        <f t="shared" si="31"/>
        <v>ELBİSTAN</v>
      </c>
    </row>
    <row r="548" spans="1:14" x14ac:dyDescent="0.25">
      <c r="A548" t="s">
        <v>1697</v>
      </c>
      <c r="B548" t="s">
        <v>2555</v>
      </c>
      <c r="C548" t="s">
        <v>235</v>
      </c>
      <c r="D548">
        <v>12</v>
      </c>
      <c r="E548">
        <v>90001</v>
      </c>
      <c r="F548" t="s">
        <v>1698</v>
      </c>
      <c r="G548">
        <f t="shared" si="32"/>
        <v>26</v>
      </c>
      <c r="H548" s="9">
        <f>IF(ISERROR(VLOOKUP(A548,Excel4!D:J,7,0)),0,VLOOKUP(A548,Excel4!D:J,7,0))</f>
        <v>0</v>
      </c>
      <c r="I548" s="15" t="s">
        <v>1777</v>
      </c>
      <c r="J548" s="15" t="s">
        <v>235</v>
      </c>
      <c r="K548" s="15" t="s">
        <v>78</v>
      </c>
      <c r="L548" s="18" t="str">
        <f t="shared" ref="L548:L611" si="33">IF(J548="MERKEZ",K548&amp;" "&amp;I548,IF(J548="BÜYÜKŞEHİR",K548&amp;" "&amp;J548&amp;" "&amp;I548,J548&amp;" "&amp;I548&amp;" "&amp;K548))</f>
        <v>PAZARCIK BELEDİYE BAŞKANLIĞI K.MARAŞ</v>
      </c>
      <c r="M548" s="18" t="str">
        <f t="shared" si="31"/>
        <v>PAZARCIK</v>
      </c>
    </row>
    <row r="549" spans="1:14" x14ac:dyDescent="0.25">
      <c r="A549" t="s">
        <v>1339</v>
      </c>
      <c r="B549" t="s">
        <v>704</v>
      </c>
      <c r="C549" t="s">
        <v>626</v>
      </c>
      <c r="D549">
        <v>10</v>
      </c>
      <c r="E549">
        <v>90001</v>
      </c>
      <c r="F549" t="s">
        <v>1340</v>
      </c>
      <c r="G549">
        <f t="shared" si="32"/>
        <v>26</v>
      </c>
      <c r="H549" s="9">
        <f>IF(ISERROR(VLOOKUP(A549,Excel4!D:J,7,0)),0,VLOOKUP(A549,Excel4!D:J,7,0))</f>
        <v>0</v>
      </c>
      <c r="I549" s="15" t="s">
        <v>1777</v>
      </c>
      <c r="J549" s="15" t="s">
        <v>626</v>
      </c>
      <c r="K549" s="15" t="s">
        <v>78</v>
      </c>
      <c r="L549" s="18" t="str">
        <f t="shared" si="33"/>
        <v>TÜRKOĞLU BELEDİYE BAŞKANLIĞI K.MARAŞ</v>
      </c>
      <c r="M549" s="18" t="str">
        <f t="shared" si="31"/>
        <v>TÜRKOĞLU</v>
      </c>
    </row>
    <row r="550" spans="1:14" x14ac:dyDescent="0.25">
      <c r="A550" t="s">
        <v>3615</v>
      </c>
      <c r="B550" t="s">
        <v>699</v>
      </c>
      <c r="C550" t="s">
        <v>3596</v>
      </c>
      <c r="D550">
        <v>15</v>
      </c>
      <c r="E550">
        <v>90001</v>
      </c>
      <c r="F550" t="s">
        <v>405</v>
      </c>
      <c r="G550">
        <f t="shared" si="32"/>
        <v>26</v>
      </c>
      <c r="H550" s="9">
        <f>IF(ISERROR(VLOOKUP(A550,Excel4!D:J,7,0)),0,VLOOKUP(A550,Excel4!D:J,7,0))</f>
        <v>3506.6099999999997</v>
      </c>
      <c r="I550" s="15" t="s">
        <v>1777</v>
      </c>
      <c r="J550" s="15" t="s">
        <v>27</v>
      </c>
      <c r="K550" s="15" t="s">
        <v>78</v>
      </c>
      <c r="L550" s="18" t="str">
        <f t="shared" si="33"/>
        <v>K.MARAŞ BÜYÜKŞEHİR BELEDİYE BAŞKANLIĞI</v>
      </c>
      <c r="M550" s="18" t="str">
        <f t="shared" si="31"/>
        <v>K.MARAŞ BÜYÜKŞEHİR</v>
      </c>
      <c r="N550" t="e">
        <f>_xlfn.XLOOKUP(M550,[1]Sheet1!$C:$C,[1]Sheet1!$G:$G)</f>
        <v>#N/A</v>
      </c>
    </row>
    <row r="551" spans="1:14" x14ac:dyDescent="0.25">
      <c r="A551" s="19" t="s">
        <v>2273</v>
      </c>
      <c r="B551" t="s">
        <v>2555</v>
      </c>
      <c r="C551" t="s">
        <v>2206</v>
      </c>
      <c r="D551">
        <v>12</v>
      </c>
      <c r="E551">
        <v>90001</v>
      </c>
      <c r="F551" t="s">
        <v>2566</v>
      </c>
      <c r="G551">
        <f t="shared" si="32"/>
        <v>26</v>
      </c>
      <c r="H551" s="9">
        <f>IF(ISERROR(VLOOKUP(A551,Excel4!D:J,7,0)),0,VLOOKUP(A551,Excel4!D:J,7,0))</f>
        <v>250.8</v>
      </c>
      <c r="I551" s="15" t="s">
        <v>1777</v>
      </c>
      <c r="J551" s="20" t="s">
        <v>2206</v>
      </c>
      <c r="K551" s="15" t="s">
        <v>6</v>
      </c>
      <c r="L551" s="18" t="str">
        <f t="shared" si="33"/>
        <v>ESKİPAZAR BELEDİYE BAŞKANLIĞI KARABÜK</v>
      </c>
      <c r="M551" s="18" t="str">
        <f t="shared" si="31"/>
        <v>ESKİPAZAR</v>
      </c>
    </row>
    <row r="552" spans="1:14" x14ac:dyDescent="0.25">
      <c r="A552" s="19" t="s">
        <v>2647</v>
      </c>
      <c r="B552" s="19" t="s">
        <v>704</v>
      </c>
      <c r="C552" s="19" t="s">
        <v>2601</v>
      </c>
      <c r="D552">
        <v>10</v>
      </c>
      <c r="E552">
        <v>90001</v>
      </c>
      <c r="F552" t="s">
        <v>2653</v>
      </c>
      <c r="G552">
        <f t="shared" si="32"/>
        <v>26</v>
      </c>
      <c r="H552" s="9">
        <f>IF(ISERROR(VLOOKUP(A552,Excel4!D:J,7,0)),0,VLOOKUP(A552,Excel4!D:J,7,0))</f>
        <v>0</v>
      </c>
      <c r="I552" s="15" t="s">
        <v>1777</v>
      </c>
      <c r="J552" s="20" t="s">
        <v>2601</v>
      </c>
      <c r="K552" s="15" t="s">
        <v>6</v>
      </c>
      <c r="L552" s="18" t="str">
        <f t="shared" si="33"/>
        <v>EFLANİ BELEDİYE BAŞKANLIĞI KARABÜK</v>
      </c>
      <c r="M552" s="18" t="str">
        <f t="shared" si="31"/>
        <v>EFLANİ</v>
      </c>
    </row>
    <row r="553" spans="1:14" x14ac:dyDescent="0.25">
      <c r="A553" t="s">
        <v>3944</v>
      </c>
      <c r="B553" t="s">
        <v>704</v>
      </c>
      <c r="C553" t="s">
        <v>2061</v>
      </c>
      <c r="D553">
        <v>10</v>
      </c>
      <c r="E553">
        <v>90001</v>
      </c>
      <c r="F553" t="s">
        <v>3946</v>
      </c>
      <c r="G553">
        <f t="shared" si="32"/>
        <v>26</v>
      </c>
      <c r="H553" s="9">
        <f>IF(ISERROR(VLOOKUP(A553,Excel4!D:J,7,0)),0,VLOOKUP(A553,Excel4!D:J,7,0))</f>
        <v>0</v>
      </c>
      <c r="I553" s="15" t="s">
        <v>1777</v>
      </c>
      <c r="J553" s="15" t="s">
        <v>2061</v>
      </c>
      <c r="K553" s="15" t="s">
        <v>6</v>
      </c>
      <c r="L553" s="18" t="str">
        <f t="shared" si="33"/>
        <v>OVACIK BELEDİYE BAŞKANLIĞI KARABÜK</v>
      </c>
      <c r="M553" s="18" t="str">
        <f t="shared" si="31"/>
        <v>OVACIK</v>
      </c>
    </row>
    <row r="554" spans="1:14" x14ac:dyDescent="0.25">
      <c r="A554" t="s">
        <v>1343</v>
      </c>
      <c r="B554" t="s">
        <v>2555</v>
      </c>
      <c r="C554" t="s">
        <v>7</v>
      </c>
      <c r="D554">
        <v>12</v>
      </c>
      <c r="E554">
        <v>90001</v>
      </c>
      <c r="F554" t="s">
        <v>1344</v>
      </c>
      <c r="G554">
        <f t="shared" si="32"/>
        <v>26</v>
      </c>
      <c r="H554" s="9">
        <f>IF(ISERROR(VLOOKUP(A554,Excel4!D:J,7,0)),0,VLOOKUP(A554,Excel4!D:J,7,0))</f>
        <v>2626.77</v>
      </c>
      <c r="I554" s="15" t="s">
        <v>1777</v>
      </c>
      <c r="J554" s="15" t="s">
        <v>7</v>
      </c>
      <c r="K554" s="15" t="s">
        <v>6</v>
      </c>
      <c r="L554" s="18" t="str">
        <f t="shared" si="33"/>
        <v>SAFRANBOLU BELEDİYE BAŞKANLIĞI KARABÜK</v>
      </c>
      <c r="M554" s="18" t="str">
        <f t="shared" si="31"/>
        <v>SAFRANBOLU</v>
      </c>
      <c r="N554">
        <f>_xlfn.XLOOKUP(M554,[1]Sheet1!$A:$A,[1]Sheet1!$G:$G)</f>
        <v>0</v>
      </c>
    </row>
    <row r="555" spans="1:14" x14ac:dyDescent="0.25">
      <c r="A555" t="s">
        <v>1341</v>
      </c>
      <c r="B555" t="s">
        <v>704</v>
      </c>
      <c r="C555" t="s">
        <v>34</v>
      </c>
      <c r="D555">
        <v>10</v>
      </c>
      <c r="E555">
        <v>90001</v>
      </c>
      <c r="F555" t="s">
        <v>1342</v>
      </c>
      <c r="G555">
        <f t="shared" si="32"/>
        <v>26</v>
      </c>
      <c r="H555" s="9">
        <f>IF(ISERROR(VLOOKUP(A555,Excel4!D:J,7,0)),0,VLOOKUP(A555,Excel4!D:J,7,0))</f>
        <v>1628.31</v>
      </c>
      <c r="I555" s="15" t="s">
        <v>1777</v>
      </c>
      <c r="J555" s="15" t="s">
        <v>34</v>
      </c>
      <c r="K555" s="15" t="s">
        <v>6</v>
      </c>
      <c r="L555" s="18" t="str">
        <f t="shared" si="33"/>
        <v>KARABÜK BELEDİYE BAŞKANLIĞI</v>
      </c>
      <c r="M555" s="18" t="str">
        <f t="shared" si="31"/>
        <v>KARABÜK</v>
      </c>
      <c r="N555" t="e">
        <f>_xlfn.XLOOKUP(M555,[1]Sheet1!$C:$C,[1]Sheet1!$G:$G)</f>
        <v>#N/A</v>
      </c>
    </row>
    <row r="556" spans="1:14" x14ac:dyDescent="0.25">
      <c r="A556" t="s">
        <v>2537</v>
      </c>
      <c r="B556" t="s">
        <v>704</v>
      </c>
      <c r="C556" t="s">
        <v>2560</v>
      </c>
      <c r="D556">
        <v>10</v>
      </c>
      <c r="E556">
        <v>90001</v>
      </c>
      <c r="F556" t="s">
        <v>2561</v>
      </c>
      <c r="G556">
        <f t="shared" si="32"/>
        <v>26</v>
      </c>
      <c r="H556" s="9">
        <f>IF(ISERROR(VLOOKUP(A556,Excel4!D:J,7,0)),0,VLOOKUP(A556,Excel4!D:J,7,0))</f>
        <v>0</v>
      </c>
      <c r="I556" s="15" t="s">
        <v>1777</v>
      </c>
      <c r="J556" s="20" t="s">
        <v>2523</v>
      </c>
      <c r="K556" s="15" t="s">
        <v>81</v>
      </c>
      <c r="L556" s="18" t="str">
        <f t="shared" si="33"/>
        <v>AKÇAŞEHİR BELEDİYE BAŞKANLIĞI KARAMAN</v>
      </c>
      <c r="M556" s="18" t="str">
        <f t="shared" si="31"/>
        <v>AKÇAŞEHİR</v>
      </c>
    </row>
    <row r="557" spans="1:14" x14ac:dyDescent="0.25">
      <c r="A557" t="s">
        <v>1347</v>
      </c>
      <c r="B557" t="s">
        <v>704</v>
      </c>
      <c r="C557" t="s">
        <v>601</v>
      </c>
      <c r="D557">
        <v>10</v>
      </c>
      <c r="E557">
        <v>90001</v>
      </c>
      <c r="F557" t="s">
        <v>1348</v>
      </c>
      <c r="G557">
        <f t="shared" si="32"/>
        <v>26</v>
      </c>
      <c r="H557" s="9">
        <f>IF(ISERROR(VLOOKUP(A557,Excel4!D:J,7,0)),0,VLOOKUP(A557,Excel4!D:J,7,0))</f>
        <v>0</v>
      </c>
      <c r="I557" s="15" t="s">
        <v>1777</v>
      </c>
      <c r="J557" s="15" t="s">
        <v>601</v>
      </c>
      <c r="K557" s="15" t="s">
        <v>81</v>
      </c>
      <c r="L557" s="18" t="str">
        <f t="shared" si="33"/>
        <v>AYRANCI BELEDİYE BAŞKANLIĞI KARAMAN</v>
      </c>
      <c r="M557" s="18" t="str">
        <f t="shared" si="31"/>
        <v>AYRANCI</v>
      </c>
    </row>
    <row r="558" spans="1:14" x14ac:dyDescent="0.25">
      <c r="A558" t="s">
        <v>1349</v>
      </c>
      <c r="B558" t="s">
        <v>818</v>
      </c>
      <c r="C558" t="s">
        <v>602</v>
      </c>
      <c r="D558">
        <v>64</v>
      </c>
      <c r="E558">
        <v>90001</v>
      </c>
      <c r="F558" t="s">
        <v>277</v>
      </c>
      <c r="G558">
        <f t="shared" si="32"/>
        <v>26</v>
      </c>
      <c r="H558" s="9">
        <f>IF(ISERROR(VLOOKUP(A558,Excel4!D:J,7,0)),0,VLOOKUP(A558,Excel4!D:J,7,0))</f>
        <v>27.79</v>
      </c>
      <c r="I558" s="15" t="s">
        <v>1777</v>
      </c>
      <c r="J558" s="15" t="s">
        <v>602</v>
      </c>
      <c r="K558" s="15" t="s">
        <v>81</v>
      </c>
      <c r="L558" s="18" t="str">
        <f t="shared" si="33"/>
        <v>ERMENEK BELEDİYE BAŞKANLIĞI KARAMAN</v>
      </c>
      <c r="M558" s="18" t="str">
        <f t="shared" si="31"/>
        <v>ERMENEK</v>
      </c>
    </row>
    <row r="559" spans="1:14" x14ac:dyDescent="0.25">
      <c r="A559" t="s">
        <v>2538</v>
      </c>
      <c r="B559" t="s">
        <v>2555</v>
      </c>
      <c r="C559" t="s">
        <v>602</v>
      </c>
      <c r="D559">
        <v>12</v>
      </c>
      <c r="E559">
        <v>90001</v>
      </c>
      <c r="F559" t="s">
        <v>2562</v>
      </c>
      <c r="G559">
        <f t="shared" si="32"/>
        <v>26</v>
      </c>
      <c r="H559" s="9">
        <f>IF(ISERROR(VLOOKUP(A559,Excel4!D:J,7,0)),0,VLOOKUP(A559,Excel4!D:J,7,0))</f>
        <v>0</v>
      </c>
      <c r="I559" s="15" t="s">
        <v>1777</v>
      </c>
      <c r="J559" s="20" t="s">
        <v>2414</v>
      </c>
      <c r="K559" s="15" t="s">
        <v>81</v>
      </c>
      <c r="L559" s="18" t="str">
        <f t="shared" si="33"/>
        <v>KAZANCI BELEDİYE BAŞKANLIĞI KARAMAN</v>
      </c>
      <c r="M559" s="18" t="str">
        <f t="shared" si="31"/>
        <v>KAZANCI</v>
      </c>
    </row>
    <row r="560" spans="1:14" x14ac:dyDescent="0.25">
      <c r="A560" t="s">
        <v>1345</v>
      </c>
      <c r="B560" t="s">
        <v>704</v>
      </c>
      <c r="C560" t="s">
        <v>90</v>
      </c>
      <c r="D560">
        <v>10</v>
      </c>
      <c r="E560">
        <v>90001</v>
      </c>
      <c r="F560" t="s">
        <v>1346</v>
      </c>
      <c r="G560">
        <f t="shared" si="32"/>
        <v>26</v>
      </c>
      <c r="H560" s="9">
        <f>IF(ISERROR(VLOOKUP(A560,Excel4!D:J,7,0)),0,VLOOKUP(A560,Excel4!D:J,7,0))</f>
        <v>0</v>
      </c>
      <c r="I560" s="15" t="s">
        <v>1777</v>
      </c>
      <c r="J560" s="15" t="s">
        <v>90</v>
      </c>
      <c r="K560" s="15" t="s">
        <v>6</v>
      </c>
      <c r="L560" s="18" t="str">
        <f t="shared" si="33"/>
        <v>YENİCE BELEDİYE BAŞKANLIĞI KARABÜK</v>
      </c>
      <c r="M560" s="18" t="str">
        <f t="shared" si="31"/>
        <v>YENİCE</v>
      </c>
      <c r="N560">
        <f>_xlfn.XLOOKUP(M560,[1]Sheet1!$A:$A,[1]Sheet1!$G:$G)</f>
        <v>0</v>
      </c>
    </row>
    <row r="561" spans="1:14" x14ac:dyDescent="0.25">
      <c r="A561" t="s">
        <v>1350</v>
      </c>
      <c r="B561" t="s">
        <v>704</v>
      </c>
      <c r="C561" t="s">
        <v>603</v>
      </c>
      <c r="D561">
        <v>10</v>
      </c>
      <c r="E561">
        <v>90001</v>
      </c>
      <c r="F561" t="s">
        <v>1351</v>
      </c>
      <c r="G561">
        <f t="shared" si="32"/>
        <v>26</v>
      </c>
      <c r="H561" s="9">
        <f>IF(ISERROR(VLOOKUP(A561,Excel4!D:J,7,0)),0,VLOOKUP(A561,Excel4!D:J,7,0))</f>
        <v>0</v>
      </c>
      <c r="I561" s="15" t="s">
        <v>1777</v>
      </c>
      <c r="J561" s="15" t="s">
        <v>603</v>
      </c>
      <c r="K561" s="15" t="s">
        <v>81</v>
      </c>
      <c r="L561" s="18" t="str">
        <f t="shared" si="33"/>
        <v>KAZIMKARABEKİR BELEDİYE BAŞKANLIĞI KARAMAN</v>
      </c>
      <c r="M561" s="18" t="str">
        <f t="shared" si="31"/>
        <v>KAZIMKARABEKİR</v>
      </c>
    </row>
    <row r="562" spans="1:14" x14ac:dyDescent="0.25">
      <c r="A562" t="s">
        <v>1352</v>
      </c>
      <c r="B562" t="s">
        <v>704</v>
      </c>
      <c r="C562" t="s">
        <v>3365</v>
      </c>
      <c r="D562">
        <v>10</v>
      </c>
      <c r="E562">
        <v>90001</v>
      </c>
      <c r="F562" t="s">
        <v>3364</v>
      </c>
      <c r="G562">
        <f t="shared" si="32"/>
        <v>26</v>
      </c>
      <c r="H562" s="9">
        <f>IF(ISERROR(VLOOKUP(A562,Excel4!D:J,7,0)),0,VLOOKUP(A562,Excel4!D:J,7,0))</f>
        <v>4642.8999999999996</v>
      </c>
      <c r="I562" s="15" t="s">
        <v>1777</v>
      </c>
      <c r="J562" s="15" t="s">
        <v>34</v>
      </c>
      <c r="K562" s="15" t="s">
        <v>81</v>
      </c>
      <c r="L562" s="18" t="str">
        <f t="shared" si="33"/>
        <v>KARAMAN BELEDİYE BAŞKANLIĞI</v>
      </c>
      <c r="M562" s="18" t="str">
        <f t="shared" si="31"/>
        <v>KARAMAN</v>
      </c>
      <c r="N562" t="e">
        <f>_xlfn.XLOOKUP(M562,[1]Sheet1!$C:$C,[1]Sheet1!$G:$G)</f>
        <v>#N/A</v>
      </c>
    </row>
    <row r="563" spans="1:14" x14ac:dyDescent="0.25">
      <c r="A563" t="s">
        <v>3083</v>
      </c>
      <c r="B563" t="s">
        <v>704</v>
      </c>
      <c r="C563" t="s">
        <v>34</v>
      </c>
      <c r="D563">
        <v>10</v>
      </c>
      <c r="E563">
        <v>90001</v>
      </c>
      <c r="F563" t="s">
        <v>3087</v>
      </c>
      <c r="G563">
        <f t="shared" si="32"/>
        <v>26</v>
      </c>
      <c r="H563" s="9">
        <f>IF(ISERROR(VLOOKUP(A563,Excel4!D:J,7,0)),0,VLOOKUP(A563,Excel4!D:J,7,0))</f>
        <v>0</v>
      </c>
      <c r="I563" s="15" t="s">
        <v>1777</v>
      </c>
      <c r="J563" s="15" t="s">
        <v>3068</v>
      </c>
      <c r="K563" s="15" t="s">
        <v>81</v>
      </c>
      <c r="L563" s="18" t="str">
        <f t="shared" si="33"/>
        <v>SUDURAĞI BELEDİYE BAŞKANLIĞI KARAMAN</v>
      </c>
      <c r="M563" s="18" t="str">
        <f t="shared" si="31"/>
        <v>SUDURAĞI</v>
      </c>
    </row>
    <row r="564" spans="1:14" x14ac:dyDescent="0.25">
      <c r="A564" t="s">
        <v>2841</v>
      </c>
      <c r="B564" t="s">
        <v>2555</v>
      </c>
      <c r="C564" t="s">
        <v>2838</v>
      </c>
      <c r="D564">
        <v>12</v>
      </c>
      <c r="E564">
        <v>90001</v>
      </c>
      <c r="F564" t="s">
        <v>2845</v>
      </c>
      <c r="G564">
        <f t="shared" si="32"/>
        <v>26</v>
      </c>
      <c r="H564" s="9">
        <f>IF(ISERROR(VLOOKUP(A564,Excel4!D:J,7,0)),0,VLOOKUP(A564,Excel4!D:J,7,0))</f>
        <v>20.71</v>
      </c>
      <c r="I564" s="15" t="s">
        <v>1777</v>
      </c>
      <c r="J564" s="15" t="s">
        <v>2838</v>
      </c>
      <c r="K564" s="15" t="s">
        <v>81</v>
      </c>
      <c r="L564" s="18" t="str">
        <f t="shared" si="33"/>
        <v>SARIVELİLER BELEDİYE BAŞKANLIĞI KARAMAN</v>
      </c>
      <c r="M564" s="18" t="str">
        <f t="shared" si="31"/>
        <v>SARIVELİLER</v>
      </c>
    </row>
    <row r="565" spans="1:14" x14ac:dyDescent="0.25">
      <c r="A565" t="s">
        <v>2115</v>
      </c>
      <c r="B565" t="s">
        <v>704</v>
      </c>
      <c r="C565" t="s">
        <v>2110</v>
      </c>
      <c r="D565">
        <v>10</v>
      </c>
      <c r="E565">
        <v>90001</v>
      </c>
      <c r="F565" t="s">
        <v>2119</v>
      </c>
      <c r="G565">
        <f t="shared" si="32"/>
        <v>26</v>
      </c>
      <c r="H565" s="9">
        <f>IF(ISERROR(VLOOKUP(A565,Excel4!D:J,7,0)),0,VLOOKUP(A565,Excel4!D:J,7,0))</f>
        <v>0</v>
      </c>
      <c r="I565" s="15" t="s">
        <v>1777</v>
      </c>
      <c r="J565" s="15" t="s">
        <v>2110</v>
      </c>
      <c r="K565" s="15" t="s">
        <v>77</v>
      </c>
      <c r="L565" s="18" t="str">
        <f t="shared" si="33"/>
        <v>ARPAÇAY BELEDİYE BAŞKANLIĞI KARS</v>
      </c>
      <c r="M565" s="18" t="str">
        <f t="shared" si="31"/>
        <v>ARPAÇAY</v>
      </c>
    </row>
    <row r="566" spans="1:14" x14ac:dyDescent="0.25">
      <c r="A566" t="s">
        <v>2470</v>
      </c>
      <c r="B566" t="s">
        <v>704</v>
      </c>
      <c r="C566" t="s">
        <v>2391</v>
      </c>
      <c r="D566">
        <v>10</v>
      </c>
      <c r="E566">
        <v>90001</v>
      </c>
      <c r="F566" t="s">
        <v>2471</v>
      </c>
      <c r="G566">
        <f t="shared" si="32"/>
        <v>26</v>
      </c>
      <c r="H566" s="9">
        <f>IF(ISERROR(VLOOKUP(A566,Excel4!D:J,7,0)),0,VLOOKUP(A566,Excel4!D:J,7,0))</f>
        <v>0</v>
      </c>
      <c r="I566" s="15" t="s">
        <v>1777</v>
      </c>
      <c r="J566" s="20" t="s">
        <v>2391</v>
      </c>
      <c r="K566" s="15" t="s">
        <v>77</v>
      </c>
      <c r="L566" s="18" t="str">
        <f t="shared" si="33"/>
        <v>DİGOR BELEDİYE BAŞKANLIĞI KARS</v>
      </c>
      <c r="M566" s="18" t="str">
        <f t="shared" si="31"/>
        <v>DİGOR</v>
      </c>
    </row>
    <row r="567" spans="1:14" x14ac:dyDescent="0.25">
      <c r="A567" t="s">
        <v>1353</v>
      </c>
      <c r="B567" t="s">
        <v>704</v>
      </c>
      <c r="C567" t="s">
        <v>604</v>
      </c>
      <c r="D567">
        <v>10</v>
      </c>
      <c r="E567">
        <v>90001</v>
      </c>
      <c r="F567" t="s">
        <v>1354</v>
      </c>
      <c r="G567">
        <f t="shared" si="32"/>
        <v>26</v>
      </c>
      <c r="H567" s="9">
        <f>IF(ISERROR(VLOOKUP(A567,Excel4!D:J,7,0)),0,VLOOKUP(A567,Excel4!D:J,7,0))</f>
        <v>0</v>
      </c>
      <c r="I567" s="15" t="s">
        <v>1777</v>
      </c>
      <c r="J567" s="15" t="s">
        <v>604</v>
      </c>
      <c r="K567" s="15" t="s">
        <v>77</v>
      </c>
      <c r="L567" s="18" t="str">
        <f t="shared" si="33"/>
        <v>KAĞIZMAN BELEDİYE BAŞKANLIĞI KARS</v>
      </c>
      <c r="M567" s="18" t="str">
        <f t="shared" si="31"/>
        <v>KAĞIZMAN</v>
      </c>
    </row>
    <row r="568" spans="1:14" x14ac:dyDescent="0.25">
      <c r="A568" t="s">
        <v>2472</v>
      </c>
      <c r="B568" t="s">
        <v>704</v>
      </c>
      <c r="C568" t="s">
        <v>269</v>
      </c>
      <c r="D568">
        <v>10</v>
      </c>
      <c r="E568">
        <v>90001</v>
      </c>
      <c r="F568" t="s">
        <v>2473</v>
      </c>
      <c r="G568">
        <f t="shared" si="32"/>
        <v>26</v>
      </c>
      <c r="H568" s="9">
        <f>IF(ISERROR(VLOOKUP(A568,Excel4!D:J,7,0)),0,VLOOKUP(A568,Excel4!D:J,7,0))</f>
        <v>0</v>
      </c>
      <c r="I568" s="15" t="s">
        <v>1777</v>
      </c>
      <c r="J568" s="20" t="s">
        <v>269</v>
      </c>
      <c r="K568" s="15" t="s">
        <v>77</v>
      </c>
      <c r="L568" s="18" t="str">
        <f t="shared" si="33"/>
        <v>AKYAKA BELEDİYE BAŞKANLIĞI KARS</v>
      </c>
      <c r="M568" s="18" t="str">
        <f t="shared" si="31"/>
        <v>AKYAKA</v>
      </c>
      <c r="N568">
        <f>_xlfn.XLOOKUP(M568,[1]Sheet1!$A:$A,[1]Sheet1!$G:$G)</f>
        <v>0</v>
      </c>
    </row>
    <row r="569" spans="1:14" x14ac:dyDescent="0.25">
      <c r="A569" t="s">
        <v>1699</v>
      </c>
      <c r="B569" t="s">
        <v>2555</v>
      </c>
      <c r="C569" t="s">
        <v>77</v>
      </c>
      <c r="D569">
        <v>12</v>
      </c>
      <c r="E569">
        <v>90001</v>
      </c>
      <c r="F569" t="s">
        <v>3297</v>
      </c>
      <c r="G569">
        <f t="shared" si="32"/>
        <v>26</v>
      </c>
      <c r="H569" s="9">
        <f>IF(ISERROR(VLOOKUP(A569,Excel4!D:J,7,0)),0,VLOOKUP(A569,Excel4!D:J,7,0))</f>
        <v>767.42000000000007</v>
      </c>
      <c r="I569" s="15" t="s">
        <v>1777</v>
      </c>
      <c r="J569" s="15" t="s">
        <v>34</v>
      </c>
      <c r="K569" s="15" t="s">
        <v>77</v>
      </c>
      <c r="L569" s="18" t="str">
        <f t="shared" si="33"/>
        <v>KARS BELEDİYE BAŞKANLIĞI</v>
      </c>
      <c r="M569" s="18" t="str">
        <f t="shared" si="31"/>
        <v>KARS</v>
      </c>
      <c r="N569" t="e">
        <f>_xlfn.XLOOKUP(M569,[1]Sheet1!$C:$C,[1]Sheet1!$G:$G)</f>
        <v>#N/A</v>
      </c>
    </row>
    <row r="570" spans="1:14" x14ac:dyDescent="0.25">
      <c r="A570" t="s">
        <v>2474</v>
      </c>
      <c r="B570" t="s">
        <v>704</v>
      </c>
      <c r="C570" t="s">
        <v>2404</v>
      </c>
      <c r="D570">
        <v>10</v>
      </c>
      <c r="E570">
        <v>90001</v>
      </c>
      <c r="F570" t="s">
        <v>2475</v>
      </c>
      <c r="G570">
        <f t="shared" si="32"/>
        <v>26</v>
      </c>
      <c r="H570" s="9">
        <f>IF(ISERROR(VLOOKUP(A570,Excel4!D:J,7,0)),0,VLOOKUP(A570,Excel4!D:J,7,0))</f>
        <v>0</v>
      </c>
      <c r="I570" s="15" t="s">
        <v>1777</v>
      </c>
      <c r="J570" s="20" t="s">
        <v>2404</v>
      </c>
      <c r="K570" s="15" t="s">
        <v>77</v>
      </c>
      <c r="L570" s="18" t="str">
        <f t="shared" si="33"/>
        <v>SELİM BELEDİYE BAŞKANLIĞI KARS</v>
      </c>
      <c r="M570" s="18" t="str">
        <f t="shared" si="31"/>
        <v>SELİM</v>
      </c>
    </row>
    <row r="571" spans="1:14" x14ac:dyDescent="0.25">
      <c r="A571" t="s">
        <v>1355</v>
      </c>
      <c r="B571" t="s">
        <v>704</v>
      </c>
      <c r="C571" t="s">
        <v>451</v>
      </c>
      <c r="D571">
        <v>10</v>
      </c>
      <c r="E571">
        <v>90001</v>
      </c>
      <c r="F571" t="s">
        <v>1356</v>
      </c>
      <c r="G571">
        <f t="shared" si="32"/>
        <v>26</v>
      </c>
      <c r="H571" s="9">
        <f>IF(ISERROR(VLOOKUP(A571,Excel4!D:J,7,0)),0,VLOOKUP(A571,Excel4!D:J,7,0))</f>
        <v>0</v>
      </c>
      <c r="I571" s="15" t="s">
        <v>1777</v>
      </c>
      <c r="J571" s="15" t="s">
        <v>451</v>
      </c>
      <c r="K571" s="15" t="s">
        <v>77</v>
      </c>
      <c r="L571" s="18" t="str">
        <f t="shared" si="33"/>
        <v>SARIKAMIŞ BELEDİYE BAŞKANLIĞI KARS</v>
      </c>
      <c r="M571" s="18" t="str">
        <f t="shared" si="31"/>
        <v>SARIKAMIŞ</v>
      </c>
    </row>
    <row r="572" spans="1:14" x14ac:dyDescent="0.25">
      <c r="A572" t="s">
        <v>1357</v>
      </c>
      <c r="B572" t="s">
        <v>704</v>
      </c>
      <c r="C572" t="s">
        <v>605</v>
      </c>
      <c r="D572">
        <v>10</v>
      </c>
      <c r="E572">
        <v>90001</v>
      </c>
      <c r="F572" t="s">
        <v>1358</v>
      </c>
      <c r="G572">
        <f t="shared" si="32"/>
        <v>26</v>
      </c>
      <c r="H572" s="9">
        <f>IF(ISERROR(VLOOKUP(A572,Excel4!D:J,7,0)),0,VLOOKUP(A572,Excel4!D:J,7,0))</f>
        <v>0</v>
      </c>
      <c r="I572" s="15" t="s">
        <v>1777</v>
      </c>
      <c r="J572" s="15" t="s">
        <v>605</v>
      </c>
      <c r="K572" s="15" t="s">
        <v>77</v>
      </c>
      <c r="L572" s="18" t="str">
        <f t="shared" si="33"/>
        <v>SUSUZ BELEDİYE BAŞKANLIĞI KARS</v>
      </c>
      <c r="M572" s="18" t="str">
        <f t="shared" si="31"/>
        <v>SUSUZ</v>
      </c>
      <c r="N572">
        <f>_xlfn.XLOOKUP(M572,[1]Sheet1!$A:$A,[1]Sheet1!$G:$G)</f>
        <v>0</v>
      </c>
    </row>
    <row r="573" spans="1:14" x14ac:dyDescent="0.25">
      <c r="A573" t="s">
        <v>2539</v>
      </c>
      <c r="B573" t="s">
        <v>704</v>
      </c>
      <c r="C573" t="s">
        <v>2405</v>
      </c>
      <c r="D573">
        <v>10</v>
      </c>
      <c r="E573">
        <v>90001</v>
      </c>
      <c r="F573" t="s">
        <v>2563</v>
      </c>
      <c r="G573">
        <f t="shared" si="32"/>
        <v>26</v>
      </c>
      <c r="H573" s="9">
        <f>IF(ISERROR(VLOOKUP(A573,Excel4!D:J,7,0)),0,VLOOKUP(A573,Excel4!D:J,7,0))</f>
        <v>0</v>
      </c>
      <c r="I573" s="15" t="s">
        <v>1777</v>
      </c>
      <c r="J573" s="20" t="s">
        <v>2405</v>
      </c>
      <c r="K573" s="15" t="s">
        <v>204</v>
      </c>
      <c r="L573" s="18" t="str">
        <f t="shared" si="33"/>
        <v>AĞLI BELEDİYE BAŞKANLIĞI KASTAMONU</v>
      </c>
      <c r="M573" s="18" t="str">
        <f t="shared" si="31"/>
        <v>AĞLI</v>
      </c>
    </row>
    <row r="574" spans="1:14" x14ac:dyDescent="0.25">
      <c r="A574" t="s">
        <v>2468</v>
      </c>
      <c r="B574" t="s">
        <v>704</v>
      </c>
      <c r="C574" t="s">
        <v>2308</v>
      </c>
      <c r="D574">
        <v>10</v>
      </c>
      <c r="E574">
        <v>90001</v>
      </c>
      <c r="F574" t="s">
        <v>2469</v>
      </c>
      <c r="G574">
        <f t="shared" si="32"/>
        <v>26</v>
      </c>
      <c r="H574" s="9">
        <f>IF(ISERROR(VLOOKUP(A574,Excel4!D:J,7,0)),0,VLOOKUP(A574,Excel4!D:J,7,0))</f>
        <v>16.690000000000001</v>
      </c>
      <c r="I574" s="15" t="s">
        <v>1777</v>
      </c>
      <c r="J574" s="15" t="s">
        <v>2308</v>
      </c>
      <c r="K574" s="15" t="s">
        <v>204</v>
      </c>
      <c r="L574" s="18" t="str">
        <f t="shared" si="33"/>
        <v>ABANA BELEDİYE BAŞKANLIĞI KASTAMONU</v>
      </c>
      <c r="M574" s="18" t="str">
        <f t="shared" si="31"/>
        <v>ABANA</v>
      </c>
    </row>
    <row r="575" spans="1:14" x14ac:dyDescent="0.25">
      <c r="A575" s="19" t="s">
        <v>2280</v>
      </c>
      <c r="B575" t="s">
        <v>704</v>
      </c>
      <c r="C575" t="s">
        <v>2232</v>
      </c>
      <c r="D575">
        <v>10</v>
      </c>
      <c r="E575">
        <v>90001</v>
      </c>
      <c r="F575" t="s">
        <v>2567</v>
      </c>
      <c r="G575">
        <f t="shared" si="32"/>
        <v>26</v>
      </c>
      <c r="H575" s="9">
        <f>IF(ISERROR(VLOOKUP(A575,Excel4!D:J,7,0)),0,VLOOKUP(A575,Excel4!D:J,7,0))</f>
        <v>34.17</v>
      </c>
      <c r="I575" s="15" t="s">
        <v>1777</v>
      </c>
      <c r="J575" s="20" t="s">
        <v>2232</v>
      </c>
      <c r="K575" s="15" t="s">
        <v>204</v>
      </c>
      <c r="L575" s="18" t="str">
        <f t="shared" si="33"/>
        <v>AZDAVAY BELEDİYE BAŞKANLIĞI KASTAMONU</v>
      </c>
      <c r="M575" s="18" t="str">
        <f t="shared" si="31"/>
        <v>AZDAVAY</v>
      </c>
      <c r="N575">
        <f>_xlfn.XLOOKUP(M575,[1]Sheet1!$A:$A,[1]Sheet1!$G:$G)</f>
        <v>0</v>
      </c>
    </row>
    <row r="576" spans="1:14" x14ac:dyDescent="0.25">
      <c r="A576" s="19" t="s">
        <v>2281</v>
      </c>
      <c r="B576" t="s">
        <v>704</v>
      </c>
      <c r="C576" t="s">
        <v>552</v>
      </c>
      <c r="D576">
        <v>10</v>
      </c>
      <c r="E576">
        <v>90001</v>
      </c>
      <c r="F576" t="s">
        <v>2580</v>
      </c>
      <c r="G576">
        <f t="shared" si="32"/>
        <v>26</v>
      </c>
      <c r="H576" s="9">
        <f>IF(ISERROR(VLOOKUP(A576,Excel4!D:J,7,0)),0,VLOOKUP(A576,Excel4!D:J,7,0))</f>
        <v>197.07</v>
      </c>
      <c r="I576" s="15" t="s">
        <v>1777</v>
      </c>
      <c r="J576" s="20" t="s">
        <v>552</v>
      </c>
      <c r="K576" s="15" t="s">
        <v>204</v>
      </c>
      <c r="L576" s="18" t="str">
        <f t="shared" si="33"/>
        <v>BOZKURT BELEDİYE BAŞKANLIĞI KASTAMONU</v>
      </c>
      <c r="M576" s="18" t="str">
        <f t="shared" si="31"/>
        <v>BOZKURT</v>
      </c>
    </row>
    <row r="577" spans="1:14" x14ac:dyDescent="0.25">
      <c r="A577" t="s">
        <v>1359</v>
      </c>
      <c r="B577" t="s">
        <v>704</v>
      </c>
      <c r="C577" t="s">
        <v>305</v>
      </c>
      <c r="D577">
        <v>10</v>
      </c>
      <c r="E577">
        <v>90001</v>
      </c>
      <c r="F577" t="s">
        <v>1360</v>
      </c>
      <c r="G577">
        <f t="shared" si="32"/>
        <v>26</v>
      </c>
      <c r="H577" s="9">
        <f>IF(ISERROR(VLOOKUP(A577,Excel4!D:J,7,0)),0,VLOOKUP(A577,Excel4!D:J,7,0))</f>
        <v>482.59000000000003</v>
      </c>
      <c r="I577" s="15" t="s">
        <v>1777</v>
      </c>
      <c r="J577" s="15" t="s">
        <v>305</v>
      </c>
      <c r="K577" s="15" t="s">
        <v>204</v>
      </c>
      <c r="L577" s="18" t="str">
        <f t="shared" si="33"/>
        <v>ARAÇ BELEDİYE BAŞKANLIĞI KASTAMONU</v>
      </c>
      <c r="M577" s="18" t="str">
        <f t="shared" si="31"/>
        <v>ARAÇ</v>
      </c>
      <c r="N577">
        <f>_xlfn.XLOOKUP(M577,[1]Sheet1!$A:$A,[1]Sheet1!$G:$G)</f>
        <v>0</v>
      </c>
    </row>
    <row r="578" spans="1:14" x14ac:dyDescent="0.25">
      <c r="A578" t="s">
        <v>2283</v>
      </c>
      <c r="B578" t="s">
        <v>704</v>
      </c>
      <c r="C578" t="s">
        <v>606</v>
      </c>
      <c r="D578">
        <v>10</v>
      </c>
      <c r="E578">
        <v>90001</v>
      </c>
      <c r="F578" t="s">
        <v>1361</v>
      </c>
      <c r="G578">
        <f t="shared" si="32"/>
        <v>26</v>
      </c>
      <c r="H578" s="9">
        <f>IF(ISERROR(VLOOKUP(A578,Excel4!D:J,7,0)),0,VLOOKUP(A578,Excel4!D:J,7,0))</f>
        <v>10.51</v>
      </c>
      <c r="I578" s="15" t="s">
        <v>1777</v>
      </c>
      <c r="J578" s="15" t="s">
        <v>606</v>
      </c>
      <c r="K578" s="15" t="s">
        <v>204</v>
      </c>
      <c r="L578" s="18" t="str">
        <f t="shared" si="33"/>
        <v>CİDE BELEDİYE BAŞKANLIĞI KASTAMONU</v>
      </c>
      <c r="M578" s="18" t="str">
        <f t="shared" si="31"/>
        <v>CİDE</v>
      </c>
      <c r="N578">
        <f>_xlfn.XLOOKUP(M578,[1]Sheet1!$A:$A,[1]Sheet1!$G:$G)</f>
        <v>0</v>
      </c>
    </row>
    <row r="579" spans="1:14" x14ac:dyDescent="0.25">
      <c r="A579" t="s">
        <v>1362</v>
      </c>
      <c r="B579" t="s">
        <v>704</v>
      </c>
      <c r="C579" t="s">
        <v>607</v>
      </c>
      <c r="D579">
        <v>10</v>
      </c>
      <c r="E579">
        <v>90001</v>
      </c>
      <c r="F579" t="s">
        <v>1363</v>
      </c>
      <c r="G579">
        <f t="shared" si="32"/>
        <v>26</v>
      </c>
      <c r="H579" s="9">
        <f>IF(ISERROR(VLOOKUP(A579,Excel4!D:J,7,0)),0,VLOOKUP(A579,Excel4!D:J,7,0))</f>
        <v>0</v>
      </c>
      <c r="I579" s="15" t="s">
        <v>1777</v>
      </c>
      <c r="J579" s="15" t="s">
        <v>607</v>
      </c>
      <c r="K579" s="15" t="s">
        <v>204</v>
      </c>
      <c r="L579" s="18" t="str">
        <f t="shared" si="33"/>
        <v>ÇATALZEYTİN BELEDİYE BAŞKANLIĞI KASTAMONU</v>
      </c>
      <c r="M579" s="18" t="str">
        <f t="shared" si="31"/>
        <v>ÇATALZEYTİN</v>
      </c>
    </row>
    <row r="580" spans="1:14" x14ac:dyDescent="0.25">
      <c r="A580" t="s">
        <v>2343</v>
      </c>
      <c r="B580" s="19" t="s">
        <v>704</v>
      </c>
      <c r="C580" s="19" t="s">
        <v>2238</v>
      </c>
      <c r="D580">
        <v>10</v>
      </c>
      <c r="E580">
        <v>90001</v>
      </c>
      <c r="F580" t="s">
        <v>2360</v>
      </c>
      <c r="G580">
        <f t="shared" si="32"/>
        <v>26</v>
      </c>
      <c r="H580" s="9">
        <f>IF(ISERROR(VLOOKUP(A580,Excel4!D:J,7,0)),0,VLOOKUP(A580,Excel4!D:J,7,0))</f>
        <v>0</v>
      </c>
      <c r="I580" s="15" t="s">
        <v>1777</v>
      </c>
      <c r="J580" s="20" t="s">
        <v>2238</v>
      </c>
      <c r="K580" s="20" t="s">
        <v>204</v>
      </c>
      <c r="L580" s="18" t="str">
        <f t="shared" si="33"/>
        <v>DADAY BELEDİYE BAŞKANLIĞI KASTAMONU</v>
      </c>
      <c r="M580" s="18" t="str">
        <f t="shared" ref="M580:M643" si="34">IF(J580="MERKEZ",K580,IF(J580="BÜYÜKŞEHİR",K580&amp;" BÜYÜKŞEHİR",J580))</f>
        <v>DADAY</v>
      </c>
    </row>
    <row r="581" spans="1:14" x14ac:dyDescent="0.25">
      <c r="A581" t="s">
        <v>4276</v>
      </c>
      <c r="B581" t="s">
        <v>704</v>
      </c>
      <c r="C581" t="s">
        <v>4228</v>
      </c>
      <c r="D581">
        <v>10</v>
      </c>
      <c r="E581">
        <v>90001</v>
      </c>
      <c r="F581" t="s">
        <v>4280</v>
      </c>
      <c r="G581">
        <f t="shared" ref="G581:G644" si="35">LEN(F581)</f>
        <v>26</v>
      </c>
      <c r="H581" s="9">
        <f>IF(ISERROR(VLOOKUP(A581,Excel4!D:J,7,0)),0,VLOOKUP(A581,Excel4!D:J,7,0))</f>
        <v>0</v>
      </c>
      <c r="I581" s="15" t="s">
        <v>1777</v>
      </c>
      <c r="J581" s="15" t="s">
        <v>4228</v>
      </c>
      <c r="K581" s="15" t="s">
        <v>204</v>
      </c>
      <c r="L581" s="18" t="str">
        <f t="shared" si="33"/>
        <v>DOĞANYURT BELEDİYE BAŞKANLIĞI KASTAMONU</v>
      </c>
      <c r="M581" s="18" t="str">
        <f t="shared" si="34"/>
        <v>DOĞANYURT</v>
      </c>
    </row>
    <row r="582" spans="1:14" x14ac:dyDescent="0.25">
      <c r="A582" t="s">
        <v>1365</v>
      </c>
      <c r="B582" t="s">
        <v>704</v>
      </c>
      <c r="C582" t="s">
        <v>609</v>
      </c>
      <c r="D582">
        <v>10</v>
      </c>
      <c r="E582">
        <v>90001</v>
      </c>
      <c r="F582" t="s">
        <v>1366</v>
      </c>
      <c r="G582">
        <f t="shared" si="35"/>
        <v>26</v>
      </c>
      <c r="H582" s="9">
        <f>IF(ISERROR(VLOOKUP(A582,Excel4!D:J,7,0)),0,VLOOKUP(A582,Excel4!D:J,7,0))</f>
        <v>0</v>
      </c>
      <c r="I582" s="15" t="s">
        <v>1777</v>
      </c>
      <c r="J582" s="15" t="s">
        <v>609</v>
      </c>
      <c r="K582" s="15" t="s">
        <v>204</v>
      </c>
      <c r="L582" s="18" t="str">
        <f t="shared" si="33"/>
        <v>İHSANGAZİ BELEDİYE BAŞKANLIĞI KASTAMONU</v>
      </c>
      <c r="M582" s="18" t="str">
        <f t="shared" si="34"/>
        <v>İHSANGAZİ</v>
      </c>
      <c r="N582">
        <f>_xlfn.XLOOKUP(M582,[1]Sheet1!$A:$A,[1]Sheet1!$G:$G)</f>
        <v>0</v>
      </c>
    </row>
    <row r="583" spans="1:14" x14ac:dyDescent="0.25">
      <c r="A583" t="s">
        <v>739</v>
      </c>
      <c r="B583" t="s">
        <v>704</v>
      </c>
      <c r="C583" t="s">
        <v>306</v>
      </c>
      <c r="D583">
        <v>10</v>
      </c>
      <c r="E583">
        <v>90001</v>
      </c>
      <c r="F583" t="s">
        <v>740</v>
      </c>
      <c r="G583">
        <f t="shared" si="35"/>
        <v>26</v>
      </c>
      <c r="H583" s="9">
        <f>IF(ISERROR(VLOOKUP(A583,Excel4!D:J,7,0)),0,VLOOKUP(A583,Excel4!D:J,7,0))</f>
        <v>11.120000000000001</v>
      </c>
      <c r="I583" s="15" t="s">
        <v>1777</v>
      </c>
      <c r="J583" s="15" t="s">
        <v>306</v>
      </c>
      <c r="K583" s="15" t="s">
        <v>204</v>
      </c>
      <c r="L583" s="18" t="str">
        <f t="shared" si="33"/>
        <v>İNEBOLU BELEDİYE BAŞKANLIĞI KASTAMONU</v>
      </c>
      <c r="M583" s="18" t="str">
        <f t="shared" si="34"/>
        <v>İNEBOLU</v>
      </c>
    </row>
    <row r="584" spans="1:14" x14ac:dyDescent="0.25">
      <c r="A584" t="s">
        <v>2540</v>
      </c>
      <c r="B584" t="s">
        <v>704</v>
      </c>
      <c r="C584" t="s">
        <v>2392</v>
      </c>
      <c r="D584">
        <v>10</v>
      </c>
      <c r="E584">
        <v>90001</v>
      </c>
      <c r="F584" t="s">
        <v>2564</v>
      </c>
      <c r="G584">
        <f t="shared" si="35"/>
        <v>26</v>
      </c>
      <c r="H584" s="9">
        <f>IF(ISERROR(VLOOKUP(A584,Excel4!D:J,7,0)),0,VLOOKUP(A584,Excel4!D:J,7,0))</f>
        <v>22.57</v>
      </c>
      <c r="I584" s="15" t="s">
        <v>1777</v>
      </c>
      <c r="J584" s="20" t="s">
        <v>2392</v>
      </c>
      <c r="K584" s="15" t="s">
        <v>204</v>
      </c>
      <c r="L584" s="18" t="str">
        <f t="shared" si="33"/>
        <v>KÜRE BELEDİYE BAŞKANLIĞI KASTAMONU</v>
      </c>
      <c r="M584" s="18" t="str">
        <f t="shared" si="34"/>
        <v>KÜRE</v>
      </c>
    </row>
    <row r="585" spans="1:14" x14ac:dyDescent="0.25">
      <c r="A585" t="s">
        <v>2282</v>
      </c>
      <c r="B585" t="s">
        <v>704</v>
      </c>
      <c r="C585" t="s">
        <v>608</v>
      </c>
      <c r="D585">
        <v>10</v>
      </c>
      <c r="E585">
        <v>90001</v>
      </c>
      <c r="F585" t="s">
        <v>1364</v>
      </c>
      <c r="G585">
        <f t="shared" si="35"/>
        <v>26</v>
      </c>
      <c r="H585" s="9">
        <f>IF(ISERROR(VLOOKUP(A585,Excel4!D:J,7,0)),0,VLOOKUP(A585,Excel4!D:J,7,0))</f>
        <v>49.64</v>
      </c>
      <c r="I585" s="15" t="s">
        <v>1777</v>
      </c>
      <c r="J585" s="15" t="s">
        <v>608</v>
      </c>
      <c r="K585" s="15" t="s">
        <v>204</v>
      </c>
      <c r="L585" s="18" t="str">
        <f t="shared" si="33"/>
        <v>DEVREKANİ BELEDİYE BAŞKANLIĞI KASTAMONU</v>
      </c>
      <c r="M585" s="18" t="str">
        <f t="shared" si="34"/>
        <v>DEVREKANİ</v>
      </c>
      <c r="N585">
        <f>_xlfn.XLOOKUP(M585,[1]Sheet1!$A:$A,[1]Sheet1!$G:$G)</f>
        <v>0</v>
      </c>
    </row>
    <row r="586" spans="1:14" x14ac:dyDescent="0.25">
      <c r="A586" t="s">
        <v>4041</v>
      </c>
      <c r="B586" t="s">
        <v>704</v>
      </c>
      <c r="C586" t="s">
        <v>610</v>
      </c>
      <c r="D586">
        <v>10</v>
      </c>
      <c r="E586">
        <v>90001</v>
      </c>
      <c r="F586" t="s">
        <v>4221</v>
      </c>
      <c r="G586">
        <f t="shared" si="35"/>
        <v>26</v>
      </c>
      <c r="H586" s="9">
        <f>IF(ISERROR(VLOOKUP(A586,Excel4!D:J,7,0)),0,VLOOKUP(A586,Excel4!D:J,7,0))</f>
        <v>0</v>
      </c>
      <c r="I586" s="15" t="s">
        <v>1777</v>
      </c>
      <c r="J586" s="15" t="s">
        <v>610</v>
      </c>
      <c r="K586" s="15" t="s">
        <v>204</v>
      </c>
      <c r="L586" s="18" t="str">
        <f t="shared" si="33"/>
        <v>PINARBAŞI BELEDİYE BAŞKANLIĞI KASTAMONU</v>
      </c>
      <c r="M586" s="18" t="str">
        <f t="shared" si="34"/>
        <v>PINARBAŞI</v>
      </c>
    </row>
    <row r="587" spans="1:14" x14ac:dyDescent="0.25">
      <c r="A587" t="s">
        <v>1369</v>
      </c>
      <c r="B587" t="s">
        <v>704</v>
      </c>
      <c r="C587" t="s">
        <v>611</v>
      </c>
      <c r="D587">
        <v>10</v>
      </c>
      <c r="E587">
        <v>90001</v>
      </c>
      <c r="F587" t="s">
        <v>1370</v>
      </c>
      <c r="G587">
        <f t="shared" si="35"/>
        <v>26</v>
      </c>
      <c r="H587" s="9">
        <f>IF(ISERROR(VLOOKUP(A587,Excel4!D:J,7,0)),0,VLOOKUP(A587,Excel4!D:J,7,0))</f>
        <v>8.91</v>
      </c>
      <c r="I587" s="15" t="s">
        <v>1777</v>
      </c>
      <c r="J587" s="15" t="s">
        <v>611</v>
      </c>
      <c r="K587" s="15" t="s">
        <v>204</v>
      </c>
      <c r="L587" s="18" t="str">
        <f t="shared" si="33"/>
        <v>SEYDİLER BELEDİYE BAŞKANLIĞI KASTAMONU</v>
      </c>
      <c r="M587" s="18" t="str">
        <f t="shared" si="34"/>
        <v>SEYDİLER</v>
      </c>
    </row>
    <row r="588" spans="1:14" x14ac:dyDescent="0.25">
      <c r="A588" t="s">
        <v>2541</v>
      </c>
      <c r="B588" t="s">
        <v>704</v>
      </c>
      <c r="C588" t="s">
        <v>2529</v>
      </c>
      <c r="D588">
        <v>10</v>
      </c>
      <c r="E588">
        <v>90001</v>
      </c>
      <c r="F588" t="s">
        <v>2565</v>
      </c>
      <c r="G588">
        <f t="shared" si="35"/>
        <v>26</v>
      </c>
      <c r="H588" s="9">
        <f>IF(ISERROR(VLOOKUP(A588,Excel4!D:J,7,0)),0,VLOOKUP(A588,Excel4!D:J,7,0))</f>
        <v>675.73</v>
      </c>
      <c r="I588" s="15" t="s">
        <v>1777</v>
      </c>
      <c r="J588" s="20" t="s">
        <v>2529</v>
      </c>
      <c r="K588" s="15" t="s">
        <v>204</v>
      </c>
      <c r="L588" s="18" t="str">
        <f t="shared" si="33"/>
        <v>ŞENPAZAR BELEDİYE BAŞKANLIĞI KASTAMONU</v>
      </c>
      <c r="M588" s="18" t="str">
        <f t="shared" si="34"/>
        <v>ŞENPAZAR</v>
      </c>
      <c r="N588">
        <f>_xlfn.XLOOKUP(M588,[1]Sheet1!$A:$A,[1]Sheet1!$G:$G)</f>
        <v>0</v>
      </c>
    </row>
    <row r="589" spans="1:14" x14ac:dyDescent="0.25">
      <c r="A589" t="s">
        <v>1700</v>
      </c>
      <c r="B589" t="s">
        <v>2555</v>
      </c>
      <c r="C589" t="s">
        <v>243</v>
      </c>
      <c r="D589">
        <v>12</v>
      </c>
      <c r="E589">
        <v>90001</v>
      </c>
      <c r="F589" t="s">
        <v>1701</v>
      </c>
      <c r="G589">
        <f t="shared" si="35"/>
        <v>26</v>
      </c>
      <c r="H589" s="9">
        <f>IF(ISERROR(VLOOKUP(A589,Excel4!D:J,7,0)),0,VLOOKUP(A589,Excel4!D:J,7,0))</f>
        <v>44.78</v>
      </c>
      <c r="I589" s="15" t="s">
        <v>1777</v>
      </c>
      <c r="J589" s="15" t="s">
        <v>243</v>
      </c>
      <c r="K589" s="15" t="s">
        <v>204</v>
      </c>
      <c r="L589" s="18" t="str">
        <f t="shared" si="33"/>
        <v>TAŞKÖPRÜ BELEDİYE BAŞKANLIĞI KASTAMONU</v>
      </c>
      <c r="M589" s="18" t="str">
        <f t="shared" si="34"/>
        <v>TAŞKÖPRÜ</v>
      </c>
      <c r="N589">
        <f>_xlfn.XLOOKUP(M589,[1]Sheet1!$A:$A,[1]Sheet1!$G:$G)</f>
        <v>0</v>
      </c>
    </row>
    <row r="590" spans="1:14" x14ac:dyDescent="0.25">
      <c r="A590" t="s">
        <v>1367</v>
      </c>
      <c r="B590" t="s">
        <v>704</v>
      </c>
      <c r="C590" t="s">
        <v>34</v>
      </c>
      <c r="D590">
        <v>10</v>
      </c>
      <c r="E590">
        <v>90001</v>
      </c>
      <c r="F590" t="s">
        <v>1368</v>
      </c>
      <c r="G590">
        <f t="shared" si="35"/>
        <v>26</v>
      </c>
      <c r="H590" s="9">
        <f>IF(ISERROR(VLOOKUP(A590,Excel4!D:J,7,0)),0,VLOOKUP(A590,Excel4!D:J,7,0))</f>
        <v>8655.9500000000007</v>
      </c>
      <c r="I590" s="15" t="s">
        <v>1777</v>
      </c>
      <c r="J590" s="15" t="s">
        <v>34</v>
      </c>
      <c r="K590" s="15" t="s">
        <v>204</v>
      </c>
      <c r="L590" s="18" t="str">
        <f t="shared" si="33"/>
        <v>KASTAMONU BELEDİYE BAŞKANLIĞI</v>
      </c>
      <c r="M590" s="18" t="str">
        <f t="shared" si="34"/>
        <v>KASTAMONU</v>
      </c>
      <c r="N590" t="e">
        <f>_xlfn.XLOOKUP(M590,[1]Sheet1!$C:$C,[1]Sheet1!$G:$G)</f>
        <v>#N/A</v>
      </c>
    </row>
    <row r="591" spans="1:14" x14ac:dyDescent="0.25">
      <c r="A591" t="s">
        <v>1793</v>
      </c>
      <c r="B591" t="s">
        <v>704</v>
      </c>
      <c r="C591" t="s">
        <v>1817</v>
      </c>
      <c r="D591">
        <v>10</v>
      </c>
      <c r="E591">
        <v>90001</v>
      </c>
      <c r="F591" t="s">
        <v>1824</v>
      </c>
      <c r="G591">
        <f t="shared" si="35"/>
        <v>26</v>
      </c>
      <c r="H591" s="9">
        <f>IF(ISERROR(VLOOKUP(A591,Excel4!D:J,7,0)),0,VLOOKUP(A591,Excel4!D:J,7,0))</f>
        <v>0</v>
      </c>
      <c r="I591" s="15" t="s">
        <v>1777</v>
      </c>
      <c r="J591" s="15" t="s">
        <v>612</v>
      </c>
      <c r="K591" s="15" t="s">
        <v>116</v>
      </c>
      <c r="L591" s="18" t="str">
        <f t="shared" si="33"/>
        <v>AĞIRNAS BELEDİYE BAŞKANLIĞI KAYSERİ</v>
      </c>
      <c r="M591" s="18" t="str">
        <f t="shared" si="34"/>
        <v>AĞIRNAS</v>
      </c>
    </row>
    <row r="592" spans="1:14" x14ac:dyDescent="0.25">
      <c r="A592" t="s">
        <v>1927</v>
      </c>
      <c r="B592" t="s">
        <v>704</v>
      </c>
      <c r="C592" t="s">
        <v>1817</v>
      </c>
      <c r="D592">
        <v>10</v>
      </c>
      <c r="E592">
        <v>90001</v>
      </c>
      <c r="F592" t="s">
        <v>1955</v>
      </c>
      <c r="G592">
        <f t="shared" si="35"/>
        <v>26</v>
      </c>
      <c r="H592" s="9">
        <f>IF(ISERROR(VLOOKUP(A592,Excel4!D:J,7,0)),0,VLOOKUP(A592,Excel4!D:J,7,0))</f>
        <v>0</v>
      </c>
      <c r="I592" s="15" t="s">
        <v>1777</v>
      </c>
      <c r="J592" s="15" t="s">
        <v>1875</v>
      </c>
      <c r="K592" s="15" t="s">
        <v>116</v>
      </c>
      <c r="L592" s="18" t="str">
        <f t="shared" si="33"/>
        <v>AMARAT BELEDİYE BAŞKANLIĞI KAYSERİ</v>
      </c>
      <c r="M592" s="18" t="str">
        <f t="shared" si="34"/>
        <v>AMARAT</v>
      </c>
    </row>
    <row r="593" spans="1:14" x14ac:dyDescent="0.25">
      <c r="A593" t="s">
        <v>1373</v>
      </c>
      <c r="B593" t="s">
        <v>704</v>
      </c>
      <c r="C593" t="s">
        <v>452</v>
      </c>
      <c r="D593">
        <v>10</v>
      </c>
      <c r="E593">
        <v>90001</v>
      </c>
      <c r="F593" t="s">
        <v>1374</v>
      </c>
      <c r="G593">
        <f t="shared" si="35"/>
        <v>26</v>
      </c>
      <c r="H593" s="9">
        <f>IF(ISERROR(VLOOKUP(A593,Excel4!D:J,7,0)),0,VLOOKUP(A593,Excel4!D:J,7,0))</f>
        <v>0</v>
      </c>
      <c r="I593" s="15" t="s">
        <v>1777</v>
      </c>
      <c r="J593" s="15" t="s">
        <v>452</v>
      </c>
      <c r="K593" s="15" t="s">
        <v>116</v>
      </c>
      <c r="L593" s="18" t="str">
        <f t="shared" si="33"/>
        <v>BÜNYAN BELEDİYE BAŞKANLIĞI KAYSERİ</v>
      </c>
      <c r="M593" s="18" t="str">
        <f t="shared" si="34"/>
        <v>BÜNYAN</v>
      </c>
    </row>
    <row r="594" spans="1:14" x14ac:dyDescent="0.25">
      <c r="A594" t="s">
        <v>1371</v>
      </c>
      <c r="B594" t="s">
        <v>704</v>
      </c>
      <c r="C594" t="s">
        <v>270</v>
      </c>
      <c r="D594">
        <v>10</v>
      </c>
      <c r="E594">
        <v>90001</v>
      </c>
      <c r="F594" t="s">
        <v>1372</v>
      </c>
      <c r="G594">
        <f t="shared" si="35"/>
        <v>26</v>
      </c>
      <c r="H594" s="9">
        <f>IF(ISERROR(VLOOKUP(A594,Excel4!D:J,7,0)),0,VLOOKUP(A594,Excel4!D:J,7,0))</f>
        <v>154.46</v>
      </c>
      <c r="I594" s="15" t="s">
        <v>1777</v>
      </c>
      <c r="J594" s="15" t="s">
        <v>270</v>
      </c>
      <c r="K594" s="15" t="s">
        <v>204</v>
      </c>
      <c r="L594" s="18" t="str">
        <f t="shared" si="33"/>
        <v>TOSYA BELEDİYE BAŞKANLIĞI KASTAMONU</v>
      </c>
      <c r="M594" s="18" t="str">
        <f t="shared" si="34"/>
        <v>TOSYA</v>
      </c>
      <c r="N594">
        <f>_xlfn.XLOOKUP(M594,[1]Sheet1!$A:$A,[1]Sheet1!$G:$G)</f>
        <v>0</v>
      </c>
    </row>
    <row r="595" spans="1:14" x14ac:dyDescent="0.25">
      <c r="A595" t="s">
        <v>1375</v>
      </c>
      <c r="B595" t="s">
        <v>2555</v>
      </c>
      <c r="C595" t="s">
        <v>613</v>
      </c>
      <c r="D595">
        <v>12</v>
      </c>
      <c r="E595">
        <v>90001</v>
      </c>
      <c r="F595" t="s">
        <v>1376</v>
      </c>
      <c r="G595">
        <f t="shared" si="35"/>
        <v>26</v>
      </c>
      <c r="H595" s="9">
        <f>IF(ISERROR(VLOOKUP(A595,Excel4!D:J,7,0)),0,VLOOKUP(A595,Excel4!D:J,7,0))</f>
        <v>0</v>
      </c>
      <c r="I595" s="15" t="s">
        <v>1777</v>
      </c>
      <c r="J595" s="15" t="s">
        <v>613</v>
      </c>
      <c r="K595" s="15" t="s">
        <v>116</v>
      </c>
      <c r="L595" s="18" t="str">
        <f t="shared" si="33"/>
        <v>DEVELİ BELEDİYE BAŞKANLIĞI KAYSERİ</v>
      </c>
      <c r="M595" s="18" t="str">
        <f t="shared" si="34"/>
        <v>DEVELİ</v>
      </c>
    </row>
    <row r="596" spans="1:14" x14ac:dyDescent="0.25">
      <c r="A596" t="s">
        <v>1377</v>
      </c>
      <c r="B596" t="s">
        <v>704</v>
      </c>
      <c r="C596" t="s">
        <v>614</v>
      </c>
      <c r="D596">
        <v>10</v>
      </c>
      <c r="E596">
        <v>90001</v>
      </c>
      <c r="F596" t="s">
        <v>1378</v>
      </c>
      <c r="G596">
        <f t="shared" si="35"/>
        <v>26</v>
      </c>
      <c r="H596" s="9">
        <f>IF(ISERROR(VLOOKUP(A596,Excel4!D:J,7,0)),0,VLOOKUP(A596,Excel4!D:J,7,0))</f>
        <v>0</v>
      </c>
      <c r="I596" s="15" t="s">
        <v>1777</v>
      </c>
      <c r="J596" s="15" t="s">
        <v>614</v>
      </c>
      <c r="K596" s="15" t="s">
        <v>116</v>
      </c>
      <c r="L596" s="18" t="str">
        <f t="shared" si="33"/>
        <v>HACILAR BELEDİYE BAŞKANLIĞI KAYSERİ</v>
      </c>
      <c r="M596" s="18" t="str">
        <f t="shared" si="34"/>
        <v>HACILAR</v>
      </c>
    </row>
    <row r="597" spans="1:14" x14ac:dyDescent="0.25">
      <c r="A597" t="s">
        <v>1379</v>
      </c>
      <c r="B597" t="s">
        <v>704</v>
      </c>
      <c r="C597" t="s">
        <v>615</v>
      </c>
      <c r="D597">
        <v>10</v>
      </c>
      <c r="E597">
        <v>90001</v>
      </c>
      <c r="F597" t="s">
        <v>1380</v>
      </c>
      <c r="G597">
        <f t="shared" si="35"/>
        <v>26</v>
      </c>
      <c r="H597" s="9">
        <f>IF(ISERROR(VLOOKUP(A597,Excel4!D:J,7,0)),0,VLOOKUP(A597,Excel4!D:J,7,0))</f>
        <v>0</v>
      </c>
      <c r="I597" s="15" t="s">
        <v>1777</v>
      </c>
      <c r="J597" s="15" t="s">
        <v>615</v>
      </c>
      <c r="K597" s="15" t="s">
        <v>116</v>
      </c>
      <c r="L597" s="18" t="str">
        <f t="shared" si="33"/>
        <v>ÖZVATAN BELEDİYE BAŞKANLIĞI KAYSERİ</v>
      </c>
      <c r="M597" s="18" t="str">
        <f t="shared" si="34"/>
        <v>ÖZVATAN</v>
      </c>
    </row>
    <row r="598" spans="1:14" x14ac:dyDescent="0.25">
      <c r="A598" t="s">
        <v>1381</v>
      </c>
      <c r="B598" t="s">
        <v>704</v>
      </c>
      <c r="C598" t="s">
        <v>610</v>
      </c>
      <c r="D598">
        <v>10</v>
      </c>
      <c r="E598">
        <v>90001</v>
      </c>
      <c r="F598" t="s">
        <v>1382</v>
      </c>
      <c r="G598">
        <f t="shared" si="35"/>
        <v>26</v>
      </c>
      <c r="H598" s="9">
        <f>IF(ISERROR(VLOOKUP(A598,Excel4!D:J,7,0)),0,VLOOKUP(A598,Excel4!D:J,7,0))</f>
        <v>0</v>
      </c>
      <c r="I598" s="15" t="s">
        <v>1777</v>
      </c>
      <c r="J598" s="15" t="s">
        <v>610</v>
      </c>
      <c r="K598" s="15" t="s">
        <v>116</v>
      </c>
      <c r="L598" s="18" t="str">
        <f t="shared" si="33"/>
        <v>PINARBAŞI BELEDİYE BAŞKANLIĞI KAYSERİ</v>
      </c>
      <c r="M598" s="18" t="str">
        <f t="shared" si="34"/>
        <v>PINARBAŞI</v>
      </c>
    </row>
    <row r="599" spans="1:14" x14ac:dyDescent="0.25">
      <c r="A599" t="s">
        <v>1383</v>
      </c>
      <c r="B599" t="s">
        <v>704</v>
      </c>
      <c r="C599" t="s">
        <v>616</v>
      </c>
      <c r="D599">
        <v>10</v>
      </c>
      <c r="E599">
        <v>90001</v>
      </c>
      <c r="F599" t="s">
        <v>1384</v>
      </c>
      <c r="G599">
        <f t="shared" si="35"/>
        <v>26</v>
      </c>
      <c r="H599" s="9">
        <f>IF(ISERROR(VLOOKUP(A599,Excel4!D:J,7,0)),0,VLOOKUP(A599,Excel4!D:J,7,0))</f>
        <v>0</v>
      </c>
      <c r="I599" s="15" t="s">
        <v>1777</v>
      </c>
      <c r="J599" s="15" t="s">
        <v>616</v>
      </c>
      <c r="K599" s="15" t="s">
        <v>116</v>
      </c>
      <c r="L599" s="18" t="str">
        <f t="shared" si="33"/>
        <v>SARIOĞLAN BELEDİYE BAŞKANLIĞI KAYSERİ</v>
      </c>
      <c r="M599" s="18" t="str">
        <f t="shared" si="34"/>
        <v>SARIOĞLAN</v>
      </c>
    </row>
    <row r="600" spans="1:14" x14ac:dyDescent="0.25">
      <c r="A600" t="s">
        <v>1385</v>
      </c>
      <c r="B600" t="s">
        <v>704</v>
      </c>
      <c r="C600" t="s">
        <v>617</v>
      </c>
      <c r="D600">
        <v>10</v>
      </c>
      <c r="E600">
        <v>90001</v>
      </c>
      <c r="F600" t="s">
        <v>1386</v>
      </c>
      <c r="G600">
        <f t="shared" si="35"/>
        <v>26</v>
      </c>
      <c r="H600" s="9">
        <f>IF(ISERROR(VLOOKUP(A600,Excel4!D:J,7,0)),0,VLOOKUP(A600,Excel4!D:J,7,0))</f>
        <v>0</v>
      </c>
      <c r="I600" s="15" t="s">
        <v>1777</v>
      </c>
      <c r="J600" s="15" t="s">
        <v>617</v>
      </c>
      <c r="K600" s="15" t="s">
        <v>116</v>
      </c>
      <c r="L600" s="18" t="str">
        <f t="shared" si="33"/>
        <v>TOMARZA BELEDİYE BAŞKANLIĞI KAYSERİ</v>
      </c>
      <c r="M600" s="18" t="str">
        <f t="shared" si="34"/>
        <v>TOMARZA</v>
      </c>
    </row>
    <row r="601" spans="1:14" x14ac:dyDescent="0.25">
      <c r="A601" t="s">
        <v>1387</v>
      </c>
      <c r="B601" t="s">
        <v>704</v>
      </c>
      <c r="C601" t="s">
        <v>618</v>
      </c>
      <c r="D601">
        <v>10</v>
      </c>
      <c r="E601">
        <v>90001</v>
      </c>
      <c r="F601" t="s">
        <v>1388</v>
      </c>
      <c r="G601">
        <f t="shared" si="35"/>
        <v>26</v>
      </c>
      <c r="H601" s="9">
        <f>IF(ISERROR(VLOOKUP(A601,Excel4!D:J,7,0)),0,VLOOKUP(A601,Excel4!D:J,7,0))</f>
        <v>0</v>
      </c>
      <c r="I601" s="15" t="s">
        <v>1777</v>
      </c>
      <c r="J601" s="15" t="s">
        <v>618</v>
      </c>
      <c r="K601" s="15" t="s">
        <v>116</v>
      </c>
      <c r="L601" s="18" t="str">
        <f t="shared" si="33"/>
        <v>YAHYALI BELEDİYE BAŞKANLIĞI KAYSERİ</v>
      </c>
      <c r="M601" s="18" t="str">
        <f t="shared" si="34"/>
        <v>YAHYALI</v>
      </c>
    </row>
    <row r="602" spans="1:14" x14ac:dyDescent="0.25">
      <c r="A602" t="s">
        <v>1389</v>
      </c>
      <c r="B602" t="s">
        <v>704</v>
      </c>
      <c r="C602" t="s">
        <v>453</v>
      </c>
      <c r="D602">
        <v>10</v>
      </c>
      <c r="E602">
        <v>90001</v>
      </c>
      <c r="F602" t="s">
        <v>1390</v>
      </c>
      <c r="G602">
        <f t="shared" si="35"/>
        <v>26</v>
      </c>
      <c r="H602" s="9">
        <f>IF(ISERROR(VLOOKUP(A602,Excel4!D:J,7,0)),0,VLOOKUP(A602,Excel4!D:J,7,0))</f>
        <v>0</v>
      </c>
      <c r="I602" s="15" t="s">
        <v>1777</v>
      </c>
      <c r="J602" s="15" t="s">
        <v>453</v>
      </c>
      <c r="K602" s="15" t="s">
        <v>116</v>
      </c>
      <c r="L602" s="18" t="str">
        <f t="shared" si="33"/>
        <v>YEŞİLHİSAR BELEDİYE BAŞKANLIĞI KAYSERİ</v>
      </c>
      <c r="M602" s="18" t="str">
        <f t="shared" si="34"/>
        <v>YEŞİLHİSAR</v>
      </c>
    </row>
    <row r="603" spans="1:14" x14ac:dyDescent="0.25">
      <c r="A603" t="s">
        <v>1903</v>
      </c>
      <c r="B603" t="s">
        <v>704</v>
      </c>
      <c r="C603" t="s">
        <v>1769</v>
      </c>
      <c r="D603">
        <v>10</v>
      </c>
      <c r="E603">
        <v>90001</v>
      </c>
      <c r="F603" t="s">
        <v>1770</v>
      </c>
      <c r="G603">
        <f t="shared" si="35"/>
        <v>26</v>
      </c>
      <c r="H603" s="9">
        <f>IF(ISERROR(VLOOKUP(A603,Excel4!D:J,7,0)),0,VLOOKUP(A603,Excel4!D:J,7,0))</f>
        <v>19230.950000000004</v>
      </c>
      <c r="I603" s="15" t="s">
        <v>1777</v>
      </c>
      <c r="J603" s="15" t="s">
        <v>27</v>
      </c>
      <c r="K603" s="15" t="s">
        <v>116</v>
      </c>
      <c r="L603" s="18" t="str">
        <f t="shared" si="33"/>
        <v>KAYSERİ BÜYÜKŞEHİR BELEDİYE BAŞKANLIĞI</v>
      </c>
      <c r="M603" s="18" t="str">
        <f t="shared" si="34"/>
        <v>KAYSERİ BÜYÜKŞEHİR</v>
      </c>
      <c r="N603">
        <f>_xlfn.XLOOKUP(M603,[1]Sheet1!$A:$A,[1]Sheet1!$G:$G)</f>
        <v>0</v>
      </c>
    </row>
    <row r="604" spans="1:14" x14ac:dyDescent="0.25">
      <c r="A604" t="s">
        <v>1914</v>
      </c>
      <c r="B604" t="s">
        <v>704</v>
      </c>
      <c r="C604" t="s">
        <v>1891</v>
      </c>
      <c r="D604">
        <v>10</v>
      </c>
      <c r="E604">
        <v>90001</v>
      </c>
      <c r="F604" t="s">
        <v>1960</v>
      </c>
      <c r="G604">
        <f t="shared" si="35"/>
        <v>26</v>
      </c>
      <c r="H604" s="9">
        <f>IF(ISERROR(VLOOKUP(A604,Excel4!D:J,7,0)),0,VLOOKUP(A604,Excel4!D:J,7,0))</f>
        <v>0</v>
      </c>
      <c r="I604" s="15" t="s">
        <v>1777</v>
      </c>
      <c r="J604" s="15" t="s">
        <v>1891</v>
      </c>
      <c r="K604" s="15" t="s">
        <v>8</v>
      </c>
      <c r="L604" s="18" t="str">
        <f t="shared" si="33"/>
        <v>BAHŞILI BELEDİYE BAŞKANLIĞI KIRIKKALE</v>
      </c>
      <c r="M604" s="18" t="str">
        <f t="shared" si="34"/>
        <v>BAHŞILI</v>
      </c>
      <c r="N604">
        <f>_xlfn.XLOOKUP(M604,[1]Sheet1!$A:$A,[1]Sheet1!$G:$G)</f>
        <v>0</v>
      </c>
    </row>
    <row r="605" spans="1:14" x14ac:dyDescent="0.25">
      <c r="A605" t="s">
        <v>1393</v>
      </c>
      <c r="B605" t="s">
        <v>2555</v>
      </c>
      <c r="C605" t="s">
        <v>620</v>
      </c>
      <c r="D605">
        <v>12</v>
      </c>
      <c r="E605">
        <v>90001</v>
      </c>
      <c r="F605" t="s">
        <v>1394</v>
      </c>
      <c r="G605">
        <f t="shared" si="35"/>
        <v>26</v>
      </c>
      <c r="H605" s="9">
        <f>IF(ISERROR(VLOOKUP(A605,Excel4!D:J,7,0)),0,VLOOKUP(A605,Excel4!D:J,7,0))</f>
        <v>0</v>
      </c>
      <c r="I605" s="15" t="s">
        <v>1777</v>
      </c>
      <c r="J605" s="15" t="s">
        <v>620</v>
      </c>
      <c r="K605" s="15" t="s">
        <v>8</v>
      </c>
      <c r="L605" s="18" t="str">
        <f t="shared" si="33"/>
        <v>ÇELEBİ BELEDİYE BAŞKANLIĞI KIRIKKALE</v>
      </c>
      <c r="M605" s="18" t="str">
        <f t="shared" si="34"/>
        <v>ÇELEBİ</v>
      </c>
    </row>
    <row r="606" spans="1:14" x14ac:dyDescent="0.25">
      <c r="A606" t="s">
        <v>2478</v>
      </c>
      <c r="B606" t="s">
        <v>704</v>
      </c>
      <c r="C606" t="s">
        <v>2323</v>
      </c>
      <c r="D606">
        <v>10</v>
      </c>
      <c r="E606">
        <v>90001</v>
      </c>
      <c r="F606" t="s">
        <v>2479</v>
      </c>
      <c r="G606">
        <f t="shared" si="35"/>
        <v>26</v>
      </c>
      <c r="H606" s="9">
        <f>IF(ISERROR(VLOOKUP(A606,Excel4!D:J,7,0)),0,VLOOKUP(A606,Excel4!D:J,7,0))</f>
        <v>44.78</v>
      </c>
      <c r="I606" s="15" t="s">
        <v>1777</v>
      </c>
      <c r="J606" s="15" t="s">
        <v>2323</v>
      </c>
      <c r="K606" s="15" t="s">
        <v>8</v>
      </c>
      <c r="L606" s="18" t="str">
        <f t="shared" si="33"/>
        <v>DELİCE BELEDİYE BAŞKANLIĞI KIRIKKALE</v>
      </c>
      <c r="M606" s="18" t="str">
        <f t="shared" si="34"/>
        <v>DELİCE</v>
      </c>
    </row>
    <row r="607" spans="1:14" x14ac:dyDescent="0.25">
      <c r="A607" t="s">
        <v>2542</v>
      </c>
      <c r="B607" t="s">
        <v>704</v>
      </c>
      <c r="C607" t="s">
        <v>2407</v>
      </c>
      <c r="D607">
        <v>10</v>
      </c>
      <c r="E607">
        <v>90001</v>
      </c>
      <c r="F607" t="s">
        <v>2574</v>
      </c>
      <c r="G607">
        <f t="shared" si="35"/>
        <v>26</v>
      </c>
      <c r="H607" s="9">
        <f>IF(ISERROR(VLOOKUP(A607,Excel4!D:J,7,0)),0,VLOOKUP(A607,Excel4!D:J,7,0))</f>
        <v>0</v>
      </c>
      <c r="I607" s="15" t="s">
        <v>1777</v>
      </c>
      <c r="J607" s="20" t="s">
        <v>2407</v>
      </c>
      <c r="K607" s="15" t="s">
        <v>8</v>
      </c>
      <c r="L607" s="18" t="str">
        <f t="shared" si="33"/>
        <v>KARAKEÇİLİ BELEDİYE BAŞKANLIĞI KIRIKKALE</v>
      </c>
      <c r="M607" s="18" t="str">
        <f t="shared" si="34"/>
        <v>KARAKEÇİLİ</v>
      </c>
    </row>
    <row r="608" spans="1:14" x14ac:dyDescent="0.25">
      <c r="A608" t="s">
        <v>1391</v>
      </c>
      <c r="B608" t="s">
        <v>2555</v>
      </c>
      <c r="C608" t="s">
        <v>619</v>
      </c>
      <c r="D608">
        <v>12</v>
      </c>
      <c r="E608">
        <v>90001</v>
      </c>
      <c r="F608" t="s">
        <v>1392</v>
      </c>
      <c r="G608">
        <f t="shared" si="35"/>
        <v>26</v>
      </c>
      <c r="H608" s="9">
        <f>IF(ISERROR(VLOOKUP(A608,Excel4!D:J,7,0)),0,VLOOKUP(A608,Excel4!D:J,7,0))</f>
        <v>0</v>
      </c>
      <c r="I608" s="15" t="s">
        <v>1777</v>
      </c>
      <c r="J608" s="15" t="s">
        <v>619</v>
      </c>
      <c r="K608" s="15" t="s">
        <v>8</v>
      </c>
      <c r="L608" s="18" t="str">
        <f t="shared" si="33"/>
        <v>BALIŞEYH BELEDİYE BAŞKANLIĞI KIRIKKALE</v>
      </c>
      <c r="M608" s="18" t="str">
        <f t="shared" si="34"/>
        <v>BALIŞEYH</v>
      </c>
    </row>
    <row r="609" spans="1:14" x14ac:dyDescent="0.25">
      <c r="A609" t="s">
        <v>2476</v>
      </c>
      <c r="B609" t="s">
        <v>704</v>
      </c>
      <c r="C609" t="s">
        <v>2325</v>
      </c>
      <c r="D609">
        <v>10</v>
      </c>
      <c r="E609">
        <v>90001</v>
      </c>
      <c r="F609" s="23" t="s">
        <v>3988</v>
      </c>
      <c r="G609">
        <f t="shared" si="35"/>
        <v>26</v>
      </c>
      <c r="H609" s="9">
        <f>IF(ISERROR(VLOOKUP(A609,Excel4!D:J,7,0)),0,VLOOKUP(A609,Excel4!D:J,7,0))</f>
        <v>221.33</v>
      </c>
      <c r="I609" s="15" t="s">
        <v>1777</v>
      </c>
      <c r="J609" s="15" t="s">
        <v>2325</v>
      </c>
      <c r="K609" s="15" t="s">
        <v>8</v>
      </c>
      <c r="L609" s="18" t="str">
        <f t="shared" si="33"/>
        <v>KESKİN BELEDİYE BAŞKANLIĞI KIRIKKALE</v>
      </c>
      <c r="M609" s="18" t="str">
        <f t="shared" si="34"/>
        <v>KESKİN</v>
      </c>
      <c r="N609">
        <f>_xlfn.XLOOKUP(M609,[1]Sheet1!$A:$A,[1]Sheet1!$G:$G)</f>
        <v>0</v>
      </c>
    </row>
    <row r="610" spans="1:14" x14ac:dyDescent="0.25">
      <c r="A610" t="s">
        <v>2278</v>
      </c>
      <c r="B610" t="s">
        <v>704</v>
      </c>
      <c r="C610" t="s">
        <v>2257</v>
      </c>
      <c r="D610">
        <v>10</v>
      </c>
      <c r="E610">
        <v>90001</v>
      </c>
      <c r="F610" t="s">
        <v>2509</v>
      </c>
      <c r="G610">
        <f t="shared" si="35"/>
        <v>26</v>
      </c>
      <c r="H610" s="9">
        <f>IF(ISERROR(VLOOKUP(A610,Excel4!D:J,7,0)),0,VLOOKUP(A610,Excel4!D:J,7,0))</f>
        <v>10.870000000000001</v>
      </c>
      <c r="I610" s="15" t="s">
        <v>1777</v>
      </c>
      <c r="J610" s="20" t="s">
        <v>2257</v>
      </c>
      <c r="K610" s="15" t="s">
        <v>8</v>
      </c>
      <c r="L610" s="18" t="str">
        <f t="shared" si="33"/>
        <v>SULAKYURT BELEDİYE BAŞKANLIĞI KIRIKKALE</v>
      </c>
      <c r="M610" s="18" t="str">
        <f t="shared" si="34"/>
        <v>SULAKYURT</v>
      </c>
      <c r="N610">
        <f>_xlfn.XLOOKUP(M610,[1]Sheet1!$A:$A,[1]Sheet1!$G:$G)</f>
        <v>0</v>
      </c>
    </row>
    <row r="611" spans="1:14" x14ac:dyDescent="0.25">
      <c r="A611" t="s">
        <v>1702</v>
      </c>
      <c r="B611" t="s">
        <v>699</v>
      </c>
      <c r="C611" t="s">
        <v>34</v>
      </c>
      <c r="D611">
        <v>15</v>
      </c>
      <c r="E611">
        <v>90001</v>
      </c>
      <c r="F611" t="s">
        <v>486</v>
      </c>
      <c r="G611">
        <f t="shared" si="35"/>
        <v>26</v>
      </c>
      <c r="H611" s="9">
        <f>IF(ISERROR(VLOOKUP(A611,Excel4!D:J,7,0)),0,VLOOKUP(A611,Excel4!D:J,7,0))</f>
        <v>1912.88</v>
      </c>
      <c r="I611" s="15" t="s">
        <v>1777</v>
      </c>
      <c r="J611" s="15" t="s">
        <v>34</v>
      </c>
      <c r="K611" s="15" t="s">
        <v>8</v>
      </c>
      <c r="L611" s="18" t="str">
        <f t="shared" si="33"/>
        <v>KIRIKKALE BELEDİYE BAŞKANLIĞI</v>
      </c>
      <c r="M611" s="18" t="str">
        <f t="shared" si="34"/>
        <v>KIRIKKALE</v>
      </c>
      <c r="N611" t="e">
        <f>_xlfn.XLOOKUP(M611,[1]Sheet1!$C:$C,[1]Sheet1!$G:$G)</f>
        <v>#N/A</v>
      </c>
    </row>
    <row r="612" spans="1:14" x14ac:dyDescent="0.25">
      <c r="A612" t="s">
        <v>2482</v>
      </c>
      <c r="B612" t="s">
        <v>704</v>
      </c>
      <c r="C612" t="s">
        <v>156</v>
      </c>
      <c r="D612">
        <v>10</v>
      </c>
      <c r="E612">
        <v>90001</v>
      </c>
      <c r="F612" t="s">
        <v>2483</v>
      </c>
      <c r="G612">
        <f t="shared" si="35"/>
        <v>26</v>
      </c>
      <c r="H612" s="9">
        <f>IF(ISERROR(VLOOKUP(A612,Excel4!D:J,7,0)),0,VLOOKUP(A612,Excel4!D:J,7,0))</f>
        <v>0</v>
      </c>
      <c r="I612" s="15" t="s">
        <v>1777</v>
      </c>
      <c r="J612" s="15" t="s">
        <v>2230</v>
      </c>
      <c r="K612" s="15" t="s">
        <v>155</v>
      </c>
      <c r="L612" s="18" t="str">
        <f t="shared" ref="L612:L675" si="36">IF(J612="MERKEZ",K612&amp;" "&amp;I612,IF(J612="BÜYÜKŞEHİR",K612&amp;" "&amp;J612&amp;" "&amp;I612,J612&amp;" "&amp;I612&amp;" "&amp;K612))</f>
        <v>AHMETBEY BELEDİYE BAŞKANLIĞI KIRKLARELİ</v>
      </c>
      <c r="M612" s="18" t="str">
        <f t="shared" si="34"/>
        <v>AHMETBEY</v>
      </c>
    </row>
    <row r="613" spans="1:14" x14ac:dyDescent="0.25">
      <c r="A613" t="s">
        <v>2543</v>
      </c>
      <c r="B613" t="s">
        <v>2555</v>
      </c>
      <c r="C613" t="s">
        <v>295</v>
      </c>
      <c r="D613">
        <v>12</v>
      </c>
      <c r="E613">
        <v>90001</v>
      </c>
      <c r="F613" t="s">
        <v>2568</v>
      </c>
      <c r="G613">
        <f t="shared" si="35"/>
        <v>26</v>
      </c>
      <c r="H613" s="9">
        <f>IF(ISERROR(VLOOKUP(A613,Excel4!D:J,7,0)),0,VLOOKUP(A613,Excel4!D:J,7,0))</f>
        <v>0</v>
      </c>
      <c r="I613" s="15" t="s">
        <v>1777</v>
      </c>
      <c r="J613" s="20" t="s">
        <v>2320</v>
      </c>
      <c r="K613" s="15" t="s">
        <v>155</v>
      </c>
      <c r="L613" s="18" t="str">
        <f t="shared" si="36"/>
        <v>ALPULLU BELEDİYE BAŞKANLIĞI KIRKLARELİ</v>
      </c>
      <c r="M613" s="18" t="str">
        <f t="shared" si="34"/>
        <v>ALPULLU</v>
      </c>
    </row>
    <row r="614" spans="1:14" x14ac:dyDescent="0.25">
      <c r="A614" t="s">
        <v>1395</v>
      </c>
      <c r="B614" t="s">
        <v>704</v>
      </c>
      <c r="C614" t="s">
        <v>369</v>
      </c>
      <c r="D614">
        <v>10</v>
      </c>
      <c r="E614">
        <v>90001</v>
      </c>
      <c r="F614" t="s">
        <v>1396</v>
      </c>
      <c r="G614">
        <f t="shared" si="35"/>
        <v>26</v>
      </c>
      <c r="H614" s="9">
        <f>IF(ISERROR(VLOOKUP(A614,Excel4!D:J,7,0)),0,VLOOKUP(A614,Excel4!D:J,7,0))</f>
        <v>849.4</v>
      </c>
      <c r="I614" s="15" t="s">
        <v>1777</v>
      </c>
      <c r="J614" s="15" t="s">
        <v>369</v>
      </c>
      <c r="K614" s="15" t="s">
        <v>8</v>
      </c>
      <c r="L614" s="18" t="str">
        <f t="shared" si="36"/>
        <v>YAHŞİHAN BELEDİYE BAŞKANLIĞI KIRIKKALE</v>
      </c>
      <c r="M614" s="18" t="str">
        <f t="shared" si="34"/>
        <v>YAHŞİHAN</v>
      </c>
      <c r="N614">
        <f>_xlfn.XLOOKUP(M614,[1]Sheet1!$A:$A,[1]Sheet1!$G:$G)</f>
        <v>0</v>
      </c>
    </row>
    <row r="615" spans="1:14" x14ac:dyDescent="0.25">
      <c r="A615" t="s">
        <v>2905</v>
      </c>
      <c r="B615" t="s">
        <v>2555</v>
      </c>
      <c r="C615" t="s">
        <v>295</v>
      </c>
      <c r="D615">
        <v>12</v>
      </c>
      <c r="E615">
        <v>90001</v>
      </c>
      <c r="F615" t="s">
        <v>2636</v>
      </c>
      <c r="G615">
        <f t="shared" si="35"/>
        <v>26</v>
      </c>
      <c r="H615" s="9">
        <f>IF(ISERROR(VLOOKUP(A615,Excel4!D:J,7,0)),0,VLOOKUP(A615,Excel4!D:J,7,0))</f>
        <v>0</v>
      </c>
      <c r="I615" s="15" t="s">
        <v>1777</v>
      </c>
      <c r="J615" s="15" t="s">
        <v>2823</v>
      </c>
      <c r="K615" s="15" t="s">
        <v>155</v>
      </c>
      <c r="L615" s="18" t="str">
        <f t="shared" si="36"/>
        <v>BÜYÜK MANDIRA BELEDİYE BAŞKANLIĞI KIRKLARELİ</v>
      </c>
      <c r="M615" s="18" t="str">
        <f t="shared" si="34"/>
        <v>BÜYÜK MANDIRA</v>
      </c>
    </row>
    <row r="616" spans="1:14" x14ac:dyDescent="0.25">
      <c r="A616" t="s">
        <v>2484</v>
      </c>
      <c r="B616" t="s">
        <v>704</v>
      </c>
      <c r="C616" t="s">
        <v>156</v>
      </c>
      <c r="D616">
        <v>10</v>
      </c>
      <c r="E616">
        <v>90001</v>
      </c>
      <c r="F616" t="s">
        <v>2485</v>
      </c>
      <c r="G616">
        <f t="shared" si="35"/>
        <v>26</v>
      </c>
      <c r="H616" s="9">
        <f>IF(ISERROR(VLOOKUP(A616,Excel4!D:J,7,0)),0,VLOOKUP(A616,Excel4!D:J,7,0))</f>
        <v>0</v>
      </c>
      <c r="I616" s="15" t="s">
        <v>1777</v>
      </c>
      <c r="J616" s="15" t="s">
        <v>2235</v>
      </c>
      <c r="K616" s="15" t="s">
        <v>155</v>
      </c>
      <c r="L616" s="18" t="str">
        <f t="shared" si="36"/>
        <v>BÜYÜKKARIŞTIRAN BELEDİYE BAŞKANLIĞI KIRKLARELİ</v>
      </c>
      <c r="M616" s="18" t="str">
        <f t="shared" si="34"/>
        <v>BÜYÜKKARIŞTIRAN</v>
      </c>
    </row>
    <row r="617" spans="1:14" x14ac:dyDescent="0.25">
      <c r="A617" t="s">
        <v>2072</v>
      </c>
      <c r="B617" t="s">
        <v>704</v>
      </c>
      <c r="C617" t="s">
        <v>18</v>
      </c>
      <c r="D617">
        <v>10</v>
      </c>
      <c r="E617">
        <v>90001</v>
      </c>
      <c r="F617" t="s">
        <v>2085</v>
      </c>
      <c r="G617">
        <f t="shared" si="35"/>
        <v>26</v>
      </c>
      <c r="H617" s="9">
        <f>IF(ISERROR(VLOOKUP(A617,Excel4!D:J,7,0)),0,VLOOKUP(A617,Excel4!D:J,7,0))</f>
        <v>0</v>
      </c>
      <c r="I617" s="15" t="s">
        <v>1777</v>
      </c>
      <c r="J617" s="15" t="s">
        <v>2056</v>
      </c>
      <c r="K617" s="15" t="s">
        <v>155</v>
      </c>
      <c r="L617" s="18" t="str">
        <f t="shared" si="36"/>
        <v>ÇAKILLI BELEDİYE BAŞKANLIĞI KIRKLARELİ</v>
      </c>
      <c r="M617" s="18" t="str">
        <f t="shared" si="34"/>
        <v>ÇAKILLI</v>
      </c>
    </row>
    <row r="618" spans="1:14" x14ac:dyDescent="0.25">
      <c r="A618" t="s">
        <v>1397</v>
      </c>
      <c r="B618" t="s">
        <v>704</v>
      </c>
      <c r="C618" t="s">
        <v>295</v>
      </c>
      <c r="D618">
        <v>10</v>
      </c>
      <c r="E618">
        <v>90001</v>
      </c>
      <c r="F618" t="s">
        <v>1398</v>
      </c>
      <c r="G618">
        <f t="shared" si="35"/>
        <v>26</v>
      </c>
      <c r="H618" s="9">
        <f>IF(ISERROR(VLOOKUP(A618,Excel4!D:J,7,0)),0,VLOOKUP(A618,Excel4!D:J,7,0))</f>
        <v>96.63000000000001</v>
      </c>
      <c r="I618" s="15" t="s">
        <v>1777</v>
      </c>
      <c r="J618" s="15" t="s">
        <v>295</v>
      </c>
      <c r="K618" s="15" t="s">
        <v>155</v>
      </c>
      <c r="L618" s="18" t="str">
        <f t="shared" si="36"/>
        <v>BABAESKİ BELEDİYE BAŞKANLIĞI KIRKLARELİ</v>
      </c>
      <c r="M618" s="18" t="str">
        <f t="shared" si="34"/>
        <v>BABAESKİ</v>
      </c>
      <c r="N618">
        <f>_xlfn.XLOOKUP(M618,[1]Sheet1!$A:$A,[1]Sheet1!$G:$G)</f>
        <v>0</v>
      </c>
    </row>
    <row r="619" spans="1:14" x14ac:dyDescent="0.25">
      <c r="A619" t="s">
        <v>2487</v>
      </c>
      <c r="B619" t="s">
        <v>704</v>
      </c>
      <c r="C619" t="s">
        <v>156</v>
      </c>
      <c r="D619">
        <v>10</v>
      </c>
      <c r="E619">
        <v>90001</v>
      </c>
      <c r="F619" t="s">
        <v>2488</v>
      </c>
      <c r="G619">
        <f t="shared" si="35"/>
        <v>26</v>
      </c>
      <c r="H619" s="9">
        <f>IF(ISERROR(VLOOKUP(A619,Excel4!D:J,7,0)),0,VLOOKUP(A619,Excel4!D:J,7,0))</f>
        <v>0</v>
      </c>
      <c r="I619" s="15" t="s">
        <v>1777</v>
      </c>
      <c r="J619" s="15" t="s">
        <v>2422</v>
      </c>
      <c r="K619" s="15" t="s">
        <v>155</v>
      </c>
      <c r="L619" s="18" t="str">
        <f t="shared" si="36"/>
        <v>EVRENSEKİZ BELEDİYE BAŞKANLIĞI KIRKLARELİ</v>
      </c>
      <c r="M619" s="18" t="str">
        <f t="shared" si="34"/>
        <v>EVRENSEKİZ</v>
      </c>
    </row>
    <row r="620" spans="1:14" x14ac:dyDescent="0.25">
      <c r="A620" t="s">
        <v>2274</v>
      </c>
      <c r="B620" t="s">
        <v>704</v>
      </c>
      <c r="C620" t="s">
        <v>370</v>
      </c>
      <c r="D620">
        <v>10</v>
      </c>
      <c r="E620">
        <v>90001</v>
      </c>
      <c r="F620" t="s">
        <v>2517</v>
      </c>
      <c r="G620">
        <f t="shared" si="35"/>
        <v>26</v>
      </c>
      <c r="H620" s="9">
        <f>IF(ISERROR(VLOOKUP(A620,Excel4!D:J,7,0)),0,VLOOKUP(A620,Excel4!D:J,7,0))</f>
        <v>0</v>
      </c>
      <c r="I620" s="15" t="s">
        <v>1777</v>
      </c>
      <c r="J620" s="20" t="s">
        <v>2207</v>
      </c>
      <c r="K620" s="15" t="s">
        <v>155</v>
      </c>
      <c r="L620" s="18" t="str">
        <f t="shared" si="36"/>
        <v>İĞNEADA BELEDİYE BAŞKANLIĞI KIRKLARELİ</v>
      </c>
      <c r="M620" s="18" t="str">
        <f t="shared" si="34"/>
        <v>İĞNEADA</v>
      </c>
    </row>
    <row r="621" spans="1:14" x14ac:dyDescent="0.25">
      <c r="A621" t="s">
        <v>2186</v>
      </c>
      <c r="B621" s="19" t="s">
        <v>704</v>
      </c>
      <c r="C621" s="19" t="s">
        <v>155</v>
      </c>
      <c r="D621">
        <v>10</v>
      </c>
      <c r="E621">
        <v>90001</v>
      </c>
      <c r="F621" s="19" t="s">
        <v>2194</v>
      </c>
      <c r="G621">
        <f t="shared" si="35"/>
        <v>26</v>
      </c>
      <c r="H621" s="9">
        <f>IF(ISERROR(VLOOKUP(A621,Excel4!D:J,7,0)),0,VLOOKUP(A621,Excel4!D:J,7,0))</f>
        <v>0</v>
      </c>
      <c r="I621" s="15" t="s">
        <v>1777</v>
      </c>
      <c r="J621" s="15" t="s">
        <v>2156</v>
      </c>
      <c r="K621" s="15" t="s">
        <v>155</v>
      </c>
      <c r="L621" s="18" t="str">
        <f t="shared" si="36"/>
        <v>İNECE BELEDİYE BAŞKANLIĞI KIRKLARELİ</v>
      </c>
      <c r="M621" s="18" t="str">
        <f t="shared" si="34"/>
        <v>İNECE</v>
      </c>
    </row>
    <row r="622" spans="1:14" x14ac:dyDescent="0.25">
      <c r="A622" t="s">
        <v>1912</v>
      </c>
      <c r="B622" t="s">
        <v>699</v>
      </c>
      <c r="C622" t="s">
        <v>155</v>
      </c>
      <c r="D622">
        <v>15</v>
      </c>
      <c r="E622">
        <v>90001</v>
      </c>
      <c r="F622" t="s">
        <v>1974</v>
      </c>
      <c r="G622">
        <f t="shared" si="35"/>
        <v>26</v>
      </c>
      <c r="H622" s="9">
        <f>IF(ISERROR(VLOOKUP(A622,Excel4!D:J,7,0)),0,VLOOKUP(A622,Excel4!D:J,7,0))</f>
        <v>0</v>
      </c>
      <c r="I622" s="15" t="s">
        <v>1777</v>
      </c>
      <c r="J622" s="15" t="s">
        <v>1877</v>
      </c>
      <c r="K622" s="15" t="s">
        <v>155</v>
      </c>
      <c r="L622" s="18" t="str">
        <f t="shared" si="36"/>
        <v>KAVAKLI BELEDİYE BAŞKANLIĞI KIRKLARELİ</v>
      </c>
      <c r="M622" s="18" t="str">
        <f t="shared" si="34"/>
        <v>KAVAKLI</v>
      </c>
    </row>
    <row r="623" spans="1:14" x14ac:dyDescent="0.25">
      <c r="A623" t="s">
        <v>2878</v>
      </c>
      <c r="B623" t="s">
        <v>704</v>
      </c>
      <c r="C623" t="s">
        <v>371</v>
      </c>
      <c r="D623">
        <v>10</v>
      </c>
      <c r="E623">
        <v>90001</v>
      </c>
      <c r="F623" t="s">
        <v>2880</v>
      </c>
      <c r="G623">
        <f t="shared" si="35"/>
        <v>26</v>
      </c>
      <c r="H623" s="9">
        <f>IF(ISERROR(VLOOKUP(A623,Excel4!D:J,7,0)),0,VLOOKUP(A623,Excel4!D:J,7,0))</f>
        <v>0</v>
      </c>
      <c r="I623" s="15" t="s">
        <v>1777</v>
      </c>
      <c r="J623" s="15" t="s">
        <v>682</v>
      </c>
      <c r="K623" s="15" t="s">
        <v>155</v>
      </c>
      <c r="L623" s="18" t="str">
        <f t="shared" si="36"/>
        <v>KAYNARCA BELEDİYE BAŞKANLIĞI KIRKLARELİ</v>
      </c>
      <c r="M623" s="18" t="str">
        <f t="shared" si="34"/>
        <v>KAYNARCA</v>
      </c>
    </row>
    <row r="624" spans="1:14" x14ac:dyDescent="0.25">
      <c r="A624" t="s">
        <v>2480</v>
      </c>
      <c r="B624" t="s">
        <v>704</v>
      </c>
      <c r="C624" t="s">
        <v>2254</v>
      </c>
      <c r="D624">
        <v>10</v>
      </c>
      <c r="E624">
        <v>90001</v>
      </c>
      <c r="F624" t="s">
        <v>2481</v>
      </c>
      <c r="G624">
        <f t="shared" si="35"/>
        <v>26</v>
      </c>
      <c r="H624" s="9">
        <f>IF(ISERROR(VLOOKUP(A624,Excel4!D:J,7,0)),0,VLOOKUP(A624,Excel4!D:J,7,0))</f>
        <v>0</v>
      </c>
      <c r="I624" s="15" t="s">
        <v>1777</v>
      </c>
      <c r="J624" s="15" t="s">
        <v>2254</v>
      </c>
      <c r="K624" s="15" t="s">
        <v>155</v>
      </c>
      <c r="L624" s="18" t="str">
        <f t="shared" si="36"/>
        <v>KOFÇAZ BELEDİYE BAŞKANLIĞI KIRKLARELİ</v>
      </c>
      <c r="M624" s="18" t="str">
        <f t="shared" si="34"/>
        <v>KOFÇAZ</v>
      </c>
    </row>
    <row r="625" spans="1:14" x14ac:dyDescent="0.25">
      <c r="A625" t="s">
        <v>2284</v>
      </c>
      <c r="B625" t="s">
        <v>704</v>
      </c>
      <c r="C625" t="s">
        <v>370</v>
      </c>
      <c r="D625">
        <v>10</v>
      </c>
      <c r="E625">
        <v>90001</v>
      </c>
      <c r="F625" t="s">
        <v>1399</v>
      </c>
      <c r="G625">
        <f t="shared" si="35"/>
        <v>26</v>
      </c>
      <c r="H625" s="9">
        <f>IF(ISERROR(VLOOKUP(A625,Excel4!D:J,7,0)),0,VLOOKUP(A625,Excel4!D:J,7,0))</f>
        <v>180.9</v>
      </c>
      <c r="I625" s="15" t="s">
        <v>1777</v>
      </c>
      <c r="J625" s="15" t="s">
        <v>370</v>
      </c>
      <c r="K625" s="15" t="s">
        <v>155</v>
      </c>
      <c r="L625" s="18" t="str">
        <f t="shared" si="36"/>
        <v>DEMİRKÖY BELEDİYE BAŞKANLIĞI KIRKLARELİ</v>
      </c>
      <c r="M625" s="18" t="str">
        <f t="shared" si="34"/>
        <v>DEMİRKÖY</v>
      </c>
      <c r="N625">
        <f>_xlfn.XLOOKUP(M625,[1]Sheet1!$A:$A,[1]Sheet1!$G:$G)</f>
        <v>0</v>
      </c>
    </row>
    <row r="626" spans="1:14" x14ac:dyDescent="0.25">
      <c r="A626" t="s">
        <v>1400</v>
      </c>
      <c r="B626" t="s">
        <v>2555</v>
      </c>
      <c r="C626" t="s">
        <v>156</v>
      </c>
      <c r="D626">
        <v>12</v>
      </c>
      <c r="E626">
        <v>90001</v>
      </c>
      <c r="F626" t="s">
        <v>2985</v>
      </c>
      <c r="G626">
        <f t="shared" si="35"/>
        <v>26</v>
      </c>
      <c r="H626" s="9">
        <f>IF(ISERROR(VLOOKUP(A626,Excel4!D:J,7,0)),0,VLOOKUP(A626,Excel4!D:J,7,0))</f>
        <v>2547.6899999999996</v>
      </c>
      <c r="I626" s="15" t="s">
        <v>1777</v>
      </c>
      <c r="J626" s="15" t="s">
        <v>156</v>
      </c>
      <c r="K626" s="15" t="s">
        <v>155</v>
      </c>
      <c r="L626" s="18" t="str">
        <f t="shared" si="36"/>
        <v>LÜLEBURGAZ BELEDİYE BAŞKANLIĞI KIRKLARELİ</v>
      </c>
      <c r="M626" s="18" t="str">
        <f t="shared" si="34"/>
        <v>LÜLEBURGAZ</v>
      </c>
      <c r="N626">
        <f>_xlfn.XLOOKUP(M626,[1]Sheet1!$A:$A,[1]Sheet1!$G:$G)</f>
        <v>0</v>
      </c>
    </row>
    <row r="627" spans="1:14" x14ac:dyDescent="0.25">
      <c r="A627" s="19" t="s">
        <v>2923</v>
      </c>
      <c r="B627" s="19" t="s">
        <v>704</v>
      </c>
      <c r="C627" t="s">
        <v>2910</v>
      </c>
      <c r="D627">
        <v>10</v>
      </c>
      <c r="E627">
        <v>90001</v>
      </c>
      <c r="F627" t="s">
        <v>2937</v>
      </c>
      <c r="G627">
        <f t="shared" si="35"/>
        <v>26</v>
      </c>
      <c r="H627" s="9">
        <f>IF(ISERROR(VLOOKUP(A627,Excel4!D:J,7,0)),0,VLOOKUP(A627,Excel4!D:J,7,0))</f>
        <v>34</v>
      </c>
      <c r="I627" s="15" t="s">
        <v>1777</v>
      </c>
      <c r="J627" s="20" t="s">
        <v>2910</v>
      </c>
      <c r="K627" s="15" t="s">
        <v>155</v>
      </c>
      <c r="L627" s="18" t="str">
        <f t="shared" si="36"/>
        <v>PEHLİVANKÖY BELEDİYE BAŞKANLIĞI KIRKLARELİ</v>
      </c>
      <c r="M627" s="18" t="str">
        <f t="shared" si="34"/>
        <v>PEHLİVANKÖY</v>
      </c>
    </row>
    <row r="628" spans="1:14" x14ac:dyDescent="0.25">
      <c r="A628" t="s">
        <v>1401</v>
      </c>
      <c r="B628" t="s">
        <v>2555</v>
      </c>
      <c r="C628" t="s">
        <v>34</v>
      </c>
      <c r="D628">
        <v>12</v>
      </c>
      <c r="E628">
        <v>90001</v>
      </c>
      <c r="F628" t="s">
        <v>1402</v>
      </c>
      <c r="G628">
        <f t="shared" si="35"/>
        <v>26</v>
      </c>
      <c r="H628" s="9">
        <f>IF(ISERROR(VLOOKUP(A628,Excel4!D:J,7,0)),0,VLOOKUP(A628,Excel4!D:J,7,0))</f>
        <v>17195.390000000003</v>
      </c>
      <c r="I628" s="15" t="s">
        <v>1777</v>
      </c>
      <c r="J628" s="15" t="s">
        <v>34</v>
      </c>
      <c r="K628" s="15" t="s">
        <v>155</v>
      </c>
      <c r="L628" s="18" t="str">
        <f t="shared" si="36"/>
        <v>KIRKLARELİ BELEDİYE BAŞKANLIĞI</v>
      </c>
      <c r="M628" s="18" t="str">
        <f t="shared" si="34"/>
        <v>KIRKLARELİ</v>
      </c>
      <c r="N628" t="e">
        <f>_xlfn.XLOOKUP(M628,[1]Sheet1!$C:$C,[1]Sheet1!$G:$G)</f>
        <v>#N/A</v>
      </c>
    </row>
    <row r="629" spans="1:14" x14ac:dyDescent="0.25">
      <c r="A629" t="s">
        <v>2486</v>
      </c>
      <c r="B629" t="s">
        <v>3155</v>
      </c>
      <c r="C629" t="s">
        <v>155</v>
      </c>
      <c r="D629">
        <v>12</v>
      </c>
      <c r="E629">
        <v>90001</v>
      </c>
      <c r="F629" t="s">
        <v>3154</v>
      </c>
      <c r="G629">
        <f t="shared" si="35"/>
        <v>26</v>
      </c>
      <c r="H629" s="9">
        <f>IF(ISERROR(VLOOKUP(A629,Excel4!D:J,7,0)),0,VLOOKUP(A629,Excel4!D:J,7,0))</f>
        <v>0</v>
      </c>
      <c r="I629" s="15" t="s">
        <v>1777</v>
      </c>
      <c r="J629" s="15" t="s">
        <v>2313</v>
      </c>
      <c r="K629" s="15" t="s">
        <v>155</v>
      </c>
      <c r="L629" s="18" t="str">
        <f t="shared" si="36"/>
        <v>ÜSKÜP BELEDİYE BAŞKANLIĞI KIRKLARELİ</v>
      </c>
      <c r="M629" s="18" t="str">
        <f t="shared" si="34"/>
        <v>ÜSKÜP</v>
      </c>
    </row>
    <row r="630" spans="1:14" x14ac:dyDescent="0.25">
      <c r="A630" t="s">
        <v>2285</v>
      </c>
      <c r="B630" t="s">
        <v>704</v>
      </c>
      <c r="C630" t="s">
        <v>371</v>
      </c>
      <c r="D630">
        <v>10</v>
      </c>
      <c r="E630">
        <v>90001</v>
      </c>
      <c r="F630" t="s">
        <v>1403</v>
      </c>
      <c r="G630">
        <f t="shared" si="35"/>
        <v>26</v>
      </c>
      <c r="H630" s="9">
        <f>IF(ISERROR(VLOOKUP(A630,Excel4!D:J,7,0)),0,VLOOKUP(A630,Excel4!D:J,7,0))</f>
        <v>0</v>
      </c>
      <c r="I630" s="15" t="s">
        <v>1777</v>
      </c>
      <c r="J630" s="15" t="s">
        <v>371</v>
      </c>
      <c r="K630" s="15" t="s">
        <v>155</v>
      </c>
      <c r="L630" s="18" t="str">
        <f t="shared" si="36"/>
        <v>PINARHİSAR BELEDİYE BAŞKANLIĞI KIRKLARELİ</v>
      </c>
      <c r="M630" s="18" t="str">
        <f t="shared" si="34"/>
        <v>PINARHİSAR</v>
      </c>
    </row>
    <row r="631" spans="1:14" x14ac:dyDescent="0.25">
      <c r="A631" t="s">
        <v>2648</v>
      </c>
      <c r="B631" s="19" t="s">
        <v>876</v>
      </c>
      <c r="C631" s="19" t="s">
        <v>144</v>
      </c>
      <c r="D631">
        <v>134</v>
      </c>
      <c r="E631">
        <v>90001</v>
      </c>
      <c r="F631" s="19" t="s">
        <v>2654</v>
      </c>
      <c r="G631">
        <f t="shared" si="35"/>
        <v>26</v>
      </c>
      <c r="H631" s="9">
        <f>IF(ISERROR(VLOOKUP(A631,Excel4!D:J,7,0)),0,VLOOKUP(A631,Excel4!D:J,7,0))</f>
        <v>0</v>
      </c>
      <c r="I631" s="15" t="s">
        <v>1777</v>
      </c>
      <c r="J631" s="20" t="s">
        <v>2641</v>
      </c>
      <c r="K631" s="15" t="s">
        <v>144</v>
      </c>
      <c r="L631" s="18" t="str">
        <f t="shared" si="36"/>
        <v>AKÇAKENT BELEDİYE BAŞKANLIĞI KIRŞEHİR</v>
      </c>
      <c r="M631" s="18" t="str">
        <f t="shared" si="34"/>
        <v>AKÇAKENT</v>
      </c>
    </row>
    <row r="632" spans="1:14" x14ac:dyDescent="0.25">
      <c r="A632" t="s">
        <v>1404</v>
      </c>
      <c r="B632" t="s">
        <v>704</v>
      </c>
      <c r="C632" t="s">
        <v>18</v>
      </c>
      <c r="D632">
        <v>10</v>
      </c>
      <c r="E632">
        <v>90001</v>
      </c>
      <c r="F632" t="s">
        <v>1405</v>
      </c>
      <c r="G632">
        <f t="shared" si="35"/>
        <v>26</v>
      </c>
      <c r="H632" s="9">
        <f>IF(ISERROR(VLOOKUP(A632,Excel4!D:J,7,0)),0,VLOOKUP(A632,Excel4!D:J,7,0))</f>
        <v>47.76</v>
      </c>
      <c r="I632" s="15" t="s">
        <v>1777</v>
      </c>
      <c r="J632" s="15" t="s">
        <v>18</v>
      </c>
      <c r="K632" s="15" t="s">
        <v>155</v>
      </c>
      <c r="L632" s="18" t="str">
        <f t="shared" si="36"/>
        <v>VİZE BELEDİYE BAŞKANLIĞI KIRKLARELİ</v>
      </c>
      <c r="M632" s="18" t="str">
        <f t="shared" si="34"/>
        <v>VİZE</v>
      </c>
      <c r="N632">
        <f>_xlfn.XLOOKUP(M632,[1]Sheet1!$A:$A,[1]Sheet1!$G:$G)</f>
        <v>0</v>
      </c>
    </row>
    <row r="633" spans="1:14" x14ac:dyDescent="0.25">
      <c r="A633" t="s">
        <v>4278</v>
      </c>
      <c r="B633" t="s">
        <v>704</v>
      </c>
      <c r="C633" t="s">
        <v>2057</v>
      </c>
      <c r="D633">
        <v>10</v>
      </c>
      <c r="E633">
        <v>90001</v>
      </c>
      <c r="F633" t="s">
        <v>2100</v>
      </c>
      <c r="G633">
        <f t="shared" si="35"/>
        <v>26</v>
      </c>
      <c r="H633" s="9">
        <f>IF(ISERROR(VLOOKUP(A633,Excel4!D:J,7,0)),0,VLOOKUP(A633,Excel4!D:J,7,0))</f>
        <v>0</v>
      </c>
      <c r="I633" s="15" t="s">
        <v>1777</v>
      </c>
      <c r="J633" s="15" t="s">
        <v>2057</v>
      </c>
      <c r="K633" s="15" t="s">
        <v>144</v>
      </c>
      <c r="L633" s="18" t="str">
        <f t="shared" si="36"/>
        <v>AKPINAR BELEDİYE BAŞKANLIĞI KIRŞEHİR</v>
      </c>
      <c r="M633" s="18" t="str">
        <f t="shared" si="34"/>
        <v>AKPINAR</v>
      </c>
    </row>
    <row r="634" spans="1:14" x14ac:dyDescent="0.25">
      <c r="A634" t="s">
        <v>2073</v>
      </c>
      <c r="B634" t="s">
        <v>704</v>
      </c>
      <c r="C634" t="s">
        <v>2057</v>
      </c>
      <c r="D634">
        <v>10</v>
      </c>
      <c r="E634">
        <v>90001</v>
      </c>
      <c r="F634" t="s">
        <v>2100</v>
      </c>
      <c r="G634">
        <f t="shared" si="35"/>
        <v>26</v>
      </c>
      <c r="H634" s="9">
        <f>IF(ISERROR(VLOOKUP(A634,Excel4!D:J,7,0)),0,VLOOKUP(A634,Excel4!D:J,7,0))</f>
        <v>69.73</v>
      </c>
      <c r="I634" s="15" t="s">
        <v>1777</v>
      </c>
      <c r="J634" s="15" t="s">
        <v>2057</v>
      </c>
      <c r="K634" s="15" t="s">
        <v>144</v>
      </c>
      <c r="L634" s="18" t="str">
        <f t="shared" si="36"/>
        <v>AKPINAR BELEDİYE BAŞKANLIĞI KIRŞEHİR</v>
      </c>
      <c r="M634" s="18" t="str">
        <f t="shared" si="34"/>
        <v>AKPINAR</v>
      </c>
      <c r="N634">
        <f>_xlfn.XLOOKUP(M634,[1]Sheet1!$A:$A,[1]Sheet1!$G:$G)</f>
        <v>0</v>
      </c>
    </row>
    <row r="635" spans="1:14" x14ac:dyDescent="0.25">
      <c r="A635" t="s">
        <v>1408</v>
      </c>
      <c r="B635" t="s">
        <v>704</v>
      </c>
      <c r="C635" t="s">
        <v>622</v>
      </c>
      <c r="D635">
        <v>10</v>
      </c>
      <c r="E635">
        <v>90001</v>
      </c>
      <c r="F635" t="s">
        <v>1409</v>
      </c>
      <c r="G635">
        <f t="shared" si="35"/>
        <v>26</v>
      </c>
      <c r="H635" s="9">
        <f>IF(ISERROR(VLOOKUP(A635,Excel4!D:J,7,0)),0,VLOOKUP(A635,Excel4!D:J,7,0))</f>
        <v>44.78</v>
      </c>
      <c r="I635" s="15" t="s">
        <v>1777</v>
      </c>
      <c r="J635" s="15" t="s">
        <v>622</v>
      </c>
      <c r="K635" s="15" t="s">
        <v>144</v>
      </c>
      <c r="L635" s="18" t="str">
        <f t="shared" si="36"/>
        <v>ÇİÇEKDAĞI BELEDİYE BAŞKANLIĞI KIRŞEHİR</v>
      </c>
      <c r="M635" s="18" t="str">
        <f t="shared" si="34"/>
        <v>ÇİÇEKDAĞI</v>
      </c>
    </row>
    <row r="636" spans="1:14" x14ac:dyDescent="0.25">
      <c r="A636" s="19" t="s">
        <v>2924</v>
      </c>
      <c r="B636" t="s">
        <v>2555</v>
      </c>
      <c r="C636" t="s">
        <v>34</v>
      </c>
      <c r="D636">
        <v>12</v>
      </c>
      <c r="E636">
        <v>90001</v>
      </c>
      <c r="F636" t="s">
        <v>2938</v>
      </c>
      <c r="G636">
        <f t="shared" si="35"/>
        <v>26</v>
      </c>
      <c r="H636" s="9">
        <f>IF(ISERROR(VLOOKUP(A636,Excel4!D:J,7,0)),0,VLOOKUP(A636,Excel4!D:J,7,0))</f>
        <v>0</v>
      </c>
      <c r="I636" s="15" t="s">
        <v>1777</v>
      </c>
      <c r="J636" s="20" t="s">
        <v>2943</v>
      </c>
      <c r="K636" s="15" t="s">
        <v>144</v>
      </c>
      <c r="L636" s="18" t="str">
        <f t="shared" si="36"/>
        <v>DULKADİRLİ  BELEDİYE BAŞKANLIĞI KIRŞEHİR</v>
      </c>
      <c r="M636" s="18" t="str">
        <f t="shared" si="34"/>
        <v xml:space="preserve">DULKADİRLİ </v>
      </c>
    </row>
    <row r="637" spans="1:14" x14ac:dyDescent="0.25">
      <c r="A637" t="s">
        <v>1406</v>
      </c>
      <c r="B637" t="s">
        <v>704</v>
      </c>
      <c r="C637" t="s">
        <v>621</v>
      </c>
      <c r="D637">
        <v>10</v>
      </c>
      <c r="E637">
        <v>90001</v>
      </c>
      <c r="F637" t="s">
        <v>1407</v>
      </c>
      <c r="G637">
        <f t="shared" si="35"/>
        <v>26</v>
      </c>
      <c r="H637" s="9">
        <f>IF(ISERROR(VLOOKUP(A637,Excel4!D:J,7,0)),0,VLOOKUP(A637,Excel4!D:J,7,0))</f>
        <v>0</v>
      </c>
      <c r="I637" s="15" t="s">
        <v>1777</v>
      </c>
      <c r="J637" s="15" t="s">
        <v>621</v>
      </c>
      <c r="K637" s="15" t="s">
        <v>144</v>
      </c>
      <c r="L637" s="18" t="str">
        <f t="shared" si="36"/>
        <v>BOZTEPE BELEDİYE BAŞKANLIĞI KIRŞEHİR</v>
      </c>
      <c r="M637" s="18" t="str">
        <f t="shared" si="34"/>
        <v>BOZTEPE</v>
      </c>
    </row>
    <row r="638" spans="1:14" x14ac:dyDescent="0.25">
      <c r="A638" t="s">
        <v>1410</v>
      </c>
      <c r="B638" t="s">
        <v>704</v>
      </c>
      <c r="C638" t="s">
        <v>321</v>
      </c>
      <c r="D638">
        <v>10</v>
      </c>
      <c r="E638">
        <v>90001</v>
      </c>
      <c r="F638" t="s">
        <v>1411</v>
      </c>
      <c r="G638">
        <f t="shared" si="35"/>
        <v>26</v>
      </c>
      <c r="H638" s="9">
        <f>IF(ISERROR(VLOOKUP(A638,Excel4!D:J,7,0)),0,VLOOKUP(A638,Excel4!D:J,7,0))</f>
        <v>767.56999999999994</v>
      </c>
      <c r="I638" s="15" t="s">
        <v>1777</v>
      </c>
      <c r="J638" s="15" t="s">
        <v>321</v>
      </c>
      <c r="K638" s="15" t="s">
        <v>144</v>
      </c>
      <c r="L638" s="18" t="str">
        <f t="shared" si="36"/>
        <v>KAMAN BELEDİYE BAŞKANLIĞI KIRŞEHİR</v>
      </c>
      <c r="M638" s="18" t="str">
        <f t="shared" si="34"/>
        <v>KAMAN</v>
      </c>
      <c r="N638">
        <f>_xlfn.XLOOKUP(M638,[1]Sheet1!$A:$A,[1]Sheet1!$G:$G)</f>
        <v>0</v>
      </c>
    </row>
    <row r="639" spans="1:14" x14ac:dyDescent="0.25">
      <c r="A639" t="s">
        <v>1705</v>
      </c>
      <c r="B639" t="s">
        <v>2555</v>
      </c>
      <c r="C639" t="s">
        <v>296</v>
      </c>
      <c r="D639">
        <v>12</v>
      </c>
      <c r="E639">
        <v>90001</v>
      </c>
      <c r="F639" t="s">
        <v>406</v>
      </c>
      <c r="G639">
        <f t="shared" si="35"/>
        <v>26</v>
      </c>
      <c r="H639" s="9">
        <f>IF(ISERROR(VLOOKUP(A639,Excel4!D:J,7,0)),0,VLOOKUP(A639,Excel4!D:J,7,0))</f>
        <v>50.42</v>
      </c>
      <c r="I639" s="15" t="s">
        <v>1777</v>
      </c>
      <c r="J639" s="15" t="s">
        <v>296</v>
      </c>
      <c r="K639" s="15" t="s">
        <v>144</v>
      </c>
      <c r="L639" s="18" t="str">
        <f t="shared" si="36"/>
        <v>MUCUR BELEDİYE BAŞKANLIĞI KIRŞEHİR</v>
      </c>
      <c r="M639" s="18" t="str">
        <f t="shared" si="34"/>
        <v>MUCUR</v>
      </c>
      <c r="N639">
        <f>_xlfn.XLOOKUP(M639,[1]Sheet1!$A:$A,[1]Sheet1!$G:$G)</f>
        <v>0</v>
      </c>
    </row>
    <row r="640" spans="1:14" x14ac:dyDescent="0.25">
      <c r="A640" t="s">
        <v>2977</v>
      </c>
      <c r="B640" t="s">
        <v>2555</v>
      </c>
      <c r="C640" s="19" t="s">
        <v>144</v>
      </c>
      <c r="D640">
        <v>12</v>
      </c>
      <c r="E640">
        <v>90001</v>
      </c>
      <c r="F640" s="19" t="s">
        <v>2979</v>
      </c>
      <c r="G640">
        <f t="shared" si="35"/>
        <v>26</v>
      </c>
      <c r="H640" s="9">
        <f>IF(ISERROR(VLOOKUP(A640,Excel4!D:J,7,0)),0,VLOOKUP(A640,Excel4!D:J,7,0))</f>
        <v>0</v>
      </c>
      <c r="I640" s="15" t="s">
        <v>1777</v>
      </c>
      <c r="J640" s="20" t="s">
        <v>2976</v>
      </c>
      <c r="K640" s="15" t="s">
        <v>144</v>
      </c>
      <c r="L640" s="18" t="str">
        <f t="shared" si="36"/>
        <v>ÖZBAĞ BELEDİYE BAŞKANLIĞI KIRŞEHİR</v>
      </c>
      <c r="M640" s="18" t="str">
        <f t="shared" si="34"/>
        <v>ÖZBAĞ</v>
      </c>
    </row>
    <row r="641" spans="1:14" x14ac:dyDescent="0.25">
      <c r="A641" t="s">
        <v>1703</v>
      </c>
      <c r="B641" t="s">
        <v>699</v>
      </c>
      <c r="C641" t="s">
        <v>34</v>
      </c>
      <c r="D641">
        <v>15</v>
      </c>
      <c r="E641">
        <v>90001</v>
      </c>
      <c r="F641" t="s">
        <v>1704</v>
      </c>
      <c r="G641">
        <f t="shared" si="35"/>
        <v>26</v>
      </c>
      <c r="H641" s="9">
        <f>IF(ISERROR(VLOOKUP(A641,Excel4!D:J,7,0)),0,VLOOKUP(A641,Excel4!D:J,7,0))</f>
        <v>2211.91</v>
      </c>
      <c r="I641" s="15" t="s">
        <v>1777</v>
      </c>
      <c r="J641" s="15" t="s">
        <v>34</v>
      </c>
      <c r="K641" s="15" t="s">
        <v>144</v>
      </c>
      <c r="L641" s="18" t="str">
        <f t="shared" si="36"/>
        <v>KIRŞEHİR BELEDİYE BAŞKANLIĞI</v>
      </c>
      <c r="M641" s="18" t="str">
        <f t="shared" si="34"/>
        <v>KIRŞEHİR</v>
      </c>
      <c r="N641" t="e">
        <f>_xlfn.XLOOKUP(M641,[1]Sheet1!$C:$C,[1]Sheet1!$G:$G)</f>
        <v>#N/A</v>
      </c>
    </row>
    <row r="642" spans="1:14" x14ac:dyDescent="0.25">
      <c r="A642" t="s">
        <v>2544</v>
      </c>
      <c r="B642" t="s">
        <v>704</v>
      </c>
      <c r="C642" t="s">
        <v>2406</v>
      </c>
      <c r="D642">
        <v>10</v>
      </c>
      <c r="E642">
        <v>90001</v>
      </c>
      <c r="F642" t="s">
        <v>2582</v>
      </c>
      <c r="G642">
        <f t="shared" si="35"/>
        <v>26</v>
      </c>
      <c r="H642" s="9">
        <f>IF(ISERROR(VLOOKUP(A642,Excel4!D:J,7,0)),0,VLOOKUP(A642,Excel4!D:J,7,0))</f>
        <v>0</v>
      </c>
      <c r="I642" s="15" t="s">
        <v>1777</v>
      </c>
      <c r="J642" s="20" t="s">
        <v>2406</v>
      </c>
      <c r="K642" s="15" t="s">
        <v>262</v>
      </c>
      <c r="L642" s="18" t="str">
        <f t="shared" si="36"/>
        <v>MUSABEYLİ BELEDİYE BAŞKANLIĞI KİLİS</v>
      </c>
      <c r="M642" s="18" t="str">
        <f t="shared" si="34"/>
        <v>MUSABEYLİ</v>
      </c>
    </row>
    <row r="643" spans="1:14" x14ac:dyDescent="0.25">
      <c r="A643" t="s">
        <v>1706</v>
      </c>
      <c r="B643" t="s">
        <v>2555</v>
      </c>
      <c r="C643" t="s">
        <v>34</v>
      </c>
      <c r="D643">
        <v>12</v>
      </c>
      <c r="E643">
        <v>90001</v>
      </c>
      <c r="F643" t="s">
        <v>1707</v>
      </c>
      <c r="G643">
        <f t="shared" si="35"/>
        <v>26</v>
      </c>
      <c r="H643" s="9">
        <f>IF(ISERROR(VLOOKUP(A643,Excel4!D:J,7,0)),0,VLOOKUP(A643,Excel4!D:J,7,0))</f>
        <v>242.95</v>
      </c>
      <c r="I643" s="15" t="s">
        <v>1777</v>
      </c>
      <c r="J643" s="15" t="s">
        <v>34</v>
      </c>
      <c r="K643" s="15" t="s">
        <v>262</v>
      </c>
      <c r="L643" s="18" t="str">
        <f t="shared" si="36"/>
        <v>KİLİS BELEDİYE BAŞKANLIĞI</v>
      </c>
      <c r="M643" s="18" t="str">
        <f t="shared" si="34"/>
        <v>KİLİS</v>
      </c>
      <c r="N643" t="e">
        <f>_xlfn.XLOOKUP(M643,[1]Sheet1!$C:$C,[1]Sheet1!$G:$G)</f>
        <v>#N/A</v>
      </c>
    </row>
    <row r="644" spans="1:14" x14ac:dyDescent="0.25">
      <c r="A644" t="s">
        <v>1412</v>
      </c>
      <c r="B644" t="s">
        <v>2555</v>
      </c>
      <c r="C644" t="s">
        <v>9</v>
      </c>
      <c r="D644">
        <v>12</v>
      </c>
      <c r="E644">
        <v>90001</v>
      </c>
      <c r="F644" t="s">
        <v>1413</v>
      </c>
      <c r="G644">
        <f t="shared" si="35"/>
        <v>26</v>
      </c>
      <c r="H644" s="9">
        <f>IF(ISERROR(VLOOKUP(A644,Excel4!D:J,7,0)),0,VLOOKUP(A644,Excel4!D:J,7,0))</f>
        <v>0</v>
      </c>
      <c r="I644" s="15" t="s">
        <v>1777</v>
      </c>
      <c r="J644" s="15" t="s">
        <v>9</v>
      </c>
      <c r="K644" s="15" t="s">
        <v>117</v>
      </c>
      <c r="L644" s="18" t="str">
        <f t="shared" si="36"/>
        <v>DİLOVASI BELEDİYE BAŞKANLIĞI KOCAELİ</v>
      </c>
      <c r="M644" s="18" t="str">
        <f t="shared" ref="M644:M707" si="37">IF(J644="MERKEZ",K644,IF(J644="BÜYÜKŞEHİR",K644&amp;" BÜYÜKŞEHİR",J644))</f>
        <v>DİLOVASI</v>
      </c>
    </row>
    <row r="645" spans="1:14" x14ac:dyDescent="0.25">
      <c r="A645" t="s">
        <v>1414</v>
      </c>
      <c r="B645" t="s">
        <v>2555</v>
      </c>
      <c r="C645" t="s">
        <v>205</v>
      </c>
      <c r="D645">
        <v>12</v>
      </c>
      <c r="E645">
        <v>90001</v>
      </c>
      <c r="F645" t="s">
        <v>1415</v>
      </c>
      <c r="G645">
        <f t="shared" ref="G645:G708" si="38">LEN(F645)</f>
        <v>26</v>
      </c>
      <c r="H645" s="9">
        <f>IF(ISERROR(VLOOKUP(A645,Excel4!D:J,7,0)),0,VLOOKUP(A645,Excel4!D:J,7,0))</f>
        <v>0</v>
      </c>
      <c r="I645" s="15" t="s">
        <v>1777</v>
      </c>
      <c r="J645" s="15" t="s">
        <v>205</v>
      </c>
      <c r="K645" s="15" t="s">
        <v>117</v>
      </c>
      <c r="L645" s="18" t="str">
        <f t="shared" si="36"/>
        <v>KANDIRA BELEDİYE BAŞKANLIĞI KOCAELİ</v>
      </c>
      <c r="M645" s="18" t="str">
        <f t="shared" si="37"/>
        <v>KANDIRA</v>
      </c>
    </row>
    <row r="646" spans="1:14" x14ac:dyDescent="0.25">
      <c r="A646" t="s">
        <v>1416</v>
      </c>
      <c r="B646" t="s">
        <v>704</v>
      </c>
      <c r="C646" t="s">
        <v>627</v>
      </c>
      <c r="D646">
        <v>10</v>
      </c>
      <c r="E646">
        <v>90001</v>
      </c>
      <c r="F646" t="s">
        <v>1417</v>
      </c>
      <c r="G646">
        <f t="shared" si="38"/>
        <v>26</v>
      </c>
      <c r="H646" s="9">
        <f>IF(ISERROR(VLOOKUP(A646,Excel4!D:J,7,0)),0,VLOOKUP(A646,Excel4!D:J,7,0))</f>
        <v>0</v>
      </c>
      <c r="I646" s="15" t="s">
        <v>1777</v>
      </c>
      <c r="J646" s="15" t="s">
        <v>627</v>
      </c>
      <c r="K646" s="15" t="s">
        <v>118</v>
      </c>
      <c r="L646" s="18" t="str">
        <f t="shared" si="36"/>
        <v>AKÖREN BELEDİYE BAŞKANLIĞI KONYA</v>
      </c>
      <c r="M646" s="18" t="str">
        <f t="shared" si="37"/>
        <v>AKÖREN</v>
      </c>
    </row>
    <row r="647" spans="1:14" x14ac:dyDescent="0.25">
      <c r="A647" t="s">
        <v>1418</v>
      </c>
      <c r="B647" t="s">
        <v>704</v>
      </c>
      <c r="C647" t="s">
        <v>206</v>
      </c>
      <c r="D647">
        <v>10</v>
      </c>
      <c r="E647">
        <v>90001</v>
      </c>
      <c r="F647" t="s">
        <v>1419</v>
      </c>
      <c r="G647">
        <f t="shared" si="38"/>
        <v>26</v>
      </c>
      <c r="H647" s="9">
        <f>IF(ISERROR(VLOOKUP(A647,Excel4!D:J,7,0)),0,VLOOKUP(A647,Excel4!D:J,7,0))</f>
        <v>0</v>
      </c>
      <c r="I647" s="15" t="s">
        <v>1777</v>
      </c>
      <c r="J647" s="15" t="s">
        <v>206</v>
      </c>
      <c r="K647" s="15" t="s">
        <v>118</v>
      </c>
      <c r="L647" s="18" t="str">
        <f t="shared" si="36"/>
        <v>AKŞEHİR BELEDİYE BAŞKANLIĞI KONYA</v>
      </c>
      <c r="M647" s="18" t="str">
        <f t="shared" si="37"/>
        <v>AKŞEHİR</v>
      </c>
    </row>
    <row r="648" spans="1:14" x14ac:dyDescent="0.25">
      <c r="A648" t="s">
        <v>1796</v>
      </c>
      <c r="B648" t="s">
        <v>704</v>
      </c>
      <c r="C648" t="s">
        <v>1819</v>
      </c>
      <c r="D648">
        <v>10</v>
      </c>
      <c r="E648">
        <v>90001</v>
      </c>
      <c r="F648" t="s">
        <v>1827</v>
      </c>
      <c r="G648">
        <f t="shared" si="38"/>
        <v>26</v>
      </c>
      <c r="H648" s="9">
        <f>IF(ISERROR(VLOOKUP(A648,Excel4!D:J,7,0)),0,VLOOKUP(A648,Excel4!D:J,7,0))</f>
        <v>0</v>
      </c>
      <c r="I648" s="15" t="s">
        <v>1777</v>
      </c>
      <c r="J648" s="15" t="s">
        <v>1787</v>
      </c>
      <c r="K648" s="15" t="s">
        <v>118</v>
      </c>
      <c r="L648" s="18" t="str">
        <f t="shared" si="36"/>
        <v>ALTUNTAŞ BELEDİYE BAŞKANLIĞI KONYA</v>
      </c>
      <c r="M648" s="18" t="str">
        <f t="shared" si="37"/>
        <v>ALTUNTAŞ</v>
      </c>
    </row>
    <row r="649" spans="1:14" x14ac:dyDescent="0.25">
      <c r="A649" t="s">
        <v>742</v>
      </c>
      <c r="B649" t="s">
        <v>704</v>
      </c>
      <c r="C649" t="s">
        <v>454</v>
      </c>
      <c r="D649">
        <v>10</v>
      </c>
      <c r="E649">
        <v>90001</v>
      </c>
      <c r="F649" t="s">
        <v>743</v>
      </c>
      <c r="G649">
        <f t="shared" si="38"/>
        <v>26</v>
      </c>
      <c r="H649" s="9">
        <f>IF(ISERROR(VLOOKUP(A649,Excel4!D:J,7,0)),0,VLOOKUP(A649,Excel4!D:J,7,0))</f>
        <v>0</v>
      </c>
      <c r="I649" s="15" t="s">
        <v>1777</v>
      </c>
      <c r="J649" s="15" t="s">
        <v>454</v>
      </c>
      <c r="K649" s="15" t="s">
        <v>118</v>
      </c>
      <c r="L649" s="18" t="str">
        <f t="shared" si="36"/>
        <v>BAŞARAKAVAK BELEDİYE BAŞKANLIĞI KONYA</v>
      </c>
      <c r="M649" s="18" t="str">
        <f t="shared" si="37"/>
        <v>BAŞARAKAVAK</v>
      </c>
    </row>
    <row r="650" spans="1:14" x14ac:dyDescent="0.25">
      <c r="A650" t="s">
        <v>1420</v>
      </c>
      <c r="B650" t="s">
        <v>704</v>
      </c>
      <c r="C650" t="s">
        <v>372</v>
      </c>
      <c r="D650">
        <v>10</v>
      </c>
      <c r="E650">
        <v>90001</v>
      </c>
      <c r="F650" t="s">
        <v>1421</v>
      </c>
      <c r="G650">
        <f t="shared" si="38"/>
        <v>26</v>
      </c>
      <c r="H650" s="9">
        <f>IF(ISERROR(VLOOKUP(A650,Excel4!D:J,7,0)),0,VLOOKUP(A650,Excel4!D:J,7,0))</f>
        <v>0</v>
      </c>
      <c r="I650" s="15" t="s">
        <v>1777</v>
      </c>
      <c r="J650" s="15" t="s">
        <v>372</v>
      </c>
      <c r="K650" s="15" t="s">
        <v>118</v>
      </c>
      <c r="L650" s="18" t="str">
        <f t="shared" si="36"/>
        <v>BEYŞEHİR BELEDİYE BAŞKANLIĞI KONYA</v>
      </c>
      <c r="M650" s="18" t="str">
        <f t="shared" si="37"/>
        <v>BEYŞEHİR</v>
      </c>
    </row>
    <row r="651" spans="1:14" x14ac:dyDescent="0.25">
      <c r="A651" t="s">
        <v>1422</v>
      </c>
      <c r="B651" t="s">
        <v>704</v>
      </c>
      <c r="C651" t="s">
        <v>628</v>
      </c>
      <c r="D651">
        <v>10</v>
      </c>
      <c r="E651">
        <v>90001</v>
      </c>
      <c r="F651" t="s">
        <v>1423</v>
      </c>
      <c r="G651">
        <f t="shared" si="38"/>
        <v>26</v>
      </c>
      <c r="H651" s="9">
        <f>IF(ISERROR(VLOOKUP(A651,Excel4!D:J,7,0)),0,VLOOKUP(A651,Excel4!D:J,7,0))</f>
        <v>0</v>
      </c>
      <c r="I651" s="15" t="s">
        <v>1777</v>
      </c>
      <c r="J651" s="15" t="s">
        <v>628</v>
      </c>
      <c r="K651" s="15" t="s">
        <v>118</v>
      </c>
      <c r="L651" s="18" t="str">
        <f t="shared" si="36"/>
        <v>BOZKIR BELEDİYE BAŞKANLIĞI KONYA</v>
      </c>
      <c r="M651" s="18" t="str">
        <f t="shared" si="37"/>
        <v>BOZKIR</v>
      </c>
    </row>
    <row r="652" spans="1:14" x14ac:dyDescent="0.25">
      <c r="A652" t="s">
        <v>1895</v>
      </c>
      <c r="B652" t="s">
        <v>2555</v>
      </c>
      <c r="C652" t="s">
        <v>741</v>
      </c>
      <c r="D652">
        <v>12</v>
      </c>
      <c r="E652">
        <v>90001</v>
      </c>
      <c r="F652" t="s">
        <v>2970</v>
      </c>
      <c r="G652">
        <f t="shared" si="38"/>
        <v>26</v>
      </c>
      <c r="H652" s="9">
        <f>IF(ISERROR(VLOOKUP(A652,Excel4!D:J,7,0)),0,VLOOKUP(A652,Excel4!D:J,7,0))</f>
        <v>103755.26999999999</v>
      </c>
      <c r="I652" s="15" t="s">
        <v>1777</v>
      </c>
      <c r="J652" s="15" t="s">
        <v>27</v>
      </c>
      <c r="K652" s="15" t="s">
        <v>117</v>
      </c>
      <c r="L652" s="18" t="str">
        <f t="shared" si="36"/>
        <v>KOCAELİ BÜYÜKŞEHİR BELEDİYE BAŞKANLIĞI</v>
      </c>
      <c r="M652" s="18" t="str">
        <f t="shared" si="37"/>
        <v>KOCAELİ BÜYÜKŞEHİR</v>
      </c>
      <c r="N652">
        <f>_xlfn.XLOOKUP(M652,[1]Sheet1!$A:$A,[1]Sheet1!$G:$G)</f>
        <v>0</v>
      </c>
    </row>
    <row r="653" spans="1:14" x14ac:dyDescent="0.25">
      <c r="A653" t="s">
        <v>1424</v>
      </c>
      <c r="B653" t="s">
        <v>704</v>
      </c>
      <c r="C653" t="s">
        <v>263</v>
      </c>
      <c r="D653">
        <v>10</v>
      </c>
      <c r="E653">
        <v>90001</v>
      </c>
      <c r="F653" t="s">
        <v>1425</v>
      </c>
      <c r="G653">
        <f t="shared" si="38"/>
        <v>26</v>
      </c>
      <c r="H653" s="9">
        <f>IF(ISERROR(VLOOKUP(A653,Excel4!D:J,7,0)),0,VLOOKUP(A653,Excel4!D:J,7,0))</f>
        <v>0</v>
      </c>
      <c r="I653" s="15" t="s">
        <v>1777</v>
      </c>
      <c r="J653" s="15" t="s">
        <v>263</v>
      </c>
      <c r="K653" s="15" t="s">
        <v>118</v>
      </c>
      <c r="L653" s="18" t="str">
        <f t="shared" si="36"/>
        <v>CİHANBEYLİ BELEDİYE BAŞKANLIĞI KONYA</v>
      </c>
      <c r="M653" s="18" t="str">
        <f t="shared" si="37"/>
        <v>CİHANBEYLİ</v>
      </c>
    </row>
    <row r="654" spans="1:14" x14ac:dyDescent="0.25">
      <c r="A654" t="s">
        <v>1426</v>
      </c>
      <c r="B654" t="s">
        <v>2555</v>
      </c>
      <c r="C654" t="s">
        <v>629</v>
      </c>
      <c r="D654">
        <v>12</v>
      </c>
      <c r="E654">
        <v>90001</v>
      </c>
      <c r="F654" t="s">
        <v>1427</v>
      </c>
      <c r="G654">
        <f t="shared" si="38"/>
        <v>26</v>
      </c>
      <c r="H654" s="9">
        <f>IF(ISERROR(VLOOKUP(A654,Excel4!D:J,7,0)),0,VLOOKUP(A654,Excel4!D:J,7,0))</f>
        <v>0</v>
      </c>
      <c r="I654" s="15" t="s">
        <v>1777</v>
      </c>
      <c r="J654" s="15" t="s">
        <v>629</v>
      </c>
      <c r="K654" s="15" t="s">
        <v>118</v>
      </c>
      <c r="L654" s="18" t="str">
        <f t="shared" si="36"/>
        <v>ÇUMRA BELEDİYE BAŞKANLIĞI KONYA</v>
      </c>
      <c r="M654" s="18" t="str">
        <f t="shared" si="37"/>
        <v>ÇUMRA</v>
      </c>
    </row>
    <row r="655" spans="1:14" x14ac:dyDescent="0.25">
      <c r="A655" t="s">
        <v>1428</v>
      </c>
      <c r="B655" t="s">
        <v>704</v>
      </c>
      <c r="C655" t="s">
        <v>630</v>
      </c>
      <c r="D655">
        <v>10</v>
      </c>
      <c r="E655">
        <v>90001</v>
      </c>
      <c r="F655" t="s">
        <v>1429</v>
      </c>
      <c r="G655">
        <f t="shared" si="38"/>
        <v>26</v>
      </c>
      <c r="H655" s="9">
        <f>IF(ISERROR(VLOOKUP(A655,Excel4!D:J,7,0)),0,VLOOKUP(A655,Excel4!D:J,7,0))</f>
        <v>0</v>
      </c>
      <c r="I655" s="15" t="s">
        <v>1777</v>
      </c>
      <c r="J655" s="15" t="s">
        <v>630</v>
      </c>
      <c r="K655" s="15" t="s">
        <v>118</v>
      </c>
      <c r="L655" s="18" t="str">
        <f t="shared" si="36"/>
        <v>DEREBUCAK BELEDİYE BAŞKANLIĞI KONYA</v>
      </c>
      <c r="M655" s="18" t="str">
        <f t="shared" si="37"/>
        <v>DEREBUCAK</v>
      </c>
    </row>
    <row r="656" spans="1:14" x14ac:dyDescent="0.25">
      <c r="A656" t="s">
        <v>1430</v>
      </c>
      <c r="B656" t="s">
        <v>704</v>
      </c>
      <c r="C656" t="s">
        <v>119</v>
      </c>
      <c r="D656">
        <v>10</v>
      </c>
      <c r="E656">
        <v>90001</v>
      </c>
      <c r="F656" t="s">
        <v>1431</v>
      </c>
      <c r="G656">
        <f t="shared" si="38"/>
        <v>26</v>
      </c>
      <c r="H656" s="9">
        <f>IF(ISERROR(VLOOKUP(A656,Excel4!D:J,7,0)),0,VLOOKUP(A656,Excel4!D:J,7,0))</f>
        <v>0</v>
      </c>
      <c r="I656" s="15" t="s">
        <v>1777</v>
      </c>
      <c r="J656" s="15" t="s">
        <v>119</v>
      </c>
      <c r="K656" s="15" t="s">
        <v>118</v>
      </c>
      <c r="L656" s="18" t="str">
        <f t="shared" si="36"/>
        <v>EREĞLİ BELEDİYE BAŞKANLIĞI KONYA</v>
      </c>
      <c r="M656" s="18" t="str">
        <f t="shared" si="37"/>
        <v>EREĞLİ</v>
      </c>
    </row>
    <row r="657" spans="1:14" x14ac:dyDescent="0.25">
      <c r="A657" t="s">
        <v>745</v>
      </c>
      <c r="E657">
        <v>90001</v>
      </c>
      <c r="G657">
        <f t="shared" si="38"/>
        <v>0</v>
      </c>
      <c r="H657" s="9">
        <f>IF(ISERROR(VLOOKUP(A657,Excel4!D:J,7,0)),0,VLOOKUP(A657,Excel4!D:J,7,0))</f>
        <v>0</v>
      </c>
      <c r="I657" s="15" t="s">
        <v>1777</v>
      </c>
      <c r="J657" s="15" t="s">
        <v>455</v>
      </c>
      <c r="K657" s="15" t="s">
        <v>118</v>
      </c>
      <c r="L657" s="18" t="str">
        <f t="shared" si="36"/>
        <v>HATUNSARAY BELEDİYE BAŞKANLIĞI KONYA</v>
      </c>
      <c r="M657" s="18" t="str">
        <f t="shared" si="37"/>
        <v>HATUNSARAY</v>
      </c>
    </row>
    <row r="658" spans="1:14" x14ac:dyDescent="0.25">
      <c r="A658" t="s">
        <v>1432</v>
      </c>
      <c r="B658" t="s">
        <v>704</v>
      </c>
      <c r="C658" t="s">
        <v>631</v>
      </c>
      <c r="D658">
        <v>10</v>
      </c>
      <c r="E658">
        <v>90001</v>
      </c>
      <c r="F658" t="s">
        <v>1433</v>
      </c>
      <c r="G658">
        <f t="shared" si="38"/>
        <v>26</v>
      </c>
      <c r="H658" s="9">
        <f>IF(ISERROR(VLOOKUP(A658,Excel4!D:J,7,0)),0,VLOOKUP(A658,Excel4!D:J,7,0))</f>
        <v>0</v>
      </c>
      <c r="I658" s="15" t="s">
        <v>1777</v>
      </c>
      <c r="J658" s="15" t="s">
        <v>631</v>
      </c>
      <c r="K658" s="15" t="s">
        <v>118</v>
      </c>
      <c r="L658" s="18" t="str">
        <f t="shared" si="36"/>
        <v>ILGIN BELEDİYE BAŞKANLIĞI KONYA</v>
      </c>
      <c r="M658" s="18" t="str">
        <f t="shared" si="37"/>
        <v>ILGIN</v>
      </c>
    </row>
    <row r="659" spans="1:14" x14ac:dyDescent="0.25">
      <c r="A659" t="s">
        <v>1434</v>
      </c>
      <c r="B659" t="s">
        <v>704</v>
      </c>
      <c r="C659" t="s">
        <v>632</v>
      </c>
      <c r="D659">
        <v>10</v>
      </c>
      <c r="E659">
        <v>90001</v>
      </c>
      <c r="F659" t="s">
        <v>1435</v>
      </c>
      <c r="G659">
        <f t="shared" si="38"/>
        <v>26</v>
      </c>
      <c r="H659" s="9">
        <f>IF(ISERROR(VLOOKUP(A659,Excel4!D:J,7,0)),0,VLOOKUP(A659,Excel4!D:J,7,0))</f>
        <v>0</v>
      </c>
      <c r="I659" s="15" t="s">
        <v>1777</v>
      </c>
      <c r="J659" s="15" t="s">
        <v>632</v>
      </c>
      <c r="K659" s="15" t="s">
        <v>118</v>
      </c>
      <c r="L659" s="18" t="str">
        <f t="shared" si="36"/>
        <v>KADINHANI BELEDİYE BAŞKANLIĞI KONYA</v>
      </c>
      <c r="M659" s="18" t="str">
        <f t="shared" si="37"/>
        <v>KADINHANI</v>
      </c>
    </row>
    <row r="660" spans="1:14" x14ac:dyDescent="0.25">
      <c r="A660" t="s">
        <v>1436</v>
      </c>
      <c r="B660" t="s">
        <v>704</v>
      </c>
      <c r="C660" t="s">
        <v>456</v>
      </c>
      <c r="D660">
        <v>10</v>
      </c>
      <c r="E660">
        <v>90001</v>
      </c>
      <c r="F660" t="s">
        <v>1437</v>
      </c>
      <c r="G660">
        <f t="shared" si="38"/>
        <v>26</v>
      </c>
      <c r="H660" s="9">
        <f>IF(ISERROR(VLOOKUP(A660,Excel4!D:J,7,0)),0,VLOOKUP(A660,Excel4!D:J,7,0))</f>
        <v>0</v>
      </c>
      <c r="I660" s="15" t="s">
        <v>1777</v>
      </c>
      <c r="J660" s="15" t="s">
        <v>456</v>
      </c>
      <c r="K660" s="15" t="s">
        <v>118</v>
      </c>
      <c r="L660" s="18" t="str">
        <f t="shared" si="36"/>
        <v>KARAPINAR BELEDİYE BAŞKANLIĞI KONYA</v>
      </c>
      <c r="M660" s="18" t="str">
        <f t="shared" si="37"/>
        <v>KARAPINAR</v>
      </c>
    </row>
    <row r="661" spans="1:14" x14ac:dyDescent="0.25">
      <c r="A661" t="s">
        <v>746</v>
      </c>
      <c r="B661" t="s">
        <v>2555</v>
      </c>
      <c r="C661" t="s">
        <v>747</v>
      </c>
      <c r="D661">
        <v>12</v>
      </c>
      <c r="E661">
        <v>90001</v>
      </c>
      <c r="F661" t="s">
        <v>748</v>
      </c>
      <c r="G661">
        <f t="shared" si="38"/>
        <v>26</v>
      </c>
      <c r="H661" s="9">
        <f>IF(ISERROR(VLOOKUP(A661,Excel4!D:J,7,0)),0,VLOOKUP(A661,Excel4!D:J,7,0))</f>
        <v>0</v>
      </c>
      <c r="I661" s="15" t="s">
        <v>1777</v>
      </c>
      <c r="J661" s="15" t="s">
        <v>633</v>
      </c>
      <c r="K661" s="15" t="s">
        <v>118</v>
      </c>
      <c r="L661" s="18" t="str">
        <f t="shared" si="36"/>
        <v>KULU BELEDİYE BAŞKANLIĞI KONYA</v>
      </c>
      <c r="M661" s="18" t="str">
        <f t="shared" si="37"/>
        <v>KULU</v>
      </c>
    </row>
    <row r="662" spans="1:14" x14ac:dyDescent="0.25">
      <c r="A662" t="s">
        <v>1438</v>
      </c>
      <c r="B662" t="s">
        <v>704</v>
      </c>
      <c r="C662" t="s">
        <v>634</v>
      </c>
      <c r="D662">
        <v>10</v>
      </c>
      <c r="E662">
        <v>90001</v>
      </c>
      <c r="F662" t="s">
        <v>1439</v>
      </c>
      <c r="G662">
        <f t="shared" si="38"/>
        <v>26</v>
      </c>
      <c r="H662" s="9">
        <f>IF(ISERROR(VLOOKUP(A662,Excel4!D:J,7,0)),0,VLOOKUP(A662,Excel4!D:J,7,0))</f>
        <v>0</v>
      </c>
      <c r="I662" s="15" t="s">
        <v>1777</v>
      </c>
      <c r="J662" s="15" t="s">
        <v>634</v>
      </c>
      <c r="K662" s="15" t="s">
        <v>118</v>
      </c>
      <c r="L662" s="18" t="str">
        <f t="shared" si="36"/>
        <v>SARAYÖNÜ BELEDİYE BAŞKANLIĞI KONYA</v>
      </c>
      <c r="M662" s="18" t="str">
        <f t="shared" si="37"/>
        <v>SARAYÖNÜ</v>
      </c>
    </row>
    <row r="663" spans="1:14" x14ac:dyDescent="0.25">
      <c r="A663" t="s">
        <v>1440</v>
      </c>
      <c r="B663" t="s">
        <v>704</v>
      </c>
      <c r="C663" t="s">
        <v>373</v>
      </c>
      <c r="D663">
        <v>10</v>
      </c>
      <c r="E663">
        <v>90001</v>
      </c>
      <c r="F663" t="s">
        <v>1441</v>
      </c>
      <c r="G663">
        <f t="shared" si="38"/>
        <v>26</v>
      </c>
      <c r="H663" s="9">
        <f>IF(ISERROR(VLOOKUP(A663,Excel4!D:J,7,0)),0,VLOOKUP(A663,Excel4!D:J,7,0))</f>
        <v>0</v>
      </c>
      <c r="I663" s="15" t="s">
        <v>1777</v>
      </c>
      <c r="J663" s="15" t="s">
        <v>373</v>
      </c>
      <c r="K663" s="15" t="s">
        <v>118</v>
      </c>
      <c r="L663" s="18" t="str">
        <f t="shared" si="36"/>
        <v>SEYDİŞEHİR BELEDİYE BAŞKANLIĞI KONYA</v>
      </c>
      <c r="M663" s="18" t="str">
        <f t="shared" si="37"/>
        <v>SEYDİŞEHİR</v>
      </c>
    </row>
    <row r="664" spans="1:14" x14ac:dyDescent="0.25">
      <c r="A664" t="s">
        <v>1442</v>
      </c>
      <c r="B664" t="s">
        <v>2555</v>
      </c>
      <c r="C664" t="s">
        <v>635</v>
      </c>
      <c r="D664">
        <v>12</v>
      </c>
      <c r="E664">
        <v>90001</v>
      </c>
      <c r="F664" t="s">
        <v>1443</v>
      </c>
      <c r="G664">
        <f t="shared" si="38"/>
        <v>26</v>
      </c>
      <c r="H664" s="9">
        <f>IF(ISERROR(VLOOKUP(A664,Excel4!D:J,7,0)),0,VLOOKUP(A664,Excel4!D:J,7,0))</f>
        <v>0</v>
      </c>
      <c r="I664" s="15" t="s">
        <v>1777</v>
      </c>
      <c r="J664" s="15" t="s">
        <v>635</v>
      </c>
      <c r="K664" s="15" t="s">
        <v>118</v>
      </c>
      <c r="L664" s="18" t="str">
        <f t="shared" si="36"/>
        <v>TUZLUKÇU BELEDİYE BAŞKANLIĞI KONYA</v>
      </c>
      <c r="M664" s="18" t="str">
        <f t="shared" si="37"/>
        <v>TUZLUKÇU</v>
      </c>
    </row>
    <row r="665" spans="1:14" x14ac:dyDescent="0.25">
      <c r="A665" t="s">
        <v>1444</v>
      </c>
      <c r="B665" t="s">
        <v>704</v>
      </c>
      <c r="C665" t="s">
        <v>636</v>
      </c>
      <c r="D665">
        <v>10</v>
      </c>
      <c r="E665">
        <v>90001</v>
      </c>
      <c r="F665" t="s">
        <v>1445</v>
      </c>
      <c r="G665">
        <f t="shared" si="38"/>
        <v>26</v>
      </c>
      <c r="H665" s="9">
        <f>IF(ISERROR(VLOOKUP(A665,Excel4!D:J,7,0)),0,VLOOKUP(A665,Excel4!D:J,7,0))</f>
        <v>0</v>
      </c>
      <c r="I665" s="15" t="s">
        <v>1777</v>
      </c>
      <c r="J665" s="15" t="s">
        <v>636</v>
      </c>
      <c r="K665" s="15" t="s">
        <v>118</v>
      </c>
      <c r="L665" s="18" t="str">
        <f t="shared" si="36"/>
        <v>YALIHÜYÜK BELEDİYE BAŞKANLIĞI KONYA</v>
      </c>
      <c r="M665" s="18" t="str">
        <f t="shared" si="37"/>
        <v>YALIHÜYÜK</v>
      </c>
    </row>
    <row r="666" spans="1:14" x14ac:dyDescent="0.25">
      <c r="A666" t="s">
        <v>1446</v>
      </c>
      <c r="B666" t="s">
        <v>704</v>
      </c>
      <c r="C666" t="s">
        <v>637</v>
      </c>
      <c r="D666">
        <v>10</v>
      </c>
      <c r="E666">
        <v>90001</v>
      </c>
      <c r="F666" t="s">
        <v>1447</v>
      </c>
      <c r="G666">
        <f t="shared" si="38"/>
        <v>26</v>
      </c>
      <c r="H666" s="9">
        <f>IF(ISERROR(VLOOKUP(A666,Excel4!D:J,7,0)),0,VLOOKUP(A666,Excel4!D:J,7,0))</f>
        <v>0</v>
      </c>
      <c r="I666" s="15" t="s">
        <v>1777</v>
      </c>
      <c r="J666" s="15" t="s">
        <v>637</v>
      </c>
      <c r="K666" s="15" t="s">
        <v>118</v>
      </c>
      <c r="L666" s="18" t="str">
        <f t="shared" si="36"/>
        <v>YUNAK BELEDİYE BAŞKANLIĞI KONYA</v>
      </c>
      <c r="M666" s="18" t="str">
        <f t="shared" si="37"/>
        <v>YUNAK</v>
      </c>
    </row>
    <row r="667" spans="1:14" x14ac:dyDescent="0.25">
      <c r="A667" t="s">
        <v>749</v>
      </c>
      <c r="B667" t="s">
        <v>704</v>
      </c>
      <c r="C667" t="s">
        <v>374</v>
      </c>
      <c r="D667">
        <v>10</v>
      </c>
      <c r="E667">
        <v>90001</v>
      </c>
      <c r="F667" t="s">
        <v>750</v>
      </c>
      <c r="G667">
        <f t="shared" si="38"/>
        <v>26</v>
      </c>
      <c r="H667" s="9">
        <f>IF(ISERROR(VLOOKUP(A667,Excel4!D:J,7,0)),0,VLOOKUP(A667,Excel4!D:J,7,0))</f>
        <v>0</v>
      </c>
      <c r="I667" s="15" t="s">
        <v>1777</v>
      </c>
      <c r="J667" s="15" t="s">
        <v>638</v>
      </c>
      <c r="K667" s="15" t="s">
        <v>76</v>
      </c>
      <c r="L667" s="18" t="str">
        <f t="shared" si="36"/>
        <v>ALİKÖY BELEDİYE BAŞKANLIĞI KÜTAHYA</v>
      </c>
      <c r="M667" s="18" t="str">
        <f t="shared" si="37"/>
        <v>ALİKÖY</v>
      </c>
    </row>
    <row r="668" spans="1:14" x14ac:dyDescent="0.25">
      <c r="A668" t="s">
        <v>1906</v>
      </c>
      <c r="B668" t="s">
        <v>699</v>
      </c>
      <c r="C668" t="s">
        <v>118</v>
      </c>
      <c r="D668">
        <v>15</v>
      </c>
      <c r="E668">
        <v>90001</v>
      </c>
      <c r="F668" t="s">
        <v>744</v>
      </c>
      <c r="G668">
        <f t="shared" si="38"/>
        <v>26</v>
      </c>
      <c r="H668" s="9">
        <f>IF(ISERROR(VLOOKUP(A668,Excel4!D:J,7,0)),0,VLOOKUP(A668,Excel4!D:J,7,0))</f>
        <v>64354.719999999987</v>
      </c>
      <c r="I668" s="15" t="s">
        <v>1777</v>
      </c>
      <c r="J668" s="15" t="s">
        <v>27</v>
      </c>
      <c r="K668" s="15" t="s">
        <v>118</v>
      </c>
      <c r="L668" s="18" t="str">
        <f t="shared" si="36"/>
        <v>KONYA BÜYÜKŞEHİR BELEDİYE BAŞKANLIĞI</v>
      </c>
      <c r="M668" s="18" t="str">
        <f t="shared" si="37"/>
        <v>KONYA BÜYÜKŞEHİR</v>
      </c>
      <c r="N668">
        <f>_xlfn.XLOOKUP(M668,[1]Sheet1!$A:$A,[1]Sheet1!$G:$G)</f>
        <v>0</v>
      </c>
    </row>
    <row r="669" spans="1:14" x14ac:dyDescent="0.25">
      <c r="A669" t="s">
        <v>2287</v>
      </c>
      <c r="B669" t="s">
        <v>704</v>
      </c>
      <c r="C669" t="s">
        <v>639</v>
      </c>
      <c r="D669">
        <v>10</v>
      </c>
      <c r="E669">
        <v>90001</v>
      </c>
      <c r="F669" t="s">
        <v>1448</v>
      </c>
      <c r="G669">
        <f t="shared" si="38"/>
        <v>26</v>
      </c>
      <c r="H669" s="9">
        <f>IF(ISERROR(VLOOKUP(A669,Excel4!D:J,7,0)),0,VLOOKUP(A669,Excel4!D:J,7,0))</f>
        <v>0</v>
      </c>
      <c r="I669" s="15" t="s">
        <v>1777</v>
      </c>
      <c r="J669" s="15" t="s">
        <v>639</v>
      </c>
      <c r="K669" s="15" t="s">
        <v>76</v>
      </c>
      <c r="L669" s="18" t="str">
        <f t="shared" si="36"/>
        <v>ALTINTAŞ BELEDİYE BAŞKANLIĞI KÜTAHYA</v>
      </c>
      <c r="M669" s="18" t="str">
        <f t="shared" si="37"/>
        <v>ALTINTAŞ</v>
      </c>
    </row>
    <row r="670" spans="1:14" x14ac:dyDescent="0.25">
      <c r="A670" t="s">
        <v>2286</v>
      </c>
      <c r="G670">
        <f t="shared" si="38"/>
        <v>0</v>
      </c>
      <c r="H670" s="9">
        <f>IF(ISERROR(VLOOKUP(A670,Excel4!D:J,7,0)),0,VLOOKUP(A670,Excel4!D:J,7,0))</f>
        <v>0</v>
      </c>
      <c r="I670" s="15" t="s">
        <v>1777</v>
      </c>
      <c r="J670" s="15" t="s">
        <v>2208</v>
      </c>
      <c r="K670" s="15" t="s">
        <v>76</v>
      </c>
      <c r="L670" s="18" t="str">
        <f t="shared" si="36"/>
        <v>BAHTILLI BELEDİYE BAŞKANLIĞI KÜTAHYA</v>
      </c>
      <c r="M670" s="18" t="str">
        <f t="shared" si="37"/>
        <v>BAHTILLI</v>
      </c>
    </row>
    <row r="671" spans="1:14" x14ac:dyDescent="0.25">
      <c r="A671" t="s">
        <v>2776</v>
      </c>
      <c r="B671" t="s">
        <v>704</v>
      </c>
      <c r="C671" t="s">
        <v>374</v>
      </c>
      <c r="D671">
        <v>10</v>
      </c>
      <c r="E671">
        <v>90001</v>
      </c>
      <c r="F671" t="s">
        <v>2780</v>
      </c>
      <c r="G671">
        <f t="shared" si="38"/>
        <v>26</v>
      </c>
      <c r="H671" s="9">
        <f>IF(ISERROR(VLOOKUP(A671,Excel4!D:J,7,0)),0,VLOOKUP(A671,Excel4!D:J,7,0))</f>
        <v>0</v>
      </c>
      <c r="I671" s="15" t="s">
        <v>1777</v>
      </c>
      <c r="J671" s="15" t="s">
        <v>2766</v>
      </c>
      <c r="K671" s="15" t="s">
        <v>76</v>
      </c>
      <c r="L671" s="18" t="str">
        <f t="shared" si="36"/>
        <v>BALIKÖY BELEDİYE BAŞKANLIĞI KÜTAHYA</v>
      </c>
      <c r="M671" s="18" t="str">
        <f t="shared" si="37"/>
        <v>BALIKÖY</v>
      </c>
    </row>
    <row r="672" spans="1:14" x14ac:dyDescent="0.25">
      <c r="A672" t="s">
        <v>2788</v>
      </c>
      <c r="B672" s="19" t="s">
        <v>704</v>
      </c>
      <c r="C672" s="19" t="s">
        <v>374</v>
      </c>
      <c r="D672">
        <v>10</v>
      </c>
      <c r="E672">
        <v>90001</v>
      </c>
      <c r="F672" s="19" t="s">
        <v>2780</v>
      </c>
      <c r="G672">
        <f t="shared" si="38"/>
        <v>26</v>
      </c>
      <c r="H672" s="9">
        <f>IF(ISERROR(VLOOKUP(A672,Excel4!D:J,7,0)),0,VLOOKUP(A672,Excel4!D:J,7,0))</f>
        <v>0</v>
      </c>
      <c r="I672" s="15" t="s">
        <v>1777</v>
      </c>
      <c r="J672" s="20" t="s">
        <v>2785</v>
      </c>
      <c r="K672" s="15" t="s">
        <v>76</v>
      </c>
      <c r="L672" s="18" t="str">
        <f t="shared" si="36"/>
        <v>BALİKÖY BELEDİYE BAŞKANLIĞI KÜTAHYA</v>
      </c>
      <c r="M672" s="18" t="str">
        <f t="shared" si="37"/>
        <v>BALİKÖY</v>
      </c>
    </row>
    <row r="673" spans="1:14" x14ac:dyDescent="0.25">
      <c r="A673" t="s">
        <v>2288</v>
      </c>
      <c r="B673" t="s">
        <v>704</v>
      </c>
      <c r="C673" t="s">
        <v>640</v>
      </c>
      <c r="D673">
        <v>10</v>
      </c>
      <c r="E673">
        <v>90001</v>
      </c>
      <c r="F673" t="s">
        <v>1830</v>
      </c>
      <c r="G673">
        <f t="shared" si="38"/>
        <v>26</v>
      </c>
      <c r="H673" s="9">
        <f>IF(ISERROR(VLOOKUP(A673,Excel4!D:J,7,0)),0,VLOOKUP(A673,Excel4!D:J,7,0))</f>
        <v>0</v>
      </c>
      <c r="I673" s="15" t="s">
        <v>1777</v>
      </c>
      <c r="J673" s="15" t="s">
        <v>640</v>
      </c>
      <c r="K673" s="15" t="s">
        <v>76</v>
      </c>
      <c r="L673" s="18" t="str">
        <f t="shared" si="36"/>
        <v>ÇAVDARHİSAR BELEDİYE BAŞKANLIĞI KÜTAHYA</v>
      </c>
      <c r="M673" s="18" t="str">
        <f t="shared" si="37"/>
        <v>ÇAVDARHİSAR</v>
      </c>
      <c r="N673">
        <f>_xlfn.XLOOKUP(M673,[1]Sheet1!$A:$A,[1]Sheet1!$G:$G)</f>
        <v>0</v>
      </c>
    </row>
    <row r="674" spans="1:14" x14ac:dyDescent="0.25">
      <c r="A674" t="s">
        <v>2805</v>
      </c>
      <c r="B674" t="s">
        <v>704</v>
      </c>
      <c r="C674" t="s">
        <v>2803</v>
      </c>
      <c r="D674">
        <v>10</v>
      </c>
      <c r="E674">
        <v>90001</v>
      </c>
      <c r="F674" t="s">
        <v>2808</v>
      </c>
      <c r="G674">
        <f t="shared" si="38"/>
        <v>26</v>
      </c>
      <c r="H674" s="9">
        <f>IF(ISERROR(VLOOKUP(A674,Excel4!D:J,7,0)),0,VLOOKUP(A674,Excel4!D:J,7,0))</f>
        <v>0</v>
      </c>
      <c r="I674" s="15" t="s">
        <v>1777</v>
      </c>
      <c r="J674" s="15" t="s">
        <v>2803</v>
      </c>
      <c r="K674" s="15" t="s">
        <v>76</v>
      </c>
      <c r="L674" s="18" t="str">
        <f t="shared" si="36"/>
        <v>ASLANAPA BELEDİYE BAŞKANLIĞI KÜTAHYA</v>
      </c>
      <c r="M674" s="18" t="str">
        <f t="shared" si="37"/>
        <v>ASLANAPA</v>
      </c>
    </row>
    <row r="675" spans="1:14" x14ac:dyDescent="0.25">
      <c r="A675" t="s">
        <v>751</v>
      </c>
      <c r="B675" t="s">
        <v>704</v>
      </c>
      <c r="C675" t="s">
        <v>642</v>
      </c>
      <c r="D675">
        <v>10</v>
      </c>
      <c r="E675">
        <v>90001</v>
      </c>
      <c r="F675" t="s">
        <v>752</v>
      </c>
      <c r="G675">
        <f t="shared" si="38"/>
        <v>26</v>
      </c>
      <c r="H675" s="9">
        <f>IF(ISERROR(VLOOKUP(A675,Excel4!D:J,7,0)),0,VLOOKUP(A675,Excel4!D:J,7,0))</f>
        <v>0</v>
      </c>
      <c r="I675" s="15" t="s">
        <v>1777</v>
      </c>
      <c r="J675" s="15" t="s">
        <v>642</v>
      </c>
      <c r="K675" s="15" t="s">
        <v>76</v>
      </c>
      <c r="L675" s="18" t="str">
        <f t="shared" si="36"/>
        <v>DUMLUPINAR BELEDİYE BAŞKANLIĞI KÜTAHYA</v>
      </c>
      <c r="M675" s="18" t="str">
        <f t="shared" si="37"/>
        <v>DUMLUPINAR</v>
      </c>
    </row>
    <row r="676" spans="1:14" x14ac:dyDescent="0.25">
      <c r="A676" t="s">
        <v>1449</v>
      </c>
      <c r="B676" t="s">
        <v>704</v>
      </c>
      <c r="C676" t="s">
        <v>641</v>
      </c>
      <c r="D676">
        <v>10</v>
      </c>
      <c r="E676">
        <v>90001</v>
      </c>
      <c r="F676" t="s">
        <v>1450</v>
      </c>
      <c r="G676">
        <f t="shared" si="38"/>
        <v>26</v>
      </c>
      <c r="H676" s="9">
        <f>IF(ISERROR(VLOOKUP(A676,Excel4!D:J,7,0)),0,VLOOKUP(A676,Excel4!D:J,7,0))</f>
        <v>0</v>
      </c>
      <c r="I676" s="15" t="s">
        <v>1777</v>
      </c>
      <c r="J676" s="15" t="s">
        <v>641</v>
      </c>
      <c r="K676" s="15" t="s">
        <v>76</v>
      </c>
      <c r="L676" s="18" t="str">
        <f t="shared" ref="L676:L739" si="39">IF(J676="MERKEZ",K676&amp;" "&amp;I676,IF(J676="BÜYÜKŞEHİR",K676&amp;" "&amp;J676&amp;" "&amp;I676,J676&amp;" "&amp;I676&amp;" "&amp;K676))</f>
        <v>DOMANİÇ BELEDİYE BAŞKANLIĞI KÜTAHYA</v>
      </c>
      <c r="M676" s="18" t="str">
        <f t="shared" si="37"/>
        <v>DOMANİÇ</v>
      </c>
      <c r="N676">
        <f>_xlfn.XLOOKUP(M676,[1]Sheet1!$A:$A,[1]Sheet1!$G:$G)</f>
        <v>0</v>
      </c>
    </row>
    <row r="677" spans="1:14" x14ac:dyDescent="0.25">
      <c r="A677" t="s">
        <v>2491</v>
      </c>
      <c r="B677" t="s">
        <v>704</v>
      </c>
      <c r="C677" t="s">
        <v>2397</v>
      </c>
      <c r="D677">
        <v>10</v>
      </c>
      <c r="E677">
        <v>90001</v>
      </c>
      <c r="F677" t="s">
        <v>2492</v>
      </c>
      <c r="G677">
        <f t="shared" si="38"/>
        <v>26</v>
      </c>
      <c r="H677" s="9">
        <f>IF(ISERROR(VLOOKUP(A677,Excel4!D:J,7,0)),0,VLOOKUP(A677,Excel4!D:J,7,0))</f>
        <v>0</v>
      </c>
      <c r="I677" s="15" t="s">
        <v>1777</v>
      </c>
      <c r="J677" s="15" t="s">
        <v>2397</v>
      </c>
      <c r="K677" s="15" t="s">
        <v>76</v>
      </c>
      <c r="L677" s="18" t="str">
        <f t="shared" si="39"/>
        <v>EMET BELEDİYE BAŞKANLIĞI KÜTAHYA</v>
      </c>
      <c r="M677" s="18" t="str">
        <f t="shared" si="37"/>
        <v>EMET</v>
      </c>
      <c r="N677">
        <f>_xlfn.XLOOKUP(M677,[1]Sheet1!$A:$A,[1]Sheet1!$G:$G)</f>
        <v>0</v>
      </c>
    </row>
    <row r="678" spans="1:14" x14ac:dyDescent="0.25">
      <c r="A678" t="s">
        <v>2489</v>
      </c>
      <c r="B678" t="s">
        <v>704</v>
      </c>
      <c r="C678" t="s">
        <v>2393</v>
      </c>
      <c r="D678">
        <v>10</v>
      </c>
      <c r="E678">
        <v>90001</v>
      </c>
      <c r="F678" t="s">
        <v>2490</v>
      </c>
      <c r="G678">
        <f t="shared" si="38"/>
        <v>26</v>
      </c>
      <c r="H678" s="9">
        <f>IF(ISERROR(VLOOKUP(A678,Excel4!D:J,7,0)),0,VLOOKUP(A678,Excel4!D:J,7,0))</f>
        <v>10.870000000000001</v>
      </c>
      <c r="I678" s="15" t="s">
        <v>1777</v>
      </c>
      <c r="J678" s="15" t="s">
        <v>2393</v>
      </c>
      <c r="K678" s="15" t="s">
        <v>76</v>
      </c>
      <c r="L678" s="18" t="str">
        <f t="shared" si="39"/>
        <v>HİSARCIK BELEDİYE BAŞKANLIĞI KÜTAHYA</v>
      </c>
      <c r="M678" s="18" t="str">
        <f t="shared" si="37"/>
        <v>HİSARCIK</v>
      </c>
      <c r="N678">
        <f>_xlfn.XLOOKUP(M678,[1]Sheet1!$A:$A,[1]Sheet1!$G:$G)</f>
        <v>0</v>
      </c>
    </row>
    <row r="679" spans="1:14" x14ac:dyDescent="0.25">
      <c r="A679" t="s">
        <v>1451</v>
      </c>
      <c r="B679" t="s">
        <v>704</v>
      </c>
      <c r="C679" t="s">
        <v>307</v>
      </c>
      <c r="D679">
        <v>10</v>
      </c>
      <c r="E679">
        <v>90001</v>
      </c>
      <c r="F679" t="s">
        <v>1452</v>
      </c>
      <c r="G679">
        <f t="shared" si="38"/>
        <v>26</v>
      </c>
      <c r="H679" s="9">
        <f>IF(ISERROR(VLOOKUP(A679,Excel4!D:J,7,0)),0,VLOOKUP(A679,Excel4!D:J,7,0))</f>
        <v>40.549999999999997</v>
      </c>
      <c r="I679" s="15" t="s">
        <v>1777</v>
      </c>
      <c r="J679" s="15" t="s">
        <v>307</v>
      </c>
      <c r="K679" s="15" t="s">
        <v>76</v>
      </c>
      <c r="L679" s="18" t="str">
        <f t="shared" si="39"/>
        <v>GEDİZ BELEDİYE BAŞKANLIĞI KÜTAHYA</v>
      </c>
      <c r="M679" s="18" t="str">
        <f t="shared" si="37"/>
        <v>GEDİZ</v>
      </c>
      <c r="N679">
        <f>_xlfn.XLOOKUP(M679,[1]Sheet1!$A:$A,[1]Sheet1!$G:$G)</f>
        <v>0</v>
      </c>
    </row>
    <row r="680" spans="1:14" x14ac:dyDescent="0.25">
      <c r="A680" t="s">
        <v>2896</v>
      </c>
      <c r="B680" t="s">
        <v>704</v>
      </c>
      <c r="C680" t="s">
        <v>76</v>
      </c>
      <c r="D680">
        <v>10</v>
      </c>
      <c r="E680">
        <v>90001</v>
      </c>
      <c r="F680" t="s">
        <v>2901</v>
      </c>
      <c r="G680">
        <f t="shared" si="38"/>
        <v>26</v>
      </c>
      <c r="H680" s="9">
        <f>IF(ISERROR(VLOOKUP(A680,Excel4!D:J,7,0)),0,VLOOKUP(A680,Excel4!D:J,7,0))</f>
        <v>0</v>
      </c>
      <c r="I680" s="15" t="s">
        <v>1777</v>
      </c>
      <c r="J680" s="15" t="s">
        <v>2890</v>
      </c>
      <c r="K680" s="15" t="s">
        <v>76</v>
      </c>
      <c r="L680" s="18" t="str">
        <f t="shared" si="39"/>
        <v>SEYİTÖMER BELEDİYE BAŞKANLIĞI KÜTAHYA</v>
      </c>
      <c r="M680" s="18" t="str">
        <f t="shared" si="37"/>
        <v>SEYİTÖMER</v>
      </c>
    </row>
    <row r="681" spans="1:14" x14ac:dyDescent="0.25">
      <c r="A681" t="s">
        <v>1453</v>
      </c>
      <c r="B681" t="s">
        <v>704</v>
      </c>
      <c r="C681" t="s">
        <v>34</v>
      </c>
      <c r="D681">
        <v>10</v>
      </c>
      <c r="E681">
        <v>90001</v>
      </c>
      <c r="F681" t="s">
        <v>1454</v>
      </c>
      <c r="G681">
        <f t="shared" si="38"/>
        <v>26</v>
      </c>
      <c r="H681" s="9">
        <f>IF(ISERROR(VLOOKUP(A681,Excel4!D:J,7,0)),0,VLOOKUP(A681,Excel4!D:J,7,0))</f>
        <v>3755.47</v>
      </c>
      <c r="I681" s="15" t="s">
        <v>1777</v>
      </c>
      <c r="J681" s="15" t="s">
        <v>34</v>
      </c>
      <c r="K681" s="15" t="s">
        <v>76</v>
      </c>
      <c r="L681" s="18" t="str">
        <f t="shared" si="39"/>
        <v>KÜTAHYA BELEDİYE BAŞKANLIĞI</v>
      </c>
      <c r="M681" s="18" t="str">
        <f t="shared" si="37"/>
        <v>KÜTAHYA</v>
      </c>
      <c r="N681" t="e">
        <f>_xlfn.XLOOKUP(M681,[1]Sheet1!$C:$C,[1]Sheet1!$G:$G)</f>
        <v>#N/A</v>
      </c>
    </row>
    <row r="682" spans="1:14" x14ac:dyDescent="0.25">
      <c r="A682" t="s">
        <v>1455</v>
      </c>
      <c r="B682" t="s">
        <v>704</v>
      </c>
      <c r="C682" t="s">
        <v>643</v>
      </c>
      <c r="D682">
        <v>10</v>
      </c>
      <c r="E682">
        <v>90001</v>
      </c>
      <c r="F682" t="s">
        <v>1456</v>
      </c>
      <c r="G682">
        <f t="shared" si="38"/>
        <v>26</v>
      </c>
      <c r="H682" s="9">
        <f>IF(ISERROR(VLOOKUP(A682,Excel4!D:J,7,0)),0,VLOOKUP(A682,Excel4!D:J,7,0))</f>
        <v>26.29</v>
      </c>
      <c r="I682" s="15" t="s">
        <v>1777</v>
      </c>
      <c r="J682" s="15" t="s">
        <v>643</v>
      </c>
      <c r="K682" s="15" t="s">
        <v>76</v>
      </c>
      <c r="L682" s="18" t="str">
        <f t="shared" si="39"/>
        <v>ŞAPHANE BELEDİYE BAŞKANLIĞI KÜTAHYA</v>
      </c>
      <c r="M682" s="18" t="str">
        <f t="shared" si="37"/>
        <v>ŞAPHANE</v>
      </c>
    </row>
    <row r="683" spans="1:14" x14ac:dyDescent="0.25">
      <c r="A683" t="s">
        <v>1708</v>
      </c>
      <c r="B683" t="s">
        <v>699</v>
      </c>
      <c r="C683" t="s">
        <v>458</v>
      </c>
      <c r="D683">
        <v>15</v>
      </c>
      <c r="E683">
        <v>90001</v>
      </c>
      <c r="F683" t="s">
        <v>1709</v>
      </c>
      <c r="G683">
        <f t="shared" si="38"/>
        <v>26</v>
      </c>
      <c r="H683" s="9">
        <f>IF(ISERROR(VLOOKUP(A683,Excel4!D:J,7,0)),0,VLOOKUP(A683,Excel4!D:J,7,0))</f>
        <v>196.08000000000004</v>
      </c>
      <c r="I683" s="15" t="s">
        <v>1777</v>
      </c>
      <c r="J683" s="15" t="s">
        <v>458</v>
      </c>
      <c r="K683" s="15" t="s">
        <v>76</v>
      </c>
      <c r="L683" s="18" t="str">
        <f t="shared" si="39"/>
        <v>SİMAV BELEDİYE BAŞKANLIĞI KÜTAHYA</v>
      </c>
      <c r="M683" s="18" t="str">
        <f t="shared" si="37"/>
        <v>SİMAV</v>
      </c>
      <c r="N683">
        <f>_xlfn.XLOOKUP(M683,[1]Sheet1!$A:$A,[1]Sheet1!$G:$G)</f>
        <v>0</v>
      </c>
    </row>
    <row r="684" spans="1:14" x14ac:dyDescent="0.25">
      <c r="A684" t="s">
        <v>2806</v>
      </c>
      <c r="B684" t="s">
        <v>704</v>
      </c>
      <c r="C684" t="s">
        <v>374</v>
      </c>
      <c r="D684">
        <v>10</v>
      </c>
      <c r="E684">
        <v>90001</v>
      </c>
      <c r="F684" t="s">
        <v>2809</v>
      </c>
      <c r="G684">
        <f t="shared" si="38"/>
        <v>26</v>
      </c>
      <c r="H684" s="9">
        <f>IF(ISERROR(VLOOKUP(A684,Excel4!D:J,7,0)),0,VLOOKUP(A684,Excel4!D:J,7,0))</f>
        <v>0</v>
      </c>
      <c r="I684" s="15" t="s">
        <v>1777</v>
      </c>
      <c r="J684" s="15" t="s">
        <v>1781</v>
      </c>
      <c r="K684" s="15" t="s">
        <v>76</v>
      </c>
      <c r="L684" s="18" t="str">
        <f t="shared" si="39"/>
        <v>TEPECİK BELEDİYE BAŞKANLIĞI KÜTAHYA</v>
      </c>
      <c r="M684" s="18" t="str">
        <f t="shared" si="37"/>
        <v>TEPECİK</v>
      </c>
    </row>
    <row r="685" spans="1:14" x14ac:dyDescent="0.25">
      <c r="A685" t="s">
        <v>2187</v>
      </c>
      <c r="B685" s="19" t="s">
        <v>704</v>
      </c>
      <c r="C685" s="19" t="s">
        <v>374</v>
      </c>
      <c r="D685">
        <v>10</v>
      </c>
      <c r="E685">
        <v>90001</v>
      </c>
      <c r="F685" s="19" t="s">
        <v>2199</v>
      </c>
      <c r="G685">
        <f t="shared" si="38"/>
        <v>26</v>
      </c>
      <c r="H685" s="9">
        <f>IF(ISERROR(VLOOKUP(A685,Excel4!D:J,7,0)),0,VLOOKUP(A685,Excel4!D:J,7,0))</f>
        <v>0</v>
      </c>
      <c r="I685" s="15" t="s">
        <v>1777</v>
      </c>
      <c r="J685" s="15" t="s">
        <v>2179</v>
      </c>
      <c r="K685" s="15" t="s">
        <v>76</v>
      </c>
      <c r="L685" s="18" t="str">
        <f t="shared" si="39"/>
        <v>TUNÇBİLEK BELEDİYE BAŞKANLIĞI KÜTAHYA</v>
      </c>
      <c r="M685" s="18" t="str">
        <f t="shared" si="37"/>
        <v>TUNÇBİLEK</v>
      </c>
    </row>
    <row r="686" spans="1:14" x14ac:dyDescent="0.25">
      <c r="A686" t="s">
        <v>1710</v>
      </c>
      <c r="B686" t="s">
        <v>940</v>
      </c>
      <c r="C686" t="s">
        <v>322</v>
      </c>
      <c r="D686">
        <v>46</v>
      </c>
      <c r="E686">
        <v>90001</v>
      </c>
      <c r="F686" t="s">
        <v>1711</v>
      </c>
      <c r="G686">
        <f t="shared" si="38"/>
        <v>26</v>
      </c>
      <c r="H686" s="9">
        <f>IF(ISERROR(VLOOKUP(A686,Excel4!D:J,7,0)),0,VLOOKUP(A686,Excel4!D:J,7,0))</f>
        <v>0</v>
      </c>
      <c r="I686" s="15" t="s">
        <v>1777</v>
      </c>
      <c r="J686" s="15" t="s">
        <v>322</v>
      </c>
      <c r="K686" s="15" t="s">
        <v>120</v>
      </c>
      <c r="L686" s="18" t="str">
        <f t="shared" si="39"/>
        <v>AKÇADAĞ BELEDİYE BAŞKANLIĞI MALATYA</v>
      </c>
      <c r="M686" s="18" t="str">
        <f t="shared" si="37"/>
        <v>AKÇADAĞ</v>
      </c>
    </row>
    <row r="687" spans="1:14" x14ac:dyDescent="0.25">
      <c r="A687" t="s">
        <v>1458</v>
      </c>
      <c r="B687" t="s">
        <v>704</v>
      </c>
      <c r="C687" t="s">
        <v>644</v>
      </c>
      <c r="D687">
        <v>10</v>
      </c>
      <c r="E687">
        <v>90001</v>
      </c>
      <c r="F687" t="s">
        <v>1459</v>
      </c>
      <c r="G687">
        <f t="shared" si="38"/>
        <v>26</v>
      </c>
      <c r="H687" s="9">
        <f>IF(ISERROR(VLOOKUP(A687,Excel4!D:J,7,0)),0,VLOOKUP(A687,Excel4!D:J,7,0))</f>
        <v>0</v>
      </c>
      <c r="I687" s="15" t="s">
        <v>1777</v>
      </c>
      <c r="J687" s="15" t="s">
        <v>644</v>
      </c>
      <c r="K687" s="15" t="s">
        <v>120</v>
      </c>
      <c r="L687" s="18" t="str">
        <f t="shared" si="39"/>
        <v>ARAPKİR BELEDİYE BAŞKANLIĞI MALATYA</v>
      </c>
      <c r="M687" s="18" t="str">
        <f t="shared" si="37"/>
        <v>ARAPKİR</v>
      </c>
    </row>
    <row r="688" spans="1:14" x14ac:dyDescent="0.25">
      <c r="A688" t="s">
        <v>753</v>
      </c>
      <c r="B688" t="s">
        <v>704</v>
      </c>
      <c r="C688" t="s">
        <v>754</v>
      </c>
      <c r="D688">
        <v>10</v>
      </c>
      <c r="E688">
        <v>90001</v>
      </c>
      <c r="F688" t="s">
        <v>755</v>
      </c>
      <c r="G688">
        <f t="shared" si="38"/>
        <v>26</v>
      </c>
      <c r="H688" s="9">
        <f>IF(ISERROR(VLOOKUP(A688,Excel4!D:J,7,0)),0,VLOOKUP(A688,Excel4!D:J,7,0))</f>
        <v>0</v>
      </c>
      <c r="I688" s="15" t="s">
        <v>1777</v>
      </c>
      <c r="J688" s="15" t="s">
        <v>645</v>
      </c>
      <c r="K688" s="15" t="s">
        <v>120</v>
      </c>
      <c r="L688" s="18" t="str">
        <f t="shared" si="39"/>
        <v>AŞAĞIULUPINAR BELEDİYE BAŞKANLIĞI MALATYA</v>
      </c>
      <c r="M688" s="18" t="str">
        <f t="shared" si="37"/>
        <v>AŞAĞIULUPINAR</v>
      </c>
    </row>
    <row r="689" spans="1:14" x14ac:dyDescent="0.25">
      <c r="A689" t="s">
        <v>1460</v>
      </c>
      <c r="B689" t="s">
        <v>704</v>
      </c>
      <c r="C689" t="s">
        <v>375</v>
      </c>
      <c r="D689">
        <v>10</v>
      </c>
      <c r="E689">
        <v>90001</v>
      </c>
      <c r="F689" t="s">
        <v>1461</v>
      </c>
      <c r="G689">
        <f t="shared" si="38"/>
        <v>26</v>
      </c>
      <c r="H689" s="9">
        <f>IF(ISERROR(VLOOKUP(A689,Excel4!D:J,7,0)),0,VLOOKUP(A689,Excel4!D:J,7,0))</f>
        <v>0</v>
      </c>
      <c r="I689" s="15" t="s">
        <v>1777</v>
      </c>
      <c r="J689" s="15" t="s">
        <v>375</v>
      </c>
      <c r="K689" s="15" t="s">
        <v>120</v>
      </c>
      <c r="L689" s="18" t="str">
        <f t="shared" si="39"/>
        <v>BATTALGAZİ BELEDİYE BAŞKANLIĞI MALATYA</v>
      </c>
      <c r="M689" s="18" t="str">
        <f t="shared" si="37"/>
        <v>BATTALGAZİ</v>
      </c>
    </row>
    <row r="690" spans="1:14" x14ac:dyDescent="0.25">
      <c r="A690" t="s">
        <v>756</v>
      </c>
      <c r="E690">
        <v>90001</v>
      </c>
      <c r="G690">
        <f t="shared" si="38"/>
        <v>0</v>
      </c>
      <c r="H690" s="9">
        <f>IF(ISERROR(VLOOKUP(A690,Excel4!D:J,7,0)),0,VLOOKUP(A690,Excel4!D:J,7,0))</f>
        <v>0</v>
      </c>
      <c r="I690" s="15" t="s">
        <v>1777</v>
      </c>
      <c r="J690" s="15" t="s">
        <v>646</v>
      </c>
      <c r="K690" s="15" t="s">
        <v>120</v>
      </c>
      <c r="L690" s="18" t="str">
        <f t="shared" si="39"/>
        <v>BEYDAĞI BELEDİYE BAŞKANLIĞI MALATYA</v>
      </c>
      <c r="M690" s="18" t="str">
        <f t="shared" si="37"/>
        <v>BEYDAĞI</v>
      </c>
    </row>
    <row r="691" spans="1:14" x14ac:dyDescent="0.25">
      <c r="A691" t="s">
        <v>1462</v>
      </c>
      <c r="B691" t="s">
        <v>704</v>
      </c>
      <c r="C691" t="s">
        <v>288</v>
      </c>
      <c r="D691">
        <v>10</v>
      </c>
      <c r="E691">
        <v>90001</v>
      </c>
      <c r="F691" t="s">
        <v>1463</v>
      </c>
      <c r="G691">
        <f t="shared" si="38"/>
        <v>26</v>
      </c>
      <c r="H691" s="9">
        <f>IF(ISERROR(VLOOKUP(A691,Excel4!D:J,7,0)),0,VLOOKUP(A691,Excel4!D:J,7,0))</f>
        <v>0</v>
      </c>
      <c r="I691" s="15" t="s">
        <v>1777</v>
      </c>
      <c r="J691" s="15" t="s">
        <v>288</v>
      </c>
      <c r="K691" s="15" t="s">
        <v>120</v>
      </c>
      <c r="L691" s="18" t="str">
        <f t="shared" si="39"/>
        <v>BOSTANBAŞI BELEDİYE BAŞKANLIĞI MALATYA</v>
      </c>
      <c r="M691" s="18" t="str">
        <f t="shared" si="37"/>
        <v>BOSTANBAŞI</v>
      </c>
    </row>
    <row r="692" spans="1:14" x14ac:dyDescent="0.25">
      <c r="A692" t="s">
        <v>2289</v>
      </c>
      <c r="B692" t="s">
        <v>704</v>
      </c>
      <c r="C692" t="s">
        <v>374</v>
      </c>
      <c r="D692">
        <v>10</v>
      </c>
      <c r="E692">
        <v>90001</v>
      </c>
      <c r="F692" t="s">
        <v>1457</v>
      </c>
      <c r="G692">
        <f t="shared" si="38"/>
        <v>26</v>
      </c>
      <c r="H692" s="9">
        <f>IF(ISERROR(VLOOKUP(A692,Excel4!D:J,7,0)),0,VLOOKUP(A692,Excel4!D:J,7,0))</f>
        <v>451.57999999999993</v>
      </c>
      <c r="I692" s="15" t="s">
        <v>1777</v>
      </c>
      <c r="J692" s="15" t="s">
        <v>374</v>
      </c>
      <c r="K692" s="15" t="s">
        <v>76</v>
      </c>
      <c r="L692" s="18" t="str">
        <f t="shared" si="39"/>
        <v>TAVŞANLI BELEDİYE BAŞKANLIĞI KÜTAHYA</v>
      </c>
      <c r="M692" s="18" t="str">
        <f t="shared" si="37"/>
        <v>TAVŞANLI</v>
      </c>
      <c r="N692">
        <f>_xlfn.XLOOKUP(M692,[1]Sheet1!$A:$A,[1]Sheet1!$G:$G)</f>
        <v>0</v>
      </c>
    </row>
    <row r="693" spans="1:14" x14ac:dyDescent="0.25">
      <c r="A693" t="s">
        <v>1464</v>
      </c>
      <c r="B693" t="s">
        <v>704</v>
      </c>
      <c r="C693" t="s">
        <v>459</v>
      </c>
      <c r="D693">
        <v>10</v>
      </c>
      <c r="E693">
        <v>90001</v>
      </c>
      <c r="F693" t="s">
        <v>1465</v>
      </c>
      <c r="G693">
        <f t="shared" si="38"/>
        <v>26</v>
      </c>
      <c r="H693" s="9">
        <f>IF(ISERROR(VLOOKUP(A693,Excel4!D:J,7,0)),0,VLOOKUP(A693,Excel4!D:J,7,0))</f>
        <v>0</v>
      </c>
      <c r="I693" s="15" t="s">
        <v>1777</v>
      </c>
      <c r="J693" s="15" t="s">
        <v>459</v>
      </c>
      <c r="K693" s="15" t="s">
        <v>120</v>
      </c>
      <c r="L693" s="18" t="str">
        <f t="shared" si="39"/>
        <v>DARENDE BELEDİYE BAŞKANLIĞI MALATYA</v>
      </c>
      <c r="M693" s="18" t="str">
        <f t="shared" si="37"/>
        <v>DARENDE</v>
      </c>
    </row>
    <row r="694" spans="1:14" x14ac:dyDescent="0.25">
      <c r="A694" t="s">
        <v>1466</v>
      </c>
      <c r="B694" t="s">
        <v>2555</v>
      </c>
      <c r="C694" t="s">
        <v>647</v>
      </c>
      <c r="D694">
        <v>12</v>
      </c>
      <c r="E694">
        <v>90001</v>
      </c>
      <c r="F694" t="s">
        <v>1467</v>
      </c>
      <c r="G694">
        <f t="shared" si="38"/>
        <v>26</v>
      </c>
      <c r="H694" s="9">
        <f>IF(ISERROR(VLOOKUP(A694,Excel4!D:J,7,0)),0,VLOOKUP(A694,Excel4!D:J,7,0))</f>
        <v>0</v>
      </c>
      <c r="I694" s="15" t="s">
        <v>1777</v>
      </c>
      <c r="J694" s="15" t="s">
        <v>647</v>
      </c>
      <c r="K694" s="15" t="s">
        <v>120</v>
      </c>
      <c r="L694" s="18" t="str">
        <f t="shared" si="39"/>
        <v>DOĞANŞEHİR BELEDİYE BAŞKANLIĞI MALATYA</v>
      </c>
      <c r="M694" s="18" t="str">
        <f t="shared" si="37"/>
        <v>DOĞANŞEHİR</v>
      </c>
    </row>
    <row r="695" spans="1:14" x14ac:dyDescent="0.25">
      <c r="A695" t="s">
        <v>1468</v>
      </c>
      <c r="B695" t="s">
        <v>704</v>
      </c>
      <c r="C695" t="s">
        <v>648</v>
      </c>
      <c r="D695">
        <v>10</v>
      </c>
      <c r="E695">
        <v>90001</v>
      </c>
      <c r="F695" t="s">
        <v>1469</v>
      </c>
      <c r="G695">
        <f t="shared" si="38"/>
        <v>26</v>
      </c>
      <c r="H695" s="9">
        <f>IF(ISERROR(VLOOKUP(A695,Excel4!D:J,7,0)),0,VLOOKUP(A695,Excel4!D:J,7,0))</f>
        <v>0</v>
      </c>
      <c r="I695" s="15" t="s">
        <v>1777</v>
      </c>
      <c r="J695" s="15" t="s">
        <v>648</v>
      </c>
      <c r="K695" s="15" t="s">
        <v>120</v>
      </c>
      <c r="L695" s="18" t="str">
        <f t="shared" si="39"/>
        <v>HEKİMHAN BELEDİYE BAŞKANLIĞI MALATYA</v>
      </c>
      <c r="M695" s="18" t="str">
        <f t="shared" si="37"/>
        <v>HEKİMHAN</v>
      </c>
    </row>
    <row r="696" spans="1:14" x14ac:dyDescent="0.25">
      <c r="A696" t="s">
        <v>1471</v>
      </c>
      <c r="B696" t="s">
        <v>704</v>
      </c>
      <c r="C696" t="s">
        <v>276</v>
      </c>
      <c r="D696">
        <v>10</v>
      </c>
      <c r="E696">
        <v>90001</v>
      </c>
      <c r="F696" t="s">
        <v>1472</v>
      </c>
      <c r="G696">
        <f t="shared" si="38"/>
        <v>26</v>
      </c>
      <c r="H696" s="9">
        <f>IF(ISERROR(VLOOKUP(A696,Excel4!D:J,7,0)),0,VLOOKUP(A696,Excel4!D:J,7,0))</f>
        <v>0</v>
      </c>
      <c r="I696" s="15" t="s">
        <v>1777</v>
      </c>
      <c r="J696" s="15" t="s">
        <v>276</v>
      </c>
      <c r="K696" s="15" t="s">
        <v>120</v>
      </c>
      <c r="L696" s="18" t="str">
        <f t="shared" si="39"/>
        <v>YAKINCA BELEDİYE BAŞKANLIĞI MALATYA</v>
      </c>
      <c r="M696" s="18" t="str">
        <f t="shared" si="37"/>
        <v>YAKINCA</v>
      </c>
    </row>
    <row r="697" spans="1:14" x14ac:dyDescent="0.25">
      <c r="A697" t="s">
        <v>1473</v>
      </c>
      <c r="B697" t="s">
        <v>704</v>
      </c>
      <c r="C697" t="s">
        <v>460</v>
      </c>
      <c r="D697">
        <v>10</v>
      </c>
      <c r="E697">
        <v>90001</v>
      </c>
      <c r="F697" t="s">
        <v>1474</v>
      </c>
      <c r="G697">
        <f t="shared" si="38"/>
        <v>26</v>
      </c>
      <c r="H697" s="9">
        <f>IF(ISERROR(VLOOKUP(A697,Excel4!D:J,7,0)),0,VLOOKUP(A697,Excel4!D:J,7,0))</f>
        <v>0</v>
      </c>
      <c r="I697" s="15" t="s">
        <v>1777</v>
      </c>
      <c r="J697" s="15" t="s">
        <v>460</v>
      </c>
      <c r="K697" s="15" t="s">
        <v>120</v>
      </c>
      <c r="L697" s="18" t="str">
        <f t="shared" si="39"/>
        <v>YAZIHAN BELEDİYE BAŞKANLIĞI MALATYA</v>
      </c>
      <c r="M697" s="18" t="str">
        <f t="shared" si="37"/>
        <v>YAZIHAN</v>
      </c>
    </row>
    <row r="698" spans="1:14" x14ac:dyDescent="0.25">
      <c r="A698" t="s">
        <v>1475</v>
      </c>
      <c r="B698" t="s">
        <v>704</v>
      </c>
      <c r="C698" t="s">
        <v>376</v>
      </c>
      <c r="D698">
        <v>10</v>
      </c>
      <c r="E698">
        <v>90001</v>
      </c>
      <c r="F698" t="s">
        <v>1476</v>
      </c>
      <c r="G698">
        <f t="shared" si="38"/>
        <v>26</v>
      </c>
      <c r="H698" s="9">
        <f>IF(ISERROR(VLOOKUP(A698,Excel4!D:J,7,0)),0,VLOOKUP(A698,Excel4!D:J,7,0))</f>
        <v>0</v>
      </c>
      <c r="I698" s="15" t="s">
        <v>1777</v>
      </c>
      <c r="J698" s="15" t="s">
        <v>376</v>
      </c>
      <c r="K698" s="15" t="s">
        <v>120</v>
      </c>
      <c r="L698" s="18" t="str">
        <f t="shared" si="39"/>
        <v>YEŞİLYURT BELEDİYE BAŞKANLIĞI MALATYA</v>
      </c>
      <c r="M698" s="18" t="str">
        <f t="shared" si="37"/>
        <v>YEŞİLYURT</v>
      </c>
    </row>
    <row r="699" spans="1:14" x14ac:dyDescent="0.25">
      <c r="A699" t="s">
        <v>1712</v>
      </c>
      <c r="B699" t="s">
        <v>818</v>
      </c>
      <c r="C699" t="s">
        <v>649</v>
      </c>
      <c r="D699">
        <v>64</v>
      </c>
      <c r="E699">
        <v>90001</v>
      </c>
      <c r="F699" t="s">
        <v>1713</v>
      </c>
      <c r="G699">
        <f t="shared" si="38"/>
        <v>26</v>
      </c>
      <c r="H699" s="9">
        <f>IF(ISERROR(VLOOKUP(A699,Excel4!D:J,7,0)),0,VLOOKUP(A699,Excel4!D:J,7,0))</f>
        <v>0</v>
      </c>
      <c r="I699" s="15" t="s">
        <v>1777</v>
      </c>
      <c r="J699" s="15" t="s">
        <v>649</v>
      </c>
      <c r="K699" s="15" t="s">
        <v>121</v>
      </c>
      <c r="L699" s="18" t="str">
        <f t="shared" si="39"/>
        <v>AHMETLİ BELEDİYE BAŞKANLIĞI MANİSA</v>
      </c>
      <c r="M699" s="18" t="str">
        <f t="shared" si="37"/>
        <v>AHMETLİ</v>
      </c>
    </row>
    <row r="700" spans="1:14" x14ac:dyDescent="0.25">
      <c r="A700" t="s">
        <v>1477</v>
      </c>
      <c r="B700" t="s">
        <v>704</v>
      </c>
      <c r="C700" t="s">
        <v>174</v>
      </c>
      <c r="D700">
        <v>10</v>
      </c>
      <c r="E700">
        <v>90001</v>
      </c>
      <c r="F700" t="s">
        <v>1478</v>
      </c>
      <c r="G700">
        <f t="shared" si="38"/>
        <v>26</v>
      </c>
      <c r="H700" s="9">
        <f>IF(ISERROR(VLOOKUP(A700,Excel4!D:J,7,0)),0,VLOOKUP(A700,Excel4!D:J,7,0))</f>
        <v>0</v>
      </c>
      <c r="I700" s="15" t="s">
        <v>1777</v>
      </c>
      <c r="J700" s="15" t="s">
        <v>174</v>
      </c>
      <c r="K700" s="15" t="s">
        <v>121</v>
      </c>
      <c r="L700" s="18" t="str">
        <f t="shared" si="39"/>
        <v>AKHİSAR BELEDİYE BAŞKANLIĞI MANİSA</v>
      </c>
      <c r="M700" s="18" t="str">
        <f t="shared" si="37"/>
        <v>AKHİSAR</v>
      </c>
    </row>
    <row r="701" spans="1:14" x14ac:dyDescent="0.25">
      <c r="A701" t="s">
        <v>1479</v>
      </c>
      <c r="B701" t="s">
        <v>704</v>
      </c>
      <c r="C701" t="s">
        <v>220</v>
      </c>
      <c r="D701">
        <v>10</v>
      </c>
      <c r="E701">
        <v>90001</v>
      </c>
      <c r="F701" t="s">
        <v>1480</v>
      </c>
      <c r="G701">
        <f t="shared" si="38"/>
        <v>26</v>
      </c>
      <c r="H701" s="9">
        <f>IF(ISERROR(VLOOKUP(A701,Excel4!D:J,7,0)),0,VLOOKUP(A701,Excel4!D:J,7,0))</f>
        <v>0</v>
      </c>
      <c r="I701" s="15" t="s">
        <v>1777</v>
      </c>
      <c r="J701" s="15" t="s">
        <v>220</v>
      </c>
      <c r="K701" s="15" t="s">
        <v>121</v>
      </c>
      <c r="L701" s="18" t="str">
        <f t="shared" si="39"/>
        <v>ALAŞEHİR BELEDİYE BAŞKANLIĞI MANİSA</v>
      </c>
      <c r="M701" s="18" t="str">
        <f t="shared" si="37"/>
        <v>ALAŞEHİR</v>
      </c>
    </row>
    <row r="702" spans="1:14" x14ac:dyDescent="0.25">
      <c r="A702" t="s">
        <v>2029</v>
      </c>
      <c r="B702" t="s">
        <v>704</v>
      </c>
      <c r="C702" t="s">
        <v>34</v>
      </c>
      <c r="D702">
        <v>10</v>
      </c>
      <c r="E702">
        <v>90001</v>
      </c>
      <c r="F702" t="s">
        <v>1470</v>
      </c>
      <c r="G702">
        <f t="shared" si="38"/>
        <v>26</v>
      </c>
      <c r="H702" s="9">
        <f>IF(ISERROR(VLOOKUP(A702,Excel4!D:J,7,0)),0,VLOOKUP(A702,Excel4!D:J,7,0))</f>
        <v>6528.9599999999991</v>
      </c>
      <c r="I702" s="15" t="s">
        <v>1777</v>
      </c>
      <c r="J702" s="15" t="s">
        <v>27</v>
      </c>
      <c r="K702" s="15" t="s">
        <v>120</v>
      </c>
      <c r="L702" s="18" t="str">
        <f t="shared" si="39"/>
        <v>MALATYA BÜYÜKŞEHİR BELEDİYE BAŞKANLIĞI</v>
      </c>
      <c r="M702" s="18" t="str">
        <f t="shared" si="37"/>
        <v>MALATYA BÜYÜKŞEHİR</v>
      </c>
      <c r="N702">
        <f>_xlfn.XLOOKUP(M702,[1]Sheet1!$A:$A,[1]Sheet1!$G:$G)</f>
        <v>0</v>
      </c>
    </row>
    <row r="703" spans="1:14" x14ac:dyDescent="0.25">
      <c r="A703" t="s">
        <v>1481</v>
      </c>
      <c r="B703" t="s">
        <v>704</v>
      </c>
      <c r="C703" t="s">
        <v>504</v>
      </c>
      <c r="D703">
        <v>10</v>
      </c>
      <c r="E703">
        <v>90001</v>
      </c>
      <c r="F703" t="s">
        <v>1482</v>
      </c>
      <c r="G703">
        <f t="shared" si="38"/>
        <v>26</v>
      </c>
      <c r="H703" s="9">
        <f>IF(ISERROR(VLOOKUP(A703,Excel4!D:J,7,0)),0,VLOOKUP(A703,Excel4!D:J,7,0))</f>
        <v>0</v>
      </c>
      <c r="I703" s="15" t="s">
        <v>1777</v>
      </c>
      <c r="J703" s="15" t="s">
        <v>504</v>
      </c>
      <c r="K703" s="15" t="s">
        <v>121</v>
      </c>
      <c r="L703" s="18" t="str">
        <f t="shared" si="39"/>
        <v>DEMİRCİ BELEDİYE BAŞKANLIĞI MANİSA</v>
      </c>
      <c r="M703" s="18" t="str">
        <f t="shared" si="37"/>
        <v>DEMİRCİ</v>
      </c>
    </row>
    <row r="704" spans="1:14" x14ac:dyDescent="0.25">
      <c r="A704" t="s">
        <v>1483</v>
      </c>
      <c r="B704" t="s">
        <v>704</v>
      </c>
      <c r="C704" t="s">
        <v>333</v>
      </c>
      <c r="D704">
        <v>10</v>
      </c>
      <c r="E704">
        <v>90001</v>
      </c>
      <c r="F704" t="s">
        <v>1484</v>
      </c>
      <c r="G704">
        <f t="shared" si="38"/>
        <v>26</v>
      </c>
      <c r="H704" s="9">
        <f>IF(ISERROR(VLOOKUP(A704,Excel4!D:J,7,0)),0,VLOOKUP(A704,Excel4!D:J,7,0))</f>
        <v>0</v>
      </c>
      <c r="I704" s="15" t="s">
        <v>1777</v>
      </c>
      <c r="J704" s="15" t="s">
        <v>333</v>
      </c>
      <c r="K704" s="15" t="s">
        <v>121</v>
      </c>
      <c r="L704" s="18" t="str">
        <f t="shared" si="39"/>
        <v>GÖLMARMARA BELEDİYE BAŞKANLIĞI MANİSA</v>
      </c>
      <c r="M704" s="18" t="str">
        <f t="shared" si="37"/>
        <v>GÖLMARMARA</v>
      </c>
    </row>
    <row r="705" spans="1:14" x14ac:dyDescent="0.25">
      <c r="A705" t="s">
        <v>1485</v>
      </c>
      <c r="B705" t="s">
        <v>704</v>
      </c>
      <c r="C705" t="s">
        <v>650</v>
      </c>
      <c r="D705">
        <v>10</v>
      </c>
      <c r="E705">
        <v>90001</v>
      </c>
      <c r="F705" t="s">
        <v>1486</v>
      </c>
      <c r="G705">
        <f t="shared" si="38"/>
        <v>26</v>
      </c>
      <c r="H705" s="9">
        <f>IF(ISERROR(VLOOKUP(A705,Excel4!D:J,7,0)),0,VLOOKUP(A705,Excel4!D:J,7,0))</f>
        <v>0</v>
      </c>
      <c r="I705" s="15" t="s">
        <v>1777</v>
      </c>
      <c r="J705" s="15" t="s">
        <v>650</v>
      </c>
      <c r="K705" s="15" t="s">
        <v>121</v>
      </c>
      <c r="L705" s="18" t="str">
        <f t="shared" si="39"/>
        <v>KIRKAĞAÇ BELEDİYE BAŞKANLIĞI MANİSA</v>
      </c>
      <c r="M705" s="18" t="str">
        <f t="shared" si="37"/>
        <v>KIRKAĞAÇ</v>
      </c>
    </row>
    <row r="706" spans="1:14" x14ac:dyDescent="0.25">
      <c r="A706" t="s">
        <v>1487</v>
      </c>
      <c r="B706" t="s">
        <v>704</v>
      </c>
      <c r="C706" t="s">
        <v>461</v>
      </c>
      <c r="D706">
        <v>10</v>
      </c>
      <c r="E706">
        <v>90001</v>
      </c>
      <c r="F706" t="s">
        <v>1488</v>
      </c>
      <c r="G706">
        <f t="shared" si="38"/>
        <v>26</v>
      </c>
      <c r="H706" s="9">
        <f>IF(ISERROR(VLOOKUP(A706,Excel4!D:J,7,0)),0,VLOOKUP(A706,Excel4!D:J,7,0))</f>
        <v>0</v>
      </c>
      <c r="I706" s="15" t="s">
        <v>1777</v>
      </c>
      <c r="J706" s="15" t="s">
        <v>461</v>
      </c>
      <c r="K706" s="15" t="s">
        <v>121</v>
      </c>
      <c r="L706" s="18" t="str">
        <f t="shared" si="39"/>
        <v>KULA BELEDİYE BAŞKANLIĞI MANİSA</v>
      </c>
      <c r="M706" s="18" t="str">
        <f t="shared" si="37"/>
        <v>KULA</v>
      </c>
    </row>
    <row r="707" spans="1:14" x14ac:dyDescent="0.25">
      <c r="A707" t="s">
        <v>1489</v>
      </c>
      <c r="B707" t="s">
        <v>704</v>
      </c>
      <c r="C707" t="s">
        <v>323</v>
      </c>
      <c r="D707">
        <v>10</v>
      </c>
      <c r="E707">
        <v>90001</v>
      </c>
      <c r="F707" t="s">
        <v>1490</v>
      </c>
      <c r="G707">
        <f t="shared" si="38"/>
        <v>26</v>
      </c>
      <c r="H707" s="9">
        <f>IF(ISERROR(VLOOKUP(A707,Excel4!D:J,7,0)),0,VLOOKUP(A707,Excel4!D:J,7,0))</f>
        <v>0</v>
      </c>
      <c r="I707" s="15" t="s">
        <v>1777</v>
      </c>
      <c r="J707" s="15" t="s">
        <v>323</v>
      </c>
      <c r="K707" s="15" t="s">
        <v>121</v>
      </c>
      <c r="L707" s="18" t="str">
        <f t="shared" si="39"/>
        <v>MURADİYE BELEDİYE BAŞKANLIĞI MANİSA</v>
      </c>
      <c r="M707" s="18" t="str">
        <f t="shared" si="37"/>
        <v>MURADİYE</v>
      </c>
    </row>
    <row r="708" spans="1:14" x14ac:dyDescent="0.25">
      <c r="A708" t="s">
        <v>1491</v>
      </c>
      <c r="B708" t="s">
        <v>704</v>
      </c>
      <c r="C708" t="s">
        <v>178</v>
      </c>
      <c r="D708">
        <v>10</v>
      </c>
      <c r="E708">
        <v>90001</v>
      </c>
      <c r="F708" t="s">
        <v>1992</v>
      </c>
      <c r="G708">
        <f t="shared" si="38"/>
        <v>26</v>
      </c>
      <c r="H708" s="9">
        <f>IF(ISERROR(VLOOKUP(A708,Excel4!D:J,7,0)),0,VLOOKUP(A708,Excel4!D:J,7,0))</f>
        <v>0</v>
      </c>
      <c r="I708" s="15" t="s">
        <v>1777</v>
      </c>
      <c r="J708" s="15" t="s">
        <v>178</v>
      </c>
      <c r="K708" s="15" t="s">
        <v>121</v>
      </c>
      <c r="L708" s="18" t="str">
        <f t="shared" si="39"/>
        <v>SALİHLİ BELEDİYE BAŞKANLIĞI MANİSA</v>
      </c>
      <c r="M708" s="18" t="str">
        <f t="shared" ref="M708:M771" si="40">IF(J708="MERKEZ",K708,IF(J708="BÜYÜKŞEHİR",K708&amp;" BÜYÜKŞEHİR",J708))</f>
        <v>SALİHLİ</v>
      </c>
    </row>
    <row r="709" spans="1:14" x14ac:dyDescent="0.25">
      <c r="A709" t="s">
        <v>1492</v>
      </c>
      <c r="B709" t="s">
        <v>704</v>
      </c>
      <c r="C709" t="s">
        <v>241</v>
      </c>
      <c r="D709">
        <v>10</v>
      </c>
      <c r="E709">
        <v>90001</v>
      </c>
      <c r="F709" t="s">
        <v>1493</v>
      </c>
      <c r="G709">
        <f t="shared" ref="G709:G772" si="41">LEN(F709)</f>
        <v>26</v>
      </c>
      <c r="H709" s="9">
        <f>IF(ISERROR(VLOOKUP(A709,Excel4!D:J,7,0)),0,VLOOKUP(A709,Excel4!D:J,7,0))</f>
        <v>0</v>
      </c>
      <c r="I709" s="15" t="s">
        <v>1777</v>
      </c>
      <c r="J709" s="15" t="s">
        <v>241</v>
      </c>
      <c r="K709" s="15" t="s">
        <v>121</v>
      </c>
      <c r="L709" s="18" t="str">
        <f t="shared" si="39"/>
        <v>SARIGÖL BELEDİYE BAŞKANLIĞI MANİSA</v>
      </c>
      <c r="M709" s="18" t="str">
        <f t="shared" si="40"/>
        <v>SARIGÖL</v>
      </c>
    </row>
    <row r="710" spans="1:14" x14ac:dyDescent="0.25">
      <c r="A710" t="s">
        <v>1494</v>
      </c>
      <c r="B710" t="s">
        <v>704</v>
      </c>
      <c r="C710" t="s">
        <v>652</v>
      </c>
      <c r="D710">
        <v>10</v>
      </c>
      <c r="E710">
        <v>90001</v>
      </c>
      <c r="F710" t="s">
        <v>1495</v>
      </c>
      <c r="G710">
        <f t="shared" si="41"/>
        <v>26</v>
      </c>
      <c r="H710" s="9">
        <f>IF(ISERROR(VLOOKUP(A710,Excel4!D:J,7,0)),0,VLOOKUP(A710,Excel4!D:J,7,0))</f>
        <v>0</v>
      </c>
      <c r="I710" s="15" t="s">
        <v>1777</v>
      </c>
      <c r="J710" s="15" t="s">
        <v>652</v>
      </c>
      <c r="K710" s="15" t="s">
        <v>121</v>
      </c>
      <c r="L710" s="18" t="str">
        <f t="shared" si="39"/>
        <v>SARUHANLI BELEDİYE BAŞKANLIĞI MANİSA</v>
      </c>
      <c r="M710" s="18" t="str">
        <f t="shared" si="40"/>
        <v>SARUHANLI</v>
      </c>
    </row>
    <row r="711" spans="1:14" x14ac:dyDescent="0.25">
      <c r="A711" t="s">
        <v>1496</v>
      </c>
      <c r="B711" t="s">
        <v>699</v>
      </c>
      <c r="C711" t="s">
        <v>92</v>
      </c>
      <c r="D711">
        <v>15</v>
      </c>
      <c r="E711">
        <v>90001</v>
      </c>
      <c r="F711" t="s">
        <v>1497</v>
      </c>
      <c r="G711">
        <f t="shared" si="41"/>
        <v>26</v>
      </c>
      <c r="H711" s="9">
        <f>IF(ISERROR(VLOOKUP(A711,Excel4!D:J,7,0)),0,VLOOKUP(A711,Excel4!D:J,7,0))</f>
        <v>0</v>
      </c>
      <c r="I711" s="15" t="s">
        <v>1777</v>
      </c>
      <c r="J711" s="15" t="s">
        <v>92</v>
      </c>
      <c r="K711" s="15" t="s">
        <v>121</v>
      </c>
      <c r="L711" s="18" t="str">
        <f t="shared" si="39"/>
        <v>SOMA BELEDİYE BAŞKANLIĞI MANİSA</v>
      </c>
      <c r="M711" s="18" t="str">
        <f t="shared" si="40"/>
        <v>SOMA</v>
      </c>
    </row>
    <row r="712" spans="1:14" x14ac:dyDescent="0.25">
      <c r="A712" t="s">
        <v>1714</v>
      </c>
      <c r="B712" t="s">
        <v>2555</v>
      </c>
      <c r="C712" t="s">
        <v>73</v>
      </c>
      <c r="D712">
        <v>12</v>
      </c>
      <c r="E712">
        <v>90001</v>
      </c>
      <c r="F712" t="s">
        <v>407</v>
      </c>
      <c r="G712">
        <f t="shared" si="41"/>
        <v>26</v>
      </c>
      <c r="H712" s="9">
        <f>IF(ISERROR(VLOOKUP(A712,Excel4!D:J,7,0)),0,VLOOKUP(A712,Excel4!D:J,7,0))</f>
        <v>0</v>
      </c>
      <c r="I712" s="15" t="s">
        <v>1777</v>
      </c>
      <c r="J712" s="15" t="s">
        <v>73</v>
      </c>
      <c r="K712" s="15" t="s">
        <v>121</v>
      </c>
      <c r="L712" s="18" t="str">
        <f t="shared" si="39"/>
        <v>TURGUTLU BELEDİYE BAŞKANLIĞI MANİSA</v>
      </c>
      <c r="M712" s="18" t="str">
        <f t="shared" si="40"/>
        <v>TURGUTLU</v>
      </c>
    </row>
    <row r="713" spans="1:14" x14ac:dyDescent="0.25">
      <c r="A713" t="s">
        <v>2030</v>
      </c>
      <c r="B713" t="s">
        <v>704</v>
      </c>
      <c r="C713" t="s">
        <v>121</v>
      </c>
      <c r="D713">
        <v>10</v>
      </c>
      <c r="E713">
        <v>90001</v>
      </c>
      <c r="F713" t="s">
        <v>1774</v>
      </c>
      <c r="G713">
        <f t="shared" si="41"/>
        <v>26</v>
      </c>
      <c r="H713" s="9">
        <f>IF(ISERROR(VLOOKUP(A713,Excel4!D:J,7,0)),0,VLOOKUP(A713,Excel4!D:J,7,0))</f>
        <v>42160.32</v>
      </c>
      <c r="I713" s="15" t="s">
        <v>1777</v>
      </c>
      <c r="J713" s="15" t="s">
        <v>27</v>
      </c>
      <c r="K713" s="15" t="s">
        <v>121</v>
      </c>
      <c r="L713" s="18" t="str">
        <f t="shared" si="39"/>
        <v>MANİSA BÜYÜKŞEHİR BELEDİYE BAŞKANLIĞI</v>
      </c>
      <c r="M713" s="18" t="str">
        <f t="shared" si="40"/>
        <v>MANİSA BÜYÜKŞEHİR</v>
      </c>
      <c r="N713">
        <f>_xlfn.XLOOKUP(M713,[1]Sheet1!$A:$A,[1]Sheet1!$G:$G)</f>
        <v>0</v>
      </c>
    </row>
    <row r="714" spans="1:14" x14ac:dyDescent="0.25">
      <c r="A714" t="s">
        <v>1498</v>
      </c>
      <c r="B714" t="s">
        <v>704</v>
      </c>
      <c r="C714" t="s">
        <v>653</v>
      </c>
      <c r="D714">
        <v>10</v>
      </c>
      <c r="E714">
        <v>90001</v>
      </c>
      <c r="F714" t="s">
        <v>1499</v>
      </c>
      <c r="G714">
        <f t="shared" si="41"/>
        <v>26</v>
      </c>
      <c r="H714" s="9">
        <f>IF(ISERROR(VLOOKUP(A714,Excel4!D:J,7,0)),0,VLOOKUP(A714,Excel4!D:J,7,0))</f>
        <v>0</v>
      </c>
      <c r="I714" s="15" t="s">
        <v>1777</v>
      </c>
      <c r="J714" s="15" t="s">
        <v>653</v>
      </c>
      <c r="K714" s="15" t="s">
        <v>24</v>
      </c>
      <c r="L714" s="18" t="str">
        <f t="shared" si="39"/>
        <v>DERİK BELEDİYE BAŞKANLIĞI MARDİN</v>
      </c>
      <c r="M714" s="18" t="str">
        <f t="shared" si="40"/>
        <v>DERİK</v>
      </c>
    </row>
    <row r="715" spans="1:14" x14ac:dyDescent="0.25">
      <c r="A715" s="19" t="s">
        <v>2925</v>
      </c>
      <c r="B715" t="s">
        <v>2555</v>
      </c>
      <c r="C715" t="s">
        <v>10</v>
      </c>
      <c r="D715">
        <v>12</v>
      </c>
      <c r="E715">
        <v>9684</v>
      </c>
      <c r="F715" t="s">
        <v>1501</v>
      </c>
      <c r="G715">
        <f t="shared" si="41"/>
        <v>26</v>
      </c>
      <c r="H715" s="9">
        <f>IF(ISERROR(VLOOKUP(A715,Excel4!D:J,7,0)),0,VLOOKUP(A715,Excel4!D:J,7,0))</f>
        <v>0</v>
      </c>
      <c r="I715" s="15" t="s">
        <v>1777</v>
      </c>
      <c r="J715" s="20" t="s">
        <v>2912</v>
      </c>
      <c r="K715" s="15" t="s">
        <v>24</v>
      </c>
      <c r="L715" s="18" t="str">
        <f t="shared" si="39"/>
        <v>DİKMEN BELEDİYE BAŞKANLIĞI MARDİN</v>
      </c>
      <c r="M715" s="18" t="str">
        <f t="shared" si="40"/>
        <v>DİKMEN</v>
      </c>
    </row>
    <row r="716" spans="1:14" x14ac:dyDescent="0.25">
      <c r="A716" t="s">
        <v>1500</v>
      </c>
      <c r="B716" t="s">
        <v>2555</v>
      </c>
      <c r="C716" t="s">
        <v>10</v>
      </c>
      <c r="D716">
        <v>12</v>
      </c>
      <c r="E716">
        <v>90001</v>
      </c>
      <c r="F716" t="s">
        <v>1501</v>
      </c>
      <c r="G716">
        <f t="shared" si="41"/>
        <v>26</v>
      </c>
      <c r="H716" s="9">
        <f>IF(ISERROR(VLOOKUP(A716,Excel4!D:J,7,0)),0,VLOOKUP(A716,Excel4!D:J,7,0))</f>
        <v>0</v>
      </c>
      <c r="I716" s="15" t="s">
        <v>1777</v>
      </c>
      <c r="J716" s="15" t="s">
        <v>10</v>
      </c>
      <c r="K716" s="15" t="s">
        <v>24</v>
      </c>
      <c r="L716" s="18" t="str">
        <f t="shared" si="39"/>
        <v>KIZILTEPE BELEDİYE BAŞKANLIĞI MARDİN</v>
      </c>
      <c r="M716" s="18" t="str">
        <f t="shared" si="40"/>
        <v>KIZILTEPE</v>
      </c>
    </row>
    <row r="717" spans="1:14" x14ac:dyDescent="0.25">
      <c r="A717" s="19" t="s">
        <v>2926</v>
      </c>
      <c r="B717" t="s">
        <v>2934</v>
      </c>
      <c r="C717" t="s">
        <v>34</v>
      </c>
      <c r="D717">
        <v>15</v>
      </c>
      <c r="F717" t="s">
        <v>2771</v>
      </c>
      <c r="G717">
        <f t="shared" si="41"/>
        <v>26</v>
      </c>
      <c r="H717" s="9">
        <f>IF(ISERROR(VLOOKUP(A717,Excel4!D:J,7,0)),0,VLOOKUP(A717,Excel4!D:J,7,0))</f>
        <v>0</v>
      </c>
      <c r="I717" s="15" t="s">
        <v>1777</v>
      </c>
      <c r="J717" s="20" t="s">
        <v>2944</v>
      </c>
      <c r="K717" s="15" t="s">
        <v>24</v>
      </c>
      <c r="L717" s="18" t="str">
        <f t="shared" si="39"/>
        <v>MERKEZ  BELEDİYE BAŞKANLIĞI MARDİN</v>
      </c>
      <c r="M717" s="18" t="str">
        <f t="shared" si="40"/>
        <v xml:space="preserve">MERKEZ </v>
      </c>
    </row>
    <row r="718" spans="1:14" x14ac:dyDescent="0.25">
      <c r="A718" t="s">
        <v>1502</v>
      </c>
      <c r="B718" t="s">
        <v>704</v>
      </c>
      <c r="C718" t="s">
        <v>377</v>
      </c>
      <c r="D718">
        <v>10</v>
      </c>
      <c r="E718">
        <v>90001</v>
      </c>
      <c r="F718" t="s">
        <v>1503</v>
      </c>
      <c r="G718">
        <f t="shared" si="41"/>
        <v>26</v>
      </c>
      <c r="H718" s="9">
        <f>IF(ISERROR(VLOOKUP(A718,Excel4!D:J,7,0)),0,VLOOKUP(A718,Excel4!D:J,7,0))</f>
        <v>0</v>
      </c>
      <c r="I718" s="15" t="s">
        <v>1777</v>
      </c>
      <c r="J718" s="15" t="s">
        <v>377</v>
      </c>
      <c r="K718" s="15" t="s">
        <v>24</v>
      </c>
      <c r="L718" s="18" t="str">
        <f t="shared" si="39"/>
        <v>MİDYAT BELEDİYE BAŞKANLIĞI MARDİN</v>
      </c>
      <c r="M718" s="18" t="str">
        <f t="shared" si="40"/>
        <v>MİDYAT</v>
      </c>
    </row>
    <row r="719" spans="1:14" x14ac:dyDescent="0.25">
      <c r="A719" t="s">
        <v>1715</v>
      </c>
      <c r="B719" t="s">
        <v>699</v>
      </c>
      <c r="C719" t="s">
        <v>654</v>
      </c>
      <c r="D719">
        <v>15</v>
      </c>
      <c r="E719">
        <v>90001</v>
      </c>
      <c r="F719" t="s">
        <v>1716</v>
      </c>
      <c r="G719">
        <f t="shared" si="41"/>
        <v>26</v>
      </c>
      <c r="H719" s="9">
        <f>IF(ISERROR(VLOOKUP(A719,Excel4!D:J,7,0)),0,VLOOKUP(A719,Excel4!D:J,7,0))</f>
        <v>0</v>
      </c>
      <c r="I719" s="15" t="s">
        <v>1777</v>
      </c>
      <c r="J719" s="15" t="s">
        <v>654</v>
      </c>
      <c r="K719" s="15" t="s">
        <v>24</v>
      </c>
      <c r="L719" s="18" t="str">
        <f t="shared" si="39"/>
        <v>NUSAYBİN BELEDİYE BAŞKANLIĞI MARDİN</v>
      </c>
      <c r="M719" s="18" t="str">
        <f t="shared" si="40"/>
        <v>NUSAYBİN</v>
      </c>
    </row>
    <row r="720" spans="1:14" x14ac:dyDescent="0.25">
      <c r="A720" t="s">
        <v>757</v>
      </c>
      <c r="B720" t="s">
        <v>704</v>
      </c>
      <c r="C720" t="s">
        <v>655</v>
      </c>
      <c r="D720">
        <v>10</v>
      </c>
      <c r="E720">
        <v>90001</v>
      </c>
      <c r="F720" t="s">
        <v>758</v>
      </c>
      <c r="G720">
        <f t="shared" si="41"/>
        <v>26</v>
      </c>
      <c r="H720" s="9">
        <f>IF(ISERROR(VLOOKUP(A720,Excel4!D:J,7,0)),0,VLOOKUP(A720,Excel4!D:J,7,0))</f>
        <v>0</v>
      </c>
      <c r="I720" s="15" t="s">
        <v>1777</v>
      </c>
      <c r="J720" s="15" t="s">
        <v>655</v>
      </c>
      <c r="K720" s="15" t="s">
        <v>24</v>
      </c>
      <c r="L720" s="18" t="str">
        <f t="shared" si="39"/>
        <v>SAVUR BELEDİYE BAŞKANLIĞI MARDİN</v>
      </c>
      <c r="M720" s="18" t="str">
        <f t="shared" si="40"/>
        <v>SAVUR</v>
      </c>
    </row>
    <row r="721" spans="1:14" x14ac:dyDescent="0.25">
      <c r="A721" t="s">
        <v>1504</v>
      </c>
      <c r="B721" t="s">
        <v>704</v>
      </c>
      <c r="C721" t="s">
        <v>656</v>
      </c>
      <c r="D721">
        <v>10</v>
      </c>
      <c r="E721">
        <v>90001</v>
      </c>
      <c r="F721" t="s">
        <v>1505</v>
      </c>
      <c r="G721">
        <f t="shared" si="41"/>
        <v>26</v>
      </c>
      <c r="H721" s="9">
        <f>IF(ISERROR(VLOOKUP(A721,Excel4!D:J,7,0)),0,VLOOKUP(A721,Excel4!D:J,7,0))</f>
        <v>0</v>
      </c>
      <c r="I721" s="15" t="s">
        <v>1777</v>
      </c>
      <c r="J721" s="15" t="s">
        <v>656</v>
      </c>
      <c r="K721" s="15" t="s">
        <v>24</v>
      </c>
      <c r="L721" s="18" t="str">
        <f t="shared" si="39"/>
        <v>YEŞİLLİ BELEDİYE BAŞKANLIĞI MARDİN</v>
      </c>
      <c r="M721" s="18" t="str">
        <f t="shared" si="40"/>
        <v>YEŞİLLİ</v>
      </c>
    </row>
    <row r="722" spans="1:14" x14ac:dyDescent="0.25">
      <c r="A722" t="s">
        <v>1506</v>
      </c>
      <c r="B722" t="s">
        <v>704</v>
      </c>
      <c r="C722" t="s">
        <v>657</v>
      </c>
      <c r="D722">
        <v>10</v>
      </c>
      <c r="E722">
        <v>90001</v>
      </c>
      <c r="F722" t="s">
        <v>1507</v>
      </c>
      <c r="G722">
        <f t="shared" si="41"/>
        <v>26</v>
      </c>
      <c r="H722" s="9">
        <f>IF(ISERROR(VLOOKUP(A722,Excel4!D:J,7,0)),0,VLOOKUP(A722,Excel4!D:J,7,0))</f>
        <v>0</v>
      </c>
      <c r="I722" s="15" t="s">
        <v>1777</v>
      </c>
      <c r="J722" s="15" t="s">
        <v>657</v>
      </c>
      <c r="K722" s="15" t="s">
        <v>122</v>
      </c>
      <c r="L722" s="18" t="str">
        <f t="shared" si="39"/>
        <v>ANAMUR BELEDİYE BAŞKANLIĞI MERSİN</v>
      </c>
      <c r="M722" s="18" t="str">
        <f t="shared" si="40"/>
        <v>ANAMUR</v>
      </c>
    </row>
    <row r="723" spans="1:14" x14ac:dyDescent="0.25">
      <c r="A723" t="s">
        <v>1798</v>
      </c>
      <c r="B723" t="s">
        <v>704</v>
      </c>
      <c r="C723" t="s">
        <v>179</v>
      </c>
      <c r="D723">
        <v>10</v>
      </c>
      <c r="E723">
        <v>90001</v>
      </c>
      <c r="F723" t="s">
        <v>1829</v>
      </c>
      <c r="G723">
        <f t="shared" si="41"/>
        <v>26</v>
      </c>
      <c r="H723" s="9">
        <f>IF(ISERROR(VLOOKUP(A723,Excel4!D:J,7,0)),0,VLOOKUP(A723,Excel4!D:J,7,0))</f>
        <v>0</v>
      </c>
      <c r="I723" s="15" t="s">
        <v>1777</v>
      </c>
      <c r="J723" s="15" t="s">
        <v>1788</v>
      </c>
      <c r="K723" s="15" t="s">
        <v>122</v>
      </c>
      <c r="L723" s="18" t="str">
        <f t="shared" si="39"/>
        <v>ARPAÇBAHŞİŞ BELEDİYE BAŞKANLIĞI MERSİN</v>
      </c>
      <c r="M723" s="18" t="str">
        <f t="shared" si="40"/>
        <v>ARPAÇBAHŞİŞ</v>
      </c>
    </row>
    <row r="724" spans="1:14" x14ac:dyDescent="0.25">
      <c r="A724" t="s">
        <v>1508</v>
      </c>
      <c r="B724" t="s">
        <v>704</v>
      </c>
      <c r="C724" t="s">
        <v>324</v>
      </c>
      <c r="D724">
        <v>10</v>
      </c>
      <c r="E724">
        <v>90001</v>
      </c>
      <c r="F724" t="s">
        <v>1509</v>
      </c>
      <c r="G724">
        <f t="shared" si="41"/>
        <v>26</v>
      </c>
      <c r="H724" s="9">
        <f>IF(ISERROR(VLOOKUP(A724,Excel4!D:J,7,0)),0,VLOOKUP(A724,Excel4!D:J,7,0))</f>
        <v>0</v>
      </c>
      <c r="I724" s="15" t="s">
        <v>1777</v>
      </c>
      <c r="J724" s="15" t="s">
        <v>324</v>
      </c>
      <c r="K724" s="15" t="s">
        <v>122</v>
      </c>
      <c r="L724" s="18" t="str">
        <f t="shared" si="39"/>
        <v>ATAKENT BELEDİYE BAŞKANLIĞI MERSİN</v>
      </c>
      <c r="M724" s="18" t="str">
        <f t="shared" si="40"/>
        <v>ATAKENT</v>
      </c>
    </row>
    <row r="725" spans="1:14" x14ac:dyDescent="0.25">
      <c r="A725" t="s">
        <v>1510</v>
      </c>
      <c r="B725" t="s">
        <v>704</v>
      </c>
      <c r="C725" t="s">
        <v>658</v>
      </c>
      <c r="D725">
        <v>10</v>
      </c>
      <c r="E725">
        <v>90001</v>
      </c>
      <c r="F725" t="s">
        <v>1511</v>
      </c>
      <c r="G725">
        <f t="shared" si="41"/>
        <v>26</v>
      </c>
      <c r="H725" s="9">
        <f>IF(ISERROR(VLOOKUP(A725,Excel4!D:J,7,0)),0,VLOOKUP(A725,Excel4!D:J,7,0))</f>
        <v>0</v>
      </c>
      <c r="I725" s="15" t="s">
        <v>1777</v>
      </c>
      <c r="J725" s="15" t="s">
        <v>658</v>
      </c>
      <c r="K725" s="15" t="s">
        <v>122</v>
      </c>
      <c r="L725" s="18" t="str">
        <f t="shared" si="39"/>
        <v>ATAYURT BELEDİYE BAŞKANLIĞI MERSİN</v>
      </c>
      <c r="M725" s="18" t="str">
        <f t="shared" si="40"/>
        <v>ATAYURT</v>
      </c>
    </row>
    <row r="726" spans="1:14" x14ac:dyDescent="0.25">
      <c r="A726" t="s">
        <v>1717</v>
      </c>
      <c r="B726" t="s">
        <v>2555</v>
      </c>
      <c r="C726" t="s">
        <v>251</v>
      </c>
      <c r="D726">
        <v>12</v>
      </c>
      <c r="E726">
        <v>90001</v>
      </c>
      <c r="F726" t="s">
        <v>1718</v>
      </c>
      <c r="G726">
        <f t="shared" si="41"/>
        <v>26</v>
      </c>
      <c r="H726" s="9">
        <f>IF(ISERROR(VLOOKUP(A726,Excel4!D:J,7,0)),0,VLOOKUP(A726,Excel4!D:J,7,0))</f>
        <v>0</v>
      </c>
      <c r="I726" s="15" t="s">
        <v>1777</v>
      </c>
      <c r="J726" s="15" t="s">
        <v>251</v>
      </c>
      <c r="K726" s="15" t="s">
        <v>122</v>
      </c>
      <c r="L726" s="18" t="str">
        <f t="shared" si="39"/>
        <v>AYAŞ BELEDİYE BAŞKANLIĞI MERSİN</v>
      </c>
      <c r="M726" s="18" t="str">
        <f t="shared" si="40"/>
        <v>AYAŞ</v>
      </c>
    </row>
    <row r="727" spans="1:14" x14ac:dyDescent="0.25">
      <c r="A727" t="s">
        <v>1512</v>
      </c>
      <c r="B727" t="s">
        <v>704</v>
      </c>
      <c r="C727" t="s">
        <v>659</v>
      </c>
      <c r="D727">
        <v>10</v>
      </c>
      <c r="E727">
        <v>90001</v>
      </c>
      <c r="F727" t="s">
        <v>1513</v>
      </c>
      <c r="G727">
        <f t="shared" si="41"/>
        <v>26</v>
      </c>
      <c r="H727" s="9">
        <f>IF(ISERROR(VLOOKUP(A727,Excel4!D:J,7,0)),0,VLOOKUP(A727,Excel4!D:J,7,0))</f>
        <v>0</v>
      </c>
      <c r="I727" s="15" t="s">
        <v>1777</v>
      </c>
      <c r="J727" s="15" t="s">
        <v>659</v>
      </c>
      <c r="K727" s="15" t="s">
        <v>122</v>
      </c>
      <c r="L727" s="18" t="str">
        <f t="shared" si="39"/>
        <v>AYDINCIK BELEDİYE BAŞKANLIĞI MERSİN</v>
      </c>
      <c r="M727" s="18" t="str">
        <f t="shared" si="40"/>
        <v>AYDINCIK</v>
      </c>
    </row>
    <row r="728" spans="1:14" x14ac:dyDescent="0.25">
      <c r="A728" t="s">
        <v>1514</v>
      </c>
      <c r="B728" t="s">
        <v>704</v>
      </c>
      <c r="C728" t="s">
        <v>297</v>
      </c>
      <c r="D728">
        <v>10</v>
      </c>
      <c r="E728">
        <v>90001</v>
      </c>
      <c r="F728" t="s">
        <v>1515</v>
      </c>
      <c r="G728">
        <f t="shared" si="41"/>
        <v>26</v>
      </c>
      <c r="H728" s="9">
        <f>IF(ISERROR(VLOOKUP(A728,Excel4!D:J,7,0)),0,VLOOKUP(A728,Excel4!D:J,7,0))</f>
        <v>0</v>
      </c>
      <c r="I728" s="15" t="s">
        <v>1777</v>
      </c>
      <c r="J728" s="15" t="s">
        <v>297</v>
      </c>
      <c r="K728" s="15" t="s">
        <v>122</v>
      </c>
      <c r="L728" s="18" t="str">
        <f t="shared" si="39"/>
        <v>BOZYAZI BELEDİYE BAŞKANLIĞI MERSİN</v>
      </c>
      <c r="M728" s="18" t="str">
        <f t="shared" si="40"/>
        <v>BOZYAZI</v>
      </c>
    </row>
    <row r="729" spans="1:14" x14ac:dyDescent="0.25">
      <c r="A729" t="s">
        <v>1939</v>
      </c>
      <c r="B729" t="s">
        <v>704</v>
      </c>
      <c r="C729" t="s">
        <v>462</v>
      </c>
      <c r="D729">
        <v>10</v>
      </c>
      <c r="E729">
        <v>90001</v>
      </c>
      <c r="F729" t="s">
        <v>1963</v>
      </c>
      <c r="G729">
        <f t="shared" si="41"/>
        <v>26</v>
      </c>
      <c r="H729" s="9">
        <f>IF(ISERROR(VLOOKUP(A729,Excel4!D:J,7,0)),0,VLOOKUP(A729,Excel4!D:J,7,0))</f>
        <v>0</v>
      </c>
      <c r="I729" s="15" t="s">
        <v>1777</v>
      </c>
      <c r="J729" s="15" t="s">
        <v>1881</v>
      </c>
      <c r="K729" s="15" t="s">
        <v>122</v>
      </c>
      <c r="L729" s="18" t="str">
        <f t="shared" si="39"/>
        <v>BÜYÜKECELİ BELEDİYE BAŞKANLIĞI MERSİN</v>
      </c>
      <c r="M729" s="18" t="str">
        <f t="shared" si="40"/>
        <v>BÜYÜKECELİ</v>
      </c>
    </row>
    <row r="730" spans="1:14" x14ac:dyDescent="0.25">
      <c r="A730" t="s">
        <v>2031</v>
      </c>
      <c r="B730" t="s">
        <v>699</v>
      </c>
      <c r="C730" t="s">
        <v>24</v>
      </c>
      <c r="D730">
        <v>15</v>
      </c>
      <c r="E730">
        <v>90001</v>
      </c>
      <c r="F730" t="s">
        <v>2771</v>
      </c>
      <c r="G730">
        <f t="shared" si="41"/>
        <v>26</v>
      </c>
      <c r="H730" s="9">
        <f>IF(ISERROR(VLOOKUP(A730,Excel4!D:J,7,0)),0,VLOOKUP(A730,Excel4!D:J,7,0))</f>
        <v>25521.39</v>
      </c>
      <c r="I730" s="15" t="s">
        <v>1777</v>
      </c>
      <c r="J730" s="15" t="s">
        <v>27</v>
      </c>
      <c r="K730" s="15" t="s">
        <v>24</v>
      </c>
      <c r="L730" s="18" t="str">
        <f t="shared" si="39"/>
        <v>MARDİN BÜYÜKŞEHİR BELEDİYE BAŞKANLIĞI</v>
      </c>
      <c r="M730" s="18" t="str">
        <f t="shared" si="40"/>
        <v>MARDİN BÜYÜKŞEHİR</v>
      </c>
      <c r="N730">
        <f>_xlfn.XLOOKUP(M730,[1]Sheet1!$A:$A,[1]Sheet1!$G:$G)</f>
        <v>0</v>
      </c>
    </row>
    <row r="731" spans="1:14" x14ac:dyDescent="0.25">
      <c r="A731" t="s">
        <v>1516</v>
      </c>
      <c r="B731" t="s">
        <v>704</v>
      </c>
      <c r="C731" t="s">
        <v>298</v>
      </c>
      <c r="D731">
        <v>10</v>
      </c>
      <c r="E731">
        <v>90001</v>
      </c>
      <c r="F731" t="s">
        <v>1517</v>
      </c>
      <c r="G731">
        <f t="shared" si="41"/>
        <v>26</v>
      </c>
      <c r="H731" s="9">
        <f>IF(ISERROR(VLOOKUP(A731,Excel4!D:J,7,0)),0,VLOOKUP(A731,Excel4!D:J,7,0))</f>
        <v>0</v>
      </c>
      <c r="I731" s="15" t="s">
        <v>1777</v>
      </c>
      <c r="J731" s="15" t="s">
        <v>298</v>
      </c>
      <c r="K731" s="15" t="s">
        <v>122</v>
      </c>
      <c r="L731" s="18" t="str">
        <f t="shared" si="39"/>
        <v>ÇAMLIYAYLA BELEDİYE BAŞKANLIĞI MERSİN</v>
      </c>
      <c r="M731" s="18" t="str">
        <f t="shared" si="40"/>
        <v>ÇAMLIYAYLA</v>
      </c>
    </row>
    <row r="732" spans="1:14" x14ac:dyDescent="0.25">
      <c r="A732" t="s">
        <v>1518</v>
      </c>
      <c r="B732" t="s">
        <v>704</v>
      </c>
      <c r="C732" t="s">
        <v>142</v>
      </c>
      <c r="D732">
        <v>10</v>
      </c>
      <c r="E732">
        <v>90001</v>
      </c>
      <c r="F732" t="s">
        <v>1519</v>
      </c>
      <c r="G732">
        <f t="shared" si="41"/>
        <v>26</v>
      </c>
      <c r="H732" s="9">
        <f>IF(ISERROR(VLOOKUP(A732,Excel4!D:J,7,0)),0,VLOOKUP(A732,Excel4!D:J,7,0))</f>
        <v>0</v>
      </c>
      <c r="I732" s="15" t="s">
        <v>1777</v>
      </c>
      <c r="J732" s="15" t="s">
        <v>142</v>
      </c>
      <c r="K732" s="15" t="s">
        <v>122</v>
      </c>
      <c r="L732" s="18" t="str">
        <f t="shared" si="39"/>
        <v>ÇEŞMELİ BELEDİYE BAŞKANLIĞI MERSİN</v>
      </c>
      <c r="M732" s="18" t="str">
        <f t="shared" si="40"/>
        <v>ÇEŞMELİ</v>
      </c>
    </row>
    <row r="733" spans="1:14" x14ac:dyDescent="0.25">
      <c r="A733" t="s">
        <v>1520</v>
      </c>
      <c r="B733" t="s">
        <v>699</v>
      </c>
      <c r="C733" t="s">
        <v>179</v>
      </c>
      <c r="D733">
        <v>15</v>
      </c>
      <c r="E733">
        <v>90001</v>
      </c>
      <c r="F733" t="s">
        <v>1521</v>
      </c>
      <c r="G733">
        <f t="shared" si="41"/>
        <v>26</v>
      </c>
      <c r="H733" s="9">
        <f>IF(ISERROR(VLOOKUP(A733,Excel4!D:J,7,0)),0,VLOOKUP(A733,Excel4!D:J,7,0))</f>
        <v>0</v>
      </c>
      <c r="I733" s="15" t="s">
        <v>1777</v>
      </c>
      <c r="J733" s="15" t="s">
        <v>179</v>
      </c>
      <c r="K733" s="15" t="s">
        <v>122</v>
      </c>
      <c r="L733" s="18" t="str">
        <f t="shared" si="39"/>
        <v>ERDEMLİ BELEDİYE BAŞKANLIĞI MERSİN</v>
      </c>
      <c r="M733" s="18" t="str">
        <f t="shared" si="40"/>
        <v>ERDEMLİ</v>
      </c>
    </row>
    <row r="734" spans="1:14" x14ac:dyDescent="0.25">
      <c r="A734" t="s">
        <v>1522</v>
      </c>
      <c r="B734" t="s">
        <v>2555</v>
      </c>
      <c r="C734" t="s">
        <v>462</v>
      </c>
      <c r="D734">
        <v>12</v>
      </c>
      <c r="E734">
        <v>90001</v>
      </c>
      <c r="F734" t="s">
        <v>1523</v>
      </c>
      <c r="G734">
        <f t="shared" si="41"/>
        <v>26</v>
      </c>
      <c r="H734" s="9">
        <f>IF(ISERROR(VLOOKUP(A734,Excel4!D:J,7,0)),0,VLOOKUP(A734,Excel4!D:J,7,0))</f>
        <v>0</v>
      </c>
      <c r="I734" s="15" t="s">
        <v>1777</v>
      </c>
      <c r="J734" s="15" t="s">
        <v>462</v>
      </c>
      <c r="K734" s="15" t="s">
        <v>122</v>
      </c>
      <c r="L734" s="18" t="str">
        <f t="shared" si="39"/>
        <v>GÜLNAR BELEDİYE BAŞKANLIĞI MERSİN</v>
      </c>
      <c r="M734" s="18" t="str">
        <f t="shared" si="40"/>
        <v>GÜLNAR</v>
      </c>
    </row>
    <row r="735" spans="1:14" x14ac:dyDescent="0.25">
      <c r="A735" t="s">
        <v>1719</v>
      </c>
      <c r="B735" t="s">
        <v>699</v>
      </c>
      <c r="C735" t="s">
        <v>281</v>
      </c>
      <c r="D735">
        <v>15</v>
      </c>
      <c r="E735">
        <v>90001</v>
      </c>
      <c r="F735" t="s">
        <v>1720</v>
      </c>
      <c r="G735">
        <f t="shared" si="41"/>
        <v>26</v>
      </c>
      <c r="H735" s="9">
        <f>IF(ISERROR(VLOOKUP(A735,Excel4!D:J,7,0)),0,VLOOKUP(A735,Excel4!D:J,7,0))</f>
        <v>0</v>
      </c>
      <c r="I735" s="15" t="s">
        <v>1777</v>
      </c>
      <c r="J735" s="15" t="s">
        <v>281</v>
      </c>
      <c r="K735" s="15" t="s">
        <v>122</v>
      </c>
      <c r="L735" s="18" t="str">
        <f t="shared" si="39"/>
        <v>KARGIPINARI BELEDİYE BAŞKANLIĞI MERSİN</v>
      </c>
      <c r="M735" s="18" t="str">
        <f t="shared" si="40"/>
        <v>KARGIPINARI</v>
      </c>
    </row>
    <row r="736" spans="1:14" x14ac:dyDescent="0.25">
      <c r="A736" t="s">
        <v>1524</v>
      </c>
      <c r="B736" t="s">
        <v>704</v>
      </c>
      <c r="C736" t="s">
        <v>378</v>
      </c>
      <c r="D736">
        <v>10</v>
      </c>
      <c r="E736">
        <v>90001</v>
      </c>
      <c r="F736" t="s">
        <v>1525</v>
      </c>
      <c r="G736">
        <f t="shared" si="41"/>
        <v>26</v>
      </c>
      <c r="H736" s="9">
        <f>IF(ISERROR(VLOOKUP(A736,Excel4!D:J,7,0)),0,VLOOKUP(A736,Excel4!D:J,7,0))</f>
        <v>0</v>
      </c>
      <c r="I736" s="15" t="s">
        <v>1777</v>
      </c>
      <c r="J736" s="15" t="s">
        <v>378</v>
      </c>
      <c r="K736" s="15" t="s">
        <v>122</v>
      </c>
      <c r="L736" s="18" t="str">
        <f t="shared" si="39"/>
        <v>KIZKALESİ BELEDİYE BAŞKANLIĞI MERSİN</v>
      </c>
      <c r="M736" s="18" t="str">
        <f t="shared" si="40"/>
        <v>KIZKALESİ</v>
      </c>
    </row>
    <row r="737" spans="1:14" x14ac:dyDescent="0.25">
      <c r="A737" t="s">
        <v>1721</v>
      </c>
      <c r="B737" t="s">
        <v>699</v>
      </c>
      <c r="C737" t="s">
        <v>660</v>
      </c>
      <c r="D737">
        <v>15</v>
      </c>
      <c r="E737">
        <v>90001</v>
      </c>
      <c r="F737" t="s">
        <v>1722</v>
      </c>
      <c r="G737">
        <f t="shared" si="41"/>
        <v>26</v>
      </c>
      <c r="H737" s="9">
        <f>IF(ISERROR(VLOOKUP(A737,Excel4!D:J,7,0)),0,VLOOKUP(A737,Excel4!D:J,7,0))</f>
        <v>0</v>
      </c>
      <c r="I737" s="15" t="s">
        <v>1777</v>
      </c>
      <c r="J737" s="15" t="s">
        <v>660</v>
      </c>
      <c r="K737" s="15" t="s">
        <v>122</v>
      </c>
      <c r="L737" s="18" t="str">
        <f t="shared" si="39"/>
        <v>KUMKUYU BELEDİYE BAŞKANLIĞI MERSİN</v>
      </c>
      <c r="M737" s="18" t="str">
        <f t="shared" si="40"/>
        <v>KUMKUYU</v>
      </c>
    </row>
    <row r="738" spans="1:14" x14ac:dyDescent="0.25">
      <c r="A738" t="s">
        <v>1526</v>
      </c>
      <c r="B738" t="s">
        <v>704</v>
      </c>
      <c r="C738" t="s">
        <v>661</v>
      </c>
      <c r="D738">
        <v>10</v>
      </c>
      <c r="E738">
        <v>90001</v>
      </c>
      <c r="F738" t="s">
        <v>1527</v>
      </c>
      <c r="G738">
        <f t="shared" si="41"/>
        <v>26</v>
      </c>
      <c r="H738" s="9">
        <f>IF(ISERROR(VLOOKUP(A738,Excel4!D:J,7,0)),0,VLOOKUP(A738,Excel4!D:J,7,0))</f>
        <v>0</v>
      </c>
      <c r="I738" s="15" t="s">
        <v>1777</v>
      </c>
      <c r="J738" s="15" t="s">
        <v>661</v>
      </c>
      <c r="K738" s="15" t="s">
        <v>122</v>
      </c>
      <c r="L738" s="18" t="str">
        <f t="shared" si="39"/>
        <v>LİMONLU BELEDİYE BAŞKANLIĞI MERSİN</v>
      </c>
      <c r="M738" s="18" t="str">
        <f t="shared" si="40"/>
        <v>LİMONLU</v>
      </c>
    </row>
    <row r="739" spans="1:14" x14ac:dyDescent="0.25">
      <c r="A739" t="s">
        <v>1528</v>
      </c>
      <c r="B739" t="s">
        <v>704</v>
      </c>
      <c r="C739" t="s">
        <v>308</v>
      </c>
      <c r="D739">
        <v>10</v>
      </c>
      <c r="E739">
        <v>90001</v>
      </c>
      <c r="F739" t="s">
        <v>1529</v>
      </c>
      <c r="G739">
        <f t="shared" si="41"/>
        <v>26</v>
      </c>
      <c r="H739" s="9">
        <f>IF(ISERROR(VLOOKUP(A739,Excel4!D:J,7,0)),0,VLOOKUP(A739,Excel4!D:J,7,0))</f>
        <v>0</v>
      </c>
      <c r="I739" s="15" t="s">
        <v>1777</v>
      </c>
      <c r="J739" s="15" t="s">
        <v>308</v>
      </c>
      <c r="K739" s="15" t="s">
        <v>122</v>
      </c>
      <c r="L739" s="18" t="str">
        <f t="shared" si="39"/>
        <v>MUT BELEDİYE BAŞKANLIĞI MERSİN</v>
      </c>
      <c r="M739" s="18" t="str">
        <f t="shared" si="40"/>
        <v>MUT</v>
      </c>
    </row>
    <row r="740" spans="1:14" x14ac:dyDescent="0.25">
      <c r="A740" t="s">
        <v>1530</v>
      </c>
      <c r="B740" t="s">
        <v>704</v>
      </c>
      <c r="C740" t="s">
        <v>208</v>
      </c>
      <c r="D740">
        <v>10</v>
      </c>
      <c r="E740">
        <v>90001</v>
      </c>
      <c r="F740" t="s">
        <v>1531</v>
      </c>
      <c r="G740">
        <f t="shared" si="41"/>
        <v>26</v>
      </c>
      <c r="H740" s="9">
        <f>IF(ISERROR(VLOOKUP(A740,Excel4!D:J,7,0)),0,VLOOKUP(A740,Excel4!D:J,7,0))</f>
        <v>0</v>
      </c>
      <c r="I740" s="15" t="s">
        <v>1777</v>
      </c>
      <c r="J740" s="15" t="s">
        <v>208</v>
      </c>
      <c r="K740" s="15" t="s">
        <v>122</v>
      </c>
      <c r="L740" s="18" t="str">
        <f t="shared" ref="L740:L803" si="42">IF(J740="MERKEZ",K740&amp;" "&amp;I740,IF(J740="BÜYÜKŞEHİR",K740&amp;" "&amp;J740&amp;" "&amp;I740,J740&amp;" "&amp;I740&amp;" "&amp;K740))</f>
        <v>SİLİFKE BELEDİYE BAŞKANLIĞI MERSİN</v>
      </c>
      <c r="M740" s="18" t="str">
        <f t="shared" si="40"/>
        <v>SİLİFKE</v>
      </c>
    </row>
    <row r="741" spans="1:14" x14ac:dyDescent="0.25">
      <c r="A741" t="s">
        <v>1532</v>
      </c>
      <c r="B741" t="s">
        <v>704</v>
      </c>
      <c r="C741" t="s">
        <v>123</v>
      </c>
      <c r="D741">
        <v>10</v>
      </c>
      <c r="E741">
        <v>90001</v>
      </c>
      <c r="F741" t="s">
        <v>1533</v>
      </c>
      <c r="G741">
        <f t="shared" si="41"/>
        <v>26</v>
      </c>
      <c r="H741" s="9">
        <f>IF(ISERROR(VLOOKUP(A741,Excel4!D:J,7,0)),0,VLOOKUP(A741,Excel4!D:J,7,0))</f>
        <v>0</v>
      </c>
      <c r="I741" s="15" t="s">
        <v>1777</v>
      </c>
      <c r="J741" s="15" t="s">
        <v>123</v>
      </c>
      <c r="K741" s="15" t="s">
        <v>122</v>
      </c>
      <c r="L741" s="18" t="str">
        <f t="shared" si="42"/>
        <v>TARSUS BELEDİYE BAŞKANLIĞI MERSİN</v>
      </c>
      <c r="M741" s="18" t="str">
        <f t="shared" si="40"/>
        <v>TARSUS</v>
      </c>
    </row>
    <row r="742" spans="1:14" x14ac:dyDescent="0.25">
      <c r="A742" t="s">
        <v>1723</v>
      </c>
      <c r="B742" t="s">
        <v>818</v>
      </c>
      <c r="C742" t="s">
        <v>246</v>
      </c>
      <c r="D742">
        <v>64</v>
      </c>
      <c r="E742">
        <v>90001</v>
      </c>
      <c r="F742" t="s">
        <v>408</v>
      </c>
      <c r="G742">
        <f t="shared" si="41"/>
        <v>26</v>
      </c>
      <c r="H742" s="9">
        <f>IF(ISERROR(VLOOKUP(A742,Excel4!D:J,7,0)),0,VLOOKUP(A742,Excel4!D:J,7,0))</f>
        <v>0</v>
      </c>
      <c r="I742" s="15" t="s">
        <v>1777</v>
      </c>
      <c r="J742" s="15" t="s">
        <v>246</v>
      </c>
      <c r="K742" s="15" t="s">
        <v>122</v>
      </c>
      <c r="L742" s="18" t="str">
        <f t="shared" si="42"/>
        <v>TAŞUCU BELEDİYE BAŞKANLIĞI MERSİN</v>
      </c>
      <c r="M742" s="18" t="str">
        <f t="shared" si="40"/>
        <v>TAŞUCU</v>
      </c>
    </row>
    <row r="743" spans="1:14" x14ac:dyDescent="0.25">
      <c r="A743" t="s">
        <v>1534</v>
      </c>
      <c r="B743" t="s">
        <v>704</v>
      </c>
      <c r="C743" t="s">
        <v>236</v>
      </c>
      <c r="D743">
        <v>10</v>
      </c>
      <c r="E743">
        <v>90001</v>
      </c>
      <c r="F743" t="s">
        <v>1535</v>
      </c>
      <c r="G743">
        <f t="shared" si="41"/>
        <v>26</v>
      </c>
      <c r="H743" s="9">
        <f>IF(ISERROR(VLOOKUP(A743,Excel4!D:J,7,0)),0,VLOOKUP(A743,Excel4!D:J,7,0))</f>
        <v>0</v>
      </c>
      <c r="I743" s="15" t="s">
        <v>1777</v>
      </c>
      <c r="J743" s="15" t="s">
        <v>236</v>
      </c>
      <c r="K743" s="15" t="s">
        <v>122</v>
      </c>
      <c r="L743" s="18" t="str">
        <f t="shared" si="42"/>
        <v>TÖMÜK BELEDİYE BAŞKANLIĞI MERSİN</v>
      </c>
      <c r="M743" s="18" t="str">
        <f t="shared" si="40"/>
        <v>TÖMÜK</v>
      </c>
    </row>
    <row r="744" spans="1:14" x14ac:dyDescent="0.25">
      <c r="A744" t="s">
        <v>1921</v>
      </c>
      <c r="B744" t="s">
        <v>704</v>
      </c>
      <c r="C744" t="s">
        <v>0</v>
      </c>
      <c r="D744">
        <v>10</v>
      </c>
      <c r="E744">
        <v>90001</v>
      </c>
      <c r="F744" t="s">
        <v>1954</v>
      </c>
      <c r="G744">
        <f t="shared" si="41"/>
        <v>26</v>
      </c>
      <c r="H744" s="9">
        <f>IF(ISERROR(VLOOKUP(A744,Excel4!D:J,7,0)),0,VLOOKUP(A744,Excel4!D:J,7,0))</f>
        <v>0</v>
      </c>
      <c r="I744" s="15" t="s">
        <v>1777</v>
      </c>
      <c r="J744" s="15" t="s">
        <v>269</v>
      </c>
      <c r="K744" s="15" t="s">
        <v>124</v>
      </c>
      <c r="L744" s="18" t="str">
        <f t="shared" si="42"/>
        <v>AKYAKA BELEDİYE BAŞKANLIĞI MUĞLA</v>
      </c>
      <c r="M744" s="18" t="str">
        <f t="shared" si="40"/>
        <v>AKYAKA</v>
      </c>
    </row>
    <row r="745" spans="1:14" x14ac:dyDescent="0.25">
      <c r="A745" t="s">
        <v>1536</v>
      </c>
      <c r="B745" t="s">
        <v>704</v>
      </c>
      <c r="C745" t="s">
        <v>159</v>
      </c>
      <c r="D745">
        <v>10</v>
      </c>
      <c r="E745">
        <v>90001</v>
      </c>
      <c r="F745" t="s">
        <v>1537</v>
      </c>
      <c r="G745">
        <f t="shared" si="41"/>
        <v>26</v>
      </c>
      <c r="H745" s="9">
        <f>IF(ISERROR(VLOOKUP(A745,Excel4!D:J,7,0)),0,VLOOKUP(A745,Excel4!D:J,7,0))</f>
        <v>0</v>
      </c>
      <c r="I745" s="15" t="s">
        <v>1777</v>
      </c>
      <c r="J745" s="15" t="s">
        <v>159</v>
      </c>
      <c r="K745" s="15" t="s">
        <v>124</v>
      </c>
      <c r="L745" s="18" t="str">
        <f t="shared" si="42"/>
        <v>ARMUTALAN BELEDİYE BAŞKANLIĞI MUĞLA</v>
      </c>
      <c r="M745" s="18" t="str">
        <f t="shared" si="40"/>
        <v>ARMUTALAN</v>
      </c>
    </row>
    <row r="746" spans="1:14" x14ac:dyDescent="0.25">
      <c r="A746" t="s">
        <v>1538</v>
      </c>
      <c r="B746" t="s">
        <v>704</v>
      </c>
      <c r="C746" t="s">
        <v>98</v>
      </c>
      <c r="D746">
        <v>10</v>
      </c>
      <c r="E746">
        <v>90001</v>
      </c>
      <c r="F746" t="s">
        <v>1539</v>
      </c>
      <c r="G746">
        <f t="shared" si="41"/>
        <v>26</v>
      </c>
      <c r="H746" s="9">
        <f>IF(ISERROR(VLOOKUP(A746,Excel4!D:J,7,0)),0,VLOOKUP(A746,Excel4!D:J,7,0))</f>
        <v>0</v>
      </c>
      <c r="I746" s="15" t="s">
        <v>1777</v>
      </c>
      <c r="J746" s="15" t="s">
        <v>98</v>
      </c>
      <c r="K746" s="15" t="s">
        <v>124</v>
      </c>
      <c r="L746" s="18" t="str">
        <f t="shared" si="42"/>
        <v>BELDİBİ BELEDİYE BAŞKANLIĞI MUĞLA</v>
      </c>
      <c r="M746" s="18" t="str">
        <f t="shared" si="40"/>
        <v>BELDİBİ</v>
      </c>
    </row>
    <row r="747" spans="1:14" x14ac:dyDescent="0.25">
      <c r="A747" t="s">
        <v>1540</v>
      </c>
      <c r="B747" t="s">
        <v>2555</v>
      </c>
      <c r="C747" t="s">
        <v>213</v>
      </c>
      <c r="D747">
        <v>12</v>
      </c>
      <c r="E747">
        <v>90001</v>
      </c>
      <c r="F747" t="s">
        <v>1541</v>
      </c>
      <c r="G747">
        <f t="shared" si="41"/>
        <v>26</v>
      </c>
      <c r="H747" s="9">
        <f>IF(ISERROR(VLOOKUP(A747,Excel4!D:J,7,0)),0,VLOOKUP(A747,Excel4!D:J,7,0))</f>
        <v>0</v>
      </c>
      <c r="I747" s="15" t="s">
        <v>1777</v>
      </c>
      <c r="J747" s="15" t="s">
        <v>213</v>
      </c>
      <c r="K747" s="15" t="s">
        <v>124</v>
      </c>
      <c r="L747" s="18" t="str">
        <f t="shared" si="42"/>
        <v>BİTEZ BELEDİYE BAŞKANLIĞI MUĞLA</v>
      </c>
      <c r="M747" s="18" t="str">
        <f t="shared" si="40"/>
        <v>BİTEZ</v>
      </c>
    </row>
    <row r="748" spans="1:14" x14ac:dyDescent="0.25">
      <c r="A748" t="s">
        <v>1542</v>
      </c>
      <c r="B748" t="s">
        <v>704</v>
      </c>
      <c r="C748" t="s">
        <v>125</v>
      </c>
      <c r="D748">
        <v>10</v>
      </c>
      <c r="E748">
        <v>90001</v>
      </c>
      <c r="F748" t="s">
        <v>1543</v>
      </c>
      <c r="G748">
        <f t="shared" si="41"/>
        <v>26</v>
      </c>
      <c r="H748" s="9">
        <f>IF(ISERROR(VLOOKUP(A748,Excel4!D:J,7,0)),0,VLOOKUP(A748,Excel4!D:J,7,0))</f>
        <v>0</v>
      </c>
      <c r="I748" s="15" t="s">
        <v>1777</v>
      </c>
      <c r="J748" s="15" t="s">
        <v>125</v>
      </c>
      <c r="K748" s="15" t="s">
        <v>124</v>
      </c>
      <c r="L748" s="18" t="str">
        <f t="shared" si="42"/>
        <v>BODRUM BELEDİYE BAŞKANLIĞI MUĞLA</v>
      </c>
      <c r="M748" s="18" t="str">
        <f t="shared" si="40"/>
        <v>BODRUM</v>
      </c>
    </row>
    <row r="749" spans="1:14" x14ac:dyDescent="0.25">
      <c r="A749" t="s">
        <v>1898</v>
      </c>
      <c r="B749" t="s">
        <v>699</v>
      </c>
      <c r="C749" t="s">
        <v>122</v>
      </c>
      <c r="D749">
        <v>15</v>
      </c>
      <c r="E749">
        <v>90001</v>
      </c>
      <c r="F749" t="s">
        <v>422</v>
      </c>
      <c r="G749">
        <f t="shared" si="41"/>
        <v>26</v>
      </c>
      <c r="H749" s="9">
        <f>IF(ISERROR(VLOOKUP(A749,Excel4!D:J,7,0)),0,VLOOKUP(A749,Excel4!D:J,7,0))</f>
        <v>52645.360000000008</v>
      </c>
      <c r="I749" s="15" t="s">
        <v>1777</v>
      </c>
      <c r="J749" s="15" t="s">
        <v>27</v>
      </c>
      <c r="K749" s="15" t="s">
        <v>122</v>
      </c>
      <c r="L749" s="18" t="str">
        <f t="shared" si="42"/>
        <v>MERSİN BÜYÜKŞEHİR BELEDİYE BAŞKANLIĞI</v>
      </c>
      <c r="M749" s="18" t="str">
        <f t="shared" si="40"/>
        <v>MERSİN BÜYÜKŞEHİR</v>
      </c>
      <c r="N749">
        <f>_xlfn.XLOOKUP(M749,[1]Sheet1!$A:$A,[1]Sheet1!$G:$G)</f>
        <v>0</v>
      </c>
    </row>
    <row r="750" spans="1:14" x14ac:dyDescent="0.25">
      <c r="A750" t="s">
        <v>1544</v>
      </c>
      <c r="B750" t="s">
        <v>704</v>
      </c>
      <c r="C750" t="s">
        <v>216</v>
      </c>
      <c r="D750">
        <v>10</v>
      </c>
      <c r="E750">
        <v>90001</v>
      </c>
      <c r="F750" t="s">
        <v>1545</v>
      </c>
      <c r="G750">
        <f t="shared" si="41"/>
        <v>26</v>
      </c>
      <c r="H750" s="9">
        <f>IF(ISERROR(VLOOKUP(A750,Excel4!D:J,7,0)),0,VLOOKUP(A750,Excel4!D:J,7,0))</f>
        <v>0</v>
      </c>
      <c r="I750" s="15" t="s">
        <v>1777</v>
      </c>
      <c r="J750" s="15" t="s">
        <v>216</v>
      </c>
      <c r="K750" s="15" t="s">
        <v>124</v>
      </c>
      <c r="L750" s="18" t="str">
        <f t="shared" si="42"/>
        <v>DALAMAN BELEDİYE BAŞKANLIĞI MUĞLA</v>
      </c>
      <c r="M750" s="18" t="str">
        <f t="shared" si="40"/>
        <v>DALAMAN</v>
      </c>
    </row>
    <row r="751" spans="1:14" x14ac:dyDescent="0.25">
      <c r="A751" t="s">
        <v>1546</v>
      </c>
      <c r="B751" t="s">
        <v>704</v>
      </c>
      <c r="C751" t="s">
        <v>209</v>
      </c>
      <c r="D751">
        <v>10</v>
      </c>
      <c r="E751">
        <v>90001</v>
      </c>
      <c r="F751" t="s">
        <v>1547</v>
      </c>
      <c r="G751">
        <f t="shared" si="41"/>
        <v>26</v>
      </c>
      <c r="H751" s="9">
        <f>IF(ISERROR(VLOOKUP(A751,Excel4!D:J,7,0)),0,VLOOKUP(A751,Excel4!D:J,7,0))</f>
        <v>0</v>
      </c>
      <c r="I751" s="15" t="s">
        <v>1777</v>
      </c>
      <c r="J751" s="15" t="s">
        <v>209</v>
      </c>
      <c r="K751" s="15" t="s">
        <v>124</v>
      </c>
      <c r="L751" s="18" t="str">
        <f t="shared" si="42"/>
        <v>DALYAN BELEDİYE BAŞKANLIĞI MUĞLA</v>
      </c>
      <c r="M751" s="18" t="str">
        <f t="shared" si="40"/>
        <v>DALYAN</v>
      </c>
    </row>
    <row r="752" spans="1:14" x14ac:dyDescent="0.25">
      <c r="A752" t="s">
        <v>1548</v>
      </c>
      <c r="B752" t="s">
        <v>2555</v>
      </c>
      <c r="C752" t="s">
        <v>160</v>
      </c>
      <c r="D752">
        <v>12</v>
      </c>
      <c r="E752">
        <v>90001</v>
      </c>
      <c r="F752" t="s">
        <v>1549</v>
      </c>
      <c r="G752">
        <f t="shared" si="41"/>
        <v>26</v>
      </c>
      <c r="H752" s="9">
        <f>IF(ISERROR(VLOOKUP(A752,Excel4!D:J,7,0)),0,VLOOKUP(A752,Excel4!D:J,7,0))</f>
        <v>0</v>
      </c>
      <c r="I752" s="15" t="s">
        <v>1777</v>
      </c>
      <c r="J752" s="15" t="s">
        <v>160</v>
      </c>
      <c r="K752" s="15" t="s">
        <v>124</v>
      </c>
      <c r="L752" s="18" t="str">
        <f t="shared" si="42"/>
        <v>DATÇA BELEDİYE BAŞKANLIĞI MUĞLA</v>
      </c>
      <c r="M752" s="18" t="str">
        <f t="shared" si="40"/>
        <v>DATÇA</v>
      </c>
    </row>
    <row r="753" spans="1:13" x14ac:dyDescent="0.25">
      <c r="A753" t="s">
        <v>1550</v>
      </c>
      <c r="B753" t="s">
        <v>704</v>
      </c>
      <c r="C753" t="s">
        <v>662</v>
      </c>
      <c r="D753">
        <v>10</v>
      </c>
      <c r="E753">
        <v>90001</v>
      </c>
      <c r="F753" t="s">
        <v>1551</v>
      </c>
      <c r="G753">
        <f t="shared" si="41"/>
        <v>26</v>
      </c>
      <c r="H753" s="9">
        <f>IF(ISERROR(VLOOKUP(A753,Excel4!D:J,7,0)),0,VLOOKUP(A753,Excel4!D:J,7,0))</f>
        <v>0</v>
      </c>
      <c r="I753" s="15" t="s">
        <v>1777</v>
      </c>
      <c r="J753" s="15" t="s">
        <v>662</v>
      </c>
      <c r="K753" s="15" t="s">
        <v>124</v>
      </c>
      <c r="L753" s="18" t="str">
        <f t="shared" si="42"/>
        <v>EŞEN BELEDİYE BAŞKANLIĞI MUĞLA</v>
      </c>
      <c r="M753" s="18" t="str">
        <f t="shared" si="40"/>
        <v>EŞEN</v>
      </c>
    </row>
    <row r="754" spans="1:13" x14ac:dyDescent="0.25">
      <c r="A754" t="s">
        <v>1552</v>
      </c>
      <c r="B754" t="s">
        <v>704</v>
      </c>
      <c r="C754" t="s">
        <v>126</v>
      </c>
      <c r="D754">
        <v>10</v>
      </c>
      <c r="E754">
        <v>90001</v>
      </c>
      <c r="F754" t="s">
        <v>1553</v>
      </c>
      <c r="G754">
        <f t="shared" si="41"/>
        <v>26</v>
      </c>
      <c r="H754" s="9">
        <f>IF(ISERROR(VLOOKUP(A754,Excel4!D:J,7,0)),0,VLOOKUP(A754,Excel4!D:J,7,0))</f>
        <v>0</v>
      </c>
      <c r="I754" s="15" t="s">
        <v>1777</v>
      </c>
      <c r="J754" s="15" t="s">
        <v>126</v>
      </c>
      <c r="K754" s="15" t="s">
        <v>124</v>
      </c>
      <c r="L754" s="18" t="str">
        <f t="shared" si="42"/>
        <v>FETHİYE BELEDİYE BAŞKANLIĞI MUĞLA</v>
      </c>
      <c r="M754" s="18" t="str">
        <f t="shared" si="40"/>
        <v>FETHİYE</v>
      </c>
    </row>
    <row r="755" spans="1:13" x14ac:dyDescent="0.25">
      <c r="A755" t="s">
        <v>1772</v>
      </c>
      <c r="B755" t="s">
        <v>699</v>
      </c>
      <c r="C755" t="s">
        <v>1</v>
      </c>
      <c r="D755">
        <v>15</v>
      </c>
      <c r="E755">
        <v>90001</v>
      </c>
      <c r="F755" t="s">
        <v>1775</v>
      </c>
      <c r="G755">
        <f t="shared" si="41"/>
        <v>26</v>
      </c>
      <c r="H755" s="9">
        <f>IF(ISERROR(VLOOKUP(A755,Excel4!D:J,7,0)),0,VLOOKUP(A755,Excel4!D:J,7,0))</f>
        <v>0</v>
      </c>
      <c r="I755" s="15" t="s">
        <v>1777</v>
      </c>
      <c r="J755" s="15" t="s">
        <v>1</v>
      </c>
      <c r="K755" s="15" t="s">
        <v>124</v>
      </c>
      <c r="L755" s="18" t="str">
        <f t="shared" si="42"/>
        <v>GÖCEK BELEDİYE BAŞKANLIĞI MUĞLA</v>
      </c>
      <c r="M755" s="18" t="str">
        <f t="shared" si="40"/>
        <v>GÖCEK</v>
      </c>
    </row>
    <row r="756" spans="1:13" x14ac:dyDescent="0.25">
      <c r="A756" t="s">
        <v>1554</v>
      </c>
      <c r="B756" t="s">
        <v>704</v>
      </c>
      <c r="C756" t="s">
        <v>663</v>
      </c>
      <c r="D756">
        <v>10</v>
      </c>
      <c r="E756">
        <v>90001</v>
      </c>
      <c r="F756" t="s">
        <v>1555</v>
      </c>
      <c r="G756">
        <f t="shared" si="41"/>
        <v>26</v>
      </c>
      <c r="H756" s="9">
        <f>IF(ISERROR(VLOOKUP(A756,Excel4!D:J,7,0)),0,VLOOKUP(A756,Excel4!D:J,7,0))</f>
        <v>0</v>
      </c>
      <c r="I756" s="15" t="s">
        <v>1777</v>
      </c>
      <c r="J756" s="15" t="s">
        <v>663</v>
      </c>
      <c r="K756" s="15" t="s">
        <v>124</v>
      </c>
      <c r="L756" s="18" t="str">
        <f t="shared" si="42"/>
        <v>GÖKOVA BELEDİYE BAŞKANLIĞI MUĞLA</v>
      </c>
      <c r="M756" s="18" t="str">
        <f t="shared" si="40"/>
        <v>GÖKOVA</v>
      </c>
    </row>
    <row r="757" spans="1:13" x14ac:dyDescent="0.25">
      <c r="A757" t="s">
        <v>1922</v>
      </c>
      <c r="B757" t="s">
        <v>2555</v>
      </c>
      <c r="C757" t="s">
        <v>154</v>
      </c>
      <c r="D757">
        <v>12</v>
      </c>
      <c r="E757">
        <v>90001</v>
      </c>
      <c r="F757" t="s">
        <v>487</v>
      </c>
      <c r="G757">
        <f t="shared" si="41"/>
        <v>26</v>
      </c>
      <c r="H757" s="9">
        <f>IF(ISERROR(VLOOKUP(A757,Excel4!D:J,7,0)),0,VLOOKUP(A757,Excel4!D:J,7,0))</f>
        <v>0</v>
      </c>
      <c r="I757" s="15" t="s">
        <v>1777</v>
      </c>
      <c r="J757" s="15" t="s">
        <v>1892</v>
      </c>
      <c r="K757" s="15" t="s">
        <v>124</v>
      </c>
      <c r="L757" s="18" t="str">
        <f t="shared" si="42"/>
        <v>GÖLTÜRKBÜKÜ BELEDİYE BAŞKANLIĞI MUĞLA</v>
      </c>
      <c r="M757" s="18" t="str">
        <f t="shared" si="40"/>
        <v>GÖLTÜRKBÜKÜ</v>
      </c>
    </row>
    <row r="758" spans="1:13" x14ac:dyDescent="0.25">
      <c r="A758" t="s">
        <v>1724</v>
      </c>
      <c r="B758" t="s">
        <v>2555</v>
      </c>
      <c r="C758" t="s">
        <v>19</v>
      </c>
      <c r="D758">
        <v>12</v>
      </c>
      <c r="E758">
        <v>90001</v>
      </c>
      <c r="F758" t="s">
        <v>487</v>
      </c>
      <c r="G758">
        <f t="shared" si="41"/>
        <v>26</v>
      </c>
      <c r="H758" s="9">
        <f>IF(ISERROR(VLOOKUP(A758,Excel4!D:J,7,0)),0,VLOOKUP(A758,Excel4!D:J,7,0))</f>
        <v>0</v>
      </c>
      <c r="I758" s="15" t="s">
        <v>1777</v>
      </c>
      <c r="J758" s="15" t="s">
        <v>19</v>
      </c>
      <c r="K758" s="15" t="s">
        <v>124</v>
      </c>
      <c r="L758" s="18" t="str">
        <f t="shared" si="42"/>
        <v>GÖL-TÜRKBÜKÜ BELEDİYE BAŞKANLIĞI MUĞLA</v>
      </c>
      <c r="M758" s="18" t="str">
        <f t="shared" si="40"/>
        <v>GÖL-TÜRKBÜKÜ</v>
      </c>
    </row>
    <row r="759" spans="1:13" x14ac:dyDescent="0.25">
      <c r="A759" t="s">
        <v>1556</v>
      </c>
      <c r="B759" t="s">
        <v>704</v>
      </c>
      <c r="C759" t="s">
        <v>289</v>
      </c>
      <c r="D759">
        <v>10</v>
      </c>
      <c r="E759">
        <v>90001</v>
      </c>
      <c r="F759" t="s">
        <v>1557</v>
      </c>
      <c r="G759">
        <f t="shared" si="41"/>
        <v>26</v>
      </c>
      <c r="H759" s="9">
        <f>IF(ISERROR(VLOOKUP(A759,Excel4!D:J,7,0)),0,VLOOKUP(A759,Excel4!D:J,7,0))</f>
        <v>0</v>
      </c>
      <c r="I759" s="15" t="s">
        <v>1777</v>
      </c>
      <c r="J759" s="15" t="s">
        <v>289</v>
      </c>
      <c r="K759" s="15" t="s">
        <v>124</v>
      </c>
      <c r="L759" s="18" t="str">
        <f t="shared" si="42"/>
        <v>GÜMÜŞLÜK BELEDİYE BAŞKANLIĞI MUĞLA</v>
      </c>
      <c r="M759" s="18" t="str">
        <f t="shared" si="40"/>
        <v>GÜMÜŞLÜK</v>
      </c>
    </row>
    <row r="760" spans="1:13" x14ac:dyDescent="0.25">
      <c r="A760" t="s">
        <v>1558</v>
      </c>
      <c r="B760" t="s">
        <v>704</v>
      </c>
      <c r="C760" t="s">
        <v>186</v>
      </c>
      <c r="D760">
        <v>10</v>
      </c>
      <c r="E760">
        <v>90001</v>
      </c>
      <c r="F760" t="s">
        <v>1559</v>
      </c>
      <c r="G760">
        <f t="shared" si="41"/>
        <v>26</v>
      </c>
      <c r="H760" s="9">
        <f>IF(ISERROR(VLOOKUP(A760,Excel4!D:J,7,0)),0,VLOOKUP(A760,Excel4!D:J,7,0))</f>
        <v>0</v>
      </c>
      <c r="I760" s="15" t="s">
        <v>1777</v>
      </c>
      <c r="J760" s="15" t="s">
        <v>186</v>
      </c>
      <c r="K760" s="15" t="s">
        <v>124</v>
      </c>
      <c r="L760" s="18" t="str">
        <f t="shared" si="42"/>
        <v>GÜNDOĞAN BELEDİYE BAŞKANLIĞI MUĞLA</v>
      </c>
      <c r="M760" s="18" t="str">
        <f t="shared" si="40"/>
        <v>GÜNDOĞAN</v>
      </c>
    </row>
    <row r="761" spans="1:13" x14ac:dyDescent="0.25">
      <c r="A761" t="s">
        <v>1560</v>
      </c>
      <c r="B761" t="s">
        <v>704</v>
      </c>
      <c r="C761" t="s">
        <v>171</v>
      </c>
      <c r="D761">
        <v>10</v>
      </c>
      <c r="E761">
        <v>90001</v>
      </c>
      <c r="F761" t="s">
        <v>1561</v>
      </c>
      <c r="G761">
        <f t="shared" si="41"/>
        <v>26</v>
      </c>
      <c r="H761" s="9">
        <f>IF(ISERROR(VLOOKUP(A761,Excel4!D:J,7,0)),0,VLOOKUP(A761,Excel4!D:J,7,0))</f>
        <v>0</v>
      </c>
      <c r="I761" s="15" t="s">
        <v>1777</v>
      </c>
      <c r="J761" s="15" t="s">
        <v>171</v>
      </c>
      <c r="K761" s="15" t="s">
        <v>124</v>
      </c>
      <c r="L761" s="18" t="str">
        <f t="shared" si="42"/>
        <v>İÇMELER BELEDİYE BAŞKANLIĞI MUĞLA</v>
      </c>
      <c r="M761" s="18" t="str">
        <f t="shared" si="40"/>
        <v>İÇMELER</v>
      </c>
    </row>
    <row r="762" spans="1:13" x14ac:dyDescent="0.25">
      <c r="A762" t="s">
        <v>1562</v>
      </c>
      <c r="B762" t="s">
        <v>704</v>
      </c>
      <c r="C762" t="s">
        <v>664</v>
      </c>
      <c r="D762">
        <v>10</v>
      </c>
      <c r="E762">
        <v>90001</v>
      </c>
      <c r="F762" t="s">
        <v>1563</v>
      </c>
      <c r="G762">
        <f t="shared" si="41"/>
        <v>26</v>
      </c>
      <c r="H762" s="9">
        <f>IF(ISERROR(VLOOKUP(A762,Excel4!D:J,7,0)),0,VLOOKUP(A762,Excel4!D:J,7,0))</f>
        <v>0</v>
      </c>
      <c r="I762" s="15" t="s">
        <v>1777</v>
      </c>
      <c r="J762" s="15" t="s">
        <v>664</v>
      </c>
      <c r="K762" s="15" t="s">
        <v>124</v>
      </c>
      <c r="L762" s="18" t="str">
        <f t="shared" si="42"/>
        <v>KARAÇULHA BELEDİYE BAŞKANLIĞI MUĞLA</v>
      </c>
      <c r="M762" s="18" t="str">
        <f t="shared" si="40"/>
        <v>KARAÇULHA</v>
      </c>
    </row>
    <row r="763" spans="1:13" x14ac:dyDescent="0.25">
      <c r="A763" t="s">
        <v>1803</v>
      </c>
      <c r="B763" t="s">
        <v>818</v>
      </c>
      <c r="C763" t="s">
        <v>126</v>
      </c>
      <c r="D763">
        <v>64</v>
      </c>
      <c r="E763">
        <v>90001</v>
      </c>
      <c r="F763" t="s">
        <v>1835</v>
      </c>
      <c r="G763">
        <f t="shared" si="41"/>
        <v>26</v>
      </c>
      <c r="H763" s="9">
        <f>IF(ISERROR(VLOOKUP(A763,Excel4!D:J,7,0)),0,VLOOKUP(A763,Excel4!D:J,7,0))</f>
        <v>0</v>
      </c>
      <c r="I763" s="15" t="s">
        <v>1777</v>
      </c>
      <c r="J763" s="15" t="s">
        <v>1789</v>
      </c>
      <c r="K763" s="15" t="s">
        <v>124</v>
      </c>
      <c r="L763" s="18" t="str">
        <f t="shared" si="42"/>
        <v>KARADERE BELEDİYE BAŞKANLIĞI MUĞLA</v>
      </c>
      <c r="M763" s="18" t="str">
        <f t="shared" si="40"/>
        <v>KARADERE</v>
      </c>
    </row>
    <row r="764" spans="1:13" x14ac:dyDescent="0.25">
      <c r="A764" t="s">
        <v>1564</v>
      </c>
      <c r="B764" t="s">
        <v>704</v>
      </c>
      <c r="C764" t="s">
        <v>165</v>
      </c>
      <c r="D764">
        <v>10</v>
      </c>
      <c r="E764">
        <v>90001</v>
      </c>
      <c r="F764" t="s">
        <v>1565</v>
      </c>
      <c r="G764">
        <f t="shared" si="41"/>
        <v>26</v>
      </c>
      <c r="H764" s="9">
        <f>IF(ISERROR(VLOOKUP(A764,Excel4!D:J,7,0)),0,VLOOKUP(A764,Excel4!D:J,7,0))</f>
        <v>0</v>
      </c>
      <c r="I764" s="15" t="s">
        <v>1777</v>
      </c>
      <c r="J764" s="15" t="s">
        <v>165</v>
      </c>
      <c r="K764" s="15" t="s">
        <v>124</v>
      </c>
      <c r="L764" s="18" t="str">
        <f t="shared" si="42"/>
        <v>KEMER BELEDİYE BAŞKANLIĞI MUĞLA</v>
      </c>
      <c r="M764" s="18" t="str">
        <f t="shared" si="40"/>
        <v>KEMER</v>
      </c>
    </row>
    <row r="765" spans="1:13" x14ac:dyDescent="0.25">
      <c r="A765" t="s">
        <v>1566</v>
      </c>
      <c r="B765" t="s">
        <v>704</v>
      </c>
      <c r="C765" t="s">
        <v>264</v>
      </c>
      <c r="D765">
        <v>10</v>
      </c>
      <c r="E765">
        <v>90001</v>
      </c>
      <c r="F765" t="s">
        <v>1567</v>
      </c>
      <c r="G765">
        <f t="shared" si="41"/>
        <v>26</v>
      </c>
      <c r="H765" s="9">
        <f>IF(ISERROR(VLOOKUP(A765,Excel4!D:J,7,0)),0,VLOOKUP(A765,Excel4!D:J,7,0))</f>
        <v>0</v>
      </c>
      <c r="I765" s="15" t="s">
        <v>1777</v>
      </c>
      <c r="J765" s="15" t="s">
        <v>264</v>
      </c>
      <c r="K765" s="15" t="s">
        <v>124</v>
      </c>
      <c r="L765" s="18" t="str">
        <f t="shared" si="42"/>
        <v>KONACIK BELEDİYE BAŞKANLIĞI MUĞLA</v>
      </c>
      <c r="M765" s="18" t="str">
        <f t="shared" si="40"/>
        <v>KONACIK</v>
      </c>
    </row>
    <row r="766" spans="1:13" x14ac:dyDescent="0.25">
      <c r="A766" t="s">
        <v>1568</v>
      </c>
      <c r="B766" t="s">
        <v>2555</v>
      </c>
      <c r="C766" t="s">
        <v>327</v>
      </c>
      <c r="D766">
        <v>12</v>
      </c>
      <c r="E766">
        <v>90001</v>
      </c>
      <c r="F766" t="s">
        <v>1569</v>
      </c>
      <c r="G766">
        <f t="shared" si="41"/>
        <v>26</v>
      </c>
      <c r="H766" s="9">
        <f>IF(ISERROR(VLOOKUP(A766,Excel4!D:J,7,0)),0,VLOOKUP(A766,Excel4!D:J,7,0))</f>
        <v>0</v>
      </c>
      <c r="I766" s="15" t="s">
        <v>1777</v>
      </c>
      <c r="J766" s="15" t="s">
        <v>327</v>
      </c>
      <c r="K766" s="15" t="s">
        <v>124</v>
      </c>
      <c r="L766" s="18" t="str">
        <f t="shared" si="42"/>
        <v>KÖYCEĞİZ BELEDİYE BAŞKANLIĞI MUĞLA</v>
      </c>
      <c r="M766" s="18" t="str">
        <f t="shared" si="40"/>
        <v>KÖYCEĞİZ</v>
      </c>
    </row>
    <row r="767" spans="1:13" x14ac:dyDescent="0.25">
      <c r="A767" t="s">
        <v>1570</v>
      </c>
      <c r="B767" t="s">
        <v>2555</v>
      </c>
      <c r="C767" t="s">
        <v>127</v>
      </c>
      <c r="D767">
        <v>12</v>
      </c>
      <c r="E767">
        <v>90001</v>
      </c>
      <c r="F767" t="s">
        <v>1571</v>
      </c>
      <c r="G767">
        <f t="shared" si="41"/>
        <v>26</v>
      </c>
      <c r="H767" s="9">
        <f>IF(ISERROR(VLOOKUP(A767,Excel4!D:J,7,0)),0,VLOOKUP(A767,Excel4!D:J,7,0))</f>
        <v>0</v>
      </c>
      <c r="I767" s="15" t="s">
        <v>1777</v>
      </c>
      <c r="J767" s="15" t="s">
        <v>127</v>
      </c>
      <c r="K767" s="15" t="s">
        <v>124</v>
      </c>
      <c r="L767" s="18" t="str">
        <f t="shared" si="42"/>
        <v>MARMARİS BELEDİYE BAŞKANLIĞI MUĞLA</v>
      </c>
      <c r="M767" s="18" t="str">
        <f t="shared" si="40"/>
        <v>MARMARİS</v>
      </c>
    </row>
    <row r="768" spans="1:13" x14ac:dyDescent="0.25">
      <c r="A768" t="s">
        <v>1572</v>
      </c>
      <c r="B768" t="s">
        <v>704</v>
      </c>
      <c r="C768" t="s">
        <v>128</v>
      </c>
      <c r="D768">
        <v>10</v>
      </c>
      <c r="E768">
        <v>90001</v>
      </c>
      <c r="F768" t="s">
        <v>1573</v>
      </c>
      <c r="G768">
        <f t="shared" si="41"/>
        <v>26</v>
      </c>
      <c r="H768" s="9">
        <f>IF(ISERROR(VLOOKUP(A768,Excel4!D:J,7,0)),0,VLOOKUP(A768,Excel4!D:J,7,0))</f>
        <v>0</v>
      </c>
      <c r="I768" s="15" t="s">
        <v>1777</v>
      </c>
      <c r="J768" s="15" t="s">
        <v>128</v>
      </c>
      <c r="K768" s="15" t="s">
        <v>124</v>
      </c>
      <c r="L768" s="18" t="str">
        <f t="shared" si="42"/>
        <v>MİLAS BELEDİYE BAŞKANLIĞI MUĞLA</v>
      </c>
      <c r="M768" s="18" t="str">
        <f t="shared" si="40"/>
        <v>MİLAS</v>
      </c>
    </row>
    <row r="769" spans="1:13" x14ac:dyDescent="0.25">
      <c r="A769" t="s">
        <v>759</v>
      </c>
      <c r="B769" t="s">
        <v>704</v>
      </c>
      <c r="C769" t="s">
        <v>760</v>
      </c>
      <c r="D769">
        <v>10</v>
      </c>
      <c r="E769">
        <v>90001</v>
      </c>
      <c r="F769" t="s">
        <v>761</v>
      </c>
      <c r="G769">
        <f t="shared" si="41"/>
        <v>26</v>
      </c>
      <c r="H769" s="9">
        <f>IF(ISERROR(VLOOKUP(A769,Excel4!D:J,7,0)),0,VLOOKUP(A769,Excel4!D:J,7,0))</f>
        <v>0</v>
      </c>
      <c r="I769" s="15" t="s">
        <v>1777</v>
      </c>
      <c r="J769" s="15" t="s">
        <v>665</v>
      </c>
      <c r="K769" s="15" t="s">
        <v>124</v>
      </c>
      <c r="L769" s="18" t="str">
        <f t="shared" si="42"/>
        <v>MUMCULAR BELEDİYE BAŞKANLIĞI MUĞLA</v>
      </c>
      <c r="M769" s="18" t="str">
        <f t="shared" si="40"/>
        <v>MUMCULAR</v>
      </c>
    </row>
    <row r="770" spans="1:13" x14ac:dyDescent="0.25">
      <c r="A770" t="s">
        <v>1574</v>
      </c>
      <c r="B770" t="s">
        <v>704</v>
      </c>
      <c r="C770" t="s">
        <v>187</v>
      </c>
      <c r="D770">
        <v>10</v>
      </c>
      <c r="E770">
        <v>90001</v>
      </c>
      <c r="F770" t="s">
        <v>1575</v>
      </c>
      <c r="G770">
        <f t="shared" si="41"/>
        <v>26</v>
      </c>
      <c r="H770" s="9">
        <f>IF(ISERROR(VLOOKUP(A770,Excel4!D:J,7,0)),0,VLOOKUP(A770,Excel4!D:J,7,0))</f>
        <v>0</v>
      </c>
      <c r="I770" s="15" t="s">
        <v>1777</v>
      </c>
      <c r="J770" s="15" t="s">
        <v>187</v>
      </c>
      <c r="K770" s="15" t="s">
        <v>124</v>
      </c>
      <c r="L770" s="18" t="str">
        <f t="shared" si="42"/>
        <v>ORTACA BELEDİYE BAŞKANLIĞI MUĞLA</v>
      </c>
      <c r="M770" s="18" t="str">
        <f t="shared" si="40"/>
        <v>ORTACA</v>
      </c>
    </row>
    <row r="771" spans="1:13" x14ac:dyDescent="0.25">
      <c r="A771" t="s">
        <v>1913</v>
      </c>
      <c r="B771" t="s">
        <v>704</v>
      </c>
      <c r="C771" t="s">
        <v>125</v>
      </c>
      <c r="D771">
        <v>10</v>
      </c>
      <c r="E771">
        <v>90001</v>
      </c>
      <c r="F771" t="s">
        <v>1984</v>
      </c>
      <c r="G771">
        <f t="shared" si="41"/>
        <v>26</v>
      </c>
      <c r="H771" s="9">
        <f>IF(ISERROR(VLOOKUP(A771,Excel4!D:J,7,0)),0,VLOOKUP(A771,Excel4!D:J,7,0))</f>
        <v>0</v>
      </c>
      <c r="I771" s="15" t="s">
        <v>1777</v>
      </c>
      <c r="J771" s="15" t="s">
        <v>1893</v>
      </c>
      <c r="K771" s="15" t="s">
        <v>124</v>
      </c>
      <c r="L771" s="18" t="str">
        <f t="shared" si="42"/>
        <v>ORTAKENTYAHŞİ BELEDİYE BAŞKANLIĞI MUĞLA</v>
      </c>
      <c r="M771" s="18" t="str">
        <f t="shared" si="40"/>
        <v>ORTAKENTYAHŞİ</v>
      </c>
    </row>
    <row r="772" spans="1:13" x14ac:dyDescent="0.25">
      <c r="A772" t="s">
        <v>1576</v>
      </c>
      <c r="B772" t="s">
        <v>704</v>
      </c>
      <c r="C772" t="s">
        <v>96</v>
      </c>
      <c r="D772">
        <v>10</v>
      </c>
      <c r="E772">
        <v>90001</v>
      </c>
      <c r="F772" t="s">
        <v>1577</v>
      </c>
      <c r="G772">
        <f t="shared" si="41"/>
        <v>26</v>
      </c>
      <c r="H772" s="9">
        <f>IF(ISERROR(VLOOKUP(A772,Excel4!D:J,7,0)),0,VLOOKUP(A772,Excel4!D:J,7,0))</f>
        <v>0</v>
      </c>
      <c r="I772" s="15" t="s">
        <v>1777</v>
      </c>
      <c r="J772" s="15" t="s">
        <v>96</v>
      </c>
      <c r="K772" s="15" t="s">
        <v>124</v>
      </c>
      <c r="L772" s="18" t="str">
        <f t="shared" si="42"/>
        <v>ÖLÜDENİZ BELEDİYE BAŞKANLIĞI MUĞLA</v>
      </c>
      <c r="M772" s="18" t="str">
        <f t="shared" ref="M772:M835" si="43">IF(J772="MERKEZ",K772,IF(J772="BÜYÜKŞEHİR",K772&amp;" BÜYÜKŞEHİR",J772))</f>
        <v>ÖLÜDENİZ</v>
      </c>
    </row>
    <row r="773" spans="1:13" x14ac:dyDescent="0.25">
      <c r="A773" t="s">
        <v>1578</v>
      </c>
      <c r="B773" t="s">
        <v>704</v>
      </c>
      <c r="C773" t="s">
        <v>180</v>
      </c>
      <c r="D773">
        <v>10</v>
      </c>
      <c r="E773">
        <v>90001</v>
      </c>
      <c r="F773" t="s">
        <v>1579</v>
      </c>
      <c r="G773">
        <f t="shared" ref="G773:G791" si="44">LEN(F773)</f>
        <v>26</v>
      </c>
      <c r="H773" s="9">
        <f>IF(ISERROR(VLOOKUP(A773,Excel4!D:J,7,0)),0,VLOOKUP(A773,Excel4!D:J,7,0))</f>
        <v>0</v>
      </c>
      <c r="I773" s="15" t="s">
        <v>1777</v>
      </c>
      <c r="J773" s="15" t="s">
        <v>180</v>
      </c>
      <c r="K773" s="15" t="s">
        <v>124</v>
      </c>
      <c r="L773" s="18" t="str">
        <f t="shared" si="42"/>
        <v>TURGUTREİS BELEDİYE BAŞKANLIĞI MUĞLA</v>
      </c>
      <c r="M773" s="18" t="str">
        <f t="shared" si="43"/>
        <v>TURGUTREİS</v>
      </c>
    </row>
    <row r="774" spans="1:13" x14ac:dyDescent="0.25">
      <c r="A774" t="s">
        <v>1580</v>
      </c>
      <c r="B774" t="s">
        <v>2555</v>
      </c>
      <c r="C774" t="s">
        <v>228</v>
      </c>
      <c r="D774">
        <v>12</v>
      </c>
      <c r="E774">
        <v>90001</v>
      </c>
      <c r="F774" t="s">
        <v>1581</v>
      </c>
      <c r="G774">
        <f t="shared" si="44"/>
        <v>26</v>
      </c>
      <c r="H774" s="9">
        <f>IF(ISERROR(VLOOKUP(A774,Excel4!D:J,7,0)),0,VLOOKUP(A774,Excel4!D:J,7,0))</f>
        <v>0</v>
      </c>
      <c r="I774" s="15" t="s">
        <v>1777</v>
      </c>
      <c r="J774" s="15" t="s">
        <v>228</v>
      </c>
      <c r="K774" s="15" t="s">
        <v>124</v>
      </c>
      <c r="L774" s="18" t="str">
        <f t="shared" si="42"/>
        <v>TURUNÇ BELEDİYE BAŞKANLIĞI MUĞLA</v>
      </c>
      <c r="M774" s="18" t="str">
        <f t="shared" si="43"/>
        <v>TURUNÇ</v>
      </c>
    </row>
    <row r="775" spans="1:13" x14ac:dyDescent="0.25">
      <c r="A775" t="s">
        <v>762</v>
      </c>
      <c r="B775" t="s">
        <v>704</v>
      </c>
      <c r="C775" t="s">
        <v>0</v>
      </c>
      <c r="D775">
        <v>10</v>
      </c>
      <c r="E775">
        <v>90001</v>
      </c>
      <c r="F775" t="s">
        <v>763</v>
      </c>
      <c r="G775">
        <f t="shared" si="44"/>
        <v>26</v>
      </c>
      <c r="H775" s="9">
        <f>IF(ISERROR(VLOOKUP(A775,Excel4!D:J,7,0)),0,VLOOKUP(A775,Excel4!D:J,7,0))</f>
        <v>0</v>
      </c>
      <c r="I775" s="15" t="s">
        <v>1777</v>
      </c>
      <c r="J775" s="15" t="s">
        <v>0</v>
      </c>
      <c r="K775" s="15" t="s">
        <v>124</v>
      </c>
      <c r="L775" s="18" t="str">
        <f t="shared" si="42"/>
        <v>ULA BELEDİYE BAŞKANLIĞI MUĞLA</v>
      </c>
      <c r="M775" s="18" t="str">
        <f t="shared" si="43"/>
        <v>ULA</v>
      </c>
    </row>
    <row r="776" spans="1:13" x14ac:dyDescent="0.25">
      <c r="A776" t="s">
        <v>1582</v>
      </c>
      <c r="B776" t="s">
        <v>704</v>
      </c>
      <c r="C776" t="s">
        <v>463</v>
      </c>
      <c r="D776">
        <v>10</v>
      </c>
      <c r="E776">
        <v>90001</v>
      </c>
      <c r="F776" t="s">
        <v>1583</v>
      </c>
      <c r="G776">
        <f t="shared" si="44"/>
        <v>26</v>
      </c>
      <c r="H776" s="9">
        <f>IF(ISERROR(VLOOKUP(A776,Excel4!D:J,7,0)),0,VLOOKUP(A776,Excel4!D:J,7,0))</f>
        <v>0</v>
      </c>
      <c r="I776" s="15" t="s">
        <v>1777</v>
      </c>
      <c r="J776" s="15" t="s">
        <v>463</v>
      </c>
      <c r="K776" s="15" t="s">
        <v>124</v>
      </c>
      <c r="L776" s="18" t="str">
        <f t="shared" si="42"/>
        <v>YALI BELEDİYE BAŞKANLIĞI MUĞLA</v>
      </c>
      <c r="M776" s="18" t="str">
        <f t="shared" si="43"/>
        <v>YALI</v>
      </c>
    </row>
    <row r="777" spans="1:13" x14ac:dyDescent="0.25">
      <c r="A777" t="s">
        <v>1725</v>
      </c>
      <c r="B777" t="s">
        <v>2555</v>
      </c>
      <c r="C777" t="s">
        <v>154</v>
      </c>
      <c r="D777">
        <v>12</v>
      </c>
      <c r="E777">
        <v>90001</v>
      </c>
      <c r="F777" t="s">
        <v>419</v>
      </c>
      <c r="G777">
        <f t="shared" si="44"/>
        <v>26</v>
      </c>
      <c r="H777" s="9">
        <f>IF(ISERROR(VLOOKUP(A777,Excel4!D:J,7,0)),0,VLOOKUP(A777,Excel4!D:J,7,0))</f>
        <v>0</v>
      </c>
      <c r="I777" s="15" t="s">
        <v>1777</v>
      </c>
      <c r="J777" s="15" t="s">
        <v>154</v>
      </c>
      <c r="K777" s="15" t="s">
        <v>124</v>
      </c>
      <c r="L777" s="18" t="str">
        <f t="shared" si="42"/>
        <v>YALIKAVAK BELEDİYE BAŞKANLIĞI MUĞLA</v>
      </c>
      <c r="M777" s="18" t="str">
        <f t="shared" si="43"/>
        <v>YALIKAVAK</v>
      </c>
    </row>
    <row r="778" spans="1:13" x14ac:dyDescent="0.25">
      <c r="A778" t="s">
        <v>1584</v>
      </c>
      <c r="B778" t="s">
        <v>2555</v>
      </c>
      <c r="C778" t="s">
        <v>282</v>
      </c>
      <c r="D778">
        <v>12</v>
      </c>
      <c r="E778">
        <v>90001</v>
      </c>
      <c r="F778" t="s">
        <v>1585</v>
      </c>
      <c r="G778">
        <f t="shared" si="44"/>
        <v>26</v>
      </c>
      <c r="H778" s="9">
        <f>IF(ISERROR(VLOOKUP(A778,Excel4!D:J,7,0)),0,VLOOKUP(A778,Excel4!D:J,7,0))</f>
        <v>0</v>
      </c>
      <c r="I778" s="15" t="s">
        <v>1777</v>
      </c>
      <c r="J778" s="15" t="s">
        <v>282</v>
      </c>
      <c r="K778" s="15" t="s">
        <v>124</v>
      </c>
      <c r="L778" s="18" t="str">
        <f t="shared" si="42"/>
        <v>YATAĞAN BELEDİYE BAŞKANLIĞI MUĞLA</v>
      </c>
      <c r="M778" s="18" t="str">
        <f t="shared" si="43"/>
        <v>YATAĞAN</v>
      </c>
    </row>
    <row r="779" spans="1:13" x14ac:dyDescent="0.25">
      <c r="A779" t="s">
        <v>1586</v>
      </c>
      <c r="B779" t="s">
        <v>704</v>
      </c>
      <c r="C779" t="s">
        <v>379</v>
      </c>
      <c r="D779">
        <v>10</v>
      </c>
      <c r="E779">
        <v>90001</v>
      </c>
      <c r="F779" t="s">
        <v>1587</v>
      </c>
      <c r="G779">
        <f t="shared" si="44"/>
        <v>26</v>
      </c>
      <c r="H779" s="9">
        <f>IF(ISERROR(VLOOKUP(A779,Excel4!D:J,7,0)),0,VLOOKUP(A779,Excel4!D:J,7,0))</f>
        <v>0</v>
      </c>
      <c r="I779" s="15" t="s">
        <v>1777</v>
      </c>
      <c r="J779" s="15" t="s">
        <v>379</v>
      </c>
      <c r="K779" s="15" t="s">
        <v>124</v>
      </c>
      <c r="L779" s="18" t="str">
        <f t="shared" si="42"/>
        <v>YEŞİLÜZÜMLÜ BELEDİYE BAŞKANLIĞI MUĞLA</v>
      </c>
      <c r="M779" s="18" t="str">
        <f t="shared" si="43"/>
        <v>YEŞİLÜZÜMLÜ</v>
      </c>
    </row>
    <row r="780" spans="1:13" x14ac:dyDescent="0.25">
      <c r="A780" s="6" t="s">
        <v>1588</v>
      </c>
      <c r="B780" t="s">
        <v>2555</v>
      </c>
      <c r="C780" t="s">
        <v>666</v>
      </c>
      <c r="D780">
        <v>12</v>
      </c>
      <c r="E780">
        <v>90001</v>
      </c>
      <c r="F780" t="s">
        <v>1589</v>
      </c>
      <c r="G780">
        <f t="shared" si="44"/>
        <v>26</v>
      </c>
      <c r="H780" s="9">
        <f>IF(ISERROR(VLOOKUP(A780,Excel4!D:J,7,0)),0,VLOOKUP(A780,Excel4!D:J,7,0))</f>
        <v>0</v>
      </c>
      <c r="I780" s="15" t="s">
        <v>1777</v>
      </c>
      <c r="J780" s="15" t="s">
        <v>666</v>
      </c>
      <c r="K780" s="15" t="s">
        <v>221</v>
      </c>
      <c r="L780" s="18" t="str">
        <f t="shared" si="42"/>
        <v>BULANIK BELEDİYE BAŞKANLIĞI MUŞ</v>
      </c>
      <c r="M780" s="18" t="str">
        <f t="shared" si="43"/>
        <v>BULANIK</v>
      </c>
    </row>
    <row r="781" spans="1:13" x14ac:dyDescent="0.25">
      <c r="A781" t="s">
        <v>2074</v>
      </c>
      <c r="B781" t="s">
        <v>704</v>
      </c>
      <c r="C781" t="s">
        <v>2058</v>
      </c>
      <c r="D781">
        <v>10</v>
      </c>
      <c r="E781">
        <v>90001</v>
      </c>
      <c r="F781" t="s">
        <v>2101</v>
      </c>
      <c r="G781">
        <f t="shared" si="44"/>
        <v>26</v>
      </c>
      <c r="H781" s="9">
        <f>IF(ISERROR(VLOOKUP(A781,Excel4!D:J,7,0)),0,VLOOKUP(A781,Excel4!D:J,7,0))</f>
        <v>0</v>
      </c>
      <c r="I781" s="15" t="s">
        <v>1777</v>
      </c>
      <c r="J781" s="15" t="s">
        <v>2058</v>
      </c>
      <c r="K781" s="15" t="s">
        <v>221</v>
      </c>
      <c r="L781" s="18" t="str">
        <f t="shared" si="42"/>
        <v>HASKÖY BELEDİYE BAŞKANLIĞI MUŞ</v>
      </c>
      <c r="M781" s="18" t="str">
        <f t="shared" si="43"/>
        <v>HASKÖY</v>
      </c>
    </row>
    <row r="782" spans="1:13" x14ac:dyDescent="0.25">
      <c r="A782" t="s">
        <v>764</v>
      </c>
      <c r="B782" t="s">
        <v>704</v>
      </c>
      <c r="C782" t="s">
        <v>221</v>
      </c>
      <c r="D782">
        <v>10</v>
      </c>
      <c r="E782">
        <v>90001</v>
      </c>
      <c r="F782" t="s">
        <v>765</v>
      </c>
      <c r="G782">
        <f t="shared" si="44"/>
        <v>26</v>
      </c>
      <c r="H782" s="9">
        <f>IF(ISERROR(VLOOKUP(A782,Excel4!D:J,7,0)),0,VLOOKUP(A782,Excel4!D:J,7,0))</f>
        <v>0</v>
      </c>
      <c r="I782" s="15" t="s">
        <v>1777</v>
      </c>
      <c r="J782" s="15" t="s">
        <v>667</v>
      </c>
      <c r="K782" s="15" t="s">
        <v>221</v>
      </c>
      <c r="L782" s="18" t="str">
        <f t="shared" si="42"/>
        <v>KIZILAĞAÇ BELEDİYE BAŞKANLIĞI MUŞ</v>
      </c>
      <c r="M782" s="18" t="str">
        <f t="shared" si="43"/>
        <v>KIZILAĞAÇ</v>
      </c>
    </row>
    <row r="783" spans="1:13" x14ac:dyDescent="0.25">
      <c r="A783" t="s">
        <v>2787</v>
      </c>
      <c r="B783" s="19" t="s">
        <v>2555</v>
      </c>
      <c r="C783" s="19" t="s">
        <v>34</v>
      </c>
      <c r="D783">
        <v>12</v>
      </c>
      <c r="E783">
        <v>90001</v>
      </c>
      <c r="F783" s="19" t="s">
        <v>2791</v>
      </c>
      <c r="G783">
        <f t="shared" si="44"/>
        <v>26</v>
      </c>
      <c r="H783" s="9">
        <f>IF(ISERROR(VLOOKUP(A783,Excel4!D:J,7,0)),0,VLOOKUP(A783,Excel4!D:J,7,0))</f>
        <v>0</v>
      </c>
      <c r="I783" s="15" t="s">
        <v>1777</v>
      </c>
      <c r="J783" s="20" t="s">
        <v>2782</v>
      </c>
      <c r="K783" s="20" t="s">
        <v>221</v>
      </c>
      <c r="L783" s="18" t="str">
        <f t="shared" si="42"/>
        <v>KONUKBEKLER BELEDİYE BAŞKANLIĞI MUŞ</v>
      </c>
      <c r="M783" s="18" t="str">
        <f t="shared" si="43"/>
        <v>KONUKBEKLER</v>
      </c>
    </row>
    <row r="784" spans="1:13" x14ac:dyDescent="0.25">
      <c r="A784" t="s">
        <v>2585</v>
      </c>
      <c r="B784" t="s">
        <v>704</v>
      </c>
      <c r="C784" t="s">
        <v>221</v>
      </c>
      <c r="D784">
        <v>10</v>
      </c>
      <c r="E784">
        <v>90001</v>
      </c>
      <c r="F784" t="s">
        <v>2596</v>
      </c>
      <c r="G784">
        <f t="shared" si="44"/>
        <v>26</v>
      </c>
      <c r="H784" s="9">
        <f>IF(ISERROR(VLOOKUP(A784,Excel4!D:J,7,0)),0,VLOOKUP(A784,Excel4!D:J,7,0))</f>
        <v>0</v>
      </c>
      <c r="I784" s="15" t="s">
        <v>1777</v>
      </c>
      <c r="J784" s="15" t="s">
        <v>2421</v>
      </c>
      <c r="K784" s="15" t="s">
        <v>221</v>
      </c>
      <c r="L784" s="18" t="str">
        <f t="shared" si="42"/>
        <v>KORKUT BELEDİYE BAŞKANLIĞI MUŞ</v>
      </c>
      <c r="M784" s="18" t="str">
        <f t="shared" si="43"/>
        <v>KORKUT</v>
      </c>
    </row>
    <row r="785" spans="1:14" x14ac:dyDescent="0.25">
      <c r="A785" t="s">
        <v>2344</v>
      </c>
      <c r="B785" s="19" t="s">
        <v>704</v>
      </c>
      <c r="C785" s="19" t="s">
        <v>2326</v>
      </c>
      <c r="D785">
        <v>10</v>
      </c>
      <c r="E785">
        <v>90001</v>
      </c>
      <c r="F785" t="s">
        <v>2388</v>
      </c>
      <c r="G785">
        <f t="shared" si="44"/>
        <v>26</v>
      </c>
      <c r="H785" s="9">
        <f>IF(ISERROR(VLOOKUP(A785,Excel4!D:J,7,0)),0,VLOOKUP(A785,Excel4!D:J,7,0))</f>
        <v>19.95</v>
      </c>
      <c r="I785" s="15" t="s">
        <v>1777</v>
      </c>
      <c r="J785" s="20" t="s">
        <v>2326</v>
      </c>
      <c r="K785" s="20" t="s">
        <v>221</v>
      </c>
      <c r="L785" s="18" t="str">
        <f t="shared" si="42"/>
        <v>MALAZGİRT BELEDİYE BAŞKANLIĞI MUŞ</v>
      </c>
      <c r="M785" s="18" t="str">
        <f t="shared" si="43"/>
        <v>MALAZGİRT</v>
      </c>
    </row>
    <row r="786" spans="1:14" x14ac:dyDescent="0.25">
      <c r="A786" t="s">
        <v>2032</v>
      </c>
      <c r="B786" t="s">
        <v>704</v>
      </c>
      <c r="C786" t="s">
        <v>124</v>
      </c>
      <c r="D786">
        <v>10</v>
      </c>
      <c r="E786">
        <v>90001</v>
      </c>
      <c r="F786" t="s">
        <v>1773</v>
      </c>
      <c r="G786">
        <f t="shared" si="44"/>
        <v>26</v>
      </c>
      <c r="H786" s="9">
        <f>IF(ISERROR(VLOOKUP(A786,Excel4!D:J,7,0)),0,VLOOKUP(A786,Excel4!D:J,7,0))</f>
        <v>105270.8</v>
      </c>
      <c r="I786" s="15" t="s">
        <v>1777</v>
      </c>
      <c r="J786" s="15" t="s">
        <v>27</v>
      </c>
      <c r="K786" s="15" t="s">
        <v>124</v>
      </c>
      <c r="L786" s="18" t="str">
        <f t="shared" si="42"/>
        <v>MUĞLA BÜYÜKŞEHİR BELEDİYE BAŞKANLIĞI</v>
      </c>
      <c r="M786" s="18" t="str">
        <f t="shared" si="43"/>
        <v>MUĞLA BÜYÜKŞEHİR</v>
      </c>
      <c r="N786">
        <f>_xlfn.XLOOKUP(M786,[1]Sheet1!$A:$A,[1]Sheet1!$G:$G)</f>
        <v>0</v>
      </c>
    </row>
    <row r="787" spans="1:14" x14ac:dyDescent="0.25">
      <c r="A787" t="s">
        <v>2814</v>
      </c>
      <c r="B787" s="19" t="s">
        <v>2555</v>
      </c>
      <c r="C787" s="19" t="s">
        <v>2819</v>
      </c>
      <c r="D787">
        <v>12</v>
      </c>
      <c r="E787">
        <v>90001</v>
      </c>
      <c r="F787" s="19" t="s">
        <v>2818</v>
      </c>
      <c r="G787">
        <f t="shared" si="44"/>
        <v>26</v>
      </c>
      <c r="H787" s="9">
        <f>IF(ISERROR(VLOOKUP(A787,Excel4!D:J,7,0)),0,VLOOKUP(A787,Excel4!D:J,7,0))</f>
        <v>0</v>
      </c>
      <c r="I787" s="15" t="s">
        <v>1777</v>
      </c>
      <c r="J787" s="20" t="s">
        <v>2812</v>
      </c>
      <c r="K787" s="20" t="s">
        <v>221</v>
      </c>
      <c r="L787" s="18" t="str">
        <f t="shared" si="42"/>
        <v>SUNGU BELEDİYE BAŞKANLIĞI MUŞ</v>
      </c>
      <c r="M787" s="18" t="str">
        <f t="shared" si="43"/>
        <v>SUNGU</v>
      </c>
    </row>
    <row r="788" spans="1:14" x14ac:dyDescent="0.25">
      <c r="A788" t="s">
        <v>1726</v>
      </c>
      <c r="B788" t="s">
        <v>699</v>
      </c>
      <c r="C788" t="s">
        <v>34</v>
      </c>
      <c r="D788">
        <v>15</v>
      </c>
      <c r="E788">
        <v>90001</v>
      </c>
      <c r="F788" t="s">
        <v>1727</v>
      </c>
      <c r="G788">
        <f t="shared" si="44"/>
        <v>26</v>
      </c>
      <c r="H788" s="9">
        <f>IF(ISERROR(VLOOKUP(A788,Excel4!D:J,7,0)),0,VLOOKUP(A788,Excel4!D:J,7,0))</f>
        <v>134.79999999999998</v>
      </c>
      <c r="I788" s="15" t="s">
        <v>1777</v>
      </c>
      <c r="J788" s="15" t="s">
        <v>34</v>
      </c>
      <c r="K788" s="15" t="s">
        <v>221</v>
      </c>
      <c r="L788" s="18" t="str">
        <f t="shared" si="42"/>
        <v>MUŞ BELEDİYE BAŞKANLIĞI</v>
      </c>
      <c r="M788" s="18" t="str">
        <f t="shared" si="43"/>
        <v>MUŞ</v>
      </c>
    </row>
    <row r="789" spans="1:14" x14ac:dyDescent="0.25">
      <c r="A789" t="s">
        <v>2663</v>
      </c>
      <c r="B789" t="s">
        <v>704</v>
      </c>
      <c r="C789" t="s">
        <v>221</v>
      </c>
      <c r="D789">
        <v>10</v>
      </c>
      <c r="E789">
        <v>90001</v>
      </c>
      <c r="F789" t="s">
        <v>2674</v>
      </c>
      <c r="G789">
        <f t="shared" si="44"/>
        <v>26</v>
      </c>
      <c r="H789" s="9">
        <f>IF(ISERROR(VLOOKUP(A789,Excel4!D:J,7,0)),0,VLOOKUP(A789,Excel4!D:J,7,0))</f>
        <v>0</v>
      </c>
      <c r="I789" s="15" t="s">
        <v>1777</v>
      </c>
      <c r="J789" s="20" t="s">
        <v>2655</v>
      </c>
      <c r="K789" s="15" t="s">
        <v>221</v>
      </c>
      <c r="L789" s="18" t="str">
        <f t="shared" si="42"/>
        <v>YAYGIN BELEDİYE BAŞKANLIĞI MUŞ</v>
      </c>
      <c r="M789" s="18" t="str">
        <f t="shared" si="43"/>
        <v>YAYGIN</v>
      </c>
    </row>
    <row r="790" spans="1:14" x14ac:dyDescent="0.25">
      <c r="A790" t="s">
        <v>2495</v>
      </c>
      <c r="B790" t="s">
        <v>704</v>
      </c>
      <c r="C790" t="s">
        <v>2426</v>
      </c>
      <c r="D790">
        <v>10</v>
      </c>
      <c r="E790">
        <v>90001</v>
      </c>
      <c r="F790" t="s">
        <v>2496</v>
      </c>
      <c r="G790">
        <f t="shared" si="44"/>
        <v>26</v>
      </c>
      <c r="H790" s="9">
        <f>IF(ISERROR(VLOOKUP(A790,Excel4!D:J,7,0)),0,VLOOKUP(A790,Excel4!D:J,7,0))</f>
        <v>0</v>
      </c>
      <c r="I790" s="15" t="s">
        <v>1777</v>
      </c>
      <c r="J790" s="15" t="s">
        <v>2426</v>
      </c>
      <c r="K790" s="15" t="s">
        <v>221</v>
      </c>
      <c r="L790" s="18" t="str">
        <f t="shared" si="42"/>
        <v>VARTO BELEDİYE BAŞKANLIĞI MUŞ</v>
      </c>
      <c r="M790" s="18" t="str">
        <f t="shared" si="43"/>
        <v>VARTO</v>
      </c>
      <c r="N790">
        <f>_xlfn.XLOOKUP(M790,[1]Sheet1!$A:$A,[1]Sheet1!$G:$G)</f>
        <v>0</v>
      </c>
    </row>
    <row r="791" spans="1:14" x14ac:dyDescent="0.25">
      <c r="A791" t="s">
        <v>2493</v>
      </c>
      <c r="B791" t="s">
        <v>704</v>
      </c>
      <c r="C791" t="s">
        <v>2402</v>
      </c>
      <c r="D791">
        <v>10</v>
      </c>
      <c r="E791">
        <v>90001</v>
      </c>
      <c r="F791" t="s">
        <v>2494</v>
      </c>
      <c r="G791">
        <f t="shared" si="44"/>
        <v>26</v>
      </c>
      <c r="H791" s="9">
        <f>IF(ISERROR(VLOOKUP(A791,Excel4!D:J,7,0)),0,VLOOKUP(A791,Excel4!D:J,7,0))</f>
        <v>72.27000000000001</v>
      </c>
      <c r="I791" s="15" t="s">
        <v>1777</v>
      </c>
      <c r="J791" s="15" t="s">
        <v>2402</v>
      </c>
      <c r="K791" s="15" t="s">
        <v>191</v>
      </c>
      <c r="L791" s="18" t="str">
        <f t="shared" si="42"/>
        <v>ACIGÖL BELEDİYE BAŞKANLIĞI NEVŞEHİR</v>
      </c>
      <c r="M791" s="18" t="str">
        <f t="shared" si="43"/>
        <v>ACIGÖL</v>
      </c>
    </row>
    <row r="792" spans="1:14" x14ac:dyDescent="0.25">
      <c r="A792" s="19" t="s">
        <v>3061</v>
      </c>
      <c r="B792" s="19" t="s">
        <v>2555</v>
      </c>
      <c r="C792" t="s">
        <v>668</v>
      </c>
      <c r="D792">
        <v>12</v>
      </c>
      <c r="F792" t="s">
        <v>3063</v>
      </c>
      <c r="G792">
        <f>LEN(F790)</f>
        <v>26</v>
      </c>
      <c r="H792" s="9">
        <f>IF(ISERROR(VLOOKUP(A792,Excel4!D:J,7,0)),0,VLOOKUP(A792,Excel4!D:J,7,0))</f>
        <v>0</v>
      </c>
      <c r="I792" s="15" t="s">
        <v>1777</v>
      </c>
      <c r="J792" s="20" t="s">
        <v>3055</v>
      </c>
      <c r="K792" s="15" t="s">
        <v>191</v>
      </c>
      <c r="L792" s="18" t="str">
        <f t="shared" si="42"/>
        <v>ÇALIŞ BELEDİYE BAŞKANLIĞI NEVŞEHİR</v>
      </c>
      <c r="M792" s="18" t="str">
        <f t="shared" si="43"/>
        <v>ÇALIŞ</v>
      </c>
    </row>
    <row r="793" spans="1:14" x14ac:dyDescent="0.25">
      <c r="A793" t="s">
        <v>2775</v>
      </c>
      <c r="B793" t="s">
        <v>2555</v>
      </c>
      <c r="C793" t="s">
        <v>191</v>
      </c>
      <c r="D793">
        <v>12</v>
      </c>
      <c r="E793">
        <v>90001</v>
      </c>
      <c r="F793" t="s">
        <v>2779</v>
      </c>
      <c r="G793">
        <f t="shared" ref="G793:G856" si="45">LEN(F793)</f>
        <v>26</v>
      </c>
      <c r="H793" s="9">
        <f>IF(ISERROR(VLOOKUP(A793,Excel4!D:J,7,0)),0,VLOOKUP(A793,Excel4!D:J,7,0))</f>
        <v>0</v>
      </c>
      <c r="I793" s="15" t="s">
        <v>1777</v>
      </c>
      <c r="J793" s="15" t="s">
        <v>576</v>
      </c>
      <c r="K793" s="15" t="s">
        <v>191</v>
      </c>
      <c r="L793" s="18" t="str">
        <f t="shared" si="42"/>
        <v>ÇAT BELEDİYE BAŞKANLIĞI NEVŞEHİR</v>
      </c>
      <c r="M793" s="18" t="str">
        <f t="shared" si="43"/>
        <v>ÇAT</v>
      </c>
    </row>
    <row r="794" spans="1:14" x14ac:dyDescent="0.25">
      <c r="A794" t="s">
        <v>2290</v>
      </c>
      <c r="B794" t="s">
        <v>2555</v>
      </c>
      <c r="C794" t="s">
        <v>668</v>
      </c>
      <c r="D794">
        <v>12</v>
      </c>
      <c r="E794">
        <v>90001</v>
      </c>
      <c r="F794" t="s">
        <v>1728</v>
      </c>
      <c r="G794">
        <f t="shared" si="45"/>
        <v>26</v>
      </c>
      <c r="H794" s="9">
        <f>IF(ISERROR(VLOOKUP(A794,Excel4!D:J,7,0)),0,VLOOKUP(A794,Excel4!D:J,7,0))</f>
        <v>3723.84</v>
      </c>
      <c r="I794" s="15" t="s">
        <v>1777</v>
      </c>
      <c r="J794" s="15" t="s">
        <v>668</v>
      </c>
      <c r="K794" s="15" t="s">
        <v>191</v>
      </c>
      <c r="L794" s="18" t="str">
        <f t="shared" si="42"/>
        <v>AVANOS BELEDİYE BAŞKANLIĞI NEVŞEHİR</v>
      </c>
      <c r="M794" s="18" t="str">
        <f t="shared" si="43"/>
        <v>AVANOS</v>
      </c>
      <c r="N794">
        <f>_xlfn.XLOOKUP(M794,[1]Sheet1!$A:$A,[1]Sheet1!$G:$G)</f>
        <v>0</v>
      </c>
    </row>
    <row r="795" spans="1:14" x14ac:dyDescent="0.25">
      <c r="A795" t="s">
        <v>2592</v>
      </c>
      <c r="B795" t="s">
        <v>699</v>
      </c>
      <c r="C795" t="s">
        <v>191</v>
      </c>
      <c r="D795">
        <v>15</v>
      </c>
      <c r="E795">
        <v>90001</v>
      </c>
      <c r="F795" t="s">
        <v>2595</v>
      </c>
      <c r="G795">
        <f t="shared" si="45"/>
        <v>26</v>
      </c>
      <c r="H795" s="9">
        <f>IF(ISERROR(VLOOKUP(A795,Excel4!D:J,7,0)),0,VLOOKUP(A795,Excel4!D:J,7,0))</f>
        <v>0</v>
      </c>
      <c r="I795" s="15" t="s">
        <v>1777</v>
      </c>
      <c r="J795" s="15" t="s">
        <v>2591</v>
      </c>
      <c r="K795" s="15" t="s">
        <v>191</v>
      </c>
      <c r="L795" s="18" t="str">
        <f t="shared" si="42"/>
        <v>GÖRE BELEDİYE BAŞKANLIĞI NEVŞEHİR</v>
      </c>
      <c r="M795" s="18" t="str">
        <f t="shared" si="43"/>
        <v>GÖRE</v>
      </c>
    </row>
    <row r="796" spans="1:14" x14ac:dyDescent="0.25">
      <c r="A796" t="s">
        <v>2011</v>
      </c>
      <c r="B796" t="s">
        <v>704</v>
      </c>
      <c r="C796" t="s">
        <v>191</v>
      </c>
      <c r="D796">
        <v>10</v>
      </c>
      <c r="E796">
        <v>90001</v>
      </c>
      <c r="F796" t="s">
        <v>2045</v>
      </c>
      <c r="G796">
        <f t="shared" si="45"/>
        <v>26</v>
      </c>
      <c r="H796" s="9">
        <f>IF(ISERROR(VLOOKUP(A796,Excel4!D:J,7,0)),0,VLOOKUP(A796,Excel4!D:J,7,0))</f>
        <v>0</v>
      </c>
      <c r="I796" s="15" t="s">
        <v>1777</v>
      </c>
      <c r="J796" s="15" t="s">
        <v>2000</v>
      </c>
      <c r="K796" s="15" t="s">
        <v>191</v>
      </c>
      <c r="L796" s="18" t="str">
        <f t="shared" si="42"/>
        <v>GÖREME BELEDİYE BAŞKANLIĞI NEVŞEHİR</v>
      </c>
      <c r="M796" s="18" t="str">
        <f t="shared" si="43"/>
        <v>GÖREME</v>
      </c>
    </row>
    <row r="797" spans="1:14" x14ac:dyDescent="0.25">
      <c r="A797" t="s">
        <v>2291</v>
      </c>
      <c r="B797" t="s">
        <v>704</v>
      </c>
      <c r="C797" t="s">
        <v>669</v>
      </c>
      <c r="D797">
        <v>10</v>
      </c>
      <c r="E797">
        <v>90001</v>
      </c>
      <c r="F797" t="s">
        <v>1590</v>
      </c>
      <c r="G797">
        <f t="shared" si="45"/>
        <v>26</v>
      </c>
      <c r="H797" s="9">
        <f>IF(ISERROR(VLOOKUP(A797,Excel4!D:J,7,0)),0,VLOOKUP(A797,Excel4!D:J,7,0))</f>
        <v>44.78</v>
      </c>
      <c r="I797" s="15" t="s">
        <v>1777</v>
      </c>
      <c r="J797" s="15" t="s">
        <v>669</v>
      </c>
      <c r="K797" s="15" t="s">
        <v>191</v>
      </c>
      <c r="L797" s="18" t="str">
        <f t="shared" si="42"/>
        <v>DERİNKUYU BELEDİYE BAŞKANLIĞI NEVŞEHİR</v>
      </c>
      <c r="M797" s="18" t="str">
        <f t="shared" si="43"/>
        <v>DERİNKUYU</v>
      </c>
      <c r="N797">
        <f>_xlfn.XLOOKUP(M797,[1]Sheet1!$A:$A,[1]Sheet1!$G:$G)</f>
        <v>0</v>
      </c>
    </row>
    <row r="798" spans="1:14" x14ac:dyDescent="0.25">
      <c r="A798" t="s">
        <v>1591</v>
      </c>
      <c r="B798" t="s">
        <v>704</v>
      </c>
      <c r="C798" t="s">
        <v>670</v>
      </c>
      <c r="D798">
        <v>10</v>
      </c>
      <c r="E798">
        <v>90001</v>
      </c>
      <c r="F798" t="s">
        <v>1592</v>
      </c>
      <c r="G798">
        <f t="shared" si="45"/>
        <v>26</v>
      </c>
      <c r="H798" s="9">
        <f>IF(ISERROR(VLOOKUP(A798,Excel4!D:J,7,0)),0,VLOOKUP(A798,Excel4!D:J,7,0))</f>
        <v>210.17000000000002</v>
      </c>
      <c r="I798" s="15" t="s">
        <v>1777</v>
      </c>
      <c r="J798" s="15" t="s">
        <v>670</v>
      </c>
      <c r="K798" s="15" t="s">
        <v>191</v>
      </c>
      <c r="L798" s="18" t="str">
        <f t="shared" si="42"/>
        <v>GÜLŞEHİR BELEDİYE BAŞKANLIĞI NEVŞEHİR</v>
      </c>
      <c r="M798" s="18" t="str">
        <f t="shared" si="43"/>
        <v>GÜLŞEHİR</v>
      </c>
      <c r="N798">
        <f>_xlfn.XLOOKUP(M798,[1]Sheet1!$A:$A,[1]Sheet1!$G:$G)</f>
        <v>0</v>
      </c>
    </row>
    <row r="799" spans="1:14" x14ac:dyDescent="0.25">
      <c r="A799" t="s">
        <v>2847</v>
      </c>
      <c r="B799" t="s">
        <v>2477</v>
      </c>
      <c r="C799" t="s">
        <v>191</v>
      </c>
      <c r="D799">
        <v>32</v>
      </c>
      <c r="E799">
        <v>90001</v>
      </c>
      <c r="F799" t="s">
        <v>2848</v>
      </c>
      <c r="G799">
        <f t="shared" si="45"/>
        <v>26</v>
      </c>
      <c r="H799" s="9">
        <f>IF(ISERROR(VLOOKUP(A799,Excel4!D:J,7,0)),0,VLOOKUP(A799,Excel4!D:J,7,0))</f>
        <v>0</v>
      </c>
      <c r="I799" s="15" t="s">
        <v>1777</v>
      </c>
      <c r="J799" s="15" t="s">
        <v>2416</v>
      </c>
      <c r="K799" s="15" t="s">
        <v>191</v>
      </c>
      <c r="L799" s="18" t="str">
        <f t="shared" si="42"/>
        <v>KAVAK BELEDİYE BAŞKANLIĞI NEVŞEHİR</v>
      </c>
      <c r="M799" s="18" t="str">
        <f t="shared" si="43"/>
        <v>KAVAK</v>
      </c>
    </row>
    <row r="800" spans="1:14" x14ac:dyDescent="0.25">
      <c r="A800" t="s">
        <v>2164</v>
      </c>
      <c r="B800" t="s">
        <v>704</v>
      </c>
      <c r="C800" s="19" t="s">
        <v>669</v>
      </c>
      <c r="D800">
        <v>10</v>
      </c>
      <c r="E800">
        <v>90001</v>
      </c>
      <c r="F800" t="s">
        <v>2165</v>
      </c>
      <c r="G800">
        <f t="shared" si="45"/>
        <v>26</v>
      </c>
      <c r="H800" s="9">
        <f>IF(ISERROR(VLOOKUP(A800,Excel4!D:J,7,0)),0,VLOOKUP(A800,Excel4!D:J,7,0))</f>
        <v>0</v>
      </c>
      <c r="I800" s="15" t="s">
        <v>1777</v>
      </c>
      <c r="J800" s="20" t="s">
        <v>2157</v>
      </c>
      <c r="K800" s="20" t="s">
        <v>191</v>
      </c>
      <c r="L800" s="18" t="str">
        <f t="shared" si="42"/>
        <v>KAYMAKLI BELEDİYE BAŞKANLIĞI NEVŞEHİR</v>
      </c>
      <c r="M800" s="18" t="str">
        <f t="shared" si="43"/>
        <v>KAYMAKLI</v>
      </c>
    </row>
    <row r="801" spans="1:14" x14ac:dyDescent="0.25">
      <c r="A801" t="s">
        <v>2292</v>
      </c>
      <c r="B801" t="s">
        <v>818</v>
      </c>
      <c r="C801" t="s">
        <v>671</v>
      </c>
      <c r="D801">
        <v>64</v>
      </c>
      <c r="E801">
        <v>90001</v>
      </c>
      <c r="F801" t="s">
        <v>1729</v>
      </c>
      <c r="G801">
        <f t="shared" si="45"/>
        <v>26</v>
      </c>
      <c r="H801" s="9">
        <f>IF(ISERROR(VLOOKUP(A801,Excel4!D:J,7,0)),0,VLOOKUP(A801,Excel4!D:J,7,0))</f>
        <v>0</v>
      </c>
      <c r="I801" s="15" t="s">
        <v>1777</v>
      </c>
      <c r="J801" s="15" t="s">
        <v>671</v>
      </c>
      <c r="K801" s="15" t="s">
        <v>191</v>
      </c>
      <c r="L801" s="18" t="str">
        <f t="shared" si="42"/>
        <v>HACIBEKTAŞ BELEDİYE BAŞKANLIĞI NEVŞEHİR</v>
      </c>
      <c r="M801" s="18" t="str">
        <f t="shared" si="43"/>
        <v>HACIBEKTAŞ</v>
      </c>
    </row>
    <row r="802" spans="1:14" x14ac:dyDescent="0.25">
      <c r="A802" t="s">
        <v>1593</v>
      </c>
      <c r="B802" t="s">
        <v>704</v>
      </c>
      <c r="C802" t="s">
        <v>464</v>
      </c>
      <c r="D802">
        <v>10</v>
      </c>
      <c r="E802">
        <v>90001</v>
      </c>
      <c r="F802" t="s">
        <v>2390</v>
      </c>
      <c r="G802">
        <f t="shared" si="45"/>
        <v>26</v>
      </c>
      <c r="H802" s="9">
        <f>IF(ISERROR(VLOOKUP(A802,Excel4!D:J,7,0)),0,VLOOKUP(A802,Excel4!D:J,7,0))</f>
        <v>0</v>
      </c>
      <c r="I802" s="15" t="s">
        <v>1777</v>
      </c>
      <c r="J802" s="15" t="s">
        <v>464</v>
      </c>
      <c r="K802" s="15" t="s">
        <v>191</v>
      </c>
      <c r="L802" s="18" t="str">
        <f t="shared" si="42"/>
        <v>KOZAKLI BELEDİYE BAŞKANLIĞI NEVŞEHİR</v>
      </c>
      <c r="M802" s="18" t="str">
        <f t="shared" si="43"/>
        <v>KOZAKLI</v>
      </c>
      <c r="N802">
        <f>_xlfn.XLOOKUP(M802,[1]Sheet1!$A:$A,[1]Sheet1!$G:$G)</f>
        <v>0</v>
      </c>
    </row>
    <row r="803" spans="1:14" x14ac:dyDescent="0.25">
      <c r="A803" s="19" t="s">
        <v>3084</v>
      </c>
      <c r="B803" t="s">
        <v>2555</v>
      </c>
      <c r="C803" t="s">
        <v>191</v>
      </c>
      <c r="D803">
        <v>12</v>
      </c>
      <c r="E803">
        <v>90001</v>
      </c>
      <c r="F803" t="s">
        <v>2762</v>
      </c>
      <c r="G803">
        <f t="shared" si="45"/>
        <v>26</v>
      </c>
      <c r="H803" s="9">
        <f>IF(ISERROR(VLOOKUP(A803,Excel4!D:J,7,0)),0,VLOOKUP(A803,Excel4!D:J,7,0))</f>
        <v>0</v>
      </c>
      <c r="I803" s="15" t="s">
        <v>1777</v>
      </c>
      <c r="J803" s="15" t="s">
        <v>672</v>
      </c>
      <c r="K803" s="15" t="s">
        <v>191</v>
      </c>
      <c r="L803" s="18" t="str">
        <f t="shared" si="42"/>
        <v>NARKÖY BELEDİYE BAŞKANLIĞI NEVŞEHİR</v>
      </c>
      <c r="M803" s="18" t="str">
        <f t="shared" si="43"/>
        <v>NARKÖY</v>
      </c>
    </row>
    <row r="804" spans="1:14" x14ac:dyDescent="0.25">
      <c r="A804" t="s">
        <v>2824</v>
      </c>
      <c r="B804" t="s">
        <v>699</v>
      </c>
      <c r="C804" t="s">
        <v>309</v>
      </c>
      <c r="D804">
        <v>15</v>
      </c>
      <c r="E804">
        <v>90001</v>
      </c>
      <c r="F804" t="s">
        <v>2825</v>
      </c>
      <c r="G804">
        <f t="shared" si="45"/>
        <v>26</v>
      </c>
      <c r="H804" s="9">
        <f>IF(ISERROR(VLOOKUP(A804,Excel4!D:J,7,0)),0,VLOOKUP(A804,Excel4!D:J,7,0))</f>
        <v>0</v>
      </c>
      <c r="I804" s="15" t="s">
        <v>1777</v>
      </c>
      <c r="J804" s="15" t="s">
        <v>2822</v>
      </c>
      <c r="K804" s="15" t="s">
        <v>191</v>
      </c>
      <c r="L804" s="18" t="str">
        <f t="shared" ref="L804:L867" si="46">IF(J804="MERKEZ",K804&amp;" "&amp;I804,IF(J804="BÜYÜKŞEHİR",K804&amp;" "&amp;J804&amp;" "&amp;I804,J804&amp;" "&amp;I804&amp;" "&amp;K804))</f>
        <v>ORTAHİSAR BELEDİYE BAŞKANLIĞI NEVŞEHİR</v>
      </c>
      <c r="M804" s="18" t="str">
        <f t="shared" si="43"/>
        <v>ORTAHİSAR</v>
      </c>
    </row>
    <row r="805" spans="1:14" x14ac:dyDescent="0.25">
      <c r="A805" t="s">
        <v>3085</v>
      </c>
      <c r="B805" t="s">
        <v>704</v>
      </c>
      <c r="C805" t="s">
        <v>668</v>
      </c>
      <c r="D805">
        <v>10</v>
      </c>
      <c r="E805">
        <v>90001</v>
      </c>
      <c r="F805" t="s">
        <v>3088</v>
      </c>
      <c r="G805">
        <f t="shared" si="45"/>
        <v>26</v>
      </c>
      <c r="H805" s="9">
        <f>IF(ISERROR(VLOOKUP(A805,Excel4!D:J,7,0)),0,VLOOKUP(A805,Excel4!D:J,7,0))</f>
        <v>0</v>
      </c>
      <c r="I805" s="15" t="s">
        <v>1777</v>
      </c>
      <c r="J805" s="20" t="s">
        <v>3074</v>
      </c>
      <c r="K805" s="20" t="s">
        <v>191</v>
      </c>
      <c r="L805" s="18" t="str">
        <f t="shared" si="46"/>
        <v>ÖZKONAK BELEDİYE BAŞKANLIĞI NEVŞEHİR</v>
      </c>
      <c r="M805" s="18" t="str">
        <f t="shared" si="43"/>
        <v>ÖZKONAK</v>
      </c>
    </row>
    <row r="806" spans="1:14" x14ac:dyDescent="0.25">
      <c r="A806" t="s">
        <v>3171</v>
      </c>
      <c r="B806" t="s">
        <v>704</v>
      </c>
      <c r="C806" t="s">
        <v>191</v>
      </c>
      <c r="D806">
        <v>10</v>
      </c>
      <c r="E806">
        <v>90001</v>
      </c>
      <c r="F806" t="s">
        <v>3194</v>
      </c>
      <c r="G806">
        <f t="shared" si="45"/>
        <v>26</v>
      </c>
      <c r="H806" s="9">
        <f>IF(ISERROR(VLOOKUP(A806,Excel4!D:J,7,0)),0,VLOOKUP(A806,Excel4!D:J,7,0))</f>
        <v>0</v>
      </c>
      <c r="I806" s="15" t="s">
        <v>1777</v>
      </c>
      <c r="J806" s="15" t="s">
        <v>3164</v>
      </c>
      <c r="K806" s="15" t="s">
        <v>191</v>
      </c>
      <c r="L806" s="18" t="str">
        <f t="shared" si="46"/>
        <v>SULUSARAY BELEDİYE BAŞKANLIĞI NEVŞEHİR</v>
      </c>
      <c r="M806" s="18" t="str">
        <f t="shared" si="43"/>
        <v>SULUSARAY</v>
      </c>
    </row>
    <row r="807" spans="1:14" x14ac:dyDescent="0.25">
      <c r="A807" s="19" t="s">
        <v>2991</v>
      </c>
      <c r="B807" t="s">
        <v>818</v>
      </c>
      <c r="C807" t="s">
        <v>191</v>
      </c>
      <c r="D807">
        <v>64</v>
      </c>
      <c r="E807">
        <v>90001</v>
      </c>
      <c r="F807" t="s">
        <v>2992</v>
      </c>
      <c r="G807">
        <f t="shared" si="45"/>
        <v>26</v>
      </c>
      <c r="H807" s="9">
        <f>IF(ISERROR(VLOOKUP(A807,Excel4!D:J,7,0)),0,VLOOKUP(A807,Excel4!D:J,7,0))</f>
        <v>0</v>
      </c>
      <c r="I807" s="15" t="s">
        <v>1777</v>
      </c>
      <c r="J807" s="20" t="s">
        <v>2990</v>
      </c>
      <c r="K807" s="15" t="s">
        <v>191</v>
      </c>
      <c r="L807" s="18" t="str">
        <f t="shared" si="46"/>
        <v>TATLARİN BELEDİYE BAŞKANLIĞI NEVŞEHİR</v>
      </c>
      <c r="M807" s="18" t="str">
        <f t="shared" si="43"/>
        <v>TATLARİN</v>
      </c>
    </row>
    <row r="808" spans="1:14" x14ac:dyDescent="0.25">
      <c r="A808" t="s">
        <v>2879</v>
      </c>
      <c r="B808" t="s">
        <v>704</v>
      </c>
      <c r="C808" t="s">
        <v>2882</v>
      </c>
      <c r="D808">
        <v>10</v>
      </c>
      <c r="E808">
        <v>90001</v>
      </c>
      <c r="F808" t="s">
        <v>2881</v>
      </c>
      <c r="G808">
        <f t="shared" si="45"/>
        <v>26</v>
      </c>
      <c r="H808" s="9">
        <f>IF(ISERROR(VLOOKUP(A808,Excel4!D:J,7,0)),0,VLOOKUP(A808,Excel4!D:J,7,0))</f>
        <v>0</v>
      </c>
      <c r="I808" s="15" t="s">
        <v>1777</v>
      </c>
      <c r="J808" s="15" t="s">
        <v>2867</v>
      </c>
      <c r="K808" s="15" t="s">
        <v>191</v>
      </c>
      <c r="L808" s="18" t="str">
        <f t="shared" si="46"/>
        <v>UÇHİSAR BELEDİYE BAŞKANLIĞI NEVŞEHİR</v>
      </c>
      <c r="M808" s="18" t="str">
        <f t="shared" si="43"/>
        <v>UÇHİSAR</v>
      </c>
    </row>
    <row r="809" spans="1:14" x14ac:dyDescent="0.25">
      <c r="A809" t="s">
        <v>1730</v>
      </c>
      <c r="B809" t="s">
        <v>699</v>
      </c>
      <c r="C809" t="s">
        <v>34</v>
      </c>
      <c r="D809">
        <v>15</v>
      </c>
      <c r="E809">
        <v>90001</v>
      </c>
      <c r="F809" t="s">
        <v>409</v>
      </c>
      <c r="G809">
        <f t="shared" si="45"/>
        <v>26</v>
      </c>
      <c r="H809" s="9">
        <f>IF(ISERROR(VLOOKUP(A809,Excel4!D:J,7,0)),0,VLOOKUP(A809,Excel4!D:J,7,0))</f>
        <v>3575.2300000000005</v>
      </c>
      <c r="I809" s="15" t="s">
        <v>1777</v>
      </c>
      <c r="J809" s="15" t="s">
        <v>34</v>
      </c>
      <c r="K809" s="15" t="s">
        <v>191</v>
      </c>
      <c r="L809" s="18" t="str">
        <f t="shared" si="46"/>
        <v>NEVŞEHİR BELEDİYE BAŞKANLIĞI</v>
      </c>
      <c r="M809" s="18" t="str">
        <f t="shared" si="43"/>
        <v>NEVŞEHİR</v>
      </c>
      <c r="N809" t="e">
        <f>_xlfn.XLOOKUP(M809,[1]Sheet1!$C:$C,[1]Sheet1!$G:$G)</f>
        <v>#N/A</v>
      </c>
    </row>
    <row r="810" spans="1:14" x14ac:dyDescent="0.25">
      <c r="A810" t="s">
        <v>2545</v>
      </c>
      <c r="B810" t="s">
        <v>704</v>
      </c>
      <c r="C810" t="s">
        <v>669</v>
      </c>
      <c r="D810">
        <v>10</v>
      </c>
      <c r="E810">
        <v>90001</v>
      </c>
      <c r="F810" t="s">
        <v>2571</v>
      </c>
      <c r="G810">
        <f t="shared" si="45"/>
        <v>26</v>
      </c>
      <c r="H810" s="9">
        <f>IF(ISERROR(VLOOKUP(A810,Excel4!D:J,7,0)),0,VLOOKUP(A810,Excel4!D:J,7,0))</f>
        <v>0</v>
      </c>
      <c r="I810" s="15" t="s">
        <v>1777</v>
      </c>
      <c r="J810" s="15" t="s">
        <v>2424</v>
      </c>
      <c r="K810" s="15" t="s">
        <v>191</v>
      </c>
      <c r="L810" s="18" t="str">
        <f t="shared" si="46"/>
        <v>YAZIHÜYÜK BELEDİYE BAŞKANLIĞI NEVŞEHİR</v>
      </c>
      <c r="M810" s="18" t="str">
        <f t="shared" si="43"/>
        <v>YAZIHÜYÜK</v>
      </c>
    </row>
    <row r="811" spans="1:14" x14ac:dyDescent="0.25">
      <c r="A811" t="s">
        <v>2703</v>
      </c>
      <c r="B811" t="s">
        <v>704</v>
      </c>
      <c r="C811" t="s">
        <v>192</v>
      </c>
      <c r="D811">
        <v>10</v>
      </c>
      <c r="E811">
        <v>90001</v>
      </c>
      <c r="F811" t="s">
        <v>2707</v>
      </c>
      <c r="G811">
        <f t="shared" si="45"/>
        <v>26</v>
      </c>
      <c r="H811" s="9">
        <f>IF(ISERROR(VLOOKUP(A811,Excel4!D:J,7,0)),0,VLOOKUP(A811,Excel4!D:J,7,0))</f>
        <v>0</v>
      </c>
      <c r="I811" s="15" t="s">
        <v>1777</v>
      </c>
      <c r="J811" s="15" t="s">
        <v>2699</v>
      </c>
      <c r="K811" s="15" t="s">
        <v>192</v>
      </c>
      <c r="L811" s="18" t="str">
        <f t="shared" si="46"/>
        <v>AKTAŞ BELEDİYE BAŞKANLIĞI NİĞDE</v>
      </c>
      <c r="M811" s="18" t="str">
        <f t="shared" si="43"/>
        <v>AKTAŞ</v>
      </c>
    </row>
    <row r="812" spans="1:14" x14ac:dyDescent="0.25">
      <c r="A812" t="s">
        <v>3041</v>
      </c>
      <c r="B812" s="19" t="s">
        <v>2555</v>
      </c>
      <c r="C812" s="19" t="s">
        <v>192</v>
      </c>
      <c r="D812">
        <v>12</v>
      </c>
      <c r="E812">
        <v>90001</v>
      </c>
      <c r="F812" s="19" t="s">
        <v>3045</v>
      </c>
      <c r="G812">
        <f t="shared" si="45"/>
        <v>26</v>
      </c>
      <c r="H812" s="9">
        <f>IF(ISERROR(VLOOKUP(A812,Excel4!D:J,7,0)),0,VLOOKUP(A812,Excel4!D:J,7,0))</f>
        <v>0</v>
      </c>
      <c r="I812" s="15" t="s">
        <v>1777</v>
      </c>
      <c r="J812" s="20" t="s">
        <v>3034</v>
      </c>
      <c r="K812" s="15" t="s">
        <v>192</v>
      </c>
      <c r="L812" s="18" t="str">
        <f t="shared" si="46"/>
        <v>ALAY BELEDİYE BAŞKANLIĞI NİĞDE</v>
      </c>
      <c r="M812" s="18" t="str">
        <f t="shared" si="43"/>
        <v>ALAY</v>
      </c>
    </row>
    <row r="813" spans="1:14" x14ac:dyDescent="0.25">
      <c r="A813" t="s">
        <v>1731</v>
      </c>
      <c r="B813" t="s">
        <v>699</v>
      </c>
      <c r="C813" t="s">
        <v>309</v>
      </c>
      <c r="D813">
        <v>15</v>
      </c>
      <c r="E813">
        <v>90001</v>
      </c>
      <c r="F813" t="s">
        <v>420</v>
      </c>
      <c r="G813">
        <f t="shared" si="45"/>
        <v>26</v>
      </c>
      <c r="H813" s="9">
        <f>IF(ISERROR(VLOOKUP(A813,Excel4!D:J,7,0)),0,VLOOKUP(A813,Excel4!D:J,7,0))</f>
        <v>696.24</v>
      </c>
      <c r="I813" s="15" t="s">
        <v>1777</v>
      </c>
      <c r="J813" s="15" t="s">
        <v>309</v>
      </c>
      <c r="K813" s="15" t="s">
        <v>191</v>
      </c>
      <c r="L813" s="18" t="str">
        <f t="shared" si="46"/>
        <v>ÜRGÜP BELEDİYE BAŞKANLIĞI NEVŞEHİR</v>
      </c>
      <c r="M813" s="18" t="str">
        <f t="shared" si="43"/>
        <v>ÜRGÜP</v>
      </c>
      <c r="N813">
        <f>_xlfn.XLOOKUP(M813,[1]Sheet1!$A:$A,[1]Sheet1!$G:$G)</f>
        <v>0</v>
      </c>
    </row>
    <row r="814" spans="1:14" x14ac:dyDescent="0.25">
      <c r="A814" t="s">
        <v>2741</v>
      </c>
      <c r="B814" t="s">
        <v>704</v>
      </c>
      <c r="C814" t="s">
        <v>334</v>
      </c>
      <c r="D814">
        <v>10</v>
      </c>
      <c r="E814">
        <v>90001</v>
      </c>
      <c r="F814" t="s">
        <v>2742</v>
      </c>
      <c r="G814">
        <f t="shared" si="45"/>
        <v>26</v>
      </c>
      <c r="H814" s="9">
        <f>IF(ISERROR(VLOOKUP(A814,Excel4!D:J,7,0)),0,VLOOKUP(A814,Excel4!D:J,7,0))</f>
        <v>0</v>
      </c>
      <c r="I814" s="15" t="s">
        <v>1777</v>
      </c>
      <c r="J814" s="20" t="s">
        <v>2682</v>
      </c>
      <c r="K814" s="15" t="s">
        <v>192</v>
      </c>
      <c r="L814" s="18" t="str">
        <f t="shared" si="46"/>
        <v>BAHÇELİ BELEDİYE BAŞKANLIĞI NİĞDE</v>
      </c>
      <c r="M814" s="18" t="str">
        <f t="shared" si="43"/>
        <v>BAHÇELİ</v>
      </c>
    </row>
    <row r="815" spans="1:14" x14ac:dyDescent="0.25">
      <c r="A815" t="s">
        <v>2593</v>
      </c>
      <c r="B815" t="s">
        <v>704</v>
      </c>
      <c r="C815" t="s">
        <v>2309</v>
      </c>
      <c r="D815">
        <v>10</v>
      </c>
      <c r="E815">
        <v>90001</v>
      </c>
      <c r="F815" t="s">
        <v>2594</v>
      </c>
      <c r="G815">
        <f t="shared" si="45"/>
        <v>26</v>
      </c>
      <c r="H815" s="9">
        <f>IF(ISERROR(VLOOKUP(A815,Excel4!D:J,7,0)),0,VLOOKUP(A815,Excel4!D:J,7,0))</f>
        <v>147.34</v>
      </c>
      <c r="I815" s="15" t="s">
        <v>1777</v>
      </c>
      <c r="J815" s="15" t="s">
        <v>2309</v>
      </c>
      <c r="K815" s="15" t="s">
        <v>192</v>
      </c>
      <c r="L815" s="18" t="str">
        <f t="shared" si="46"/>
        <v>ALTUNHİSAR BELEDİYE BAŞKANLIĞI NİĞDE</v>
      </c>
      <c r="M815" s="18" t="str">
        <f t="shared" si="43"/>
        <v>ALTUNHİSAR</v>
      </c>
    </row>
    <row r="816" spans="1:14" x14ac:dyDescent="0.25">
      <c r="A816" t="s">
        <v>1596</v>
      </c>
      <c r="B816" t="s">
        <v>704</v>
      </c>
      <c r="C816" t="s">
        <v>673</v>
      </c>
      <c r="D816">
        <v>10</v>
      </c>
      <c r="E816">
        <v>90001</v>
      </c>
      <c r="F816" t="s">
        <v>1597</v>
      </c>
      <c r="G816">
        <f t="shared" si="45"/>
        <v>26</v>
      </c>
      <c r="H816" s="9">
        <f>IF(ISERROR(VLOOKUP(A816,Excel4!D:J,7,0)),0,VLOOKUP(A816,Excel4!D:J,7,0))</f>
        <v>0</v>
      </c>
      <c r="I816" s="15" t="s">
        <v>1777</v>
      </c>
      <c r="J816" s="15" t="s">
        <v>673</v>
      </c>
      <c r="K816" s="15" t="s">
        <v>192</v>
      </c>
      <c r="L816" s="18" t="str">
        <f t="shared" si="46"/>
        <v>ÇAMARDI BELEDİYE BAŞKANLIĞI NİĞDE</v>
      </c>
      <c r="M816" s="18" t="str">
        <f t="shared" si="43"/>
        <v>ÇAMARDI</v>
      </c>
    </row>
    <row r="817" spans="1:14" x14ac:dyDescent="0.25">
      <c r="A817" t="s">
        <v>1594</v>
      </c>
      <c r="B817" t="s">
        <v>704</v>
      </c>
      <c r="C817" t="s">
        <v>334</v>
      </c>
      <c r="D817">
        <v>10</v>
      </c>
      <c r="E817">
        <v>90001</v>
      </c>
      <c r="F817" t="s">
        <v>1595</v>
      </c>
      <c r="G817">
        <f t="shared" si="45"/>
        <v>26</v>
      </c>
      <c r="H817" s="9">
        <f>IF(ISERROR(VLOOKUP(A817,Excel4!D:J,7,0)),0,VLOOKUP(A817,Excel4!D:J,7,0))</f>
        <v>3502.79</v>
      </c>
      <c r="I817" s="15" t="s">
        <v>1777</v>
      </c>
      <c r="J817" s="15" t="s">
        <v>334</v>
      </c>
      <c r="K817" s="15" t="s">
        <v>192</v>
      </c>
      <c r="L817" s="18" t="str">
        <f t="shared" si="46"/>
        <v>BOR BELEDİYE BAŞKANLIĞI NİĞDE</v>
      </c>
      <c r="M817" s="18" t="str">
        <f t="shared" si="43"/>
        <v>BOR</v>
      </c>
      <c r="N817">
        <f>_xlfn.XLOOKUP(M817,[1]Sheet1!$A:$A,[1]Sheet1!$G:$G)</f>
        <v>0</v>
      </c>
    </row>
    <row r="818" spans="1:14" x14ac:dyDescent="0.25">
      <c r="A818" t="s">
        <v>2871</v>
      </c>
      <c r="B818" t="s">
        <v>704</v>
      </c>
      <c r="C818" t="s">
        <v>334</v>
      </c>
      <c r="D818">
        <v>10</v>
      </c>
      <c r="E818">
        <v>90001</v>
      </c>
      <c r="F818" t="s">
        <v>2873</v>
      </c>
      <c r="G818">
        <f t="shared" si="45"/>
        <v>26</v>
      </c>
      <c r="H818" s="9">
        <f>IF(ISERROR(VLOOKUP(A818,Excel4!D:J,7,0)),0,VLOOKUP(A818,Excel4!D:J,7,0))</f>
        <v>0</v>
      </c>
      <c r="I818" s="15" t="s">
        <v>1777</v>
      </c>
      <c r="J818" s="15" t="s">
        <v>2868</v>
      </c>
      <c r="K818" s="15" t="s">
        <v>192</v>
      </c>
      <c r="L818" s="18" t="str">
        <f t="shared" si="46"/>
        <v>ÇUKURKUYU BELEDİYE BAŞKANLIĞI NİĞDE</v>
      </c>
      <c r="M818" s="18" t="str">
        <f t="shared" si="43"/>
        <v>ÇUKURKUYU</v>
      </c>
    </row>
    <row r="819" spans="1:14" x14ac:dyDescent="0.25">
      <c r="A819" t="s">
        <v>3142</v>
      </c>
      <c r="B819" t="s">
        <v>2555</v>
      </c>
      <c r="C819" t="s">
        <v>192</v>
      </c>
      <c r="D819">
        <v>12</v>
      </c>
      <c r="E819">
        <v>90001</v>
      </c>
      <c r="F819" t="s">
        <v>3144</v>
      </c>
      <c r="G819">
        <f t="shared" si="45"/>
        <v>26</v>
      </c>
      <c r="H819" s="9">
        <f>IF(ISERROR(VLOOKUP(A819,Excel4!D:J,7,0)),0,VLOOKUP(A819,Excel4!D:J,7,0))</f>
        <v>0</v>
      </c>
      <c r="I819" s="15" t="s">
        <v>1777</v>
      </c>
      <c r="J819" s="15" t="s">
        <v>3119</v>
      </c>
      <c r="K819" s="15" t="s">
        <v>192</v>
      </c>
      <c r="L819" s="18" t="str">
        <f t="shared" si="46"/>
        <v>DEĞİRMENLİ BELEDİYE BAŞKANLIĞI NİĞDE</v>
      </c>
      <c r="M819" s="18" t="str">
        <f t="shared" si="43"/>
        <v>DEĞİRMENLİ</v>
      </c>
    </row>
    <row r="820" spans="1:14" x14ac:dyDescent="0.25">
      <c r="A820" t="s">
        <v>2137</v>
      </c>
      <c r="B820" t="s">
        <v>704</v>
      </c>
      <c r="C820" t="s">
        <v>192</v>
      </c>
      <c r="D820">
        <v>10</v>
      </c>
      <c r="E820">
        <v>90001</v>
      </c>
      <c r="F820" t="s">
        <v>2154</v>
      </c>
      <c r="G820">
        <f t="shared" si="45"/>
        <v>26</v>
      </c>
      <c r="H820" s="9">
        <f>IF(ISERROR(VLOOKUP(A820,Excel4!D:J,7,0)),0,VLOOKUP(A820,Excel4!D:J,7,0))</f>
        <v>0</v>
      </c>
      <c r="I820" s="15" t="s">
        <v>1777</v>
      </c>
      <c r="J820" s="15" t="s">
        <v>2129</v>
      </c>
      <c r="K820" s="15" t="s">
        <v>192</v>
      </c>
      <c r="L820" s="18" t="str">
        <f t="shared" si="46"/>
        <v>EDİKLİ BELEDİYE BAŞKANLIĞI NİĞDE</v>
      </c>
      <c r="M820" s="18" t="str">
        <f t="shared" si="43"/>
        <v>EDİKLİ</v>
      </c>
    </row>
    <row r="821" spans="1:14" x14ac:dyDescent="0.25">
      <c r="A821" t="s">
        <v>3191</v>
      </c>
      <c r="B821" t="s">
        <v>704</v>
      </c>
      <c r="C821" t="s">
        <v>34</v>
      </c>
      <c r="D821">
        <v>10</v>
      </c>
      <c r="E821">
        <v>90001</v>
      </c>
      <c r="F821" t="s">
        <v>3195</v>
      </c>
      <c r="G821">
        <f t="shared" si="45"/>
        <v>26</v>
      </c>
      <c r="H821" s="9">
        <f>IF(ISERROR(VLOOKUP(A821,Excel4!D:J,7,0)),0,VLOOKUP(A821,Excel4!D:J,7,0))</f>
        <v>0</v>
      </c>
      <c r="I821" s="15" t="s">
        <v>1777</v>
      </c>
      <c r="J821" s="15" t="s">
        <v>3015</v>
      </c>
      <c r="K821" s="15" t="s">
        <v>192</v>
      </c>
      <c r="L821" s="18" t="str">
        <f t="shared" si="46"/>
        <v>GÜMÜŞLER BELEDİYE BAŞKANLIĞI NİĞDE</v>
      </c>
      <c r="M821" s="18" t="str">
        <f t="shared" si="43"/>
        <v>GÜMÜŞLER</v>
      </c>
    </row>
    <row r="822" spans="1:14" x14ac:dyDescent="0.25">
      <c r="A822" s="19" t="s">
        <v>2795</v>
      </c>
      <c r="B822" s="19" t="s">
        <v>2555</v>
      </c>
      <c r="C822" s="19" t="s">
        <v>334</v>
      </c>
      <c r="D822">
        <v>12</v>
      </c>
      <c r="E822">
        <v>90001</v>
      </c>
      <c r="F822" s="19" t="s">
        <v>2860</v>
      </c>
      <c r="G822">
        <f t="shared" si="45"/>
        <v>26</v>
      </c>
      <c r="H822" s="9">
        <f>IF(ISERROR(VLOOKUP(A822,Excel4!D:J,7,0)),0,VLOOKUP(A822,Excel4!D:J,7,0))</f>
        <v>0</v>
      </c>
      <c r="I822" s="15" t="s">
        <v>1777</v>
      </c>
      <c r="J822" s="15" t="s">
        <v>2858</v>
      </c>
      <c r="K822" s="15" t="s">
        <v>192</v>
      </c>
      <c r="L822" s="18" t="str">
        <f t="shared" si="46"/>
        <v>KEMEHİSAR BELEDİYE BAŞKANLIĞI NİĞDE</v>
      </c>
      <c r="M822" s="18" t="str">
        <f t="shared" si="43"/>
        <v>KEMEHİSAR</v>
      </c>
    </row>
    <row r="823" spans="1:14" x14ac:dyDescent="0.25">
      <c r="A823" t="s">
        <v>3338</v>
      </c>
      <c r="B823" t="s">
        <v>2555</v>
      </c>
      <c r="C823" t="s">
        <v>192</v>
      </c>
      <c r="D823">
        <v>12</v>
      </c>
      <c r="E823">
        <v>90001</v>
      </c>
      <c r="F823" t="s">
        <v>3346</v>
      </c>
      <c r="G823">
        <f t="shared" si="45"/>
        <v>26</v>
      </c>
      <c r="H823" s="9">
        <f>IF(ISERROR(VLOOKUP(A823,Excel4!D:J,7,0)),0,VLOOKUP(A823,Excel4!D:J,7,0))</f>
        <v>0</v>
      </c>
      <c r="I823" s="15" t="s">
        <v>1777</v>
      </c>
      <c r="J823" s="15" t="s">
        <v>3288</v>
      </c>
      <c r="K823" s="15" t="s">
        <v>192</v>
      </c>
      <c r="L823" s="18" t="str">
        <f t="shared" si="46"/>
        <v>KİLEDERE BELEDİYE BAŞKANLIĞI NİĞDE</v>
      </c>
      <c r="M823" s="18" t="str">
        <f t="shared" si="43"/>
        <v>KİLEDERE</v>
      </c>
    </row>
    <row r="824" spans="1:14" x14ac:dyDescent="0.25">
      <c r="A824" t="s">
        <v>3337</v>
      </c>
      <c r="B824" t="s">
        <v>704</v>
      </c>
      <c r="C824" t="s">
        <v>512</v>
      </c>
      <c r="D824">
        <v>10</v>
      </c>
      <c r="E824">
        <v>90001</v>
      </c>
      <c r="F824" t="s">
        <v>3347</v>
      </c>
      <c r="G824">
        <f t="shared" si="45"/>
        <v>26</v>
      </c>
      <c r="H824" s="9">
        <f>IF(ISERROR(VLOOKUP(A824,Excel4!D:J,7,0)),0,VLOOKUP(A824,Excel4!D:J,7,0))</f>
        <v>0</v>
      </c>
      <c r="I824" s="15" t="s">
        <v>1777</v>
      </c>
      <c r="J824" s="15" t="s">
        <v>512</v>
      </c>
      <c r="K824" s="15" t="s">
        <v>192</v>
      </c>
      <c r="L824" s="18" t="str">
        <f t="shared" si="46"/>
        <v>KONAKLI BELEDİYE BAŞKANLIĞI NİĞDE</v>
      </c>
      <c r="M824" s="18" t="str">
        <f t="shared" si="43"/>
        <v>KONAKLI</v>
      </c>
    </row>
    <row r="825" spans="1:14" x14ac:dyDescent="0.25">
      <c r="A825" t="s">
        <v>1598</v>
      </c>
      <c r="B825" t="s">
        <v>704</v>
      </c>
      <c r="C825" t="s">
        <v>465</v>
      </c>
      <c r="D825">
        <v>10</v>
      </c>
      <c r="E825">
        <v>90001</v>
      </c>
      <c r="F825" t="s">
        <v>1599</v>
      </c>
      <c r="G825">
        <f t="shared" si="45"/>
        <v>26</v>
      </c>
      <c r="H825" s="9">
        <f>IF(ISERROR(VLOOKUP(A825,Excel4!D:J,7,0)),0,VLOOKUP(A825,Excel4!D:J,7,0))</f>
        <v>72.760000000000005</v>
      </c>
      <c r="I825" s="15" t="s">
        <v>1777</v>
      </c>
      <c r="J825" s="15" t="s">
        <v>465</v>
      </c>
      <c r="K825" s="15" t="s">
        <v>192</v>
      </c>
      <c r="L825" s="18" t="str">
        <f t="shared" si="46"/>
        <v>ÇİFTLİK BELEDİYE BAŞKANLIĞI NİĞDE</v>
      </c>
      <c r="M825" s="18" t="str">
        <f t="shared" si="43"/>
        <v>ÇİFTLİK</v>
      </c>
    </row>
    <row r="826" spans="1:14" x14ac:dyDescent="0.25">
      <c r="A826" t="s">
        <v>3042</v>
      </c>
      <c r="B826" s="19" t="s">
        <v>704</v>
      </c>
      <c r="C826" s="19" t="s">
        <v>192</v>
      </c>
      <c r="D826">
        <v>10</v>
      </c>
      <c r="E826">
        <v>90001</v>
      </c>
      <c r="F826" s="19" t="s">
        <v>3046</v>
      </c>
      <c r="G826">
        <f t="shared" si="45"/>
        <v>26</v>
      </c>
      <c r="H826" s="9">
        <f>IF(ISERROR(VLOOKUP(A826,Excel4!D:J,7,0)),0,VLOOKUP(A826,Excel4!D:J,7,0))</f>
        <v>0</v>
      </c>
      <c r="I826" s="15" t="s">
        <v>1777</v>
      </c>
      <c r="J826" s="20" t="s">
        <v>3036</v>
      </c>
      <c r="K826" s="15" t="s">
        <v>192</v>
      </c>
      <c r="L826" s="18" t="str">
        <f t="shared" si="46"/>
        <v>SAZLICA BELEDİYE BAŞKANLIĞI NİĞDE</v>
      </c>
      <c r="M826" s="18" t="str">
        <f t="shared" si="43"/>
        <v>SAZLICA</v>
      </c>
    </row>
    <row r="827" spans="1:14" x14ac:dyDescent="0.25">
      <c r="A827" t="s">
        <v>2293</v>
      </c>
      <c r="B827" t="s">
        <v>704</v>
      </c>
      <c r="C827" t="s">
        <v>466</v>
      </c>
      <c r="D827">
        <v>10</v>
      </c>
      <c r="E827">
        <v>90001</v>
      </c>
      <c r="F827" s="19" t="s">
        <v>766</v>
      </c>
      <c r="G827">
        <f t="shared" si="45"/>
        <v>26</v>
      </c>
      <c r="H827" s="9">
        <f>IF(ISERROR(VLOOKUP(A827,Excel4!D:J,7,0)),0,VLOOKUP(A827,Excel4!D:J,7,0))</f>
        <v>242.72</v>
      </c>
      <c r="I827" s="15" t="s">
        <v>1777</v>
      </c>
      <c r="J827" s="15" t="s">
        <v>466</v>
      </c>
      <c r="K827" s="15" t="s">
        <v>192</v>
      </c>
      <c r="L827" s="18" t="str">
        <f t="shared" si="46"/>
        <v>ULUKIŞLA BELEDİYE BAŞKANLIĞI NİĞDE</v>
      </c>
      <c r="M827" s="18" t="str">
        <f t="shared" si="43"/>
        <v>ULUKIŞLA</v>
      </c>
    </row>
    <row r="828" spans="1:14" x14ac:dyDescent="0.25">
      <c r="A828" t="s">
        <v>2829</v>
      </c>
      <c r="B828" t="s">
        <v>704</v>
      </c>
      <c r="C828" t="s">
        <v>192</v>
      </c>
      <c r="D828">
        <v>10</v>
      </c>
      <c r="E828">
        <v>90001</v>
      </c>
      <c r="F828" t="s">
        <v>2831</v>
      </c>
      <c r="G828">
        <f t="shared" si="45"/>
        <v>26</v>
      </c>
      <c r="H828" s="9">
        <f>IF(ISERROR(VLOOKUP(A828,Excel4!D:J,7,0)),0,VLOOKUP(A828,Excel4!D:J,7,0))</f>
        <v>0</v>
      </c>
      <c r="I828" s="15" t="s">
        <v>1777</v>
      </c>
      <c r="J828" s="15" t="s">
        <v>2826</v>
      </c>
      <c r="K828" s="15" t="s">
        <v>192</v>
      </c>
      <c r="L828" s="18" t="str">
        <f t="shared" si="46"/>
        <v>YEŞİLGÖLCÜK BELEDİYE BAŞKANLIĞI NİĞDE</v>
      </c>
      <c r="M828" s="18" t="str">
        <f t="shared" si="43"/>
        <v>YEŞİLGÖLCÜK</v>
      </c>
    </row>
    <row r="829" spans="1:14" x14ac:dyDescent="0.25">
      <c r="A829" t="s">
        <v>1602</v>
      </c>
      <c r="B829" t="s">
        <v>2555</v>
      </c>
      <c r="C829" t="s">
        <v>335</v>
      </c>
      <c r="D829">
        <v>12</v>
      </c>
      <c r="E829">
        <v>90001</v>
      </c>
      <c r="F829" t="s">
        <v>1603</v>
      </c>
      <c r="G829">
        <f t="shared" si="45"/>
        <v>26</v>
      </c>
      <c r="H829" s="9">
        <f>IF(ISERROR(VLOOKUP(A829,Excel4!D:J,7,0)),0,VLOOKUP(A829,Excel4!D:J,7,0))</f>
        <v>0</v>
      </c>
      <c r="I829" s="15" t="s">
        <v>1777</v>
      </c>
      <c r="J829" s="15" t="s">
        <v>335</v>
      </c>
      <c r="K829" s="15" t="s">
        <v>130</v>
      </c>
      <c r="L829" s="18" t="str">
        <f t="shared" si="46"/>
        <v>AYBASTI BELEDİYE BAŞKANLIĞI ORDU</v>
      </c>
      <c r="M829" s="18" t="str">
        <f t="shared" si="43"/>
        <v>AYBASTI</v>
      </c>
    </row>
    <row r="830" spans="1:14" x14ac:dyDescent="0.25">
      <c r="A830" t="s">
        <v>1732</v>
      </c>
      <c r="B830" t="s">
        <v>699</v>
      </c>
      <c r="C830" t="s">
        <v>674</v>
      </c>
      <c r="D830">
        <v>15</v>
      </c>
      <c r="E830">
        <v>90001</v>
      </c>
      <c r="F830" t="s">
        <v>1733</v>
      </c>
      <c r="G830">
        <f t="shared" si="45"/>
        <v>26</v>
      </c>
      <c r="H830" s="9">
        <f>IF(ISERROR(VLOOKUP(A830,Excel4!D:J,7,0)),0,VLOOKUP(A830,Excel4!D:J,7,0))</f>
        <v>0</v>
      </c>
      <c r="I830" s="15" t="s">
        <v>1777</v>
      </c>
      <c r="J830" s="15" t="s">
        <v>674</v>
      </c>
      <c r="K830" s="15" t="s">
        <v>130</v>
      </c>
      <c r="L830" s="18" t="str">
        <f t="shared" si="46"/>
        <v>BOLAMAN BELEDİYE BAŞKANLIĞI ORDU</v>
      </c>
      <c r="M830" s="18" t="str">
        <f t="shared" si="43"/>
        <v>BOLAMAN</v>
      </c>
    </row>
    <row r="831" spans="1:14" x14ac:dyDescent="0.25">
      <c r="A831" t="s">
        <v>1600</v>
      </c>
      <c r="B831" t="s">
        <v>704</v>
      </c>
      <c r="C831" t="s">
        <v>34</v>
      </c>
      <c r="D831">
        <v>10</v>
      </c>
      <c r="E831">
        <v>90001</v>
      </c>
      <c r="F831" t="s">
        <v>1601</v>
      </c>
      <c r="G831">
        <f t="shared" si="45"/>
        <v>26</v>
      </c>
      <c r="H831" s="9">
        <f>IF(ISERROR(VLOOKUP(A831,Excel4!D:J,7,0)),0,VLOOKUP(A831,Excel4!D:J,7,0))</f>
        <v>6165.52</v>
      </c>
      <c r="I831" s="15" t="s">
        <v>1777</v>
      </c>
      <c r="J831" s="15" t="s">
        <v>34</v>
      </c>
      <c r="K831" s="15" t="s">
        <v>192</v>
      </c>
      <c r="L831" s="18" t="str">
        <f t="shared" si="46"/>
        <v>NİĞDE BELEDİYE BAŞKANLIĞI</v>
      </c>
      <c r="M831" s="18" t="str">
        <f t="shared" si="43"/>
        <v>NİĞDE</v>
      </c>
      <c r="N831" t="e">
        <f>_xlfn.XLOOKUP(M831,[1]Sheet1!$C:$C,[1]Sheet1!$G:$G)</f>
        <v>#N/A</v>
      </c>
    </row>
    <row r="832" spans="1:14" x14ac:dyDescent="0.25">
      <c r="A832" t="s">
        <v>1734</v>
      </c>
      <c r="B832" t="s">
        <v>699</v>
      </c>
      <c r="C832" t="s">
        <v>210</v>
      </c>
      <c r="D832">
        <v>15</v>
      </c>
      <c r="E832">
        <v>90001</v>
      </c>
      <c r="F832" t="s">
        <v>410</v>
      </c>
      <c r="G832">
        <f t="shared" si="45"/>
        <v>26</v>
      </c>
      <c r="H832" s="9">
        <f>IF(ISERROR(VLOOKUP(A832,Excel4!D:J,7,0)),0,VLOOKUP(A832,Excel4!D:J,7,0))</f>
        <v>0</v>
      </c>
      <c r="I832" s="15" t="s">
        <v>1777</v>
      </c>
      <c r="J832" s="15" t="s">
        <v>210</v>
      </c>
      <c r="K832" s="15" t="s">
        <v>130</v>
      </c>
      <c r="L832" s="18" t="str">
        <f t="shared" si="46"/>
        <v>FATSA BELEDİYE BAŞKANLIĞI ORDU</v>
      </c>
      <c r="M832" s="18" t="str">
        <f t="shared" si="43"/>
        <v>FATSA</v>
      </c>
    </row>
    <row r="833" spans="1:14" x14ac:dyDescent="0.25">
      <c r="A833" t="s">
        <v>767</v>
      </c>
      <c r="B833" t="s">
        <v>704</v>
      </c>
      <c r="C833" t="s">
        <v>675</v>
      </c>
      <c r="D833">
        <v>10</v>
      </c>
      <c r="E833">
        <v>90001</v>
      </c>
      <c r="F833" t="s">
        <v>768</v>
      </c>
      <c r="G833">
        <f t="shared" si="45"/>
        <v>26</v>
      </c>
      <c r="H833" s="9">
        <f>IF(ISERROR(VLOOKUP(A833,Excel4!D:J,7,0)),0,VLOOKUP(A833,Excel4!D:J,7,0))</f>
        <v>0</v>
      </c>
      <c r="I833" s="15" t="s">
        <v>1777</v>
      </c>
      <c r="J833" s="15" t="s">
        <v>675</v>
      </c>
      <c r="K833" s="15" t="s">
        <v>130</v>
      </c>
      <c r="L833" s="18" t="str">
        <f t="shared" si="46"/>
        <v>KIRLI BELEDİYE BAŞKANLIĞI ORDU</v>
      </c>
      <c r="M833" s="18" t="str">
        <f t="shared" si="43"/>
        <v>KIRLI</v>
      </c>
    </row>
    <row r="834" spans="1:14" x14ac:dyDescent="0.25">
      <c r="A834" t="s">
        <v>1908</v>
      </c>
      <c r="B834" t="s">
        <v>704</v>
      </c>
      <c r="C834" t="s">
        <v>467</v>
      </c>
      <c r="D834">
        <v>10</v>
      </c>
      <c r="E834">
        <v>90001</v>
      </c>
      <c r="F834" t="s">
        <v>1976</v>
      </c>
      <c r="G834">
        <f t="shared" si="45"/>
        <v>26</v>
      </c>
      <c r="H834" s="9">
        <f>IF(ISERROR(VLOOKUP(A834,Excel4!D:J,7,0)),0,VLOOKUP(A834,Excel4!D:J,7,0))</f>
        <v>0</v>
      </c>
      <c r="I834" s="15" t="s">
        <v>1777</v>
      </c>
      <c r="J834" s="15" t="s">
        <v>467</v>
      </c>
      <c r="K834" s="15" t="s">
        <v>130</v>
      </c>
      <c r="L834" s="18" t="str">
        <f t="shared" si="46"/>
        <v>KORGAN BELEDİYE BAŞKANLIĞI ORDU</v>
      </c>
      <c r="M834" s="18" t="str">
        <f t="shared" si="43"/>
        <v>KORGAN</v>
      </c>
    </row>
    <row r="835" spans="1:14" x14ac:dyDescent="0.25">
      <c r="A835" t="s">
        <v>1919</v>
      </c>
      <c r="B835" t="s">
        <v>704</v>
      </c>
      <c r="C835" t="s">
        <v>1882</v>
      </c>
      <c r="D835">
        <v>10</v>
      </c>
      <c r="E835">
        <v>90001</v>
      </c>
      <c r="F835" t="s">
        <v>1978</v>
      </c>
      <c r="G835">
        <f t="shared" si="45"/>
        <v>26</v>
      </c>
      <c r="H835" s="9">
        <f>IF(ISERROR(VLOOKUP(A835,Excel4!D:J,7,0)),0,VLOOKUP(A835,Excel4!D:J,7,0))</f>
        <v>0</v>
      </c>
      <c r="I835" s="15" t="s">
        <v>1777</v>
      </c>
      <c r="J835" s="15" t="s">
        <v>1882</v>
      </c>
      <c r="K835" s="15" t="s">
        <v>130</v>
      </c>
      <c r="L835" s="18" t="str">
        <f t="shared" si="46"/>
        <v>KUMRU BELEDİYE BAŞKANLIĞI ORDU</v>
      </c>
      <c r="M835" s="18" t="str">
        <f t="shared" si="43"/>
        <v>KUMRU</v>
      </c>
    </row>
    <row r="836" spans="1:14" x14ac:dyDescent="0.25">
      <c r="A836" t="s">
        <v>769</v>
      </c>
      <c r="B836" t="s">
        <v>704</v>
      </c>
      <c r="C836" t="s">
        <v>676</v>
      </c>
      <c r="D836">
        <v>10</v>
      </c>
      <c r="E836">
        <v>90001</v>
      </c>
      <c r="F836" t="s">
        <v>770</v>
      </c>
      <c r="G836">
        <f t="shared" si="45"/>
        <v>26</v>
      </c>
      <c r="H836" s="9">
        <f>IF(ISERROR(VLOOKUP(A836,Excel4!D:J,7,0)),0,VLOOKUP(A836,Excel4!D:J,7,0))</f>
        <v>0</v>
      </c>
      <c r="I836" s="15" t="s">
        <v>1777</v>
      </c>
      <c r="J836" s="15" t="s">
        <v>676</v>
      </c>
      <c r="K836" s="15" t="s">
        <v>130</v>
      </c>
      <c r="L836" s="18" t="str">
        <f t="shared" si="46"/>
        <v>PERŞEMBE BELEDİYE BAŞKANLIĞI ORDU</v>
      </c>
      <c r="M836" s="18" t="str">
        <f t="shared" ref="M836:M899" si="47">IF(J836="MERKEZ",K836,IF(J836="BÜYÜKŞEHİR",K836&amp;" BÜYÜKŞEHİR",J836))</f>
        <v>PERŞEMBE</v>
      </c>
    </row>
    <row r="837" spans="1:14" x14ac:dyDescent="0.25">
      <c r="A837" t="s">
        <v>1735</v>
      </c>
      <c r="B837" t="s">
        <v>699</v>
      </c>
      <c r="C837" t="s">
        <v>129</v>
      </c>
      <c r="D837">
        <v>15</v>
      </c>
      <c r="E837">
        <v>90001</v>
      </c>
      <c r="F837" t="s">
        <v>411</v>
      </c>
      <c r="G837">
        <f t="shared" si="45"/>
        <v>26</v>
      </c>
      <c r="H837" s="9">
        <f>IF(ISERROR(VLOOKUP(A837,Excel4!D:J,7,0)),0,VLOOKUP(A837,Excel4!D:J,7,0))</f>
        <v>0</v>
      </c>
      <c r="I837" s="15" t="s">
        <v>1777</v>
      </c>
      <c r="J837" s="15" t="s">
        <v>129</v>
      </c>
      <c r="K837" s="15" t="s">
        <v>130</v>
      </c>
      <c r="L837" s="18" t="str">
        <f t="shared" si="46"/>
        <v>ÜNYE BELEDİYE BAŞKANLIĞI ORDU</v>
      </c>
      <c r="M837" s="18" t="str">
        <f t="shared" si="47"/>
        <v>ÜNYE</v>
      </c>
    </row>
    <row r="838" spans="1:14" x14ac:dyDescent="0.25">
      <c r="A838" t="s">
        <v>2546</v>
      </c>
      <c r="B838" t="s">
        <v>704</v>
      </c>
      <c r="C838" t="s">
        <v>217</v>
      </c>
      <c r="D838">
        <v>10</v>
      </c>
      <c r="E838">
        <v>90001</v>
      </c>
      <c r="F838" t="s">
        <v>2578</v>
      </c>
      <c r="G838">
        <f t="shared" si="45"/>
        <v>26</v>
      </c>
      <c r="H838" s="9">
        <f>IF(ISERROR(VLOOKUP(A838,Excel4!D:J,7,0)),0,VLOOKUP(A838,Excel4!D:J,7,0))</f>
        <v>0</v>
      </c>
      <c r="I838" s="15" t="s">
        <v>1777</v>
      </c>
      <c r="J838" s="15" t="s">
        <v>2419</v>
      </c>
      <c r="K838" s="15" t="s">
        <v>35</v>
      </c>
      <c r="L838" s="18" t="str">
        <f t="shared" si="46"/>
        <v>ATALAN BELEDİYE BAŞKANLIĞI OSMANİYE</v>
      </c>
      <c r="M838" s="18" t="str">
        <f t="shared" si="47"/>
        <v>ATALAN</v>
      </c>
    </row>
    <row r="839" spans="1:14" x14ac:dyDescent="0.25">
      <c r="A839" t="s">
        <v>2012</v>
      </c>
      <c r="B839" t="s">
        <v>704</v>
      </c>
      <c r="C839" t="s">
        <v>2001</v>
      </c>
      <c r="D839">
        <v>10</v>
      </c>
      <c r="E839">
        <v>90001</v>
      </c>
      <c r="F839" t="s">
        <v>2047</v>
      </c>
      <c r="G839">
        <f t="shared" si="45"/>
        <v>26</v>
      </c>
      <c r="H839" s="9">
        <f>IF(ISERROR(VLOOKUP(A839,Excel4!D:J,7,0)),0,VLOOKUP(A839,Excel4!D:J,7,0))</f>
        <v>0</v>
      </c>
      <c r="I839" s="15" t="s">
        <v>1777</v>
      </c>
      <c r="J839" s="15" t="s">
        <v>2001</v>
      </c>
      <c r="K839" s="15" t="s">
        <v>35</v>
      </c>
      <c r="L839" s="18" t="str">
        <f t="shared" si="46"/>
        <v>BAHÇE BELEDİYE BAŞKANLIĞI OSMANİYE</v>
      </c>
      <c r="M839" s="18" t="str">
        <f t="shared" si="47"/>
        <v>BAHÇE</v>
      </c>
    </row>
    <row r="840" spans="1:14" x14ac:dyDescent="0.25">
      <c r="A840" t="s">
        <v>2726</v>
      </c>
      <c r="B840" s="19" t="s">
        <v>818</v>
      </c>
      <c r="C840" s="19" t="s">
        <v>217</v>
      </c>
      <c r="D840">
        <v>64</v>
      </c>
      <c r="E840">
        <v>90001</v>
      </c>
      <c r="F840" s="19" t="s">
        <v>2733</v>
      </c>
      <c r="G840">
        <f t="shared" si="45"/>
        <v>26</v>
      </c>
      <c r="H840" s="9">
        <f>IF(ISERROR(VLOOKUP(A840,Excel4!D:J,7,0)),0,VLOOKUP(A840,Excel4!D:J,7,0))</f>
        <v>0</v>
      </c>
      <c r="I840" s="15" t="s">
        <v>1777</v>
      </c>
      <c r="J840" s="20" t="s">
        <v>2719</v>
      </c>
      <c r="K840" s="15" t="s">
        <v>35</v>
      </c>
      <c r="L840" s="18" t="str">
        <f t="shared" si="46"/>
        <v>BÖCEKLİ BELEDİYE BAŞKANLIĞI OSMANİYE</v>
      </c>
      <c r="M840" s="18" t="str">
        <f t="shared" si="47"/>
        <v>BÖCEKLİ</v>
      </c>
    </row>
    <row r="841" spans="1:14" x14ac:dyDescent="0.25">
      <c r="A841" t="s">
        <v>2116</v>
      </c>
      <c r="B841" t="s">
        <v>2555</v>
      </c>
      <c r="C841" t="s">
        <v>35</v>
      </c>
      <c r="D841">
        <v>12</v>
      </c>
      <c r="E841">
        <v>90001</v>
      </c>
      <c r="F841" t="s">
        <v>2758</v>
      </c>
      <c r="G841">
        <f t="shared" si="45"/>
        <v>26</v>
      </c>
      <c r="H841" s="9">
        <f>IF(ISERROR(VLOOKUP(A841,Excel4!D:J,7,0)),0,VLOOKUP(A841,Excel4!D:J,7,0))</f>
        <v>0</v>
      </c>
      <c r="I841" s="15" t="s">
        <v>1777</v>
      </c>
      <c r="J841" s="15" t="s">
        <v>2111</v>
      </c>
      <c r="K841" s="15" t="s">
        <v>35</v>
      </c>
      <c r="L841" s="18" t="str">
        <f t="shared" si="46"/>
        <v>CEVDETİYE BELEDİYE BAŞKANLIĞI OSMANİYE</v>
      </c>
      <c r="M841" s="18" t="str">
        <f t="shared" si="47"/>
        <v>CEVDETİYE</v>
      </c>
    </row>
    <row r="842" spans="1:14" x14ac:dyDescent="0.25">
      <c r="A842" t="s">
        <v>2037</v>
      </c>
      <c r="B842" t="s">
        <v>704</v>
      </c>
      <c r="C842" t="s">
        <v>130</v>
      </c>
      <c r="D842">
        <v>10</v>
      </c>
      <c r="E842">
        <v>90001</v>
      </c>
      <c r="F842" t="s">
        <v>2760</v>
      </c>
      <c r="G842">
        <f t="shared" si="45"/>
        <v>26</v>
      </c>
      <c r="H842" s="9">
        <f>IF(ISERROR(VLOOKUP(A842,Excel4!D:J,7,0)),0,VLOOKUP(A842,Excel4!D:J,7,0))</f>
        <v>6909.3</v>
      </c>
      <c r="I842" s="15" t="s">
        <v>1777</v>
      </c>
      <c r="J842" s="15" t="s">
        <v>27</v>
      </c>
      <c r="K842" s="15" t="s">
        <v>130</v>
      </c>
      <c r="L842" s="18" t="str">
        <f t="shared" si="46"/>
        <v>ORDU BÜYÜKŞEHİR BELEDİYE BAŞKANLIĞI</v>
      </c>
      <c r="M842" s="18" t="str">
        <f t="shared" si="47"/>
        <v>ORDU BÜYÜKŞEHİR</v>
      </c>
      <c r="N842">
        <f>_xlfn.XLOOKUP(M842,[1]Sheet1!$A:$A,[1]Sheet1!$G:$G)</f>
        <v>0</v>
      </c>
    </row>
    <row r="843" spans="1:14" x14ac:dyDescent="0.25">
      <c r="A843" t="s">
        <v>771</v>
      </c>
      <c r="B843" t="s">
        <v>704</v>
      </c>
      <c r="C843" t="s">
        <v>217</v>
      </c>
      <c r="D843">
        <v>10</v>
      </c>
      <c r="E843">
        <v>90001</v>
      </c>
      <c r="F843" t="s">
        <v>772</v>
      </c>
      <c r="G843">
        <f t="shared" si="45"/>
        <v>26</v>
      </c>
      <c r="H843" s="9">
        <f>IF(ISERROR(VLOOKUP(A843,Excel4!D:J,7,0)),0,VLOOKUP(A843,Excel4!D:J,7,0))</f>
        <v>307.52</v>
      </c>
      <c r="I843" s="15" t="s">
        <v>1777</v>
      </c>
      <c r="J843" s="15" t="s">
        <v>217</v>
      </c>
      <c r="K843" s="15" t="s">
        <v>35</v>
      </c>
      <c r="L843" s="18" t="str">
        <f t="shared" si="46"/>
        <v>DÜZİÇİ BELEDİYE BAŞKANLIĞI OSMANİYE</v>
      </c>
      <c r="M843" s="18" t="str">
        <f t="shared" si="47"/>
        <v>DÜZİÇİ</v>
      </c>
      <c r="N843">
        <f>_xlfn.XLOOKUP(M843,[1]Sheet1!$A:$A,[1]Sheet1!$G:$G)</f>
        <v>0</v>
      </c>
    </row>
    <row r="844" spans="1:14" x14ac:dyDescent="0.25">
      <c r="A844" t="s">
        <v>2586</v>
      </c>
      <c r="B844" t="s">
        <v>2555</v>
      </c>
      <c r="C844" s="19" t="s">
        <v>35</v>
      </c>
      <c r="D844">
        <v>12</v>
      </c>
      <c r="E844">
        <v>90001</v>
      </c>
      <c r="F844" s="19" t="s">
        <v>2590</v>
      </c>
      <c r="G844">
        <f t="shared" si="45"/>
        <v>26</v>
      </c>
      <c r="H844" s="9">
        <f>IF(ISERROR(VLOOKUP(A844,Excel4!D:J,7,0)),0,VLOOKUP(A844,Excel4!D:J,7,0))</f>
        <v>0</v>
      </c>
      <c r="I844" s="15" t="s">
        <v>1777</v>
      </c>
      <c r="J844" s="20" t="s">
        <v>2584</v>
      </c>
      <c r="K844" s="15" t="s">
        <v>35</v>
      </c>
      <c r="L844" s="18" t="str">
        <f t="shared" si="46"/>
        <v>HASANBEYLİ BELEDİYE BAŞKANLIĞI OSMANİYE</v>
      </c>
      <c r="M844" s="18" t="str">
        <f t="shared" si="47"/>
        <v>HASANBEYLİ</v>
      </c>
    </row>
    <row r="845" spans="1:14" x14ac:dyDescent="0.25">
      <c r="A845" t="s">
        <v>773</v>
      </c>
      <c r="B845" t="s">
        <v>876</v>
      </c>
      <c r="C845" t="s">
        <v>325</v>
      </c>
      <c r="D845">
        <v>134</v>
      </c>
      <c r="E845">
        <v>90001</v>
      </c>
      <c r="F845" t="s">
        <v>4592</v>
      </c>
      <c r="G845">
        <f t="shared" si="45"/>
        <v>26</v>
      </c>
      <c r="H845" s="9">
        <f>IF(ISERROR(VLOOKUP(A845,Excel4!D:J,7,0)),0,VLOOKUP(A845,Excel4!D:J,7,0))</f>
        <v>659.14</v>
      </c>
      <c r="I845" s="15" t="s">
        <v>1777</v>
      </c>
      <c r="J845" s="15" t="s">
        <v>325</v>
      </c>
      <c r="K845" s="15" t="s">
        <v>35</v>
      </c>
      <c r="L845" s="18" t="str">
        <f t="shared" si="46"/>
        <v>KADİRLİ BELEDİYE BAŞKANLIĞI OSMANİYE</v>
      </c>
      <c r="M845" s="18" t="str">
        <f t="shared" si="47"/>
        <v>KADİRLİ</v>
      </c>
      <c r="N845">
        <f>_xlfn.XLOOKUP(M845,[1]Sheet1!$A:$A,[1]Sheet1!$G:$G)</f>
        <v>0</v>
      </c>
    </row>
    <row r="846" spans="1:14" x14ac:dyDescent="0.25">
      <c r="A846" t="s">
        <v>1736</v>
      </c>
      <c r="B846" t="s">
        <v>699</v>
      </c>
      <c r="C846" t="s">
        <v>34</v>
      </c>
      <c r="D846">
        <v>15</v>
      </c>
      <c r="E846">
        <v>90001</v>
      </c>
      <c r="F846" t="s">
        <v>412</v>
      </c>
      <c r="G846">
        <f t="shared" si="45"/>
        <v>26</v>
      </c>
      <c r="H846" s="9">
        <f>IF(ISERROR(VLOOKUP(A846,Excel4!D:J,7,0)),0,VLOOKUP(A846,Excel4!D:J,7,0))</f>
        <v>2765.97</v>
      </c>
      <c r="I846" s="15" t="s">
        <v>1777</v>
      </c>
      <c r="J846" s="15" t="s">
        <v>34</v>
      </c>
      <c r="K846" s="15" t="s">
        <v>35</v>
      </c>
      <c r="L846" s="18" t="str">
        <f t="shared" si="46"/>
        <v>OSMANİYE BELEDİYE BAŞKANLIĞI</v>
      </c>
      <c r="M846" s="18" t="str">
        <f t="shared" si="47"/>
        <v>OSMANİYE</v>
      </c>
      <c r="N846" t="e">
        <f>_xlfn.XLOOKUP(M846,[1]Sheet1!$C:$C,[1]Sheet1!$G:$G)</f>
        <v>#N/A</v>
      </c>
    </row>
    <row r="847" spans="1:14" x14ac:dyDescent="0.25">
      <c r="A847" t="s">
        <v>4279</v>
      </c>
      <c r="B847" t="s">
        <v>704</v>
      </c>
      <c r="C847" t="s">
        <v>4232</v>
      </c>
      <c r="D847">
        <v>10</v>
      </c>
      <c r="E847">
        <v>90001</v>
      </c>
      <c r="F847" t="s">
        <v>2575</v>
      </c>
      <c r="G847">
        <f t="shared" si="45"/>
        <v>26</v>
      </c>
      <c r="H847" s="9">
        <f>IF(ISERROR(VLOOKUP(A847,Excel4!D:J,7,0)),0,VLOOKUP(A847,Excel4!D:J,7,0))</f>
        <v>21.740000000000002</v>
      </c>
      <c r="I847" s="15" t="s">
        <v>1777</v>
      </c>
      <c r="J847" s="15" t="s">
        <v>2413</v>
      </c>
      <c r="K847" s="15" t="s">
        <v>35</v>
      </c>
      <c r="L847" s="18" t="str">
        <f t="shared" si="46"/>
        <v>SUMBAS BELEDİYE BAŞKANLIĞI OSMANİYE</v>
      </c>
      <c r="M847" s="18" t="str">
        <f t="shared" si="47"/>
        <v>SUMBAS</v>
      </c>
    </row>
    <row r="848" spans="1:14" x14ac:dyDescent="0.25">
      <c r="A848" s="19" t="s">
        <v>2218</v>
      </c>
      <c r="B848" s="19" t="s">
        <v>704</v>
      </c>
      <c r="C848" s="19" t="s">
        <v>217</v>
      </c>
      <c r="D848">
        <v>10</v>
      </c>
      <c r="E848">
        <v>90001</v>
      </c>
      <c r="F848" s="19" t="s">
        <v>2222</v>
      </c>
      <c r="G848">
        <f t="shared" si="45"/>
        <v>26</v>
      </c>
      <c r="H848" s="9">
        <f>IF(ISERROR(VLOOKUP(A848,Excel4!D:J,7,0)),0,VLOOKUP(A848,Excel4!D:J,7,0))</f>
        <v>0</v>
      </c>
      <c r="I848" s="15" t="s">
        <v>1777</v>
      </c>
      <c r="J848" s="15" t="s">
        <v>2209</v>
      </c>
      <c r="K848" s="15" t="s">
        <v>35</v>
      </c>
      <c r="L848" s="18" t="str">
        <f t="shared" si="46"/>
        <v>YARBAŞI BELEDİYE BAŞKANLIĞI OSMANİYE</v>
      </c>
      <c r="M848" s="18" t="str">
        <f t="shared" si="47"/>
        <v>YARBAŞI</v>
      </c>
    </row>
    <row r="849" spans="1:14" x14ac:dyDescent="0.25">
      <c r="A849" t="s">
        <v>2075</v>
      </c>
      <c r="B849" t="s">
        <v>818</v>
      </c>
      <c r="C849" t="s">
        <v>2087</v>
      </c>
      <c r="D849">
        <v>64</v>
      </c>
      <c r="E849">
        <v>90001</v>
      </c>
      <c r="F849" t="s">
        <v>2088</v>
      </c>
      <c r="G849">
        <f t="shared" si="45"/>
        <v>26</v>
      </c>
      <c r="H849" s="9">
        <f>IF(ISERROR(VLOOKUP(A849,Excel4!D:J,7,0)),0,VLOOKUP(A849,Excel4!D:J,7,0))</f>
        <v>549.15</v>
      </c>
      <c r="I849" s="15" t="s">
        <v>1777</v>
      </c>
      <c r="J849" s="15" t="s">
        <v>2059</v>
      </c>
      <c r="K849" s="15" t="s">
        <v>35</v>
      </c>
      <c r="L849" s="18" t="str">
        <f t="shared" si="46"/>
        <v>TOPRAKKALE BELEDİYE BAŞKANLIĞI OSMANİYE</v>
      </c>
      <c r="M849" s="18" t="str">
        <f t="shared" si="47"/>
        <v>TOPRAKKALE</v>
      </c>
    </row>
    <row r="850" spans="1:14" x14ac:dyDescent="0.25">
      <c r="A850" t="s">
        <v>2828</v>
      </c>
      <c r="B850" t="s">
        <v>704</v>
      </c>
      <c r="C850" t="s">
        <v>678</v>
      </c>
      <c r="D850">
        <v>10</v>
      </c>
      <c r="E850">
        <v>90001</v>
      </c>
      <c r="F850" t="s">
        <v>2832</v>
      </c>
      <c r="G850">
        <f t="shared" si="45"/>
        <v>26</v>
      </c>
      <c r="H850" s="9">
        <f>IF(ISERROR(VLOOKUP(A850,Excel4!D:J,7,0)),0,VLOOKUP(A850,Excel4!D:J,7,0))</f>
        <v>0</v>
      </c>
      <c r="I850" s="15" t="s">
        <v>1777</v>
      </c>
      <c r="J850" s="15" t="s">
        <v>2700</v>
      </c>
      <c r="K850" s="15" t="s">
        <v>131</v>
      </c>
      <c r="L850" s="18" t="str">
        <f t="shared" si="46"/>
        <v>BÜYÜKKÖY BELEDİYE BAŞKANLIĞI RİZE</v>
      </c>
      <c r="M850" s="18" t="str">
        <f t="shared" si="47"/>
        <v>BÜYÜKKÖY</v>
      </c>
    </row>
    <row r="851" spans="1:14" x14ac:dyDescent="0.25">
      <c r="A851" t="s">
        <v>774</v>
      </c>
      <c r="B851" t="s">
        <v>704</v>
      </c>
      <c r="C851" t="s">
        <v>87</v>
      </c>
      <c r="D851">
        <v>10</v>
      </c>
      <c r="E851">
        <v>90001</v>
      </c>
      <c r="F851" t="s">
        <v>775</v>
      </c>
      <c r="G851">
        <f t="shared" si="45"/>
        <v>26</v>
      </c>
      <c r="H851" s="9">
        <f>IF(ISERROR(VLOOKUP(A851,Excel4!D:J,7,0)),0,VLOOKUP(A851,Excel4!D:J,7,0))</f>
        <v>1660.93</v>
      </c>
      <c r="I851" s="15" t="s">
        <v>1777</v>
      </c>
      <c r="J851" s="15" t="s">
        <v>87</v>
      </c>
      <c r="K851" s="15" t="s">
        <v>131</v>
      </c>
      <c r="L851" s="18" t="str">
        <f t="shared" si="46"/>
        <v>ARDEŞEN BELEDİYE BAŞKANLIĞI RİZE</v>
      </c>
      <c r="M851" s="18" t="str">
        <f t="shared" si="47"/>
        <v>ARDEŞEN</v>
      </c>
      <c r="N851">
        <f>_xlfn.XLOOKUP(M851,[1]Sheet1!$A:$A,[1]Sheet1!$G:$G)</f>
        <v>0</v>
      </c>
    </row>
    <row r="852" spans="1:14" x14ac:dyDescent="0.25">
      <c r="A852" t="s">
        <v>776</v>
      </c>
      <c r="B852" t="s">
        <v>704</v>
      </c>
      <c r="C852" t="s">
        <v>677</v>
      </c>
      <c r="D852">
        <v>10</v>
      </c>
      <c r="E852">
        <v>90001</v>
      </c>
      <c r="F852" t="s">
        <v>777</v>
      </c>
      <c r="G852">
        <f t="shared" si="45"/>
        <v>26</v>
      </c>
      <c r="H852" s="9">
        <f>IF(ISERROR(VLOOKUP(A852,Excel4!D:J,7,0)),0,VLOOKUP(A852,Excel4!D:J,7,0))</f>
        <v>0</v>
      </c>
      <c r="I852" s="15" t="s">
        <v>1777</v>
      </c>
      <c r="J852" s="15" t="s">
        <v>677</v>
      </c>
      <c r="K852" s="15" t="s">
        <v>131</v>
      </c>
      <c r="L852" s="18" t="str">
        <f t="shared" si="46"/>
        <v>ÇAMLIHEMŞİN BELEDİYE BAŞKANLIĞI RİZE</v>
      </c>
      <c r="M852" s="18" t="str">
        <f t="shared" si="47"/>
        <v>ÇAMLIHEMŞİN</v>
      </c>
      <c r="N852">
        <f>_xlfn.XLOOKUP(M852,[1]Sheet1!$A:$A,[1]Sheet1!$G:$G)</f>
        <v>0</v>
      </c>
    </row>
    <row r="853" spans="1:14" x14ac:dyDescent="0.25">
      <c r="A853" t="s">
        <v>2170</v>
      </c>
      <c r="B853" t="s">
        <v>704</v>
      </c>
      <c r="C853" s="19" t="s">
        <v>2130</v>
      </c>
      <c r="D853">
        <v>10</v>
      </c>
      <c r="E853">
        <v>90001</v>
      </c>
      <c r="F853" t="s">
        <v>2171</v>
      </c>
      <c r="G853">
        <f t="shared" si="45"/>
        <v>26</v>
      </c>
      <c r="H853" s="9">
        <f>IF(ISERROR(VLOOKUP(A853,Excel4!D:J,7,0)),0,VLOOKUP(A853,Excel4!D:J,7,0))</f>
        <v>124.08</v>
      </c>
      <c r="I853" s="15" t="s">
        <v>1777</v>
      </c>
      <c r="J853" s="20" t="s">
        <v>2130</v>
      </c>
      <c r="K853" s="20" t="s">
        <v>131</v>
      </c>
      <c r="L853" s="18" t="str">
        <f t="shared" si="46"/>
        <v>DEREPAZARI BELEDİYE BAŞKANLIĞI RİZE</v>
      </c>
      <c r="M853" s="18" t="str">
        <f t="shared" si="47"/>
        <v>DEREPAZARI</v>
      </c>
      <c r="N853">
        <f>_xlfn.XLOOKUP(M853,[1]Sheet1!$A:$A,[1]Sheet1!$G:$G)</f>
        <v>0</v>
      </c>
    </row>
    <row r="854" spans="1:14" x14ac:dyDescent="0.25">
      <c r="A854" t="s">
        <v>778</v>
      </c>
      <c r="B854" t="s">
        <v>2555</v>
      </c>
      <c r="C854" t="s">
        <v>678</v>
      </c>
      <c r="D854">
        <v>12</v>
      </c>
      <c r="E854">
        <v>90001</v>
      </c>
      <c r="F854" t="s">
        <v>779</v>
      </c>
      <c r="G854">
        <f t="shared" si="45"/>
        <v>26</v>
      </c>
      <c r="H854" s="9">
        <f>IF(ISERROR(VLOOKUP(A854,Excel4!D:J,7,0)),0,VLOOKUP(A854,Excel4!D:J,7,0))</f>
        <v>10.870000000000001</v>
      </c>
      <c r="I854" s="15" t="s">
        <v>1777</v>
      </c>
      <c r="J854" s="15" t="s">
        <v>678</v>
      </c>
      <c r="K854" s="15" t="s">
        <v>131</v>
      </c>
      <c r="L854" s="18" t="str">
        <f t="shared" si="46"/>
        <v>ÇAYELİ BELEDİYE BAŞKANLIĞI RİZE</v>
      </c>
      <c r="M854" s="18" t="str">
        <f t="shared" si="47"/>
        <v>ÇAYELİ</v>
      </c>
      <c r="N854">
        <f>_xlfn.XLOOKUP(M854,[1]Sheet1!$A:$A,[1]Sheet1!$G:$G)</f>
        <v>0</v>
      </c>
    </row>
    <row r="855" spans="1:14" x14ac:dyDescent="0.25">
      <c r="A855" t="s">
        <v>1920</v>
      </c>
      <c r="B855" t="s">
        <v>2555</v>
      </c>
      <c r="C855" t="s">
        <v>131</v>
      </c>
      <c r="D855">
        <v>12</v>
      </c>
      <c r="E855">
        <v>90001</v>
      </c>
      <c r="F855" t="s">
        <v>1971</v>
      </c>
      <c r="G855">
        <f t="shared" si="45"/>
        <v>26</v>
      </c>
      <c r="H855" s="9">
        <f>IF(ISERROR(VLOOKUP(A855,Excel4!D:J,7,0)),0,VLOOKUP(A855,Excel4!D:J,7,0))</f>
        <v>0</v>
      </c>
      <c r="I855" s="15" t="s">
        <v>1777</v>
      </c>
      <c r="J855" s="15" t="s">
        <v>511</v>
      </c>
      <c r="K855" s="15" t="s">
        <v>131</v>
      </c>
      <c r="L855" s="18" t="str">
        <f t="shared" si="46"/>
        <v>GÜNDOĞDU BELEDİYE BAŞKANLIĞI RİZE</v>
      </c>
      <c r="M855" s="18" t="str">
        <f t="shared" si="47"/>
        <v>GÜNDOĞDU</v>
      </c>
    </row>
    <row r="856" spans="1:14" x14ac:dyDescent="0.25">
      <c r="A856" t="s">
        <v>782</v>
      </c>
      <c r="B856" t="s">
        <v>704</v>
      </c>
      <c r="C856" t="s">
        <v>679</v>
      </c>
      <c r="D856">
        <v>10</v>
      </c>
      <c r="E856">
        <v>90001</v>
      </c>
      <c r="F856" t="s">
        <v>783</v>
      </c>
      <c r="G856">
        <f t="shared" si="45"/>
        <v>26</v>
      </c>
      <c r="H856" s="9">
        <f>IF(ISERROR(VLOOKUP(A856,Excel4!D:J,7,0)),0,VLOOKUP(A856,Excel4!D:J,7,0))</f>
        <v>85.98</v>
      </c>
      <c r="I856" s="15" t="s">
        <v>1777</v>
      </c>
      <c r="J856" s="15" t="s">
        <v>679</v>
      </c>
      <c r="K856" s="15" t="s">
        <v>131</v>
      </c>
      <c r="L856" s="18" t="str">
        <f t="shared" si="46"/>
        <v>GÜNEYSU BELEDİYE BAŞKANLIĞI RİZE</v>
      </c>
      <c r="M856" s="18" t="str">
        <f t="shared" si="47"/>
        <v>GÜNEYSU</v>
      </c>
    </row>
    <row r="857" spans="1:14" x14ac:dyDescent="0.25">
      <c r="A857" t="s">
        <v>780</v>
      </c>
      <c r="B857" t="s">
        <v>704</v>
      </c>
      <c r="C857" t="s">
        <v>380</v>
      </c>
      <c r="D857">
        <v>10</v>
      </c>
      <c r="E857">
        <v>90001</v>
      </c>
      <c r="F857" t="s">
        <v>781</v>
      </c>
      <c r="G857">
        <f t="shared" ref="G857:G920" si="48">LEN(F857)</f>
        <v>26</v>
      </c>
      <c r="H857" s="9">
        <f>IF(ISERROR(VLOOKUP(A857,Excel4!D:J,7,0)),0,VLOOKUP(A857,Excel4!D:J,7,0))</f>
        <v>57.94</v>
      </c>
      <c r="I857" s="15" t="s">
        <v>1777</v>
      </c>
      <c r="J857" s="15" t="s">
        <v>380</v>
      </c>
      <c r="K857" s="15" t="s">
        <v>131</v>
      </c>
      <c r="L857" s="18" t="str">
        <f t="shared" si="46"/>
        <v>FINDIKLI BELEDİYE BAŞKANLIĞI RİZE</v>
      </c>
      <c r="M857" s="18" t="str">
        <f t="shared" si="47"/>
        <v>FINDIKLI</v>
      </c>
      <c r="N857">
        <f>_xlfn.XLOOKUP(M857,[1]Sheet1!$A:$A,[1]Sheet1!$G:$G)</f>
        <v>0</v>
      </c>
    </row>
    <row r="858" spans="1:14" x14ac:dyDescent="0.25">
      <c r="A858" s="19" t="s">
        <v>2216</v>
      </c>
      <c r="B858" t="s">
        <v>704</v>
      </c>
      <c r="C858" s="19" t="s">
        <v>2210</v>
      </c>
      <c r="D858">
        <v>10</v>
      </c>
      <c r="E858">
        <v>90001</v>
      </c>
      <c r="F858" s="19" t="s">
        <v>2226</v>
      </c>
      <c r="G858">
        <f t="shared" si="48"/>
        <v>26</v>
      </c>
      <c r="H858" s="9">
        <f>IF(ISERROR(VLOOKUP(A858,Excel4!D:J,7,0)),0,VLOOKUP(A858,Excel4!D:J,7,0))</f>
        <v>0</v>
      </c>
      <c r="I858" s="15" t="s">
        <v>1777</v>
      </c>
      <c r="J858" s="20" t="s">
        <v>2210</v>
      </c>
      <c r="K858" s="20" t="s">
        <v>131</v>
      </c>
      <c r="L858" s="18" t="str">
        <f t="shared" si="46"/>
        <v>İKİZDERE BELEDİYE BAŞKANLIĞI RİZE</v>
      </c>
      <c r="M858" s="18" t="str">
        <f t="shared" si="47"/>
        <v>İKİZDERE</v>
      </c>
    </row>
    <row r="859" spans="1:14" x14ac:dyDescent="0.25">
      <c r="A859" t="s">
        <v>784</v>
      </c>
      <c r="B859" t="s">
        <v>704</v>
      </c>
      <c r="C859" t="s">
        <v>131</v>
      </c>
      <c r="D859">
        <v>10</v>
      </c>
      <c r="E859">
        <v>90001</v>
      </c>
      <c r="F859" t="s">
        <v>785</v>
      </c>
      <c r="G859">
        <f t="shared" si="48"/>
        <v>26</v>
      </c>
      <c r="H859" s="9">
        <f>IF(ISERROR(VLOOKUP(A859,Excel4!D:J,7,0)),0,VLOOKUP(A859,Excel4!D:J,7,0))</f>
        <v>109.86999999999999</v>
      </c>
      <c r="I859" s="15" t="s">
        <v>1777</v>
      </c>
      <c r="J859" s="15" t="s">
        <v>680</v>
      </c>
      <c r="K859" s="15" t="s">
        <v>131</v>
      </c>
      <c r="L859" s="18" t="str">
        <f t="shared" si="46"/>
        <v>İYİDERE BELEDİYE BAŞKANLIĞI RİZE</v>
      </c>
      <c r="M859" s="18" t="str">
        <f t="shared" si="47"/>
        <v>İYİDERE</v>
      </c>
    </row>
    <row r="860" spans="1:14" x14ac:dyDescent="0.25">
      <c r="A860" t="s">
        <v>3172</v>
      </c>
      <c r="B860" t="s">
        <v>704</v>
      </c>
      <c r="C860" t="s">
        <v>131</v>
      </c>
      <c r="D860">
        <v>10</v>
      </c>
      <c r="E860">
        <v>90001</v>
      </c>
      <c r="F860" t="s">
        <v>3196</v>
      </c>
      <c r="G860">
        <f t="shared" si="48"/>
        <v>26</v>
      </c>
      <c r="H860" s="9">
        <f>IF(ISERROR(VLOOKUP(A860,Excel4!D:J,7,0)),0,VLOOKUP(A860,Excel4!D:J,7,0))</f>
        <v>0</v>
      </c>
      <c r="I860" s="15" t="s">
        <v>1777</v>
      </c>
      <c r="J860" s="15" t="s">
        <v>3121</v>
      </c>
      <c r="K860" s="15" t="s">
        <v>131</v>
      </c>
      <c r="L860" s="18" t="str">
        <f t="shared" si="46"/>
        <v>KENDİRLİ BELEDİYE BAŞKANLIĞI RİZE</v>
      </c>
      <c r="M860" s="18" t="str">
        <f t="shared" si="47"/>
        <v>KENDİRLİ</v>
      </c>
    </row>
    <row r="861" spans="1:14" x14ac:dyDescent="0.25">
      <c r="A861" t="s">
        <v>2138</v>
      </c>
      <c r="B861" t="s">
        <v>704</v>
      </c>
      <c r="C861" t="s">
        <v>678</v>
      </c>
      <c r="D861">
        <v>10</v>
      </c>
      <c r="E861">
        <v>90001</v>
      </c>
      <c r="F861" t="s">
        <v>2145</v>
      </c>
      <c r="G861">
        <f t="shared" si="48"/>
        <v>26</v>
      </c>
      <c r="H861" s="9">
        <f>IF(ISERROR(VLOOKUP(A861,Excel4!D:J,7,0)),0,VLOOKUP(A861,Excel4!D:J,7,0))</f>
        <v>0</v>
      </c>
      <c r="I861" s="15" t="s">
        <v>1777</v>
      </c>
      <c r="J861" s="15" t="s">
        <v>2131</v>
      </c>
      <c r="K861" s="15" t="s">
        <v>131</v>
      </c>
      <c r="L861" s="18" t="str">
        <f t="shared" si="46"/>
        <v>MADENLİ BELEDİYE BAŞKANLIĞI RİZE</v>
      </c>
      <c r="M861" s="18" t="str">
        <f t="shared" si="47"/>
        <v>MADENLİ</v>
      </c>
    </row>
    <row r="862" spans="1:14" x14ac:dyDescent="0.25">
      <c r="A862" s="19" t="s">
        <v>2217</v>
      </c>
      <c r="B862" t="s">
        <v>704</v>
      </c>
      <c r="C862" s="19" t="s">
        <v>2211</v>
      </c>
      <c r="D862">
        <v>10</v>
      </c>
      <c r="E862">
        <v>90001</v>
      </c>
      <c r="F862" s="19" t="s">
        <v>2227</v>
      </c>
      <c r="G862">
        <f t="shared" si="48"/>
        <v>26</v>
      </c>
      <c r="H862" s="9">
        <f>IF(ISERROR(VLOOKUP(A862,Excel4!D:J,7,0)),0,VLOOKUP(A862,Excel4!D:J,7,0))</f>
        <v>74.12</v>
      </c>
      <c r="I862" s="15" t="s">
        <v>1777</v>
      </c>
      <c r="J862" s="20" t="s">
        <v>2211</v>
      </c>
      <c r="K862" s="20" t="s">
        <v>131</v>
      </c>
      <c r="L862" s="18" t="str">
        <f t="shared" si="46"/>
        <v>KALKANDERE BELEDİYE BAŞKANLIĞI RİZE</v>
      </c>
      <c r="M862" s="18" t="str">
        <f t="shared" si="47"/>
        <v>KALKANDERE</v>
      </c>
    </row>
    <row r="863" spans="1:14" x14ac:dyDescent="0.25">
      <c r="A863" t="s">
        <v>2168</v>
      </c>
      <c r="B863" t="s">
        <v>704</v>
      </c>
      <c r="C863" s="19" t="s">
        <v>34</v>
      </c>
      <c r="D863">
        <v>10</v>
      </c>
      <c r="E863">
        <v>90001</v>
      </c>
      <c r="F863" t="s">
        <v>2169</v>
      </c>
      <c r="G863">
        <f t="shared" si="48"/>
        <v>26</v>
      </c>
      <c r="H863" s="9">
        <f>IF(ISERROR(VLOOKUP(A863,Excel4!D:J,7,0)),0,VLOOKUP(A863,Excel4!D:J,7,0))</f>
        <v>0</v>
      </c>
      <c r="I863" s="15" t="s">
        <v>1777</v>
      </c>
      <c r="J863" s="20" t="s">
        <v>323</v>
      </c>
      <c r="K863" s="20" t="s">
        <v>131</v>
      </c>
      <c r="L863" s="18" t="str">
        <f t="shared" si="46"/>
        <v>MURADİYE BELEDİYE BAŞKANLIĞI RİZE</v>
      </c>
      <c r="M863" s="18" t="str">
        <f t="shared" si="47"/>
        <v>MURADİYE</v>
      </c>
    </row>
    <row r="864" spans="1:14" x14ac:dyDescent="0.25">
      <c r="A864" t="s">
        <v>788</v>
      </c>
      <c r="B864" t="s">
        <v>704</v>
      </c>
      <c r="C864" t="s">
        <v>336</v>
      </c>
      <c r="D864">
        <v>10</v>
      </c>
      <c r="E864">
        <v>90001</v>
      </c>
      <c r="F864" t="s">
        <v>789</v>
      </c>
      <c r="G864">
        <f t="shared" si="48"/>
        <v>26</v>
      </c>
      <c r="H864" s="9">
        <f>IF(ISERROR(VLOOKUP(A864,Excel4!D:J,7,0)),0,VLOOKUP(A864,Excel4!D:J,7,0))</f>
        <v>0</v>
      </c>
      <c r="I864" s="15" t="s">
        <v>1777</v>
      </c>
      <c r="J864" s="15" t="s">
        <v>336</v>
      </c>
      <c r="K864" s="15" t="s">
        <v>131</v>
      </c>
      <c r="L864" s="18" t="str">
        <f t="shared" si="46"/>
        <v>PAZAR BELEDİYE BAŞKANLIĞI RİZE</v>
      </c>
      <c r="M864" s="18" t="str">
        <f t="shared" si="47"/>
        <v>PAZAR</v>
      </c>
      <c r="N864">
        <f>_xlfn.XLOOKUP(M864,[1]Sheet1!$A:$A,[1]Sheet1!$G:$G)</f>
        <v>0</v>
      </c>
    </row>
    <row r="865" spans="1:14" x14ac:dyDescent="0.25">
      <c r="A865" t="s">
        <v>2883</v>
      </c>
      <c r="B865" t="s">
        <v>704</v>
      </c>
      <c r="C865" t="s">
        <v>34</v>
      </c>
      <c r="D865">
        <v>10</v>
      </c>
      <c r="E865">
        <v>90001</v>
      </c>
      <c r="F865" t="s">
        <v>2756</v>
      </c>
      <c r="G865">
        <f t="shared" si="48"/>
        <v>26</v>
      </c>
      <c r="H865" s="9">
        <f>IF(ISERROR(VLOOKUP(A865,Excel4!D:J,7,0)),0,VLOOKUP(A865,Excel4!D:J,7,0))</f>
        <v>0</v>
      </c>
      <c r="I865" s="15" t="s">
        <v>1777</v>
      </c>
      <c r="J865" s="15" t="s">
        <v>2884</v>
      </c>
      <c r="K865" s="15" t="s">
        <v>131</v>
      </c>
      <c r="L865" s="18" t="str">
        <f t="shared" si="46"/>
        <v>SALARHA BELEDİYE BAŞKANLIĞI RİZE</v>
      </c>
      <c r="M865" s="18" t="str">
        <f t="shared" si="47"/>
        <v>SALARHA</v>
      </c>
    </row>
    <row r="866" spans="1:14" x14ac:dyDescent="0.25">
      <c r="A866" t="s">
        <v>2842</v>
      </c>
      <c r="B866" t="s">
        <v>704</v>
      </c>
      <c r="C866" t="s">
        <v>87</v>
      </c>
      <c r="D866">
        <v>10</v>
      </c>
      <c r="E866">
        <v>90001</v>
      </c>
      <c r="F866" t="s">
        <v>2846</v>
      </c>
      <c r="G866">
        <f t="shared" si="48"/>
        <v>26</v>
      </c>
      <c r="H866" s="9">
        <f>IF(ISERROR(VLOOKUP(A866,Excel4!D:J,7,0)),0,VLOOKUP(A866,Excel4!D:J,7,0))</f>
        <v>0</v>
      </c>
      <c r="I866" s="15" t="s">
        <v>1777</v>
      </c>
      <c r="J866" s="15" t="s">
        <v>2839</v>
      </c>
      <c r="K866" s="15" t="s">
        <v>131</v>
      </c>
      <c r="L866" s="18" t="str">
        <f t="shared" si="46"/>
        <v>TUNCA BELEDİYE BAŞKANLIĞI RİZE</v>
      </c>
      <c r="M866" s="18" t="str">
        <f t="shared" si="47"/>
        <v>TUNCA</v>
      </c>
    </row>
    <row r="867" spans="1:14" x14ac:dyDescent="0.25">
      <c r="A867" t="s">
        <v>786</v>
      </c>
      <c r="B867" t="s">
        <v>704</v>
      </c>
      <c r="C867" t="s">
        <v>131</v>
      </c>
      <c r="D867">
        <v>10</v>
      </c>
      <c r="E867">
        <v>90001</v>
      </c>
      <c r="F867" t="s">
        <v>787</v>
      </c>
      <c r="G867">
        <f t="shared" si="48"/>
        <v>26</v>
      </c>
      <c r="H867" s="9">
        <f>IF(ISERROR(VLOOKUP(A867,Excel4!D:J,7,0)),0,VLOOKUP(A867,Excel4!D:J,7,0))</f>
        <v>12421.93</v>
      </c>
      <c r="I867" s="15" t="s">
        <v>1777</v>
      </c>
      <c r="J867" s="15" t="s">
        <v>34</v>
      </c>
      <c r="K867" s="15" t="s">
        <v>131</v>
      </c>
      <c r="L867" s="18" t="str">
        <f t="shared" si="46"/>
        <v>RİZE BELEDİYE BAŞKANLIĞI</v>
      </c>
      <c r="M867" s="18" t="str">
        <f t="shared" si="47"/>
        <v>RİZE</v>
      </c>
      <c r="N867" t="e">
        <f>_xlfn.XLOOKUP(M867,[1]Sheet1!$C:$C,[1]Sheet1!$G:$G)</f>
        <v>#N/A</v>
      </c>
    </row>
    <row r="868" spans="1:14" x14ac:dyDescent="0.25">
      <c r="A868" t="s">
        <v>790</v>
      </c>
      <c r="B868" t="s">
        <v>704</v>
      </c>
      <c r="C868" t="s">
        <v>133</v>
      </c>
      <c r="D868">
        <v>10</v>
      </c>
      <c r="E868">
        <v>90001</v>
      </c>
      <c r="F868" t="s">
        <v>791</v>
      </c>
      <c r="G868">
        <f t="shared" si="48"/>
        <v>26</v>
      </c>
      <c r="H868" s="9">
        <f>IF(ISERROR(VLOOKUP(A868,Excel4!D:J,7,0)),0,VLOOKUP(A868,Excel4!D:J,7,0))</f>
        <v>0</v>
      </c>
      <c r="I868" s="15" t="s">
        <v>1777</v>
      </c>
      <c r="J868" s="15" t="s">
        <v>681</v>
      </c>
      <c r="K868" s="15" t="s">
        <v>132</v>
      </c>
      <c r="L868" s="18" t="str">
        <f t="shared" ref="L868:L931" si="49">IF(J868="MERKEZ",K868&amp;" "&amp;I868,IF(J868="BÜYÜKŞEHİR",K868&amp;" "&amp;J868&amp;" "&amp;I868,J868&amp;" "&amp;I868&amp;" "&amp;K868))</f>
        <v>DARIÇAYI BELEDİYE BAŞKANLIĞI SAKARYA</v>
      </c>
      <c r="M868" s="18" t="str">
        <f t="shared" si="47"/>
        <v>DARIÇAYI</v>
      </c>
    </row>
    <row r="869" spans="1:14" x14ac:dyDescent="0.25">
      <c r="A869" t="s">
        <v>1737</v>
      </c>
      <c r="B869" t="s">
        <v>699</v>
      </c>
      <c r="C869" t="s">
        <v>310</v>
      </c>
      <c r="D869">
        <v>15</v>
      </c>
      <c r="E869">
        <v>90001</v>
      </c>
      <c r="F869" t="s">
        <v>1738</v>
      </c>
      <c r="G869">
        <f t="shared" si="48"/>
        <v>26</v>
      </c>
      <c r="H869" s="9">
        <f>IF(ISERROR(VLOOKUP(A869,Excel4!D:J,7,0)),0,VLOOKUP(A869,Excel4!D:J,7,0))</f>
        <v>0</v>
      </c>
      <c r="I869" s="15" t="s">
        <v>1777</v>
      </c>
      <c r="J869" s="15" t="s">
        <v>310</v>
      </c>
      <c r="K869" s="15" t="s">
        <v>132</v>
      </c>
      <c r="L869" s="18" t="str">
        <f t="shared" si="49"/>
        <v>GEYVE BELEDİYE BAŞKANLIĞI SAKARYA</v>
      </c>
      <c r="M869" s="18" t="str">
        <f t="shared" si="47"/>
        <v>GEYVE</v>
      </c>
    </row>
    <row r="870" spans="1:14" x14ac:dyDescent="0.25">
      <c r="A870" t="s">
        <v>1739</v>
      </c>
      <c r="B870" t="s">
        <v>2555</v>
      </c>
      <c r="C870" t="s">
        <v>265</v>
      </c>
      <c r="D870">
        <v>12</v>
      </c>
      <c r="E870">
        <v>90001</v>
      </c>
      <c r="F870" t="s">
        <v>1740</v>
      </c>
      <c r="G870">
        <f t="shared" si="48"/>
        <v>26</v>
      </c>
      <c r="H870" s="9">
        <f>IF(ISERROR(VLOOKUP(A870,Excel4!D:J,7,0)),0,VLOOKUP(A870,Excel4!D:J,7,0))</f>
        <v>0</v>
      </c>
      <c r="I870" s="15" t="s">
        <v>1777</v>
      </c>
      <c r="J870" s="15" t="s">
        <v>265</v>
      </c>
      <c r="K870" s="15" t="s">
        <v>132</v>
      </c>
      <c r="L870" s="18" t="str">
        <f t="shared" si="49"/>
        <v>HENDEK BELEDİYE BAŞKANLIĞI SAKARYA</v>
      </c>
      <c r="M870" s="18" t="str">
        <f t="shared" si="47"/>
        <v>HENDEK</v>
      </c>
    </row>
    <row r="871" spans="1:14" x14ac:dyDescent="0.25">
      <c r="A871" t="s">
        <v>792</v>
      </c>
      <c r="B871" t="s">
        <v>704</v>
      </c>
      <c r="C871" t="s">
        <v>133</v>
      </c>
      <c r="D871">
        <v>10</v>
      </c>
      <c r="E871">
        <v>90001</v>
      </c>
      <c r="F871" t="s">
        <v>793</v>
      </c>
      <c r="G871">
        <f t="shared" si="48"/>
        <v>26</v>
      </c>
      <c r="H871" s="9">
        <f>IF(ISERROR(VLOOKUP(A871,Excel4!D:J,7,0)),0,VLOOKUP(A871,Excel4!D:J,7,0))</f>
        <v>0</v>
      </c>
      <c r="I871" s="15" t="s">
        <v>1777</v>
      </c>
      <c r="J871" s="15" t="s">
        <v>133</v>
      </c>
      <c r="K871" s="15" t="s">
        <v>132</v>
      </c>
      <c r="L871" s="18" t="str">
        <f t="shared" si="49"/>
        <v>KARASU BELEDİYE BAŞKANLIĞI SAKARYA</v>
      </c>
      <c r="M871" s="18" t="str">
        <f t="shared" si="47"/>
        <v>KARASU</v>
      </c>
    </row>
    <row r="872" spans="1:14" x14ac:dyDescent="0.25">
      <c r="A872" t="s">
        <v>794</v>
      </c>
      <c r="B872" t="s">
        <v>704</v>
      </c>
      <c r="C872" t="s">
        <v>682</v>
      </c>
      <c r="D872">
        <v>10</v>
      </c>
      <c r="E872">
        <v>90001</v>
      </c>
      <c r="F872" t="s">
        <v>795</v>
      </c>
      <c r="G872">
        <f t="shared" si="48"/>
        <v>26</v>
      </c>
      <c r="H872" s="9">
        <f>IF(ISERROR(VLOOKUP(A872,Excel4!D:J,7,0)),0,VLOOKUP(A872,Excel4!D:J,7,0))</f>
        <v>0</v>
      </c>
      <c r="I872" s="15" t="s">
        <v>1777</v>
      </c>
      <c r="J872" s="15" t="s">
        <v>682</v>
      </c>
      <c r="K872" s="15" t="s">
        <v>132</v>
      </c>
      <c r="L872" s="18" t="str">
        <f t="shared" si="49"/>
        <v>KAYNARCA BELEDİYE BAŞKANLIĞI SAKARYA</v>
      </c>
      <c r="M872" s="18" t="str">
        <f t="shared" si="47"/>
        <v>KAYNARCA</v>
      </c>
    </row>
    <row r="873" spans="1:14" x14ac:dyDescent="0.25">
      <c r="A873" t="s">
        <v>796</v>
      </c>
      <c r="B873" t="s">
        <v>2555</v>
      </c>
      <c r="C873" t="s">
        <v>242</v>
      </c>
      <c r="D873">
        <v>12</v>
      </c>
      <c r="E873">
        <v>90001</v>
      </c>
      <c r="F873" t="s">
        <v>797</v>
      </c>
      <c r="G873">
        <f t="shared" si="48"/>
        <v>26</v>
      </c>
      <c r="H873" s="9">
        <f>IF(ISERROR(VLOOKUP(A873,Excel4!D:J,7,0)),0,VLOOKUP(A873,Excel4!D:J,7,0))</f>
        <v>0</v>
      </c>
      <c r="I873" s="15" t="s">
        <v>1777</v>
      </c>
      <c r="J873" s="15" t="s">
        <v>242</v>
      </c>
      <c r="K873" s="15" t="s">
        <v>132</v>
      </c>
      <c r="L873" s="18" t="str">
        <f t="shared" si="49"/>
        <v>PAMUKOVA BELEDİYE BAŞKANLIĞI SAKARYA</v>
      </c>
      <c r="M873" s="18" t="str">
        <f t="shared" si="47"/>
        <v>PAMUKOVA</v>
      </c>
    </row>
    <row r="874" spans="1:14" x14ac:dyDescent="0.25">
      <c r="A874" t="s">
        <v>1944</v>
      </c>
      <c r="B874" t="s">
        <v>704</v>
      </c>
      <c r="C874" t="s">
        <v>1884</v>
      </c>
      <c r="D874">
        <v>10</v>
      </c>
      <c r="E874">
        <v>90001</v>
      </c>
      <c r="F874" t="s">
        <v>1988</v>
      </c>
      <c r="G874">
        <f t="shared" si="48"/>
        <v>26</v>
      </c>
      <c r="H874" s="9">
        <f>IF(ISERROR(VLOOKUP(A874,Excel4!D:J,7,0)),0,VLOOKUP(A874,Excel4!D:J,7,0))</f>
        <v>0</v>
      </c>
      <c r="I874" s="15" t="s">
        <v>1777</v>
      </c>
      <c r="J874" s="15" t="s">
        <v>1884</v>
      </c>
      <c r="K874" s="15" t="s">
        <v>132</v>
      </c>
      <c r="L874" s="18" t="str">
        <f t="shared" si="49"/>
        <v>TARAKLI BELEDİYE BAŞKANLIĞI SAKARYA</v>
      </c>
      <c r="M874" s="18" t="str">
        <f t="shared" si="47"/>
        <v>TARAKLI</v>
      </c>
    </row>
    <row r="875" spans="1:14" x14ac:dyDescent="0.25">
      <c r="A875" t="s">
        <v>1741</v>
      </c>
      <c r="B875" t="s">
        <v>699</v>
      </c>
      <c r="C875" t="s">
        <v>4</v>
      </c>
      <c r="D875">
        <v>15</v>
      </c>
      <c r="E875">
        <v>90001</v>
      </c>
      <c r="F875" t="s">
        <v>1742</v>
      </c>
      <c r="G875">
        <f t="shared" si="48"/>
        <v>26</v>
      </c>
      <c r="H875" s="9">
        <f>IF(ISERROR(VLOOKUP(A875,Excel4!D:J,7,0)),0,VLOOKUP(A875,Excel4!D:J,7,0))</f>
        <v>0</v>
      </c>
      <c r="I875" s="15" t="s">
        <v>1777</v>
      </c>
      <c r="J875" s="15" t="s">
        <v>4</v>
      </c>
      <c r="K875" s="15" t="s">
        <v>134</v>
      </c>
      <c r="L875" s="18" t="str">
        <f t="shared" si="49"/>
        <v>AYVACIK BELEDİYE BAŞKANLIĞI SAMSUN</v>
      </c>
      <c r="M875" s="18" t="str">
        <f t="shared" si="47"/>
        <v>AYVACIK</v>
      </c>
    </row>
    <row r="876" spans="1:14" x14ac:dyDescent="0.25">
      <c r="A876" t="s">
        <v>798</v>
      </c>
      <c r="B876" t="s">
        <v>2555</v>
      </c>
      <c r="C876" t="s">
        <v>193</v>
      </c>
      <c r="D876">
        <v>12</v>
      </c>
      <c r="E876">
        <v>90001</v>
      </c>
      <c r="F876" t="s">
        <v>799</v>
      </c>
      <c r="G876">
        <f t="shared" si="48"/>
        <v>26</v>
      </c>
      <c r="H876" s="9">
        <f>IF(ISERROR(VLOOKUP(A876,Excel4!D:J,7,0)),0,VLOOKUP(A876,Excel4!D:J,7,0))</f>
        <v>0</v>
      </c>
      <c r="I876" s="15" t="s">
        <v>1777</v>
      </c>
      <c r="J876" s="15" t="s">
        <v>193</v>
      </c>
      <c r="K876" s="15" t="s">
        <v>134</v>
      </c>
      <c r="L876" s="18" t="str">
        <f t="shared" si="49"/>
        <v>BAFRA BELEDİYE BAŞKANLIĞI SAMSUN</v>
      </c>
      <c r="M876" s="18" t="str">
        <f t="shared" si="47"/>
        <v>BAFRA</v>
      </c>
    </row>
    <row r="877" spans="1:14" x14ac:dyDescent="0.25">
      <c r="A877" t="s">
        <v>1899</v>
      </c>
      <c r="B877" t="s">
        <v>699</v>
      </c>
      <c r="C877" t="s">
        <v>99</v>
      </c>
      <c r="D877">
        <v>15</v>
      </c>
      <c r="E877">
        <v>90001</v>
      </c>
      <c r="F877" t="s">
        <v>413</v>
      </c>
      <c r="G877">
        <f t="shared" si="48"/>
        <v>26</v>
      </c>
      <c r="H877" s="9">
        <f>IF(ISERROR(VLOOKUP(A877,Excel4!D:J,7,0)),0,VLOOKUP(A877,Excel4!D:J,7,0))</f>
        <v>41776.589999999997</v>
      </c>
      <c r="I877" s="15" t="s">
        <v>1777</v>
      </c>
      <c r="J877" s="15" t="s">
        <v>27</v>
      </c>
      <c r="K877" s="15" t="s">
        <v>132</v>
      </c>
      <c r="L877" s="18" t="str">
        <f t="shared" si="49"/>
        <v>SAKARYA BÜYÜKŞEHİR BELEDİYE BAŞKANLIĞI</v>
      </c>
      <c r="M877" s="18" t="str">
        <f t="shared" si="47"/>
        <v>SAKARYA BÜYÜKŞEHİR</v>
      </c>
      <c r="N877">
        <f>_xlfn.XLOOKUP(M877,[1]Sheet1!$A:$A,[1]Sheet1!$G:$G)</f>
        <v>0</v>
      </c>
    </row>
    <row r="878" spans="1:14" x14ac:dyDescent="0.25">
      <c r="A878" t="s">
        <v>1743</v>
      </c>
      <c r="B878" t="s">
        <v>699</v>
      </c>
      <c r="C878" t="s">
        <v>299</v>
      </c>
      <c r="D878">
        <v>15</v>
      </c>
      <c r="E878">
        <v>90001</v>
      </c>
      <c r="F878" t="s">
        <v>414</v>
      </c>
      <c r="G878">
        <f t="shared" si="48"/>
        <v>26</v>
      </c>
      <c r="H878" s="9">
        <f>IF(ISERROR(VLOOKUP(A878,Excel4!D:J,7,0)),0,VLOOKUP(A878,Excel4!D:J,7,0))</f>
        <v>0</v>
      </c>
      <c r="I878" s="15" t="s">
        <v>1777</v>
      </c>
      <c r="J878" s="15" t="s">
        <v>299</v>
      </c>
      <c r="K878" s="15" t="s">
        <v>134</v>
      </c>
      <c r="L878" s="18" t="str">
        <f t="shared" si="49"/>
        <v>ÇARŞAMBA BELEDİYE BAŞKANLIĞI SAMSUN</v>
      </c>
      <c r="M878" s="18" t="str">
        <f t="shared" si="47"/>
        <v>ÇARŞAMBA</v>
      </c>
    </row>
    <row r="879" spans="1:14" x14ac:dyDescent="0.25">
      <c r="A879" t="s">
        <v>1942</v>
      </c>
      <c r="B879" t="s">
        <v>2555</v>
      </c>
      <c r="C879" t="s">
        <v>299</v>
      </c>
      <c r="D879">
        <v>12</v>
      </c>
      <c r="E879">
        <v>90001</v>
      </c>
      <c r="F879" t="s">
        <v>1964</v>
      </c>
      <c r="G879">
        <f t="shared" si="48"/>
        <v>26</v>
      </c>
      <c r="H879" s="9">
        <f>IF(ISERROR(VLOOKUP(A879,Excel4!D:J,7,0)),0,VLOOKUP(A879,Excel4!D:J,7,0))</f>
        <v>0</v>
      </c>
      <c r="I879" s="15" t="s">
        <v>1777</v>
      </c>
      <c r="J879" s="15" t="s">
        <v>1886</v>
      </c>
      <c r="K879" s="15" t="s">
        <v>134</v>
      </c>
      <c r="L879" s="18" t="str">
        <f t="shared" si="49"/>
        <v>DİKBIYIK BELEDİYE BAŞKANLIĞI SAMSUN</v>
      </c>
      <c r="M879" s="18" t="str">
        <f t="shared" si="47"/>
        <v>DİKBIYIK</v>
      </c>
    </row>
    <row r="880" spans="1:14" x14ac:dyDescent="0.25">
      <c r="A880" t="s">
        <v>1744</v>
      </c>
      <c r="B880" t="s">
        <v>818</v>
      </c>
      <c r="C880" t="s">
        <v>468</v>
      </c>
      <c r="D880">
        <v>64</v>
      </c>
      <c r="E880">
        <v>90001</v>
      </c>
      <c r="F880" t="s">
        <v>1745</v>
      </c>
      <c r="G880">
        <f t="shared" si="48"/>
        <v>26</v>
      </c>
      <c r="H880" s="9">
        <f>IF(ISERROR(VLOOKUP(A880,Excel4!D:J,7,0)),0,VLOOKUP(A880,Excel4!D:J,7,0))</f>
        <v>0</v>
      </c>
      <c r="I880" s="15" t="s">
        <v>1777</v>
      </c>
      <c r="J880" s="15" t="s">
        <v>468</v>
      </c>
      <c r="K880" s="15" t="s">
        <v>134</v>
      </c>
      <c r="L880" s="18" t="str">
        <f t="shared" si="49"/>
        <v>HAVZA BELEDİYE BAŞKANLIĞI SAMSUN</v>
      </c>
      <c r="M880" s="18" t="str">
        <f t="shared" si="47"/>
        <v>HAVZA</v>
      </c>
    </row>
    <row r="881" spans="1:14" x14ac:dyDescent="0.25">
      <c r="A881" t="s">
        <v>800</v>
      </c>
      <c r="B881" t="s">
        <v>704</v>
      </c>
      <c r="C881" t="s">
        <v>801</v>
      </c>
      <c r="D881">
        <v>10</v>
      </c>
      <c r="E881">
        <v>90001</v>
      </c>
      <c r="F881" t="s">
        <v>802</v>
      </c>
      <c r="G881">
        <f t="shared" si="48"/>
        <v>26</v>
      </c>
      <c r="H881" s="9">
        <f>IF(ISERROR(VLOOKUP(A881,Excel4!D:J,7,0)),0,VLOOKUP(A881,Excel4!D:J,7,0))</f>
        <v>0</v>
      </c>
      <c r="I881" s="15" t="s">
        <v>1777</v>
      </c>
      <c r="J881" s="15" t="s">
        <v>337</v>
      </c>
      <c r="K881" s="15" t="s">
        <v>134</v>
      </c>
      <c r="L881" s="18" t="str">
        <f t="shared" si="49"/>
        <v>ONDOKUZMAYIS BELEDİYE BAŞKANLIĞI SAMSUN</v>
      </c>
      <c r="M881" s="18" t="str">
        <f t="shared" si="47"/>
        <v>ONDOKUZMAYIS</v>
      </c>
    </row>
    <row r="882" spans="1:14" x14ac:dyDescent="0.25">
      <c r="A882" t="s">
        <v>803</v>
      </c>
      <c r="B882" t="s">
        <v>2555</v>
      </c>
      <c r="C882" t="s">
        <v>224</v>
      </c>
      <c r="D882">
        <v>12</v>
      </c>
      <c r="E882">
        <v>90001</v>
      </c>
      <c r="F882" t="s">
        <v>804</v>
      </c>
      <c r="G882">
        <f t="shared" si="48"/>
        <v>26</v>
      </c>
      <c r="H882" s="9">
        <f>IF(ISERROR(VLOOKUP(A882,Excel4!D:J,7,0)),0,VLOOKUP(A882,Excel4!D:J,7,0))</f>
        <v>0</v>
      </c>
      <c r="I882" s="15" t="s">
        <v>1777</v>
      </c>
      <c r="J882" s="15" t="s">
        <v>224</v>
      </c>
      <c r="K882" s="15" t="s">
        <v>134</v>
      </c>
      <c r="L882" s="18" t="str">
        <f t="shared" si="49"/>
        <v>TERME BELEDİYE BAŞKANLIĞI SAMSUN</v>
      </c>
      <c r="M882" s="18" t="str">
        <f t="shared" si="47"/>
        <v>TERME</v>
      </c>
    </row>
    <row r="883" spans="1:14" x14ac:dyDescent="0.25">
      <c r="A883" t="s">
        <v>805</v>
      </c>
      <c r="B883" t="s">
        <v>704</v>
      </c>
      <c r="C883" t="s">
        <v>271</v>
      </c>
      <c r="D883">
        <v>10</v>
      </c>
      <c r="E883">
        <v>90001</v>
      </c>
      <c r="F883" t="s">
        <v>806</v>
      </c>
      <c r="G883">
        <f t="shared" si="48"/>
        <v>26</v>
      </c>
      <c r="H883" s="9">
        <f>IF(ISERROR(VLOOKUP(A883,Excel4!D:J,7,0)),0,VLOOKUP(A883,Excel4!D:J,7,0))</f>
        <v>0</v>
      </c>
      <c r="I883" s="15" t="s">
        <v>1777</v>
      </c>
      <c r="J883" s="15" t="s">
        <v>271</v>
      </c>
      <c r="K883" s="15" t="s">
        <v>134</v>
      </c>
      <c r="L883" s="18" t="str">
        <f t="shared" si="49"/>
        <v>VEZİRKÖPRÜ BELEDİYE BAŞKANLIĞI SAMSUN</v>
      </c>
      <c r="M883" s="18" t="str">
        <f t="shared" si="47"/>
        <v>VEZİRKÖPRÜ</v>
      </c>
    </row>
    <row r="884" spans="1:14" x14ac:dyDescent="0.25">
      <c r="A884" t="s">
        <v>2587</v>
      </c>
      <c r="B884" t="s">
        <v>704</v>
      </c>
      <c r="C884" t="s">
        <v>2583</v>
      </c>
      <c r="D884">
        <v>10</v>
      </c>
      <c r="E884">
        <v>90001</v>
      </c>
      <c r="F884" t="s">
        <v>2589</v>
      </c>
      <c r="G884">
        <f t="shared" si="48"/>
        <v>26</v>
      </c>
      <c r="H884" s="9">
        <f>IF(ISERROR(VLOOKUP(A884,Excel4!D:J,7,0)),0,VLOOKUP(A884,Excel4!D:J,7,0))</f>
        <v>0</v>
      </c>
      <c r="I884" s="15" t="s">
        <v>1777</v>
      </c>
      <c r="J884" s="20" t="s">
        <v>2583</v>
      </c>
      <c r="K884" s="15" t="s">
        <v>88</v>
      </c>
      <c r="L884" s="18" t="str">
        <f t="shared" si="49"/>
        <v>BAYKAN BELEDİYE BAŞKANLIĞI SİİRT</v>
      </c>
      <c r="M884" s="18" t="str">
        <f t="shared" si="47"/>
        <v>BAYKAN</v>
      </c>
    </row>
    <row r="885" spans="1:14" x14ac:dyDescent="0.25">
      <c r="A885" t="s">
        <v>2725</v>
      </c>
      <c r="B885" t="s">
        <v>818</v>
      </c>
      <c r="C885" t="s">
        <v>2734</v>
      </c>
      <c r="D885">
        <v>64</v>
      </c>
      <c r="E885">
        <v>90001</v>
      </c>
      <c r="F885" t="s">
        <v>2735</v>
      </c>
      <c r="G885">
        <f t="shared" si="48"/>
        <v>26</v>
      </c>
      <c r="H885" s="9">
        <f>IF(ISERROR(VLOOKUP(A885,Excel4!D:J,7,0)),0,VLOOKUP(A885,Excel4!D:J,7,0))</f>
        <v>0</v>
      </c>
      <c r="I885" s="15" t="s">
        <v>1777</v>
      </c>
      <c r="J885" s="20" t="s">
        <v>2720</v>
      </c>
      <c r="K885" s="15" t="s">
        <v>88</v>
      </c>
      <c r="L885" s="18" t="str">
        <f t="shared" si="49"/>
        <v>GÖKÇEBAĞ BELEDİYE BAŞKANLIĞI SİİRT</v>
      </c>
      <c r="M885" s="18" t="str">
        <f t="shared" si="47"/>
        <v>GÖKÇEBAĞ</v>
      </c>
    </row>
    <row r="886" spans="1:14" x14ac:dyDescent="0.25">
      <c r="A886" t="s">
        <v>1910</v>
      </c>
      <c r="B886" t="s">
        <v>699</v>
      </c>
      <c r="C886" t="s">
        <v>3175</v>
      </c>
      <c r="D886">
        <v>15</v>
      </c>
      <c r="E886">
        <v>90001</v>
      </c>
      <c r="F886" t="s">
        <v>3159</v>
      </c>
      <c r="G886">
        <f t="shared" si="48"/>
        <v>26</v>
      </c>
      <c r="H886" s="9">
        <f>IF(ISERROR(VLOOKUP(A886,Excel4!D:J,7,0)),0,VLOOKUP(A886,Excel4!D:J,7,0))</f>
        <v>11976.25</v>
      </c>
      <c r="I886" s="15" t="s">
        <v>1777</v>
      </c>
      <c r="J886" s="15" t="s">
        <v>27</v>
      </c>
      <c r="K886" s="15" t="s">
        <v>134</v>
      </c>
      <c r="L886" s="18" t="str">
        <f t="shared" si="49"/>
        <v>SAMSUN BÜYÜKŞEHİR BELEDİYE BAŞKANLIĞI</v>
      </c>
      <c r="M886" s="18" t="str">
        <f t="shared" si="47"/>
        <v>SAMSUN BÜYÜKŞEHİR</v>
      </c>
      <c r="N886">
        <f>_xlfn.XLOOKUP(M886,[1]Sheet1!$A:$A,[1]Sheet1!$G:$G)</f>
        <v>0</v>
      </c>
    </row>
    <row r="887" spans="1:14" x14ac:dyDescent="0.25">
      <c r="A887" t="s">
        <v>1935</v>
      </c>
      <c r="B887" t="s">
        <v>704</v>
      </c>
      <c r="C887" t="s">
        <v>1887</v>
      </c>
      <c r="D887">
        <v>10</v>
      </c>
      <c r="E887">
        <v>90001</v>
      </c>
      <c r="F887" t="s">
        <v>1979</v>
      </c>
      <c r="G887">
        <f t="shared" si="48"/>
        <v>26</v>
      </c>
      <c r="H887" s="9">
        <f>IF(ISERROR(VLOOKUP(A887,Excel4!D:J,7,0)),0,VLOOKUP(A887,Excel4!D:J,7,0))</f>
        <v>20.759999999999998</v>
      </c>
      <c r="I887" s="15" t="s">
        <v>1777</v>
      </c>
      <c r="J887" s="15" t="s">
        <v>1887</v>
      </c>
      <c r="K887" s="15" t="s">
        <v>88</v>
      </c>
      <c r="L887" s="18" t="str">
        <f t="shared" si="49"/>
        <v>KURTALAN BELEDİYE BAŞKANLIĞI SİİRT</v>
      </c>
      <c r="M887" s="18" t="str">
        <f t="shared" si="47"/>
        <v>KURTALAN</v>
      </c>
      <c r="N887">
        <f>_xlfn.XLOOKUP(M887,[1]Sheet1!$A:$A,[1]Sheet1!$G:$G)</f>
        <v>0</v>
      </c>
    </row>
    <row r="888" spans="1:14" x14ac:dyDescent="0.25">
      <c r="A888" t="s">
        <v>2606</v>
      </c>
      <c r="B888" s="19" t="s">
        <v>704</v>
      </c>
      <c r="C888" s="19" t="s">
        <v>2598</v>
      </c>
      <c r="D888">
        <v>10</v>
      </c>
      <c r="E888">
        <v>90001</v>
      </c>
      <c r="F888" s="19" t="s">
        <v>2620</v>
      </c>
      <c r="G888">
        <f t="shared" si="48"/>
        <v>26</v>
      </c>
      <c r="H888" s="9">
        <f>IF(ISERROR(VLOOKUP(A888,Excel4!D:J,7,0)),0,VLOOKUP(A888,Excel4!D:J,7,0))</f>
        <v>0</v>
      </c>
      <c r="I888" s="15" t="s">
        <v>1777</v>
      </c>
      <c r="J888" s="20" t="s">
        <v>2598</v>
      </c>
      <c r="K888" s="15" t="s">
        <v>88</v>
      </c>
      <c r="L888" s="18" t="str">
        <f t="shared" si="49"/>
        <v>PERVARİ BELEDİYE BAŞKANLIĞI SİİRT</v>
      </c>
      <c r="M888" s="18" t="str">
        <f t="shared" si="47"/>
        <v>PERVARİ</v>
      </c>
    </row>
    <row r="889" spans="1:14" x14ac:dyDescent="0.25">
      <c r="A889" t="s">
        <v>4277</v>
      </c>
      <c r="B889" t="s">
        <v>704</v>
      </c>
      <c r="C889" t="s">
        <v>4234</v>
      </c>
      <c r="D889">
        <v>10</v>
      </c>
      <c r="E889">
        <v>90001</v>
      </c>
      <c r="F889" t="s">
        <v>4281</v>
      </c>
      <c r="G889">
        <f t="shared" si="48"/>
        <v>26</v>
      </c>
      <c r="H889" s="9">
        <f>IF(ISERROR(VLOOKUP(A889,Excel4!D:J,7,0)),0,VLOOKUP(A889,Excel4!D:J,7,0))</f>
        <v>0</v>
      </c>
      <c r="I889" s="15" t="s">
        <v>1777</v>
      </c>
      <c r="J889" s="15" t="s">
        <v>4234</v>
      </c>
      <c r="K889" s="15" t="s">
        <v>88</v>
      </c>
      <c r="L889" s="18" t="str">
        <f t="shared" si="49"/>
        <v>ŞİRVAN BELEDİYE BAŞKANLIĞI SİİRT</v>
      </c>
      <c r="M889" s="18" t="str">
        <f t="shared" si="47"/>
        <v>ŞİRVAN</v>
      </c>
    </row>
    <row r="890" spans="1:14" x14ac:dyDescent="0.25">
      <c r="A890" t="s">
        <v>807</v>
      </c>
      <c r="B890" t="s">
        <v>699</v>
      </c>
      <c r="C890" t="s">
        <v>88</v>
      </c>
      <c r="D890">
        <v>15</v>
      </c>
      <c r="E890">
        <v>90001</v>
      </c>
      <c r="F890" t="s">
        <v>808</v>
      </c>
      <c r="G890">
        <f t="shared" si="48"/>
        <v>26</v>
      </c>
      <c r="H890" s="9">
        <f>IF(ISERROR(VLOOKUP(A890,Excel4!D:J,7,0)),0,VLOOKUP(A890,Excel4!D:J,7,0))</f>
        <v>890.80000000000007</v>
      </c>
      <c r="I890" s="15" t="s">
        <v>1777</v>
      </c>
      <c r="J890" s="15" t="s">
        <v>34</v>
      </c>
      <c r="K890" s="15" t="s">
        <v>88</v>
      </c>
      <c r="L890" s="18" t="str">
        <f t="shared" si="49"/>
        <v>SİİRT BELEDİYE BAŞKANLIĞI</v>
      </c>
      <c r="M890" s="18" t="str">
        <f t="shared" si="47"/>
        <v>SİİRT</v>
      </c>
      <c r="N890" t="e">
        <f>_xlfn.XLOOKUP(M890,[1]Sheet1!$C:$C,[1]Sheet1!$G:$G)</f>
        <v>#N/A</v>
      </c>
    </row>
    <row r="891" spans="1:14" x14ac:dyDescent="0.25">
      <c r="A891" t="s">
        <v>809</v>
      </c>
      <c r="B891" t="s">
        <v>704</v>
      </c>
      <c r="C891" t="s">
        <v>469</v>
      </c>
      <c r="D891">
        <v>10</v>
      </c>
      <c r="E891">
        <v>90001</v>
      </c>
      <c r="F891" t="s">
        <v>810</v>
      </c>
      <c r="G891">
        <f t="shared" si="48"/>
        <v>26</v>
      </c>
      <c r="H891" s="9">
        <f>IF(ISERROR(VLOOKUP(A891,Excel4!D:J,7,0)),0,VLOOKUP(A891,Excel4!D:J,7,0))</f>
        <v>0</v>
      </c>
      <c r="I891" s="15" t="s">
        <v>1777</v>
      </c>
      <c r="J891" s="15" t="s">
        <v>469</v>
      </c>
      <c r="K891" s="15" t="s">
        <v>141</v>
      </c>
      <c r="L891" s="18" t="str">
        <f t="shared" si="49"/>
        <v>AYANCIK BELEDİYE BAŞKANLIĞI SİNOP</v>
      </c>
      <c r="M891" s="18" t="str">
        <f t="shared" si="47"/>
        <v>AYANCIK</v>
      </c>
      <c r="N891">
        <f>_xlfn.XLOOKUP(M891,[1]Sheet1!$A:$A,[1]Sheet1!$G:$G)</f>
        <v>0</v>
      </c>
    </row>
    <row r="892" spans="1:14" x14ac:dyDescent="0.25">
      <c r="A892" t="s">
        <v>2857</v>
      </c>
      <c r="B892" t="s">
        <v>704</v>
      </c>
      <c r="C892" t="s">
        <v>2855</v>
      </c>
      <c r="D892">
        <v>10</v>
      </c>
      <c r="E892">
        <v>90001</v>
      </c>
      <c r="F892" t="s">
        <v>2859</v>
      </c>
      <c r="G892">
        <f t="shared" si="48"/>
        <v>26</v>
      </c>
      <c r="H892" s="9">
        <f>IF(ISERROR(VLOOKUP(A892,Excel4!D:J,7,0)),0,VLOOKUP(A892,Excel4!D:J,7,0))</f>
        <v>0</v>
      </c>
      <c r="I892" s="15" t="s">
        <v>1777</v>
      </c>
      <c r="J892" s="20" t="s">
        <v>2855</v>
      </c>
      <c r="K892" s="15" t="s">
        <v>141</v>
      </c>
      <c r="L892" s="18" t="str">
        <f t="shared" si="49"/>
        <v>DURAĞAN BELEDİYE BAŞKANLIĞI SİNOP</v>
      </c>
      <c r="M892" s="18" t="str">
        <f t="shared" si="47"/>
        <v>DURAĞAN</v>
      </c>
      <c r="N892">
        <f>_xlfn.XLOOKUP(M892,[1]Sheet1!$A:$A,[1]Sheet1!$G:$G)</f>
        <v>0</v>
      </c>
    </row>
    <row r="893" spans="1:14" x14ac:dyDescent="0.25">
      <c r="A893" t="s">
        <v>811</v>
      </c>
      <c r="B893" t="s">
        <v>704</v>
      </c>
      <c r="C893" t="s">
        <v>470</v>
      </c>
      <c r="D893">
        <v>10</v>
      </c>
      <c r="E893">
        <v>90001</v>
      </c>
      <c r="F893" t="s">
        <v>812</v>
      </c>
      <c r="G893">
        <f t="shared" si="48"/>
        <v>26</v>
      </c>
      <c r="H893" s="9">
        <f>IF(ISERROR(VLOOKUP(A893,Excel4!D:J,7,0)),0,VLOOKUP(A893,Excel4!D:J,7,0))</f>
        <v>49.53</v>
      </c>
      <c r="I893" s="15" t="s">
        <v>1777</v>
      </c>
      <c r="J893" s="15" t="s">
        <v>470</v>
      </c>
      <c r="K893" s="15" t="s">
        <v>141</v>
      </c>
      <c r="L893" s="18" t="str">
        <f t="shared" si="49"/>
        <v>BOYABAT BELEDİYE BAŞKANLIĞI SİNOP</v>
      </c>
      <c r="M893" s="18" t="str">
        <f t="shared" si="47"/>
        <v>BOYABAT</v>
      </c>
      <c r="N893">
        <f>_xlfn.XLOOKUP(M893,[1]Sheet1!$A:$A,[1]Sheet1!$G:$G)</f>
        <v>0</v>
      </c>
    </row>
    <row r="894" spans="1:14" x14ac:dyDescent="0.25">
      <c r="A894" t="s">
        <v>2345</v>
      </c>
      <c r="B894" s="19" t="s">
        <v>704</v>
      </c>
      <c r="C894" s="19" t="s">
        <v>2239</v>
      </c>
      <c r="D894">
        <v>10</v>
      </c>
      <c r="E894">
        <v>90001</v>
      </c>
      <c r="F894" t="s">
        <v>2361</v>
      </c>
      <c r="G894">
        <f t="shared" si="48"/>
        <v>26</v>
      </c>
      <c r="H894" s="9">
        <f>IF(ISERROR(VLOOKUP(A894,Excel4!D:J,7,0)),0,VLOOKUP(A894,Excel4!D:J,7,0))</f>
        <v>125.38</v>
      </c>
      <c r="I894" s="15" t="s">
        <v>1777</v>
      </c>
      <c r="J894" s="20" t="s">
        <v>2239</v>
      </c>
      <c r="K894" s="20" t="s">
        <v>141</v>
      </c>
      <c r="L894" s="18" t="str">
        <f t="shared" si="49"/>
        <v>ERFELEK BELEDİYE BAŞKANLIĞI SİNOP</v>
      </c>
      <c r="M894" s="18" t="str">
        <f t="shared" si="47"/>
        <v>ERFELEK</v>
      </c>
    </row>
    <row r="895" spans="1:14" x14ac:dyDescent="0.25">
      <c r="A895" t="s">
        <v>2279</v>
      </c>
      <c r="B895" t="s">
        <v>2555</v>
      </c>
      <c r="C895" t="s">
        <v>2244</v>
      </c>
      <c r="D895">
        <v>12</v>
      </c>
      <c r="E895">
        <v>90001</v>
      </c>
      <c r="F895" t="s">
        <v>2588</v>
      </c>
      <c r="G895">
        <f t="shared" si="48"/>
        <v>26</v>
      </c>
      <c r="H895" s="9">
        <f>IF(ISERROR(VLOOKUP(A895,Excel4!D:J,7,0)),0,VLOOKUP(A895,Excel4!D:J,7,0))</f>
        <v>28.46</v>
      </c>
      <c r="I895" s="15" t="s">
        <v>1777</v>
      </c>
      <c r="J895" s="20" t="s">
        <v>2244</v>
      </c>
      <c r="K895" s="15" t="s">
        <v>141</v>
      </c>
      <c r="L895" s="18" t="str">
        <f t="shared" si="49"/>
        <v>GERZE BELEDİYE BAŞKANLIĞI SİNOP</v>
      </c>
      <c r="M895" s="18" t="str">
        <f t="shared" si="47"/>
        <v>GERZE</v>
      </c>
      <c r="N895">
        <f>_xlfn.XLOOKUP(M895,[1]Sheet1!$A:$A,[1]Sheet1!$G:$G)</f>
        <v>0</v>
      </c>
    </row>
    <row r="896" spans="1:14" x14ac:dyDescent="0.25">
      <c r="A896" t="s">
        <v>4016</v>
      </c>
      <c r="B896" t="s">
        <v>704</v>
      </c>
      <c r="C896" t="s">
        <v>3997</v>
      </c>
      <c r="D896">
        <v>10</v>
      </c>
      <c r="E896">
        <v>90001</v>
      </c>
      <c r="F896" t="s">
        <v>4017</v>
      </c>
      <c r="G896">
        <f t="shared" si="48"/>
        <v>26</v>
      </c>
      <c r="H896" s="9">
        <f>IF(ISERROR(VLOOKUP(A896,Excel4!D:J,7,0)),0,VLOOKUP(A896,Excel4!D:J,7,0))</f>
        <v>0</v>
      </c>
      <c r="I896" s="15" t="s">
        <v>1777</v>
      </c>
      <c r="J896" s="15" t="s">
        <v>3997</v>
      </c>
      <c r="K896" s="15" t="s">
        <v>141</v>
      </c>
      <c r="L896" s="18" t="str">
        <f t="shared" si="49"/>
        <v>SARAYDÜZÜ BELEDİYE BAŞKANLIĞI SİNOP</v>
      </c>
      <c r="M896" s="18" t="str">
        <f t="shared" si="47"/>
        <v>SARAYDÜZÜ</v>
      </c>
    </row>
    <row r="897" spans="1:14" x14ac:dyDescent="0.25">
      <c r="A897" t="s">
        <v>813</v>
      </c>
      <c r="B897" t="s">
        <v>704</v>
      </c>
      <c r="C897" t="s">
        <v>141</v>
      </c>
      <c r="D897">
        <v>10</v>
      </c>
      <c r="E897">
        <v>90001</v>
      </c>
      <c r="F897" t="s">
        <v>814</v>
      </c>
      <c r="G897">
        <f t="shared" si="48"/>
        <v>26</v>
      </c>
      <c r="H897" s="9">
        <f>IF(ISERROR(VLOOKUP(A897,Excel4!D:J,7,0)),0,VLOOKUP(A897,Excel4!D:J,7,0))</f>
        <v>3429.1800000000003</v>
      </c>
      <c r="I897" s="15" t="s">
        <v>1777</v>
      </c>
      <c r="J897" s="15" t="s">
        <v>34</v>
      </c>
      <c r="K897" s="15" t="s">
        <v>141</v>
      </c>
      <c r="L897" s="18" t="str">
        <f t="shared" si="49"/>
        <v>SİNOP BELEDİYE BAŞKANLIĞI</v>
      </c>
      <c r="M897" s="18" t="str">
        <f t="shared" si="47"/>
        <v>SİNOP</v>
      </c>
      <c r="N897" t="e">
        <f>_xlfn.XLOOKUP(M897,[1]Sheet1!$C:$C,[1]Sheet1!$G:$G)</f>
        <v>#N/A</v>
      </c>
    </row>
    <row r="898" spans="1:14" x14ac:dyDescent="0.25">
      <c r="A898" t="s">
        <v>1812</v>
      </c>
      <c r="B898" t="s">
        <v>2555</v>
      </c>
      <c r="C898" t="s">
        <v>245</v>
      </c>
      <c r="D898">
        <v>12</v>
      </c>
      <c r="E898">
        <v>90001</v>
      </c>
      <c r="F898" t="s">
        <v>1844</v>
      </c>
      <c r="G898">
        <f t="shared" si="48"/>
        <v>26</v>
      </c>
      <c r="H898" s="9">
        <f>IF(ISERROR(VLOOKUP(A898,Excel4!D:J,7,0)),0,VLOOKUP(A898,Excel4!D:J,7,0))</f>
        <v>0</v>
      </c>
      <c r="I898" s="15" t="s">
        <v>1777</v>
      </c>
      <c r="J898" s="15" t="s">
        <v>245</v>
      </c>
      <c r="K898" s="15" t="s">
        <v>141</v>
      </c>
      <c r="L898" s="18" t="str">
        <f t="shared" si="49"/>
        <v>TÜRKELİ BELEDİYE BAŞKANLIĞI SİNOP</v>
      </c>
      <c r="M898" s="18" t="str">
        <f t="shared" si="47"/>
        <v>TÜRKELİ</v>
      </c>
    </row>
    <row r="899" spans="1:14" x14ac:dyDescent="0.25">
      <c r="A899" t="s">
        <v>2515</v>
      </c>
      <c r="B899" t="s">
        <v>704</v>
      </c>
      <c r="C899" t="s">
        <v>360</v>
      </c>
      <c r="D899">
        <v>10</v>
      </c>
      <c r="E899">
        <v>90001</v>
      </c>
      <c r="F899" t="s">
        <v>2516</v>
      </c>
      <c r="G899">
        <f t="shared" si="48"/>
        <v>26</v>
      </c>
      <c r="H899" s="9">
        <f>IF(ISERROR(VLOOKUP(A899,Excel4!D:J,7,0)),0,VLOOKUP(A899,Excel4!D:J,7,0))</f>
        <v>0</v>
      </c>
      <c r="I899" s="15" t="s">
        <v>1777</v>
      </c>
      <c r="J899" s="15" t="s">
        <v>360</v>
      </c>
      <c r="K899" s="15" t="s">
        <v>135</v>
      </c>
      <c r="L899" s="18" t="str">
        <f t="shared" si="49"/>
        <v>ALTINYAYLA BELEDİYE BAŞKANLIĞI SİVAS</v>
      </c>
      <c r="M899" s="18" t="str">
        <f t="shared" si="47"/>
        <v>ALTINYAYLA</v>
      </c>
    </row>
    <row r="900" spans="1:14" x14ac:dyDescent="0.25">
      <c r="A900" t="s">
        <v>2013</v>
      </c>
      <c r="B900" t="s">
        <v>704</v>
      </c>
      <c r="C900" t="s">
        <v>471</v>
      </c>
      <c r="D900">
        <v>10</v>
      </c>
      <c r="E900">
        <v>90001</v>
      </c>
      <c r="F900" t="s">
        <v>2040</v>
      </c>
      <c r="G900">
        <f t="shared" si="48"/>
        <v>26</v>
      </c>
      <c r="H900" s="9">
        <f>IF(ISERROR(VLOOKUP(A900,Excel4!D:J,7,0)),0,VLOOKUP(A900,Excel4!D:J,7,0))</f>
        <v>0</v>
      </c>
      <c r="I900" s="15" t="s">
        <v>1777</v>
      </c>
      <c r="J900" s="15" t="s">
        <v>471</v>
      </c>
      <c r="K900" s="15" t="s">
        <v>135</v>
      </c>
      <c r="L900" s="18" t="str">
        <f t="shared" si="49"/>
        <v>AKINCILAR BELEDİYE BAŞKANLIĞI SİVAS</v>
      </c>
      <c r="M900" s="18" t="str">
        <f t="shared" ref="M900:M963" si="50">IF(J900="MERKEZ",K900,IF(J900="BÜYÜKŞEHİR",K900&amp;" BÜYÜKŞEHİR",J900))</f>
        <v>AKINCILAR</v>
      </c>
      <c r="N900">
        <f>_xlfn.XLOOKUP(M900,[1]Sheet1!$A:$A,[1]Sheet1!$G:$G)</f>
        <v>0</v>
      </c>
    </row>
    <row r="901" spans="1:14" x14ac:dyDescent="0.25">
      <c r="A901" t="s">
        <v>2786</v>
      </c>
      <c r="B901" s="19" t="s">
        <v>704</v>
      </c>
      <c r="C901" s="19" t="s">
        <v>2783</v>
      </c>
      <c r="D901">
        <v>10</v>
      </c>
      <c r="E901">
        <v>90001</v>
      </c>
      <c r="F901" s="19" t="s">
        <v>2790</v>
      </c>
      <c r="G901">
        <f t="shared" si="48"/>
        <v>26</v>
      </c>
      <c r="H901" s="9">
        <f>IF(ISERROR(VLOOKUP(A901,Excel4!D:J,7,0)),0,VLOOKUP(A901,Excel4!D:J,7,0))</f>
        <v>21.27</v>
      </c>
      <c r="I901" s="15" t="s">
        <v>1777</v>
      </c>
      <c r="J901" s="20" t="s">
        <v>2783</v>
      </c>
      <c r="K901" s="20" t="s">
        <v>135</v>
      </c>
      <c r="L901" s="18" t="str">
        <f t="shared" si="49"/>
        <v>DOĞANŞAR BELEDİYE BAŞKANLIĞI SİVAS</v>
      </c>
      <c r="M901" s="18" t="str">
        <f t="shared" si="50"/>
        <v>DOĞANŞAR</v>
      </c>
    </row>
    <row r="902" spans="1:14" x14ac:dyDescent="0.25">
      <c r="A902" s="19" t="s">
        <v>2220</v>
      </c>
      <c r="B902" s="19" t="s">
        <v>704</v>
      </c>
      <c r="C902" s="19" t="s">
        <v>2060</v>
      </c>
      <c r="D902">
        <v>10</v>
      </c>
      <c r="E902">
        <v>90001</v>
      </c>
      <c r="F902" s="19" t="s">
        <v>2225</v>
      </c>
      <c r="G902">
        <f t="shared" si="48"/>
        <v>26</v>
      </c>
      <c r="H902" s="9">
        <f>IF(ISERROR(VLOOKUP(A902,Excel4!D:J,7,0)),0,VLOOKUP(A902,Excel4!D:J,7,0))</f>
        <v>0</v>
      </c>
      <c r="I902" s="15" t="s">
        <v>1777</v>
      </c>
      <c r="J902" s="15" t="s">
        <v>2060</v>
      </c>
      <c r="K902" s="15" t="s">
        <v>135</v>
      </c>
      <c r="L902" s="18" t="str">
        <f t="shared" si="49"/>
        <v>DİVRİĞİ BELEDİYE BAŞKANLIĞI SİVAS</v>
      </c>
      <c r="M902" s="18" t="str">
        <f t="shared" si="50"/>
        <v>DİVRİĞİ</v>
      </c>
      <c r="N902">
        <f>_xlfn.XLOOKUP(M902,[1]Sheet1!$A:$A,[1]Sheet1!$G:$G)</f>
        <v>0</v>
      </c>
    </row>
    <row r="903" spans="1:14" x14ac:dyDescent="0.25">
      <c r="A903" t="s">
        <v>2851</v>
      </c>
      <c r="B903" t="s">
        <v>704</v>
      </c>
      <c r="C903" t="s">
        <v>2850</v>
      </c>
      <c r="D903">
        <v>10</v>
      </c>
      <c r="E903">
        <v>90001</v>
      </c>
      <c r="F903" t="s">
        <v>2852</v>
      </c>
      <c r="G903">
        <f t="shared" si="48"/>
        <v>26</v>
      </c>
      <c r="H903" s="9">
        <f>IF(ISERROR(VLOOKUP(A903,Excel4!D:J,7,0)),0,VLOOKUP(A903,Excel4!D:J,7,0))</f>
        <v>0</v>
      </c>
      <c r="I903" s="15" t="s">
        <v>1777</v>
      </c>
      <c r="J903" s="15" t="s">
        <v>2850</v>
      </c>
      <c r="K903" s="15" t="s">
        <v>135</v>
      </c>
      <c r="L903" s="18" t="str">
        <f t="shared" si="49"/>
        <v>GÖLOVA BELEDİYE BAŞKANLIĞI SİVAS</v>
      </c>
      <c r="M903" s="18" t="str">
        <f t="shared" si="50"/>
        <v>GÖLOVA</v>
      </c>
    </row>
    <row r="904" spans="1:14" x14ac:dyDescent="0.25">
      <c r="A904" t="s">
        <v>2510</v>
      </c>
      <c r="B904" t="s">
        <v>704</v>
      </c>
      <c r="C904" t="s">
        <v>2511</v>
      </c>
      <c r="D904">
        <v>10</v>
      </c>
      <c r="E904">
        <v>90001</v>
      </c>
      <c r="F904" t="s">
        <v>2512</v>
      </c>
      <c r="G904">
        <f t="shared" si="48"/>
        <v>26</v>
      </c>
      <c r="H904" s="9">
        <f>IF(ISERROR(VLOOKUP(A904,Excel4!D:J,7,0)),0,VLOOKUP(A904,Excel4!D:J,7,0))</f>
        <v>44.78</v>
      </c>
      <c r="I904" s="15" t="s">
        <v>1777</v>
      </c>
      <c r="J904" s="15" t="s">
        <v>2318</v>
      </c>
      <c r="K904" s="15" t="s">
        <v>135</v>
      </c>
      <c r="L904" s="18" t="str">
        <f t="shared" si="49"/>
        <v>GEMEREK BELEDİYE BAŞKANLIĞI SİVAS</v>
      </c>
      <c r="M904" s="18" t="str">
        <f t="shared" si="50"/>
        <v>GEMEREK</v>
      </c>
      <c r="N904">
        <f>_xlfn.XLOOKUP(M904,[1]Sheet1!$A:$A,[1]Sheet1!$G:$G)</f>
        <v>0</v>
      </c>
    </row>
    <row r="905" spans="1:14" x14ac:dyDescent="0.25">
      <c r="A905" t="s">
        <v>2605</v>
      </c>
      <c r="B905" s="19" t="s">
        <v>704</v>
      </c>
      <c r="C905" s="27" t="s">
        <v>2597</v>
      </c>
      <c r="D905">
        <v>10</v>
      </c>
      <c r="E905">
        <v>90001</v>
      </c>
      <c r="F905" s="27" t="s">
        <v>2617</v>
      </c>
      <c r="G905">
        <f t="shared" si="48"/>
        <v>26</v>
      </c>
      <c r="H905" s="9">
        <f>IF(ISERROR(VLOOKUP(A905,Excel4!D:J,7,0)),0,VLOOKUP(A905,Excel4!D:J,7,0))</f>
        <v>14.95</v>
      </c>
      <c r="I905" s="15" t="s">
        <v>1777</v>
      </c>
      <c r="J905" s="20" t="s">
        <v>2597</v>
      </c>
      <c r="K905" s="15" t="s">
        <v>135</v>
      </c>
      <c r="L905" s="18" t="str">
        <f t="shared" si="49"/>
        <v>HAFİK BELEDİYE BAŞKANLIĞI SİVAS</v>
      </c>
      <c r="M905" s="18" t="str">
        <f t="shared" si="50"/>
        <v>HAFİK</v>
      </c>
    </row>
    <row r="906" spans="1:14" x14ac:dyDescent="0.25">
      <c r="A906" s="19" t="s">
        <v>2219</v>
      </c>
      <c r="B906" s="19" t="s">
        <v>704</v>
      </c>
      <c r="C906" s="19" t="s">
        <v>2223</v>
      </c>
      <c r="D906">
        <v>10</v>
      </c>
      <c r="E906">
        <v>90001</v>
      </c>
      <c r="F906" s="19" t="s">
        <v>2224</v>
      </c>
      <c r="G906">
        <f t="shared" si="48"/>
        <v>26</v>
      </c>
      <c r="H906" s="9">
        <f>IF(ISERROR(VLOOKUP(A906,Excel4!D:J,7,0)),0,VLOOKUP(A906,Excel4!D:J,7,0))</f>
        <v>0</v>
      </c>
      <c r="I906" s="15" t="s">
        <v>1777</v>
      </c>
      <c r="J906" s="15" t="s">
        <v>2212</v>
      </c>
      <c r="K906" s="15" t="s">
        <v>135</v>
      </c>
      <c r="L906" s="18" t="str">
        <f t="shared" si="49"/>
        <v>GÜRÜN BELEDİYE BAŞKANLIĞI SİVAS</v>
      </c>
      <c r="M906" s="18" t="str">
        <f t="shared" si="50"/>
        <v>GÜRÜN</v>
      </c>
      <c r="N906">
        <f>_xlfn.XLOOKUP(M906,[1]Sheet1!$A:$A,[1]Sheet1!$G:$G)</f>
        <v>0</v>
      </c>
    </row>
    <row r="907" spans="1:14" x14ac:dyDescent="0.25">
      <c r="A907" t="s">
        <v>1746</v>
      </c>
      <c r="B907" t="s">
        <v>699</v>
      </c>
      <c r="C907" t="s">
        <v>683</v>
      </c>
      <c r="D907">
        <v>15</v>
      </c>
      <c r="E907">
        <v>90001</v>
      </c>
      <c r="F907" t="s">
        <v>1747</v>
      </c>
      <c r="G907">
        <f t="shared" si="48"/>
        <v>26</v>
      </c>
      <c r="H907" s="9">
        <f>IF(ISERROR(VLOOKUP(A907,Excel4!D:J,7,0)),0,VLOOKUP(A907,Excel4!D:J,7,0))</f>
        <v>70.400000000000006</v>
      </c>
      <c r="I907" s="15" t="s">
        <v>1777</v>
      </c>
      <c r="J907" s="15" t="s">
        <v>683</v>
      </c>
      <c r="K907" s="15" t="s">
        <v>135</v>
      </c>
      <c r="L907" s="18" t="str">
        <f t="shared" si="49"/>
        <v>KANGAL BELEDİYE BAŞKANLIĞI SİVAS</v>
      </c>
      <c r="M907" s="18" t="str">
        <f t="shared" si="50"/>
        <v>KANGAL</v>
      </c>
      <c r="N907">
        <f>_xlfn.XLOOKUP(M907,[1]Sheet1!$A:$A,[1]Sheet1!$G:$G)</f>
        <v>0</v>
      </c>
    </row>
    <row r="908" spans="1:14" x14ac:dyDescent="0.25">
      <c r="A908" s="19" t="s">
        <v>2547</v>
      </c>
      <c r="B908" s="19" t="s">
        <v>704</v>
      </c>
      <c r="C908" s="19" t="s">
        <v>2524</v>
      </c>
      <c r="D908">
        <v>10</v>
      </c>
      <c r="E908">
        <v>90001</v>
      </c>
      <c r="F908" s="19" t="s">
        <v>2569</v>
      </c>
      <c r="G908">
        <f t="shared" si="48"/>
        <v>26</v>
      </c>
      <c r="H908" s="9">
        <f>IF(ISERROR(VLOOKUP(A908,Excel4!D:J,7,0)),0,VLOOKUP(A908,Excel4!D:J,7,0))</f>
        <v>0</v>
      </c>
      <c r="I908" s="15" t="s">
        <v>1777</v>
      </c>
      <c r="J908" s="15" t="s">
        <v>2524</v>
      </c>
      <c r="K908" s="15" t="s">
        <v>135</v>
      </c>
      <c r="L908" s="18" t="str">
        <f t="shared" si="49"/>
        <v>İMRANLI BELEDİYE BAŞKANLIĞI SİVAS</v>
      </c>
      <c r="M908" s="18" t="str">
        <f t="shared" si="50"/>
        <v>İMRANLI</v>
      </c>
      <c r="N908">
        <f>_xlfn.XLOOKUP(M908,[1]Sheet1!$A:$A,[1]Sheet1!$G:$G)</f>
        <v>0</v>
      </c>
    </row>
    <row r="909" spans="1:14" x14ac:dyDescent="0.25">
      <c r="A909" t="s">
        <v>2548</v>
      </c>
      <c r="B909" t="s">
        <v>704</v>
      </c>
      <c r="C909" t="s">
        <v>2525</v>
      </c>
      <c r="D909">
        <v>10</v>
      </c>
      <c r="E909">
        <v>90001</v>
      </c>
      <c r="F909" t="s">
        <v>2576</v>
      </c>
      <c r="G909">
        <f t="shared" si="48"/>
        <v>26</v>
      </c>
      <c r="H909" s="9">
        <f>IF(ISERROR(VLOOKUP(A909,Excel4!D:J,7,0)),0,VLOOKUP(A909,Excel4!D:J,7,0))</f>
        <v>0</v>
      </c>
      <c r="I909" s="15" t="s">
        <v>1777</v>
      </c>
      <c r="J909" s="15" t="s">
        <v>2525</v>
      </c>
      <c r="K909" s="15" t="s">
        <v>135</v>
      </c>
      <c r="L909" s="18" t="str">
        <f t="shared" si="49"/>
        <v>KOYULHİSAR BELEDİYE BAŞKANLIĞI SİVAS</v>
      </c>
      <c r="M909" s="18" t="str">
        <f t="shared" si="50"/>
        <v>KOYULHİSAR</v>
      </c>
      <c r="N909">
        <f>_xlfn.XLOOKUP(M909,[1]Sheet1!$A:$A,[1]Sheet1!$G:$G)</f>
        <v>0</v>
      </c>
    </row>
    <row r="910" spans="1:14" x14ac:dyDescent="0.25">
      <c r="A910" t="s">
        <v>2998</v>
      </c>
      <c r="B910" t="s">
        <v>704</v>
      </c>
      <c r="C910" s="19" t="s">
        <v>2318</v>
      </c>
      <c r="D910">
        <v>10</v>
      </c>
      <c r="E910">
        <v>90001</v>
      </c>
      <c r="F910" s="19" t="s">
        <v>2999</v>
      </c>
      <c r="G910">
        <f t="shared" si="48"/>
        <v>26</v>
      </c>
      <c r="H910" s="9">
        <f>IF(ISERROR(VLOOKUP(A910,Excel4!D:J,7,0)),0,VLOOKUP(A910,Excel4!D:J,7,0))</f>
        <v>0</v>
      </c>
      <c r="I910" s="15" t="s">
        <v>1777</v>
      </c>
      <c r="J910" s="20" t="s">
        <v>2997</v>
      </c>
      <c r="K910" s="15" t="s">
        <v>135</v>
      </c>
      <c r="L910" s="18" t="str">
        <f t="shared" si="49"/>
        <v>SIZIR BELEDİYE BAŞKANLIĞI SİVAS</v>
      </c>
      <c r="M910" s="18" t="str">
        <f t="shared" si="50"/>
        <v>SIZIR</v>
      </c>
    </row>
    <row r="911" spans="1:14" x14ac:dyDescent="0.25">
      <c r="A911" t="s">
        <v>815</v>
      </c>
      <c r="B911" t="s">
        <v>704</v>
      </c>
      <c r="C911" t="s">
        <v>135</v>
      </c>
      <c r="D911">
        <v>10</v>
      </c>
      <c r="E911">
        <v>90001</v>
      </c>
      <c r="F911" t="s">
        <v>816</v>
      </c>
      <c r="G911">
        <f t="shared" si="48"/>
        <v>26</v>
      </c>
      <c r="H911" s="9">
        <f>IF(ISERROR(VLOOKUP(A911,Excel4!D:J,7,0)),0,VLOOKUP(A911,Excel4!D:J,7,0))</f>
        <v>1286.3499999999999</v>
      </c>
      <c r="I911" s="15" t="s">
        <v>1777</v>
      </c>
      <c r="J911" s="15" t="s">
        <v>34</v>
      </c>
      <c r="K911" s="15" t="s">
        <v>135</v>
      </c>
      <c r="L911" s="18" t="str">
        <f t="shared" si="49"/>
        <v>SİVAS BELEDİYE BAŞKANLIĞI</v>
      </c>
      <c r="M911" s="18" t="str">
        <f t="shared" si="50"/>
        <v>SİVAS</v>
      </c>
      <c r="N911" t="e">
        <f>_xlfn.XLOOKUP(M911,[1]Sheet1!$C:$C,[1]Sheet1!$G:$G)</f>
        <v>#N/A</v>
      </c>
    </row>
    <row r="912" spans="1:14" x14ac:dyDescent="0.25">
      <c r="A912" t="s">
        <v>2014</v>
      </c>
      <c r="B912" t="s">
        <v>704</v>
      </c>
      <c r="C912" t="s">
        <v>2002</v>
      </c>
      <c r="D912">
        <v>10</v>
      </c>
      <c r="E912">
        <v>90001</v>
      </c>
      <c r="F912" t="s">
        <v>2038</v>
      </c>
      <c r="G912">
        <f t="shared" si="48"/>
        <v>26</v>
      </c>
      <c r="H912" s="9">
        <f>IF(ISERROR(VLOOKUP(A912,Excel4!D:J,7,0)),0,VLOOKUP(A912,Excel4!D:J,7,0))</f>
        <v>10915.04</v>
      </c>
      <c r="I912" s="15" t="s">
        <v>1777</v>
      </c>
      <c r="J912" s="15" t="s">
        <v>2002</v>
      </c>
      <c r="K912" s="15" t="s">
        <v>135</v>
      </c>
      <c r="L912" s="18" t="str">
        <f t="shared" si="49"/>
        <v>SUŞEHRİ BELEDİYE BAŞKANLIĞI SİVAS</v>
      </c>
      <c r="M912" s="18" t="str">
        <f t="shared" si="50"/>
        <v>SUŞEHRİ</v>
      </c>
      <c r="N912">
        <f>_xlfn.XLOOKUP(M912,[1]Sheet1!$A:$A,[1]Sheet1!$G:$G)</f>
        <v>0</v>
      </c>
    </row>
    <row r="913" spans="1:14" x14ac:dyDescent="0.25">
      <c r="A913" t="s">
        <v>2076</v>
      </c>
      <c r="B913" t="s">
        <v>2477</v>
      </c>
      <c r="C913" t="s">
        <v>135</v>
      </c>
      <c r="D913">
        <v>32</v>
      </c>
      <c r="E913">
        <v>90001</v>
      </c>
      <c r="F913" t="s">
        <v>2098</v>
      </c>
      <c r="G913">
        <f t="shared" si="48"/>
        <v>26</v>
      </c>
      <c r="H913" s="9">
        <f>IF(ISERROR(VLOOKUP(A913,Excel4!D:J,7,0)),0,VLOOKUP(A913,Excel4!D:J,7,0))</f>
        <v>0</v>
      </c>
      <c r="I913" s="15" t="s">
        <v>1777</v>
      </c>
      <c r="J913" s="15" t="s">
        <v>477</v>
      </c>
      <c r="K913" s="15" t="s">
        <v>135</v>
      </c>
      <c r="L913" s="18" t="str">
        <f t="shared" si="49"/>
        <v>ULAŞ BELEDİYE BAŞKANLIĞI SİVAS</v>
      </c>
      <c r="M913" s="18" t="str">
        <f t="shared" si="50"/>
        <v>ULAŞ</v>
      </c>
    </row>
    <row r="914" spans="1:14" x14ac:dyDescent="0.25">
      <c r="A914" t="s">
        <v>2277</v>
      </c>
      <c r="B914" s="19" t="s">
        <v>699</v>
      </c>
      <c r="C914" s="19" t="s">
        <v>2213</v>
      </c>
      <c r="D914">
        <v>15</v>
      </c>
      <c r="E914">
        <v>90001</v>
      </c>
      <c r="F914" t="s">
        <v>2369</v>
      </c>
      <c r="G914">
        <f t="shared" si="48"/>
        <v>26</v>
      </c>
      <c r="H914" s="9">
        <f>IF(ISERROR(VLOOKUP(A914,Excel4!D:J,7,0)),0,VLOOKUP(A914,Excel4!D:J,7,0))</f>
        <v>389.06999999999994</v>
      </c>
      <c r="I914" s="15" t="s">
        <v>1777</v>
      </c>
      <c r="J914" s="20" t="s">
        <v>2213</v>
      </c>
      <c r="K914" s="15" t="s">
        <v>135</v>
      </c>
      <c r="L914" s="18" t="str">
        <f t="shared" si="49"/>
        <v>ŞARKIŞLA BELEDİYE BAŞKANLIĞI SİVAS</v>
      </c>
      <c r="M914" s="18" t="str">
        <f t="shared" si="50"/>
        <v>ŞARKIŞLA</v>
      </c>
      <c r="N914">
        <f>_xlfn.XLOOKUP(M914,[1]Sheet1!$A:$A,[1]Sheet1!$G:$G)</f>
        <v>0</v>
      </c>
    </row>
    <row r="915" spans="1:14" x14ac:dyDescent="0.25">
      <c r="A915" t="s">
        <v>1815</v>
      </c>
      <c r="B915" t="s">
        <v>2555</v>
      </c>
      <c r="C915" t="s">
        <v>684</v>
      </c>
      <c r="D915">
        <v>12</v>
      </c>
      <c r="E915">
        <v>90001</v>
      </c>
      <c r="F915" t="s">
        <v>1847</v>
      </c>
      <c r="G915">
        <f t="shared" si="48"/>
        <v>26</v>
      </c>
      <c r="H915" s="9">
        <f>IF(ISERROR(VLOOKUP(A915,Excel4!D:J,7,0)),0,VLOOKUP(A915,Excel4!D:J,7,0))</f>
        <v>0</v>
      </c>
      <c r="I915" s="15" t="s">
        <v>1777</v>
      </c>
      <c r="J915" s="15" t="s">
        <v>684</v>
      </c>
      <c r="K915" s="15" t="s">
        <v>135</v>
      </c>
      <c r="L915" s="18" t="str">
        <f t="shared" si="49"/>
        <v>ZARA BELEDİYE BAŞKANLIĞI SİVAS</v>
      </c>
      <c r="M915" s="18" t="str">
        <f t="shared" si="50"/>
        <v>ZARA</v>
      </c>
      <c r="N915">
        <f>_xlfn.XLOOKUP(M915,[1]Sheet1!$A:$A,[1]Sheet1!$G:$G)</f>
        <v>0</v>
      </c>
    </row>
    <row r="916" spans="1:14" x14ac:dyDescent="0.25">
      <c r="A916" t="s">
        <v>817</v>
      </c>
      <c r="B916" t="s">
        <v>818</v>
      </c>
      <c r="C916" t="s">
        <v>381</v>
      </c>
      <c r="D916">
        <v>64</v>
      </c>
      <c r="E916">
        <v>90001</v>
      </c>
      <c r="F916" t="s">
        <v>819</v>
      </c>
      <c r="G916">
        <f t="shared" si="48"/>
        <v>26</v>
      </c>
      <c r="H916" s="9">
        <f>IF(ISERROR(VLOOKUP(A916,Excel4!D:J,7,0)),0,VLOOKUP(A916,Excel4!D:J,7,0))</f>
        <v>0</v>
      </c>
      <c r="I916" s="15" t="s">
        <v>1777</v>
      </c>
      <c r="J916" s="15" t="s">
        <v>381</v>
      </c>
      <c r="K916" s="15" t="s">
        <v>136</v>
      </c>
      <c r="L916" s="18" t="str">
        <f t="shared" si="49"/>
        <v>BİRECİK BELEDİYE BAŞKANLIĞI ŞANLIURFA</v>
      </c>
      <c r="M916" s="18" t="str">
        <f t="shared" si="50"/>
        <v>BİRECİK</v>
      </c>
    </row>
    <row r="917" spans="1:14" x14ac:dyDescent="0.25">
      <c r="A917" t="s">
        <v>1748</v>
      </c>
      <c r="B917" t="s">
        <v>818</v>
      </c>
      <c r="C917" t="s">
        <v>472</v>
      </c>
      <c r="D917">
        <v>64</v>
      </c>
      <c r="E917">
        <v>90001</v>
      </c>
      <c r="F917" t="s">
        <v>1749</v>
      </c>
      <c r="G917">
        <f t="shared" si="48"/>
        <v>26</v>
      </c>
      <c r="H917" s="9">
        <f>IF(ISERROR(VLOOKUP(A917,Excel4!D:J,7,0)),0,VLOOKUP(A917,Excel4!D:J,7,0))</f>
        <v>0</v>
      </c>
      <c r="I917" s="15" t="s">
        <v>1777</v>
      </c>
      <c r="J917" s="15" t="s">
        <v>472</v>
      </c>
      <c r="K917" s="15" t="s">
        <v>136</v>
      </c>
      <c r="L917" s="18" t="str">
        <f t="shared" si="49"/>
        <v>BOZOVA BELEDİYE BAŞKANLIĞI ŞANLIURFA</v>
      </c>
      <c r="M917" s="18" t="str">
        <f t="shared" si="50"/>
        <v>BOZOVA</v>
      </c>
    </row>
    <row r="918" spans="1:14" x14ac:dyDescent="0.25">
      <c r="A918" t="s">
        <v>2513</v>
      </c>
      <c r="B918" t="s">
        <v>704</v>
      </c>
      <c r="C918" t="s">
        <v>2396</v>
      </c>
      <c r="D918">
        <v>10</v>
      </c>
      <c r="E918">
        <v>90001</v>
      </c>
      <c r="F918" t="s">
        <v>2514</v>
      </c>
      <c r="G918">
        <f t="shared" si="48"/>
        <v>26</v>
      </c>
      <c r="H918" s="9">
        <f>IF(ISERROR(VLOOKUP(A918,Excel4!D:J,7,0)),0,VLOOKUP(A918,Excel4!D:J,7,0))</f>
        <v>44.78</v>
      </c>
      <c r="I918" s="15" t="s">
        <v>1777</v>
      </c>
      <c r="J918" s="15" t="s">
        <v>2396</v>
      </c>
      <c r="K918" s="15" t="s">
        <v>135</v>
      </c>
      <c r="L918" s="18" t="str">
        <f t="shared" si="49"/>
        <v>YILDIZELİ BELEDİYE BAŞKANLIĞI SİVAS</v>
      </c>
      <c r="M918" s="18" t="str">
        <f t="shared" si="50"/>
        <v>YILDIZELİ</v>
      </c>
      <c r="N918">
        <f>_xlfn.XLOOKUP(M918,[1]Sheet1!$A:$A,[1]Sheet1!$G:$G)</f>
        <v>0</v>
      </c>
    </row>
    <row r="919" spans="1:14" x14ac:dyDescent="0.25">
      <c r="A919" t="s">
        <v>820</v>
      </c>
      <c r="B919" t="s">
        <v>704</v>
      </c>
      <c r="C919" t="s">
        <v>473</v>
      </c>
      <c r="D919">
        <v>10</v>
      </c>
      <c r="E919">
        <v>90001</v>
      </c>
      <c r="F919" t="s">
        <v>821</v>
      </c>
      <c r="G919">
        <f t="shared" si="48"/>
        <v>26</v>
      </c>
      <c r="H919" s="9">
        <f>IF(ISERROR(VLOOKUP(A919,Excel4!D:J,7,0)),0,VLOOKUP(A919,Excel4!D:J,7,0))</f>
        <v>0</v>
      </c>
      <c r="I919" s="15" t="s">
        <v>1777</v>
      </c>
      <c r="J919" s="15" t="s">
        <v>473</v>
      </c>
      <c r="K919" s="15" t="s">
        <v>136</v>
      </c>
      <c r="L919" s="18" t="str">
        <f t="shared" si="49"/>
        <v>CEYLANPINAR BELEDİYE BAŞKANLIĞI ŞANLIURFA</v>
      </c>
      <c r="M919" s="18" t="str">
        <f t="shared" si="50"/>
        <v>CEYLANPINAR</v>
      </c>
    </row>
    <row r="920" spans="1:14" x14ac:dyDescent="0.25">
      <c r="A920" t="s">
        <v>1750</v>
      </c>
      <c r="B920" t="s">
        <v>699</v>
      </c>
      <c r="C920" t="s">
        <v>474</v>
      </c>
      <c r="D920">
        <v>15</v>
      </c>
      <c r="E920">
        <v>90001</v>
      </c>
      <c r="F920" t="s">
        <v>1751</v>
      </c>
      <c r="G920">
        <f t="shared" si="48"/>
        <v>26</v>
      </c>
      <c r="H920" s="9">
        <f>IF(ISERROR(VLOOKUP(A920,Excel4!D:J,7,0)),0,VLOOKUP(A920,Excel4!D:J,7,0))</f>
        <v>0</v>
      </c>
      <c r="I920" s="15" t="s">
        <v>1777</v>
      </c>
      <c r="J920" s="15" t="s">
        <v>474</v>
      </c>
      <c r="K920" s="15" t="s">
        <v>136</v>
      </c>
      <c r="L920" s="18" t="str">
        <f t="shared" si="49"/>
        <v>SURUÇ BELEDİYE BAŞKANLIĞI ŞANLIURFA</v>
      </c>
      <c r="M920" s="18" t="str">
        <f t="shared" si="50"/>
        <v>SURUÇ</v>
      </c>
    </row>
    <row r="921" spans="1:14" x14ac:dyDescent="0.25">
      <c r="A921" t="s">
        <v>824</v>
      </c>
      <c r="B921" t="s">
        <v>704</v>
      </c>
      <c r="C921" t="s">
        <v>475</v>
      </c>
      <c r="D921">
        <v>10</v>
      </c>
      <c r="E921">
        <v>90001</v>
      </c>
      <c r="F921" t="s">
        <v>825</v>
      </c>
      <c r="G921">
        <f t="shared" ref="G921:G984" si="51">LEN(F921)</f>
        <v>26</v>
      </c>
      <c r="H921" s="9">
        <f>IF(ISERROR(VLOOKUP(A921,Excel4!D:J,7,0)),0,VLOOKUP(A921,Excel4!D:J,7,0))</f>
        <v>0</v>
      </c>
      <c r="I921" s="15" t="s">
        <v>1777</v>
      </c>
      <c r="J921" s="15" t="s">
        <v>475</v>
      </c>
      <c r="K921" s="15" t="s">
        <v>136</v>
      </c>
      <c r="L921" s="18" t="str">
        <f t="shared" si="49"/>
        <v>VİRANŞEHİR BELEDİYE BAŞKANLIĞI ŞANLIURFA</v>
      </c>
      <c r="M921" s="18" t="str">
        <f t="shared" si="50"/>
        <v>VİRANŞEHİR</v>
      </c>
    </row>
    <row r="922" spans="1:14" x14ac:dyDescent="0.25">
      <c r="A922" t="s">
        <v>2906</v>
      </c>
      <c r="B922" t="s">
        <v>2555</v>
      </c>
      <c r="C922" t="s">
        <v>338</v>
      </c>
      <c r="D922">
        <v>12</v>
      </c>
      <c r="E922">
        <v>90001</v>
      </c>
      <c r="F922" t="s">
        <v>2907</v>
      </c>
      <c r="G922">
        <f t="shared" si="51"/>
        <v>26</v>
      </c>
      <c r="H922" s="9">
        <f>IF(ISERROR(VLOOKUP(A922,Excel4!D:J,7,0)),0,VLOOKUP(A922,Excel4!D:J,7,0))</f>
        <v>0</v>
      </c>
      <c r="I922" s="15" t="s">
        <v>1777</v>
      </c>
      <c r="J922" s="15" t="s">
        <v>2904</v>
      </c>
      <c r="K922" s="15" t="s">
        <v>222</v>
      </c>
      <c r="L922" s="18" t="str">
        <f t="shared" si="49"/>
        <v>BAŞVERİMLİ BELEDİYE BAŞKANLIĞI ŞIRNAK</v>
      </c>
      <c r="M922" s="18" t="str">
        <f t="shared" si="50"/>
        <v>BAŞVERİMLİ</v>
      </c>
    </row>
    <row r="923" spans="1:14" x14ac:dyDescent="0.25">
      <c r="A923" t="s">
        <v>826</v>
      </c>
      <c r="B923" t="s">
        <v>704</v>
      </c>
      <c r="C923" t="s">
        <v>476</v>
      </c>
      <c r="D923">
        <v>10</v>
      </c>
      <c r="E923">
        <v>90001</v>
      </c>
      <c r="F923" t="s">
        <v>827</v>
      </c>
      <c r="G923">
        <f t="shared" si="51"/>
        <v>26</v>
      </c>
      <c r="H923" s="9">
        <f>IF(ISERROR(VLOOKUP(A923,Excel4!D:J,7,0)),0,VLOOKUP(A923,Excel4!D:J,7,0))</f>
        <v>0</v>
      </c>
      <c r="I923" s="15" t="s">
        <v>1777</v>
      </c>
      <c r="J923" s="15" t="s">
        <v>476</v>
      </c>
      <c r="K923" s="15" t="s">
        <v>222</v>
      </c>
      <c r="L923" s="18" t="str">
        <f t="shared" si="49"/>
        <v>CİZRE BELEDİYE BAŞKANLIĞI ŞIRNAK</v>
      </c>
      <c r="M923" s="18" t="str">
        <f t="shared" si="50"/>
        <v>CİZRE</v>
      </c>
    </row>
    <row r="924" spans="1:14" x14ac:dyDescent="0.25">
      <c r="A924" t="s">
        <v>2162</v>
      </c>
      <c r="B924" t="s">
        <v>704</v>
      </c>
      <c r="C924" s="19" t="s">
        <v>2158</v>
      </c>
      <c r="D924">
        <v>10</v>
      </c>
      <c r="E924">
        <v>90001</v>
      </c>
      <c r="F924" t="s">
        <v>2163</v>
      </c>
      <c r="G924">
        <f t="shared" si="51"/>
        <v>26</v>
      </c>
      <c r="H924" s="9">
        <f>IF(ISERROR(VLOOKUP(A924,Excel4!D:J,7,0)),0,VLOOKUP(A924,Excel4!D:J,7,0))</f>
        <v>0</v>
      </c>
      <c r="I924" s="15" t="s">
        <v>1777</v>
      </c>
      <c r="J924" s="20" t="s">
        <v>2158</v>
      </c>
      <c r="K924" s="20" t="s">
        <v>222</v>
      </c>
      <c r="L924" s="18" t="str">
        <f t="shared" si="49"/>
        <v>İDİL BELEDİYE BAŞKANLIĞI ŞIRNAK</v>
      </c>
      <c r="M924" s="18" t="str">
        <f t="shared" si="50"/>
        <v>İDİL</v>
      </c>
    </row>
    <row r="925" spans="1:14" x14ac:dyDescent="0.25">
      <c r="A925" t="s">
        <v>2077</v>
      </c>
      <c r="B925" t="s">
        <v>2555</v>
      </c>
      <c r="C925" t="s">
        <v>222</v>
      </c>
      <c r="D925">
        <v>12</v>
      </c>
      <c r="E925">
        <v>90001</v>
      </c>
      <c r="F925" t="s">
        <v>2091</v>
      </c>
      <c r="G925">
        <f t="shared" si="51"/>
        <v>26</v>
      </c>
      <c r="H925" s="9">
        <f>IF(ISERROR(VLOOKUP(A925,Excel4!D:J,7,0)),0,VLOOKUP(A925,Excel4!D:J,7,0))</f>
        <v>0</v>
      </c>
      <c r="I925" s="15" t="s">
        <v>1777</v>
      </c>
      <c r="J925" s="15" t="s">
        <v>34</v>
      </c>
      <c r="K925" s="15" t="s">
        <v>222</v>
      </c>
      <c r="L925" s="18" t="str">
        <f t="shared" si="49"/>
        <v>ŞIRNAK BELEDİYE BAŞKANLIĞI</v>
      </c>
      <c r="M925" s="18" t="str">
        <f t="shared" si="50"/>
        <v>ŞIRNAK</v>
      </c>
    </row>
    <row r="926" spans="1:14" x14ac:dyDescent="0.25">
      <c r="A926" t="s">
        <v>1809</v>
      </c>
      <c r="B926" t="s">
        <v>2555</v>
      </c>
      <c r="C926" t="s">
        <v>338</v>
      </c>
      <c r="D926">
        <v>12</v>
      </c>
      <c r="E926">
        <v>90001</v>
      </c>
      <c r="F926" t="s">
        <v>1841</v>
      </c>
      <c r="G926">
        <f t="shared" si="51"/>
        <v>26</v>
      </c>
      <c r="H926" s="9">
        <f>IF(ISERROR(VLOOKUP(A926,Excel4!D:J,7,0)),0,VLOOKUP(A926,Excel4!D:J,7,0))</f>
        <v>342.65999999999997</v>
      </c>
      <c r="I926" s="15" t="s">
        <v>1777</v>
      </c>
      <c r="J926" s="15" t="s">
        <v>338</v>
      </c>
      <c r="K926" s="15" t="s">
        <v>222</v>
      </c>
      <c r="L926" s="18" t="str">
        <f t="shared" si="49"/>
        <v>SİLOPİ BELEDİYE BAŞKANLIĞI ŞIRNAK</v>
      </c>
      <c r="M926" s="18" t="str">
        <f t="shared" si="50"/>
        <v>SİLOPİ</v>
      </c>
      <c r="N926">
        <f>_xlfn.XLOOKUP(M926,[1]Sheet1!$A:$A,[1]Sheet1!$G:$G)</f>
        <v>0</v>
      </c>
    </row>
    <row r="927" spans="1:14" x14ac:dyDescent="0.25">
      <c r="A927" t="s">
        <v>2549</v>
      </c>
      <c r="B927" t="s">
        <v>704</v>
      </c>
      <c r="C927" t="s">
        <v>2526</v>
      </c>
      <c r="D927">
        <v>10</v>
      </c>
      <c r="E927">
        <v>90001</v>
      </c>
      <c r="F927" t="s">
        <v>2577</v>
      </c>
      <c r="G927">
        <f t="shared" si="51"/>
        <v>26</v>
      </c>
      <c r="H927" s="9">
        <f>IF(ISERROR(VLOOKUP(A927,Excel4!D:J,7,0)),0,VLOOKUP(A927,Excel4!D:J,7,0))</f>
        <v>0</v>
      </c>
      <c r="I927" s="15" t="s">
        <v>1777</v>
      </c>
      <c r="J927" s="15" t="s">
        <v>2526</v>
      </c>
      <c r="K927" s="15" t="s">
        <v>222</v>
      </c>
      <c r="L927" s="18" t="str">
        <f t="shared" si="49"/>
        <v>ULUDERE BELEDİYE BAŞKANLIĞI ŞIRNAK</v>
      </c>
      <c r="M927" s="18" t="str">
        <f t="shared" si="50"/>
        <v>ULUDERE</v>
      </c>
    </row>
    <row r="928" spans="1:14" x14ac:dyDescent="0.25">
      <c r="A928" t="s">
        <v>828</v>
      </c>
      <c r="B928" t="s">
        <v>704</v>
      </c>
      <c r="C928" t="s">
        <v>137</v>
      </c>
      <c r="D928">
        <v>10</v>
      </c>
      <c r="E928">
        <v>90001</v>
      </c>
      <c r="F928" t="s">
        <v>829</v>
      </c>
      <c r="G928">
        <f t="shared" si="51"/>
        <v>26</v>
      </c>
      <c r="H928" s="9">
        <f>IF(ISERROR(VLOOKUP(A928,Excel4!D:J,7,0)),0,VLOOKUP(A928,Excel4!D:J,7,0))</f>
        <v>0</v>
      </c>
      <c r="I928" s="15" t="s">
        <v>1777</v>
      </c>
      <c r="J928" s="15" t="s">
        <v>326</v>
      </c>
      <c r="K928" s="15" t="s">
        <v>137</v>
      </c>
      <c r="L928" s="18" t="str">
        <f t="shared" si="49"/>
        <v>BARBAROS BELEDİYE BAŞKANLIĞI TEKİRDAĞ</v>
      </c>
      <c r="M928" s="18" t="str">
        <f t="shared" si="50"/>
        <v>BARBAROS</v>
      </c>
    </row>
    <row r="929" spans="1:14" x14ac:dyDescent="0.25">
      <c r="A929" t="s">
        <v>2033</v>
      </c>
      <c r="B929" t="s">
        <v>704</v>
      </c>
      <c r="C929" t="s">
        <v>822</v>
      </c>
      <c r="D929">
        <v>10</v>
      </c>
      <c r="E929">
        <v>90001</v>
      </c>
      <c r="F929" t="s">
        <v>823</v>
      </c>
      <c r="G929">
        <f t="shared" si="51"/>
        <v>26</v>
      </c>
      <c r="H929" s="9">
        <f>IF(ISERROR(VLOOKUP(A929,Excel4!D:J,7,0)),0,VLOOKUP(A929,Excel4!D:J,7,0))</f>
        <v>17198.5</v>
      </c>
      <c r="I929" s="15" t="s">
        <v>1777</v>
      </c>
      <c r="J929" s="15" t="s">
        <v>27</v>
      </c>
      <c r="K929" s="15" t="s">
        <v>136</v>
      </c>
      <c r="L929" s="18" t="str">
        <f t="shared" si="49"/>
        <v>ŞANLIURFA BÜYÜKŞEHİR BELEDİYE BAŞKANLIĞI</v>
      </c>
      <c r="M929" s="18" t="str">
        <f t="shared" si="50"/>
        <v>ŞANLIURFA BÜYÜKŞEHİR</v>
      </c>
      <c r="N929">
        <f>_xlfn.XLOOKUP(M929,[1]Sheet1!$A:$A,[1]Sheet1!$G:$G)</f>
        <v>0</v>
      </c>
    </row>
    <row r="930" spans="1:14" x14ac:dyDescent="0.25">
      <c r="A930" t="s">
        <v>1752</v>
      </c>
      <c r="B930" t="s">
        <v>699</v>
      </c>
      <c r="C930" t="s">
        <v>138</v>
      </c>
      <c r="D930">
        <v>15</v>
      </c>
      <c r="E930">
        <v>90001</v>
      </c>
      <c r="F930" t="s">
        <v>415</v>
      </c>
      <c r="G930">
        <f t="shared" si="51"/>
        <v>26</v>
      </c>
      <c r="H930" s="9">
        <f>IF(ISERROR(VLOOKUP(A930,Excel4!D:J,7,0)),0,VLOOKUP(A930,Excel4!D:J,7,0))</f>
        <v>0</v>
      </c>
      <c r="I930" s="15" t="s">
        <v>1777</v>
      </c>
      <c r="J930" s="15" t="s">
        <v>138</v>
      </c>
      <c r="K930" s="15" t="s">
        <v>137</v>
      </c>
      <c r="L930" s="18" t="str">
        <f t="shared" si="49"/>
        <v>ÇERKEZKÖY BELEDİYE BAŞKANLIĞI TEKİRDAĞ</v>
      </c>
      <c r="M930" s="18" t="str">
        <f t="shared" si="50"/>
        <v>ÇERKEZKÖY</v>
      </c>
    </row>
    <row r="931" spans="1:14" x14ac:dyDescent="0.25">
      <c r="A931" t="s">
        <v>830</v>
      </c>
      <c r="B931" t="s">
        <v>699</v>
      </c>
      <c r="C931" t="s">
        <v>139</v>
      </c>
      <c r="D931">
        <v>15</v>
      </c>
      <c r="E931">
        <v>90001</v>
      </c>
      <c r="F931" t="s">
        <v>831</v>
      </c>
      <c r="G931">
        <f t="shared" si="51"/>
        <v>26</v>
      </c>
      <c r="H931" s="9">
        <f>IF(ISERROR(VLOOKUP(A931,Excel4!D:J,7,0)),0,VLOOKUP(A931,Excel4!D:J,7,0))</f>
        <v>0</v>
      </c>
      <c r="I931" s="15" t="s">
        <v>1777</v>
      </c>
      <c r="J931" s="15" t="s">
        <v>139</v>
      </c>
      <c r="K931" s="15" t="s">
        <v>137</v>
      </c>
      <c r="L931" s="18" t="str">
        <f t="shared" si="49"/>
        <v>ÇORLU BELEDİYE BAŞKANLIĞI TEKİRDAĞ</v>
      </c>
      <c r="M931" s="18" t="str">
        <f t="shared" si="50"/>
        <v>ÇORLU</v>
      </c>
    </row>
    <row r="932" spans="1:14" x14ac:dyDescent="0.25">
      <c r="A932" t="s">
        <v>1800</v>
      </c>
      <c r="B932" t="s">
        <v>2555</v>
      </c>
      <c r="C932" t="s">
        <v>382</v>
      </c>
      <c r="D932">
        <v>12</v>
      </c>
      <c r="E932">
        <v>90001</v>
      </c>
      <c r="F932" t="s">
        <v>1832</v>
      </c>
      <c r="G932">
        <f t="shared" si="51"/>
        <v>26</v>
      </c>
      <c r="H932" s="9">
        <f>IF(ISERROR(VLOOKUP(A932,Excel4!D:J,7,0)),0,VLOOKUP(A932,Excel4!D:J,7,0))</f>
        <v>0</v>
      </c>
      <c r="I932" s="15" t="s">
        <v>1777</v>
      </c>
      <c r="J932" s="15" t="s">
        <v>382</v>
      </c>
      <c r="K932" s="15" t="s">
        <v>137</v>
      </c>
      <c r="L932" s="18" t="str">
        <f t="shared" ref="L932:L995" si="52">IF(J932="MERKEZ",K932&amp;" "&amp;I932,IF(J932="BÜYÜKŞEHİR",K932&amp;" "&amp;J932&amp;" "&amp;I932,J932&amp;" "&amp;I932&amp;" "&amp;K932))</f>
        <v>HAYRABOLU BELEDİYE BAŞKANLIĞI TEKİRDAĞ</v>
      </c>
      <c r="M932" s="18" t="str">
        <f t="shared" si="50"/>
        <v>HAYRABOLU</v>
      </c>
    </row>
    <row r="933" spans="1:14" x14ac:dyDescent="0.25">
      <c r="A933" t="s">
        <v>1928</v>
      </c>
      <c r="B933" t="s">
        <v>699</v>
      </c>
      <c r="C933" t="s">
        <v>138</v>
      </c>
      <c r="D933">
        <v>15</v>
      </c>
      <c r="E933">
        <v>90001</v>
      </c>
      <c r="F933" t="s">
        <v>1970</v>
      </c>
      <c r="G933">
        <f t="shared" si="51"/>
        <v>26</v>
      </c>
      <c r="H933" s="9">
        <f>IF(ISERROR(VLOOKUP(A933,Excel4!D:J,7,0)),0,VLOOKUP(A933,Excel4!D:J,7,0))</f>
        <v>0</v>
      </c>
      <c r="I933" s="15" t="s">
        <v>1777</v>
      </c>
      <c r="J933" s="15" t="s">
        <v>48</v>
      </c>
      <c r="K933" s="15" t="s">
        <v>137</v>
      </c>
      <c r="L933" s="18" t="str">
        <f t="shared" si="52"/>
        <v>KARAAĞAÇ BELEDİYE BAŞKANLIĞI TEKİRDAĞ</v>
      </c>
      <c r="M933" s="18" t="str">
        <f t="shared" si="50"/>
        <v>KARAAĞAÇ</v>
      </c>
    </row>
    <row r="934" spans="1:14" x14ac:dyDescent="0.25">
      <c r="A934" t="s">
        <v>1933</v>
      </c>
      <c r="B934" t="s">
        <v>2555</v>
      </c>
      <c r="C934" t="s">
        <v>138</v>
      </c>
      <c r="D934">
        <v>12</v>
      </c>
      <c r="E934">
        <v>90001</v>
      </c>
      <c r="F934" t="s">
        <v>1975</v>
      </c>
      <c r="G934">
        <f t="shared" si="51"/>
        <v>26</v>
      </c>
      <c r="H934" s="9">
        <f>IF(ISERROR(VLOOKUP(A934,Excel4!D:J,7,0)),0,VLOOKUP(A934,Excel4!D:J,7,0))</f>
        <v>0</v>
      </c>
      <c r="I934" s="15" t="s">
        <v>1777</v>
      </c>
      <c r="J934" s="15" t="s">
        <v>685</v>
      </c>
      <c r="K934" s="15" t="s">
        <v>137</v>
      </c>
      <c r="L934" s="18" t="str">
        <f t="shared" si="52"/>
        <v>KIZILPINAR BELEDİYE BAŞKANLIĞI TEKİRDAĞ</v>
      </c>
      <c r="M934" s="18" t="str">
        <f t="shared" si="50"/>
        <v>KIZILPINAR</v>
      </c>
    </row>
    <row r="935" spans="1:14" x14ac:dyDescent="0.25">
      <c r="A935" t="s">
        <v>1753</v>
      </c>
      <c r="C935" t="s">
        <v>686</v>
      </c>
      <c r="D935">
        <v>50001</v>
      </c>
      <c r="E935">
        <v>90001</v>
      </c>
      <c r="F935" t="s">
        <v>1754</v>
      </c>
      <c r="G935">
        <f t="shared" si="51"/>
        <v>27</v>
      </c>
      <c r="H935" s="9">
        <f>IF(ISERROR(VLOOKUP(A935,Excel4!D:J,7,0)),0,VLOOKUP(A935,Excel4!D:J,7,0))</f>
        <v>0</v>
      </c>
      <c r="I935" s="15" t="s">
        <v>1777</v>
      </c>
      <c r="J935" s="15" t="s">
        <v>686</v>
      </c>
      <c r="K935" s="15" t="s">
        <v>137</v>
      </c>
      <c r="L935" s="18" t="str">
        <f t="shared" si="52"/>
        <v>KUMBAĞ BELEDİYE BAŞKANLIĞI TEKİRDAĞ</v>
      </c>
      <c r="M935" s="18" t="str">
        <f t="shared" si="50"/>
        <v>KUMBAĞ</v>
      </c>
    </row>
    <row r="936" spans="1:14" x14ac:dyDescent="0.25">
      <c r="A936" t="s">
        <v>1937</v>
      </c>
      <c r="B936" t="s">
        <v>699</v>
      </c>
      <c r="C936" t="s">
        <v>1888</v>
      </c>
      <c r="D936">
        <v>15</v>
      </c>
      <c r="E936">
        <v>90001</v>
      </c>
      <c r="F936" t="s">
        <v>1980</v>
      </c>
      <c r="G936">
        <f t="shared" si="51"/>
        <v>26</v>
      </c>
      <c r="H936" s="9">
        <f>IF(ISERROR(VLOOKUP(A936,Excel4!D:J,7,0)),0,VLOOKUP(A936,Excel4!D:J,7,0))</f>
        <v>0</v>
      </c>
      <c r="I936" s="15" t="s">
        <v>1777</v>
      </c>
      <c r="J936" s="15" t="s">
        <v>1888</v>
      </c>
      <c r="K936" s="15" t="s">
        <v>137</v>
      </c>
      <c r="L936" s="18" t="str">
        <f t="shared" si="52"/>
        <v>MALKARA BELEDİYE BAŞKANLIĞI TEKİRDAĞ</v>
      </c>
      <c r="M936" s="18" t="str">
        <f t="shared" si="50"/>
        <v>MALKARA</v>
      </c>
    </row>
    <row r="937" spans="1:14" x14ac:dyDescent="0.25">
      <c r="A937" t="s">
        <v>832</v>
      </c>
      <c r="B937" t="s">
        <v>704</v>
      </c>
      <c r="C937" t="s">
        <v>145</v>
      </c>
      <c r="D937">
        <v>10</v>
      </c>
      <c r="E937">
        <v>90001</v>
      </c>
      <c r="F937" t="s">
        <v>833</v>
      </c>
      <c r="G937">
        <f t="shared" si="51"/>
        <v>26</v>
      </c>
      <c r="H937" s="9">
        <f>IF(ISERROR(VLOOKUP(A937,Excel4!D:J,7,0)),0,VLOOKUP(A937,Excel4!D:J,7,0))</f>
        <v>0</v>
      </c>
      <c r="I937" s="15" t="s">
        <v>1777</v>
      </c>
      <c r="J937" s="15" t="s">
        <v>145</v>
      </c>
      <c r="K937" s="15" t="s">
        <v>137</v>
      </c>
      <c r="L937" s="18" t="str">
        <f t="shared" si="52"/>
        <v>MARMARA EREĞLİSİ BELEDİYE BAŞKANLIĞI TEKİRDAĞ</v>
      </c>
      <c r="M937" s="18" t="str">
        <f t="shared" si="50"/>
        <v>MARMARA EREĞLİSİ</v>
      </c>
    </row>
    <row r="938" spans="1:14" x14ac:dyDescent="0.25">
      <c r="A938" t="s">
        <v>835</v>
      </c>
      <c r="B938" t="s">
        <v>704</v>
      </c>
      <c r="C938" t="s">
        <v>254</v>
      </c>
      <c r="D938">
        <v>10</v>
      </c>
      <c r="E938">
        <v>90001</v>
      </c>
      <c r="F938" t="s">
        <v>836</v>
      </c>
      <c r="G938">
        <f t="shared" si="51"/>
        <v>26</v>
      </c>
      <c r="H938" s="9">
        <f>IF(ISERROR(VLOOKUP(A938,Excel4!D:J,7,0)),0,VLOOKUP(A938,Excel4!D:J,7,0))</f>
        <v>0</v>
      </c>
      <c r="I938" s="15" t="s">
        <v>1777</v>
      </c>
      <c r="J938" s="15" t="s">
        <v>254</v>
      </c>
      <c r="K938" s="15" t="s">
        <v>137</v>
      </c>
      <c r="L938" s="18" t="str">
        <f t="shared" si="52"/>
        <v>MURATLI BELEDİYE BAŞKANLIĞI TEKİRDAĞ</v>
      </c>
      <c r="M938" s="18" t="str">
        <f t="shared" si="50"/>
        <v>MURATLI</v>
      </c>
    </row>
    <row r="939" spans="1:14" x14ac:dyDescent="0.25">
      <c r="A939" t="s">
        <v>837</v>
      </c>
      <c r="B939" t="s">
        <v>704</v>
      </c>
      <c r="C939" t="s">
        <v>283</v>
      </c>
      <c r="D939">
        <v>10</v>
      </c>
      <c r="E939">
        <v>90001</v>
      </c>
      <c r="F939" t="s">
        <v>838</v>
      </c>
      <c r="G939">
        <f t="shared" si="51"/>
        <v>26</v>
      </c>
      <c r="H939" s="9">
        <f>IF(ISERROR(VLOOKUP(A939,Excel4!D:J,7,0)),0,VLOOKUP(A939,Excel4!D:J,7,0))</f>
        <v>0</v>
      </c>
      <c r="I939" s="15" t="s">
        <v>1777</v>
      </c>
      <c r="J939" s="15" t="s">
        <v>283</v>
      </c>
      <c r="K939" s="15" t="s">
        <v>137</v>
      </c>
      <c r="L939" s="18" t="str">
        <f t="shared" si="52"/>
        <v>SARAY BELEDİYE BAŞKANLIĞI TEKİRDAĞ</v>
      </c>
      <c r="M939" s="18" t="str">
        <f t="shared" si="50"/>
        <v>SARAY</v>
      </c>
    </row>
    <row r="940" spans="1:14" x14ac:dyDescent="0.25">
      <c r="A940" t="s">
        <v>839</v>
      </c>
      <c r="B940" t="s">
        <v>704</v>
      </c>
      <c r="C940" t="s">
        <v>146</v>
      </c>
      <c r="D940">
        <v>10</v>
      </c>
      <c r="E940">
        <v>90001</v>
      </c>
      <c r="F940" t="s">
        <v>840</v>
      </c>
      <c r="G940">
        <f t="shared" si="51"/>
        <v>26</v>
      </c>
      <c r="H940" s="9">
        <f>IF(ISERROR(VLOOKUP(A940,Excel4!D:J,7,0)),0,VLOOKUP(A940,Excel4!D:J,7,0))</f>
        <v>0</v>
      </c>
      <c r="I940" s="15" t="s">
        <v>1777</v>
      </c>
      <c r="J940" s="15" t="s">
        <v>146</v>
      </c>
      <c r="K940" s="15" t="s">
        <v>137</v>
      </c>
      <c r="L940" s="18" t="str">
        <f t="shared" si="52"/>
        <v>ŞARKÖY BELEDİYE BAŞKANLIĞI TEKİRDAĞ</v>
      </c>
      <c r="M940" s="18" t="str">
        <f t="shared" si="50"/>
        <v>ŞARKÖY</v>
      </c>
    </row>
    <row r="941" spans="1:14" x14ac:dyDescent="0.25">
      <c r="A941" t="s">
        <v>1907</v>
      </c>
      <c r="B941" t="s">
        <v>704</v>
      </c>
      <c r="C941" t="s">
        <v>139</v>
      </c>
      <c r="D941">
        <v>10</v>
      </c>
      <c r="E941">
        <v>90001</v>
      </c>
      <c r="F941" t="s">
        <v>1989</v>
      </c>
      <c r="G941">
        <f t="shared" si="51"/>
        <v>26</v>
      </c>
      <c r="H941" s="9">
        <f>IF(ISERROR(VLOOKUP(A941,Excel4!D:J,7,0)),0,VLOOKUP(A941,Excel4!D:J,7,0))</f>
        <v>0</v>
      </c>
      <c r="I941" s="15" t="s">
        <v>1777</v>
      </c>
      <c r="J941" s="15" t="s">
        <v>477</v>
      </c>
      <c r="K941" s="15" t="s">
        <v>137</v>
      </c>
      <c r="L941" s="18" t="str">
        <f t="shared" si="52"/>
        <v>ULAŞ BELEDİYE BAŞKANLIĞI TEKİRDAĞ</v>
      </c>
      <c r="M941" s="18" t="str">
        <f t="shared" si="50"/>
        <v>ULAŞ</v>
      </c>
    </row>
    <row r="942" spans="1:14" x14ac:dyDescent="0.25">
      <c r="A942" t="s">
        <v>1813</v>
      </c>
      <c r="B942" t="s">
        <v>699</v>
      </c>
      <c r="C942" t="s">
        <v>138</v>
      </c>
      <c r="D942">
        <v>15</v>
      </c>
      <c r="E942">
        <v>90001</v>
      </c>
      <c r="F942" t="s">
        <v>1845</v>
      </c>
      <c r="G942">
        <f t="shared" si="51"/>
        <v>26</v>
      </c>
      <c r="H942" s="9">
        <f>IF(ISERROR(VLOOKUP(A942,Excel4!D:J,7,0)),0,VLOOKUP(A942,Excel4!D:J,7,0))</f>
        <v>0</v>
      </c>
      <c r="I942" s="15" t="s">
        <v>1777</v>
      </c>
      <c r="J942" s="15" t="s">
        <v>1790</v>
      </c>
      <c r="K942" s="15" t="s">
        <v>137</v>
      </c>
      <c r="L942" s="18" t="str">
        <f t="shared" si="52"/>
        <v>VELİKÖY BELEDİYE BAŞKANLIĞI TEKİRDAĞ</v>
      </c>
      <c r="M942" s="18" t="str">
        <f t="shared" si="50"/>
        <v>VELİKÖY</v>
      </c>
    </row>
    <row r="943" spans="1:14" x14ac:dyDescent="0.25">
      <c r="A943" t="s">
        <v>1814</v>
      </c>
      <c r="B943" t="s">
        <v>704</v>
      </c>
      <c r="C943" t="s">
        <v>139</v>
      </c>
      <c r="D943">
        <v>10</v>
      </c>
      <c r="E943">
        <v>90001</v>
      </c>
      <c r="F943" t="s">
        <v>1846</v>
      </c>
      <c r="G943">
        <f t="shared" si="51"/>
        <v>26</v>
      </c>
      <c r="H943" s="9">
        <f>IF(ISERROR(VLOOKUP(A943,Excel4!D:J,7,0)),0,VLOOKUP(A943,Excel4!D:J,7,0))</f>
        <v>0</v>
      </c>
      <c r="I943" s="15" t="s">
        <v>1777</v>
      </c>
      <c r="J943" s="15" t="s">
        <v>687</v>
      </c>
      <c r="K943" s="15" t="s">
        <v>137</v>
      </c>
      <c r="L943" s="18" t="str">
        <f t="shared" si="52"/>
        <v>VELİMEŞE BELEDİYE BAŞKANLIĞI TEKİRDAĞ</v>
      </c>
      <c r="M943" s="18" t="str">
        <f t="shared" si="50"/>
        <v>VELİMEŞE</v>
      </c>
    </row>
    <row r="944" spans="1:14" x14ac:dyDescent="0.25">
      <c r="A944" t="s">
        <v>841</v>
      </c>
      <c r="B944" t="s">
        <v>704</v>
      </c>
      <c r="C944" t="s">
        <v>145</v>
      </c>
      <c r="D944">
        <v>10</v>
      </c>
      <c r="E944">
        <v>90001</v>
      </c>
      <c r="F944" t="s">
        <v>842</v>
      </c>
      <c r="G944">
        <f t="shared" si="51"/>
        <v>26</v>
      </c>
      <c r="H944" s="9">
        <f>IF(ISERROR(VLOOKUP(A944,Excel4!D:J,7,0)),0,VLOOKUP(A944,Excel4!D:J,7,0))</f>
        <v>0</v>
      </c>
      <c r="I944" s="15" t="s">
        <v>1777</v>
      </c>
      <c r="J944" s="15" t="s">
        <v>211</v>
      </c>
      <c r="K944" s="15" t="s">
        <v>137</v>
      </c>
      <c r="L944" s="18" t="str">
        <f t="shared" si="52"/>
        <v>Y.ÇİFTLİK BELEDİYE BAŞKANLIĞI TEKİRDAĞ</v>
      </c>
      <c r="M944" s="18" t="str">
        <f t="shared" si="50"/>
        <v>Y.ÇİFTLİK</v>
      </c>
    </row>
    <row r="945" spans="1:14" x14ac:dyDescent="0.25">
      <c r="A945" t="s">
        <v>2799</v>
      </c>
      <c r="B945" t="s">
        <v>699</v>
      </c>
      <c r="C945" t="s">
        <v>137</v>
      </c>
      <c r="D945">
        <v>15</v>
      </c>
      <c r="E945">
        <v>90001</v>
      </c>
      <c r="F945" t="s">
        <v>834</v>
      </c>
      <c r="G945">
        <f t="shared" si="51"/>
        <v>26</v>
      </c>
      <c r="H945" s="9">
        <f>IF(ISERROR(VLOOKUP(A945,Excel4!D:J,7,0)),0,VLOOKUP(A945,Excel4!D:J,7,0))</f>
        <v>41025.579999999994</v>
      </c>
      <c r="I945" s="15" t="s">
        <v>1777</v>
      </c>
      <c r="J945" s="15" t="s">
        <v>27</v>
      </c>
      <c r="K945" s="15" t="s">
        <v>137</v>
      </c>
      <c r="L945" s="18" t="str">
        <f t="shared" si="52"/>
        <v>TEKİRDAĞ BÜYÜKŞEHİR BELEDİYE BAŞKANLIĞI</v>
      </c>
      <c r="M945" s="18" t="str">
        <f t="shared" si="50"/>
        <v>TEKİRDAĞ BÜYÜKŞEHİR</v>
      </c>
      <c r="N945">
        <f>_xlfn.XLOOKUP(M945,[1]Sheet1!$A:$A,[1]Sheet1!$G:$G)</f>
        <v>0</v>
      </c>
    </row>
    <row r="946" spans="1:14" x14ac:dyDescent="0.25">
      <c r="A946" t="s">
        <v>2629</v>
      </c>
      <c r="B946" s="19" t="s">
        <v>704</v>
      </c>
      <c r="C946" s="19" t="s">
        <v>2599</v>
      </c>
      <c r="D946">
        <v>10</v>
      </c>
      <c r="E946">
        <v>90001</v>
      </c>
      <c r="F946" s="19" t="s">
        <v>2639</v>
      </c>
      <c r="G946">
        <f t="shared" si="51"/>
        <v>26</v>
      </c>
      <c r="H946" s="9">
        <f>IF(ISERROR(VLOOKUP(A946,Excel4!D:J,7,0)),0,VLOOKUP(A946,Excel4!D:J,7,0))</f>
        <v>48.980000000000004</v>
      </c>
      <c r="I946" s="15" t="s">
        <v>1777</v>
      </c>
      <c r="J946" s="15" t="s">
        <v>2599</v>
      </c>
      <c r="K946" s="15" t="s">
        <v>188</v>
      </c>
      <c r="L946" s="18" t="str">
        <f t="shared" si="52"/>
        <v>ARTOVA BELEDİYE BAŞKANLIĞI TOKAT</v>
      </c>
      <c r="M946" s="18" t="str">
        <f t="shared" si="50"/>
        <v>ARTOVA</v>
      </c>
    </row>
    <row r="947" spans="1:14" x14ac:dyDescent="0.25">
      <c r="A947" t="s">
        <v>3341</v>
      </c>
      <c r="B947" t="s">
        <v>704</v>
      </c>
      <c r="C947" t="s">
        <v>2159</v>
      </c>
      <c r="D947">
        <v>10</v>
      </c>
      <c r="E947">
        <v>90001</v>
      </c>
      <c r="F947" t="s">
        <v>3344</v>
      </c>
      <c r="G947">
        <f t="shared" si="51"/>
        <v>26</v>
      </c>
      <c r="H947" s="9">
        <f>IF(ISERROR(VLOOKUP(A947,Excel4!D:J,7,0)),0,VLOOKUP(A947,Excel4!D:J,7,0))</f>
        <v>0</v>
      </c>
      <c r="I947" s="15" t="s">
        <v>1777</v>
      </c>
      <c r="J947" s="15" t="s">
        <v>3333</v>
      </c>
      <c r="K947" s="15" t="s">
        <v>188</v>
      </c>
      <c r="L947" s="18" t="str">
        <f t="shared" si="52"/>
        <v>ATAKÖY BELEDİYE BAŞKANLIĞI TOKAT</v>
      </c>
      <c r="M947" s="18" t="str">
        <f t="shared" si="50"/>
        <v>ATAKÖY</v>
      </c>
    </row>
    <row r="948" spans="1:14" x14ac:dyDescent="0.25">
      <c r="A948" t="s">
        <v>2816</v>
      </c>
      <c r="B948" s="19"/>
      <c r="C948" s="19"/>
      <c r="E948">
        <v>90001</v>
      </c>
      <c r="F948" s="19"/>
      <c r="G948">
        <f t="shared" si="51"/>
        <v>0</v>
      </c>
      <c r="H948" s="9">
        <f>IF(ISERROR(VLOOKUP(A948,Excel4!D:J,7,0)),0,VLOOKUP(A948,Excel4!D:J,7,0))</f>
        <v>0</v>
      </c>
      <c r="I948" s="15" t="s">
        <v>1777</v>
      </c>
      <c r="J948" s="15" t="s">
        <v>2749</v>
      </c>
      <c r="K948" s="15" t="s">
        <v>188</v>
      </c>
      <c r="L948" s="18" t="str">
        <f t="shared" si="52"/>
        <v>AVLUNLAR BELEDİYE BAŞKANLIĞI TOKAT</v>
      </c>
      <c r="M948" s="18" t="str">
        <f t="shared" si="50"/>
        <v>AVLUNLAR</v>
      </c>
    </row>
    <row r="949" spans="1:14" x14ac:dyDescent="0.25">
      <c r="A949" t="s">
        <v>2276</v>
      </c>
      <c r="B949" t="s">
        <v>699</v>
      </c>
      <c r="C949" t="s">
        <v>229</v>
      </c>
      <c r="D949">
        <v>15</v>
      </c>
      <c r="E949">
        <v>90001</v>
      </c>
      <c r="F949" t="s">
        <v>2710</v>
      </c>
      <c r="G949">
        <f t="shared" si="51"/>
        <v>26</v>
      </c>
      <c r="H949" s="9">
        <f>IF(ISERROR(VLOOKUP(A949,Excel4!D:J,7,0)),0,VLOOKUP(A949,Excel4!D:J,7,0))</f>
        <v>0</v>
      </c>
      <c r="I949" s="15" t="s">
        <v>1777</v>
      </c>
      <c r="J949" s="20" t="s">
        <v>2233</v>
      </c>
      <c r="K949" s="15" t="s">
        <v>188</v>
      </c>
      <c r="L949" s="18" t="str">
        <f t="shared" si="52"/>
        <v>BAŞÇİFTLİK BELEDİYE BAŞKANLIĞI TOKAT</v>
      </c>
      <c r="M949" s="18" t="str">
        <f t="shared" si="50"/>
        <v>BAŞÇİFTLİK</v>
      </c>
    </row>
    <row r="950" spans="1:14" x14ac:dyDescent="0.25">
      <c r="A950" t="s">
        <v>2815</v>
      </c>
      <c r="B950" s="19" t="s">
        <v>2555</v>
      </c>
      <c r="C950" s="19" t="s">
        <v>2160</v>
      </c>
      <c r="D950">
        <v>12</v>
      </c>
      <c r="E950">
        <v>90001</v>
      </c>
      <c r="F950" s="19" t="s">
        <v>2820</v>
      </c>
      <c r="G950">
        <f t="shared" si="51"/>
        <v>26</v>
      </c>
      <c r="H950" s="9">
        <f>IF(ISERROR(VLOOKUP(A950,Excel4!D:J,7,0)),0,VLOOKUP(A950,Excel4!D:J,7,0))</f>
        <v>0</v>
      </c>
      <c r="I950" s="15" t="s">
        <v>1777</v>
      </c>
      <c r="J950" s="15" t="s">
        <v>2813</v>
      </c>
      <c r="K950" s="15" t="s">
        <v>188</v>
      </c>
      <c r="L950" s="18" t="str">
        <f t="shared" si="52"/>
        <v>BAYDARLI BELEDİYE BAŞKANLIĞI TOKAT</v>
      </c>
      <c r="M950" s="18" t="str">
        <f t="shared" si="50"/>
        <v>BAYDARLI</v>
      </c>
    </row>
    <row r="951" spans="1:14" x14ac:dyDescent="0.25">
      <c r="A951" t="s">
        <v>2702</v>
      </c>
      <c r="B951" t="s">
        <v>2555</v>
      </c>
      <c r="C951" t="s">
        <v>2160</v>
      </c>
      <c r="D951">
        <v>12</v>
      </c>
      <c r="E951">
        <v>90001</v>
      </c>
      <c r="F951" t="s">
        <v>2709</v>
      </c>
      <c r="G951">
        <f t="shared" si="51"/>
        <v>26</v>
      </c>
      <c r="H951" s="9">
        <f>IF(ISERROR(VLOOKUP(A951,Excel4!D:J,7,0)),0,VLOOKUP(A951,Excel4!D:J,7,0))</f>
        <v>0</v>
      </c>
      <c r="I951" s="15" t="s">
        <v>1777</v>
      </c>
      <c r="J951" s="20" t="s">
        <v>2701</v>
      </c>
      <c r="K951" s="15" t="s">
        <v>188</v>
      </c>
      <c r="L951" s="18" t="str">
        <f t="shared" si="52"/>
        <v>BEREKETLİ BELEDİYE BAŞKANLIĞI TOKAT</v>
      </c>
      <c r="M951" s="18" t="str">
        <f t="shared" si="50"/>
        <v>BEREKETLİ</v>
      </c>
    </row>
    <row r="952" spans="1:14" x14ac:dyDescent="0.25">
      <c r="A952" t="s">
        <v>3143</v>
      </c>
      <c r="B952" t="s">
        <v>699</v>
      </c>
      <c r="C952" t="s">
        <v>188</v>
      </c>
      <c r="D952">
        <v>15</v>
      </c>
      <c r="E952">
        <v>90001</v>
      </c>
      <c r="F952" t="s">
        <v>3146</v>
      </c>
      <c r="G952">
        <f t="shared" si="51"/>
        <v>26</v>
      </c>
      <c r="H952" s="9">
        <f>IF(ISERROR(VLOOKUP(A952,Excel4!D:J,7,0)),0,VLOOKUP(A952,Excel4!D:J,7,0))</f>
        <v>0</v>
      </c>
      <c r="I952" s="15" t="s">
        <v>1777</v>
      </c>
      <c r="J952" s="15" t="s">
        <v>576</v>
      </c>
      <c r="K952" s="15" t="s">
        <v>188</v>
      </c>
      <c r="L952" s="18" t="str">
        <f t="shared" si="52"/>
        <v>ÇAT BELEDİYE BAŞKANLIĞI TOKAT</v>
      </c>
      <c r="M952" s="18" t="str">
        <f t="shared" si="50"/>
        <v>ÇAT</v>
      </c>
    </row>
    <row r="953" spans="1:14" x14ac:dyDescent="0.25">
      <c r="A953" t="s">
        <v>3192</v>
      </c>
      <c r="B953" t="s">
        <v>704</v>
      </c>
      <c r="C953" t="s">
        <v>2159</v>
      </c>
      <c r="D953">
        <v>10</v>
      </c>
      <c r="E953">
        <v>90001</v>
      </c>
      <c r="F953" t="s">
        <v>3197</v>
      </c>
      <c r="G953">
        <f t="shared" si="51"/>
        <v>26</v>
      </c>
      <c r="H953" s="9">
        <f>IF(ISERROR(VLOOKUP(A953,Excel4!D:J,7,0)),0,VLOOKUP(A953,Excel4!D:J,7,0))</f>
        <v>0</v>
      </c>
      <c r="I953" s="15" t="s">
        <v>1777</v>
      </c>
      <c r="J953" s="15" t="s">
        <v>3184</v>
      </c>
      <c r="K953" s="15" t="s">
        <v>188</v>
      </c>
      <c r="L953" s="18" t="str">
        <f t="shared" si="52"/>
        <v>ÇEVRELİ BELEDİYE BAŞKANLIĞI TOKAT</v>
      </c>
      <c r="M953" s="18" t="str">
        <f t="shared" si="50"/>
        <v>ÇEVRELİ</v>
      </c>
    </row>
    <row r="954" spans="1:14" x14ac:dyDescent="0.25">
      <c r="A954" t="s">
        <v>3173</v>
      </c>
      <c r="B954" t="s">
        <v>699</v>
      </c>
      <c r="C954" t="s">
        <v>188</v>
      </c>
      <c r="D954">
        <v>15</v>
      </c>
      <c r="E954">
        <v>90001</v>
      </c>
      <c r="F954" t="s">
        <v>3198</v>
      </c>
      <c r="G954">
        <f t="shared" si="51"/>
        <v>26</v>
      </c>
      <c r="H954" s="9">
        <f>IF(ISERROR(VLOOKUP(A954,Excel4!D:J,7,0)),0,VLOOKUP(A954,Excel4!D:J,7,0))</f>
        <v>0</v>
      </c>
      <c r="I954" s="15" t="s">
        <v>1777</v>
      </c>
      <c r="J954" s="15" t="s">
        <v>3124</v>
      </c>
      <c r="K954" s="15" t="s">
        <v>188</v>
      </c>
      <c r="L954" s="18" t="str">
        <f t="shared" si="52"/>
        <v>EMİRSEYİT BELEDİYE BAŞKANLIĞI TOKAT</v>
      </c>
      <c r="M954" s="18" t="str">
        <f t="shared" si="50"/>
        <v>EMİRSEYİT</v>
      </c>
    </row>
    <row r="955" spans="1:14" x14ac:dyDescent="0.25">
      <c r="A955" t="s">
        <v>2275</v>
      </c>
      <c r="B955" t="s">
        <v>704</v>
      </c>
      <c r="C955" t="s">
        <v>2159</v>
      </c>
      <c r="D955">
        <v>10</v>
      </c>
      <c r="E955">
        <v>90001</v>
      </c>
      <c r="F955" t="s">
        <v>2504</v>
      </c>
      <c r="G955">
        <f t="shared" si="51"/>
        <v>26</v>
      </c>
      <c r="H955" s="9">
        <f>IF(ISERROR(VLOOKUP(A955,Excel4!D:J,7,0)),0,VLOOKUP(A955,Excel4!D:J,7,0))</f>
        <v>0</v>
      </c>
      <c r="I955" s="15" t="s">
        <v>1777</v>
      </c>
      <c r="J955" s="20" t="s">
        <v>2159</v>
      </c>
      <c r="K955" s="15" t="s">
        <v>188</v>
      </c>
      <c r="L955" s="18" t="str">
        <f t="shared" si="52"/>
        <v>ALMUS BELEDİYE BAŞKANLIĞI TOKAT</v>
      </c>
      <c r="M955" s="18" t="str">
        <f t="shared" si="50"/>
        <v>ALMUS</v>
      </c>
      <c r="N955">
        <f>_xlfn.XLOOKUP(M955,[1]Sheet1!$A:$A,[1]Sheet1!$G:$G)</f>
        <v>0</v>
      </c>
    </row>
    <row r="956" spans="1:14" x14ac:dyDescent="0.25">
      <c r="A956" t="s">
        <v>2188</v>
      </c>
      <c r="B956" t="s">
        <v>2555</v>
      </c>
      <c r="C956" t="s">
        <v>229</v>
      </c>
      <c r="D956">
        <v>12</v>
      </c>
      <c r="E956">
        <v>90001</v>
      </c>
      <c r="F956" t="s">
        <v>2198</v>
      </c>
      <c r="G956">
        <f t="shared" si="51"/>
        <v>26</v>
      </c>
      <c r="H956" s="9">
        <f>IF(ISERROR(VLOOKUP(A956,Excel4!D:J,7,0)),0,VLOOKUP(A956,Excel4!D:J,7,0))</f>
        <v>0</v>
      </c>
      <c r="I956" s="15" t="s">
        <v>1777</v>
      </c>
      <c r="J956" s="15" t="s">
        <v>2180</v>
      </c>
      <c r="K956" s="15" t="s">
        <v>188</v>
      </c>
      <c r="L956" s="18" t="str">
        <f t="shared" si="52"/>
        <v>GÜRÇEŞME BELEDİYE BAŞKANLIĞI TOKAT</v>
      </c>
      <c r="M956" s="18" t="str">
        <f t="shared" si="50"/>
        <v>GÜRÇEŞME</v>
      </c>
    </row>
    <row r="957" spans="1:14" x14ac:dyDescent="0.25">
      <c r="A957" t="s">
        <v>2987</v>
      </c>
      <c r="B957" t="s">
        <v>699</v>
      </c>
      <c r="C957" s="19" t="s">
        <v>188</v>
      </c>
      <c r="D957">
        <v>15</v>
      </c>
      <c r="E957">
        <v>90001</v>
      </c>
      <c r="F957" s="19" t="s">
        <v>2988</v>
      </c>
      <c r="G957">
        <f t="shared" si="51"/>
        <v>26</v>
      </c>
      <c r="H957" s="9">
        <f>IF(ISERROR(VLOOKUP(A957,Excel4!D:J,7,0)),0,VLOOKUP(A957,Excel4!D:J,7,0))</f>
        <v>0</v>
      </c>
      <c r="I957" s="15" t="s">
        <v>1777</v>
      </c>
      <c r="J957" s="20" t="s">
        <v>2986</v>
      </c>
      <c r="K957" s="15" t="s">
        <v>188</v>
      </c>
      <c r="L957" s="18" t="str">
        <f t="shared" si="52"/>
        <v>GÜRYILDIZ BELEDİYE BAŞKANLIĞI TOKAT</v>
      </c>
      <c r="M957" s="18" t="str">
        <f t="shared" si="50"/>
        <v>GÜRYILDIZ</v>
      </c>
    </row>
    <row r="958" spans="1:14" x14ac:dyDescent="0.25">
      <c r="A958" t="s">
        <v>2502</v>
      </c>
      <c r="B958" s="19" t="s">
        <v>699</v>
      </c>
      <c r="C958" s="19" t="s">
        <v>85</v>
      </c>
      <c r="D958">
        <v>15</v>
      </c>
      <c r="E958">
        <v>90001</v>
      </c>
      <c r="F958" s="19" t="s">
        <v>2503</v>
      </c>
      <c r="G958">
        <f t="shared" si="51"/>
        <v>26</v>
      </c>
      <c r="H958" s="9">
        <f>IF(ISERROR(VLOOKUP(A958,Excel4!D:J,7,0)),0,VLOOKUP(A958,Excel4!D:J,7,0))</f>
        <v>0</v>
      </c>
      <c r="I958" s="15" t="s">
        <v>1777</v>
      </c>
      <c r="J958" s="15" t="s">
        <v>2316</v>
      </c>
      <c r="K958" s="15" t="s">
        <v>188</v>
      </c>
      <c r="L958" s="18" t="str">
        <f t="shared" si="52"/>
        <v>KARAYAKA BELEDİYE BAŞKANLIĞI TOKAT</v>
      </c>
      <c r="M958" s="18" t="str">
        <f t="shared" si="50"/>
        <v>KARAYAKA</v>
      </c>
    </row>
    <row r="959" spans="1:14" x14ac:dyDescent="0.25">
      <c r="A959" s="19" t="s">
        <v>2927</v>
      </c>
      <c r="B959" t="s">
        <v>2934</v>
      </c>
      <c r="C959" t="s">
        <v>383</v>
      </c>
      <c r="D959">
        <v>15</v>
      </c>
      <c r="F959" t="s">
        <v>2939</v>
      </c>
      <c r="G959">
        <f t="shared" si="51"/>
        <v>26</v>
      </c>
      <c r="H959" s="9">
        <f>IF(ISERROR(VLOOKUP(A959,Excel4!D:J,7,0)),0,VLOOKUP(A959,Excel4!D:J,7,0))</f>
        <v>0</v>
      </c>
      <c r="I959" s="15" t="s">
        <v>1777</v>
      </c>
      <c r="J959" s="20" t="s">
        <v>2784</v>
      </c>
      <c r="K959" s="15" t="s">
        <v>188</v>
      </c>
      <c r="L959" s="18" t="str">
        <f t="shared" si="52"/>
        <v>KAT BELEDİYE BAŞKANLIĞI TOKAT</v>
      </c>
      <c r="M959" s="18" t="str">
        <f t="shared" si="50"/>
        <v>KAT</v>
      </c>
    </row>
    <row r="960" spans="1:14" x14ac:dyDescent="0.25">
      <c r="A960" t="s">
        <v>3340</v>
      </c>
      <c r="B960" t="s">
        <v>704</v>
      </c>
      <c r="C960" t="s">
        <v>2159</v>
      </c>
      <c r="D960">
        <v>10</v>
      </c>
      <c r="E960">
        <v>90001</v>
      </c>
      <c r="F960" t="s">
        <v>3345</v>
      </c>
      <c r="G960">
        <f t="shared" si="51"/>
        <v>26</v>
      </c>
      <c r="H960" s="9">
        <f>IF(ISERROR(VLOOKUP(A960,Excel4!D:J,7,0)),0,VLOOKUP(A960,Excel4!D:J,7,0))</f>
        <v>0</v>
      </c>
      <c r="I960" s="15" t="s">
        <v>1777</v>
      </c>
      <c r="J960" s="15" t="s">
        <v>332</v>
      </c>
      <c r="K960" s="15" t="s">
        <v>188</v>
      </c>
      <c r="L960" s="18" t="str">
        <f t="shared" si="52"/>
        <v>KINIK BELEDİYE BAŞKANLIĞI TOKAT</v>
      </c>
      <c r="M960" s="18" t="str">
        <f t="shared" si="50"/>
        <v>KINIK</v>
      </c>
    </row>
    <row r="961" spans="1:14" x14ac:dyDescent="0.25">
      <c r="A961" t="s">
        <v>843</v>
      </c>
      <c r="B961" t="s">
        <v>2555</v>
      </c>
      <c r="C961" t="s">
        <v>85</v>
      </c>
      <c r="D961">
        <v>12</v>
      </c>
      <c r="E961">
        <v>90001</v>
      </c>
      <c r="F961" t="s">
        <v>2993</v>
      </c>
      <c r="G961">
        <f t="shared" si="51"/>
        <v>26</v>
      </c>
      <c r="H961" s="9">
        <f>IF(ISERROR(VLOOKUP(A961,Excel4!D:J,7,0)),0,VLOOKUP(A961,Excel4!D:J,7,0))</f>
        <v>302.59000000000003</v>
      </c>
      <c r="I961" s="15" t="s">
        <v>1777</v>
      </c>
      <c r="J961" s="15" t="s">
        <v>85</v>
      </c>
      <c r="K961" s="15" t="s">
        <v>188</v>
      </c>
      <c r="L961" s="18" t="str">
        <f t="shared" si="52"/>
        <v>ERBAA BELEDİYE BAŞKANLIĞI TOKAT</v>
      </c>
      <c r="M961" s="18" t="str">
        <f t="shared" si="50"/>
        <v>ERBAA</v>
      </c>
      <c r="N961">
        <f>_xlfn.XLOOKUP(M961,[1]Sheet1!$A:$A,[1]Sheet1!$G:$G)</f>
        <v>0</v>
      </c>
    </row>
    <row r="962" spans="1:14" x14ac:dyDescent="0.25">
      <c r="A962" t="s">
        <v>844</v>
      </c>
      <c r="B962" t="s">
        <v>699</v>
      </c>
      <c r="C962" t="s">
        <v>188</v>
      </c>
      <c r="D962">
        <v>15</v>
      </c>
      <c r="E962">
        <v>90001</v>
      </c>
      <c r="F962" t="s">
        <v>845</v>
      </c>
      <c r="G962">
        <f t="shared" si="51"/>
        <v>26</v>
      </c>
      <c r="H962" s="9">
        <f>IF(ISERROR(VLOOKUP(A962,Excel4!D:J,7,0)),0,VLOOKUP(A962,Excel4!D:J,7,0))</f>
        <v>2507.5700000000002</v>
      </c>
      <c r="I962" s="15" t="s">
        <v>1777</v>
      </c>
      <c r="J962" s="15" t="s">
        <v>34</v>
      </c>
      <c r="K962" s="15" t="s">
        <v>188</v>
      </c>
      <c r="L962" s="18" t="str">
        <f t="shared" si="52"/>
        <v>TOKAT BELEDİYE BAŞKANLIĞI</v>
      </c>
      <c r="M962" s="18" t="str">
        <f t="shared" si="50"/>
        <v>TOKAT</v>
      </c>
      <c r="N962" t="e">
        <f>_xlfn.XLOOKUP(M962,[1]Sheet1!$C:$C,[1]Sheet1!$G:$G)</f>
        <v>#N/A</v>
      </c>
    </row>
    <row r="963" spans="1:14" x14ac:dyDescent="0.25">
      <c r="A963" t="s">
        <v>846</v>
      </c>
      <c r="B963" t="s">
        <v>704</v>
      </c>
      <c r="C963" t="s">
        <v>229</v>
      </c>
      <c r="D963">
        <v>10</v>
      </c>
      <c r="E963">
        <v>90001</v>
      </c>
      <c r="F963" t="s">
        <v>847</v>
      </c>
      <c r="G963">
        <f t="shared" si="51"/>
        <v>26</v>
      </c>
      <c r="H963" s="9">
        <f>IF(ISERROR(VLOOKUP(A963,Excel4!D:J,7,0)),0,VLOOKUP(A963,Excel4!D:J,7,0))</f>
        <v>7226.7199999999993</v>
      </c>
      <c r="I963" s="15" t="s">
        <v>1777</v>
      </c>
      <c r="J963" s="15" t="s">
        <v>229</v>
      </c>
      <c r="K963" s="15" t="s">
        <v>188</v>
      </c>
      <c r="L963" s="18" t="str">
        <f t="shared" si="52"/>
        <v>NİKSAR BELEDİYE BAŞKANLIĞI TOKAT</v>
      </c>
      <c r="M963" s="18" t="str">
        <f t="shared" si="50"/>
        <v>NİKSAR</v>
      </c>
      <c r="N963">
        <f>_xlfn.XLOOKUP(M963,[1]Sheet1!$A:$A,[1]Sheet1!$G:$G)</f>
        <v>0</v>
      </c>
    </row>
    <row r="964" spans="1:14" x14ac:dyDescent="0.25">
      <c r="A964" s="19" t="s">
        <v>2221</v>
      </c>
      <c r="B964" t="s">
        <v>704</v>
      </c>
      <c r="C964" t="s">
        <v>336</v>
      </c>
      <c r="D964">
        <v>10</v>
      </c>
      <c r="E964">
        <v>90001</v>
      </c>
      <c r="F964" t="s">
        <v>2228</v>
      </c>
      <c r="G964">
        <f t="shared" si="51"/>
        <v>26</v>
      </c>
      <c r="H964" s="9">
        <f>IF(ISERROR(VLOOKUP(A964,Excel4!D:J,7,0)),0,VLOOKUP(A964,Excel4!D:J,7,0))</f>
        <v>10.870000000000001</v>
      </c>
      <c r="I964" s="15" t="s">
        <v>1777</v>
      </c>
      <c r="J964" s="20" t="s">
        <v>336</v>
      </c>
      <c r="K964" s="15" t="s">
        <v>188</v>
      </c>
      <c r="L964" s="18" t="str">
        <f t="shared" si="52"/>
        <v>PAZAR BELEDİYE BAŞKANLIĞI TOKAT</v>
      </c>
      <c r="M964" s="18" t="str">
        <f t="shared" ref="M964:M1027" si="53">IF(J964="MERKEZ",K964,IF(J964="BÜYÜKŞEHİR",K964&amp;" BÜYÜKŞEHİR",J964))</f>
        <v>PAZAR</v>
      </c>
    </row>
    <row r="965" spans="1:14" x14ac:dyDescent="0.25">
      <c r="A965" t="s">
        <v>2500</v>
      </c>
      <c r="B965" s="19" t="s">
        <v>876</v>
      </c>
      <c r="C965" s="19" t="s">
        <v>383</v>
      </c>
      <c r="D965">
        <v>134</v>
      </c>
      <c r="E965">
        <v>90001</v>
      </c>
      <c r="F965" s="19" t="s">
        <v>2501</v>
      </c>
      <c r="G965">
        <f t="shared" si="51"/>
        <v>26</v>
      </c>
      <c r="H965" s="9">
        <f>IF(ISERROR(VLOOKUP(A965,Excel4!D:J,7,0)),0,VLOOKUP(A965,Excel4!D:J,7,0))</f>
        <v>0</v>
      </c>
      <c r="I965" s="15" t="s">
        <v>1777</v>
      </c>
      <c r="J965" s="15" t="s">
        <v>2408</v>
      </c>
      <c r="K965" s="15" t="s">
        <v>188</v>
      </c>
      <c r="L965" s="18" t="str">
        <f t="shared" si="52"/>
        <v>ŞENYURT BELEDİYE BAŞKANLIĞI TOKAT</v>
      </c>
      <c r="M965" s="18" t="str">
        <f t="shared" si="53"/>
        <v>ŞENYURT</v>
      </c>
    </row>
    <row r="966" spans="1:14" x14ac:dyDescent="0.25">
      <c r="A966" t="s">
        <v>3339</v>
      </c>
      <c r="B966" t="s">
        <v>940</v>
      </c>
      <c r="C966" t="s">
        <v>85</v>
      </c>
      <c r="D966">
        <v>15</v>
      </c>
      <c r="E966">
        <v>90001</v>
      </c>
      <c r="F966" t="s">
        <v>3467</v>
      </c>
      <c r="G966">
        <f t="shared" si="51"/>
        <v>26</v>
      </c>
      <c r="H966" s="9">
        <f>IF(ISERROR(VLOOKUP(A966,Excel4!D:J,7,0)),0,VLOOKUP(A966,Excel4!D:J,7,0))</f>
        <v>0</v>
      </c>
      <c r="I966" s="15" t="s">
        <v>1777</v>
      </c>
      <c r="J966" s="15" t="s">
        <v>3274</v>
      </c>
      <c r="K966" s="15" t="s">
        <v>188</v>
      </c>
      <c r="L966" s="18" t="str">
        <f t="shared" si="52"/>
        <v>TANOBA BELEDİYE BAŞKANLIĞI TOKAT</v>
      </c>
      <c r="M966" s="18" t="str">
        <f t="shared" si="53"/>
        <v>TANOBA</v>
      </c>
    </row>
    <row r="967" spans="1:14" x14ac:dyDescent="0.25">
      <c r="A967" t="s">
        <v>2189</v>
      </c>
      <c r="B967" t="s">
        <v>2555</v>
      </c>
      <c r="C967" s="19" t="s">
        <v>2160</v>
      </c>
      <c r="D967">
        <v>12</v>
      </c>
      <c r="E967">
        <v>90001</v>
      </c>
      <c r="F967" s="19" t="s">
        <v>2193</v>
      </c>
      <c r="G967">
        <f t="shared" si="51"/>
        <v>26</v>
      </c>
      <c r="H967" s="9">
        <f>IF(ISERROR(VLOOKUP(A967,Excel4!D:J,7,0)),0,VLOOKUP(A967,Excel4!D:J,7,0))</f>
        <v>1135.6600000000001</v>
      </c>
      <c r="I967" s="15" t="s">
        <v>1777</v>
      </c>
      <c r="J967" s="15" t="s">
        <v>2160</v>
      </c>
      <c r="K967" s="15" t="s">
        <v>188</v>
      </c>
      <c r="L967" s="18" t="str">
        <f t="shared" si="52"/>
        <v>REŞADİYE BELEDİYE BAŞKANLIĞI TOKAT</v>
      </c>
      <c r="M967" s="18" t="str">
        <f t="shared" si="53"/>
        <v>REŞADİYE</v>
      </c>
      <c r="N967">
        <f>_xlfn.XLOOKUP(M967,[1]Sheet1!$A:$A,[1]Sheet1!$G:$G)</f>
        <v>0</v>
      </c>
    </row>
    <row r="968" spans="1:14" x14ac:dyDescent="0.25">
      <c r="A968" s="19" t="s">
        <v>2662</v>
      </c>
      <c r="B968" t="s">
        <v>704</v>
      </c>
      <c r="C968" t="s">
        <v>376</v>
      </c>
      <c r="D968">
        <v>10</v>
      </c>
      <c r="E968">
        <v>90001</v>
      </c>
      <c r="F968" t="s">
        <v>2675</v>
      </c>
      <c r="G968">
        <f t="shared" si="51"/>
        <v>26</v>
      </c>
      <c r="H968" s="9">
        <f>IF(ISERROR(VLOOKUP(A968,Excel4!D:J,7,0)),0,VLOOKUP(A968,Excel4!D:J,7,0))</f>
        <v>0</v>
      </c>
      <c r="I968" s="15" t="s">
        <v>1777</v>
      </c>
      <c r="J968" s="20" t="s">
        <v>376</v>
      </c>
      <c r="K968" s="15" t="s">
        <v>188</v>
      </c>
      <c r="L968" s="18" t="str">
        <f t="shared" si="52"/>
        <v>YEŞİLYURT BELEDİYE BAŞKANLIĞI TOKAT</v>
      </c>
      <c r="M968" s="18" t="str">
        <f t="shared" si="53"/>
        <v>YEŞİLYURT</v>
      </c>
    </row>
    <row r="969" spans="1:14" x14ac:dyDescent="0.25">
      <c r="A969" t="s">
        <v>2969</v>
      </c>
      <c r="B969" t="s">
        <v>2555</v>
      </c>
      <c r="C969" s="19" t="s">
        <v>229</v>
      </c>
      <c r="D969">
        <v>12</v>
      </c>
      <c r="E969">
        <v>90001</v>
      </c>
      <c r="F969" s="19" t="s">
        <v>2971</v>
      </c>
      <c r="G969">
        <f t="shared" si="51"/>
        <v>26</v>
      </c>
      <c r="H969" s="9">
        <f>IF(ISERROR(VLOOKUP(A969,Excel4!D:J,7,0)),0,VLOOKUP(A969,Excel4!D:J,7,0))</f>
        <v>0</v>
      </c>
      <c r="I969" s="15" t="s">
        <v>1777</v>
      </c>
      <c r="J969" s="15" t="s">
        <v>2967</v>
      </c>
      <c r="K969" s="15" t="s">
        <v>188</v>
      </c>
      <c r="L969" s="18" t="str">
        <f t="shared" si="52"/>
        <v>YOLKONAK BELEDİYE BAŞKANLIĞI TOKAT</v>
      </c>
      <c r="M969" s="18" t="str">
        <f t="shared" si="53"/>
        <v>YOLKONAK</v>
      </c>
    </row>
    <row r="970" spans="1:14" x14ac:dyDescent="0.25">
      <c r="A970" t="s">
        <v>1755</v>
      </c>
      <c r="B970" t="s">
        <v>699</v>
      </c>
      <c r="C970" t="s">
        <v>383</v>
      </c>
      <c r="D970">
        <v>15</v>
      </c>
      <c r="E970">
        <v>90001</v>
      </c>
      <c r="F970" t="s">
        <v>1756</v>
      </c>
      <c r="G970">
        <f t="shared" si="51"/>
        <v>26</v>
      </c>
      <c r="H970" s="9">
        <f>IF(ISERROR(VLOOKUP(A970,Excel4!D:J,7,0)),0,VLOOKUP(A970,Excel4!D:J,7,0))</f>
        <v>614.22</v>
      </c>
      <c r="I970" s="15" t="s">
        <v>1777</v>
      </c>
      <c r="J970" s="15" t="s">
        <v>383</v>
      </c>
      <c r="K970" s="15" t="s">
        <v>188</v>
      </c>
      <c r="L970" s="18" t="str">
        <f t="shared" si="52"/>
        <v>TURHAL BELEDİYE BAŞKANLIĞI TOKAT</v>
      </c>
      <c r="M970" s="18" t="str">
        <f t="shared" si="53"/>
        <v>TURHAL</v>
      </c>
      <c r="N970">
        <f>_xlfn.XLOOKUP(M970,[1]Sheet1!$A:$A,[1]Sheet1!$G:$G)</f>
        <v>0</v>
      </c>
    </row>
    <row r="971" spans="1:14" x14ac:dyDescent="0.25">
      <c r="A971" t="s">
        <v>848</v>
      </c>
      <c r="B971" t="s">
        <v>704</v>
      </c>
      <c r="C971" t="s">
        <v>244</v>
      </c>
      <c r="D971">
        <v>10</v>
      </c>
      <c r="E971">
        <v>90001</v>
      </c>
      <c r="F971" t="s">
        <v>849</v>
      </c>
      <c r="G971">
        <f t="shared" si="51"/>
        <v>26</v>
      </c>
      <c r="H971" s="9">
        <f>IF(ISERROR(VLOOKUP(A971,Excel4!D:J,7,0)),0,VLOOKUP(A971,Excel4!D:J,7,0))</f>
        <v>0</v>
      </c>
      <c r="I971" s="15" t="s">
        <v>1777</v>
      </c>
      <c r="J971" s="15" t="s">
        <v>244</v>
      </c>
      <c r="K971" s="15" t="s">
        <v>147</v>
      </c>
      <c r="L971" s="18" t="str">
        <f t="shared" si="52"/>
        <v>AKÇAABAT BELEDİYE BAŞKANLIĞI TRABZON</v>
      </c>
      <c r="M971" s="18" t="str">
        <f t="shared" si="53"/>
        <v>AKÇAABAT</v>
      </c>
    </row>
    <row r="972" spans="1:14" x14ac:dyDescent="0.25">
      <c r="A972" t="s">
        <v>1909</v>
      </c>
      <c r="B972" t="s">
        <v>704</v>
      </c>
      <c r="C972" t="s">
        <v>1889</v>
      </c>
      <c r="D972">
        <v>10</v>
      </c>
      <c r="E972">
        <v>90001</v>
      </c>
      <c r="F972" t="s">
        <v>1956</v>
      </c>
      <c r="G972">
        <f t="shared" si="51"/>
        <v>26</v>
      </c>
      <c r="H972" s="9">
        <f>IF(ISERROR(VLOOKUP(A972,Excel4!D:J,7,0)),0,VLOOKUP(A972,Excel4!D:J,7,0))</f>
        <v>0</v>
      </c>
      <c r="I972" s="15" t="s">
        <v>1777</v>
      </c>
      <c r="J972" s="15" t="s">
        <v>1889</v>
      </c>
      <c r="K972" s="15" t="s">
        <v>147</v>
      </c>
      <c r="L972" s="18" t="str">
        <f t="shared" si="52"/>
        <v>ARSİN BELEDİYE BAŞKANLIĞI TRABZON</v>
      </c>
      <c r="M972" s="18" t="str">
        <f t="shared" si="53"/>
        <v>ARSİN</v>
      </c>
    </row>
    <row r="973" spans="1:14" x14ac:dyDescent="0.25">
      <c r="A973" t="s">
        <v>1757</v>
      </c>
      <c r="B973" t="s">
        <v>699</v>
      </c>
      <c r="C973" t="s">
        <v>384</v>
      </c>
      <c r="D973">
        <v>15</v>
      </c>
      <c r="E973">
        <v>90001</v>
      </c>
      <c r="F973" t="s">
        <v>3309</v>
      </c>
      <c r="G973">
        <f t="shared" si="51"/>
        <v>26</v>
      </c>
      <c r="H973" s="9">
        <f>IF(ISERROR(VLOOKUP(A973,Excel4!D:J,7,0)),0,VLOOKUP(A973,Excel4!D:J,7,0))</f>
        <v>597.74</v>
      </c>
      <c r="I973" s="15" t="s">
        <v>1777</v>
      </c>
      <c r="J973" s="15" t="s">
        <v>384</v>
      </c>
      <c r="K973" s="15" t="s">
        <v>188</v>
      </c>
      <c r="L973" s="18" t="str">
        <f t="shared" si="52"/>
        <v>ZİLE BELEDİYE BAŞKANLIĞI TOKAT</v>
      </c>
      <c r="M973" s="18" t="str">
        <f t="shared" si="53"/>
        <v>ZİLE</v>
      </c>
      <c r="N973">
        <f>_xlfn.XLOOKUP(M973,[1]Sheet1!$A:$A,[1]Sheet1!$G:$G)</f>
        <v>0</v>
      </c>
    </row>
    <row r="974" spans="1:14" x14ac:dyDescent="0.25">
      <c r="A974" t="s">
        <v>850</v>
      </c>
      <c r="B974" t="s">
        <v>704</v>
      </c>
      <c r="C974" t="s">
        <v>385</v>
      </c>
      <c r="D974">
        <v>10</v>
      </c>
      <c r="E974">
        <v>90001</v>
      </c>
      <c r="F974" t="s">
        <v>851</v>
      </c>
      <c r="G974">
        <f t="shared" si="51"/>
        <v>26</v>
      </c>
      <c r="H974" s="9">
        <f>IF(ISERROR(VLOOKUP(A974,Excel4!D:J,7,0)),0,VLOOKUP(A974,Excel4!D:J,7,0))</f>
        <v>0</v>
      </c>
      <c r="I974" s="15" t="s">
        <v>1777</v>
      </c>
      <c r="J974" s="15" t="s">
        <v>385</v>
      </c>
      <c r="K974" s="15" t="s">
        <v>147</v>
      </c>
      <c r="L974" s="18" t="str">
        <f t="shared" si="52"/>
        <v>OF BELEDİYE BAŞKANLIĞI TRABZON</v>
      </c>
      <c r="M974" s="18" t="str">
        <f t="shared" si="53"/>
        <v>OF</v>
      </c>
    </row>
    <row r="975" spans="1:14" x14ac:dyDescent="0.25">
      <c r="A975" t="s">
        <v>852</v>
      </c>
      <c r="B975" t="s">
        <v>704</v>
      </c>
      <c r="C975" t="s">
        <v>212</v>
      </c>
      <c r="D975">
        <v>10</v>
      </c>
      <c r="E975">
        <v>90001</v>
      </c>
      <c r="F975" t="s">
        <v>853</v>
      </c>
      <c r="G975">
        <f t="shared" si="51"/>
        <v>26</v>
      </c>
      <c r="H975" s="9">
        <f>IF(ISERROR(VLOOKUP(A975,Excel4!D:J,7,0)),0,VLOOKUP(A975,Excel4!D:J,7,0))</f>
        <v>0</v>
      </c>
      <c r="I975" s="15" t="s">
        <v>1777</v>
      </c>
      <c r="J975" s="15" t="s">
        <v>212</v>
      </c>
      <c r="K975" s="15" t="s">
        <v>147</v>
      </c>
      <c r="L975" s="18" t="str">
        <f t="shared" si="52"/>
        <v>SÜRMENE BELEDİYE BAŞKANLIĞI TRABZON</v>
      </c>
      <c r="M975" s="18" t="str">
        <f t="shared" si="53"/>
        <v>SÜRMENE</v>
      </c>
    </row>
    <row r="976" spans="1:14" x14ac:dyDescent="0.25">
      <c r="A976" t="s">
        <v>854</v>
      </c>
      <c r="B976" t="s">
        <v>704</v>
      </c>
      <c r="C976" t="s">
        <v>478</v>
      </c>
      <c r="D976">
        <v>10</v>
      </c>
      <c r="E976">
        <v>90001</v>
      </c>
      <c r="F976" t="s">
        <v>855</v>
      </c>
      <c r="G976">
        <f t="shared" si="51"/>
        <v>26</v>
      </c>
      <c r="H976" s="9">
        <f>IF(ISERROR(VLOOKUP(A976,Excel4!D:J,7,0)),0,VLOOKUP(A976,Excel4!D:J,7,0))</f>
        <v>0</v>
      </c>
      <c r="I976" s="15" t="s">
        <v>1777</v>
      </c>
      <c r="J976" s="15" t="s">
        <v>478</v>
      </c>
      <c r="K976" s="15" t="s">
        <v>147</v>
      </c>
      <c r="L976" s="18" t="str">
        <f t="shared" si="52"/>
        <v>TONYA BELEDİYE BAŞKANLIĞI TRABZON</v>
      </c>
      <c r="M976" s="18" t="str">
        <f t="shared" si="53"/>
        <v>TONYA</v>
      </c>
    </row>
    <row r="977" spans="1:14" x14ac:dyDescent="0.25">
      <c r="A977" t="s">
        <v>856</v>
      </c>
      <c r="B977" t="s">
        <v>704</v>
      </c>
      <c r="C977" t="s">
        <v>688</v>
      </c>
      <c r="D977">
        <v>10</v>
      </c>
      <c r="E977">
        <v>90001</v>
      </c>
      <c r="F977" t="s">
        <v>857</v>
      </c>
      <c r="G977">
        <f t="shared" si="51"/>
        <v>26</v>
      </c>
      <c r="H977" s="9">
        <f>IF(ISERROR(VLOOKUP(A977,Excel4!D:J,7,0)),0,VLOOKUP(A977,Excel4!D:J,7,0))</f>
        <v>0</v>
      </c>
      <c r="I977" s="15" t="s">
        <v>1777</v>
      </c>
      <c r="J977" s="15" t="s">
        <v>688</v>
      </c>
      <c r="K977" s="15" t="s">
        <v>147</v>
      </c>
      <c r="L977" s="18" t="str">
        <f t="shared" si="52"/>
        <v>VAKFIKEBİR BELEDİYE BAŞKANLIĞI TRABZON</v>
      </c>
      <c r="M977" s="18" t="str">
        <f t="shared" si="53"/>
        <v>VAKFIKEBİR</v>
      </c>
    </row>
    <row r="978" spans="1:14" x14ac:dyDescent="0.25">
      <c r="A978" t="s">
        <v>858</v>
      </c>
      <c r="B978" t="s">
        <v>704</v>
      </c>
      <c r="C978" t="s">
        <v>859</v>
      </c>
      <c r="D978">
        <v>10</v>
      </c>
      <c r="E978">
        <v>90001</v>
      </c>
      <c r="F978" t="s">
        <v>860</v>
      </c>
      <c r="G978">
        <f t="shared" si="51"/>
        <v>26</v>
      </c>
      <c r="H978" s="9">
        <f>IF(ISERROR(VLOOKUP(A978,Excel4!D:J,7,0)),0,VLOOKUP(A978,Excel4!D:J,7,0))</f>
        <v>0</v>
      </c>
      <c r="I978" s="15" t="s">
        <v>1777</v>
      </c>
      <c r="J978" s="15" t="s">
        <v>689</v>
      </c>
      <c r="K978" s="15" t="s">
        <v>147</v>
      </c>
      <c r="L978" s="18" t="str">
        <f t="shared" si="52"/>
        <v>YALINCAK BELEDİYE BAŞKANLIĞI TRABZON</v>
      </c>
      <c r="M978" s="18" t="str">
        <f t="shared" si="53"/>
        <v>YALINCAK</v>
      </c>
    </row>
    <row r="979" spans="1:14" x14ac:dyDescent="0.25">
      <c r="A979" t="s">
        <v>861</v>
      </c>
      <c r="B979" t="s">
        <v>704</v>
      </c>
      <c r="C979" t="s">
        <v>386</v>
      </c>
      <c r="D979">
        <v>10</v>
      </c>
      <c r="E979">
        <v>90001</v>
      </c>
      <c r="F979" t="s">
        <v>862</v>
      </c>
      <c r="G979">
        <f t="shared" si="51"/>
        <v>26</v>
      </c>
      <c r="H979" s="9">
        <f>IF(ISERROR(VLOOKUP(A979,Excel4!D:J,7,0)),0,VLOOKUP(A979,Excel4!D:J,7,0))</f>
        <v>0</v>
      </c>
      <c r="I979" s="15" t="s">
        <v>1777</v>
      </c>
      <c r="J979" s="15" t="s">
        <v>386</v>
      </c>
      <c r="K979" s="15" t="s">
        <v>147</v>
      </c>
      <c r="L979" s="18" t="str">
        <f t="shared" si="52"/>
        <v>YOMRA BELEDİYE BAŞKANLIĞI TRABZON</v>
      </c>
      <c r="M979" s="18" t="str">
        <f t="shared" si="53"/>
        <v>YOMRA</v>
      </c>
    </row>
    <row r="980" spans="1:14" x14ac:dyDescent="0.25">
      <c r="A980" t="s">
        <v>2346</v>
      </c>
      <c r="B980" s="19" t="s">
        <v>704</v>
      </c>
      <c r="C980" s="19" t="s">
        <v>2310</v>
      </c>
      <c r="D980">
        <v>10</v>
      </c>
      <c r="E980">
        <v>90001</v>
      </c>
      <c r="F980" t="s">
        <v>2372</v>
      </c>
      <c r="G980">
        <f t="shared" si="51"/>
        <v>26</v>
      </c>
      <c r="H980" s="9">
        <f>IF(ISERROR(VLOOKUP(A980,Excel4!D:J,7,0)),0,VLOOKUP(A980,Excel4!D:J,7,0))</f>
        <v>77.39</v>
      </c>
      <c r="I980" s="15" t="s">
        <v>1777</v>
      </c>
      <c r="J980" s="20" t="s">
        <v>2310</v>
      </c>
      <c r="K980" s="20" t="s">
        <v>311</v>
      </c>
      <c r="L980" s="18" t="str">
        <f t="shared" si="52"/>
        <v>ÇEMİŞGEZEK BELEDİYE BAŞKANLIĞI TUNCELİ</v>
      </c>
      <c r="M980" s="18" t="str">
        <f t="shared" si="53"/>
        <v>ÇEMİŞGEZEK</v>
      </c>
    </row>
    <row r="981" spans="1:14" x14ac:dyDescent="0.25">
      <c r="A981" t="s">
        <v>2034</v>
      </c>
      <c r="B981" t="s">
        <v>699</v>
      </c>
      <c r="C981" t="s">
        <v>147</v>
      </c>
      <c r="D981">
        <v>15</v>
      </c>
      <c r="E981">
        <v>90001</v>
      </c>
      <c r="F981" t="s">
        <v>416</v>
      </c>
      <c r="G981">
        <f t="shared" si="51"/>
        <v>26</v>
      </c>
      <c r="H981" s="9">
        <f>IF(ISERROR(VLOOKUP(A981,Excel4!D:J,7,0)),0,VLOOKUP(A981,Excel4!D:J,7,0))</f>
        <v>11567.08</v>
      </c>
      <c r="I981" s="15" t="s">
        <v>1777</v>
      </c>
      <c r="J981" s="15" t="s">
        <v>27</v>
      </c>
      <c r="K981" s="15" t="s">
        <v>147</v>
      </c>
      <c r="L981" s="18" t="str">
        <f t="shared" si="52"/>
        <v>TRABZON BÜYÜKŞEHİR BELEDİYE BAŞKANLIĞI</v>
      </c>
      <c r="M981" s="18" t="str">
        <f t="shared" si="53"/>
        <v>TRABZON BÜYÜKŞEHİR</v>
      </c>
      <c r="N981">
        <f>_xlfn.XLOOKUP(M981,[1]Sheet1!$A:$A,[1]Sheet1!$G:$G)</f>
        <v>0</v>
      </c>
    </row>
    <row r="982" spans="1:14" x14ac:dyDescent="0.25">
      <c r="A982" t="s">
        <v>2685</v>
      </c>
      <c r="B982" s="19" t="s">
        <v>704</v>
      </c>
      <c r="C982" s="19" t="s">
        <v>2679</v>
      </c>
      <c r="D982">
        <v>10</v>
      </c>
      <c r="E982">
        <v>90001</v>
      </c>
      <c r="F982" s="19" t="s">
        <v>2690</v>
      </c>
      <c r="G982">
        <f t="shared" si="51"/>
        <v>26</v>
      </c>
      <c r="H982" s="9">
        <f>IF(ISERROR(VLOOKUP(A982,Excel4!D:J,7,0)),0,VLOOKUP(A982,Excel4!D:J,7,0))</f>
        <v>0</v>
      </c>
      <c r="I982" s="15" t="s">
        <v>1777</v>
      </c>
      <c r="J982" s="20" t="s">
        <v>2679</v>
      </c>
      <c r="K982" s="15" t="s">
        <v>311</v>
      </c>
      <c r="L982" s="18" t="str">
        <f t="shared" si="52"/>
        <v>MAZGİRT BELEDİYE BAŞKANLIĞI TUNCELİ</v>
      </c>
      <c r="M982" s="18" t="str">
        <f t="shared" si="53"/>
        <v>MAZGİRT</v>
      </c>
      <c r="N982">
        <f>_xlfn.XLOOKUP(M982,[1]Sheet1!$A:$A,[1]Sheet1!$G:$G)</f>
        <v>0</v>
      </c>
    </row>
    <row r="983" spans="1:14" x14ac:dyDescent="0.25">
      <c r="A983" t="s">
        <v>2649</v>
      </c>
      <c r="B983" t="s">
        <v>704</v>
      </c>
      <c r="C983" t="s">
        <v>2644</v>
      </c>
      <c r="D983">
        <v>10</v>
      </c>
      <c r="E983">
        <v>90001</v>
      </c>
      <c r="F983" t="s">
        <v>2652</v>
      </c>
      <c r="G983">
        <f t="shared" si="51"/>
        <v>26</v>
      </c>
      <c r="H983" s="9">
        <f>IF(ISERROR(VLOOKUP(A983,Excel4!D:J,7,0)),0,VLOOKUP(A983,Excel4!D:J,7,0))</f>
        <v>0</v>
      </c>
      <c r="I983" s="15" t="s">
        <v>1777</v>
      </c>
      <c r="J983" s="20" t="s">
        <v>2644</v>
      </c>
      <c r="K983" s="15" t="s">
        <v>311</v>
      </c>
      <c r="L983" s="18" t="str">
        <f t="shared" si="52"/>
        <v>HOZAT BELEDİYE BAŞKANLIĞI TUNCELİ</v>
      </c>
      <c r="M983" s="18" t="str">
        <f t="shared" si="53"/>
        <v>HOZAT</v>
      </c>
      <c r="N983">
        <f>_xlfn.XLOOKUP(M983,[1]Sheet1!$A:$A,[1]Sheet1!$G:$G)</f>
        <v>0</v>
      </c>
    </row>
    <row r="984" spans="1:14" x14ac:dyDescent="0.25">
      <c r="A984" t="s">
        <v>2078</v>
      </c>
      <c r="B984" t="s">
        <v>704</v>
      </c>
      <c r="C984" t="s">
        <v>2061</v>
      </c>
      <c r="D984">
        <v>10</v>
      </c>
      <c r="E984">
        <v>90001</v>
      </c>
      <c r="F984" t="s">
        <v>2099</v>
      </c>
      <c r="G984">
        <f t="shared" si="51"/>
        <v>26</v>
      </c>
      <c r="H984" s="9">
        <f>IF(ISERROR(VLOOKUP(A984,Excel4!D:J,7,0)),0,VLOOKUP(A984,Excel4!D:J,7,0))</f>
        <v>0</v>
      </c>
      <c r="I984" s="15" t="s">
        <v>1777</v>
      </c>
      <c r="J984" s="15" t="s">
        <v>2061</v>
      </c>
      <c r="K984" s="15" t="s">
        <v>311</v>
      </c>
      <c r="L984" s="18" t="str">
        <f t="shared" si="52"/>
        <v>OVACIK BELEDİYE BAŞKANLIĞI TUNCELİ</v>
      </c>
      <c r="M984" s="18" t="str">
        <f t="shared" si="53"/>
        <v>OVACIK</v>
      </c>
    </row>
    <row r="985" spans="1:14" x14ac:dyDescent="0.25">
      <c r="A985" t="s">
        <v>1923</v>
      </c>
      <c r="B985" t="s">
        <v>704</v>
      </c>
      <c r="C985" t="s">
        <v>1890</v>
      </c>
      <c r="D985">
        <v>10</v>
      </c>
      <c r="E985">
        <v>90001</v>
      </c>
      <c r="F985" t="s">
        <v>1986</v>
      </c>
      <c r="G985">
        <f t="shared" ref="G985:G1048" si="54">LEN(F985)</f>
        <v>26</v>
      </c>
      <c r="H985" s="9">
        <f>IF(ISERROR(VLOOKUP(A985,Excel4!D:J,7,0)),0,VLOOKUP(A985,Excel4!D:J,7,0))</f>
        <v>0</v>
      </c>
      <c r="I985" s="15" t="s">
        <v>1777</v>
      </c>
      <c r="J985" s="15" t="s">
        <v>1890</v>
      </c>
      <c r="K985" s="15" t="s">
        <v>311</v>
      </c>
      <c r="L985" s="18" t="str">
        <f t="shared" si="52"/>
        <v>PERTEK BELEDİYE BAŞKANLIĞI TUNCELİ</v>
      </c>
      <c r="M985" s="18" t="str">
        <f t="shared" si="53"/>
        <v>PERTEK</v>
      </c>
      <c r="N985">
        <f>_xlfn.XLOOKUP(M985,[1]Sheet1!$A:$A,[1]Sheet1!$G:$G)</f>
        <v>0</v>
      </c>
    </row>
    <row r="986" spans="1:14" x14ac:dyDescent="0.25">
      <c r="A986" t="s">
        <v>863</v>
      </c>
      <c r="B986" t="s">
        <v>704</v>
      </c>
      <c r="C986" t="s">
        <v>311</v>
      </c>
      <c r="D986">
        <v>10</v>
      </c>
      <c r="E986">
        <v>90001</v>
      </c>
      <c r="F986" t="s">
        <v>864</v>
      </c>
      <c r="G986">
        <f t="shared" si="54"/>
        <v>26</v>
      </c>
      <c r="H986" s="9">
        <f>IF(ISERROR(VLOOKUP(A986,Excel4!D:J,7,0)),0,VLOOKUP(A986,Excel4!D:J,7,0))</f>
        <v>444.03</v>
      </c>
      <c r="I986" s="15" t="s">
        <v>1777</v>
      </c>
      <c r="J986" s="15" t="s">
        <v>34</v>
      </c>
      <c r="K986" s="15" t="s">
        <v>311</v>
      </c>
      <c r="L986" s="18" t="str">
        <f t="shared" si="52"/>
        <v>TUNCELİ BELEDİYE BAŞKANLIĞI</v>
      </c>
      <c r="M986" s="18" t="str">
        <f t="shared" si="53"/>
        <v>TUNCELİ</v>
      </c>
      <c r="N986" t="e">
        <f>_xlfn.XLOOKUP(M986,[1]Sheet1!$C:$C,[1]Sheet1!$G:$G)</f>
        <v>#N/A</v>
      </c>
    </row>
    <row r="987" spans="1:14" x14ac:dyDescent="0.25">
      <c r="A987" t="s">
        <v>2348</v>
      </c>
      <c r="B987" s="19" t="s">
        <v>704</v>
      </c>
      <c r="C987" s="19" t="s">
        <v>13</v>
      </c>
      <c r="D987">
        <v>10</v>
      </c>
      <c r="E987">
        <v>90001</v>
      </c>
      <c r="F987" t="s">
        <v>2389</v>
      </c>
      <c r="G987">
        <f t="shared" si="54"/>
        <v>26</v>
      </c>
      <c r="H987" s="9">
        <f>IF(ISERROR(VLOOKUP(A987,Excel4!D:J,7,0)),0,VLOOKUP(A987,Excel4!D:J,7,0))</f>
        <v>0</v>
      </c>
      <c r="I987" s="15" t="s">
        <v>1777</v>
      </c>
      <c r="J987" s="20" t="s">
        <v>2324</v>
      </c>
      <c r="K987" s="20" t="s">
        <v>13</v>
      </c>
      <c r="L987" s="18" t="str">
        <f t="shared" si="52"/>
        <v>BÖLME BELEDİYE BAŞKANLIĞI UŞAK</v>
      </c>
      <c r="M987" s="18" t="str">
        <f t="shared" si="53"/>
        <v>BÖLME</v>
      </c>
    </row>
    <row r="988" spans="1:14" x14ac:dyDescent="0.25">
      <c r="A988" t="s">
        <v>2294</v>
      </c>
      <c r="B988" t="s">
        <v>2555</v>
      </c>
      <c r="C988" t="s">
        <v>345</v>
      </c>
      <c r="D988">
        <v>12</v>
      </c>
      <c r="E988">
        <v>90001</v>
      </c>
      <c r="F988" t="s">
        <v>865</v>
      </c>
      <c r="G988">
        <f t="shared" si="54"/>
        <v>26</v>
      </c>
      <c r="H988" s="9">
        <f>IF(ISERROR(VLOOKUP(A988,Excel4!D:J,7,0)),0,VLOOKUP(A988,Excel4!D:J,7,0))</f>
        <v>143.32999999999998</v>
      </c>
      <c r="I988" s="15" t="s">
        <v>1777</v>
      </c>
      <c r="J988" s="15" t="s">
        <v>345</v>
      </c>
      <c r="K988" s="15" t="s">
        <v>13</v>
      </c>
      <c r="L988" s="18" t="str">
        <f t="shared" si="52"/>
        <v>BANAZ BELEDİYE BAŞKANLIĞI UŞAK</v>
      </c>
      <c r="M988" s="18" t="str">
        <f t="shared" si="53"/>
        <v>BANAZ</v>
      </c>
    </row>
    <row r="989" spans="1:14" x14ac:dyDescent="0.25">
      <c r="A989" t="s">
        <v>2296</v>
      </c>
      <c r="B989" t="s">
        <v>2555</v>
      </c>
      <c r="C989" t="s">
        <v>2241</v>
      </c>
      <c r="D989">
        <v>12</v>
      </c>
      <c r="E989">
        <v>90001</v>
      </c>
      <c r="F989" t="s">
        <v>2521</v>
      </c>
      <c r="G989">
        <f t="shared" si="54"/>
        <v>26</v>
      </c>
      <c r="H989" s="9">
        <f>IF(ISERROR(VLOOKUP(A989,Excel4!D:J,7,0)),0,VLOOKUP(A989,Excel4!D:J,7,0))</f>
        <v>701.44999999999993</v>
      </c>
      <c r="I989" s="15" t="s">
        <v>1777</v>
      </c>
      <c r="J989" s="20" t="s">
        <v>2241</v>
      </c>
      <c r="K989" s="15" t="s">
        <v>13</v>
      </c>
      <c r="L989" s="18" t="str">
        <f t="shared" si="52"/>
        <v>EŞME BELEDİYE BAŞKANLIĞI UŞAK</v>
      </c>
      <c r="M989" s="18" t="str">
        <f t="shared" si="53"/>
        <v>EŞME</v>
      </c>
    </row>
    <row r="990" spans="1:14" x14ac:dyDescent="0.25">
      <c r="A990" t="s">
        <v>2079</v>
      </c>
      <c r="B990" t="s">
        <v>2555</v>
      </c>
      <c r="C990" t="s">
        <v>345</v>
      </c>
      <c r="D990">
        <v>12</v>
      </c>
      <c r="E990">
        <v>90001</v>
      </c>
      <c r="F990" t="s">
        <v>2086</v>
      </c>
      <c r="G990">
        <f t="shared" si="54"/>
        <v>26</v>
      </c>
      <c r="H990" s="9">
        <f>IF(ISERROR(VLOOKUP(A990,Excel4!D:J,7,0)),0,VLOOKUP(A990,Excel4!D:J,7,0))</f>
        <v>0</v>
      </c>
      <c r="I990" s="15" t="s">
        <v>1777</v>
      </c>
      <c r="J990" s="15" t="s">
        <v>2062</v>
      </c>
      <c r="K990" s="15" t="s">
        <v>13</v>
      </c>
      <c r="L990" s="18" t="str">
        <f t="shared" si="52"/>
        <v>KIZILCASÖĞÜT BELEDİYE BAŞKANLIĞI UŞAK</v>
      </c>
      <c r="M990" s="18" t="str">
        <f t="shared" si="53"/>
        <v>KIZILCASÖĞÜT</v>
      </c>
    </row>
    <row r="991" spans="1:14" x14ac:dyDescent="0.25">
      <c r="A991" t="s">
        <v>2347</v>
      </c>
      <c r="B991" s="19" t="s">
        <v>704</v>
      </c>
      <c r="C991" s="19" t="s">
        <v>2214</v>
      </c>
      <c r="D991">
        <v>10</v>
      </c>
      <c r="E991">
        <v>90001</v>
      </c>
      <c r="F991" t="s">
        <v>2370</v>
      </c>
      <c r="G991">
        <f t="shared" si="54"/>
        <v>26</v>
      </c>
      <c r="H991" s="9">
        <f>IF(ISERROR(VLOOKUP(A991,Excel4!D:J,7,0)),0,VLOOKUP(A991,Excel4!D:J,7,0))</f>
        <v>19.32</v>
      </c>
      <c r="I991" s="15" t="s">
        <v>1777</v>
      </c>
      <c r="J991" s="20" t="s">
        <v>2214</v>
      </c>
      <c r="K991" s="20" t="s">
        <v>13</v>
      </c>
      <c r="L991" s="18" t="str">
        <f t="shared" si="52"/>
        <v>KARAHALLI BELEDİYE BAŞKANLIĞI UŞAK</v>
      </c>
      <c r="M991" s="18" t="str">
        <f t="shared" si="53"/>
        <v>KARAHALLI</v>
      </c>
    </row>
    <row r="992" spans="1:14" x14ac:dyDescent="0.25">
      <c r="A992" t="s">
        <v>2550</v>
      </c>
      <c r="B992" t="s">
        <v>704</v>
      </c>
      <c r="C992" t="s">
        <v>2003</v>
      </c>
      <c r="D992">
        <v>10</v>
      </c>
      <c r="E992">
        <v>90001</v>
      </c>
      <c r="F992" t="s">
        <v>2572</v>
      </c>
      <c r="G992">
        <f t="shared" si="54"/>
        <v>26</v>
      </c>
      <c r="H992" s="9">
        <f>IF(ISERROR(VLOOKUP(A992,Excel4!D:J,7,0)),0,VLOOKUP(A992,Excel4!D:J,7,0))</f>
        <v>0</v>
      </c>
      <c r="I992" s="15" t="s">
        <v>1777</v>
      </c>
      <c r="J992" s="15" t="s">
        <v>610</v>
      </c>
      <c r="K992" s="15" t="s">
        <v>13</v>
      </c>
      <c r="L992" s="18" t="str">
        <f t="shared" si="52"/>
        <v>PINARBAŞI BELEDİYE BAŞKANLIĞI UŞAK</v>
      </c>
      <c r="M992" s="18" t="str">
        <f t="shared" si="53"/>
        <v>PINARBAŞI</v>
      </c>
    </row>
    <row r="993" spans="1:40" x14ac:dyDescent="0.25">
      <c r="A993" t="s">
        <v>2295</v>
      </c>
      <c r="B993" t="s">
        <v>704</v>
      </c>
      <c r="C993" t="s">
        <v>2003</v>
      </c>
      <c r="D993">
        <v>10</v>
      </c>
      <c r="E993">
        <v>90001</v>
      </c>
      <c r="F993" t="s">
        <v>3310</v>
      </c>
      <c r="G993">
        <f t="shared" si="54"/>
        <v>26</v>
      </c>
      <c r="H993" s="9">
        <f>IF(ISERROR(VLOOKUP(A993,Excel4!D:J,7,0)),0,VLOOKUP(A993,Excel4!D:J,7,0))</f>
        <v>197.95000000000002</v>
      </c>
      <c r="I993" s="15" t="s">
        <v>1777</v>
      </c>
      <c r="J993" s="15" t="s">
        <v>2003</v>
      </c>
      <c r="K993" s="15" t="s">
        <v>13</v>
      </c>
      <c r="L993" s="18" t="str">
        <f t="shared" si="52"/>
        <v>SİVASLI BELEDİYE BAŞKANLIĞI UŞAK</v>
      </c>
      <c r="M993" s="18" t="str">
        <f t="shared" si="53"/>
        <v>SİVASLI</v>
      </c>
    </row>
    <row r="994" spans="1:40" x14ac:dyDescent="0.25">
      <c r="A994" t="s">
        <v>2519</v>
      </c>
      <c r="B994" t="s">
        <v>704</v>
      </c>
      <c r="C994" t="s">
        <v>2003</v>
      </c>
      <c r="D994">
        <v>10</v>
      </c>
      <c r="E994">
        <v>90001</v>
      </c>
      <c r="F994" t="s">
        <v>2520</v>
      </c>
      <c r="G994">
        <f t="shared" si="54"/>
        <v>26</v>
      </c>
      <c r="H994" s="9">
        <f>IF(ISERROR(VLOOKUP(A994,Excel4!D:J,7,0)),0,VLOOKUP(A994,Excel4!D:J,7,0))</f>
        <v>0</v>
      </c>
      <c r="I994" s="15" t="s">
        <v>1777</v>
      </c>
      <c r="J994" s="15" t="s">
        <v>2410</v>
      </c>
      <c r="K994" s="15" t="s">
        <v>13</v>
      </c>
      <c r="L994" s="18" t="str">
        <f t="shared" si="52"/>
        <v>TATAR BELEDİYE BAŞKANLIĞI UŞAK</v>
      </c>
      <c r="M994" s="18" t="str">
        <f t="shared" si="53"/>
        <v>TATAR</v>
      </c>
    </row>
    <row r="995" spans="1:40" x14ac:dyDescent="0.25">
      <c r="A995" t="s">
        <v>866</v>
      </c>
      <c r="B995" t="s">
        <v>704</v>
      </c>
      <c r="C995" t="s">
        <v>13</v>
      </c>
      <c r="D995">
        <v>10</v>
      </c>
      <c r="E995">
        <v>90001</v>
      </c>
      <c r="F995" t="s">
        <v>867</v>
      </c>
      <c r="G995">
        <f t="shared" si="54"/>
        <v>26</v>
      </c>
      <c r="H995" s="9">
        <f>IF(ISERROR(VLOOKUP(A995,Excel4!D:J,7,0)),0,VLOOKUP(A995,Excel4!D:J,7,0))</f>
        <v>4005.78</v>
      </c>
      <c r="I995" s="15" t="s">
        <v>1777</v>
      </c>
      <c r="J995" s="15" t="s">
        <v>34</v>
      </c>
      <c r="K995" s="15" t="s">
        <v>13</v>
      </c>
      <c r="L995" s="18" t="str">
        <f t="shared" si="52"/>
        <v>UŞAK BELEDİYE BAŞKANLIĞI</v>
      </c>
      <c r="M995" s="18" t="str">
        <f t="shared" si="53"/>
        <v>UŞAK</v>
      </c>
      <c r="N995" t="e">
        <f>_xlfn.XLOOKUP(M995,[1]Sheet1!$C:$C,[1]Sheet1!$G:$G)</f>
        <v>#N/A</v>
      </c>
    </row>
    <row r="996" spans="1:40" x14ac:dyDescent="0.25">
      <c r="A996" t="s">
        <v>2628</v>
      </c>
      <c r="B996" s="19" t="s">
        <v>2555</v>
      </c>
      <c r="C996" s="19" t="s">
        <v>2241</v>
      </c>
      <c r="D996">
        <v>12</v>
      </c>
      <c r="E996">
        <v>90001</v>
      </c>
      <c r="F996" s="19" t="s">
        <v>2637</v>
      </c>
      <c r="G996">
        <f t="shared" si="54"/>
        <v>26</v>
      </c>
      <c r="H996" s="9">
        <f>IF(ISERROR(VLOOKUP(A996,Excel4!D:J,7,0)),0,VLOOKUP(A996,Excel4!D:J,7,0))</f>
        <v>0</v>
      </c>
      <c r="I996" s="15" t="s">
        <v>1777</v>
      </c>
      <c r="J996" s="20" t="s">
        <v>2627</v>
      </c>
      <c r="K996" s="20" t="s">
        <v>13</v>
      </c>
      <c r="L996" s="18" t="str">
        <f t="shared" ref="L996:L1058" si="55">IF(J996="MERKEZ",K996&amp;" "&amp;I996,IF(J996="BÜYÜKŞEHİR",K996&amp;" "&amp;J996&amp;" "&amp;I996,J996&amp;" "&amp;I996&amp;" "&amp;K996))</f>
        <v>YELEĞEN BELEDİYE BAŞKANLIĞI UŞAK</v>
      </c>
      <c r="M996" s="18" t="str">
        <f t="shared" si="53"/>
        <v>YELEĞEN</v>
      </c>
    </row>
    <row r="997" spans="1:40" x14ac:dyDescent="0.25">
      <c r="A997" t="s">
        <v>2518</v>
      </c>
      <c r="B997" t="s">
        <v>704</v>
      </c>
      <c r="C997" t="s">
        <v>2418</v>
      </c>
      <c r="D997">
        <v>10</v>
      </c>
      <c r="E997">
        <v>90001</v>
      </c>
      <c r="F997" s="19" t="s">
        <v>3000</v>
      </c>
      <c r="G997">
        <f t="shared" si="54"/>
        <v>26</v>
      </c>
      <c r="H997" s="9">
        <f>IF(ISERROR(VLOOKUP(A997,Excel4!D:J,7,0)),0,VLOOKUP(A997,Excel4!D:J,7,0))</f>
        <v>70.540000000000006</v>
      </c>
      <c r="I997" s="15" t="s">
        <v>1777</v>
      </c>
      <c r="J997" s="15" t="s">
        <v>2418</v>
      </c>
      <c r="K997" s="15" t="s">
        <v>13</v>
      </c>
      <c r="L997" s="18" t="str">
        <f t="shared" si="55"/>
        <v>ULUBEY BELEDİYE BAŞKANLIĞI UŞAK</v>
      </c>
      <c r="M997" s="18" t="str">
        <f t="shared" si="53"/>
        <v>ULUBEY</v>
      </c>
      <c r="N997">
        <f>_xlfn.XLOOKUP(M997,[1]Sheet1!$A:$A,[1]Sheet1!$G:$G)</f>
        <v>0</v>
      </c>
    </row>
    <row r="998" spans="1:40" x14ac:dyDescent="0.25">
      <c r="A998" s="19" t="s">
        <v>2928</v>
      </c>
      <c r="B998" s="19" t="s">
        <v>704</v>
      </c>
      <c r="C998" t="s">
        <v>47</v>
      </c>
      <c r="D998">
        <v>10</v>
      </c>
      <c r="E998">
        <v>1959</v>
      </c>
      <c r="F998" t="s">
        <v>2940</v>
      </c>
      <c r="G998">
        <f t="shared" si="54"/>
        <v>26</v>
      </c>
      <c r="H998" s="9">
        <f>IF(ISERROR(VLOOKUP(A998,Excel4!D:J,7,0)),0,VLOOKUP(A998,Excel4!D:J,7,0))</f>
        <v>0</v>
      </c>
      <c r="I998" s="15" t="s">
        <v>1777</v>
      </c>
      <c r="J998" s="20" t="s">
        <v>47</v>
      </c>
      <c r="K998" s="15" t="s">
        <v>181</v>
      </c>
      <c r="L998" s="18" t="str">
        <f t="shared" si="55"/>
        <v>EDREMİT BELEDİYE BAŞKANLIĞI VAN</v>
      </c>
      <c r="M998" s="18" t="str">
        <f t="shared" si="53"/>
        <v>EDREMİT</v>
      </c>
    </row>
    <row r="999" spans="1:40" x14ac:dyDescent="0.25">
      <c r="A999" t="s">
        <v>868</v>
      </c>
      <c r="B999" t="s">
        <v>2555</v>
      </c>
      <c r="C999" t="s">
        <v>690</v>
      </c>
      <c r="D999">
        <v>12</v>
      </c>
      <c r="E999">
        <v>90001</v>
      </c>
      <c r="F999" t="s">
        <v>869</v>
      </c>
      <c r="G999">
        <f t="shared" si="54"/>
        <v>26</v>
      </c>
      <c r="H999" s="9">
        <f>IF(ISERROR(VLOOKUP(A999,Excel4!D:J,7,0)),0,VLOOKUP(A999,Excel4!D:J,7,0))</f>
        <v>0</v>
      </c>
      <c r="I999" s="15" t="s">
        <v>1777</v>
      </c>
      <c r="J999" s="15" t="s">
        <v>690</v>
      </c>
      <c r="K999" s="15" t="s">
        <v>181</v>
      </c>
      <c r="L999" s="18" t="str">
        <f t="shared" si="55"/>
        <v>ERCİŞ BELEDİYE BAŞKANLIĞI VAN</v>
      </c>
      <c r="M999" s="18" t="str">
        <f t="shared" si="53"/>
        <v>ERCİŞ</v>
      </c>
    </row>
    <row r="1000" spans="1:40" x14ac:dyDescent="0.25">
      <c r="A1000" s="19" t="s">
        <v>2929</v>
      </c>
      <c r="B1000" t="s">
        <v>2555</v>
      </c>
      <c r="C1000" t="s">
        <v>34</v>
      </c>
      <c r="D1000">
        <v>12</v>
      </c>
      <c r="E1000">
        <v>9339</v>
      </c>
      <c r="F1000" t="s">
        <v>2693</v>
      </c>
      <c r="G1000">
        <f t="shared" si="54"/>
        <v>26</v>
      </c>
      <c r="H1000" s="9">
        <f>IF(ISERROR(VLOOKUP(A1000,Excel4!D:J,7,0)),0,VLOOKUP(A1000,Excel4!D:J,7,0))</f>
        <v>0</v>
      </c>
      <c r="I1000" s="15" t="s">
        <v>1777</v>
      </c>
      <c r="J1000" s="20" t="s">
        <v>34</v>
      </c>
      <c r="K1000" s="15" t="s">
        <v>181</v>
      </c>
      <c r="L1000" s="18" t="str">
        <f t="shared" si="55"/>
        <v>VAN BELEDİYE BAŞKANLIĞI</v>
      </c>
      <c r="M1000" s="18" t="str">
        <f t="shared" si="53"/>
        <v>VAN</v>
      </c>
    </row>
    <row r="1001" spans="1:40" x14ac:dyDescent="0.25">
      <c r="A1001" t="s">
        <v>2035</v>
      </c>
      <c r="B1001" t="s">
        <v>2555</v>
      </c>
      <c r="C1001" t="s">
        <v>181</v>
      </c>
      <c r="D1001">
        <v>12</v>
      </c>
      <c r="E1001">
        <v>90001</v>
      </c>
      <c r="F1001" s="19" t="s">
        <v>2693</v>
      </c>
      <c r="G1001">
        <f t="shared" si="54"/>
        <v>26</v>
      </c>
      <c r="H1001" s="9">
        <f>IF(ISERROR(VLOOKUP(A1001,Excel4!D:J,7,0)),0,VLOOKUP(A1001,Excel4!D:J,7,0))</f>
        <v>3987.1699999999996</v>
      </c>
      <c r="I1001" s="15" t="s">
        <v>1777</v>
      </c>
      <c r="J1001" s="15" t="s">
        <v>27</v>
      </c>
      <c r="K1001" s="15" t="s">
        <v>181</v>
      </c>
      <c r="L1001" s="18" t="str">
        <f t="shared" si="55"/>
        <v>VAN BÜYÜKŞEHİR BELEDİYE BAŞKANLIĞI</v>
      </c>
      <c r="M1001" s="18" t="str">
        <f t="shared" si="53"/>
        <v>VAN BÜYÜKŞEHİR</v>
      </c>
      <c r="N1001">
        <f>_xlfn.XLOOKUP(M1001,[1]Sheet1!$A:$A,[1]Sheet1!$G:$G)</f>
        <v>0</v>
      </c>
    </row>
    <row r="1002" spans="1:40" x14ac:dyDescent="0.25">
      <c r="A1002" t="s">
        <v>2080</v>
      </c>
      <c r="B1002" t="s">
        <v>704</v>
      </c>
      <c r="C1002" t="s">
        <v>189</v>
      </c>
      <c r="D1002">
        <v>10</v>
      </c>
      <c r="E1002">
        <v>90001</v>
      </c>
      <c r="F1002" t="s">
        <v>2106</v>
      </c>
      <c r="G1002">
        <f t="shared" si="54"/>
        <v>26</v>
      </c>
      <c r="H1002" s="9">
        <f>IF(ISERROR(VLOOKUP(A1002,Excel4!D:J,7,0)),0,VLOOKUP(A1002,Excel4!D:J,7,0))</f>
        <v>0</v>
      </c>
      <c r="I1002" s="15" t="s">
        <v>1777</v>
      </c>
      <c r="J1002" s="15" t="s">
        <v>189</v>
      </c>
      <c r="K1002" s="15" t="s">
        <v>148</v>
      </c>
      <c r="L1002" s="18" t="str">
        <f t="shared" si="55"/>
        <v>ARMUTLU BELEDİYE BAŞKANLIĞI YALOVA</v>
      </c>
      <c r="M1002" s="18" t="str">
        <f t="shared" si="53"/>
        <v>ARMUTLU</v>
      </c>
    </row>
    <row r="1003" spans="1:40" x14ac:dyDescent="0.25">
      <c r="A1003" t="s">
        <v>1758</v>
      </c>
      <c r="B1003" t="s">
        <v>699</v>
      </c>
      <c r="C1003" t="s">
        <v>183</v>
      </c>
      <c r="D1003">
        <v>15</v>
      </c>
      <c r="E1003">
        <v>90001</v>
      </c>
      <c r="F1003" t="s">
        <v>1759</v>
      </c>
      <c r="G1003">
        <f t="shared" si="54"/>
        <v>26</v>
      </c>
      <c r="H1003" s="9">
        <f>IF(ISERROR(VLOOKUP(A1003,Excel4!D:J,7,0)),0,VLOOKUP(A1003,Excel4!D:J,7,0))</f>
        <v>71.81</v>
      </c>
      <c r="I1003" s="15" t="s">
        <v>1777</v>
      </c>
      <c r="J1003" s="15" t="s">
        <v>183</v>
      </c>
      <c r="K1003" s="15" t="s">
        <v>148</v>
      </c>
      <c r="L1003" s="18" t="str">
        <f t="shared" si="55"/>
        <v>ALTINOVA BELEDİYE BAŞKANLIĞI YALOVA</v>
      </c>
      <c r="M1003" s="18" t="str">
        <f t="shared" si="53"/>
        <v>ALTINOVA</v>
      </c>
      <c r="N1003">
        <f>_xlfn.XLOOKUP(M1003,[1]Sheet1!$A:$A,[1]Sheet1!$G:$G)</f>
        <v>0</v>
      </c>
    </row>
    <row r="1004" spans="1:40" x14ac:dyDescent="0.25">
      <c r="A1004" t="s">
        <v>1604</v>
      </c>
      <c r="B1004" t="s">
        <v>2555</v>
      </c>
      <c r="C1004" t="s">
        <v>182</v>
      </c>
      <c r="D1004">
        <v>12</v>
      </c>
      <c r="E1004">
        <v>90001</v>
      </c>
      <c r="F1004" t="s">
        <v>1605</v>
      </c>
      <c r="G1004">
        <f t="shared" si="54"/>
        <v>26</v>
      </c>
      <c r="H1004" s="9">
        <f>IF(ISERROR(VLOOKUP(A1004,Excel4!D:J,7,0)),0,VLOOKUP(A1004,Excel4!D:J,7,0))</f>
        <v>3018.0199999999995</v>
      </c>
      <c r="I1004" s="15" t="s">
        <v>1777</v>
      </c>
      <c r="J1004" s="15" t="s">
        <v>182</v>
      </c>
      <c r="K1004" s="15" t="s">
        <v>148</v>
      </c>
      <c r="L1004" s="18" t="str">
        <f t="shared" si="55"/>
        <v>ÇINARCIK BELEDİYE BAŞKANLIĞI YALOVA</v>
      </c>
      <c r="M1004" s="18" t="str">
        <f t="shared" si="53"/>
        <v>ÇINARCIK</v>
      </c>
      <c r="N1004">
        <f>_xlfn.XLOOKUP(M1004,[1]Sheet1!$A:$A,[1]Sheet1!$G:$G)</f>
        <v>0</v>
      </c>
    </row>
    <row r="1005" spans="1:40" s="23" customFormat="1" x14ac:dyDescent="0.25">
      <c r="A1005" t="s">
        <v>2505</v>
      </c>
      <c r="B1005" t="s">
        <v>2555</v>
      </c>
      <c r="C1005" t="s">
        <v>182</v>
      </c>
      <c r="D1005">
        <v>12</v>
      </c>
      <c r="E1005">
        <v>90001</v>
      </c>
      <c r="F1005" t="s">
        <v>2506</v>
      </c>
      <c r="G1005">
        <f t="shared" si="54"/>
        <v>26</v>
      </c>
      <c r="H1005" s="9">
        <f>IF(ISERROR(VLOOKUP(A1005,Excel4!D:J,7,0)),0,VLOOKUP(A1005,Excel4!D:J,7,0))</f>
        <v>0</v>
      </c>
      <c r="I1005" s="15" t="s">
        <v>1777</v>
      </c>
      <c r="J1005" s="15" t="s">
        <v>2240</v>
      </c>
      <c r="K1005" s="15" t="s">
        <v>148</v>
      </c>
      <c r="L1005" s="18" t="str">
        <f t="shared" si="55"/>
        <v>ESENKÖY BELEDİYE BAŞKANLIĞI YALOVA</v>
      </c>
      <c r="M1005" s="18" t="str">
        <f t="shared" si="53"/>
        <v>ESENKÖY</v>
      </c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/>
      <c r="AF1005"/>
      <c r="AG1005"/>
      <c r="AH1005"/>
      <c r="AI1005"/>
      <c r="AJ1005"/>
      <c r="AK1005"/>
      <c r="AL1005"/>
      <c r="AM1005"/>
      <c r="AN1005"/>
    </row>
    <row r="1006" spans="1:40" s="23" customFormat="1" x14ac:dyDescent="0.25">
      <c r="A1006" t="s">
        <v>2139</v>
      </c>
      <c r="B1006" t="s">
        <v>704</v>
      </c>
      <c r="C1006" t="s">
        <v>148</v>
      </c>
      <c r="D1006">
        <v>10</v>
      </c>
      <c r="E1006">
        <v>90001</v>
      </c>
      <c r="F1006" t="s">
        <v>2142</v>
      </c>
      <c r="G1006">
        <f t="shared" si="54"/>
        <v>26</v>
      </c>
      <c r="H1006" s="9">
        <f>IF(ISERROR(VLOOKUP(A1006,Excel4!D:J,7,0)),0,VLOOKUP(A1006,Excel4!D:J,7,0))</f>
        <v>0</v>
      </c>
      <c r="I1006" s="15" t="s">
        <v>1777</v>
      </c>
      <c r="J1006" s="15" t="s">
        <v>287</v>
      </c>
      <c r="K1006" s="15" t="s">
        <v>148</v>
      </c>
      <c r="L1006" s="18" t="str">
        <f t="shared" si="55"/>
        <v>KADIKÖY BELEDİYE BAŞKANLIĞI YALOVA</v>
      </c>
      <c r="M1006" s="18" t="str">
        <f t="shared" si="53"/>
        <v>KADIKÖY</v>
      </c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/>
      <c r="AF1006"/>
      <c r="AG1006"/>
      <c r="AH1006"/>
      <c r="AI1006"/>
      <c r="AJ1006"/>
      <c r="AK1006"/>
      <c r="AL1006"/>
      <c r="AM1006"/>
      <c r="AN1006"/>
    </row>
    <row r="1007" spans="1:40" s="23" customFormat="1" x14ac:dyDescent="0.25">
      <c r="A1007" t="s">
        <v>2297</v>
      </c>
      <c r="B1007" s="19" t="s">
        <v>704</v>
      </c>
      <c r="C1007" s="19" t="s">
        <v>183</v>
      </c>
      <c r="D1007">
        <v>10</v>
      </c>
      <c r="E1007">
        <v>90001</v>
      </c>
      <c r="F1007" t="s">
        <v>2377</v>
      </c>
      <c r="G1007">
        <f t="shared" si="54"/>
        <v>26</v>
      </c>
      <c r="H1007" s="9">
        <f>IF(ISERROR(VLOOKUP(A1007,Excel4!D:J,7,0)),0,VLOOKUP(A1007,Excel4!D:J,7,0))</f>
        <v>0</v>
      </c>
      <c r="I1007" s="15" t="s">
        <v>1777</v>
      </c>
      <c r="J1007" s="20" t="s">
        <v>2249</v>
      </c>
      <c r="K1007" s="15" t="s">
        <v>148</v>
      </c>
      <c r="L1007" s="18" t="str">
        <f t="shared" si="55"/>
        <v>KAYTAZDERE BELEDİYE BAŞKANLIĞI YALOVA</v>
      </c>
      <c r="M1007" s="18" t="str">
        <f t="shared" si="53"/>
        <v>KAYTAZDERE</v>
      </c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/>
      <c r="AF1007"/>
      <c r="AG1007"/>
      <c r="AH1007"/>
      <c r="AI1007"/>
      <c r="AJ1007"/>
      <c r="AK1007"/>
      <c r="AL1007"/>
      <c r="AM1007"/>
      <c r="AN1007"/>
    </row>
    <row r="1008" spans="1:40" s="23" customFormat="1" x14ac:dyDescent="0.25">
      <c r="A1008" t="s">
        <v>872</v>
      </c>
      <c r="B1008" t="s">
        <v>2555</v>
      </c>
      <c r="C1008" t="s">
        <v>182</v>
      </c>
      <c r="D1008">
        <v>12</v>
      </c>
      <c r="E1008">
        <v>90001</v>
      </c>
      <c r="F1008" t="s">
        <v>873</v>
      </c>
      <c r="G1008">
        <f t="shared" si="54"/>
        <v>26</v>
      </c>
      <c r="H1008" s="9">
        <f>IF(ISERROR(VLOOKUP(A1008,Excel4!D:J,7,0)),0,VLOOKUP(A1008,Excel4!D:J,7,0))</f>
        <v>0</v>
      </c>
      <c r="I1008" s="15" t="s">
        <v>1777</v>
      </c>
      <c r="J1008" s="15" t="s">
        <v>479</v>
      </c>
      <c r="K1008" s="15" t="s">
        <v>148</v>
      </c>
      <c r="L1008" s="18" t="str">
        <f t="shared" si="55"/>
        <v>KORU BELEDİYE BAŞKANLIĞI YALOVA</v>
      </c>
      <c r="M1008" s="18" t="str">
        <f t="shared" si="53"/>
        <v>KORU</v>
      </c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/>
      <c r="AF1008"/>
      <c r="AG1008"/>
      <c r="AH1008"/>
      <c r="AI1008"/>
      <c r="AJ1008"/>
      <c r="AK1008"/>
      <c r="AL1008"/>
      <c r="AM1008"/>
      <c r="AN1008"/>
    </row>
    <row r="1009" spans="1:40" s="23" customFormat="1" x14ac:dyDescent="0.25">
      <c r="A1009" t="s">
        <v>870</v>
      </c>
      <c r="B1009" t="s">
        <v>704</v>
      </c>
      <c r="C1009" t="s">
        <v>871</v>
      </c>
      <c r="D1009">
        <v>10</v>
      </c>
      <c r="E1009">
        <v>90001</v>
      </c>
      <c r="F1009" t="s">
        <v>2835</v>
      </c>
      <c r="G1009">
        <f t="shared" si="54"/>
        <v>26</v>
      </c>
      <c r="H1009" s="9">
        <f>IF(ISERROR(VLOOKUP(A1009,Excel4!D:J,7,0)),0,VLOOKUP(A1009,Excel4!D:J,7,0))</f>
        <v>3769.49</v>
      </c>
      <c r="I1009" s="15" t="s">
        <v>1777</v>
      </c>
      <c r="J1009" s="15" t="s">
        <v>207</v>
      </c>
      <c r="K1009" s="15" t="s">
        <v>148</v>
      </c>
      <c r="L1009" s="18" t="str">
        <f t="shared" si="55"/>
        <v>ÇİFTLİKKÖY BELEDİYE BAŞKANLIĞI YALOVA</v>
      </c>
      <c r="M1009" s="18" t="str">
        <f t="shared" si="53"/>
        <v>ÇİFTLİKKÖY</v>
      </c>
      <c r="N1009">
        <f>_xlfn.XLOOKUP(M1009,[1]Sheet1!$A:$A,[1]Sheet1!$G:$G)</f>
        <v>0</v>
      </c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/>
      <c r="AF1009"/>
      <c r="AG1009"/>
      <c r="AH1009"/>
      <c r="AI1009"/>
      <c r="AJ1009"/>
      <c r="AK1009"/>
      <c r="AL1009"/>
      <c r="AM1009"/>
      <c r="AN1009"/>
    </row>
    <row r="1010" spans="1:40" s="23" customFormat="1" x14ac:dyDescent="0.25">
      <c r="A1010" t="s">
        <v>875</v>
      </c>
      <c r="B1010" t="s">
        <v>876</v>
      </c>
      <c r="C1010" t="s">
        <v>148</v>
      </c>
      <c r="D1010">
        <v>134</v>
      </c>
      <c r="E1010">
        <v>90001</v>
      </c>
      <c r="F1010" t="s">
        <v>877</v>
      </c>
      <c r="G1010">
        <f t="shared" si="54"/>
        <v>26</v>
      </c>
      <c r="H1010" s="9">
        <f>IF(ISERROR(VLOOKUP(A1010,Excel4!D:J,7,0)),0,VLOOKUP(A1010,Excel4!D:J,7,0))</f>
        <v>0</v>
      </c>
      <c r="I1010" s="15" t="s">
        <v>1777</v>
      </c>
      <c r="J1010" s="15" t="s">
        <v>339</v>
      </c>
      <c r="K1010" s="15" t="s">
        <v>148</v>
      </c>
      <c r="L1010" s="18" t="str">
        <f t="shared" si="55"/>
        <v>SUBAŞI BELEDİYE BAŞKANLIĞI YALOVA</v>
      </c>
      <c r="M1010" s="18" t="str">
        <f t="shared" si="53"/>
        <v>SUBAŞI</v>
      </c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  <c r="AE1010"/>
      <c r="AF1010"/>
      <c r="AG1010"/>
      <c r="AH1010"/>
      <c r="AI1010"/>
      <c r="AJ1010"/>
      <c r="AK1010"/>
      <c r="AL1010"/>
      <c r="AM1010"/>
      <c r="AN1010"/>
    </row>
    <row r="1011" spans="1:40" s="23" customFormat="1" x14ac:dyDescent="0.25">
      <c r="A1011" t="s">
        <v>1760</v>
      </c>
      <c r="B1011" t="s">
        <v>699</v>
      </c>
      <c r="C1011" t="s">
        <v>243</v>
      </c>
      <c r="D1011">
        <v>15</v>
      </c>
      <c r="E1011">
        <v>90001</v>
      </c>
      <c r="F1011" t="s">
        <v>488</v>
      </c>
      <c r="G1011">
        <f t="shared" si="54"/>
        <v>26</v>
      </c>
      <c r="H1011" s="9">
        <f>IF(ISERROR(VLOOKUP(A1011,Excel4!D:J,7,0)),0,VLOOKUP(A1011,Excel4!D:J,7,0))</f>
        <v>0</v>
      </c>
      <c r="I1011" s="15" t="s">
        <v>1777</v>
      </c>
      <c r="J1011" s="15" t="s">
        <v>243</v>
      </c>
      <c r="K1011" s="15" t="s">
        <v>148</v>
      </c>
      <c r="L1011" s="18" t="str">
        <f t="shared" si="55"/>
        <v>TAŞKÖPRÜ BELEDİYE BAŞKANLIĞI YALOVA</v>
      </c>
      <c r="M1011" s="18" t="str">
        <f t="shared" si="53"/>
        <v>TAŞKÖPRÜ</v>
      </c>
      <c r="N1011"/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  <c r="AD1011"/>
      <c r="AE1011"/>
      <c r="AF1011"/>
      <c r="AG1011"/>
      <c r="AH1011"/>
      <c r="AI1011"/>
      <c r="AJ1011"/>
      <c r="AK1011"/>
      <c r="AL1011"/>
      <c r="AM1011"/>
      <c r="AN1011"/>
    </row>
    <row r="1012" spans="1:40" s="23" customFormat="1" x14ac:dyDescent="0.25">
      <c r="A1012" t="s">
        <v>2774</v>
      </c>
      <c r="B1012" t="s">
        <v>704</v>
      </c>
      <c r="C1012" t="s">
        <v>183</v>
      </c>
      <c r="D1012">
        <v>10</v>
      </c>
      <c r="E1012">
        <v>90001</v>
      </c>
      <c r="F1012" t="s">
        <v>2778</v>
      </c>
      <c r="G1012">
        <f t="shared" si="54"/>
        <v>26</v>
      </c>
      <c r="H1012" s="9">
        <f>IF(ISERROR(VLOOKUP(A1012,Excel4!D:J,7,0)),0,VLOOKUP(A1012,Excel4!D:J,7,0))</f>
        <v>0</v>
      </c>
      <c r="I1012" s="15" t="s">
        <v>1777</v>
      </c>
      <c r="J1012" s="15" t="s">
        <v>374</v>
      </c>
      <c r="K1012" s="15" t="s">
        <v>148</v>
      </c>
      <c r="L1012" s="18" t="str">
        <f t="shared" si="55"/>
        <v>TAVŞANLI BELEDİYE BAŞKANLIĞI YALOVA</v>
      </c>
      <c r="M1012" s="18" t="str">
        <f t="shared" si="53"/>
        <v>TAVŞANLI</v>
      </c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/>
      <c r="AF1012"/>
      <c r="AG1012"/>
      <c r="AH1012"/>
      <c r="AI1012"/>
      <c r="AJ1012"/>
      <c r="AK1012"/>
      <c r="AL1012"/>
      <c r="AM1012"/>
      <c r="AN1012"/>
    </row>
    <row r="1013" spans="1:40" s="23" customFormat="1" x14ac:dyDescent="0.25">
      <c r="A1013" t="s">
        <v>874</v>
      </c>
      <c r="B1013" t="s">
        <v>2555</v>
      </c>
      <c r="C1013" t="s">
        <v>2954</v>
      </c>
      <c r="D1013">
        <v>12</v>
      </c>
      <c r="E1013">
        <v>90001</v>
      </c>
      <c r="F1013" t="s">
        <v>2955</v>
      </c>
      <c r="G1013">
        <f t="shared" si="54"/>
        <v>26</v>
      </c>
      <c r="H1013" s="9">
        <f>IF(ISERROR(VLOOKUP(A1013,Excel4!D:J,7,0)),0,VLOOKUP(A1013,Excel4!D:J,7,0))</f>
        <v>7108.93</v>
      </c>
      <c r="I1013" s="15" t="s">
        <v>1777</v>
      </c>
      <c r="J1013" s="15" t="s">
        <v>34</v>
      </c>
      <c r="K1013" s="15" t="s">
        <v>148</v>
      </c>
      <c r="L1013" s="18" t="str">
        <f t="shared" si="55"/>
        <v>YALOVA BELEDİYE BAŞKANLIĞI</v>
      </c>
      <c r="M1013" s="18" t="str">
        <f t="shared" si="53"/>
        <v>YALOVA</v>
      </c>
      <c r="N1013" t="e">
        <f>_xlfn.XLOOKUP(M1013,[1]Sheet1!$C:$C,[1]Sheet1!$G:$G)</f>
        <v>#N/A</v>
      </c>
      <c r="O1013"/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  <c r="AD1013"/>
      <c r="AE1013"/>
      <c r="AF1013"/>
      <c r="AG1013"/>
      <c r="AH1013"/>
      <c r="AI1013"/>
      <c r="AJ1013"/>
      <c r="AK1013"/>
      <c r="AL1013"/>
      <c r="AM1013"/>
      <c r="AN1013"/>
    </row>
    <row r="1014" spans="1:40" s="23" customFormat="1" x14ac:dyDescent="0.25">
      <c r="A1014" t="s">
        <v>2684</v>
      </c>
      <c r="B1014" t="s">
        <v>2555</v>
      </c>
      <c r="C1014" t="s">
        <v>182</v>
      </c>
      <c r="D1014">
        <v>12</v>
      </c>
      <c r="E1014">
        <v>90001</v>
      </c>
      <c r="F1014" t="s">
        <v>2688</v>
      </c>
      <c r="G1014">
        <f t="shared" si="54"/>
        <v>26</v>
      </c>
      <c r="H1014" s="9">
        <f>IF(ISERROR(VLOOKUP(A1014,Excel4!D:J,7,0)),0,VLOOKUP(A1014,Excel4!D:J,7,0))</f>
        <v>0</v>
      </c>
      <c r="I1014" s="15" t="s">
        <v>1777</v>
      </c>
      <c r="J1014" s="15" t="s">
        <v>2680</v>
      </c>
      <c r="K1014" s="15" t="s">
        <v>148</v>
      </c>
      <c r="L1014" s="18" t="str">
        <f t="shared" si="55"/>
        <v>TEŞVİKİYE BELEDİYE BAŞKANLIĞI YALOVA</v>
      </c>
      <c r="M1014" s="18" t="str">
        <f t="shared" si="53"/>
        <v>TEŞVİKİYE</v>
      </c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  <c r="AD1014"/>
      <c r="AE1014"/>
      <c r="AF1014"/>
      <c r="AG1014"/>
      <c r="AH1014"/>
      <c r="AI1014"/>
      <c r="AJ1014"/>
      <c r="AK1014"/>
      <c r="AL1014"/>
      <c r="AM1014"/>
      <c r="AN1014"/>
    </row>
    <row r="1015" spans="1:40" s="23" customFormat="1" x14ac:dyDescent="0.25">
      <c r="A1015" t="s">
        <v>2349</v>
      </c>
      <c r="B1015" t="s">
        <v>2555</v>
      </c>
      <c r="C1015" t="s">
        <v>2181</v>
      </c>
      <c r="D1015">
        <v>12</v>
      </c>
      <c r="E1015">
        <v>90001</v>
      </c>
      <c r="F1015" t="s">
        <v>2363</v>
      </c>
      <c r="G1015">
        <f t="shared" si="54"/>
        <v>26</v>
      </c>
      <c r="H1015" s="9">
        <f>IF(ISERROR(VLOOKUP(A1015,Excel4!D:J,7,0)),0,VLOOKUP(A1015,Excel4!D:J,7,0))</f>
        <v>54.49</v>
      </c>
      <c r="I1015" s="15" t="s">
        <v>1777</v>
      </c>
      <c r="J1015" s="20" t="s">
        <v>2181</v>
      </c>
      <c r="K1015" s="20" t="s">
        <v>284</v>
      </c>
      <c r="L1015" s="18" t="str">
        <f t="shared" si="55"/>
        <v>AKDAĞMADENİ BELEDİYE BAŞKANLIĞI YOZGAT</v>
      </c>
      <c r="M1015" s="18" t="str">
        <f t="shared" si="53"/>
        <v>AKDAĞMADENİ</v>
      </c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/>
      <c r="AF1015"/>
      <c r="AG1015"/>
      <c r="AH1015"/>
      <c r="AI1015"/>
      <c r="AJ1015"/>
      <c r="AK1015"/>
      <c r="AL1015"/>
      <c r="AM1015"/>
      <c r="AN1015"/>
    </row>
    <row r="1016" spans="1:40" s="23" customFormat="1" x14ac:dyDescent="0.25">
      <c r="A1016" t="s">
        <v>2952</v>
      </c>
      <c r="B1016" t="s">
        <v>2555</v>
      </c>
      <c r="C1016" t="s">
        <v>480</v>
      </c>
      <c r="D1016">
        <v>12</v>
      </c>
      <c r="E1016">
        <v>90001</v>
      </c>
      <c r="F1016" t="s">
        <v>2953</v>
      </c>
      <c r="G1016">
        <f t="shared" si="54"/>
        <v>26</v>
      </c>
      <c r="H1016" s="9">
        <f>IF(ISERROR(VLOOKUP(A1016,Excel4!D:J,7,0)),0,VLOOKUP(A1016,Excel4!D:J,7,0))</f>
        <v>0</v>
      </c>
      <c r="I1016" s="15" t="s">
        <v>1777</v>
      </c>
      <c r="J1016" s="20" t="s">
        <v>2765</v>
      </c>
      <c r="K1016" s="15" t="s">
        <v>284</v>
      </c>
      <c r="L1016" s="18" t="str">
        <f t="shared" si="55"/>
        <v>ARAPLI BELEDİYE BAŞKANLIĞI YOZGAT</v>
      </c>
      <c r="M1016" s="18" t="str">
        <f t="shared" si="53"/>
        <v>ARAPLI</v>
      </c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/>
      <c r="AF1016"/>
      <c r="AG1016"/>
      <c r="AH1016"/>
      <c r="AI1016"/>
      <c r="AJ1016"/>
      <c r="AK1016"/>
      <c r="AL1016"/>
      <c r="AM1016"/>
      <c r="AN1016"/>
    </row>
    <row r="1017" spans="1:40" s="23" customFormat="1" x14ac:dyDescent="0.25">
      <c r="A1017" t="s">
        <v>2081</v>
      </c>
      <c r="B1017" t="s">
        <v>704</v>
      </c>
      <c r="C1017" t="s">
        <v>2063</v>
      </c>
      <c r="D1017">
        <v>10</v>
      </c>
      <c r="E1017">
        <v>90001</v>
      </c>
      <c r="F1017" t="s">
        <v>2094</v>
      </c>
      <c r="G1017">
        <f t="shared" si="54"/>
        <v>26</v>
      </c>
      <c r="H1017" s="9">
        <f>IF(ISERROR(VLOOKUP(A1017,Excel4!D:J,7,0)),0,VLOOKUP(A1017,Excel4!D:J,7,0))</f>
        <v>242.45999999999998</v>
      </c>
      <c r="I1017" s="15" t="s">
        <v>1777</v>
      </c>
      <c r="J1017" s="15" t="s">
        <v>2063</v>
      </c>
      <c r="K1017" s="15" t="s">
        <v>148</v>
      </c>
      <c r="L1017" s="18" t="str">
        <f t="shared" si="55"/>
        <v>TERMAL BELEDİYE BAŞKANLIĞI YALOVA</v>
      </c>
      <c r="M1017" s="18" t="str">
        <f t="shared" si="53"/>
        <v>TERMAL</v>
      </c>
      <c r="N1017">
        <f>_xlfn.XLOOKUP(M1017,[1]Sheet1!$A:$A,[1]Sheet1!$G:$G)</f>
        <v>0</v>
      </c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  <c r="AE1017"/>
      <c r="AF1017"/>
      <c r="AG1017"/>
      <c r="AH1017"/>
      <c r="AI1017"/>
      <c r="AJ1017"/>
      <c r="AK1017"/>
      <c r="AL1017"/>
      <c r="AM1017"/>
      <c r="AN1017"/>
    </row>
    <row r="1018" spans="1:40" s="23" customFormat="1" x14ac:dyDescent="0.25">
      <c r="A1018" t="s">
        <v>2872</v>
      </c>
      <c r="B1018" t="s">
        <v>2555</v>
      </c>
      <c r="C1018" t="s">
        <v>480</v>
      </c>
      <c r="D1018">
        <v>12</v>
      </c>
      <c r="E1018">
        <v>90001</v>
      </c>
      <c r="F1018" t="s">
        <v>2874</v>
      </c>
      <c r="G1018">
        <f t="shared" si="54"/>
        <v>26</v>
      </c>
      <c r="H1018" s="9">
        <f>IF(ISERROR(VLOOKUP(A1018,Excel4!D:J,7,0)),0,VLOOKUP(A1018,Excel4!D:J,7,0))</f>
        <v>0</v>
      </c>
      <c r="I1018" s="15" t="s">
        <v>1777</v>
      </c>
      <c r="J1018" s="20" t="s">
        <v>2869</v>
      </c>
      <c r="K1018" s="15" t="s">
        <v>284</v>
      </c>
      <c r="L1018" s="18" t="str">
        <f t="shared" si="55"/>
        <v>BAHADIN BELEDİYE BAŞKANLIĞI YOZGAT</v>
      </c>
      <c r="M1018" s="18" t="str">
        <f t="shared" si="53"/>
        <v>BAHADIN</v>
      </c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  <c r="AE1018"/>
      <c r="AF1018"/>
      <c r="AG1018"/>
      <c r="AH1018"/>
      <c r="AI1018"/>
      <c r="AJ1018"/>
      <c r="AK1018"/>
      <c r="AL1018"/>
      <c r="AM1018"/>
      <c r="AN1018"/>
    </row>
    <row r="1019" spans="1:40" s="23" customFormat="1" x14ac:dyDescent="0.25">
      <c r="A1019" t="s">
        <v>2352</v>
      </c>
      <c r="B1019" s="19" t="s">
        <v>704</v>
      </c>
      <c r="C1019" t="s">
        <v>659</v>
      </c>
      <c r="D1019">
        <v>10</v>
      </c>
      <c r="E1019">
        <v>90001</v>
      </c>
      <c r="F1019" t="s">
        <v>1513</v>
      </c>
      <c r="G1019">
        <f t="shared" si="54"/>
        <v>26</v>
      </c>
      <c r="H1019" s="9">
        <f>IF(ISERROR(VLOOKUP(A1019,Excel4!D:J,7,0)),0,VLOOKUP(A1019,Excel4!D:J,7,0))</f>
        <v>0</v>
      </c>
      <c r="I1019" s="15" t="s">
        <v>1777</v>
      </c>
      <c r="J1019" s="20" t="s">
        <v>659</v>
      </c>
      <c r="K1019" s="20" t="s">
        <v>284</v>
      </c>
      <c r="L1019" s="18" t="str">
        <f t="shared" si="55"/>
        <v>AYDINCIK BELEDİYE BAŞKANLIĞI YOZGAT</v>
      </c>
      <c r="M1019" s="18" t="str">
        <f t="shared" si="53"/>
        <v>AYDINCIK</v>
      </c>
      <c r="N1019">
        <f>_xlfn.XLOOKUP(M1019,[1]Sheet1!$A:$A,[1]Sheet1!$G:$G)</f>
        <v>0</v>
      </c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  <c r="AE1019"/>
      <c r="AF1019"/>
      <c r="AG1019"/>
      <c r="AH1019"/>
      <c r="AI1019"/>
      <c r="AJ1019"/>
      <c r="AK1019"/>
      <c r="AL1019"/>
      <c r="AM1019"/>
      <c r="AN1019"/>
    </row>
    <row r="1020" spans="1:40" s="23" customFormat="1" x14ac:dyDescent="0.25">
      <c r="A1020" t="s">
        <v>2351</v>
      </c>
      <c r="B1020" t="s">
        <v>2555</v>
      </c>
      <c r="C1020" t="s">
        <v>2236</v>
      </c>
      <c r="D1020">
        <v>12</v>
      </c>
      <c r="E1020">
        <v>90001</v>
      </c>
      <c r="F1020" t="s">
        <v>2364</v>
      </c>
      <c r="G1020">
        <f t="shared" si="54"/>
        <v>26</v>
      </c>
      <c r="H1020" s="9">
        <f>IF(ISERROR(VLOOKUP(A1020,Excel4!D:J,7,0)),0,VLOOKUP(A1020,Excel4!D:J,7,0))</f>
        <v>0</v>
      </c>
      <c r="I1020" s="15" t="s">
        <v>1777</v>
      </c>
      <c r="J1020" s="20" t="s">
        <v>2215</v>
      </c>
      <c r="K1020" s="20" t="s">
        <v>284</v>
      </c>
      <c r="L1020" s="18" t="str">
        <f t="shared" si="55"/>
        <v>ÇANDIR BELEDİYE BAŞKANLIĞI YOZGAT</v>
      </c>
      <c r="M1020" s="18" t="str">
        <f t="shared" si="53"/>
        <v>ÇANDIR</v>
      </c>
      <c r="N1020">
        <f>_xlfn.XLOOKUP(M1020,[1]Sheet1!$A:$A,[1]Sheet1!$G:$G)</f>
        <v>0</v>
      </c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  <c r="AD1020"/>
      <c r="AE1020"/>
      <c r="AF1020"/>
      <c r="AG1020"/>
      <c r="AH1020"/>
      <c r="AI1020"/>
      <c r="AJ1020"/>
      <c r="AK1020"/>
      <c r="AL1020"/>
      <c r="AM1020"/>
      <c r="AN1020"/>
    </row>
    <row r="1021" spans="1:40" s="23" customFormat="1" x14ac:dyDescent="0.25">
      <c r="A1021" t="s">
        <v>2299</v>
      </c>
      <c r="B1021" t="s">
        <v>704</v>
      </c>
      <c r="C1021" t="s">
        <v>2236</v>
      </c>
      <c r="D1021">
        <v>10</v>
      </c>
      <c r="E1021">
        <v>90001</v>
      </c>
      <c r="F1021" t="s">
        <v>2570</v>
      </c>
      <c r="G1021">
        <f t="shared" si="54"/>
        <v>26</v>
      </c>
      <c r="H1021" s="9">
        <f>IF(ISERROR(VLOOKUP(A1021,Excel4!D:J,7,0)),0,VLOOKUP(A1021,Excel4!D:J,7,0))</f>
        <v>0</v>
      </c>
      <c r="I1021" s="15" t="s">
        <v>1777</v>
      </c>
      <c r="J1021" s="20" t="s">
        <v>2236</v>
      </c>
      <c r="K1021" s="15" t="s">
        <v>284</v>
      </c>
      <c r="L1021" s="18" t="str">
        <f t="shared" si="55"/>
        <v>ÇAYIRALAN BELEDİYE BAŞKANLIĞI YOZGAT</v>
      </c>
      <c r="M1021" s="18" t="str">
        <f t="shared" si="53"/>
        <v>ÇAYIRALAN</v>
      </c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/>
      <c r="AE1021"/>
      <c r="AF1021"/>
      <c r="AG1021"/>
      <c r="AH1021"/>
      <c r="AI1021"/>
      <c r="AJ1021"/>
      <c r="AK1021"/>
      <c r="AL1021"/>
      <c r="AM1021"/>
      <c r="AN1021"/>
    </row>
    <row r="1022" spans="1:40" s="23" customFormat="1" x14ac:dyDescent="0.25">
      <c r="A1022" t="s">
        <v>878</v>
      </c>
      <c r="B1022" t="s">
        <v>3155</v>
      </c>
      <c r="C1022" t="s">
        <v>387</v>
      </c>
      <c r="D1022">
        <v>12</v>
      </c>
      <c r="E1022">
        <v>90001</v>
      </c>
      <c r="F1022" t="s">
        <v>3725</v>
      </c>
      <c r="G1022">
        <f t="shared" si="54"/>
        <v>26</v>
      </c>
      <c r="H1022" s="9">
        <f>IF(ISERROR(VLOOKUP(A1022,Excel4!D:J,7,0)),0,VLOOKUP(A1022,Excel4!D:J,7,0))</f>
        <v>41.17</v>
      </c>
      <c r="I1022" s="15" t="s">
        <v>1777</v>
      </c>
      <c r="J1022" s="15" t="s">
        <v>387</v>
      </c>
      <c r="K1022" s="15" t="s">
        <v>284</v>
      </c>
      <c r="L1022" s="18" t="str">
        <f t="shared" si="55"/>
        <v>BOĞAZLIYAN BELEDİYE BAŞKANLIĞI YOZGAT</v>
      </c>
      <c r="M1022" s="18" t="str">
        <f t="shared" si="53"/>
        <v>BOĞAZLIYAN</v>
      </c>
      <c r="N1022">
        <f>_xlfn.XLOOKUP(M1022,[1]Sheet1!$A:$A,[1]Sheet1!$G:$G)</f>
        <v>0</v>
      </c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  <c r="AD1022"/>
      <c r="AE1022"/>
      <c r="AF1022"/>
      <c r="AG1022"/>
      <c r="AH1022"/>
      <c r="AI1022"/>
      <c r="AJ1022"/>
      <c r="AK1022"/>
      <c r="AL1022"/>
      <c r="AM1022"/>
      <c r="AN1022"/>
    </row>
    <row r="1023" spans="1:40" s="23" customFormat="1" x14ac:dyDescent="0.25">
      <c r="A1023" t="s">
        <v>2604</v>
      </c>
      <c r="B1023" s="27" t="s">
        <v>876</v>
      </c>
      <c r="C1023" s="27" t="s">
        <v>480</v>
      </c>
      <c r="D1023">
        <v>134</v>
      </c>
      <c r="E1023">
        <v>90001</v>
      </c>
      <c r="F1023" s="27" t="s">
        <v>2618</v>
      </c>
      <c r="G1023">
        <f t="shared" si="54"/>
        <v>26</v>
      </c>
      <c r="H1023" s="9">
        <f>IF(ISERROR(VLOOKUP(A1023,Excel4!D:J,7,0)),0,VLOOKUP(A1023,Excel4!D:J,7,0))</f>
        <v>0</v>
      </c>
      <c r="I1023" s="15" t="s">
        <v>1777</v>
      </c>
      <c r="J1023" s="20" t="s">
        <v>2600</v>
      </c>
      <c r="K1023" s="15" t="s">
        <v>284</v>
      </c>
      <c r="L1023" s="18" t="str">
        <f t="shared" si="55"/>
        <v>DOĞANKENT BELEDİYE BAŞKANLIĞI YOZGAT</v>
      </c>
      <c r="M1023" s="18" t="str">
        <f t="shared" si="53"/>
        <v>DOĞANKENT</v>
      </c>
      <c r="N1023"/>
      <c r="O1023"/>
      <c r="P1023"/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  <c r="AD1023"/>
      <c r="AE1023"/>
      <c r="AF1023"/>
      <c r="AG1023"/>
      <c r="AH1023"/>
      <c r="AI1023"/>
      <c r="AJ1023"/>
      <c r="AK1023"/>
      <c r="AL1023"/>
      <c r="AM1023"/>
      <c r="AN1023"/>
    </row>
    <row r="1024" spans="1:40" s="23" customFormat="1" x14ac:dyDescent="0.25">
      <c r="A1024" s="19" t="s">
        <v>2930</v>
      </c>
      <c r="B1024" t="s">
        <v>699</v>
      </c>
      <c r="C1024" t="s">
        <v>34</v>
      </c>
      <c r="D1024">
        <v>15</v>
      </c>
      <c r="E1024">
        <v>90001</v>
      </c>
      <c r="F1024" t="s">
        <v>880</v>
      </c>
      <c r="G1024">
        <f t="shared" si="54"/>
        <v>26</v>
      </c>
      <c r="H1024" s="9">
        <f>IF(ISERROR(VLOOKUP(A1024,Excel4!D:J,7,0)),0,VLOOKUP(A1024,Excel4!D:J,7,0))</f>
        <v>0</v>
      </c>
      <c r="I1024" s="15" t="s">
        <v>1777</v>
      </c>
      <c r="J1024" s="20" t="s">
        <v>2754</v>
      </c>
      <c r="K1024" s="15" t="s">
        <v>284</v>
      </c>
      <c r="L1024" s="18" t="str">
        <f t="shared" si="55"/>
        <v>ESENLİ BELEDİYE BAŞKANLIĞI YOZGAT</v>
      </c>
      <c r="M1024" s="18" t="str">
        <f t="shared" si="53"/>
        <v>ESENLİ</v>
      </c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  <c r="AD1024"/>
      <c r="AE1024"/>
      <c r="AF1024"/>
      <c r="AG1024"/>
      <c r="AH1024"/>
      <c r="AI1024"/>
      <c r="AJ1024"/>
      <c r="AK1024"/>
      <c r="AL1024"/>
      <c r="AM1024"/>
      <c r="AN1024"/>
    </row>
    <row r="1025" spans="1:40" s="23" customFormat="1" x14ac:dyDescent="0.25">
      <c r="A1025" t="s">
        <v>1799</v>
      </c>
      <c r="B1025" t="s">
        <v>704</v>
      </c>
      <c r="C1025" t="s">
        <v>691</v>
      </c>
      <c r="D1025">
        <v>10</v>
      </c>
      <c r="E1025">
        <v>90001</v>
      </c>
      <c r="F1025" t="s">
        <v>1831</v>
      </c>
      <c r="G1025">
        <f t="shared" si="54"/>
        <v>26</v>
      </c>
      <c r="H1025" s="9">
        <f>IF(ISERROR(VLOOKUP(A1025,Excel4!D:J,7,0)),0,VLOOKUP(A1025,Excel4!D:J,7,0))</f>
        <v>0</v>
      </c>
      <c r="I1025" s="15" t="s">
        <v>1777</v>
      </c>
      <c r="J1025" s="15" t="s">
        <v>1791</v>
      </c>
      <c r="K1025" s="15" t="s">
        <v>284</v>
      </c>
      <c r="L1025" s="18" t="str">
        <f t="shared" si="55"/>
        <v>HALIKÖY BELEDİYE BAŞKANLIĞI YOZGAT</v>
      </c>
      <c r="M1025" s="18" t="str">
        <f t="shared" si="53"/>
        <v>HALIKÖY</v>
      </c>
      <c r="N1025"/>
      <c r="O1025"/>
      <c r="P1025"/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  <c r="AD1025"/>
      <c r="AE1025"/>
      <c r="AF1025"/>
      <c r="AG1025"/>
      <c r="AH1025"/>
      <c r="AI1025"/>
      <c r="AJ1025"/>
      <c r="AK1025"/>
      <c r="AL1025"/>
      <c r="AM1025"/>
      <c r="AN1025"/>
    </row>
    <row r="1026" spans="1:40" s="23" customFormat="1" x14ac:dyDescent="0.25">
      <c r="A1026" t="s">
        <v>2497</v>
      </c>
      <c r="B1026" t="s">
        <v>704</v>
      </c>
      <c r="C1026" t="s">
        <v>2237</v>
      </c>
      <c r="D1026">
        <v>10</v>
      </c>
      <c r="E1026">
        <v>90001</v>
      </c>
      <c r="F1026" t="s">
        <v>2498</v>
      </c>
      <c r="G1026">
        <f t="shared" si="54"/>
        <v>26</v>
      </c>
      <c r="H1026" s="9">
        <f>IF(ISERROR(VLOOKUP(A1026,Excel4!D:J,7,0)),0,VLOOKUP(A1026,Excel4!D:J,7,0))</f>
        <v>42.28</v>
      </c>
      <c r="I1026" s="15" t="s">
        <v>1777</v>
      </c>
      <c r="J1026" s="20" t="s">
        <v>2237</v>
      </c>
      <c r="K1026" s="15" t="s">
        <v>284</v>
      </c>
      <c r="L1026" s="18" t="str">
        <f t="shared" si="55"/>
        <v>ÇEKEREK BELEDİYE BAŞKANLIĞI YOZGAT</v>
      </c>
      <c r="M1026" s="18" t="str">
        <f t="shared" si="53"/>
        <v>ÇEKEREK</v>
      </c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  <c r="AE1026"/>
      <c r="AF1026"/>
      <c r="AG1026"/>
      <c r="AH1026"/>
      <c r="AI1026"/>
      <c r="AJ1026"/>
      <c r="AK1026"/>
      <c r="AL1026"/>
      <c r="AM1026"/>
      <c r="AN1026"/>
    </row>
    <row r="1027" spans="1:40" s="23" customFormat="1" x14ac:dyDescent="0.25">
      <c r="A1027" t="s">
        <v>2300</v>
      </c>
      <c r="B1027" t="s">
        <v>2555</v>
      </c>
      <c r="C1027" t="s">
        <v>2161</v>
      </c>
      <c r="D1027">
        <v>12</v>
      </c>
      <c r="E1027">
        <v>90001</v>
      </c>
      <c r="F1027" t="s">
        <v>2708</v>
      </c>
      <c r="G1027">
        <f t="shared" si="54"/>
        <v>26</v>
      </c>
      <c r="H1027" s="9">
        <f>IF(ISERROR(VLOOKUP(A1027,Excel4!D:J,7,0)),0,VLOOKUP(A1027,Excel4!D:J,7,0))</f>
        <v>0</v>
      </c>
      <c r="I1027" s="15" t="s">
        <v>1777</v>
      </c>
      <c r="J1027" s="20" t="s">
        <v>2248</v>
      </c>
      <c r="K1027" s="15" t="s">
        <v>284</v>
      </c>
      <c r="L1027" s="18" t="str">
        <f t="shared" si="55"/>
        <v>KARAYAKUP BELEDİYE BAŞKANLIĞI YOZGAT</v>
      </c>
      <c r="M1027" s="18" t="str">
        <f t="shared" si="53"/>
        <v>KARAYAKUP</v>
      </c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  <c r="AD1027"/>
      <c r="AE1027"/>
      <c r="AF1027"/>
      <c r="AG1027"/>
      <c r="AH1027"/>
      <c r="AI1027"/>
      <c r="AJ1027"/>
      <c r="AK1027"/>
      <c r="AL1027"/>
      <c r="AM1027"/>
      <c r="AN1027"/>
    </row>
    <row r="1028" spans="1:40" s="23" customFormat="1" x14ac:dyDescent="0.25">
      <c r="A1028" t="s">
        <v>1802</v>
      </c>
      <c r="B1028" t="s">
        <v>704</v>
      </c>
      <c r="C1028" t="s">
        <v>691</v>
      </c>
      <c r="D1028">
        <v>10</v>
      </c>
      <c r="E1028">
        <v>90001</v>
      </c>
      <c r="F1028" t="s">
        <v>1834</v>
      </c>
      <c r="G1028">
        <f t="shared" si="54"/>
        <v>26</v>
      </c>
      <c r="H1028" s="9">
        <f>IF(ISERROR(VLOOKUP(A1028,Excel4!D:J,7,0)),0,VLOOKUP(A1028,Excel4!D:J,7,0))</f>
        <v>0</v>
      </c>
      <c r="I1028" s="15" t="s">
        <v>1777</v>
      </c>
      <c r="J1028" s="15" t="s">
        <v>691</v>
      </c>
      <c r="K1028" s="15" t="s">
        <v>284</v>
      </c>
      <c r="L1028" s="18" t="str">
        <f t="shared" si="55"/>
        <v>KADIŞEHRİ BELEDİYE BAŞKANLIĞI YOZGAT</v>
      </c>
      <c r="M1028" s="18" t="str">
        <f t="shared" ref="M1028:M1058" si="56">IF(J1028="MERKEZ",K1028,IF(J1028="BÜYÜKŞEHİR",K1028&amp;" BÜYÜKŞEHİR",J1028))</f>
        <v>KADIŞEHRİ</v>
      </c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/>
      <c r="AF1028"/>
      <c r="AG1028"/>
      <c r="AH1028"/>
      <c r="AI1028"/>
      <c r="AJ1028"/>
      <c r="AK1028"/>
      <c r="AL1028"/>
      <c r="AM1028"/>
      <c r="AN1028"/>
    </row>
    <row r="1029" spans="1:40" s="23" customFormat="1" x14ac:dyDescent="0.25">
      <c r="A1029" t="s">
        <v>2983</v>
      </c>
      <c r="B1029" t="s">
        <v>2555</v>
      </c>
      <c r="C1029" t="s">
        <v>387</v>
      </c>
      <c r="D1029">
        <v>12</v>
      </c>
      <c r="E1029">
        <v>90001</v>
      </c>
      <c r="F1029" t="s">
        <v>2984</v>
      </c>
      <c r="G1029">
        <f t="shared" si="54"/>
        <v>26</v>
      </c>
      <c r="H1029" s="9">
        <f>IF(ISERROR(VLOOKUP(A1029,Excel4!D:J,7,0)),0,VLOOKUP(A1029,Excel4!D:J,7,0))</f>
        <v>0</v>
      </c>
      <c r="I1029" s="15" t="s">
        <v>1777</v>
      </c>
      <c r="J1029" s="20" t="s">
        <v>2981</v>
      </c>
      <c r="K1029" s="15" t="s">
        <v>284</v>
      </c>
      <c r="L1029" s="18" t="str">
        <f t="shared" si="55"/>
        <v>OVAKENT BELEDİYE BAŞKANLIĞI YOZGAT</v>
      </c>
      <c r="M1029" s="18" t="str">
        <f t="shared" si="56"/>
        <v>OVAKENT</v>
      </c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  <c r="AE1029"/>
      <c r="AF1029"/>
      <c r="AG1029"/>
      <c r="AH1029"/>
      <c r="AI1029"/>
      <c r="AJ1029"/>
      <c r="AK1029"/>
      <c r="AL1029"/>
      <c r="AM1029"/>
      <c r="AN1029"/>
    </row>
    <row r="1030" spans="1:40" s="23" customFormat="1" x14ac:dyDescent="0.25">
      <c r="A1030" t="s">
        <v>2350</v>
      </c>
      <c r="B1030" s="19" t="s">
        <v>704</v>
      </c>
      <c r="C1030" s="19" t="s">
        <v>2314</v>
      </c>
      <c r="D1030">
        <v>10</v>
      </c>
      <c r="E1030">
        <v>90001</v>
      </c>
      <c r="F1030" t="s">
        <v>2362</v>
      </c>
      <c r="G1030">
        <f t="shared" si="54"/>
        <v>26</v>
      </c>
      <c r="H1030" s="9">
        <f>IF(ISERROR(VLOOKUP(A1030,Excel4!D:J,7,0)),0,VLOOKUP(A1030,Excel4!D:J,7,0))</f>
        <v>0</v>
      </c>
      <c r="I1030" s="15" t="s">
        <v>1777</v>
      </c>
      <c r="J1030" s="20" t="s">
        <v>2314</v>
      </c>
      <c r="K1030" s="20" t="s">
        <v>284</v>
      </c>
      <c r="L1030" s="18" t="str">
        <f t="shared" si="55"/>
        <v>SARAYKENT BELEDİYE BAŞKANLIĞI YOZGAT</v>
      </c>
      <c r="M1030" s="18" t="str">
        <f t="shared" si="56"/>
        <v>SARAYKENT</v>
      </c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/>
      <c r="AF1030"/>
      <c r="AG1030"/>
      <c r="AH1030"/>
      <c r="AI1030"/>
      <c r="AJ1030"/>
      <c r="AK1030"/>
      <c r="AL1030"/>
      <c r="AM1030"/>
      <c r="AN1030"/>
    </row>
    <row r="1031" spans="1:40" s="23" customFormat="1" x14ac:dyDescent="0.25">
      <c r="A1031" t="s">
        <v>2190</v>
      </c>
      <c r="B1031" t="s">
        <v>2555</v>
      </c>
      <c r="C1031" s="19" t="s">
        <v>2161</v>
      </c>
      <c r="D1031">
        <v>12</v>
      </c>
      <c r="E1031">
        <v>90001</v>
      </c>
      <c r="F1031" s="19" t="s">
        <v>2197</v>
      </c>
      <c r="G1031">
        <f t="shared" si="54"/>
        <v>26</v>
      </c>
      <c r="H1031" s="9">
        <f>IF(ISERROR(VLOOKUP(A1031,Excel4!D:J,7,0)),0,VLOOKUP(A1031,Excel4!D:J,7,0))</f>
        <v>0</v>
      </c>
      <c r="I1031" s="15" t="s">
        <v>1777</v>
      </c>
      <c r="J1031" s="15" t="s">
        <v>2161</v>
      </c>
      <c r="K1031" s="15" t="s">
        <v>284</v>
      </c>
      <c r="L1031" s="18" t="str">
        <f t="shared" si="55"/>
        <v>SARIKAYA BELEDİYE BAŞKANLIĞI YOZGAT</v>
      </c>
      <c r="M1031" s="18" t="str">
        <f t="shared" si="56"/>
        <v>SARIKAYA</v>
      </c>
      <c r="N1031">
        <f>_xlfn.XLOOKUP(M1031,[1]Sheet1!$A:$A,[1]Sheet1!$G:$G)</f>
        <v>0</v>
      </c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  <c r="AD1031"/>
      <c r="AE1031"/>
      <c r="AF1031"/>
      <c r="AG1031"/>
      <c r="AH1031"/>
      <c r="AI1031"/>
      <c r="AJ1031"/>
      <c r="AK1031"/>
      <c r="AL1031"/>
      <c r="AM1031"/>
      <c r="AN1031"/>
    </row>
    <row r="1032" spans="1:40" x14ac:dyDescent="0.25">
      <c r="A1032" t="s">
        <v>2661</v>
      </c>
      <c r="B1032" s="27" t="s">
        <v>704</v>
      </c>
      <c r="C1032" s="27" t="s">
        <v>387</v>
      </c>
      <c r="D1032">
        <v>10</v>
      </c>
      <c r="E1032">
        <v>90001</v>
      </c>
      <c r="F1032" s="27" t="s">
        <v>2673</v>
      </c>
      <c r="G1032">
        <f t="shared" si="54"/>
        <v>26</v>
      </c>
      <c r="H1032" s="9">
        <f>IF(ISERROR(VLOOKUP(A1032,Excel4!D:J,7,0)),0,VLOOKUP(A1032,Excel4!D:J,7,0))</f>
        <v>0</v>
      </c>
      <c r="I1032" s="15" t="s">
        <v>1777</v>
      </c>
      <c r="J1032" s="20" t="s">
        <v>2656</v>
      </c>
      <c r="K1032" s="15" t="s">
        <v>284</v>
      </c>
      <c r="L1032" s="18" t="str">
        <f t="shared" si="55"/>
        <v>SIRÇALI BELEDİYE BAŞKANLIĞI YOZGAT</v>
      </c>
      <c r="M1032" s="18" t="str">
        <f t="shared" si="56"/>
        <v>SIRÇALI</v>
      </c>
    </row>
    <row r="1033" spans="1:40" x14ac:dyDescent="0.25">
      <c r="A1033" t="s">
        <v>879</v>
      </c>
      <c r="B1033" t="s">
        <v>699</v>
      </c>
      <c r="C1033" t="s">
        <v>284</v>
      </c>
      <c r="D1033">
        <v>15</v>
      </c>
      <c r="E1033">
        <v>90001</v>
      </c>
      <c r="F1033" t="s">
        <v>880</v>
      </c>
      <c r="G1033">
        <f t="shared" si="54"/>
        <v>26</v>
      </c>
      <c r="H1033" s="9">
        <f>IF(ISERROR(VLOOKUP(A1033,Excel4!D:J,7,0)),0,VLOOKUP(A1033,Excel4!D:J,7,0))</f>
        <v>522.77</v>
      </c>
      <c r="I1033" s="15" t="s">
        <v>1777</v>
      </c>
      <c r="J1033" s="15" t="s">
        <v>34</v>
      </c>
      <c r="K1033" s="15" t="s">
        <v>284</v>
      </c>
      <c r="L1033" s="18" t="str">
        <f t="shared" si="55"/>
        <v>YOZGAT BELEDİYE BAŞKANLIĞI</v>
      </c>
      <c r="M1033" s="18" t="str">
        <f t="shared" si="56"/>
        <v>YOZGAT</v>
      </c>
      <c r="N1033" t="e">
        <f>_xlfn.XLOOKUP(M1033,[1]Sheet1!$C:$C,[1]Sheet1!$G:$G)</f>
        <v>#N/A</v>
      </c>
    </row>
    <row r="1034" spans="1:40" x14ac:dyDescent="0.25">
      <c r="A1034" t="s">
        <v>881</v>
      </c>
      <c r="B1034" t="s">
        <v>2555</v>
      </c>
      <c r="C1034" t="s">
        <v>480</v>
      </c>
      <c r="D1034">
        <v>12</v>
      </c>
      <c r="E1034">
        <v>90001</v>
      </c>
      <c r="F1034" t="s">
        <v>882</v>
      </c>
      <c r="G1034">
        <f t="shared" si="54"/>
        <v>26</v>
      </c>
      <c r="H1034" s="9">
        <f>IF(ISERROR(VLOOKUP(A1034,Excel4!D:J,7,0)),0,VLOOKUP(A1034,Excel4!D:J,7,0))</f>
        <v>660.39</v>
      </c>
      <c r="I1034" s="15" t="s">
        <v>1777</v>
      </c>
      <c r="J1034" s="15" t="s">
        <v>480</v>
      </c>
      <c r="K1034" s="15" t="s">
        <v>284</v>
      </c>
      <c r="L1034" s="18" t="str">
        <f t="shared" si="55"/>
        <v>SORGUN BELEDİYE BAŞKANLIĞI YOZGAT</v>
      </c>
      <c r="M1034" s="18" t="str">
        <f t="shared" si="56"/>
        <v>SORGUN</v>
      </c>
      <c r="N1034">
        <f>_xlfn.XLOOKUP(M1034,[1]Sheet1!$A:$A,[1]Sheet1!$G:$G)</f>
        <v>0</v>
      </c>
    </row>
    <row r="1035" spans="1:40" x14ac:dyDescent="0.25">
      <c r="A1035" t="s">
        <v>2301</v>
      </c>
      <c r="B1035" t="s">
        <v>818</v>
      </c>
      <c r="C1035" t="s">
        <v>2259</v>
      </c>
      <c r="D1035">
        <v>64</v>
      </c>
      <c r="E1035">
        <v>90001</v>
      </c>
      <c r="F1035" t="s">
        <v>2499</v>
      </c>
      <c r="G1035">
        <f t="shared" si="54"/>
        <v>26</v>
      </c>
      <c r="H1035" s="9">
        <f>IF(ISERROR(VLOOKUP(A1035,Excel4!D:J,7,0)),0,VLOOKUP(A1035,Excel4!D:J,7,0))</f>
        <v>44.78</v>
      </c>
      <c r="I1035" s="15" t="s">
        <v>1777</v>
      </c>
      <c r="J1035" s="20" t="s">
        <v>2259</v>
      </c>
      <c r="K1035" s="15" t="s">
        <v>284</v>
      </c>
      <c r="L1035" s="18" t="str">
        <f t="shared" si="55"/>
        <v>ŞEFAATLİ BELEDİYE BAŞKANLIĞI YOZGAT</v>
      </c>
      <c r="M1035" s="18" t="str">
        <f t="shared" si="56"/>
        <v>ŞEFAATLİ</v>
      </c>
      <c r="N1035">
        <f>_xlfn.XLOOKUP(M1035,[1]Sheet1!$A:$A,[1]Sheet1!$G:$G)</f>
        <v>0</v>
      </c>
    </row>
    <row r="1036" spans="1:40" x14ac:dyDescent="0.25">
      <c r="A1036" t="s">
        <v>2147</v>
      </c>
      <c r="B1036" t="s">
        <v>704</v>
      </c>
      <c r="C1036" t="s">
        <v>480</v>
      </c>
      <c r="D1036">
        <v>10</v>
      </c>
      <c r="E1036">
        <v>90001</v>
      </c>
      <c r="F1036" t="s">
        <v>2148</v>
      </c>
      <c r="G1036">
        <f t="shared" si="54"/>
        <v>26</v>
      </c>
      <c r="H1036" s="9">
        <f>IF(ISERROR(VLOOKUP(A1036,Excel4!D:J,7,0)),0,VLOOKUP(A1036,Excel4!D:J,7,0))</f>
        <v>0</v>
      </c>
      <c r="I1036" s="15" t="s">
        <v>1777</v>
      </c>
      <c r="J1036" s="15" t="s">
        <v>2149</v>
      </c>
      <c r="K1036" s="15" t="s">
        <v>284</v>
      </c>
      <c r="L1036" s="18" t="str">
        <f t="shared" si="55"/>
        <v>YENİYER BELEDİYE BAŞKANLIĞI YOZGAT</v>
      </c>
      <c r="M1036" s="18" t="str">
        <f t="shared" si="56"/>
        <v>YENİYER</v>
      </c>
    </row>
    <row r="1037" spans="1:40" x14ac:dyDescent="0.25">
      <c r="A1037" t="s">
        <v>2298</v>
      </c>
      <c r="B1037" t="s">
        <v>704</v>
      </c>
      <c r="C1037" t="s">
        <v>2692</v>
      </c>
      <c r="D1037">
        <v>10</v>
      </c>
      <c r="E1037">
        <v>90001</v>
      </c>
      <c r="F1037" t="s">
        <v>2691</v>
      </c>
      <c r="G1037">
        <f t="shared" si="54"/>
        <v>26</v>
      </c>
      <c r="H1037" s="9">
        <f>IF(ISERROR(VLOOKUP(A1037,Excel4!D:J,7,0)),0,VLOOKUP(A1037,Excel4!D:J,7,0))</f>
        <v>71.509999999999991</v>
      </c>
      <c r="I1037" s="15" t="s">
        <v>1777</v>
      </c>
      <c r="J1037" s="20" t="s">
        <v>2262</v>
      </c>
      <c r="K1037" s="15" t="s">
        <v>284</v>
      </c>
      <c r="L1037" s="18" t="str">
        <f t="shared" si="55"/>
        <v>YENİFAKILI BELEDİYE BAŞKANLIĞI YOZGAT</v>
      </c>
      <c r="M1037" s="18" t="str">
        <f t="shared" si="56"/>
        <v>YENİFAKILI</v>
      </c>
    </row>
    <row r="1038" spans="1:40" x14ac:dyDescent="0.25">
      <c r="A1038" t="s">
        <v>2302</v>
      </c>
      <c r="B1038" t="s">
        <v>2555</v>
      </c>
      <c r="C1038" t="s">
        <v>692</v>
      </c>
      <c r="D1038">
        <v>12</v>
      </c>
      <c r="E1038">
        <v>90001</v>
      </c>
      <c r="F1038" t="s">
        <v>1761</v>
      </c>
      <c r="G1038">
        <f t="shared" si="54"/>
        <v>26</v>
      </c>
      <c r="H1038" s="9">
        <f>IF(ISERROR(VLOOKUP(A1038,Excel4!D:J,7,0)),0,VLOOKUP(A1038,Excel4!D:J,7,0))</f>
        <v>46.53</v>
      </c>
      <c r="I1038" s="15" t="s">
        <v>1777</v>
      </c>
      <c r="J1038" s="15" t="s">
        <v>692</v>
      </c>
      <c r="K1038" s="15" t="s">
        <v>284</v>
      </c>
      <c r="L1038" s="18" t="str">
        <f t="shared" si="55"/>
        <v>YERKÖY BELEDİYE BAŞKANLIĞI YOZGAT</v>
      </c>
      <c r="M1038" s="18" t="str">
        <f t="shared" si="56"/>
        <v>YERKÖY</v>
      </c>
      <c r="N1038">
        <f>_xlfn.XLOOKUP(M1038,[1]Sheet1!$A:$A,[1]Sheet1!$G:$G)</f>
        <v>0</v>
      </c>
    </row>
    <row r="1039" spans="1:40" x14ac:dyDescent="0.25">
      <c r="A1039" t="s">
        <v>2140</v>
      </c>
      <c r="B1039" t="s">
        <v>2555</v>
      </c>
      <c r="C1039" t="s">
        <v>285</v>
      </c>
      <c r="D1039">
        <v>12</v>
      </c>
      <c r="E1039">
        <v>90001</v>
      </c>
      <c r="F1039" t="s">
        <v>2152</v>
      </c>
      <c r="G1039">
        <f t="shared" si="54"/>
        <v>26</v>
      </c>
      <c r="H1039" s="9">
        <f>IF(ISERROR(VLOOKUP(A1039,Excel4!D:J,7,0)),0,VLOOKUP(A1039,Excel4!D:J,7,0))</f>
        <v>0</v>
      </c>
      <c r="I1039" s="15" t="s">
        <v>1777</v>
      </c>
      <c r="J1039" s="15" t="s">
        <v>2132</v>
      </c>
      <c r="K1039" s="15" t="s">
        <v>149</v>
      </c>
      <c r="L1039" s="18" t="str">
        <f t="shared" si="55"/>
        <v>BAKACAKKADI BELEDİYE BAŞKANLIĞI ZONGULDAK</v>
      </c>
      <c r="M1039" s="18" t="str">
        <f t="shared" si="56"/>
        <v>BAKACAKKADI</v>
      </c>
    </row>
    <row r="1040" spans="1:40" x14ac:dyDescent="0.25">
      <c r="A1040" t="s">
        <v>2117</v>
      </c>
      <c r="B1040" t="s">
        <v>704</v>
      </c>
      <c r="C1040" t="s">
        <v>2118</v>
      </c>
      <c r="D1040">
        <v>10</v>
      </c>
      <c r="E1040">
        <v>90001</v>
      </c>
      <c r="F1040" t="s">
        <v>2122</v>
      </c>
      <c r="G1040">
        <f t="shared" si="54"/>
        <v>26</v>
      </c>
      <c r="H1040" s="9">
        <f>IF(ISERROR(VLOOKUP(A1040,Excel4!D:J,7,0)),0,VLOOKUP(A1040,Excel4!D:J,7,0))</f>
        <v>0</v>
      </c>
      <c r="I1040" s="15" t="s">
        <v>1777</v>
      </c>
      <c r="J1040" s="15" t="s">
        <v>2112</v>
      </c>
      <c r="K1040" s="15" t="s">
        <v>149</v>
      </c>
      <c r="L1040" s="18" t="str">
        <f t="shared" si="55"/>
        <v>BEYCUMA BELEDİYE BAŞKANLIĞI ZONGULDAK</v>
      </c>
      <c r="M1040" s="18" t="str">
        <f t="shared" si="56"/>
        <v>BEYCUMA</v>
      </c>
    </row>
    <row r="1041" spans="1:14" x14ac:dyDescent="0.25">
      <c r="A1041" t="s">
        <v>3232</v>
      </c>
      <c r="B1041" t="s">
        <v>699</v>
      </c>
      <c r="C1041" t="s">
        <v>149</v>
      </c>
      <c r="D1041">
        <v>15</v>
      </c>
      <c r="E1041">
        <v>90001</v>
      </c>
      <c r="F1041" t="s">
        <v>3240</v>
      </c>
      <c r="G1041">
        <f t="shared" si="54"/>
        <v>26</v>
      </c>
      <c r="H1041" s="9">
        <f>IF(ISERROR(VLOOKUP(A1041,Excel4!D:J,7,0)),0,VLOOKUP(A1041,Excel4!D:J,7,0))</f>
        <v>0</v>
      </c>
      <c r="I1041" s="15" t="s">
        <v>1777</v>
      </c>
      <c r="J1041" s="15" t="s">
        <v>3127</v>
      </c>
      <c r="K1041" s="15" t="s">
        <v>149</v>
      </c>
      <c r="L1041" s="18" t="str">
        <f t="shared" si="55"/>
        <v>ÇATALAĞZI BELEDİYE BAŞKANLIĞI ZONGULDAK</v>
      </c>
      <c r="M1041" s="18" t="str">
        <f t="shared" si="56"/>
        <v>ÇATALAĞZI</v>
      </c>
    </row>
    <row r="1042" spans="1:14" x14ac:dyDescent="0.25">
      <c r="A1042" t="s">
        <v>883</v>
      </c>
      <c r="B1042" t="s">
        <v>704</v>
      </c>
      <c r="C1042" t="s">
        <v>693</v>
      </c>
      <c r="D1042">
        <v>10</v>
      </c>
      <c r="E1042">
        <v>90001</v>
      </c>
      <c r="F1042" t="s">
        <v>884</v>
      </c>
      <c r="G1042">
        <f t="shared" si="54"/>
        <v>26</v>
      </c>
      <c r="H1042" s="9">
        <f>IF(ISERROR(VLOOKUP(A1042,Excel4!D:J,7,0)),0,VLOOKUP(A1042,Excel4!D:J,7,0))</f>
        <v>230.31</v>
      </c>
      <c r="I1042" s="15" t="s">
        <v>1777</v>
      </c>
      <c r="J1042" s="15" t="s">
        <v>693</v>
      </c>
      <c r="K1042" s="15" t="s">
        <v>149</v>
      </c>
      <c r="L1042" s="18" t="str">
        <f t="shared" si="55"/>
        <v>ALAPLI BELEDİYE BAŞKANLIĞI ZONGULDAK</v>
      </c>
      <c r="M1042" s="18" t="str">
        <f t="shared" si="56"/>
        <v>ALAPLI</v>
      </c>
      <c r="N1042">
        <f>_xlfn.XLOOKUP(M1042,[1]Sheet1!$A:$A,[1]Sheet1!$G:$G)</f>
        <v>0</v>
      </c>
    </row>
    <row r="1043" spans="1:14" x14ac:dyDescent="0.25">
      <c r="A1043" t="s">
        <v>2507</v>
      </c>
      <c r="B1043" t="s">
        <v>704</v>
      </c>
      <c r="C1043" t="s">
        <v>255</v>
      </c>
      <c r="D1043">
        <v>10</v>
      </c>
      <c r="E1043">
        <v>90001</v>
      </c>
      <c r="F1043" t="s">
        <v>2508</v>
      </c>
      <c r="G1043">
        <f t="shared" si="54"/>
        <v>26</v>
      </c>
      <c r="H1043" s="9">
        <f>IF(ISERROR(VLOOKUP(A1043,Excel4!D:J,7,0)),0,VLOOKUP(A1043,Excel4!D:J,7,0))</f>
        <v>0</v>
      </c>
      <c r="I1043" s="15" t="s">
        <v>1777</v>
      </c>
      <c r="J1043" s="15" t="s">
        <v>2400</v>
      </c>
      <c r="K1043" s="15" t="s">
        <v>149</v>
      </c>
      <c r="L1043" s="18" t="str">
        <f t="shared" si="55"/>
        <v>ÇAYDEĞİRMENİ BELEDİYE BAŞKANLIĞI ZONGULDAK</v>
      </c>
      <c r="M1043" s="18" t="str">
        <f t="shared" si="56"/>
        <v>ÇAYDEĞİRMENİ</v>
      </c>
    </row>
    <row r="1044" spans="1:14" x14ac:dyDescent="0.25">
      <c r="A1044" t="s">
        <v>885</v>
      </c>
      <c r="B1044" t="s">
        <v>2555</v>
      </c>
      <c r="C1044" t="s">
        <v>678</v>
      </c>
      <c r="D1044">
        <v>12</v>
      </c>
      <c r="E1044">
        <v>90001</v>
      </c>
      <c r="F1044" t="s">
        <v>886</v>
      </c>
      <c r="G1044">
        <f t="shared" si="54"/>
        <v>26</v>
      </c>
      <c r="H1044" s="9">
        <f>IF(ISERROR(VLOOKUP(A1044,Excel4!D:J,7,0)),0,VLOOKUP(A1044,Excel4!D:J,7,0))</f>
        <v>187.38</v>
      </c>
      <c r="I1044" s="15" t="s">
        <v>1777</v>
      </c>
      <c r="J1044" s="15" t="s">
        <v>285</v>
      </c>
      <c r="K1044" s="15" t="s">
        <v>149</v>
      </c>
      <c r="L1044" s="18" t="str">
        <f t="shared" si="55"/>
        <v>ÇAYCUMA BELEDİYE BAŞKANLIĞI ZONGULDAK</v>
      </c>
      <c r="M1044" s="18" t="str">
        <f t="shared" si="56"/>
        <v>ÇAYCUMA</v>
      </c>
      <c r="N1044">
        <f>_xlfn.XLOOKUP(M1044,[1]Sheet1!$A:$A,[1]Sheet1!$G:$G)</f>
        <v>0</v>
      </c>
    </row>
    <row r="1045" spans="1:14" x14ac:dyDescent="0.25">
      <c r="A1045" t="s">
        <v>3231</v>
      </c>
      <c r="B1045" t="s">
        <v>704</v>
      </c>
      <c r="C1045" t="s">
        <v>149</v>
      </c>
      <c r="D1045">
        <v>10</v>
      </c>
      <c r="E1045">
        <v>90001</v>
      </c>
      <c r="F1045" t="s">
        <v>3239</v>
      </c>
      <c r="G1045">
        <f t="shared" si="54"/>
        <v>26</v>
      </c>
      <c r="H1045" s="9">
        <f>IF(ISERROR(VLOOKUP(A1045,Excel4!D:J,7,0)),0,VLOOKUP(A1045,Excel4!D:J,7,0))</f>
        <v>0</v>
      </c>
      <c r="I1045" s="15" t="s">
        <v>1777</v>
      </c>
      <c r="J1045" s="15" t="s">
        <v>3187</v>
      </c>
      <c r="K1045" s="15" t="s">
        <v>149</v>
      </c>
      <c r="L1045" s="18" t="str">
        <f t="shared" si="55"/>
        <v>ELVANPAZARCIK BELEDİYE BAŞKANLIĞI ZONGULDAK</v>
      </c>
      <c r="M1045" s="18" t="str">
        <f t="shared" si="56"/>
        <v>ELVANPAZARCIK</v>
      </c>
    </row>
    <row r="1046" spans="1:14" x14ac:dyDescent="0.25">
      <c r="A1046" t="s">
        <v>1762</v>
      </c>
      <c r="B1046" t="s">
        <v>2555</v>
      </c>
      <c r="C1046" t="s">
        <v>255</v>
      </c>
      <c r="D1046">
        <v>12</v>
      </c>
      <c r="E1046">
        <v>90001</v>
      </c>
      <c r="F1046" t="s">
        <v>1763</v>
      </c>
      <c r="G1046">
        <f t="shared" si="54"/>
        <v>26</v>
      </c>
      <c r="H1046" s="9">
        <f>IF(ISERROR(VLOOKUP(A1046,Excel4!D:J,7,0)),0,VLOOKUP(A1046,Excel4!D:J,7,0))</f>
        <v>190.56</v>
      </c>
      <c r="I1046" s="15" t="s">
        <v>1777</v>
      </c>
      <c r="J1046" s="15" t="s">
        <v>255</v>
      </c>
      <c r="K1046" s="15" t="s">
        <v>149</v>
      </c>
      <c r="L1046" s="18" t="str">
        <f t="shared" si="55"/>
        <v>DEVREK BELEDİYE BAŞKANLIĞI ZONGULDAK</v>
      </c>
      <c r="M1046" s="18" t="str">
        <f t="shared" si="56"/>
        <v>DEVREK</v>
      </c>
      <c r="N1046">
        <f>_xlfn.XLOOKUP(M1046,[1]Sheet1!$A:$A,[1]Sheet1!$G:$G)</f>
        <v>0</v>
      </c>
    </row>
    <row r="1047" spans="1:14" x14ac:dyDescent="0.25">
      <c r="A1047" t="s">
        <v>887</v>
      </c>
      <c r="B1047" t="s">
        <v>704</v>
      </c>
      <c r="C1047" t="s">
        <v>888</v>
      </c>
      <c r="D1047">
        <v>10</v>
      </c>
      <c r="E1047">
        <v>90001</v>
      </c>
      <c r="F1047" t="s">
        <v>889</v>
      </c>
      <c r="G1047">
        <f t="shared" si="54"/>
        <v>26</v>
      </c>
      <c r="H1047" s="9">
        <f>IF(ISERROR(VLOOKUP(A1047,Excel4!D:J,7,0)),0,VLOOKUP(A1047,Excel4!D:J,7,0))</f>
        <v>1686.42</v>
      </c>
      <c r="I1047" s="15" t="s">
        <v>1777</v>
      </c>
      <c r="J1047" s="15" t="s">
        <v>119</v>
      </c>
      <c r="K1047" s="15" t="s">
        <v>149</v>
      </c>
      <c r="L1047" s="18" t="str">
        <f t="shared" si="55"/>
        <v>EREĞLİ BELEDİYE BAŞKANLIĞI ZONGULDAK</v>
      </c>
      <c r="M1047" s="18" t="str">
        <f t="shared" si="56"/>
        <v>EREĞLİ</v>
      </c>
      <c r="N1047">
        <f>_xlfn.XLOOKUP(M1047,[1]Sheet1!$A:$A,[1]Sheet1!$G:$G)</f>
        <v>0</v>
      </c>
    </row>
    <row r="1048" spans="1:14" x14ac:dyDescent="0.25">
      <c r="A1048" t="s">
        <v>2303</v>
      </c>
      <c r="B1048" t="s">
        <v>2555</v>
      </c>
      <c r="C1048" s="19" t="s">
        <v>2374</v>
      </c>
      <c r="D1048">
        <v>12</v>
      </c>
      <c r="E1048">
        <v>90001</v>
      </c>
      <c r="F1048" t="s">
        <v>2375</v>
      </c>
      <c r="G1048">
        <f t="shared" si="54"/>
        <v>26</v>
      </c>
      <c r="H1048" s="9">
        <f>IF(ISERROR(VLOOKUP(A1048,Excel4!D:J,7,0)),0,VLOOKUP(A1048,Excel4!D:J,7,0))</f>
        <v>0</v>
      </c>
      <c r="I1048" s="15" t="s">
        <v>1777</v>
      </c>
      <c r="J1048" s="20" t="s">
        <v>2245</v>
      </c>
      <c r="K1048" s="15" t="s">
        <v>149</v>
      </c>
      <c r="L1048" s="18" t="str">
        <f t="shared" si="55"/>
        <v>GÜLÜÇ BELEDİYE BAŞKANLIĞI ZONGULDAK</v>
      </c>
      <c r="M1048" s="18" t="str">
        <f t="shared" si="56"/>
        <v>GÜLÜÇ</v>
      </c>
    </row>
    <row r="1049" spans="1:14" x14ac:dyDescent="0.25">
      <c r="A1049" t="s">
        <v>3342</v>
      </c>
      <c r="B1049" t="s">
        <v>704</v>
      </c>
      <c r="C1049" t="s">
        <v>2118</v>
      </c>
      <c r="D1049">
        <v>10</v>
      </c>
      <c r="E1049">
        <v>90001</v>
      </c>
      <c r="F1049" t="s">
        <v>3343</v>
      </c>
      <c r="G1049">
        <f t="shared" ref="G1049:G1058" si="57">LEN(F1049)</f>
        <v>26</v>
      </c>
      <c r="H1049" s="9">
        <f>IF(ISERROR(VLOOKUP(A1049,Excel4!D:J,7,0)),0,VLOOKUP(A1049,Excel4!D:J,7,0))</f>
        <v>0</v>
      </c>
      <c r="I1049" s="15" t="s">
        <v>1777</v>
      </c>
      <c r="J1049" s="15" t="s">
        <v>81</v>
      </c>
      <c r="K1049" s="15" t="s">
        <v>149</v>
      </c>
      <c r="L1049" s="18" t="str">
        <f t="shared" si="55"/>
        <v>KARAMAN BELEDİYE BAŞKANLIĞI ZONGULDAK</v>
      </c>
      <c r="M1049" s="18" t="str">
        <f t="shared" si="56"/>
        <v>KARAMAN</v>
      </c>
    </row>
    <row r="1050" spans="1:14" x14ac:dyDescent="0.25">
      <c r="A1050" t="s">
        <v>2082</v>
      </c>
      <c r="B1050" t="s">
        <v>704</v>
      </c>
      <c r="C1050" t="s">
        <v>694</v>
      </c>
      <c r="D1050">
        <v>10</v>
      </c>
      <c r="E1050">
        <v>90001</v>
      </c>
      <c r="F1050" t="s">
        <v>2104</v>
      </c>
      <c r="G1050">
        <f t="shared" si="57"/>
        <v>26</v>
      </c>
      <c r="H1050" s="9">
        <f>IF(ISERROR(VLOOKUP(A1050,Excel4!D:J,7,0)),0,VLOOKUP(A1050,Excel4!D:J,7,0))</f>
        <v>100.19</v>
      </c>
      <c r="I1050" s="15" t="s">
        <v>1777</v>
      </c>
      <c r="J1050" s="15" t="s">
        <v>694</v>
      </c>
      <c r="K1050" s="15" t="s">
        <v>149</v>
      </c>
      <c r="L1050" s="18" t="str">
        <f t="shared" si="55"/>
        <v>GÖKÇEBEY BELEDİYE BAŞKANLIĞI ZONGULDAK</v>
      </c>
      <c r="M1050" s="18" t="str">
        <f t="shared" si="56"/>
        <v>GÖKÇEBEY</v>
      </c>
      <c r="N1050">
        <f>_xlfn.XLOOKUP(M1050,[1]Sheet1!$A:$A,[1]Sheet1!$G:$G)</f>
        <v>0</v>
      </c>
    </row>
    <row r="1051" spans="1:14" x14ac:dyDescent="0.25">
      <c r="A1051" t="s">
        <v>2551</v>
      </c>
      <c r="B1051" t="s">
        <v>704</v>
      </c>
      <c r="C1051" t="s">
        <v>2253</v>
      </c>
      <c r="D1051">
        <v>10</v>
      </c>
      <c r="E1051">
        <v>90001</v>
      </c>
      <c r="F1051" t="s">
        <v>2573</v>
      </c>
      <c r="G1051">
        <f t="shared" si="57"/>
        <v>26</v>
      </c>
      <c r="H1051" s="9">
        <f>IF(ISERROR(VLOOKUP(A1051,Excel4!D:J,7,0)),0,VLOOKUP(A1051,Excel4!D:J,7,0))</f>
        <v>312.58999999999997</v>
      </c>
      <c r="I1051" s="15" t="s">
        <v>1777</v>
      </c>
      <c r="J1051" s="15" t="s">
        <v>2253</v>
      </c>
      <c r="K1051" s="15" t="s">
        <v>149</v>
      </c>
      <c r="L1051" s="18" t="str">
        <f t="shared" si="55"/>
        <v>KİLİMLİ BELEDİYE BAŞKANLIĞI ZONGULDAK</v>
      </c>
      <c r="M1051" s="18" t="str">
        <f t="shared" si="56"/>
        <v>KİLİMLİ</v>
      </c>
      <c r="N1051">
        <f>_xlfn.XLOOKUP(M1051,[1]Sheet1!$A:$A,[1]Sheet1!$G:$G)</f>
        <v>0</v>
      </c>
    </row>
    <row r="1052" spans="1:14" x14ac:dyDescent="0.25">
      <c r="A1052" t="s">
        <v>890</v>
      </c>
      <c r="B1052" t="s">
        <v>704</v>
      </c>
      <c r="C1052" t="s">
        <v>346</v>
      </c>
      <c r="D1052">
        <v>10</v>
      </c>
      <c r="E1052">
        <v>90001</v>
      </c>
      <c r="F1052" t="s">
        <v>891</v>
      </c>
      <c r="G1052">
        <f t="shared" si="57"/>
        <v>26</v>
      </c>
      <c r="H1052" s="9">
        <f>IF(ISERROR(VLOOKUP(A1052,Excel4!D:J,7,0)),0,VLOOKUP(A1052,Excel4!D:J,7,0))</f>
        <v>330.65</v>
      </c>
      <c r="I1052" s="15" t="s">
        <v>1777</v>
      </c>
      <c r="J1052" s="15" t="s">
        <v>346</v>
      </c>
      <c r="K1052" s="15" t="s">
        <v>149</v>
      </c>
      <c r="L1052" s="18" t="str">
        <f t="shared" si="55"/>
        <v>KOZLU BELEDİYE BAŞKANLIĞI ZONGULDAK</v>
      </c>
      <c r="M1052" s="18" t="str">
        <f t="shared" si="56"/>
        <v>KOZLU</v>
      </c>
    </row>
    <row r="1053" spans="1:14" x14ac:dyDescent="0.25">
      <c r="A1053" t="s">
        <v>2353</v>
      </c>
      <c r="B1053" t="s">
        <v>2555</v>
      </c>
      <c r="C1053" s="19" t="s">
        <v>2374</v>
      </c>
      <c r="D1053">
        <v>12</v>
      </c>
      <c r="E1053">
        <v>90001</v>
      </c>
      <c r="F1053" t="s">
        <v>2376</v>
      </c>
      <c r="G1053">
        <f t="shared" si="57"/>
        <v>26</v>
      </c>
      <c r="H1053" s="9">
        <f>IF(ISERROR(VLOOKUP(A1053,Excel4!D:J,7,0)),0,VLOOKUP(A1053,Excel4!D:J,7,0))</f>
        <v>0</v>
      </c>
      <c r="I1053" s="15" t="s">
        <v>1777</v>
      </c>
      <c r="J1053" s="20" t="s">
        <v>2255</v>
      </c>
      <c r="K1053" s="20" t="s">
        <v>149</v>
      </c>
      <c r="L1053" s="18" t="str">
        <f t="shared" si="55"/>
        <v>ORMANLI BELEDİYE BAŞKANLIĞI ZONGULDAK</v>
      </c>
      <c r="M1053" s="18" t="str">
        <f t="shared" si="56"/>
        <v>ORMANLI</v>
      </c>
    </row>
    <row r="1054" spans="1:14" x14ac:dyDescent="0.25">
      <c r="A1054" t="s">
        <v>4295</v>
      </c>
      <c r="B1054" t="s">
        <v>704</v>
      </c>
      <c r="C1054" s="19" t="s">
        <v>3574</v>
      </c>
      <c r="D1054">
        <v>10</v>
      </c>
      <c r="E1054">
        <v>90001</v>
      </c>
      <c r="F1054" t="s">
        <v>4296</v>
      </c>
      <c r="G1054">
        <f t="shared" si="57"/>
        <v>26</v>
      </c>
      <c r="H1054" s="9">
        <f>IF(ISERROR(VLOOKUP(A1054,Excel4!D:J,7,0)),0,VLOOKUP(A1054,Excel4!D:J,7,0))</f>
        <v>0</v>
      </c>
      <c r="I1054" s="15" t="s">
        <v>1777</v>
      </c>
      <c r="J1054" s="20" t="s">
        <v>3574</v>
      </c>
      <c r="K1054" s="20" t="s">
        <v>344</v>
      </c>
      <c r="L1054" s="18" t="str">
        <f t="shared" si="55"/>
        <v>ÇUKURCA BELEDİYE BAŞKANLIĞI HAKKARİ</v>
      </c>
      <c r="M1054" s="18" t="str">
        <f t="shared" si="56"/>
        <v>ÇUKURCA</v>
      </c>
      <c r="N1054">
        <f>_xlfn.XLOOKUP(M1054,[1]Sheet1!$A:$A,[1]Sheet1!$G:$G)</f>
        <v>0</v>
      </c>
    </row>
    <row r="1055" spans="1:14" x14ac:dyDescent="0.25">
      <c r="A1055" t="s">
        <v>4368</v>
      </c>
      <c r="B1055" t="s">
        <v>704</v>
      </c>
      <c r="C1055" s="19" t="s">
        <v>4355</v>
      </c>
      <c r="D1055">
        <v>10</v>
      </c>
      <c r="E1055">
        <v>90001</v>
      </c>
      <c r="F1055" t="s">
        <v>4369</v>
      </c>
      <c r="G1055">
        <f t="shared" si="57"/>
        <v>26</v>
      </c>
      <c r="H1055" s="9">
        <f>IF(ISERROR(VLOOKUP(A1055,Excel4!D:J,7,0)),0,VLOOKUP(A1055,Excel4!D:J,7,0))</f>
        <v>744.12</v>
      </c>
      <c r="I1055" s="15" t="s">
        <v>1777</v>
      </c>
      <c r="J1055" s="15" t="s">
        <v>4355</v>
      </c>
      <c r="K1055" s="15" t="s">
        <v>76</v>
      </c>
      <c r="L1055" s="18" t="str">
        <f t="shared" si="55"/>
        <v>PAZARLAR BELEDİYE BAŞKANLIĞI KÜTAHYA</v>
      </c>
      <c r="M1055" s="18" t="str">
        <f t="shared" si="56"/>
        <v>PAZARLAR</v>
      </c>
      <c r="N1055">
        <f>_xlfn.XLOOKUP(M1055,[1]Sheet1!$A:$A,[1]Sheet1!$G:$G)</f>
        <v>0</v>
      </c>
    </row>
    <row r="1056" spans="1:14" x14ac:dyDescent="0.25">
      <c r="A1056" t="s">
        <v>2660</v>
      </c>
      <c r="B1056" t="s">
        <v>704</v>
      </c>
      <c r="C1056" t="s">
        <v>2657</v>
      </c>
      <c r="D1056">
        <v>10</v>
      </c>
      <c r="E1056">
        <v>90001</v>
      </c>
      <c r="F1056" t="s">
        <v>2672</v>
      </c>
      <c r="G1056">
        <f t="shared" si="57"/>
        <v>26</v>
      </c>
      <c r="H1056" s="9">
        <f>IF(ISERROR(VLOOKUP(A1056,Excel4!D:J,7,0)),0,VLOOKUP(A1056,Excel4!D:J,7,0))</f>
        <v>0</v>
      </c>
      <c r="I1056" s="15" t="s">
        <v>1777</v>
      </c>
      <c r="J1056" s="20" t="s">
        <v>2657</v>
      </c>
      <c r="K1056" s="15" t="s">
        <v>149</v>
      </c>
      <c r="L1056" s="18" t="str">
        <f t="shared" si="55"/>
        <v>SALTUKOVA BELEDİYE BAŞKANLIĞI ZONGULDAK</v>
      </c>
      <c r="M1056" s="18" t="str">
        <f t="shared" si="56"/>
        <v>SALTUKOVA</v>
      </c>
      <c r="N1056" t="e">
        <f>_xlfn.XLOOKUP(M1056,[1]Sheet1!$A:$A,[1]Sheet1!$G:$G)</f>
        <v>#N/A</v>
      </c>
    </row>
    <row r="1057" spans="1:14" x14ac:dyDescent="0.25">
      <c r="A1057" t="s">
        <v>4339</v>
      </c>
      <c r="B1057" t="s">
        <v>704</v>
      </c>
      <c r="C1057" t="s">
        <v>4314</v>
      </c>
      <c r="D1057">
        <v>10</v>
      </c>
      <c r="E1057">
        <v>90001</v>
      </c>
      <c r="F1057" t="s">
        <v>4340</v>
      </c>
      <c r="G1057">
        <f t="shared" si="57"/>
        <v>26</v>
      </c>
      <c r="H1057" s="9">
        <f>IF(ISERROR(VLOOKUP(A1057,Excel4!D:J,7,0)),0,VLOOKUP(A1057,Excel4!D:J,7,0))</f>
        <v>0</v>
      </c>
      <c r="I1057" s="15" t="s">
        <v>1777</v>
      </c>
      <c r="J1057" s="20" t="s">
        <v>4314</v>
      </c>
      <c r="K1057" s="15" t="s">
        <v>88</v>
      </c>
      <c r="L1057" s="18" t="str">
        <f t="shared" si="55"/>
        <v>ERUH BELEDİYE BAŞKANLIĞI SİİRT</v>
      </c>
      <c r="M1057" s="18" t="str">
        <f t="shared" si="56"/>
        <v>ERUH</v>
      </c>
      <c r="N1057">
        <f>_xlfn.XLOOKUP(M1057,[1]Sheet1!$A:$A,[1]Sheet1!$G:$G)</f>
        <v>0</v>
      </c>
    </row>
    <row r="1058" spans="1:14" x14ac:dyDescent="0.25">
      <c r="A1058" t="s">
        <v>1771</v>
      </c>
      <c r="B1058" t="s">
        <v>699</v>
      </c>
      <c r="C1058" t="s">
        <v>149</v>
      </c>
      <c r="D1058">
        <v>15</v>
      </c>
      <c r="E1058">
        <v>90001</v>
      </c>
      <c r="F1058" t="s">
        <v>417</v>
      </c>
      <c r="G1058">
        <f t="shared" si="57"/>
        <v>26</v>
      </c>
      <c r="H1058" s="9">
        <f>IF(ISERROR(VLOOKUP(A1058,Excel4!D:J,7,0)),0,VLOOKUP(A1058,Excel4!D:J,7,0))</f>
        <v>1325.37</v>
      </c>
      <c r="I1058" s="15" t="s">
        <v>1777</v>
      </c>
      <c r="J1058" s="15" t="s">
        <v>34</v>
      </c>
      <c r="K1058" s="15" t="s">
        <v>149</v>
      </c>
      <c r="L1058" s="18" t="str">
        <f t="shared" si="55"/>
        <v>ZONGULDAK BELEDİYE BAŞKANLIĞI</v>
      </c>
      <c r="M1058" s="18" t="str">
        <f t="shared" si="56"/>
        <v>ZONGULDAK</v>
      </c>
      <c r="N1058" t="e">
        <f>_xlfn.XLOOKUP(M1058,[1]Sheet1!$C:$C,[1]Sheet1!$G:$G)</f>
        <v>#N/A</v>
      </c>
    </row>
    <row r="1059" spans="1:14" ht="13" x14ac:dyDescent="0.3">
      <c r="H1059" s="16">
        <f>SUM(H2:H1058)</f>
        <v>1964347.1900000002</v>
      </c>
    </row>
    <row r="1060" spans="1:14" ht="12" customHeight="1" x14ac:dyDescent="0.25">
      <c r="H1060" s="9">
        <f>Excel4!J291</f>
        <v>1964347.1900000002</v>
      </c>
    </row>
    <row r="1061" spans="1:14" x14ac:dyDescent="0.25">
      <c r="H1061" s="9">
        <f>H1059-H1060</f>
        <v>0</v>
      </c>
    </row>
    <row r="1064" spans="1:14" ht="13" x14ac:dyDescent="0.3">
      <c r="F1064" s="72" t="s">
        <v>4440</v>
      </c>
      <c r="H1064" s="16">
        <f>Excel3!I152</f>
        <v>1113405.6000000001</v>
      </c>
    </row>
    <row r="1065" spans="1:14" ht="13" x14ac:dyDescent="0.3">
      <c r="F1065" s="72"/>
      <c r="H1065" s="16"/>
    </row>
    <row r="1066" spans="1:14" ht="13" x14ac:dyDescent="0.3">
      <c r="A1066" s="63"/>
      <c r="F1066" s="72"/>
    </row>
    <row r="1067" spans="1:14" ht="13" x14ac:dyDescent="0.3">
      <c r="C1067" s="9"/>
      <c r="F1067" s="72" t="s">
        <v>3445</v>
      </c>
      <c r="H1067" s="16">
        <f>SUM(H1064,H1059)</f>
        <v>3077752.79</v>
      </c>
    </row>
    <row r="1068" spans="1:14" ht="13" x14ac:dyDescent="0.3">
      <c r="C1068" s="16"/>
      <c r="F1068" s="72" t="s">
        <v>3446</v>
      </c>
      <c r="H1068" s="16">
        <f>SUM(Excel3!I2:I291)</f>
        <v>3077752.7899999991</v>
      </c>
    </row>
    <row r="1069" spans="1:14" ht="13" x14ac:dyDescent="0.3">
      <c r="F1069" s="72" t="s">
        <v>3447</v>
      </c>
      <c r="H1069" s="16">
        <f>H1067-H1068</f>
        <v>0</v>
      </c>
    </row>
    <row r="1071" spans="1:14" x14ac:dyDescent="0.25">
      <c r="C1071" s="9"/>
    </row>
    <row r="1072" spans="1:14" x14ac:dyDescent="0.25">
      <c r="C1072" s="9"/>
      <c r="D1072" s="1"/>
      <c r="E1072" s="9"/>
    </row>
    <row r="1073" spans="4:8" x14ac:dyDescent="0.25">
      <c r="D1073" s="9"/>
      <c r="E1073" s="9"/>
      <c r="F1073" s="9"/>
    </row>
    <row r="1074" spans="4:8" x14ac:dyDescent="0.25">
      <c r="E1074" s="9"/>
      <c r="F1074" s="9"/>
    </row>
    <row r="1075" spans="4:8" x14ac:dyDescent="0.25">
      <c r="F1075" s="9"/>
    </row>
    <row r="1076" spans="4:8" x14ac:dyDescent="0.25">
      <c r="F1076" s="9"/>
      <c r="H1076" s="118"/>
    </row>
    <row r="1077" spans="4:8" ht="13" x14ac:dyDescent="0.3">
      <c r="F1077" s="16"/>
      <c r="H1077" s="118"/>
    </row>
    <row r="1078" spans="4:8" ht="14.5" x14ac:dyDescent="0.35">
      <c r="D1078" s="84"/>
      <c r="E1078" s="98"/>
    </row>
    <row r="1080" spans="4:8" ht="14.5" x14ac:dyDescent="0.35">
      <c r="D1080" s="84"/>
      <c r="E1080" s="9"/>
    </row>
    <row r="1081" spans="4:8" ht="14.5" x14ac:dyDescent="0.35">
      <c r="D1081" s="84"/>
      <c r="E1081" s="9"/>
    </row>
    <row r="1082" spans="4:8" ht="14.5" x14ac:dyDescent="0.35">
      <c r="D1082" s="99"/>
      <c r="E1082" s="100"/>
    </row>
  </sheetData>
  <autoFilter ref="A1:N1061" xr:uid="{00000000-0001-0000-0400-000000000000}"/>
  <sortState xmlns:xlrd2="http://schemas.microsoft.com/office/spreadsheetml/2017/richdata2" ref="A2:M1056">
    <sortCondition ref="K2:K1056"/>
    <sortCondition ref="J2:J1056"/>
  </sortState>
  <pageMargins left="0.7" right="0.7" top="0.75" bottom="0.75" header="0.3" footer="0.3"/>
  <pageSetup paperSize="9" orientation="portrait" r:id="rId1"/>
  <headerFooter differentOddEven="1" differentFirst="1">
    <oddFooter>&amp;L
_x000D_&amp;1#&amp;"Calibri"&amp;10&amp;K008000 Internal&amp;C&amp;"tahoma,Bold"&amp;8&amp;KFFCC00¯¯¯¯¯¯¯¯¯¯¯¯¯¯¯¯¯¯¯¯¯¯¯¯¯¯¯¯¯¯¯¯¯¯¯¯¯
Gizli / Confidential  -
 Genel Nitelikli Kişisel Veri
&amp;10_____________________________________</oddFooter>
    <evenFooter>&amp;L
_x000D_&amp;1#&amp;"Calibri"&amp;10&amp;K008000 Internal&amp;C&amp;"tahoma,Bold"&amp;8&amp;KFFCC00¯¯¯¯¯¯¯¯¯¯¯¯¯¯¯¯¯¯¯¯¯¯¯¯¯¯¯¯¯¯¯¯¯¯¯¯¯
Gizli / Confidential  -
 Genel Nitelikli Kişisel Veri
&amp;10_____________________________________</evenFooter>
    <firstFooter>&amp;L
_x000D_&amp;1#&amp;"Calibri"&amp;10&amp;K008000 Internal&amp;C&amp;"tahoma,Bold"&amp;8&amp;KFFCC00¯¯¯¯¯¯¯¯¯¯¯¯¯¯¯¯¯¯¯¯¯¯¯¯¯¯¯¯¯¯¯¯¯¯¯¯¯
Gizli / Confidential  -
 Genel Nitelikli Kişisel Veri
&amp;10_____________________________________</first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1"/>
  <dimension ref="A1:AB360"/>
  <sheetViews>
    <sheetView zoomScale="70" zoomScaleNormal="70" workbookViewId="0">
      <pane ySplit="1" topLeftCell="A221" activePane="bottomLeft" state="frozen"/>
      <selection activeCell="G302" sqref="G302"/>
      <selection pane="bottomLeft" activeCell="Q285" sqref="Q285:AB289"/>
    </sheetView>
  </sheetViews>
  <sheetFormatPr defaultRowHeight="12.5" x14ac:dyDescent="0.25"/>
  <cols>
    <col min="1" max="1" width="4.7265625" style="19" customWidth="1"/>
    <col min="2" max="2" width="31.26953125" bestFit="1" customWidth="1"/>
    <col min="3" max="3" width="21.7265625" customWidth="1"/>
    <col min="4" max="4" width="15.453125" style="9" bestFit="1" customWidth="1"/>
    <col min="5" max="5" width="13.453125" style="9" bestFit="1" customWidth="1"/>
    <col min="6" max="6" width="13.453125" style="9" customWidth="1"/>
    <col min="7" max="7" width="13.7265625" style="9" bestFit="1" customWidth="1"/>
    <col min="8" max="8" width="15.26953125" style="9" bestFit="1" customWidth="1"/>
    <col min="9" max="13" width="15.26953125" customWidth="1"/>
    <col min="14" max="14" width="14.453125" bestFit="1" customWidth="1"/>
    <col min="15" max="15" width="13" customWidth="1"/>
    <col min="16" max="16" width="10.7265625" bestFit="1" customWidth="1"/>
    <col min="17" max="19" width="10.26953125" bestFit="1" customWidth="1"/>
    <col min="20" max="22" width="9.26953125" bestFit="1" customWidth="1"/>
    <col min="23" max="24" width="10.26953125" bestFit="1" customWidth="1"/>
    <col min="25" max="26" width="9.26953125" bestFit="1" customWidth="1"/>
    <col min="27" max="27" width="10.26953125" bestFit="1" customWidth="1"/>
    <col min="28" max="28" width="9.26953125" bestFit="1" customWidth="1"/>
  </cols>
  <sheetData>
    <row r="1" spans="1:28" ht="13" x14ac:dyDescent="0.3">
      <c r="A1" s="22" t="s">
        <v>30</v>
      </c>
      <c r="B1" s="10" t="s">
        <v>227</v>
      </c>
      <c r="C1" s="10" t="s">
        <v>225</v>
      </c>
      <c r="D1" s="21" t="s">
        <v>272</v>
      </c>
      <c r="E1" s="21" t="s">
        <v>273</v>
      </c>
      <c r="F1" s="34" t="s">
        <v>3001</v>
      </c>
      <c r="G1" s="21" t="s">
        <v>274</v>
      </c>
      <c r="H1" s="21" t="s">
        <v>275</v>
      </c>
      <c r="I1" s="34" t="s">
        <v>3002</v>
      </c>
      <c r="J1" s="34" t="s">
        <v>3004</v>
      </c>
      <c r="K1" s="34" t="s">
        <v>3003</v>
      </c>
      <c r="L1" s="34" t="s">
        <v>3006</v>
      </c>
      <c r="M1" s="34" t="s">
        <v>3005</v>
      </c>
      <c r="N1" s="12" t="s">
        <v>22</v>
      </c>
      <c r="O1" s="12" t="s">
        <v>23</v>
      </c>
      <c r="P1" s="33"/>
    </row>
    <row r="2" spans="1:28" ht="16" x14ac:dyDescent="0.25">
      <c r="A2" s="24">
        <v>1</v>
      </c>
      <c r="B2" s="24" t="s">
        <v>1849</v>
      </c>
      <c r="C2" s="24" t="s">
        <v>33</v>
      </c>
      <c r="D2" s="116">
        <v>174202.41</v>
      </c>
      <c r="E2" s="116">
        <v>154813.21999999994</v>
      </c>
      <c r="F2" s="108">
        <f t="shared" ref="F2:F63" si="0">D2+E2</f>
        <v>329015.62999999995</v>
      </c>
      <c r="G2" s="116">
        <v>10663.699999999999</v>
      </c>
      <c r="H2" s="116">
        <v>13590.900000000001</v>
      </c>
      <c r="I2" s="28">
        <f t="shared" ref="I2:I63" si="1">G2+H2</f>
        <v>24254.6</v>
      </c>
      <c r="J2" s="28">
        <f t="shared" ref="J2:J63" si="2">D2-G2</f>
        <v>163538.71</v>
      </c>
      <c r="K2" s="28">
        <f t="shared" ref="K2:K63" si="3">E2-H2</f>
        <v>141222.31999999995</v>
      </c>
      <c r="L2" s="28">
        <f t="shared" ref="L2:L63" si="4">J2*0.1</f>
        <v>16353.870999999999</v>
      </c>
      <c r="M2" s="28">
        <f t="shared" ref="M2:M63" si="5">K2*0.1</f>
        <v>14122.231999999996</v>
      </c>
      <c r="N2" s="107">
        <f t="shared" ref="N2:N63" si="6">F2-I2</f>
        <v>304761.02999999997</v>
      </c>
      <c r="O2" s="107">
        <f t="shared" ref="O2:O63" si="7">N2*0.1</f>
        <v>30476.102999999999</v>
      </c>
      <c r="P2" s="9"/>
      <c r="Q2" s="35" t="str">
        <f t="shared" ref="Q2:Q63" si="8">TEXT(D2,"#.###,00")</f>
        <v>174.202,41</v>
      </c>
      <c r="R2" s="35" t="str">
        <f t="shared" ref="R2:R63" si="9">TEXT(E2,"#.###,00")</f>
        <v>154.813,22</v>
      </c>
      <c r="S2" s="35" t="str">
        <f t="shared" ref="S2:S63" si="10">TEXT(F2,"#.###,00")</f>
        <v>329.015,63</v>
      </c>
      <c r="T2" s="35" t="str">
        <f t="shared" ref="T2:T63" si="11">TEXT(G2,"#.###,00")</f>
        <v>10.663,70</v>
      </c>
      <c r="U2" s="35" t="str">
        <f t="shared" ref="U2:U63" si="12">TEXT(H2,"#.###,00")</f>
        <v>13.590,90</v>
      </c>
      <c r="V2" s="35" t="str">
        <f t="shared" ref="V2:V63" si="13">TEXT(I2,"#.###,00")</f>
        <v>24.254,60</v>
      </c>
      <c r="W2" s="35" t="str">
        <f t="shared" ref="W2:W63" si="14">TEXT(J2,"#.###,00")</f>
        <v>163.538,71</v>
      </c>
      <c r="X2" s="35" t="str">
        <f t="shared" ref="X2:X63" si="15">TEXT(K2,"#.###,00")</f>
        <v>141.222,32</v>
      </c>
      <c r="Y2" s="35" t="str">
        <f t="shared" ref="Y2:Y63" si="16">TEXT(L2,"#.###,00")</f>
        <v>16.353,87</v>
      </c>
      <c r="Z2" s="35" t="str">
        <f t="shared" ref="Z2:Z63" si="17">TEXT(M2,"#.###,00")</f>
        <v>14.122,23</v>
      </c>
      <c r="AA2" s="35" t="str">
        <f t="shared" ref="AA2:AA63" si="18">TEXT(N2,"#.###,00")</f>
        <v>304.761,03</v>
      </c>
      <c r="AB2" s="35" t="str">
        <f t="shared" ref="AB2:AB63" si="19">TEXT(O2,"#.###,00")</f>
        <v>30.476,10</v>
      </c>
    </row>
    <row r="3" spans="1:28" ht="16" x14ac:dyDescent="0.25">
      <c r="A3" s="24">
        <v>2</v>
      </c>
      <c r="B3" s="24" t="s">
        <v>34</v>
      </c>
      <c r="C3" s="24" t="s">
        <v>190</v>
      </c>
      <c r="D3" s="116">
        <v>12248.300000000001</v>
      </c>
      <c r="E3" s="116">
        <v>15964.6</v>
      </c>
      <c r="F3" s="108">
        <f t="shared" si="0"/>
        <v>28212.9</v>
      </c>
      <c r="G3" s="116">
        <v>802.39999999999986</v>
      </c>
      <c r="H3" s="116">
        <v>1371.1</v>
      </c>
      <c r="I3" s="28">
        <f t="shared" si="1"/>
        <v>2173.5</v>
      </c>
      <c r="J3" s="28">
        <f t="shared" si="2"/>
        <v>11445.900000000001</v>
      </c>
      <c r="K3" s="28">
        <f t="shared" si="3"/>
        <v>14593.5</v>
      </c>
      <c r="L3" s="28">
        <f t="shared" si="4"/>
        <v>1144.5900000000001</v>
      </c>
      <c r="M3" s="28">
        <f t="shared" si="5"/>
        <v>1459.3500000000001</v>
      </c>
      <c r="N3" s="107">
        <f t="shared" si="6"/>
        <v>26039.4</v>
      </c>
      <c r="O3" s="107">
        <f t="shared" si="7"/>
        <v>2603.9400000000005</v>
      </c>
      <c r="P3" s="9"/>
      <c r="Q3" s="35" t="str">
        <f t="shared" si="8"/>
        <v>12.248,30</v>
      </c>
      <c r="R3" s="35" t="str">
        <f t="shared" si="9"/>
        <v>15.964,60</v>
      </c>
      <c r="S3" s="35" t="str">
        <f t="shared" si="10"/>
        <v>28.212,90</v>
      </c>
      <c r="T3" s="35" t="str">
        <f t="shared" si="11"/>
        <v>802,40</v>
      </c>
      <c r="U3" s="35" t="str">
        <f t="shared" si="12"/>
        <v>1.371,10</v>
      </c>
      <c r="V3" s="35" t="str">
        <f t="shared" si="13"/>
        <v>2.173,50</v>
      </c>
      <c r="W3" s="35" t="str">
        <f t="shared" si="14"/>
        <v>11.445,90</v>
      </c>
      <c r="X3" s="35" t="str">
        <f t="shared" si="15"/>
        <v>14.593,50</v>
      </c>
      <c r="Y3" s="35" t="str">
        <f t="shared" si="16"/>
        <v>1.144,59</v>
      </c>
      <c r="Z3" s="35" t="str">
        <f t="shared" si="17"/>
        <v>1.459,35</v>
      </c>
      <c r="AA3" s="35" t="str">
        <f t="shared" si="18"/>
        <v>26.039,40</v>
      </c>
      <c r="AB3" s="35" t="str">
        <f t="shared" si="19"/>
        <v>2.603,94</v>
      </c>
    </row>
    <row r="4" spans="1:28" ht="16" x14ac:dyDescent="0.25">
      <c r="A4" s="24">
        <v>3</v>
      </c>
      <c r="B4" s="24" t="s">
        <v>424</v>
      </c>
      <c r="C4" s="24" t="s">
        <v>190</v>
      </c>
      <c r="D4" s="116">
        <v>1905.1</v>
      </c>
      <c r="E4" s="116">
        <v>3151.8</v>
      </c>
      <c r="F4" s="108">
        <f t="shared" si="0"/>
        <v>5056.8999999999996</v>
      </c>
      <c r="G4" s="116">
        <v>0</v>
      </c>
      <c r="H4" s="116">
        <v>0</v>
      </c>
      <c r="I4" s="28">
        <f t="shared" si="1"/>
        <v>0</v>
      </c>
      <c r="J4" s="28">
        <f t="shared" si="2"/>
        <v>1905.1</v>
      </c>
      <c r="K4" s="28">
        <f t="shared" si="3"/>
        <v>3151.8</v>
      </c>
      <c r="L4" s="28">
        <f t="shared" si="4"/>
        <v>190.51</v>
      </c>
      <c r="M4" s="28">
        <f t="shared" si="5"/>
        <v>315.18000000000006</v>
      </c>
      <c r="N4" s="107">
        <f t="shared" si="6"/>
        <v>5056.8999999999996</v>
      </c>
      <c r="O4" s="107">
        <f t="shared" si="7"/>
        <v>505.69</v>
      </c>
      <c r="P4" s="9"/>
      <c r="Q4" s="35" t="str">
        <f t="shared" si="8"/>
        <v>1.905,10</v>
      </c>
      <c r="R4" s="35" t="str">
        <f t="shared" si="9"/>
        <v>3.151,80</v>
      </c>
      <c r="S4" s="35" t="str">
        <f t="shared" si="10"/>
        <v>5.056,90</v>
      </c>
      <c r="T4" s="35" t="str">
        <f t="shared" si="11"/>
        <v>,00</v>
      </c>
      <c r="U4" s="35" t="str">
        <f t="shared" si="12"/>
        <v>,00</v>
      </c>
      <c r="V4" s="35" t="str">
        <f t="shared" si="13"/>
        <v>,00</v>
      </c>
      <c r="W4" s="35" t="str">
        <f t="shared" si="14"/>
        <v>1.905,10</v>
      </c>
      <c r="X4" s="35" t="str">
        <f t="shared" si="15"/>
        <v>3.151,80</v>
      </c>
      <c r="Y4" s="35" t="str">
        <f t="shared" si="16"/>
        <v>190,51</v>
      </c>
      <c r="Z4" s="35" t="str">
        <f t="shared" si="17"/>
        <v>315,18</v>
      </c>
      <c r="AA4" s="35" t="str">
        <f t="shared" si="18"/>
        <v>5.056,90</v>
      </c>
      <c r="AB4" s="35" t="str">
        <f t="shared" si="19"/>
        <v>505,69</v>
      </c>
    </row>
    <row r="5" spans="1:28" ht="16" x14ac:dyDescent="0.25">
      <c r="A5" s="24">
        <v>4</v>
      </c>
      <c r="B5" s="24" t="s">
        <v>340</v>
      </c>
      <c r="C5" s="24" t="s">
        <v>190</v>
      </c>
      <c r="D5" s="116">
        <v>261.10000000000002</v>
      </c>
      <c r="E5" s="116">
        <v>449.6</v>
      </c>
      <c r="F5" s="108">
        <f t="shared" si="0"/>
        <v>710.7</v>
      </c>
      <c r="G5" s="116">
        <v>0</v>
      </c>
      <c r="H5" s="116">
        <v>0</v>
      </c>
      <c r="I5" s="28">
        <f t="shared" si="1"/>
        <v>0</v>
      </c>
      <c r="J5" s="28">
        <f t="shared" si="2"/>
        <v>261.10000000000002</v>
      </c>
      <c r="K5" s="28">
        <f t="shared" si="3"/>
        <v>449.6</v>
      </c>
      <c r="L5" s="28">
        <f t="shared" si="4"/>
        <v>26.110000000000003</v>
      </c>
      <c r="M5" s="28">
        <f t="shared" si="5"/>
        <v>44.960000000000008</v>
      </c>
      <c r="N5" s="107">
        <f t="shared" si="6"/>
        <v>710.7</v>
      </c>
      <c r="O5" s="107">
        <f t="shared" si="7"/>
        <v>71.070000000000007</v>
      </c>
      <c r="P5" s="9"/>
      <c r="Q5" s="35" t="str">
        <f t="shared" si="8"/>
        <v>261,10</v>
      </c>
      <c r="R5" s="35" t="str">
        <f t="shared" si="9"/>
        <v>449,60</v>
      </c>
      <c r="S5" s="35" t="str">
        <f t="shared" si="10"/>
        <v>710,70</v>
      </c>
      <c r="T5" s="35" t="str">
        <f t="shared" si="11"/>
        <v>,00</v>
      </c>
      <c r="U5" s="35" t="str">
        <f t="shared" si="12"/>
        <v>,00</v>
      </c>
      <c r="V5" s="35" t="str">
        <f t="shared" si="13"/>
        <v>,00</v>
      </c>
      <c r="W5" s="35" t="str">
        <f t="shared" si="14"/>
        <v>261,10</v>
      </c>
      <c r="X5" s="35" t="str">
        <f t="shared" si="15"/>
        <v>449,60</v>
      </c>
      <c r="Y5" s="35" t="str">
        <f t="shared" si="16"/>
        <v>26,11</v>
      </c>
      <c r="Z5" s="35" t="str">
        <f t="shared" si="17"/>
        <v>44,96</v>
      </c>
      <c r="AA5" s="35" t="str">
        <f t="shared" si="18"/>
        <v>710,70</v>
      </c>
      <c r="AB5" s="35" t="str">
        <f t="shared" si="19"/>
        <v>71,07</v>
      </c>
    </row>
    <row r="6" spans="1:28" ht="16" x14ac:dyDescent="0.25">
      <c r="A6" s="24">
        <v>5</v>
      </c>
      <c r="B6" s="24" t="s">
        <v>3515</v>
      </c>
      <c r="C6" s="24" t="s">
        <v>190</v>
      </c>
      <c r="D6" s="116">
        <v>307.39999999999998</v>
      </c>
      <c r="E6" s="116">
        <v>118</v>
      </c>
      <c r="F6" s="108">
        <f t="shared" si="0"/>
        <v>425.4</v>
      </c>
      <c r="G6" s="116">
        <v>0</v>
      </c>
      <c r="H6" s="116">
        <v>0</v>
      </c>
      <c r="I6" s="28">
        <f t="shared" si="1"/>
        <v>0</v>
      </c>
      <c r="J6" s="28">
        <f t="shared" si="2"/>
        <v>307.39999999999998</v>
      </c>
      <c r="K6" s="28">
        <f t="shared" si="3"/>
        <v>118</v>
      </c>
      <c r="L6" s="28">
        <f t="shared" si="4"/>
        <v>30.74</v>
      </c>
      <c r="M6" s="28">
        <f t="shared" si="5"/>
        <v>11.8</v>
      </c>
      <c r="N6" s="107">
        <f t="shared" si="6"/>
        <v>425.4</v>
      </c>
      <c r="O6" s="107">
        <f t="shared" si="7"/>
        <v>42.54</v>
      </c>
      <c r="P6" s="9"/>
      <c r="Q6" s="35" t="str">
        <f t="shared" si="8"/>
        <v>307,40</v>
      </c>
      <c r="R6" s="35" t="str">
        <f t="shared" si="9"/>
        <v>118,00</v>
      </c>
      <c r="S6" s="35" t="str">
        <f t="shared" si="10"/>
        <v>425,40</v>
      </c>
      <c r="T6" s="35" t="str">
        <f t="shared" si="11"/>
        <v>,00</v>
      </c>
      <c r="U6" s="35" t="str">
        <f t="shared" si="12"/>
        <v>,00</v>
      </c>
      <c r="V6" s="35" t="str">
        <f t="shared" si="13"/>
        <v>,00</v>
      </c>
      <c r="W6" s="35" t="str">
        <f t="shared" si="14"/>
        <v>307,40</v>
      </c>
      <c r="X6" s="35" t="str">
        <f t="shared" si="15"/>
        <v>118,00</v>
      </c>
      <c r="Y6" s="35" t="str">
        <f t="shared" si="16"/>
        <v>30,74</v>
      </c>
      <c r="Z6" s="35" t="str">
        <f t="shared" si="17"/>
        <v>11,80</v>
      </c>
      <c r="AA6" s="35" t="str">
        <f t="shared" si="18"/>
        <v>425,40</v>
      </c>
      <c r="AB6" s="35" t="str">
        <f t="shared" si="19"/>
        <v>42,54</v>
      </c>
    </row>
    <row r="7" spans="1:28" ht="16" x14ac:dyDescent="0.25">
      <c r="A7" s="24">
        <v>6</v>
      </c>
      <c r="B7" s="24" t="s">
        <v>150</v>
      </c>
      <c r="C7" s="24" t="s">
        <v>190</v>
      </c>
      <c r="D7" s="116">
        <v>88.6</v>
      </c>
      <c r="E7" s="116">
        <v>134.29999999999998</v>
      </c>
      <c r="F7" s="108">
        <f t="shared" si="0"/>
        <v>222.89999999999998</v>
      </c>
      <c r="G7" s="116">
        <v>0</v>
      </c>
      <c r="H7" s="116">
        <v>0</v>
      </c>
      <c r="I7" s="28">
        <f t="shared" si="1"/>
        <v>0</v>
      </c>
      <c r="J7" s="28">
        <f t="shared" si="2"/>
        <v>88.6</v>
      </c>
      <c r="K7" s="28">
        <f t="shared" si="3"/>
        <v>134.29999999999998</v>
      </c>
      <c r="L7" s="28">
        <f t="shared" si="4"/>
        <v>8.86</v>
      </c>
      <c r="M7" s="28">
        <f t="shared" si="5"/>
        <v>13.43</v>
      </c>
      <c r="N7" s="107">
        <f t="shared" si="6"/>
        <v>222.89999999999998</v>
      </c>
      <c r="O7" s="107">
        <f t="shared" si="7"/>
        <v>22.29</v>
      </c>
      <c r="P7" s="9"/>
      <c r="Q7" s="35" t="str">
        <f t="shared" si="8"/>
        <v>88,60</v>
      </c>
      <c r="R7" s="35" t="str">
        <f t="shared" si="9"/>
        <v>134,30</v>
      </c>
      <c r="S7" s="35" t="str">
        <f t="shared" si="10"/>
        <v>222,90</v>
      </c>
      <c r="T7" s="35" t="str">
        <f t="shared" si="11"/>
        <v>,00</v>
      </c>
      <c r="U7" s="35" t="str">
        <f t="shared" si="12"/>
        <v>,00</v>
      </c>
      <c r="V7" s="35" t="str">
        <f t="shared" si="13"/>
        <v>,00</v>
      </c>
      <c r="W7" s="35" t="str">
        <f t="shared" si="14"/>
        <v>88,60</v>
      </c>
      <c r="X7" s="35" t="str">
        <f t="shared" si="15"/>
        <v>134,30</v>
      </c>
      <c r="Y7" s="35" t="str">
        <f t="shared" si="16"/>
        <v>8,86</v>
      </c>
      <c r="Z7" s="35" t="str">
        <f t="shared" si="17"/>
        <v>13,43</v>
      </c>
      <c r="AA7" s="35" t="str">
        <f t="shared" si="18"/>
        <v>222,90</v>
      </c>
      <c r="AB7" s="35" t="str">
        <f t="shared" si="19"/>
        <v>22,29</v>
      </c>
    </row>
    <row r="8" spans="1:28" ht="16" x14ac:dyDescent="0.25">
      <c r="A8" s="24">
        <v>7</v>
      </c>
      <c r="B8" s="24" t="s">
        <v>34</v>
      </c>
      <c r="C8" s="24" t="s">
        <v>2143</v>
      </c>
      <c r="D8" s="116">
        <v>30076.5</v>
      </c>
      <c r="E8" s="116">
        <v>55308.7</v>
      </c>
      <c r="F8" s="108">
        <f t="shared" si="0"/>
        <v>85385.2</v>
      </c>
      <c r="G8" s="116">
        <v>344</v>
      </c>
      <c r="H8" s="116">
        <v>282.89999999999998</v>
      </c>
      <c r="I8" s="28">
        <f t="shared" si="1"/>
        <v>626.9</v>
      </c>
      <c r="J8" s="28">
        <f t="shared" si="2"/>
        <v>29732.5</v>
      </c>
      <c r="K8" s="28">
        <f t="shared" si="3"/>
        <v>55025.799999999996</v>
      </c>
      <c r="L8" s="28">
        <f t="shared" si="4"/>
        <v>2973.25</v>
      </c>
      <c r="M8" s="28">
        <f t="shared" si="5"/>
        <v>5502.58</v>
      </c>
      <c r="N8" s="107">
        <f t="shared" si="6"/>
        <v>84758.3</v>
      </c>
      <c r="O8" s="107">
        <f t="shared" si="7"/>
        <v>8475.83</v>
      </c>
      <c r="P8" s="9"/>
      <c r="Q8" s="35" t="str">
        <f t="shared" si="8"/>
        <v>30.076,50</v>
      </c>
      <c r="R8" s="35" t="str">
        <f t="shared" si="9"/>
        <v>55.308,70</v>
      </c>
      <c r="S8" s="35" t="str">
        <f t="shared" si="10"/>
        <v>85.385,20</v>
      </c>
      <c r="T8" s="35" t="str">
        <f t="shared" si="11"/>
        <v>344,00</v>
      </c>
      <c r="U8" s="35" t="str">
        <f t="shared" si="12"/>
        <v>282,90</v>
      </c>
      <c r="V8" s="35" t="str">
        <f t="shared" si="13"/>
        <v>626,90</v>
      </c>
      <c r="W8" s="35" t="str">
        <f t="shared" si="14"/>
        <v>29.732,50</v>
      </c>
      <c r="X8" s="35" t="str">
        <f t="shared" si="15"/>
        <v>55.025,80</v>
      </c>
      <c r="Y8" s="35" t="str">
        <f t="shared" si="16"/>
        <v>2.973,25</v>
      </c>
      <c r="Z8" s="35" t="str">
        <f t="shared" si="17"/>
        <v>5.502,58</v>
      </c>
      <c r="AA8" s="35" t="str">
        <f t="shared" si="18"/>
        <v>84.758,30</v>
      </c>
      <c r="AB8" s="35" t="str">
        <f t="shared" si="19"/>
        <v>8.475,83</v>
      </c>
    </row>
    <row r="9" spans="1:28" ht="16" x14ac:dyDescent="0.25">
      <c r="A9" s="24">
        <v>8</v>
      </c>
      <c r="B9" s="24" t="s">
        <v>497</v>
      </c>
      <c r="C9" s="24" t="s">
        <v>2143</v>
      </c>
      <c r="D9" s="116">
        <v>51763.5</v>
      </c>
      <c r="E9" s="116"/>
      <c r="F9" s="108">
        <f t="shared" si="0"/>
        <v>51763.5</v>
      </c>
      <c r="G9" s="116">
        <v>0</v>
      </c>
      <c r="H9" s="116"/>
      <c r="I9" s="28">
        <f t="shared" si="1"/>
        <v>0</v>
      </c>
      <c r="J9" s="28">
        <f t="shared" si="2"/>
        <v>51763.5</v>
      </c>
      <c r="K9" s="28">
        <f t="shared" si="3"/>
        <v>0</v>
      </c>
      <c r="L9" s="28">
        <f t="shared" si="4"/>
        <v>5176.3500000000004</v>
      </c>
      <c r="M9" s="28">
        <f t="shared" si="5"/>
        <v>0</v>
      </c>
      <c r="N9" s="107">
        <f t="shared" si="6"/>
        <v>51763.5</v>
      </c>
      <c r="O9" s="107">
        <f t="shared" si="7"/>
        <v>5176.3500000000004</v>
      </c>
      <c r="P9" s="9"/>
      <c r="Q9" s="35" t="str">
        <f t="shared" si="8"/>
        <v>51.763,50</v>
      </c>
      <c r="R9" s="35" t="str">
        <f t="shared" si="9"/>
        <v>,00</v>
      </c>
      <c r="S9" s="35" t="str">
        <f t="shared" si="10"/>
        <v>51.763,50</v>
      </c>
      <c r="T9" s="35" t="str">
        <f t="shared" si="11"/>
        <v>,00</v>
      </c>
      <c r="U9" s="35" t="str">
        <f t="shared" si="12"/>
        <v>,00</v>
      </c>
      <c r="V9" s="35" t="str">
        <f t="shared" si="13"/>
        <v>,00</v>
      </c>
      <c r="W9" s="35" t="str">
        <f t="shared" si="14"/>
        <v>51.763,50</v>
      </c>
      <c r="X9" s="35" t="str">
        <f t="shared" si="15"/>
        <v>,00</v>
      </c>
      <c r="Y9" s="35" t="str">
        <f t="shared" si="16"/>
        <v>5.176,35</v>
      </c>
      <c r="Z9" s="35" t="str">
        <f t="shared" si="17"/>
        <v>,00</v>
      </c>
      <c r="AA9" s="35" t="str">
        <f t="shared" si="18"/>
        <v>51.763,50</v>
      </c>
      <c r="AB9" s="35" t="str">
        <f t="shared" si="19"/>
        <v>5.176,35</v>
      </c>
    </row>
    <row r="10" spans="1:28" ht="16" x14ac:dyDescent="0.25">
      <c r="A10" s="24">
        <v>9</v>
      </c>
      <c r="B10" s="24" t="s">
        <v>2260</v>
      </c>
      <c r="C10" s="24" t="s">
        <v>2143</v>
      </c>
      <c r="D10" s="116">
        <v>4256.9999999999991</v>
      </c>
      <c r="E10" s="116">
        <v>1005.5</v>
      </c>
      <c r="F10" s="108">
        <f t="shared" si="0"/>
        <v>5262.4999999999991</v>
      </c>
      <c r="G10" s="116">
        <v>0</v>
      </c>
      <c r="H10" s="116">
        <v>0</v>
      </c>
      <c r="I10" s="28">
        <f t="shared" si="1"/>
        <v>0</v>
      </c>
      <c r="J10" s="28">
        <f t="shared" si="2"/>
        <v>4256.9999999999991</v>
      </c>
      <c r="K10" s="28">
        <f t="shared" si="3"/>
        <v>1005.5</v>
      </c>
      <c r="L10" s="28">
        <f t="shared" si="4"/>
        <v>425.69999999999993</v>
      </c>
      <c r="M10" s="28">
        <f t="shared" si="5"/>
        <v>100.55000000000001</v>
      </c>
      <c r="N10" s="107">
        <f t="shared" si="6"/>
        <v>5262.4999999999991</v>
      </c>
      <c r="O10" s="107">
        <f t="shared" si="7"/>
        <v>526.24999999999989</v>
      </c>
      <c r="P10" s="9"/>
      <c r="Q10" s="35" t="str">
        <f t="shared" si="8"/>
        <v>4.257,00</v>
      </c>
      <c r="R10" s="35" t="str">
        <f t="shared" si="9"/>
        <v>1.005,50</v>
      </c>
      <c r="S10" s="35" t="str">
        <f t="shared" si="10"/>
        <v>5.262,50</v>
      </c>
      <c r="T10" s="35" t="str">
        <f t="shared" si="11"/>
        <v>,00</v>
      </c>
      <c r="U10" s="35" t="str">
        <f t="shared" si="12"/>
        <v>,00</v>
      </c>
      <c r="V10" s="35" t="str">
        <f t="shared" si="13"/>
        <v>,00</v>
      </c>
      <c r="W10" s="35" t="str">
        <f t="shared" si="14"/>
        <v>4.257,00</v>
      </c>
      <c r="X10" s="35" t="str">
        <f t="shared" si="15"/>
        <v>1.005,50</v>
      </c>
      <c r="Y10" s="35" t="str">
        <f t="shared" si="16"/>
        <v>425,70</v>
      </c>
      <c r="Z10" s="35" t="str">
        <f t="shared" si="17"/>
        <v>100,55</v>
      </c>
      <c r="AA10" s="35" t="str">
        <f t="shared" si="18"/>
        <v>5.262,50</v>
      </c>
      <c r="AB10" s="35" t="str">
        <f t="shared" si="19"/>
        <v>526,25</v>
      </c>
    </row>
    <row r="11" spans="1:28" ht="16" x14ac:dyDescent="0.25">
      <c r="A11" s="24">
        <v>10</v>
      </c>
      <c r="B11" s="24" t="s">
        <v>502</v>
      </c>
      <c r="C11" s="24" t="s">
        <v>2143</v>
      </c>
      <c r="D11" s="116">
        <v>2151.9</v>
      </c>
      <c r="E11" s="116">
        <v>199.1</v>
      </c>
      <c r="F11" s="108">
        <f t="shared" si="0"/>
        <v>2351</v>
      </c>
      <c r="G11" s="116">
        <v>0</v>
      </c>
      <c r="H11" s="116">
        <v>0</v>
      </c>
      <c r="I11" s="28">
        <f t="shared" si="1"/>
        <v>0</v>
      </c>
      <c r="J11" s="28">
        <f t="shared" si="2"/>
        <v>2151.9</v>
      </c>
      <c r="K11" s="28">
        <f t="shared" si="3"/>
        <v>199.1</v>
      </c>
      <c r="L11" s="28">
        <f t="shared" si="4"/>
        <v>215.19000000000003</v>
      </c>
      <c r="M11" s="28">
        <f t="shared" si="5"/>
        <v>19.91</v>
      </c>
      <c r="N11" s="107">
        <f t="shared" si="6"/>
        <v>2351</v>
      </c>
      <c r="O11" s="107">
        <f t="shared" si="7"/>
        <v>235.10000000000002</v>
      </c>
      <c r="P11" s="9"/>
      <c r="Q11" s="35" t="str">
        <f t="shared" si="8"/>
        <v>2.151,90</v>
      </c>
      <c r="R11" s="35" t="str">
        <f t="shared" si="9"/>
        <v>199,10</v>
      </c>
      <c r="S11" s="35" t="str">
        <f t="shared" si="10"/>
        <v>2.351,00</v>
      </c>
      <c r="T11" s="35" t="str">
        <f t="shared" si="11"/>
        <v>,00</v>
      </c>
      <c r="U11" s="35" t="str">
        <f t="shared" si="12"/>
        <v>,00</v>
      </c>
      <c r="V11" s="35" t="str">
        <f t="shared" si="13"/>
        <v>,00</v>
      </c>
      <c r="W11" s="35" t="str">
        <f t="shared" si="14"/>
        <v>2.151,90</v>
      </c>
      <c r="X11" s="35" t="str">
        <f t="shared" si="15"/>
        <v>199,10</v>
      </c>
      <c r="Y11" s="35" t="str">
        <f t="shared" si="16"/>
        <v>215,19</v>
      </c>
      <c r="Z11" s="35" t="str">
        <f t="shared" si="17"/>
        <v>19,91</v>
      </c>
      <c r="AA11" s="35" t="str">
        <f t="shared" si="18"/>
        <v>2.351,00</v>
      </c>
      <c r="AB11" s="35" t="str">
        <f t="shared" si="19"/>
        <v>235,10</v>
      </c>
    </row>
    <row r="12" spans="1:28" ht="16" x14ac:dyDescent="0.25">
      <c r="A12" s="24">
        <v>11</v>
      </c>
      <c r="B12" s="24" t="s">
        <v>348</v>
      </c>
      <c r="C12" s="24" t="s">
        <v>2143</v>
      </c>
      <c r="D12" s="116">
        <v>890.40000000000009</v>
      </c>
      <c r="E12" s="116">
        <v>1468.3999999999999</v>
      </c>
      <c r="F12" s="108">
        <f t="shared" si="0"/>
        <v>2358.8000000000002</v>
      </c>
      <c r="G12" s="116">
        <v>21.7</v>
      </c>
      <c r="H12" s="116">
        <v>12.1</v>
      </c>
      <c r="I12" s="28">
        <f t="shared" si="1"/>
        <v>33.799999999999997</v>
      </c>
      <c r="J12" s="28">
        <f t="shared" si="2"/>
        <v>868.7</v>
      </c>
      <c r="K12" s="28">
        <f t="shared" si="3"/>
        <v>1456.3</v>
      </c>
      <c r="L12" s="28">
        <f t="shared" si="4"/>
        <v>86.87</v>
      </c>
      <c r="M12" s="28">
        <f t="shared" si="5"/>
        <v>145.63</v>
      </c>
      <c r="N12" s="107">
        <f t="shared" si="6"/>
        <v>2325</v>
      </c>
      <c r="O12" s="107">
        <f t="shared" si="7"/>
        <v>232.5</v>
      </c>
      <c r="P12" s="9"/>
      <c r="Q12" s="35" t="str">
        <f t="shared" si="8"/>
        <v>890,40</v>
      </c>
      <c r="R12" s="35" t="str">
        <f t="shared" si="9"/>
        <v>1.468,40</v>
      </c>
      <c r="S12" s="35" t="str">
        <f t="shared" si="10"/>
        <v>2.358,80</v>
      </c>
      <c r="T12" s="35" t="str">
        <f t="shared" si="11"/>
        <v>21,70</v>
      </c>
      <c r="U12" s="35" t="str">
        <f t="shared" si="12"/>
        <v>12,10</v>
      </c>
      <c r="V12" s="35" t="str">
        <f t="shared" si="13"/>
        <v>33,80</v>
      </c>
      <c r="W12" s="35" t="str">
        <f t="shared" si="14"/>
        <v>868,70</v>
      </c>
      <c r="X12" s="35" t="str">
        <f t="shared" si="15"/>
        <v>1.456,30</v>
      </c>
      <c r="Y12" s="35" t="str">
        <f t="shared" si="16"/>
        <v>86,87</v>
      </c>
      <c r="Z12" s="35" t="str">
        <f t="shared" si="17"/>
        <v>145,63</v>
      </c>
      <c r="AA12" s="35" t="str">
        <f t="shared" si="18"/>
        <v>2.325,00</v>
      </c>
      <c r="AB12" s="35" t="str">
        <f t="shared" si="19"/>
        <v>232,50</v>
      </c>
    </row>
    <row r="13" spans="1:28" ht="16" x14ac:dyDescent="0.25">
      <c r="A13" s="24">
        <v>12</v>
      </c>
      <c r="B13" s="24" t="s">
        <v>266</v>
      </c>
      <c r="C13" s="24" t="s">
        <v>2143</v>
      </c>
      <c r="D13" s="116">
        <v>0.2</v>
      </c>
      <c r="E13" s="116">
        <v>2049.3000000000002</v>
      </c>
      <c r="F13" s="108">
        <f t="shared" si="0"/>
        <v>2049.5</v>
      </c>
      <c r="G13" s="116">
        <v>0</v>
      </c>
      <c r="H13" s="116">
        <v>0</v>
      </c>
      <c r="I13" s="28">
        <f t="shared" si="1"/>
        <v>0</v>
      </c>
      <c r="J13" s="28">
        <f t="shared" si="2"/>
        <v>0.2</v>
      </c>
      <c r="K13" s="28">
        <f t="shared" si="3"/>
        <v>2049.3000000000002</v>
      </c>
      <c r="L13" s="28">
        <f t="shared" si="4"/>
        <v>2.0000000000000004E-2</v>
      </c>
      <c r="M13" s="28">
        <f t="shared" si="5"/>
        <v>204.93000000000004</v>
      </c>
      <c r="N13" s="107">
        <f t="shared" si="6"/>
        <v>2049.5</v>
      </c>
      <c r="O13" s="107">
        <f t="shared" si="7"/>
        <v>204.95000000000002</v>
      </c>
      <c r="P13" s="9"/>
      <c r="Q13" s="35" t="str">
        <f t="shared" si="8"/>
        <v>,20</v>
      </c>
      <c r="R13" s="35" t="str">
        <f t="shared" si="9"/>
        <v>2.049,30</v>
      </c>
      <c r="S13" s="35" t="str">
        <f t="shared" si="10"/>
        <v>2.049,50</v>
      </c>
      <c r="T13" s="35" t="str">
        <f t="shared" si="11"/>
        <v>,00</v>
      </c>
      <c r="U13" s="35" t="str">
        <f t="shared" si="12"/>
        <v>,00</v>
      </c>
      <c r="V13" s="35" t="str">
        <f t="shared" si="13"/>
        <v>,00</v>
      </c>
      <c r="W13" s="35" t="str">
        <f t="shared" si="14"/>
        <v>,20</v>
      </c>
      <c r="X13" s="35" t="str">
        <f t="shared" si="15"/>
        <v>2.049,30</v>
      </c>
      <c r="Y13" s="35" t="str">
        <f t="shared" si="16"/>
        <v>,02</v>
      </c>
      <c r="Z13" s="35" t="str">
        <f t="shared" si="17"/>
        <v>204,93</v>
      </c>
      <c r="AA13" s="35" t="str">
        <f t="shared" si="18"/>
        <v>2.049,50</v>
      </c>
      <c r="AB13" s="35" t="str">
        <f t="shared" si="19"/>
        <v>204,95</v>
      </c>
    </row>
    <row r="14" spans="1:28" ht="16" x14ac:dyDescent="0.25">
      <c r="A14" s="24">
        <v>13</v>
      </c>
      <c r="B14" s="24" t="s">
        <v>501</v>
      </c>
      <c r="C14" s="24" t="s">
        <v>2143</v>
      </c>
      <c r="D14" s="116">
        <v>0.1</v>
      </c>
      <c r="E14" s="116">
        <v>1335.8</v>
      </c>
      <c r="F14" s="108">
        <f t="shared" si="0"/>
        <v>1335.8999999999999</v>
      </c>
      <c r="G14" s="116">
        <v>0</v>
      </c>
      <c r="H14" s="116">
        <v>0</v>
      </c>
      <c r="I14" s="28">
        <f t="shared" si="1"/>
        <v>0</v>
      </c>
      <c r="J14" s="28">
        <f t="shared" si="2"/>
        <v>0.1</v>
      </c>
      <c r="K14" s="28">
        <f t="shared" si="3"/>
        <v>1335.8</v>
      </c>
      <c r="L14" s="28">
        <f t="shared" si="4"/>
        <v>1.0000000000000002E-2</v>
      </c>
      <c r="M14" s="28">
        <f t="shared" si="5"/>
        <v>133.58000000000001</v>
      </c>
      <c r="N14" s="107">
        <f t="shared" si="6"/>
        <v>1335.8999999999999</v>
      </c>
      <c r="O14" s="107">
        <f t="shared" si="7"/>
        <v>133.59</v>
      </c>
      <c r="P14" s="9"/>
      <c r="Q14" s="35" t="str">
        <f t="shared" si="8"/>
        <v>,10</v>
      </c>
      <c r="R14" s="35" t="str">
        <f t="shared" si="9"/>
        <v>1.335,80</v>
      </c>
      <c r="S14" s="35" t="str">
        <f t="shared" si="10"/>
        <v>1.335,90</v>
      </c>
      <c r="T14" s="35" t="str">
        <f t="shared" si="11"/>
        <v>,00</v>
      </c>
      <c r="U14" s="35" t="str">
        <f t="shared" si="12"/>
        <v>,00</v>
      </c>
      <c r="V14" s="35" t="str">
        <f t="shared" si="13"/>
        <v>,00</v>
      </c>
      <c r="W14" s="35" t="str">
        <f t="shared" si="14"/>
        <v>,10</v>
      </c>
      <c r="X14" s="35" t="str">
        <f t="shared" si="15"/>
        <v>1.335,80</v>
      </c>
      <c r="Y14" s="35" t="str">
        <f t="shared" si="16"/>
        <v>,01</v>
      </c>
      <c r="Z14" s="35" t="str">
        <f t="shared" si="17"/>
        <v>133,58</v>
      </c>
      <c r="AA14" s="35" t="str">
        <f t="shared" si="18"/>
        <v>1.335,90</v>
      </c>
      <c r="AB14" s="35" t="str">
        <f t="shared" si="19"/>
        <v>133,59</v>
      </c>
    </row>
    <row r="15" spans="1:28" ht="16" x14ac:dyDescent="0.25">
      <c r="A15" s="24">
        <v>14</v>
      </c>
      <c r="B15" s="24" t="s">
        <v>2258</v>
      </c>
      <c r="C15" s="24" t="s">
        <v>2143</v>
      </c>
      <c r="D15" s="116">
        <v>688.6</v>
      </c>
      <c r="E15" s="116">
        <v>478.1</v>
      </c>
      <c r="F15" s="108">
        <f t="shared" si="0"/>
        <v>1166.7</v>
      </c>
      <c r="G15" s="116">
        <v>0</v>
      </c>
      <c r="H15" s="116">
        <v>0</v>
      </c>
      <c r="I15" s="28">
        <f t="shared" si="1"/>
        <v>0</v>
      </c>
      <c r="J15" s="28">
        <f t="shared" si="2"/>
        <v>688.6</v>
      </c>
      <c r="K15" s="28">
        <f t="shared" si="3"/>
        <v>478.1</v>
      </c>
      <c r="L15" s="28">
        <f t="shared" si="4"/>
        <v>68.86</v>
      </c>
      <c r="M15" s="28">
        <f t="shared" si="5"/>
        <v>47.81</v>
      </c>
      <c r="N15" s="107">
        <f t="shared" si="6"/>
        <v>1166.7</v>
      </c>
      <c r="O15" s="107">
        <f t="shared" si="7"/>
        <v>116.67000000000002</v>
      </c>
      <c r="P15" s="9"/>
      <c r="Q15" s="35" t="str">
        <f t="shared" si="8"/>
        <v>688,60</v>
      </c>
      <c r="R15" s="35" t="str">
        <f t="shared" si="9"/>
        <v>478,10</v>
      </c>
      <c r="S15" s="35" t="str">
        <f t="shared" si="10"/>
        <v>1.166,70</v>
      </c>
      <c r="T15" s="35" t="str">
        <f t="shared" si="11"/>
        <v>,00</v>
      </c>
      <c r="U15" s="35" t="str">
        <f t="shared" si="12"/>
        <v>,00</v>
      </c>
      <c r="V15" s="35" t="str">
        <f t="shared" si="13"/>
        <v>,00</v>
      </c>
      <c r="W15" s="35" t="str">
        <f t="shared" si="14"/>
        <v>688,60</v>
      </c>
      <c r="X15" s="35" t="str">
        <f t="shared" si="15"/>
        <v>478,10</v>
      </c>
      <c r="Y15" s="35" t="str">
        <f t="shared" si="16"/>
        <v>68,86</v>
      </c>
      <c r="Z15" s="35" t="str">
        <f t="shared" si="17"/>
        <v>47,81</v>
      </c>
      <c r="AA15" s="35" t="str">
        <f t="shared" si="18"/>
        <v>1.166,70</v>
      </c>
      <c r="AB15" s="35" t="str">
        <f t="shared" si="19"/>
        <v>116,67</v>
      </c>
    </row>
    <row r="16" spans="1:28" ht="16" x14ac:dyDescent="0.25">
      <c r="A16" s="24">
        <v>15</v>
      </c>
      <c r="B16" s="24" t="s">
        <v>292</v>
      </c>
      <c r="C16" s="24" t="s">
        <v>2143</v>
      </c>
      <c r="D16" s="116">
        <v>909.3</v>
      </c>
      <c r="E16" s="116">
        <v>256.5</v>
      </c>
      <c r="F16" s="108">
        <f t="shared" si="0"/>
        <v>1165.8</v>
      </c>
      <c r="G16" s="116">
        <v>23.3</v>
      </c>
      <c r="H16" s="116">
        <v>0</v>
      </c>
      <c r="I16" s="28">
        <f t="shared" si="1"/>
        <v>23.3</v>
      </c>
      <c r="J16" s="28">
        <f t="shared" si="2"/>
        <v>886</v>
      </c>
      <c r="K16" s="28">
        <f t="shared" si="3"/>
        <v>256.5</v>
      </c>
      <c r="L16" s="28">
        <f t="shared" si="4"/>
        <v>88.600000000000009</v>
      </c>
      <c r="M16" s="28">
        <f t="shared" si="5"/>
        <v>25.650000000000002</v>
      </c>
      <c r="N16" s="107">
        <f t="shared" si="6"/>
        <v>1142.5</v>
      </c>
      <c r="O16" s="107">
        <f t="shared" si="7"/>
        <v>114.25</v>
      </c>
      <c r="P16" s="9"/>
      <c r="Q16" s="35" t="str">
        <f t="shared" si="8"/>
        <v>909,30</v>
      </c>
      <c r="R16" s="35" t="str">
        <f t="shared" si="9"/>
        <v>256,50</v>
      </c>
      <c r="S16" s="35" t="str">
        <f t="shared" si="10"/>
        <v>1.165,80</v>
      </c>
      <c r="T16" s="35" t="str">
        <f t="shared" si="11"/>
        <v>23,30</v>
      </c>
      <c r="U16" s="35" t="str">
        <f t="shared" si="12"/>
        <v>,00</v>
      </c>
      <c r="V16" s="35" t="str">
        <f t="shared" si="13"/>
        <v>23,30</v>
      </c>
      <c r="W16" s="35" t="str">
        <f t="shared" si="14"/>
        <v>886,00</v>
      </c>
      <c r="X16" s="35" t="str">
        <f t="shared" si="15"/>
        <v>256,50</v>
      </c>
      <c r="Y16" s="35" t="str">
        <f t="shared" si="16"/>
        <v>88,60</v>
      </c>
      <c r="Z16" s="35" t="str">
        <f t="shared" si="17"/>
        <v>25,65</v>
      </c>
      <c r="AA16" s="35" t="str">
        <f t="shared" si="18"/>
        <v>1.142,50</v>
      </c>
      <c r="AB16" s="35" t="str">
        <f t="shared" si="19"/>
        <v>114,25</v>
      </c>
    </row>
    <row r="17" spans="1:28" ht="16" x14ac:dyDescent="0.25">
      <c r="A17" s="24">
        <v>16</v>
      </c>
      <c r="B17" s="24" t="s">
        <v>93</v>
      </c>
      <c r="C17" s="24" t="s">
        <v>2143</v>
      </c>
      <c r="D17" s="116">
        <v>207.2</v>
      </c>
      <c r="E17" s="116">
        <v>569.40000000000009</v>
      </c>
      <c r="F17" s="108">
        <f t="shared" si="0"/>
        <v>776.60000000000014</v>
      </c>
      <c r="G17" s="116">
        <v>0</v>
      </c>
      <c r="H17" s="116">
        <v>0</v>
      </c>
      <c r="I17" s="28">
        <f t="shared" si="1"/>
        <v>0</v>
      </c>
      <c r="J17" s="28">
        <f t="shared" si="2"/>
        <v>207.2</v>
      </c>
      <c r="K17" s="28">
        <f t="shared" si="3"/>
        <v>569.40000000000009</v>
      </c>
      <c r="L17" s="28">
        <f t="shared" si="4"/>
        <v>20.72</v>
      </c>
      <c r="M17" s="28">
        <f t="shared" si="5"/>
        <v>56.940000000000012</v>
      </c>
      <c r="N17" s="107">
        <f t="shared" si="6"/>
        <v>776.60000000000014</v>
      </c>
      <c r="O17" s="107">
        <f t="shared" si="7"/>
        <v>77.660000000000025</v>
      </c>
      <c r="P17" s="9"/>
      <c r="Q17" s="35" t="str">
        <f t="shared" si="8"/>
        <v>207,20</v>
      </c>
      <c r="R17" s="35" t="str">
        <f t="shared" si="9"/>
        <v>569,40</v>
      </c>
      <c r="S17" s="35" t="str">
        <f t="shared" si="10"/>
        <v>776,60</v>
      </c>
      <c r="T17" s="35" t="str">
        <f t="shared" si="11"/>
        <v>,00</v>
      </c>
      <c r="U17" s="35" t="str">
        <f t="shared" si="12"/>
        <v>,00</v>
      </c>
      <c r="V17" s="35" t="str">
        <f t="shared" si="13"/>
        <v>,00</v>
      </c>
      <c r="W17" s="35" t="str">
        <f t="shared" si="14"/>
        <v>207,20</v>
      </c>
      <c r="X17" s="35" t="str">
        <f t="shared" si="15"/>
        <v>569,40</v>
      </c>
      <c r="Y17" s="35" t="str">
        <f t="shared" si="16"/>
        <v>20,72</v>
      </c>
      <c r="Z17" s="35" t="str">
        <f t="shared" si="17"/>
        <v>56,94</v>
      </c>
      <c r="AA17" s="35" t="str">
        <f t="shared" si="18"/>
        <v>776,60</v>
      </c>
      <c r="AB17" s="35" t="str">
        <f t="shared" si="19"/>
        <v>77,66</v>
      </c>
    </row>
    <row r="18" spans="1:28" ht="16" x14ac:dyDescent="0.25">
      <c r="A18" s="24">
        <v>17</v>
      </c>
      <c r="B18" s="24" t="s">
        <v>2305</v>
      </c>
      <c r="C18" s="24" t="s">
        <v>2143</v>
      </c>
      <c r="D18" s="9">
        <v>487.9</v>
      </c>
      <c r="E18" s="9">
        <v>1075.5</v>
      </c>
      <c r="F18" s="108">
        <f t="shared" si="0"/>
        <v>1563.4</v>
      </c>
      <c r="G18" s="116">
        <v>0</v>
      </c>
      <c r="H18" s="116">
        <v>0</v>
      </c>
      <c r="I18" s="28">
        <f t="shared" si="1"/>
        <v>0</v>
      </c>
      <c r="J18" s="28">
        <f t="shared" si="2"/>
        <v>487.9</v>
      </c>
      <c r="K18" s="28">
        <f t="shared" si="3"/>
        <v>1075.5</v>
      </c>
      <c r="L18" s="28">
        <f t="shared" si="4"/>
        <v>48.79</v>
      </c>
      <c r="M18" s="28">
        <f t="shared" si="5"/>
        <v>107.55000000000001</v>
      </c>
      <c r="N18" s="107">
        <f t="shared" si="6"/>
        <v>1563.4</v>
      </c>
      <c r="O18" s="107">
        <f t="shared" si="7"/>
        <v>156.34000000000003</v>
      </c>
      <c r="P18" s="9"/>
      <c r="Q18" s="35" t="str">
        <f t="shared" si="8"/>
        <v>487,90</v>
      </c>
      <c r="R18" s="35" t="str">
        <f t="shared" si="9"/>
        <v>1.075,50</v>
      </c>
      <c r="S18" s="35" t="str">
        <f t="shared" si="10"/>
        <v>1.563,40</v>
      </c>
      <c r="T18" s="35" t="str">
        <f t="shared" si="11"/>
        <v>,00</v>
      </c>
      <c r="U18" s="35" t="str">
        <f t="shared" si="12"/>
        <v>,00</v>
      </c>
      <c r="V18" s="35" t="str">
        <f t="shared" si="13"/>
        <v>,00</v>
      </c>
      <c r="W18" s="35" t="str">
        <f t="shared" si="14"/>
        <v>487,90</v>
      </c>
      <c r="X18" s="35" t="str">
        <f t="shared" si="15"/>
        <v>1.075,50</v>
      </c>
      <c r="Y18" s="35" t="str">
        <f t="shared" si="16"/>
        <v>48,79</v>
      </c>
      <c r="Z18" s="35" t="str">
        <f t="shared" si="17"/>
        <v>107,55</v>
      </c>
      <c r="AA18" s="35" t="str">
        <f t="shared" si="18"/>
        <v>1.563,40</v>
      </c>
      <c r="AB18" s="35" t="str">
        <f t="shared" si="19"/>
        <v>156,34</v>
      </c>
    </row>
    <row r="19" spans="1:28" ht="16" x14ac:dyDescent="0.25">
      <c r="A19" s="24">
        <v>18</v>
      </c>
      <c r="B19" s="24" t="s">
        <v>500</v>
      </c>
      <c r="C19" s="24" t="s">
        <v>2143</v>
      </c>
      <c r="D19" s="116">
        <v>246.6</v>
      </c>
      <c r="E19" s="116">
        <v>129.80000000000001</v>
      </c>
      <c r="F19" s="108">
        <f t="shared" si="0"/>
        <v>376.4</v>
      </c>
      <c r="G19" s="116">
        <v>4.2</v>
      </c>
      <c r="H19" s="116">
        <v>57.2</v>
      </c>
      <c r="I19" s="28">
        <f t="shared" si="1"/>
        <v>61.400000000000006</v>
      </c>
      <c r="J19" s="28">
        <f t="shared" si="2"/>
        <v>242.4</v>
      </c>
      <c r="K19" s="28">
        <f t="shared" si="3"/>
        <v>72.600000000000009</v>
      </c>
      <c r="L19" s="28">
        <f t="shared" si="4"/>
        <v>24.240000000000002</v>
      </c>
      <c r="M19" s="28">
        <f t="shared" si="5"/>
        <v>7.2600000000000016</v>
      </c>
      <c r="N19" s="107">
        <f t="shared" si="6"/>
        <v>315</v>
      </c>
      <c r="O19" s="107">
        <f t="shared" si="7"/>
        <v>31.5</v>
      </c>
      <c r="P19" s="9"/>
      <c r="Q19" s="35" t="str">
        <f t="shared" si="8"/>
        <v>246,60</v>
      </c>
      <c r="R19" s="35" t="str">
        <f t="shared" si="9"/>
        <v>129,80</v>
      </c>
      <c r="S19" s="35" t="str">
        <f t="shared" si="10"/>
        <v>376,40</v>
      </c>
      <c r="T19" s="35" t="str">
        <f t="shared" si="11"/>
        <v>4,20</v>
      </c>
      <c r="U19" s="35" t="str">
        <f t="shared" si="12"/>
        <v>57,20</v>
      </c>
      <c r="V19" s="35" t="str">
        <f t="shared" si="13"/>
        <v>61,40</v>
      </c>
      <c r="W19" s="35" t="str">
        <f t="shared" si="14"/>
        <v>242,40</v>
      </c>
      <c r="X19" s="35" t="str">
        <f t="shared" si="15"/>
        <v>72,60</v>
      </c>
      <c r="Y19" s="35" t="str">
        <f t="shared" si="16"/>
        <v>24,24</v>
      </c>
      <c r="Z19" s="35" t="str">
        <f t="shared" si="17"/>
        <v>7,26</v>
      </c>
      <c r="AA19" s="35" t="str">
        <f t="shared" si="18"/>
        <v>315,00</v>
      </c>
      <c r="AB19" s="35" t="str">
        <f t="shared" si="19"/>
        <v>31,50</v>
      </c>
    </row>
    <row r="20" spans="1:28" ht="16" x14ac:dyDescent="0.25">
      <c r="A20" s="24">
        <v>19</v>
      </c>
      <c r="B20" s="24" t="s">
        <v>34</v>
      </c>
      <c r="C20" s="24" t="s">
        <v>175</v>
      </c>
      <c r="D20" s="116">
        <v>11599.699999999999</v>
      </c>
      <c r="E20" s="116">
        <v>2700.7</v>
      </c>
      <c r="F20" s="108">
        <f t="shared" si="0"/>
        <v>14300.399999999998</v>
      </c>
      <c r="G20" s="116">
        <v>122.3</v>
      </c>
      <c r="H20" s="116">
        <v>546.9</v>
      </c>
      <c r="I20" s="28">
        <f t="shared" si="1"/>
        <v>669.19999999999993</v>
      </c>
      <c r="J20" s="28">
        <f t="shared" si="2"/>
        <v>11477.4</v>
      </c>
      <c r="K20" s="28">
        <f t="shared" si="3"/>
        <v>2153.7999999999997</v>
      </c>
      <c r="L20" s="28">
        <f t="shared" si="4"/>
        <v>1147.74</v>
      </c>
      <c r="M20" s="28">
        <f t="shared" si="5"/>
        <v>215.38</v>
      </c>
      <c r="N20" s="107">
        <f t="shared" si="6"/>
        <v>13631.199999999997</v>
      </c>
      <c r="O20" s="107">
        <f t="shared" si="7"/>
        <v>1363.12</v>
      </c>
      <c r="P20" s="9"/>
      <c r="Q20" s="35" t="str">
        <f t="shared" si="8"/>
        <v>11.599,70</v>
      </c>
      <c r="R20" s="35" t="str">
        <f t="shared" si="9"/>
        <v>2.700,70</v>
      </c>
      <c r="S20" s="35" t="str">
        <f t="shared" si="10"/>
        <v>14.300,40</v>
      </c>
      <c r="T20" s="35" t="str">
        <f t="shared" si="11"/>
        <v>122,30</v>
      </c>
      <c r="U20" s="35" t="str">
        <f t="shared" si="12"/>
        <v>546,90</v>
      </c>
      <c r="V20" s="35" t="str">
        <f t="shared" si="13"/>
        <v>669,20</v>
      </c>
      <c r="W20" s="35" t="str">
        <f t="shared" si="14"/>
        <v>11.477,40</v>
      </c>
      <c r="X20" s="35" t="str">
        <f t="shared" si="15"/>
        <v>2.153,80</v>
      </c>
      <c r="Y20" s="35" t="str">
        <f t="shared" si="16"/>
        <v>1.147,74</v>
      </c>
      <c r="Z20" s="35" t="str">
        <f t="shared" si="17"/>
        <v>215,38</v>
      </c>
      <c r="AA20" s="35" t="str">
        <f t="shared" si="18"/>
        <v>13.631,20</v>
      </c>
      <c r="AB20" s="35" t="str">
        <f t="shared" si="19"/>
        <v>1.363,12</v>
      </c>
    </row>
    <row r="21" spans="1:28" ht="16" x14ac:dyDescent="0.25">
      <c r="A21" s="24">
        <v>20</v>
      </c>
      <c r="B21" s="24" t="s">
        <v>426</v>
      </c>
      <c r="C21" s="24" t="s">
        <v>175</v>
      </c>
      <c r="D21" s="116">
        <v>6155.3</v>
      </c>
      <c r="E21" s="116">
        <v>221</v>
      </c>
      <c r="F21" s="108">
        <f t="shared" si="0"/>
        <v>6376.3</v>
      </c>
      <c r="G21" s="116">
        <v>255.7</v>
      </c>
      <c r="H21" s="116">
        <v>570.1</v>
      </c>
      <c r="I21" s="28">
        <f t="shared" si="1"/>
        <v>825.8</v>
      </c>
      <c r="J21" s="28">
        <f t="shared" si="2"/>
        <v>5899.6</v>
      </c>
      <c r="K21" s="28">
        <f t="shared" si="3"/>
        <v>-349.1</v>
      </c>
      <c r="L21" s="28">
        <f t="shared" si="4"/>
        <v>589.96</v>
      </c>
      <c r="M21" s="28">
        <f t="shared" si="5"/>
        <v>-34.910000000000004</v>
      </c>
      <c r="N21" s="107">
        <f t="shared" si="6"/>
        <v>5550.5</v>
      </c>
      <c r="O21" s="107">
        <f t="shared" si="7"/>
        <v>555.05000000000007</v>
      </c>
      <c r="P21" s="9"/>
      <c r="Q21" s="35" t="str">
        <f t="shared" si="8"/>
        <v>6.155,30</v>
      </c>
      <c r="R21" s="35" t="str">
        <f t="shared" si="9"/>
        <v>221,00</v>
      </c>
      <c r="S21" s="35" t="str">
        <f t="shared" si="10"/>
        <v>6.376,30</v>
      </c>
      <c r="T21" s="35" t="str">
        <f t="shared" si="11"/>
        <v>255,70</v>
      </c>
      <c r="U21" s="35" t="str">
        <f t="shared" si="12"/>
        <v>570,10</v>
      </c>
      <c r="V21" s="35" t="str">
        <f t="shared" si="13"/>
        <v>825,80</v>
      </c>
      <c r="W21" s="35" t="str">
        <f t="shared" si="14"/>
        <v>5.899,60</v>
      </c>
      <c r="X21" s="35" t="str">
        <f t="shared" si="15"/>
        <v>-349,10</v>
      </c>
      <c r="Y21" s="35" t="str">
        <f t="shared" si="16"/>
        <v>589,96</v>
      </c>
      <c r="Z21" s="35" t="str">
        <f t="shared" si="17"/>
        <v>-34,91</v>
      </c>
      <c r="AA21" s="35" t="str">
        <f t="shared" si="18"/>
        <v>5.550,50</v>
      </c>
      <c r="AB21" s="35" t="str">
        <f t="shared" si="19"/>
        <v>555,05</v>
      </c>
    </row>
    <row r="22" spans="1:28" ht="16" x14ac:dyDescent="0.25">
      <c r="A22" s="24">
        <v>21</v>
      </c>
      <c r="B22" s="24" t="s">
        <v>425</v>
      </c>
      <c r="C22" s="24" t="s">
        <v>175</v>
      </c>
      <c r="D22" s="116">
        <v>369</v>
      </c>
      <c r="E22" s="116">
        <v>483.9</v>
      </c>
      <c r="F22" s="108">
        <f t="shared" si="0"/>
        <v>852.9</v>
      </c>
      <c r="G22" s="116">
        <v>25.2</v>
      </c>
      <c r="H22" s="116">
        <v>325</v>
      </c>
      <c r="I22" s="28">
        <f t="shared" si="1"/>
        <v>350.2</v>
      </c>
      <c r="J22" s="28">
        <f t="shared" si="2"/>
        <v>343.8</v>
      </c>
      <c r="K22" s="28">
        <f t="shared" si="3"/>
        <v>158.89999999999998</v>
      </c>
      <c r="L22" s="28">
        <f t="shared" si="4"/>
        <v>34.380000000000003</v>
      </c>
      <c r="M22" s="28">
        <f t="shared" si="5"/>
        <v>15.889999999999999</v>
      </c>
      <c r="N22" s="107">
        <f t="shared" si="6"/>
        <v>502.7</v>
      </c>
      <c r="O22" s="107">
        <f t="shared" si="7"/>
        <v>50.27</v>
      </c>
      <c r="P22" s="9"/>
      <c r="Q22" s="35" t="str">
        <f t="shared" si="8"/>
        <v>369,00</v>
      </c>
      <c r="R22" s="35" t="str">
        <f t="shared" si="9"/>
        <v>483,90</v>
      </c>
      <c r="S22" s="35" t="str">
        <f t="shared" si="10"/>
        <v>852,90</v>
      </c>
      <c r="T22" s="35" t="str">
        <f t="shared" si="11"/>
        <v>25,20</v>
      </c>
      <c r="U22" s="35" t="str">
        <f t="shared" si="12"/>
        <v>325,00</v>
      </c>
      <c r="V22" s="35" t="str">
        <f t="shared" si="13"/>
        <v>350,20</v>
      </c>
      <c r="W22" s="35" t="str">
        <f t="shared" si="14"/>
        <v>343,80</v>
      </c>
      <c r="X22" s="35" t="str">
        <f t="shared" si="15"/>
        <v>158,90</v>
      </c>
      <c r="Y22" s="35" t="str">
        <f t="shared" si="16"/>
        <v>34,38</v>
      </c>
      <c r="Z22" s="35" t="str">
        <f t="shared" si="17"/>
        <v>15,89</v>
      </c>
      <c r="AA22" s="35" t="str">
        <f t="shared" si="18"/>
        <v>502,70</v>
      </c>
      <c r="AB22" s="35" t="str">
        <f t="shared" si="19"/>
        <v>50,27</v>
      </c>
    </row>
    <row r="23" spans="1:28" ht="16" x14ac:dyDescent="0.25">
      <c r="A23" s="24">
        <v>22</v>
      </c>
      <c r="B23" s="24" t="s">
        <v>34</v>
      </c>
      <c r="C23" s="24" t="s">
        <v>194</v>
      </c>
      <c r="D23" s="116">
        <v>38513.799999999996</v>
      </c>
      <c r="E23" s="116">
        <v>50050.5</v>
      </c>
      <c r="F23" s="108">
        <f t="shared" si="0"/>
        <v>88564.299999999988</v>
      </c>
      <c r="G23" s="116">
        <v>861.1</v>
      </c>
      <c r="H23" s="116">
        <v>0.4</v>
      </c>
      <c r="I23" s="28">
        <f t="shared" si="1"/>
        <v>861.5</v>
      </c>
      <c r="J23" s="28">
        <f t="shared" si="2"/>
        <v>37652.699999999997</v>
      </c>
      <c r="K23" s="28">
        <f t="shared" si="3"/>
        <v>50050.1</v>
      </c>
      <c r="L23" s="28">
        <f t="shared" si="4"/>
        <v>3765.27</v>
      </c>
      <c r="M23" s="28">
        <f t="shared" si="5"/>
        <v>5005.01</v>
      </c>
      <c r="N23" s="107">
        <f t="shared" si="6"/>
        <v>87702.799999999988</v>
      </c>
      <c r="O23" s="107">
        <f t="shared" si="7"/>
        <v>8770.2799999999988</v>
      </c>
      <c r="P23" s="9"/>
      <c r="Q23" s="35" t="str">
        <f t="shared" si="8"/>
        <v>38.513,80</v>
      </c>
      <c r="R23" s="35" t="str">
        <f t="shared" si="9"/>
        <v>50.050,50</v>
      </c>
      <c r="S23" s="35" t="str">
        <f t="shared" si="10"/>
        <v>88.564,30</v>
      </c>
      <c r="T23" s="35" t="str">
        <f t="shared" si="11"/>
        <v>861,10</v>
      </c>
      <c r="U23" s="35" t="str">
        <f t="shared" si="12"/>
        <v>,40</v>
      </c>
      <c r="V23" s="35" t="str">
        <f t="shared" si="13"/>
        <v>861,50</v>
      </c>
      <c r="W23" s="35" t="str">
        <f t="shared" si="14"/>
        <v>37.652,70</v>
      </c>
      <c r="X23" s="35" t="str">
        <f t="shared" si="15"/>
        <v>50.050,10</v>
      </c>
      <c r="Y23" s="35" t="str">
        <f t="shared" si="16"/>
        <v>3.765,27</v>
      </c>
      <c r="Z23" s="35" t="str">
        <f t="shared" si="17"/>
        <v>5.005,01</v>
      </c>
      <c r="AA23" s="35" t="str">
        <f t="shared" si="18"/>
        <v>87.702,80</v>
      </c>
      <c r="AB23" s="35" t="str">
        <f t="shared" si="19"/>
        <v>8.770,28</v>
      </c>
    </row>
    <row r="24" spans="1:28" ht="16" x14ac:dyDescent="0.25">
      <c r="A24" s="24">
        <v>23</v>
      </c>
      <c r="B24" s="24" t="s">
        <v>2124</v>
      </c>
      <c r="C24" s="24" t="s">
        <v>194</v>
      </c>
      <c r="D24" s="116">
        <v>15822.4</v>
      </c>
      <c r="E24" s="116">
        <v>10439.700000000001</v>
      </c>
      <c r="F24" s="108">
        <f t="shared" si="0"/>
        <v>26262.1</v>
      </c>
      <c r="G24" s="116">
        <v>7826.9</v>
      </c>
      <c r="H24" s="116">
        <v>6006.3</v>
      </c>
      <c r="I24" s="28">
        <f t="shared" si="1"/>
        <v>13833.2</v>
      </c>
      <c r="J24" s="28">
        <f t="shared" si="2"/>
        <v>7995.5</v>
      </c>
      <c r="K24" s="28">
        <f t="shared" si="3"/>
        <v>4433.4000000000005</v>
      </c>
      <c r="L24" s="28">
        <f t="shared" si="4"/>
        <v>799.55000000000007</v>
      </c>
      <c r="M24" s="28">
        <f t="shared" si="5"/>
        <v>443.34000000000009</v>
      </c>
      <c r="N24" s="107">
        <f t="shared" si="6"/>
        <v>12428.899999999998</v>
      </c>
      <c r="O24" s="107">
        <f t="shared" si="7"/>
        <v>1242.8899999999999</v>
      </c>
      <c r="P24" s="9"/>
      <c r="Q24" s="35" t="str">
        <f t="shared" si="8"/>
        <v>15.822,40</v>
      </c>
      <c r="R24" s="35" t="str">
        <f t="shared" si="9"/>
        <v>10.439,70</v>
      </c>
      <c r="S24" s="35" t="str">
        <f t="shared" si="10"/>
        <v>26.262,10</v>
      </c>
      <c r="T24" s="35" t="str">
        <f t="shared" si="11"/>
        <v>7.826,90</v>
      </c>
      <c r="U24" s="35" t="str">
        <f t="shared" si="12"/>
        <v>6.006,30</v>
      </c>
      <c r="V24" s="35" t="str">
        <f t="shared" si="13"/>
        <v>13.833,20</v>
      </c>
      <c r="W24" s="35" t="str">
        <f t="shared" si="14"/>
        <v>7.995,50</v>
      </c>
      <c r="X24" s="35" t="str">
        <f t="shared" si="15"/>
        <v>4.433,40</v>
      </c>
      <c r="Y24" s="35" t="str">
        <f t="shared" si="16"/>
        <v>799,55</v>
      </c>
      <c r="Z24" s="35" t="str">
        <f t="shared" si="17"/>
        <v>443,34</v>
      </c>
      <c r="AA24" s="35" t="str">
        <f t="shared" si="18"/>
        <v>12.428,90</v>
      </c>
      <c r="AB24" s="35" t="str">
        <f t="shared" si="19"/>
        <v>1.242,89</v>
      </c>
    </row>
    <row r="25" spans="1:28" ht="16" x14ac:dyDescent="0.25">
      <c r="A25" s="24">
        <v>24</v>
      </c>
      <c r="B25" s="24" t="s">
        <v>1993</v>
      </c>
      <c r="C25" s="24" t="s">
        <v>194</v>
      </c>
      <c r="D25" s="116"/>
      <c r="E25" s="116">
        <v>4362.3</v>
      </c>
      <c r="F25" s="108">
        <f t="shared" si="0"/>
        <v>4362.3</v>
      </c>
      <c r="G25" s="116"/>
      <c r="H25" s="116">
        <v>0</v>
      </c>
      <c r="I25" s="28">
        <f t="shared" si="1"/>
        <v>0</v>
      </c>
      <c r="J25" s="28">
        <f t="shared" si="2"/>
        <v>0</v>
      </c>
      <c r="K25" s="28">
        <f t="shared" si="3"/>
        <v>4362.3</v>
      </c>
      <c r="L25" s="28">
        <f t="shared" si="4"/>
        <v>0</v>
      </c>
      <c r="M25" s="28">
        <f t="shared" si="5"/>
        <v>436.23</v>
      </c>
      <c r="N25" s="107">
        <f t="shared" si="6"/>
        <v>4362.3</v>
      </c>
      <c r="O25" s="107">
        <f t="shared" si="7"/>
        <v>436.23</v>
      </c>
      <c r="P25" s="9"/>
      <c r="Q25" s="35" t="str">
        <f t="shared" si="8"/>
        <v>,00</v>
      </c>
      <c r="R25" s="35" t="str">
        <f t="shared" si="9"/>
        <v>4.362,30</v>
      </c>
      <c r="S25" s="35" t="str">
        <f t="shared" si="10"/>
        <v>4.362,30</v>
      </c>
      <c r="T25" s="35" t="str">
        <f t="shared" si="11"/>
        <v>,00</v>
      </c>
      <c r="U25" s="35" t="str">
        <f t="shared" si="12"/>
        <v>,00</v>
      </c>
      <c r="V25" s="35" t="str">
        <f t="shared" si="13"/>
        <v>,00</v>
      </c>
      <c r="W25" s="35" t="str">
        <f t="shared" si="14"/>
        <v>,00</v>
      </c>
      <c r="X25" s="35" t="str">
        <f t="shared" si="15"/>
        <v>4.362,30</v>
      </c>
      <c r="Y25" s="35" t="str">
        <f t="shared" si="16"/>
        <v>,00</v>
      </c>
      <c r="Z25" s="35" t="str">
        <f t="shared" si="17"/>
        <v>436,23</v>
      </c>
      <c r="AA25" s="35" t="str">
        <f t="shared" si="18"/>
        <v>4.362,30</v>
      </c>
      <c r="AB25" s="35" t="str">
        <f t="shared" si="19"/>
        <v>436,23</v>
      </c>
    </row>
    <row r="26" spans="1:28" ht="16" x14ac:dyDescent="0.25">
      <c r="A26" s="24">
        <v>25</v>
      </c>
      <c r="B26" s="24" t="s">
        <v>2200</v>
      </c>
      <c r="C26" s="24" t="s">
        <v>194</v>
      </c>
      <c r="D26" s="116">
        <v>551</v>
      </c>
      <c r="E26" s="116">
        <v>2947.3</v>
      </c>
      <c r="F26" s="108">
        <f t="shared" si="0"/>
        <v>3498.3</v>
      </c>
      <c r="G26" s="116">
        <v>110.2</v>
      </c>
      <c r="H26" s="116">
        <v>587.1</v>
      </c>
      <c r="I26" s="28">
        <f t="shared" si="1"/>
        <v>697.30000000000007</v>
      </c>
      <c r="J26" s="28">
        <f t="shared" si="2"/>
        <v>440.8</v>
      </c>
      <c r="K26" s="28">
        <f t="shared" si="3"/>
        <v>2360.2000000000003</v>
      </c>
      <c r="L26" s="28">
        <f t="shared" si="4"/>
        <v>44.080000000000005</v>
      </c>
      <c r="M26" s="28">
        <f t="shared" si="5"/>
        <v>236.02000000000004</v>
      </c>
      <c r="N26" s="107">
        <f t="shared" si="6"/>
        <v>2801</v>
      </c>
      <c r="O26" s="107">
        <f t="shared" si="7"/>
        <v>280.10000000000002</v>
      </c>
      <c r="P26" s="9"/>
      <c r="Q26" s="35" t="str">
        <f t="shared" si="8"/>
        <v>551,00</v>
      </c>
      <c r="R26" s="35" t="str">
        <f t="shared" si="9"/>
        <v>2.947,30</v>
      </c>
      <c r="S26" s="35" t="str">
        <f t="shared" si="10"/>
        <v>3.498,30</v>
      </c>
      <c r="T26" s="35" t="str">
        <f t="shared" si="11"/>
        <v>110,20</v>
      </c>
      <c r="U26" s="35" t="str">
        <f t="shared" si="12"/>
        <v>587,10</v>
      </c>
      <c r="V26" s="35" t="str">
        <f t="shared" si="13"/>
        <v>697,30</v>
      </c>
      <c r="W26" s="35" t="str">
        <f t="shared" si="14"/>
        <v>440,80</v>
      </c>
      <c r="X26" s="35" t="str">
        <f t="shared" si="15"/>
        <v>2.360,20</v>
      </c>
      <c r="Y26" s="35" t="str">
        <f t="shared" si="16"/>
        <v>44,08</v>
      </c>
      <c r="Z26" s="35" t="str">
        <f t="shared" si="17"/>
        <v>236,02</v>
      </c>
      <c r="AA26" s="35" t="str">
        <f t="shared" si="18"/>
        <v>2.801,00</v>
      </c>
      <c r="AB26" s="35" t="str">
        <f t="shared" si="19"/>
        <v>280,10</v>
      </c>
    </row>
    <row r="27" spans="1:28" ht="16" x14ac:dyDescent="0.25">
      <c r="A27" s="24">
        <v>26</v>
      </c>
      <c r="B27" s="24" t="s">
        <v>349</v>
      </c>
      <c r="C27" s="24" t="s">
        <v>194</v>
      </c>
      <c r="D27" s="116">
        <v>310.39999999999998</v>
      </c>
      <c r="E27" s="116">
        <v>401.2</v>
      </c>
      <c r="F27" s="108">
        <f t="shared" si="0"/>
        <v>711.59999999999991</v>
      </c>
      <c r="G27" s="116">
        <v>0</v>
      </c>
      <c r="H27" s="116">
        <v>0</v>
      </c>
      <c r="I27" s="28">
        <f t="shared" si="1"/>
        <v>0</v>
      </c>
      <c r="J27" s="28">
        <f t="shared" si="2"/>
        <v>310.39999999999998</v>
      </c>
      <c r="K27" s="28">
        <f t="shared" si="3"/>
        <v>401.2</v>
      </c>
      <c r="L27" s="28">
        <f t="shared" si="4"/>
        <v>31.04</v>
      </c>
      <c r="M27" s="28">
        <f t="shared" si="5"/>
        <v>40.120000000000005</v>
      </c>
      <c r="N27" s="107">
        <f t="shared" si="6"/>
        <v>711.59999999999991</v>
      </c>
      <c r="O27" s="107">
        <f t="shared" si="7"/>
        <v>71.16</v>
      </c>
      <c r="P27" s="9"/>
      <c r="Q27" s="35" t="str">
        <f t="shared" si="8"/>
        <v>310,40</v>
      </c>
      <c r="R27" s="35" t="str">
        <f t="shared" si="9"/>
        <v>401,20</v>
      </c>
      <c r="S27" s="35" t="str">
        <f t="shared" si="10"/>
        <v>711,60</v>
      </c>
      <c r="T27" s="35" t="str">
        <f t="shared" si="11"/>
        <v>,00</v>
      </c>
      <c r="U27" s="35" t="str">
        <f t="shared" si="12"/>
        <v>,00</v>
      </c>
      <c r="V27" s="35" t="str">
        <f t="shared" si="13"/>
        <v>,00</v>
      </c>
      <c r="W27" s="35" t="str">
        <f t="shared" si="14"/>
        <v>310,40</v>
      </c>
      <c r="X27" s="35" t="str">
        <f t="shared" si="15"/>
        <v>401,20</v>
      </c>
      <c r="Y27" s="35" t="str">
        <f t="shared" si="16"/>
        <v>31,04</v>
      </c>
      <c r="Z27" s="35" t="str">
        <f t="shared" si="17"/>
        <v>40,12</v>
      </c>
      <c r="AA27" s="35" t="str">
        <f t="shared" si="18"/>
        <v>711,60</v>
      </c>
      <c r="AB27" s="35" t="str">
        <f t="shared" si="19"/>
        <v>71,16</v>
      </c>
    </row>
    <row r="28" spans="1:28" ht="16" x14ac:dyDescent="0.25">
      <c r="A28" s="24">
        <v>27</v>
      </c>
      <c r="B28" s="24" t="s">
        <v>2395</v>
      </c>
      <c r="C28" s="24" t="s">
        <v>194</v>
      </c>
      <c r="D28" s="116">
        <v>85.8</v>
      </c>
      <c r="E28" s="116">
        <v>51.9</v>
      </c>
      <c r="F28" s="108">
        <f t="shared" si="0"/>
        <v>137.69999999999999</v>
      </c>
      <c r="G28" s="116">
        <v>0.1</v>
      </c>
      <c r="H28" s="116">
        <v>0</v>
      </c>
      <c r="I28" s="28">
        <f t="shared" si="1"/>
        <v>0.1</v>
      </c>
      <c r="J28" s="28">
        <f t="shared" si="2"/>
        <v>85.7</v>
      </c>
      <c r="K28" s="28">
        <f t="shared" si="3"/>
        <v>51.9</v>
      </c>
      <c r="L28" s="28">
        <f t="shared" si="4"/>
        <v>8.57</v>
      </c>
      <c r="M28" s="28">
        <f t="shared" si="5"/>
        <v>5.19</v>
      </c>
      <c r="N28" s="107">
        <f t="shared" si="6"/>
        <v>137.6</v>
      </c>
      <c r="O28" s="107">
        <f t="shared" si="7"/>
        <v>13.76</v>
      </c>
      <c r="P28" s="9"/>
      <c r="Q28" s="35" t="str">
        <f t="shared" si="8"/>
        <v>85,80</v>
      </c>
      <c r="R28" s="35" t="str">
        <f t="shared" si="9"/>
        <v>51,90</v>
      </c>
      <c r="S28" s="35" t="str">
        <f t="shared" si="10"/>
        <v>137,70</v>
      </c>
      <c r="T28" s="35" t="str">
        <f t="shared" si="11"/>
        <v>,10</v>
      </c>
      <c r="U28" s="35" t="str">
        <f t="shared" si="12"/>
        <v>,00</v>
      </c>
      <c r="V28" s="35" t="str">
        <f t="shared" si="13"/>
        <v>,10</v>
      </c>
      <c r="W28" s="35" t="str">
        <f t="shared" si="14"/>
        <v>85,70</v>
      </c>
      <c r="X28" s="35" t="str">
        <f t="shared" si="15"/>
        <v>51,90</v>
      </c>
      <c r="Y28" s="35" t="str">
        <f t="shared" si="16"/>
        <v>8,57</v>
      </c>
      <c r="Z28" s="35" t="str">
        <f t="shared" si="17"/>
        <v>5,19</v>
      </c>
      <c r="AA28" s="35" t="str">
        <f t="shared" si="18"/>
        <v>137,60</v>
      </c>
      <c r="AB28" s="35" t="str">
        <f t="shared" si="19"/>
        <v>13,76</v>
      </c>
    </row>
    <row r="29" spans="1:28" ht="16" x14ac:dyDescent="0.25">
      <c r="A29" s="24">
        <v>28</v>
      </c>
      <c r="B29" s="24" t="s">
        <v>34</v>
      </c>
      <c r="C29" s="24" t="s">
        <v>38</v>
      </c>
      <c r="D29" s="116">
        <v>18996.399999999998</v>
      </c>
      <c r="E29" s="116">
        <v>45496</v>
      </c>
      <c r="F29" s="108">
        <f t="shared" si="0"/>
        <v>64492.399999999994</v>
      </c>
      <c r="G29" s="116">
        <v>173.69999999999996</v>
      </c>
      <c r="H29" s="116">
        <v>602.29999999999995</v>
      </c>
      <c r="I29" s="28">
        <f t="shared" si="1"/>
        <v>775.99999999999989</v>
      </c>
      <c r="J29" s="28">
        <f t="shared" si="2"/>
        <v>18822.699999999997</v>
      </c>
      <c r="K29" s="28">
        <f t="shared" si="3"/>
        <v>44893.7</v>
      </c>
      <c r="L29" s="28">
        <f t="shared" si="4"/>
        <v>1882.2699999999998</v>
      </c>
      <c r="M29" s="28">
        <f t="shared" si="5"/>
        <v>4489.37</v>
      </c>
      <c r="N29" s="107">
        <f t="shared" si="6"/>
        <v>63716.399999999994</v>
      </c>
      <c r="O29" s="107">
        <f t="shared" si="7"/>
        <v>6371.6399999999994</v>
      </c>
      <c r="P29" s="9"/>
      <c r="Q29" s="35" t="str">
        <f t="shared" si="8"/>
        <v>18.996,40</v>
      </c>
      <c r="R29" s="35" t="str">
        <f t="shared" si="9"/>
        <v>45.496,00</v>
      </c>
      <c r="S29" s="35" t="str">
        <f t="shared" si="10"/>
        <v>64.492,40</v>
      </c>
      <c r="T29" s="35" t="str">
        <f t="shared" si="11"/>
        <v>173,70</v>
      </c>
      <c r="U29" s="35" t="str">
        <f t="shared" si="12"/>
        <v>602,30</v>
      </c>
      <c r="V29" s="35" t="str">
        <f t="shared" si="13"/>
        <v>776,00</v>
      </c>
      <c r="W29" s="35" t="str">
        <f t="shared" si="14"/>
        <v>18.822,70</v>
      </c>
      <c r="X29" s="35" t="str">
        <f t="shared" si="15"/>
        <v>44.893,70</v>
      </c>
      <c r="Y29" s="35" t="str">
        <f t="shared" si="16"/>
        <v>1.882,27</v>
      </c>
      <c r="Z29" s="35" t="str">
        <f t="shared" si="17"/>
        <v>4.489,37</v>
      </c>
      <c r="AA29" s="35" t="str">
        <f t="shared" si="18"/>
        <v>63.716,40</v>
      </c>
      <c r="AB29" s="35" t="str">
        <f t="shared" si="19"/>
        <v>6.371,64</v>
      </c>
    </row>
    <row r="30" spans="1:28" ht="16" x14ac:dyDescent="0.25">
      <c r="A30" s="24">
        <v>29</v>
      </c>
      <c r="B30" s="24" t="s">
        <v>230</v>
      </c>
      <c r="C30" s="24" t="s">
        <v>38</v>
      </c>
      <c r="D30" s="116">
        <v>5248.4</v>
      </c>
      <c r="E30" s="116">
        <v>2442.3000000000002</v>
      </c>
      <c r="F30" s="108">
        <f t="shared" si="0"/>
        <v>7690.7</v>
      </c>
      <c r="G30" s="116">
        <v>45</v>
      </c>
      <c r="H30" s="116">
        <v>402.8</v>
      </c>
      <c r="I30" s="28">
        <f t="shared" si="1"/>
        <v>447.8</v>
      </c>
      <c r="J30" s="28">
        <f t="shared" si="2"/>
        <v>5203.3999999999996</v>
      </c>
      <c r="K30" s="28">
        <f t="shared" si="3"/>
        <v>2039.5000000000002</v>
      </c>
      <c r="L30" s="28">
        <f t="shared" si="4"/>
        <v>520.34</v>
      </c>
      <c r="M30" s="28">
        <f t="shared" si="5"/>
        <v>203.95000000000005</v>
      </c>
      <c r="N30" s="107">
        <f t="shared" si="6"/>
        <v>7242.9</v>
      </c>
      <c r="O30" s="107">
        <f t="shared" si="7"/>
        <v>724.29</v>
      </c>
      <c r="P30" s="9"/>
      <c r="Q30" s="35" t="str">
        <f t="shared" si="8"/>
        <v>5.248,40</v>
      </c>
      <c r="R30" s="35" t="str">
        <f t="shared" si="9"/>
        <v>2.442,30</v>
      </c>
      <c r="S30" s="35" t="str">
        <f t="shared" si="10"/>
        <v>7.690,70</v>
      </c>
      <c r="T30" s="35" t="str">
        <f t="shared" si="11"/>
        <v>45,00</v>
      </c>
      <c r="U30" s="35" t="str">
        <f t="shared" si="12"/>
        <v>402,80</v>
      </c>
      <c r="V30" s="35" t="str">
        <f t="shared" si="13"/>
        <v>447,80</v>
      </c>
      <c r="W30" s="35" t="str">
        <f t="shared" si="14"/>
        <v>5.203,40</v>
      </c>
      <c r="X30" s="35" t="str">
        <f t="shared" si="15"/>
        <v>2.039,50</v>
      </c>
      <c r="Y30" s="35" t="str">
        <f t="shared" si="16"/>
        <v>520,34</v>
      </c>
      <c r="Z30" s="35" t="str">
        <f t="shared" si="17"/>
        <v>203,95</v>
      </c>
      <c r="AA30" s="35" t="str">
        <f t="shared" si="18"/>
        <v>7.242,90</v>
      </c>
      <c r="AB30" s="35" t="str">
        <f t="shared" si="19"/>
        <v>724,29</v>
      </c>
    </row>
    <row r="31" spans="1:28" ht="16" x14ac:dyDescent="0.25">
      <c r="A31" s="24">
        <v>30</v>
      </c>
      <c r="B31" s="24" t="s">
        <v>427</v>
      </c>
      <c r="C31" s="24" t="s">
        <v>38</v>
      </c>
      <c r="D31" s="116">
        <v>377.1</v>
      </c>
      <c r="E31" s="116">
        <v>313.3</v>
      </c>
      <c r="F31" s="108">
        <f t="shared" si="0"/>
        <v>690.40000000000009</v>
      </c>
      <c r="G31" s="116">
        <v>0</v>
      </c>
      <c r="H31" s="116">
        <v>0</v>
      </c>
      <c r="I31" s="28">
        <f t="shared" si="1"/>
        <v>0</v>
      </c>
      <c r="J31" s="28">
        <f t="shared" si="2"/>
        <v>377.1</v>
      </c>
      <c r="K31" s="28">
        <f t="shared" si="3"/>
        <v>313.3</v>
      </c>
      <c r="L31" s="28">
        <f t="shared" si="4"/>
        <v>37.71</v>
      </c>
      <c r="M31" s="28">
        <f t="shared" si="5"/>
        <v>31.330000000000002</v>
      </c>
      <c r="N31" s="107">
        <f t="shared" si="6"/>
        <v>690.40000000000009</v>
      </c>
      <c r="O31" s="107">
        <f t="shared" si="7"/>
        <v>69.040000000000006</v>
      </c>
      <c r="P31" s="9"/>
      <c r="Q31" s="35" t="str">
        <f t="shared" si="8"/>
        <v>377,10</v>
      </c>
      <c r="R31" s="35" t="str">
        <f t="shared" si="9"/>
        <v>313,30</v>
      </c>
      <c r="S31" s="35" t="str">
        <f t="shared" si="10"/>
        <v>690,40</v>
      </c>
      <c r="T31" s="35" t="str">
        <f t="shared" si="11"/>
        <v>,00</v>
      </c>
      <c r="U31" s="35" t="str">
        <f t="shared" si="12"/>
        <v>,00</v>
      </c>
      <c r="V31" s="35" t="str">
        <f t="shared" si="13"/>
        <v>,00</v>
      </c>
      <c r="W31" s="35" t="str">
        <f t="shared" si="14"/>
        <v>377,10</v>
      </c>
      <c r="X31" s="35" t="str">
        <f t="shared" si="15"/>
        <v>313,30</v>
      </c>
      <c r="Y31" s="35" t="str">
        <f t="shared" si="16"/>
        <v>37,71</v>
      </c>
      <c r="Z31" s="35" t="str">
        <f t="shared" si="17"/>
        <v>31,33</v>
      </c>
      <c r="AA31" s="35" t="str">
        <f t="shared" si="18"/>
        <v>690,40</v>
      </c>
      <c r="AB31" s="35" t="str">
        <f t="shared" si="19"/>
        <v>69,04</v>
      </c>
    </row>
    <row r="32" spans="1:28" ht="16" x14ac:dyDescent="0.25">
      <c r="A32" s="24">
        <v>31</v>
      </c>
      <c r="B32" s="24" t="s">
        <v>2624</v>
      </c>
      <c r="C32" s="24" t="s">
        <v>38</v>
      </c>
      <c r="D32" s="116">
        <v>5.4</v>
      </c>
      <c r="E32" s="116">
        <v>103.3</v>
      </c>
      <c r="F32" s="108">
        <f t="shared" si="0"/>
        <v>108.7</v>
      </c>
      <c r="G32" s="116">
        <v>0</v>
      </c>
      <c r="H32" s="116">
        <v>0</v>
      </c>
      <c r="I32" s="28">
        <f t="shared" si="1"/>
        <v>0</v>
      </c>
      <c r="J32" s="28">
        <f t="shared" si="2"/>
        <v>5.4</v>
      </c>
      <c r="K32" s="28">
        <f t="shared" si="3"/>
        <v>103.3</v>
      </c>
      <c r="L32" s="28">
        <f t="shared" si="4"/>
        <v>0.54</v>
      </c>
      <c r="M32" s="28">
        <f t="shared" si="5"/>
        <v>10.33</v>
      </c>
      <c r="N32" s="107">
        <f t="shared" si="6"/>
        <v>108.7</v>
      </c>
      <c r="O32" s="107">
        <f t="shared" si="7"/>
        <v>10.870000000000001</v>
      </c>
      <c r="P32" s="9"/>
      <c r="Q32" s="35" t="str">
        <f t="shared" si="8"/>
        <v>5,40</v>
      </c>
      <c r="R32" s="35" t="str">
        <f t="shared" si="9"/>
        <v>103,30</v>
      </c>
      <c r="S32" s="35" t="str">
        <f t="shared" si="10"/>
        <v>108,70</v>
      </c>
      <c r="T32" s="35" t="str">
        <f t="shared" si="11"/>
        <v>,00</v>
      </c>
      <c r="U32" s="35" t="str">
        <f t="shared" si="12"/>
        <v>,00</v>
      </c>
      <c r="V32" s="35" t="str">
        <f t="shared" si="13"/>
        <v>,00</v>
      </c>
      <c r="W32" s="35" t="str">
        <f t="shared" si="14"/>
        <v>5,40</v>
      </c>
      <c r="X32" s="35" t="str">
        <f t="shared" si="15"/>
        <v>103,30</v>
      </c>
      <c r="Y32" s="35" t="str">
        <f t="shared" si="16"/>
        <v>,54</v>
      </c>
      <c r="Z32" s="35" t="str">
        <f t="shared" si="17"/>
        <v>10,33</v>
      </c>
      <c r="AA32" s="35" t="str">
        <f t="shared" si="18"/>
        <v>108,70</v>
      </c>
      <c r="AB32" s="35" t="str">
        <f t="shared" si="19"/>
        <v>10,87</v>
      </c>
    </row>
    <row r="33" spans="1:28" ht="16" x14ac:dyDescent="0.25">
      <c r="A33" s="24">
        <v>32</v>
      </c>
      <c r="B33" s="24" t="s">
        <v>328</v>
      </c>
      <c r="C33" s="24" t="s">
        <v>38</v>
      </c>
      <c r="D33" s="116">
        <v>5.4</v>
      </c>
      <c r="E33" s="116">
        <v>103.3</v>
      </c>
      <c r="F33" s="108">
        <f t="shared" si="0"/>
        <v>108.7</v>
      </c>
      <c r="G33" s="116">
        <v>0</v>
      </c>
      <c r="H33" s="116">
        <v>0</v>
      </c>
      <c r="I33" s="28">
        <f t="shared" si="1"/>
        <v>0</v>
      </c>
      <c r="J33" s="28">
        <f t="shared" si="2"/>
        <v>5.4</v>
      </c>
      <c r="K33" s="28">
        <f t="shared" si="3"/>
        <v>103.3</v>
      </c>
      <c r="L33" s="28">
        <f t="shared" si="4"/>
        <v>0.54</v>
      </c>
      <c r="M33" s="28">
        <f t="shared" si="5"/>
        <v>10.33</v>
      </c>
      <c r="N33" s="107">
        <f t="shared" si="6"/>
        <v>108.7</v>
      </c>
      <c r="O33" s="107">
        <f t="shared" si="7"/>
        <v>10.870000000000001</v>
      </c>
      <c r="P33" s="9"/>
      <c r="Q33" s="35" t="str">
        <f t="shared" si="8"/>
        <v>5,40</v>
      </c>
      <c r="R33" s="35" t="str">
        <f t="shared" si="9"/>
        <v>103,30</v>
      </c>
      <c r="S33" s="35" t="str">
        <f t="shared" si="10"/>
        <v>108,70</v>
      </c>
      <c r="T33" s="35" t="str">
        <f t="shared" si="11"/>
        <v>,00</v>
      </c>
      <c r="U33" s="35" t="str">
        <f t="shared" si="12"/>
        <v>,00</v>
      </c>
      <c r="V33" s="35" t="str">
        <f t="shared" si="13"/>
        <v>,00</v>
      </c>
      <c r="W33" s="35" t="str">
        <f t="shared" si="14"/>
        <v>5,40</v>
      </c>
      <c r="X33" s="35" t="str">
        <f t="shared" si="15"/>
        <v>103,30</v>
      </c>
      <c r="Y33" s="35" t="str">
        <f t="shared" si="16"/>
        <v>,54</v>
      </c>
      <c r="Z33" s="35" t="str">
        <f t="shared" si="17"/>
        <v>10,33</v>
      </c>
      <c r="AA33" s="35" t="str">
        <f t="shared" si="18"/>
        <v>108,70</v>
      </c>
      <c r="AB33" s="35" t="str">
        <f t="shared" si="19"/>
        <v>10,87</v>
      </c>
    </row>
    <row r="34" spans="1:28" ht="16" x14ac:dyDescent="0.25">
      <c r="A34" s="24">
        <v>33</v>
      </c>
      <c r="B34" s="24" t="s">
        <v>428</v>
      </c>
      <c r="C34" s="24" t="s">
        <v>38</v>
      </c>
      <c r="D34" s="116">
        <v>207</v>
      </c>
      <c r="E34" s="116"/>
      <c r="F34" s="108">
        <f t="shared" si="0"/>
        <v>207</v>
      </c>
      <c r="G34" s="116">
        <v>126.4</v>
      </c>
      <c r="H34" s="116"/>
      <c r="I34" s="28">
        <f t="shared" si="1"/>
        <v>126.4</v>
      </c>
      <c r="J34" s="28">
        <f t="shared" si="2"/>
        <v>80.599999999999994</v>
      </c>
      <c r="K34" s="28">
        <f t="shared" si="3"/>
        <v>0</v>
      </c>
      <c r="L34" s="28">
        <f t="shared" si="4"/>
        <v>8.06</v>
      </c>
      <c r="M34" s="28">
        <f t="shared" si="5"/>
        <v>0</v>
      </c>
      <c r="N34" s="107">
        <f t="shared" si="6"/>
        <v>80.599999999999994</v>
      </c>
      <c r="O34" s="107">
        <f t="shared" si="7"/>
        <v>8.06</v>
      </c>
      <c r="P34" s="9"/>
      <c r="Q34" s="35" t="str">
        <f t="shared" si="8"/>
        <v>207,00</v>
      </c>
      <c r="R34" s="35" t="str">
        <f t="shared" si="9"/>
        <v>,00</v>
      </c>
      <c r="S34" s="35" t="str">
        <f t="shared" si="10"/>
        <v>207,00</v>
      </c>
      <c r="T34" s="35" t="str">
        <f t="shared" si="11"/>
        <v>126,40</v>
      </c>
      <c r="U34" s="35" t="str">
        <f t="shared" si="12"/>
        <v>,00</v>
      </c>
      <c r="V34" s="35" t="str">
        <f t="shared" si="13"/>
        <v>126,40</v>
      </c>
      <c r="W34" s="35" t="str">
        <f t="shared" si="14"/>
        <v>80,60</v>
      </c>
      <c r="X34" s="35" t="str">
        <f t="shared" si="15"/>
        <v>,00</v>
      </c>
      <c r="Y34" s="35" t="str">
        <f t="shared" si="16"/>
        <v>8,06</v>
      </c>
      <c r="Z34" s="35" t="str">
        <f t="shared" si="17"/>
        <v>,00</v>
      </c>
      <c r="AA34" s="35" t="str">
        <f t="shared" si="18"/>
        <v>80,60</v>
      </c>
      <c r="AB34" s="35" t="str">
        <f t="shared" si="19"/>
        <v>8,06</v>
      </c>
    </row>
    <row r="35" spans="1:28" ht="16" x14ac:dyDescent="0.25">
      <c r="A35" s="24">
        <v>34</v>
      </c>
      <c r="B35" s="24" t="s">
        <v>1851</v>
      </c>
      <c r="C35" s="24" t="s">
        <v>31</v>
      </c>
      <c r="D35" s="116">
        <v>1011237.3000000003</v>
      </c>
      <c r="E35" s="116">
        <v>1497153.79</v>
      </c>
      <c r="F35" s="108">
        <f t="shared" si="0"/>
        <v>2508391.0900000003</v>
      </c>
      <c r="G35" s="116">
        <v>51577.409999999996</v>
      </c>
      <c r="H35" s="116">
        <v>107930.45999999999</v>
      </c>
      <c r="I35" s="28">
        <f t="shared" si="1"/>
        <v>159507.87</v>
      </c>
      <c r="J35" s="28">
        <f t="shared" si="2"/>
        <v>959659.89000000025</v>
      </c>
      <c r="K35" s="28">
        <f t="shared" si="3"/>
        <v>1389223.33</v>
      </c>
      <c r="L35" s="28">
        <f t="shared" si="4"/>
        <v>95965.989000000031</v>
      </c>
      <c r="M35" s="28">
        <f t="shared" si="5"/>
        <v>138922.33300000001</v>
      </c>
      <c r="N35" s="107">
        <f t="shared" si="6"/>
        <v>2348883.2200000002</v>
      </c>
      <c r="O35" s="107">
        <f t="shared" si="7"/>
        <v>234888.32200000004</v>
      </c>
      <c r="P35" s="9"/>
      <c r="Q35" s="35" t="str">
        <f t="shared" si="8"/>
        <v>1.011.237,30</v>
      </c>
      <c r="R35" s="35" t="str">
        <f t="shared" si="9"/>
        <v>1.497.153,79</v>
      </c>
      <c r="S35" s="35" t="str">
        <f t="shared" si="10"/>
        <v>2.508.391,09</v>
      </c>
      <c r="T35" s="35" t="str">
        <f t="shared" si="11"/>
        <v>51.577,41</v>
      </c>
      <c r="U35" s="35" t="str">
        <f t="shared" si="12"/>
        <v>107.930,46</v>
      </c>
      <c r="V35" s="35" t="str">
        <f t="shared" si="13"/>
        <v>159.507,87</v>
      </c>
      <c r="W35" s="35" t="str">
        <f t="shared" si="14"/>
        <v>959.659,89</v>
      </c>
      <c r="X35" s="35" t="str">
        <f t="shared" si="15"/>
        <v>1.389.223,33</v>
      </c>
      <c r="Y35" s="35" t="str">
        <f t="shared" si="16"/>
        <v>95.965,99</v>
      </c>
      <c r="Z35" s="35" t="str">
        <f t="shared" si="17"/>
        <v>138.922,33</v>
      </c>
      <c r="AA35" s="35" t="str">
        <f t="shared" si="18"/>
        <v>2.348.883,22</v>
      </c>
      <c r="AB35" s="35" t="str">
        <f t="shared" si="19"/>
        <v>234.888,32</v>
      </c>
    </row>
    <row r="36" spans="1:28" ht="16" x14ac:dyDescent="0.25">
      <c r="A36" s="24">
        <v>35</v>
      </c>
      <c r="B36" s="24" t="s">
        <v>1852</v>
      </c>
      <c r="C36" s="24" t="s">
        <v>40</v>
      </c>
      <c r="D36" s="116">
        <v>656158.68000000017</v>
      </c>
      <c r="E36" s="116">
        <v>1043094.9499999997</v>
      </c>
      <c r="F36" s="108">
        <f t="shared" si="0"/>
        <v>1699253.63</v>
      </c>
      <c r="G36" s="116">
        <v>66212.219999999987</v>
      </c>
      <c r="H36" s="116">
        <v>73315.48000000001</v>
      </c>
      <c r="I36" s="28">
        <f t="shared" si="1"/>
        <v>139527.70000000001</v>
      </c>
      <c r="J36" s="28">
        <f t="shared" si="2"/>
        <v>589946.4600000002</v>
      </c>
      <c r="K36" s="28">
        <f t="shared" si="3"/>
        <v>969779.46999999974</v>
      </c>
      <c r="L36" s="28">
        <f t="shared" si="4"/>
        <v>58994.646000000022</v>
      </c>
      <c r="M36" s="28">
        <f t="shared" si="5"/>
        <v>96977.946999999986</v>
      </c>
      <c r="N36" s="107">
        <f t="shared" si="6"/>
        <v>1559725.93</v>
      </c>
      <c r="O36" s="107">
        <f t="shared" si="7"/>
        <v>155972.59299999999</v>
      </c>
      <c r="P36" s="9"/>
      <c r="Q36" s="35" t="str">
        <f t="shared" si="8"/>
        <v>656.158,68</v>
      </c>
      <c r="R36" s="35" t="str">
        <f t="shared" si="9"/>
        <v>1.043.094,95</v>
      </c>
      <c r="S36" s="35" t="str">
        <f t="shared" si="10"/>
        <v>1.699.253,63</v>
      </c>
      <c r="T36" s="35" t="str">
        <f t="shared" si="11"/>
        <v>66.212,22</v>
      </c>
      <c r="U36" s="35" t="str">
        <f t="shared" si="12"/>
        <v>73.315,48</v>
      </c>
      <c r="V36" s="35" t="str">
        <f t="shared" si="13"/>
        <v>139.527,70</v>
      </c>
      <c r="W36" s="35" t="str">
        <f t="shared" si="14"/>
        <v>589.946,46</v>
      </c>
      <c r="X36" s="35" t="str">
        <f t="shared" si="15"/>
        <v>969.779,47</v>
      </c>
      <c r="Y36" s="35" t="str">
        <f t="shared" si="16"/>
        <v>58.994,65</v>
      </c>
      <c r="Z36" s="35" t="str">
        <f t="shared" si="17"/>
        <v>96.977,95</v>
      </c>
      <c r="AA36" s="35" t="str">
        <f t="shared" si="18"/>
        <v>1.559.725,93</v>
      </c>
      <c r="AB36" s="35" t="str">
        <f t="shared" si="19"/>
        <v>155.972,59</v>
      </c>
    </row>
    <row r="37" spans="1:28" ht="16" x14ac:dyDescent="0.25">
      <c r="A37" s="24">
        <v>36</v>
      </c>
      <c r="B37" s="24" t="s">
        <v>34</v>
      </c>
      <c r="C37" s="24" t="s">
        <v>313</v>
      </c>
      <c r="D37" s="116">
        <v>4355</v>
      </c>
      <c r="E37" s="116">
        <v>2429.3000000000002</v>
      </c>
      <c r="F37" s="108">
        <f t="shared" si="0"/>
        <v>6784.3</v>
      </c>
      <c r="G37" s="116">
        <v>1738.6</v>
      </c>
      <c r="H37" s="116">
        <v>28.3</v>
      </c>
      <c r="I37" s="28">
        <f t="shared" si="1"/>
        <v>1766.8999999999999</v>
      </c>
      <c r="J37" s="28">
        <f t="shared" si="2"/>
        <v>2616.4</v>
      </c>
      <c r="K37" s="28">
        <f t="shared" si="3"/>
        <v>2401</v>
      </c>
      <c r="L37" s="28">
        <f t="shared" si="4"/>
        <v>261.64000000000004</v>
      </c>
      <c r="M37" s="28">
        <f t="shared" si="5"/>
        <v>240.10000000000002</v>
      </c>
      <c r="N37" s="107">
        <f t="shared" si="6"/>
        <v>5017.4000000000005</v>
      </c>
      <c r="O37" s="107">
        <f t="shared" si="7"/>
        <v>501.74000000000007</v>
      </c>
      <c r="P37" s="9"/>
      <c r="Q37" s="35" t="str">
        <f t="shared" si="8"/>
        <v>4.355,00</v>
      </c>
      <c r="R37" s="35" t="str">
        <f t="shared" si="9"/>
        <v>2.429,30</v>
      </c>
      <c r="S37" s="35" t="str">
        <f t="shared" si="10"/>
        <v>6.784,30</v>
      </c>
      <c r="T37" s="35" t="str">
        <f t="shared" si="11"/>
        <v>1.738,60</v>
      </c>
      <c r="U37" s="35" t="str">
        <f t="shared" si="12"/>
        <v>28,30</v>
      </c>
      <c r="V37" s="35" t="str">
        <f t="shared" si="13"/>
        <v>1.766,90</v>
      </c>
      <c r="W37" s="35" t="str">
        <f t="shared" si="14"/>
        <v>2.616,40</v>
      </c>
      <c r="X37" s="35" t="str">
        <f t="shared" si="15"/>
        <v>2.401,00</v>
      </c>
      <c r="Y37" s="35" t="str">
        <f t="shared" si="16"/>
        <v>261,64</v>
      </c>
      <c r="Z37" s="35" t="str">
        <f t="shared" si="17"/>
        <v>240,10</v>
      </c>
      <c r="AA37" s="35" t="str">
        <f t="shared" si="18"/>
        <v>5.017,40</v>
      </c>
      <c r="AB37" s="35" t="str">
        <f t="shared" si="19"/>
        <v>501,74</v>
      </c>
    </row>
    <row r="38" spans="1:28" ht="16" x14ac:dyDescent="0.25">
      <c r="A38" s="24">
        <v>37</v>
      </c>
      <c r="B38" s="24" t="s">
        <v>514</v>
      </c>
      <c r="C38" s="24" t="s">
        <v>313</v>
      </c>
      <c r="D38" s="116">
        <v>1702.7</v>
      </c>
      <c r="E38" s="116">
        <v>502.7</v>
      </c>
      <c r="F38" s="108">
        <f t="shared" si="0"/>
        <v>2205.4</v>
      </c>
      <c r="G38" s="116">
        <v>0</v>
      </c>
      <c r="H38" s="116">
        <v>0</v>
      </c>
      <c r="I38" s="28">
        <f t="shared" si="1"/>
        <v>0</v>
      </c>
      <c r="J38" s="28">
        <f t="shared" si="2"/>
        <v>1702.7</v>
      </c>
      <c r="K38" s="28">
        <f t="shared" si="3"/>
        <v>502.7</v>
      </c>
      <c r="L38" s="28">
        <f t="shared" si="4"/>
        <v>170.27</v>
      </c>
      <c r="M38" s="28">
        <f t="shared" si="5"/>
        <v>50.27</v>
      </c>
      <c r="N38" s="107">
        <f t="shared" si="6"/>
        <v>2205.4</v>
      </c>
      <c r="O38" s="107">
        <f t="shared" si="7"/>
        <v>220.54000000000002</v>
      </c>
      <c r="P38" s="9"/>
      <c r="Q38" s="35" t="str">
        <f t="shared" si="8"/>
        <v>1.702,70</v>
      </c>
      <c r="R38" s="35" t="str">
        <f t="shared" si="9"/>
        <v>502,70</v>
      </c>
      <c r="S38" s="35" t="str">
        <f t="shared" si="10"/>
        <v>2.205,40</v>
      </c>
      <c r="T38" s="35" t="str">
        <f t="shared" si="11"/>
        <v>,00</v>
      </c>
      <c r="U38" s="35" t="str">
        <f t="shared" si="12"/>
        <v>,00</v>
      </c>
      <c r="V38" s="35" t="str">
        <f t="shared" si="13"/>
        <v>,00</v>
      </c>
      <c r="W38" s="35" t="str">
        <f t="shared" si="14"/>
        <v>1.702,70</v>
      </c>
      <c r="X38" s="35" t="str">
        <f t="shared" si="15"/>
        <v>502,70</v>
      </c>
      <c r="Y38" s="35" t="str">
        <f t="shared" si="16"/>
        <v>170,27</v>
      </c>
      <c r="Z38" s="35" t="str">
        <f t="shared" si="17"/>
        <v>50,27</v>
      </c>
      <c r="AA38" s="35" t="str">
        <f t="shared" si="18"/>
        <v>2.205,40</v>
      </c>
      <c r="AB38" s="35" t="str">
        <f t="shared" si="19"/>
        <v>220,54</v>
      </c>
    </row>
    <row r="39" spans="1:28" ht="16" x14ac:dyDescent="0.25">
      <c r="A39" s="24">
        <v>38</v>
      </c>
      <c r="B39" s="24" t="s">
        <v>2849</v>
      </c>
      <c r="C39" s="24" t="s">
        <v>313</v>
      </c>
      <c r="D39" s="116">
        <v>455.8</v>
      </c>
      <c r="E39" s="116">
        <v>45.8</v>
      </c>
      <c r="F39" s="108">
        <f t="shared" si="0"/>
        <v>501.6</v>
      </c>
      <c r="G39" s="116">
        <v>0</v>
      </c>
      <c r="H39" s="116">
        <v>0</v>
      </c>
      <c r="I39" s="28">
        <f t="shared" si="1"/>
        <v>0</v>
      </c>
      <c r="J39" s="28">
        <f t="shared" si="2"/>
        <v>455.8</v>
      </c>
      <c r="K39" s="28">
        <f t="shared" si="3"/>
        <v>45.8</v>
      </c>
      <c r="L39" s="28">
        <f t="shared" si="4"/>
        <v>45.580000000000005</v>
      </c>
      <c r="M39" s="28">
        <f t="shared" si="5"/>
        <v>4.58</v>
      </c>
      <c r="N39" s="107">
        <f t="shared" si="6"/>
        <v>501.6</v>
      </c>
      <c r="O39" s="107">
        <f t="shared" si="7"/>
        <v>50.160000000000004</v>
      </c>
      <c r="P39" s="9"/>
      <c r="Q39" s="35" t="str">
        <f t="shared" si="8"/>
        <v>455,80</v>
      </c>
      <c r="R39" s="35" t="str">
        <f t="shared" si="9"/>
        <v>45,80</v>
      </c>
      <c r="S39" s="35" t="str">
        <f t="shared" si="10"/>
        <v>501,60</v>
      </c>
      <c r="T39" s="35" t="str">
        <f t="shared" si="11"/>
        <v>,00</v>
      </c>
      <c r="U39" s="35" t="str">
        <f t="shared" si="12"/>
        <v>,00</v>
      </c>
      <c r="V39" s="35" t="str">
        <f t="shared" si="13"/>
        <v>,00</v>
      </c>
      <c r="W39" s="35" t="str">
        <f t="shared" si="14"/>
        <v>455,80</v>
      </c>
      <c r="X39" s="35" t="str">
        <f t="shared" si="15"/>
        <v>45,80</v>
      </c>
      <c r="Y39" s="35" t="str">
        <f t="shared" si="16"/>
        <v>45,58</v>
      </c>
      <c r="Z39" s="35" t="str">
        <f t="shared" si="17"/>
        <v>4,58</v>
      </c>
      <c r="AA39" s="35" t="str">
        <f t="shared" si="18"/>
        <v>501,60</v>
      </c>
      <c r="AB39" s="35" t="str">
        <f t="shared" si="19"/>
        <v>50,16</v>
      </c>
    </row>
    <row r="40" spans="1:28" ht="16" x14ac:dyDescent="0.25">
      <c r="A40" s="24">
        <v>39</v>
      </c>
      <c r="B40" s="24" t="s">
        <v>433</v>
      </c>
      <c r="C40" s="24" t="s">
        <v>313</v>
      </c>
      <c r="D40" s="116">
        <v>4.5999999999999996</v>
      </c>
      <c r="E40" s="116">
        <v>478.5</v>
      </c>
      <c r="F40" s="108">
        <f t="shared" si="0"/>
        <v>483.1</v>
      </c>
      <c r="G40" s="116">
        <v>0</v>
      </c>
      <c r="H40" s="116">
        <v>0</v>
      </c>
      <c r="I40" s="28">
        <f t="shared" si="1"/>
        <v>0</v>
      </c>
      <c r="J40" s="28">
        <f t="shared" si="2"/>
        <v>4.5999999999999996</v>
      </c>
      <c r="K40" s="28">
        <f t="shared" si="3"/>
        <v>478.5</v>
      </c>
      <c r="L40" s="28">
        <f t="shared" si="4"/>
        <v>0.45999999999999996</v>
      </c>
      <c r="M40" s="28">
        <f t="shared" si="5"/>
        <v>47.85</v>
      </c>
      <c r="N40" s="107">
        <f t="shared" si="6"/>
        <v>483.1</v>
      </c>
      <c r="O40" s="107">
        <f t="shared" si="7"/>
        <v>48.31</v>
      </c>
      <c r="P40" s="9"/>
      <c r="Q40" s="35" t="str">
        <f t="shared" si="8"/>
        <v>4,60</v>
      </c>
      <c r="R40" s="35" t="str">
        <f t="shared" si="9"/>
        <v>478,50</v>
      </c>
      <c r="S40" s="35" t="str">
        <f t="shared" si="10"/>
        <v>483,10</v>
      </c>
      <c r="T40" s="35" t="str">
        <f t="shared" si="11"/>
        <v>,00</v>
      </c>
      <c r="U40" s="35" t="str">
        <f t="shared" si="12"/>
        <v>,00</v>
      </c>
      <c r="V40" s="35" t="str">
        <f t="shared" si="13"/>
        <v>,00</v>
      </c>
      <c r="W40" s="35" t="str">
        <f t="shared" si="14"/>
        <v>4,60</v>
      </c>
      <c r="X40" s="35" t="str">
        <f t="shared" si="15"/>
        <v>478,50</v>
      </c>
      <c r="Y40" s="35" t="str">
        <f t="shared" si="16"/>
        <v>,46</v>
      </c>
      <c r="Z40" s="35" t="str">
        <f t="shared" si="17"/>
        <v>47,85</v>
      </c>
      <c r="AA40" s="35" t="str">
        <f t="shared" si="18"/>
        <v>483,10</v>
      </c>
      <c r="AB40" s="35" t="str">
        <f t="shared" si="19"/>
        <v>48,31</v>
      </c>
    </row>
    <row r="41" spans="1:28" ht="16" x14ac:dyDescent="0.25">
      <c r="A41" s="24">
        <v>40</v>
      </c>
      <c r="B41" s="24" t="s">
        <v>2885</v>
      </c>
      <c r="C41" s="24" t="s">
        <v>313</v>
      </c>
      <c r="D41" s="116">
        <v>288.7</v>
      </c>
      <c r="E41" s="116">
        <v>186.4</v>
      </c>
      <c r="F41" s="108">
        <f t="shared" si="0"/>
        <v>475.1</v>
      </c>
      <c r="G41" s="116">
        <v>0</v>
      </c>
      <c r="H41" s="116">
        <v>0</v>
      </c>
      <c r="I41" s="28">
        <f t="shared" si="1"/>
        <v>0</v>
      </c>
      <c r="J41" s="28">
        <f t="shared" si="2"/>
        <v>288.7</v>
      </c>
      <c r="K41" s="28">
        <f t="shared" si="3"/>
        <v>186.4</v>
      </c>
      <c r="L41" s="28">
        <f t="shared" si="4"/>
        <v>28.87</v>
      </c>
      <c r="M41" s="28">
        <f t="shared" si="5"/>
        <v>18.64</v>
      </c>
      <c r="N41" s="107">
        <f t="shared" si="6"/>
        <v>475.1</v>
      </c>
      <c r="O41" s="107">
        <f t="shared" si="7"/>
        <v>47.510000000000005</v>
      </c>
      <c r="P41" s="9"/>
      <c r="Q41" s="35" t="str">
        <f t="shared" si="8"/>
        <v>288,70</v>
      </c>
      <c r="R41" s="35" t="str">
        <f t="shared" si="9"/>
        <v>186,40</v>
      </c>
      <c r="S41" s="35" t="str">
        <f t="shared" si="10"/>
        <v>475,10</v>
      </c>
      <c r="T41" s="35" t="str">
        <f t="shared" si="11"/>
        <v>,00</v>
      </c>
      <c r="U41" s="35" t="str">
        <f t="shared" si="12"/>
        <v>,00</v>
      </c>
      <c r="V41" s="35" t="str">
        <f t="shared" si="13"/>
        <v>,00</v>
      </c>
      <c r="W41" s="35" t="str">
        <f t="shared" si="14"/>
        <v>288,70</v>
      </c>
      <c r="X41" s="35" t="str">
        <f t="shared" si="15"/>
        <v>186,40</v>
      </c>
      <c r="Y41" s="35" t="str">
        <f t="shared" si="16"/>
        <v>28,87</v>
      </c>
      <c r="Z41" s="35" t="str">
        <f t="shared" si="17"/>
        <v>18,64</v>
      </c>
      <c r="AA41" s="35" t="str">
        <f t="shared" si="18"/>
        <v>475,10</v>
      </c>
      <c r="AB41" s="35" t="str">
        <f t="shared" si="19"/>
        <v>47,51</v>
      </c>
    </row>
    <row r="42" spans="1:28" ht="16" x14ac:dyDescent="0.25">
      <c r="A42" s="24">
        <v>41</v>
      </c>
      <c r="B42" s="24" t="s">
        <v>515</v>
      </c>
      <c r="C42" s="24" t="s">
        <v>2</v>
      </c>
      <c r="D42" s="116">
        <v>2585.6999999999998</v>
      </c>
      <c r="E42" s="116">
        <v>1052.9000000000001</v>
      </c>
      <c r="F42" s="108">
        <f t="shared" si="0"/>
        <v>3638.6</v>
      </c>
      <c r="G42" s="116">
        <v>998.5</v>
      </c>
      <c r="H42" s="116">
        <v>0</v>
      </c>
      <c r="I42" s="28">
        <f t="shared" si="1"/>
        <v>998.5</v>
      </c>
      <c r="J42" s="28">
        <f t="shared" si="2"/>
        <v>1587.1999999999998</v>
      </c>
      <c r="K42" s="28">
        <f t="shared" si="3"/>
        <v>1052.9000000000001</v>
      </c>
      <c r="L42" s="28">
        <f t="shared" si="4"/>
        <v>158.72</v>
      </c>
      <c r="M42" s="28">
        <f t="shared" si="5"/>
        <v>105.29000000000002</v>
      </c>
      <c r="N42" s="107">
        <f t="shared" si="6"/>
        <v>2640.1</v>
      </c>
      <c r="O42" s="107">
        <f t="shared" si="7"/>
        <v>264.01</v>
      </c>
      <c r="P42" s="9"/>
      <c r="Q42" s="35" t="str">
        <f t="shared" si="8"/>
        <v>2.585,70</v>
      </c>
      <c r="R42" s="35" t="str">
        <f t="shared" si="9"/>
        <v>1.052,90</v>
      </c>
      <c r="S42" s="35" t="str">
        <f t="shared" si="10"/>
        <v>3.638,60</v>
      </c>
      <c r="T42" s="35" t="str">
        <f t="shared" si="11"/>
        <v>998,50</v>
      </c>
      <c r="U42" s="35" t="str">
        <f t="shared" si="12"/>
        <v>,00</v>
      </c>
      <c r="V42" s="35" t="str">
        <f t="shared" si="13"/>
        <v>998,50</v>
      </c>
      <c r="W42" s="35" t="str">
        <f t="shared" si="14"/>
        <v>1.587,20</v>
      </c>
      <c r="X42" s="35" t="str">
        <f t="shared" si="15"/>
        <v>1.052,90</v>
      </c>
      <c r="Y42" s="35" t="str">
        <f t="shared" si="16"/>
        <v>158,72</v>
      </c>
      <c r="Z42" s="35" t="str">
        <f t="shared" si="17"/>
        <v>105,29</v>
      </c>
      <c r="AA42" s="35" t="str">
        <f t="shared" si="18"/>
        <v>2.640,10</v>
      </c>
      <c r="AB42" s="35" t="str">
        <f t="shared" si="19"/>
        <v>264,01</v>
      </c>
    </row>
    <row r="43" spans="1:28" ht="16" x14ac:dyDescent="0.25">
      <c r="A43" s="24">
        <v>42</v>
      </c>
      <c r="B43" s="24" t="s">
        <v>34</v>
      </c>
      <c r="C43" s="24" t="s">
        <v>2</v>
      </c>
      <c r="D43" s="116">
        <v>1202.2</v>
      </c>
      <c r="E43" s="116">
        <v>2736.7</v>
      </c>
      <c r="F43" s="108">
        <f t="shared" si="0"/>
        <v>3938.8999999999996</v>
      </c>
      <c r="G43" s="116">
        <v>714.6</v>
      </c>
      <c r="H43" s="116">
        <v>2192.6</v>
      </c>
      <c r="I43" s="28">
        <f t="shared" si="1"/>
        <v>2907.2</v>
      </c>
      <c r="J43" s="28">
        <f t="shared" si="2"/>
        <v>487.6</v>
      </c>
      <c r="K43" s="28">
        <f t="shared" si="3"/>
        <v>544.09999999999991</v>
      </c>
      <c r="L43" s="28">
        <f t="shared" si="4"/>
        <v>48.760000000000005</v>
      </c>
      <c r="M43" s="28">
        <f t="shared" si="5"/>
        <v>54.41</v>
      </c>
      <c r="N43" s="107">
        <f t="shared" si="6"/>
        <v>1031.6999999999998</v>
      </c>
      <c r="O43" s="107">
        <f t="shared" si="7"/>
        <v>103.16999999999999</v>
      </c>
      <c r="P43" s="9"/>
      <c r="Q43" s="35" t="str">
        <f t="shared" si="8"/>
        <v>1.202,20</v>
      </c>
      <c r="R43" s="35" t="str">
        <f t="shared" si="9"/>
        <v>2.736,70</v>
      </c>
      <c r="S43" s="35" t="str">
        <f t="shared" si="10"/>
        <v>3.938,90</v>
      </c>
      <c r="T43" s="35" t="str">
        <f t="shared" si="11"/>
        <v>714,60</v>
      </c>
      <c r="U43" s="35" t="str">
        <f t="shared" si="12"/>
        <v>2.192,60</v>
      </c>
      <c r="V43" s="35" t="str">
        <f t="shared" si="13"/>
        <v>2.907,20</v>
      </c>
      <c r="W43" s="35" t="str">
        <f t="shared" si="14"/>
        <v>487,60</v>
      </c>
      <c r="X43" s="35" t="str">
        <f t="shared" si="15"/>
        <v>544,10</v>
      </c>
      <c r="Y43" s="35" t="str">
        <f t="shared" si="16"/>
        <v>48,76</v>
      </c>
      <c r="Z43" s="35" t="str">
        <f t="shared" si="17"/>
        <v>54,41</v>
      </c>
      <c r="AA43" s="35" t="str">
        <f t="shared" si="18"/>
        <v>1.031,70</v>
      </c>
      <c r="AB43" s="35" t="str">
        <f t="shared" si="19"/>
        <v>103,17</v>
      </c>
    </row>
    <row r="44" spans="1:28" ht="16" x14ac:dyDescent="0.25">
      <c r="A44" s="24">
        <v>43</v>
      </c>
      <c r="B44" s="24" t="s">
        <v>2264</v>
      </c>
      <c r="C44" s="24" t="s">
        <v>2</v>
      </c>
      <c r="D44" s="116">
        <v>507.2</v>
      </c>
      <c r="E44" s="116">
        <v>240.3</v>
      </c>
      <c r="F44" s="108">
        <f t="shared" si="0"/>
        <v>747.5</v>
      </c>
      <c r="G44" s="116">
        <v>0</v>
      </c>
      <c r="H44" s="116">
        <v>0</v>
      </c>
      <c r="I44" s="28">
        <f t="shared" si="1"/>
        <v>0</v>
      </c>
      <c r="J44" s="28">
        <f t="shared" si="2"/>
        <v>507.2</v>
      </c>
      <c r="K44" s="28">
        <f t="shared" si="3"/>
        <v>240.3</v>
      </c>
      <c r="L44" s="28">
        <f t="shared" si="4"/>
        <v>50.72</v>
      </c>
      <c r="M44" s="28">
        <f t="shared" si="5"/>
        <v>24.03</v>
      </c>
      <c r="N44" s="107">
        <f t="shared" si="6"/>
        <v>747.5</v>
      </c>
      <c r="O44" s="107">
        <f t="shared" si="7"/>
        <v>74.75</v>
      </c>
      <c r="P44" s="9"/>
      <c r="Q44" s="35" t="str">
        <f t="shared" si="8"/>
        <v>507,20</v>
      </c>
      <c r="R44" s="35" t="str">
        <f t="shared" si="9"/>
        <v>240,30</v>
      </c>
      <c r="S44" s="35" t="str">
        <f t="shared" si="10"/>
        <v>747,50</v>
      </c>
      <c r="T44" s="35" t="str">
        <f t="shared" si="11"/>
        <v>,00</v>
      </c>
      <c r="U44" s="35" t="str">
        <f t="shared" si="12"/>
        <v>,00</v>
      </c>
      <c r="V44" s="35" t="str">
        <f t="shared" si="13"/>
        <v>,00</v>
      </c>
      <c r="W44" s="35" t="str">
        <f t="shared" si="14"/>
        <v>507,20</v>
      </c>
      <c r="X44" s="35" t="str">
        <f t="shared" si="15"/>
        <v>240,30</v>
      </c>
      <c r="Y44" s="35" t="str">
        <f t="shared" si="16"/>
        <v>50,72</v>
      </c>
      <c r="Z44" s="35" t="str">
        <f t="shared" si="17"/>
        <v>24,03</v>
      </c>
      <c r="AA44" s="35" t="str">
        <f t="shared" si="18"/>
        <v>747,50</v>
      </c>
      <c r="AB44" s="35" t="str">
        <f t="shared" si="19"/>
        <v>74,75</v>
      </c>
    </row>
    <row r="45" spans="1:28" ht="16" x14ac:dyDescent="0.25">
      <c r="A45" s="24">
        <v>44</v>
      </c>
      <c r="B45" s="24" t="s">
        <v>2108</v>
      </c>
      <c r="C45" s="24" t="s">
        <v>2</v>
      </c>
      <c r="D45" s="116">
        <v>178.6</v>
      </c>
      <c r="E45" s="116">
        <v>433.3</v>
      </c>
      <c r="F45" s="108">
        <f t="shared" si="0"/>
        <v>611.9</v>
      </c>
      <c r="G45" s="116">
        <v>0</v>
      </c>
      <c r="H45" s="116">
        <v>0</v>
      </c>
      <c r="I45" s="28">
        <f t="shared" si="1"/>
        <v>0</v>
      </c>
      <c r="J45" s="28">
        <f t="shared" si="2"/>
        <v>178.6</v>
      </c>
      <c r="K45" s="28">
        <f t="shared" si="3"/>
        <v>433.3</v>
      </c>
      <c r="L45" s="28">
        <f t="shared" si="4"/>
        <v>17.86</v>
      </c>
      <c r="M45" s="28">
        <f t="shared" si="5"/>
        <v>43.330000000000005</v>
      </c>
      <c r="N45" s="107">
        <f t="shared" si="6"/>
        <v>611.9</v>
      </c>
      <c r="O45" s="107">
        <f t="shared" si="7"/>
        <v>61.19</v>
      </c>
      <c r="P45" s="9"/>
      <c r="Q45" s="35" t="str">
        <f t="shared" si="8"/>
        <v>178,60</v>
      </c>
      <c r="R45" s="35" t="str">
        <f t="shared" si="9"/>
        <v>433,30</v>
      </c>
      <c r="S45" s="35" t="str">
        <f t="shared" si="10"/>
        <v>611,90</v>
      </c>
      <c r="T45" s="35" t="str">
        <f t="shared" si="11"/>
        <v>,00</v>
      </c>
      <c r="U45" s="35" t="str">
        <f t="shared" si="12"/>
        <v>,00</v>
      </c>
      <c r="V45" s="35" t="str">
        <f t="shared" si="13"/>
        <v>,00</v>
      </c>
      <c r="W45" s="35" t="str">
        <f t="shared" si="14"/>
        <v>178,60</v>
      </c>
      <c r="X45" s="35" t="str">
        <f t="shared" si="15"/>
        <v>433,30</v>
      </c>
      <c r="Y45" s="35" t="str">
        <f t="shared" si="16"/>
        <v>17,86</v>
      </c>
      <c r="Z45" s="35" t="str">
        <f t="shared" si="17"/>
        <v>43,33</v>
      </c>
      <c r="AA45" s="35" t="str">
        <f t="shared" si="18"/>
        <v>611,90</v>
      </c>
      <c r="AB45" s="35" t="str">
        <f t="shared" si="19"/>
        <v>61,19</v>
      </c>
    </row>
    <row r="46" spans="1:28" ht="16" x14ac:dyDescent="0.25">
      <c r="A46" s="24">
        <v>45</v>
      </c>
      <c r="B46" s="24" t="s">
        <v>2016</v>
      </c>
      <c r="C46" s="24" t="s">
        <v>42</v>
      </c>
      <c r="D46" s="116">
        <v>99432.099999999991</v>
      </c>
      <c r="E46" s="116">
        <v>122188.51000000005</v>
      </c>
      <c r="F46" s="108">
        <f t="shared" si="0"/>
        <v>221620.61000000004</v>
      </c>
      <c r="G46" s="116">
        <v>11764.01</v>
      </c>
      <c r="H46" s="116">
        <v>16220.01</v>
      </c>
      <c r="I46" s="28">
        <f t="shared" si="1"/>
        <v>27984.02</v>
      </c>
      <c r="J46" s="28">
        <f t="shared" si="2"/>
        <v>87668.09</v>
      </c>
      <c r="K46" s="28">
        <f t="shared" si="3"/>
        <v>105968.50000000006</v>
      </c>
      <c r="L46" s="28">
        <f t="shared" si="4"/>
        <v>8766.8089999999993</v>
      </c>
      <c r="M46" s="28">
        <f t="shared" si="5"/>
        <v>10596.850000000006</v>
      </c>
      <c r="N46" s="107">
        <f t="shared" si="6"/>
        <v>193636.59000000005</v>
      </c>
      <c r="O46" s="107">
        <f t="shared" si="7"/>
        <v>19363.659000000007</v>
      </c>
      <c r="P46" s="9"/>
      <c r="Q46" s="35" t="str">
        <f t="shared" si="8"/>
        <v>99.432,10</v>
      </c>
      <c r="R46" s="35" t="str">
        <f t="shared" si="9"/>
        <v>122.188,51</v>
      </c>
      <c r="S46" s="35" t="str">
        <f t="shared" si="10"/>
        <v>221.620,61</v>
      </c>
      <c r="T46" s="35" t="str">
        <f t="shared" si="11"/>
        <v>11.764,01</v>
      </c>
      <c r="U46" s="35" t="str">
        <f t="shared" si="12"/>
        <v>16.220,01</v>
      </c>
      <c r="V46" s="35" t="str">
        <f t="shared" si="13"/>
        <v>27.984,02</v>
      </c>
      <c r="W46" s="35" t="str">
        <f t="shared" si="14"/>
        <v>87.668,09</v>
      </c>
      <c r="X46" s="35" t="str">
        <f t="shared" si="15"/>
        <v>105.968,50</v>
      </c>
      <c r="Y46" s="35" t="str">
        <f t="shared" si="16"/>
        <v>8.766,81</v>
      </c>
      <c r="Z46" s="35" t="str">
        <f t="shared" si="17"/>
        <v>10.596,85</v>
      </c>
      <c r="AA46" s="35" t="str">
        <f t="shared" si="18"/>
        <v>193.636,59</v>
      </c>
      <c r="AB46" s="35" t="str">
        <f t="shared" si="19"/>
        <v>19.363,66</v>
      </c>
    </row>
    <row r="47" spans="1:28" ht="16" x14ac:dyDescent="0.25">
      <c r="A47" s="24">
        <v>46</v>
      </c>
      <c r="B47" s="24" t="s">
        <v>2017</v>
      </c>
      <c r="C47" s="24" t="s">
        <v>44</v>
      </c>
      <c r="D47" s="116">
        <v>153308.38</v>
      </c>
      <c r="E47" s="116">
        <v>170715.19999999998</v>
      </c>
      <c r="F47" s="108">
        <f t="shared" si="0"/>
        <v>324023.57999999996</v>
      </c>
      <c r="G47" s="116">
        <v>20562.05</v>
      </c>
      <c r="H47" s="116">
        <v>24789.640000000003</v>
      </c>
      <c r="I47" s="28">
        <f t="shared" si="1"/>
        <v>45351.69</v>
      </c>
      <c r="J47" s="28">
        <f t="shared" si="2"/>
        <v>132746.33000000002</v>
      </c>
      <c r="K47" s="28">
        <f t="shared" si="3"/>
        <v>145925.55999999997</v>
      </c>
      <c r="L47" s="28">
        <f t="shared" si="4"/>
        <v>13274.633000000002</v>
      </c>
      <c r="M47" s="28">
        <f t="shared" si="5"/>
        <v>14592.555999999997</v>
      </c>
      <c r="N47" s="107">
        <f t="shared" si="6"/>
        <v>278671.88999999996</v>
      </c>
      <c r="O47" s="107">
        <f t="shared" si="7"/>
        <v>27867.188999999998</v>
      </c>
      <c r="P47" s="9"/>
      <c r="Q47" s="35" t="str">
        <f t="shared" si="8"/>
        <v>153.308,38</v>
      </c>
      <c r="R47" s="35" t="str">
        <f t="shared" si="9"/>
        <v>170.715,20</v>
      </c>
      <c r="S47" s="35" t="str">
        <f t="shared" si="10"/>
        <v>324.023,58</v>
      </c>
      <c r="T47" s="35" t="str">
        <f t="shared" si="11"/>
        <v>20.562,05</v>
      </c>
      <c r="U47" s="35" t="str">
        <f t="shared" si="12"/>
        <v>24.789,64</v>
      </c>
      <c r="V47" s="35" t="str">
        <f t="shared" si="13"/>
        <v>45.351,69</v>
      </c>
      <c r="W47" s="35" t="str">
        <f t="shared" si="14"/>
        <v>132.746,33</v>
      </c>
      <c r="X47" s="35" t="str">
        <f t="shared" si="15"/>
        <v>145.925,56</v>
      </c>
      <c r="Y47" s="35" t="str">
        <f t="shared" si="16"/>
        <v>13.274,63</v>
      </c>
      <c r="Z47" s="35" t="str">
        <f t="shared" si="17"/>
        <v>14.592,56</v>
      </c>
      <c r="AA47" s="35" t="str">
        <f t="shared" si="18"/>
        <v>278.671,89</v>
      </c>
      <c r="AB47" s="35" t="str">
        <f t="shared" si="19"/>
        <v>27.867,19</v>
      </c>
    </row>
    <row r="48" spans="1:28" ht="16" x14ac:dyDescent="0.25">
      <c r="A48" s="24">
        <v>47</v>
      </c>
      <c r="B48" s="24" t="s">
        <v>1816</v>
      </c>
      <c r="C48" s="24" t="s">
        <v>67</v>
      </c>
      <c r="D48" s="116">
        <v>3079.4</v>
      </c>
      <c r="E48" s="116">
        <v>5614.4</v>
      </c>
      <c r="F48" s="108">
        <f t="shared" si="0"/>
        <v>8693.7999999999993</v>
      </c>
      <c r="G48" s="116">
        <v>0</v>
      </c>
      <c r="H48" s="116">
        <v>0</v>
      </c>
      <c r="I48" s="28">
        <f t="shared" si="1"/>
        <v>0</v>
      </c>
      <c r="J48" s="28">
        <f t="shared" si="2"/>
        <v>3079.4</v>
      </c>
      <c r="K48" s="28">
        <f t="shared" si="3"/>
        <v>5614.4</v>
      </c>
      <c r="L48" s="28">
        <f t="shared" si="4"/>
        <v>307.94000000000005</v>
      </c>
      <c r="M48" s="28">
        <f t="shared" si="5"/>
        <v>561.43999999999994</v>
      </c>
      <c r="N48" s="107">
        <f t="shared" si="6"/>
        <v>8693.7999999999993</v>
      </c>
      <c r="O48" s="107">
        <f t="shared" si="7"/>
        <v>869.38</v>
      </c>
      <c r="P48" s="9"/>
      <c r="Q48" s="35" t="str">
        <f t="shared" si="8"/>
        <v>3.079,40</v>
      </c>
      <c r="R48" s="35" t="str">
        <f t="shared" si="9"/>
        <v>5.614,40</v>
      </c>
      <c r="S48" s="35" t="str">
        <f t="shared" si="10"/>
        <v>8.693,80</v>
      </c>
      <c r="T48" s="35" t="str">
        <f t="shared" si="11"/>
        <v>,00</v>
      </c>
      <c r="U48" s="35" t="str">
        <f t="shared" si="12"/>
        <v>,00</v>
      </c>
      <c r="V48" s="35" t="str">
        <f t="shared" si="13"/>
        <v>,00</v>
      </c>
      <c r="W48" s="35" t="str">
        <f t="shared" si="14"/>
        <v>3.079,40</v>
      </c>
      <c r="X48" s="35" t="str">
        <f t="shared" si="15"/>
        <v>5.614,40</v>
      </c>
      <c r="Y48" s="35" t="str">
        <f t="shared" si="16"/>
        <v>307,94</v>
      </c>
      <c r="Z48" s="35" t="str">
        <f t="shared" si="17"/>
        <v>561,44</v>
      </c>
      <c r="AA48" s="35" t="str">
        <f t="shared" si="18"/>
        <v>8.693,80</v>
      </c>
      <c r="AB48" s="35" t="str">
        <f t="shared" si="19"/>
        <v>869,38</v>
      </c>
    </row>
    <row r="49" spans="1:28" ht="16" x14ac:dyDescent="0.25">
      <c r="A49" s="24">
        <v>48</v>
      </c>
      <c r="B49" s="24" t="s">
        <v>34</v>
      </c>
      <c r="C49" s="24" t="s">
        <v>67</v>
      </c>
      <c r="D49" s="116">
        <v>4742.4000000000005</v>
      </c>
      <c r="E49" s="116">
        <v>8669.9</v>
      </c>
      <c r="F49" s="108">
        <f t="shared" si="0"/>
        <v>13412.3</v>
      </c>
      <c r="G49" s="116">
        <v>2660.5</v>
      </c>
      <c r="H49" s="116">
        <v>6140</v>
      </c>
      <c r="I49" s="28">
        <f t="shared" si="1"/>
        <v>8800.5</v>
      </c>
      <c r="J49" s="28">
        <f t="shared" si="2"/>
        <v>2081.9000000000005</v>
      </c>
      <c r="K49" s="28">
        <f t="shared" si="3"/>
        <v>2529.8999999999996</v>
      </c>
      <c r="L49" s="28">
        <f t="shared" si="4"/>
        <v>208.19000000000005</v>
      </c>
      <c r="M49" s="28">
        <f t="shared" si="5"/>
        <v>252.98999999999998</v>
      </c>
      <c r="N49" s="107">
        <f t="shared" si="6"/>
        <v>4611.7999999999993</v>
      </c>
      <c r="O49" s="107">
        <f t="shared" si="7"/>
        <v>461.17999999999995</v>
      </c>
      <c r="P49" s="9"/>
      <c r="Q49" s="35" t="str">
        <f t="shared" si="8"/>
        <v>4.742,40</v>
      </c>
      <c r="R49" s="35" t="str">
        <f t="shared" si="9"/>
        <v>8.669,90</v>
      </c>
      <c r="S49" s="35" t="str">
        <f t="shared" si="10"/>
        <v>13.412,30</v>
      </c>
      <c r="T49" s="35" t="str">
        <f t="shared" si="11"/>
        <v>2.660,50</v>
      </c>
      <c r="U49" s="35" t="str">
        <f t="shared" si="12"/>
        <v>6.140,00</v>
      </c>
      <c r="V49" s="35" t="str">
        <f t="shared" si="13"/>
        <v>8.800,50</v>
      </c>
      <c r="W49" s="35" t="str">
        <f t="shared" si="14"/>
        <v>2.081,90</v>
      </c>
      <c r="X49" s="35" t="str">
        <f t="shared" si="15"/>
        <v>2.529,90</v>
      </c>
      <c r="Y49" s="35" t="str">
        <f t="shared" si="16"/>
        <v>208,19</v>
      </c>
      <c r="Z49" s="35" t="str">
        <f t="shared" si="17"/>
        <v>252,99</v>
      </c>
      <c r="AA49" s="35" t="str">
        <f t="shared" si="18"/>
        <v>4.611,80</v>
      </c>
      <c r="AB49" s="35" t="str">
        <f t="shared" si="19"/>
        <v>461,18</v>
      </c>
    </row>
    <row r="50" spans="1:28" ht="16" x14ac:dyDescent="0.25">
      <c r="A50" s="24">
        <v>49</v>
      </c>
      <c r="B50" s="24" t="s">
        <v>2317</v>
      </c>
      <c r="C50" s="24" t="s">
        <v>67</v>
      </c>
      <c r="D50" s="116">
        <v>84.7</v>
      </c>
      <c r="E50" s="116">
        <v>34</v>
      </c>
      <c r="F50" s="108">
        <f t="shared" si="0"/>
        <v>118.7</v>
      </c>
      <c r="G50" s="116">
        <v>0</v>
      </c>
      <c r="H50" s="116">
        <v>0</v>
      </c>
      <c r="I50" s="28">
        <f t="shared" si="1"/>
        <v>0</v>
      </c>
      <c r="J50" s="28">
        <f t="shared" si="2"/>
        <v>84.7</v>
      </c>
      <c r="K50" s="28">
        <f t="shared" si="3"/>
        <v>34</v>
      </c>
      <c r="L50" s="28">
        <f t="shared" si="4"/>
        <v>8.4700000000000006</v>
      </c>
      <c r="M50" s="28">
        <f t="shared" si="5"/>
        <v>3.4000000000000004</v>
      </c>
      <c r="N50" s="107">
        <f t="shared" si="6"/>
        <v>118.7</v>
      </c>
      <c r="O50" s="107">
        <f t="shared" si="7"/>
        <v>11.870000000000001</v>
      </c>
      <c r="P50" s="9"/>
      <c r="Q50" s="35" t="str">
        <f t="shared" si="8"/>
        <v>84,70</v>
      </c>
      <c r="R50" s="35" t="str">
        <f t="shared" si="9"/>
        <v>34,00</v>
      </c>
      <c r="S50" s="35" t="str">
        <f t="shared" si="10"/>
        <v>118,70</v>
      </c>
      <c r="T50" s="35" t="str">
        <f t="shared" si="11"/>
        <v>,00</v>
      </c>
      <c r="U50" s="35" t="str">
        <f t="shared" si="12"/>
        <v>,00</v>
      </c>
      <c r="V50" s="35" t="str">
        <f t="shared" si="13"/>
        <v>,00</v>
      </c>
      <c r="W50" s="35" t="str">
        <f t="shared" si="14"/>
        <v>84,70</v>
      </c>
      <c r="X50" s="35" t="str">
        <f t="shared" si="15"/>
        <v>34,00</v>
      </c>
      <c r="Y50" s="35" t="str">
        <f t="shared" si="16"/>
        <v>8,47</v>
      </c>
      <c r="Z50" s="35" t="str">
        <f t="shared" si="17"/>
        <v>3,40</v>
      </c>
      <c r="AA50" s="35" t="str">
        <f t="shared" si="18"/>
        <v>118,70</v>
      </c>
      <c r="AB50" s="35" t="str">
        <f t="shared" si="19"/>
        <v>11,87</v>
      </c>
    </row>
    <row r="51" spans="1:28" ht="16" x14ac:dyDescent="0.25">
      <c r="A51" s="24">
        <v>50</v>
      </c>
      <c r="B51" s="24" t="s">
        <v>2315</v>
      </c>
      <c r="C51" s="24" t="s">
        <v>67</v>
      </c>
      <c r="D51" s="116">
        <v>73.3</v>
      </c>
      <c r="E51" s="116">
        <v>21.2</v>
      </c>
      <c r="F51" s="108">
        <f t="shared" si="0"/>
        <v>94.5</v>
      </c>
      <c r="G51" s="116">
        <v>1.3</v>
      </c>
      <c r="H51" s="116">
        <v>0</v>
      </c>
      <c r="I51" s="28">
        <f t="shared" si="1"/>
        <v>1.3</v>
      </c>
      <c r="J51" s="28">
        <f t="shared" si="2"/>
        <v>72</v>
      </c>
      <c r="K51" s="28">
        <f t="shared" si="3"/>
        <v>21.2</v>
      </c>
      <c r="L51" s="28">
        <f t="shared" si="4"/>
        <v>7.2</v>
      </c>
      <c r="M51" s="28">
        <f t="shared" si="5"/>
        <v>2.12</v>
      </c>
      <c r="N51" s="107">
        <f t="shared" si="6"/>
        <v>93.2</v>
      </c>
      <c r="O51" s="107">
        <f t="shared" si="7"/>
        <v>9.32</v>
      </c>
      <c r="P51" s="9"/>
      <c r="Q51" s="35" t="str">
        <f t="shared" si="8"/>
        <v>73,30</v>
      </c>
      <c r="R51" s="35" t="str">
        <f t="shared" si="9"/>
        <v>21,20</v>
      </c>
      <c r="S51" s="35" t="str">
        <f t="shared" si="10"/>
        <v>94,50</v>
      </c>
      <c r="T51" s="35" t="str">
        <f t="shared" si="11"/>
        <v>1,30</v>
      </c>
      <c r="U51" s="35" t="str">
        <f t="shared" si="12"/>
        <v>,00</v>
      </c>
      <c r="V51" s="35" t="str">
        <f t="shared" si="13"/>
        <v>1,30</v>
      </c>
      <c r="W51" s="35" t="str">
        <f t="shared" si="14"/>
        <v>72,00</v>
      </c>
      <c r="X51" s="35" t="str">
        <f t="shared" si="15"/>
        <v>21,20</v>
      </c>
      <c r="Y51" s="35" t="str">
        <f t="shared" si="16"/>
        <v>7,20</v>
      </c>
      <c r="Z51" s="35" t="str">
        <f t="shared" si="17"/>
        <v>2,12</v>
      </c>
      <c r="AA51" s="35" t="str">
        <f t="shared" si="18"/>
        <v>93,20</v>
      </c>
      <c r="AB51" s="35" t="str">
        <f t="shared" si="19"/>
        <v>9,32</v>
      </c>
    </row>
    <row r="52" spans="1:28" ht="16" x14ac:dyDescent="0.25">
      <c r="A52" s="24">
        <v>51</v>
      </c>
      <c r="B52" s="24" t="s">
        <v>527</v>
      </c>
      <c r="C52" s="24" t="s">
        <v>49</v>
      </c>
      <c r="D52" s="116">
        <v>7693</v>
      </c>
      <c r="E52" s="116">
        <v>4700.6000000000004</v>
      </c>
      <c r="F52" s="108">
        <f t="shared" si="0"/>
        <v>12393.6</v>
      </c>
      <c r="G52" s="116">
        <v>0</v>
      </c>
      <c r="H52" s="116">
        <v>0</v>
      </c>
      <c r="I52" s="28">
        <f t="shared" si="1"/>
        <v>0</v>
      </c>
      <c r="J52" s="28">
        <f t="shared" si="2"/>
        <v>7693</v>
      </c>
      <c r="K52" s="28">
        <f t="shared" si="3"/>
        <v>4700.6000000000004</v>
      </c>
      <c r="L52" s="28">
        <f t="shared" si="4"/>
        <v>769.30000000000007</v>
      </c>
      <c r="M52" s="28">
        <f t="shared" si="5"/>
        <v>470.06000000000006</v>
      </c>
      <c r="N52" s="107">
        <f t="shared" si="6"/>
        <v>12393.6</v>
      </c>
      <c r="O52" s="107">
        <f t="shared" si="7"/>
        <v>1239.3600000000001</v>
      </c>
      <c r="P52" s="9"/>
      <c r="Q52" s="35" t="str">
        <f t="shared" si="8"/>
        <v>7.693,00</v>
      </c>
      <c r="R52" s="35" t="str">
        <f t="shared" si="9"/>
        <v>4.700,60</v>
      </c>
      <c r="S52" s="35" t="str">
        <f t="shared" si="10"/>
        <v>12.393,60</v>
      </c>
      <c r="T52" s="35" t="str">
        <f t="shared" si="11"/>
        <v>,00</v>
      </c>
      <c r="U52" s="35" t="str">
        <f t="shared" si="12"/>
        <v>,00</v>
      </c>
      <c r="V52" s="35" t="str">
        <f t="shared" si="13"/>
        <v>,00</v>
      </c>
      <c r="W52" s="35" t="str">
        <f t="shared" si="14"/>
        <v>7.693,00</v>
      </c>
      <c r="X52" s="35" t="str">
        <f t="shared" si="15"/>
        <v>4.700,60</v>
      </c>
      <c r="Y52" s="35" t="str">
        <f t="shared" si="16"/>
        <v>769,30</v>
      </c>
      <c r="Z52" s="35" t="str">
        <f t="shared" si="17"/>
        <v>470,06</v>
      </c>
      <c r="AA52" s="35" t="str">
        <f t="shared" si="18"/>
        <v>12.393,60</v>
      </c>
      <c r="AB52" s="35" t="str">
        <f t="shared" si="19"/>
        <v>1.239,36</v>
      </c>
    </row>
    <row r="53" spans="1:28" ht="16" x14ac:dyDescent="0.25">
      <c r="A53" s="24">
        <v>52</v>
      </c>
      <c r="B53" s="24" t="s">
        <v>34</v>
      </c>
      <c r="C53" s="24" t="s">
        <v>49</v>
      </c>
      <c r="D53" s="116">
        <v>11720.9</v>
      </c>
      <c r="E53" s="116">
        <v>14569.2</v>
      </c>
      <c r="F53" s="108">
        <f t="shared" si="0"/>
        <v>26290.1</v>
      </c>
      <c r="G53" s="116">
        <v>5629.2</v>
      </c>
      <c r="H53" s="116">
        <v>8621.2999999999993</v>
      </c>
      <c r="I53" s="28">
        <f t="shared" si="1"/>
        <v>14250.5</v>
      </c>
      <c r="J53" s="28">
        <f t="shared" si="2"/>
        <v>6091.7</v>
      </c>
      <c r="K53" s="28">
        <f t="shared" si="3"/>
        <v>5947.9000000000015</v>
      </c>
      <c r="L53" s="28">
        <f t="shared" si="4"/>
        <v>609.16999999999996</v>
      </c>
      <c r="M53" s="28">
        <f t="shared" si="5"/>
        <v>594.79000000000019</v>
      </c>
      <c r="N53" s="107">
        <f t="shared" si="6"/>
        <v>12039.599999999999</v>
      </c>
      <c r="O53" s="107">
        <f t="shared" si="7"/>
        <v>1203.9599999999998</v>
      </c>
      <c r="P53" s="9"/>
      <c r="Q53" s="35" t="str">
        <f t="shared" si="8"/>
        <v>11.720,90</v>
      </c>
      <c r="R53" s="35" t="str">
        <f t="shared" si="9"/>
        <v>14.569,20</v>
      </c>
      <c r="S53" s="35" t="str">
        <f t="shared" si="10"/>
        <v>26.290,10</v>
      </c>
      <c r="T53" s="35" t="str">
        <f t="shared" si="11"/>
        <v>5.629,20</v>
      </c>
      <c r="U53" s="35" t="str">
        <f t="shared" si="12"/>
        <v>8.621,30</v>
      </c>
      <c r="V53" s="35" t="str">
        <f t="shared" si="13"/>
        <v>14.250,50</v>
      </c>
      <c r="W53" s="35" t="str">
        <f t="shared" si="14"/>
        <v>6.091,70</v>
      </c>
      <c r="X53" s="35" t="str">
        <f t="shared" si="15"/>
        <v>5.947,90</v>
      </c>
      <c r="Y53" s="35" t="str">
        <f t="shared" si="16"/>
        <v>609,17</v>
      </c>
      <c r="Z53" s="35" t="str">
        <f t="shared" si="17"/>
        <v>594,79</v>
      </c>
      <c r="AA53" s="35" t="str">
        <f t="shared" si="18"/>
        <v>12.039,60</v>
      </c>
      <c r="AB53" s="35" t="str">
        <f t="shared" si="19"/>
        <v>1.203,96</v>
      </c>
    </row>
    <row r="54" spans="1:28" ht="16" x14ac:dyDescent="0.25">
      <c r="A54" s="24">
        <v>53</v>
      </c>
      <c r="B54" s="24" t="s">
        <v>2243</v>
      </c>
      <c r="C54" s="24" t="s">
        <v>49</v>
      </c>
      <c r="D54" s="116">
        <v>6.1</v>
      </c>
      <c r="E54" s="116">
        <v>957.8</v>
      </c>
      <c r="F54" s="108">
        <f t="shared" si="0"/>
        <v>963.9</v>
      </c>
      <c r="G54" s="116">
        <v>0</v>
      </c>
      <c r="H54" s="116">
        <v>0</v>
      </c>
      <c r="I54" s="28">
        <f t="shared" si="1"/>
        <v>0</v>
      </c>
      <c r="J54" s="28">
        <f t="shared" si="2"/>
        <v>6.1</v>
      </c>
      <c r="K54" s="28">
        <f t="shared" si="3"/>
        <v>957.8</v>
      </c>
      <c r="L54" s="28">
        <f t="shared" si="4"/>
        <v>0.61</v>
      </c>
      <c r="M54" s="28">
        <f t="shared" si="5"/>
        <v>95.78</v>
      </c>
      <c r="N54" s="107">
        <f t="shared" si="6"/>
        <v>963.9</v>
      </c>
      <c r="O54" s="107">
        <f t="shared" si="7"/>
        <v>96.39</v>
      </c>
      <c r="P54" s="9"/>
      <c r="Q54" s="35" t="str">
        <f t="shared" si="8"/>
        <v>6,10</v>
      </c>
      <c r="R54" s="35" t="str">
        <f t="shared" si="9"/>
        <v>957,80</v>
      </c>
      <c r="S54" s="35" t="str">
        <f t="shared" si="10"/>
        <v>963,90</v>
      </c>
      <c r="T54" s="35" t="str">
        <f t="shared" si="11"/>
        <v>,00</v>
      </c>
      <c r="U54" s="35" t="str">
        <f t="shared" si="12"/>
        <v>,00</v>
      </c>
      <c r="V54" s="35" t="str">
        <f t="shared" si="13"/>
        <v>,00</v>
      </c>
      <c r="W54" s="35" t="str">
        <f t="shared" si="14"/>
        <v>6,10</v>
      </c>
      <c r="X54" s="35" t="str">
        <f t="shared" si="15"/>
        <v>957,80</v>
      </c>
      <c r="Y54" s="35" t="str">
        <f t="shared" si="16"/>
        <v>,61</v>
      </c>
      <c r="Z54" s="35" t="str">
        <f t="shared" si="17"/>
        <v>95,78</v>
      </c>
      <c r="AA54" s="35" t="str">
        <f t="shared" si="18"/>
        <v>963,90</v>
      </c>
      <c r="AB54" s="35" t="str">
        <f t="shared" si="19"/>
        <v>96,39</v>
      </c>
    </row>
    <row r="55" spans="1:28" ht="16" x14ac:dyDescent="0.25">
      <c r="A55" s="24">
        <v>54</v>
      </c>
      <c r="B55" s="24" t="s">
        <v>34</v>
      </c>
      <c r="C55" s="24" t="s">
        <v>529</v>
      </c>
      <c r="D55" s="116">
        <v>15.6</v>
      </c>
      <c r="E55" s="116">
        <v>94.4</v>
      </c>
      <c r="F55" s="108">
        <f t="shared" si="0"/>
        <v>110</v>
      </c>
      <c r="G55" s="116">
        <v>0</v>
      </c>
      <c r="H55" s="116">
        <v>0</v>
      </c>
      <c r="I55" s="28">
        <f t="shared" si="1"/>
        <v>0</v>
      </c>
      <c r="J55" s="28">
        <f t="shared" si="2"/>
        <v>15.6</v>
      </c>
      <c r="K55" s="28">
        <f t="shared" si="3"/>
        <v>94.4</v>
      </c>
      <c r="L55" s="28">
        <f t="shared" si="4"/>
        <v>1.56</v>
      </c>
      <c r="M55" s="28">
        <f t="shared" si="5"/>
        <v>9.4400000000000013</v>
      </c>
      <c r="N55" s="107">
        <f t="shared" si="6"/>
        <v>110</v>
      </c>
      <c r="O55" s="107">
        <f t="shared" si="7"/>
        <v>11</v>
      </c>
      <c r="P55" s="9"/>
      <c r="Q55" s="35" t="str">
        <f t="shared" si="8"/>
        <v>15,60</v>
      </c>
      <c r="R55" s="35" t="str">
        <f t="shared" si="9"/>
        <v>94,40</v>
      </c>
      <c r="S55" s="35" t="str">
        <f t="shared" si="10"/>
        <v>110,00</v>
      </c>
      <c r="T55" s="35" t="str">
        <f t="shared" si="11"/>
        <v>,00</v>
      </c>
      <c r="U55" s="35" t="str">
        <f t="shared" si="12"/>
        <v>,00</v>
      </c>
      <c r="V55" s="35" t="str">
        <f t="shared" si="13"/>
        <v>,00</v>
      </c>
      <c r="W55" s="35" t="str">
        <f t="shared" si="14"/>
        <v>15,60</v>
      </c>
      <c r="X55" s="35" t="str">
        <f t="shared" si="15"/>
        <v>94,40</v>
      </c>
      <c r="Y55" s="35" t="str">
        <f t="shared" si="16"/>
        <v>1,56</v>
      </c>
      <c r="Z55" s="35" t="str">
        <f t="shared" si="17"/>
        <v>9,44</v>
      </c>
      <c r="AA55" s="35" t="str">
        <f t="shared" si="18"/>
        <v>110,00</v>
      </c>
      <c r="AB55" s="35" t="str">
        <f t="shared" si="19"/>
        <v>11,00</v>
      </c>
    </row>
    <row r="56" spans="1:28" ht="16" x14ac:dyDescent="0.25">
      <c r="A56" s="24">
        <v>55</v>
      </c>
      <c r="B56" s="24" t="s">
        <v>167</v>
      </c>
      <c r="C56" s="24" t="s">
        <v>50</v>
      </c>
      <c r="D56" s="116">
        <v>1798.3000000000002</v>
      </c>
      <c r="E56" s="116">
        <v>4877.1000000000004</v>
      </c>
      <c r="F56" s="108">
        <f t="shared" si="0"/>
        <v>6675.4000000000005</v>
      </c>
      <c r="G56" s="116">
        <v>192.60000000000002</v>
      </c>
      <c r="H56" s="116">
        <v>1497.6000000000001</v>
      </c>
      <c r="I56" s="28">
        <f t="shared" si="1"/>
        <v>1690.2000000000003</v>
      </c>
      <c r="J56" s="28">
        <f t="shared" si="2"/>
        <v>1605.7000000000003</v>
      </c>
      <c r="K56" s="28">
        <f t="shared" si="3"/>
        <v>3379.5</v>
      </c>
      <c r="L56" s="28">
        <f t="shared" si="4"/>
        <v>160.57000000000005</v>
      </c>
      <c r="M56" s="28">
        <f t="shared" si="5"/>
        <v>337.95000000000005</v>
      </c>
      <c r="N56" s="107">
        <f t="shared" si="6"/>
        <v>4985.2000000000007</v>
      </c>
      <c r="O56" s="107">
        <f t="shared" si="7"/>
        <v>498.5200000000001</v>
      </c>
      <c r="P56" s="9"/>
      <c r="Q56" s="35" t="str">
        <f t="shared" si="8"/>
        <v>1.798,30</v>
      </c>
      <c r="R56" s="35" t="str">
        <f t="shared" si="9"/>
        <v>4.877,10</v>
      </c>
      <c r="S56" s="35" t="str">
        <f t="shared" si="10"/>
        <v>6.675,40</v>
      </c>
      <c r="T56" s="35" t="str">
        <f t="shared" si="11"/>
        <v>192,60</v>
      </c>
      <c r="U56" s="35" t="str">
        <f t="shared" si="12"/>
        <v>1.497,60</v>
      </c>
      <c r="V56" s="35" t="str">
        <f t="shared" si="13"/>
        <v>1.690,20</v>
      </c>
      <c r="W56" s="35" t="str">
        <f t="shared" si="14"/>
        <v>1.605,70</v>
      </c>
      <c r="X56" s="35" t="str">
        <f t="shared" si="15"/>
        <v>3.379,50</v>
      </c>
      <c r="Y56" s="35" t="str">
        <f t="shared" si="16"/>
        <v>160,57</v>
      </c>
      <c r="Z56" s="35" t="str">
        <f t="shared" si="17"/>
        <v>337,95</v>
      </c>
      <c r="AA56" s="35" t="str">
        <f t="shared" si="18"/>
        <v>4.985,20</v>
      </c>
      <c r="AB56" s="35" t="str">
        <f t="shared" si="19"/>
        <v>498,52</v>
      </c>
    </row>
    <row r="57" spans="1:28" ht="16" x14ac:dyDescent="0.25">
      <c r="A57" s="24">
        <v>56</v>
      </c>
      <c r="B57" s="24" t="s">
        <v>532</v>
      </c>
      <c r="C57" s="24" t="s">
        <v>50</v>
      </c>
      <c r="D57" s="116">
        <v>298.60000000000002</v>
      </c>
      <c r="E57" s="116">
        <v>2281.6</v>
      </c>
      <c r="F57" s="108">
        <f t="shared" si="0"/>
        <v>2580.1999999999998</v>
      </c>
      <c r="G57" s="116">
        <v>0</v>
      </c>
      <c r="H57" s="116">
        <v>0</v>
      </c>
      <c r="I57" s="28">
        <f t="shared" si="1"/>
        <v>0</v>
      </c>
      <c r="J57" s="28">
        <f t="shared" si="2"/>
        <v>298.60000000000002</v>
      </c>
      <c r="K57" s="28">
        <f t="shared" si="3"/>
        <v>2281.6</v>
      </c>
      <c r="L57" s="28">
        <f t="shared" si="4"/>
        <v>29.860000000000003</v>
      </c>
      <c r="M57" s="28">
        <f t="shared" si="5"/>
        <v>228.16</v>
      </c>
      <c r="N57" s="107">
        <f t="shared" si="6"/>
        <v>2580.1999999999998</v>
      </c>
      <c r="O57" s="107">
        <f t="shared" si="7"/>
        <v>258.02</v>
      </c>
      <c r="P57" s="9"/>
      <c r="Q57" s="35" t="str">
        <f t="shared" si="8"/>
        <v>298,60</v>
      </c>
      <c r="R57" s="35" t="str">
        <f t="shared" si="9"/>
        <v>2.281,60</v>
      </c>
      <c r="S57" s="35" t="str">
        <f t="shared" si="10"/>
        <v>2.580,20</v>
      </c>
      <c r="T57" s="35" t="str">
        <f t="shared" si="11"/>
        <v>,00</v>
      </c>
      <c r="U57" s="35" t="str">
        <f t="shared" si="12"/>
        <v>,00</v>
      </c>
      <c r="V57" s="35" t="str">
        <f t="shared" si="13"/>
        <v>,00</v>
      </c>
      <c r="W57" s="35" t="str">
        <f t="shared" si="14"/>
        <v>298,60</v>
      </c>
      <c r="X57" s="35" t="str">
        <f t="shared" si="15"/>
        <v>2.281,60</v>
      </c>
      <c r="Y57" s="35" t="str">
        <f t="shared" si="16"/>
        <v>29,86</v>
      </c>
      <c r="Z57" s="35" t="str">
        <f t="shared" si="17"/>
        <v>228,16</v>
      </c>
      <c r="AA57" s="35" t="str">
        <f t="shared" si="18"/>
        <v>2.580,20</v>
      </c>
      <c r="AB57" s="35" t="str">
        <f t="shared" si="19"/>
        <v>258,02</v>
      </c>
    </row>
    <row r="58" spans="1:28" ht="16" x14ac:dyDescent="0.25">
      <c r="A58" s="24">
        <v>57</v>
      </c>
      <c r="B58" s="24" t="s">
        <v>34</v>
      </c>
      <c r="C58" s="24" t="s">
        <v>50</v>
      </c>
      <c r="D58" s="116">
        <v>812.40000000000009</v>
      </c>
      <c r="E58" s="116">
        <v>2389.5</v>
      </c>
      <c r="F58" s="108">
        <f t="shared" si="0"/>
        <v>3201.9</v>
      </c>
      <c r="G58" s="116">
        <v>78.8</v>
      </c>
      <c r="H58" s="116">
        <v>704.90000000000009</v>
      </c>
      <c r="I58" s="28">
        <f t="shared" si="1"/>
        <v>783.7</v>
      </c>
      <c r="J58" s="28">
        <f t="shared" si="2"/>
        <v>733.60000000000014</v>
      </c>
      <c r="K58" s="28">
        <f t="shared" si="3"/>
        <v>1684.6</v>
      </c>
      <c r="L58" s="28">
        <f t="shared" si="4"/>
        <v>73.360000000000014</v>
      </c>
      <c r="M58" s="28">
        <f t="shared" si="5"/>
        <v>168.46</v>
      </c>
      <c r="N58" s="107">
        <f t="shared" si="6"/>
        <v>2418.1999999999998</v>
      </c>
      <c r="O58" s="107">
        <f t="shared" si="7"/>
        <v>241.82</v>
      </c>
      <c r="P58" s="9"/>
      <c r="Q58" s="35" t="str">
        <f t="shared" si="8"/>
        <v>812,40</v>
      </c>
      <c r="R58" s="35" t="str">
        <f t="shared" si="9"/>
        <v>2.389,50</v>
      </c>
      <c r="S58" s="35" t="str">
        <f t="shared" si="10"/>
        <v>3.201,90</v>
      </c>
      <c r="T58" s="35" t="str">
        <f t="shared" si="11"/>
        <v>78,80</v>
      </c>
      <c r="U58" s="35" t="str">
        <f t="shared" si="12"/>
        <v>704,90</v>
      </c>
      <c r="V58" s="35" t="str">
        <f t="shared" si="13"/>
        <v>783,70</v>
      </c>
      <c r="W58" s="35" t="str">
        <f t="shared" si="14"/>
        <v>733,60</v>
      </c>
      <c r="X58" s="35" t="str">
        <f t="shared" si="15"/>
        <v>1.684,60</v>
      </c>
      <c r="Y58" s="35" t="str">
        <f t="shared" si="16"/>
        <v>73,36</v>
      </c>
      <c r="Z58" s="35" t="str">
        <f t="shared" si="17"/>
        <v>168,46</v>
      </c>
      <c r="AA58" s="35" t="str">
        <f t="shared" si="18"/>
        <v>2.418,20</v>
      </c>
      <c r="AB58" s="35" t="str">
        <f t="shared" si="19"/>
        <v>241,82</v>
      </c>
    </row>
    <row r="59" spans="1:28" ht="16" x14ac:dyDescent="0.25">
      <c r="A59" s="24">
        <v>58</v>
      </c>
      <c r="B59" s="24" t="s">
        <v>531</v>
      </c>
      <c r="C59" s="24" t="s">
        <v>50</v>
      </c>
      <c r="D59" s="116">
        <v>788.1</v>
      </c>
      <c r="E59" s="116">
        <v>714</v>
      </c>
      <c r="F59" s="108">
        <f t="shared" si="0"/>
        <v>1502.1</v>
      </c>
      <c r="G59" s="116">
        <v>0</v>
      </c>
      <c r="H59" s="116">
        <v>0</v>
      </c>
      <c r="I59" s="28">
        <f t="shared" si="1"/>
        <v>0</v>
      </c>
      <c r="J59" s="28">
        <f t="shared" si="2"/>
        <v>788.1</v>
      </c>
      <c r="K59" s="28">
        <f t="shared" si="3"/>
        <v>714</v>
      </c>
      <c r="L59" s="28">
        <f t="shared" si="4"/>
        <v>78.81</v>
      </c>
      <c r="M59" s="28">
        <f t="shared" si="5"/>
        <v>71.400000000000006</v>
      </c>
      <c r="N59" s="107">
        <f t="shared" si="6"/>
        <v>1502.1</v>
      </c>
      <c r="O59" s="107">
        <f t="shared" si="7"/>
        <v>150.21</v>
      </c>
      <c r="P59" s="9"/>
      <c r="Q59" s="35" t="str">
        <f t="shared" si="8"/>
        <v>788,10</v>
      </c>
      <c r="R59" s="35" t="str">
        <f t="shared" si="9"/>
        <v>714,00</v>
      </c>
      <c r="S59" s="35" t="str">
        <f t="shared" si="10"/>
        <v>1.502,10</v>
      </c>
      <c r="T59" s="35" t="str">
        <f t="shared" si="11"/>
        <v>,00</v>
      </c>
      <c r="U59" s="35" t="str">
        <f t="shared" si="12"/>
        <v>,00</v>
      </c>
      <c r="V59" s="35" t="str">
        <f t="shared" si="13"/>
        <v>,00</v>
      </c>
      <c r="W59" s="35" t="str">
        <f t="shared" si="14"/>
        <v>788,10</v>
      </c>
      <c r="X59" s="35" t="str">
        <f t="shared" si="15"/>
        <v>714,00</v>
      </c>
      <c r="Y59" s="35" t="str">
        <f t="shared" si="16"/>
        <v>78,81</v>
      </c>
      <c r="Z59" s="35" t="str">
        <f t="shared" si="17"/>
        <v>71,40</v>
      </c>
      <c r="AA59" s="35" t="str">
        <f t="shared" si="18"/>
        <v>1.502,10</v>
      </c>
      <c r="AB59" s="35" t="str">
        <f t="shared" si="19"/>
        <v>150,21</v>
      </c>
    </row>
    <row r="60" spans="1:28" ht="16" x14ac:dyDescent="0.25">
      <c r="A60" s="24">
        <v>59</v>
      </c>
      <c r="B60" s="24" t="s">
        <v>279</v>
      </c>
      <c r="C60" s="24" t="s">
        <v>50</v>
      </c>
      <c r="D60" s="116">
        <v>162.4</v>
      </c>
      <c r="E60" s="116">
        <v>508.2</v>
      </c>
      <c r="F60" s="108">
        <f t="shared" si="0"/>
        <v>670.6</v>
      </c>
      <c r="G60" s="116">
        <v>0</v>
      </c>
      <c r="H60" s="116">
        <v>0</v>
      </c>
      <c r="I60" s="28">
        <f t="shared" si="1"/>
        <v>0</v>
      </c>
      <c r="J60" s="28">
        <f t="shared" si="2"/>
        <v>162.4</v>
      </c>
      <c r="K60" s="28">
        <f t="shared" si="3"/>
        <v>508.2</v>
      </c>
      <c r="L60" s="28">
        <f t="shared" si="4"/>
        <v>16.240000000000002</v>
      </c>
      <c r="M60" s="28">
        <f t="shared" si="5"/>
        <v>50.82</v>
      </c>
      <c r="N60" s="107">
        <f t="shared" si="6"/>
        <v>670.6</v>
      </c>
      <c r="O60" s="107">
        <f t="shared" si="7"/>
        <v>67.06</v>
      </c>
      <c r="P60" s="9"/>
      <c r="Q60" s="35" t="str">
        <f t="shared" si="8"/>
        <v>162,40</v>
      </c>
      <c r="R60" s="35" t="str">
        <f t="shared" si="9"/>
        <v>508,20</v>
      </c>
      <c r="S60" s="35" t="str">
        <f t="shared" si="10"/>
        <v>670,60</v>
      </c>
      <c r="T60" s="35" t="str">
        <f t="shared" si="11"/>
        <v>,00</v>
      </c>
      <c r="U60" s="35" t="str">
        <f t="shared" si="12"/>
        <v>,00</v>
      </c>
      <c r="V60" s="35" t="str">
        <f t="shared" si="13"/>
        <v>,00</v>
      </c>
      <c r="W60" s="35" t="str">
        <f t="shared" si="14"/>
        <v>162,40</v>
      </c>
      <c r="X60" s="35" t="str">
        <f t="shared" si="15"/>
        <v>508,20</v>
      </c>
      <c r="Y60" s="35" t="str">
        <f t="shared" si="16"/>
        <v>16,24</v>
      </c>
      <c r="Z60" s="35" t="str">
        <f t="shared" si="17"/>
        <v>50,82</v>
      </c>
      <c r="AA60" s="35" t="str">
        <f t="shared" si="18"/>
        <v>670,60</v>
      </c>
      <c r="AB60" s="35" t="str">
        <f t="shared" si="19"/>
        <v>67,06</v>
      </c>
    </row>
    <row r="61" spans="1:28" ht="16" x14ac:dyDescent="0.25">
      <c r="A61" s="24">
        <v>60</v>
      </c>
      <c r="B61" s="24" t="s">
        <v>34</v>
      </c>
      <c r="C61" s="24" t="s">
        <v>199</v>
      </c>
      <c r="D61" s="116">
        <v>15455.5</v>
      </c>
      <c r="E61" s="116">
        <v>5983.9</v>
      </c>
      <c r="F61" s="108">
        <f t="shared" si="0"/>
        <v>21439.4</v>
      </c>
      <c r="G61" s="116">
        <v>5522.1</v>
      </c>
      <c r="H61" s="116">
        <v>1636.1000000000001</v>
      </c>
      <c r="I61" s="28">
        <f t="shared" si="1"/>
        <v>7158.2000000000007</v>
      </c>
      <c r="J61" s="28">
        <f t="shared" si="2"/>
        <v>9933.4</v>
      </c>
      <c r="K61" s="28">
        <f t="shared" si="3"/>
        <v>4347.7999999999993</v>
      </c>
      <c r="L61" s="28">
        <f t="shared" si="4"/>
        <v>993.34</v>
      </c>
      <c r="M61" s="28">
        <f t="shared" si="5"/>
        <v>434.78</v>
      </c>
      <c r="N61" s="107">
        <f t="shared" si="6"/>
        <v>14281.2</v>
      </c>
      <c r="O61" s="107">
        <f t="shared" si="7"/>
        <v>1428.1200000000001</v>
      </c>
      <c r="P61" s="9"/>
      <c r="Q61" s="35" t="str">
        <f t="shared" si="8"/>
        <v>15.455,50</v>
      </c>
      <c r="R61" s="35" t="str">
        <f t="shared" si="9"/>
        <v>5.983,90</v>
      </c>
      <c r="S61" s="35" t="str">
        <f t="shared" si="10"/>
        <v>21.439,40</v>
      </c>
      <c r="T61" s="35" t="str">
        <f t="shared" si="11"/>
        <v>5.522,10</v>
      </c>
      <c r="U61" s="35" t="str">
        <f t="shared" si="12"/>
        <v>1.636,10</v>
      </c>
      <c r="V61" s="35" t="str">
        <f t="shared" si="13"/>
        <v>7.158,20</v>
      </c>
      <c r="W61" s="35" t="str">
        <f t="shared" si="14"/>
        <v>9.933,40</v>
      </c>
      <c r="X61" s="35" t="str">
        <f t="shared" si="15"/>
        <v>4.347,80</v>
      </c>
      <c r="Y61" s="35" t="str">
        <f t="shared" si="16"/>
        <v>993,34</v>
      </c>
      <c r="Z61" s="35" t="str">
        <f t="shared" si="17"/>
        <v>434,78</v>
      </c>
      <c r="AA61" s="35" t="str">
        <f t="shared" si="18"/>
        <v>14.281,20</v>
      </c>
      <c r="AB61" s="35" t="str">
        <f t="shared" si="19"/>
        <v>1.428,12</v>
      </c>
    </row>
    <row r="62" spans="1:28" ht="16" x14ac:dyDescent="0.25">
      <c r="A62" s="24">
        <v>61</v>
      </c>
      <c r="B62" s="24" t="s">
        <v>258</v>
      </c>
      <c r="C62" s="24" t="s">
        <v>199</v>
      </c>
      <c r="D62" s="116">
        <v>917.5</v>
      </c>
      <c r="E62" s="116"/>
      <c r="F62" s="108">
        <f t="shared" si="0"/>
        <v>917.5</v>
      </c>
      <c r="G62" s="116">
        <v>0</v>
      </c>
      <c r="H62" s="116"/>
      <c r="I62" s="28">
        <f t="shared" si="1"/>
        <v>0</v>
      </c>
      <c r="J62" s="28">
        <f t="shared" si="2"/>
        <v>917.5</v>
      </c>
      <c r="K62" s="28">
        <f t="shared" si="3"/>
        <v>0</v>
      </c>
      <c r="L62" s="28">
        <f t="shared" si="4"/>
        <v>91.75</v>
      </c>
      <c r="M62" s="28">
        <f t="shared" si="5"/>
        <v>0</v>
      </c>
      <c r="N62" s="107">
        <f t="shared" si="6"/>
        <v>917.5</v>
      </c>
      <c r="O62" s="107">
        <f t="shared" si="7"/>
        <v>91.75</v>
      </c>
      <c r="P62" s="9"/>
      <c r="Q62" s="35" t="str">
        <f t="shared" si="8"/>
        <v>917,50</v>
      </c>
      <c r="R62" s="35" t="str">
        <f t="shared" si="9"/>
        <v>,00</v>
      </c>
      <c r="S62" s="35" t="str">
        <f t="shared" si="10"/>
        <v>917,50</v>
      </c>
      <c r="T62" s="35" t="str">
        <f t="shared" si="11"/>
        <v>,00</v>
      </c>
      <c r="U62" s="35" t="str">
        <f t="shared" si="12"/>
        <v>,00</v>
      </c>
      <c r="V62" s="35" t="str">
        <f t="shared" si="13"/>
        <v>,00</v>
      </c>
      <c r="W62" s="35" t="str">
        <f t="shared" si="14"/>
        <v>917,50</v>
      </c>
      <c r="X62" s="35" t="str">
        <f t="shared" si="15"/>
        <v>,00</v>
      </c>
      <c r="Y62" s="35" t="str">
        <f t="shared" si="16"/>
        <v>91,75</v>
      </c>
      <c r="Z62" s="35" t="str">
        <f t="shared" si="17"/>
        <v>,00</v>
      </c>
      <c r="AA62" s="35" t="str">
        <f t="shared" si="18"/>
        <v>917,50</v>
      </c>
      <c r="AB62" s="35" t="str">
        <f t="shared" si="19"/>
        <v>91,75</v>
      </c>
    </row>
    <row r="63" spans="1:28" ht="16" x14ac:dyDescent="0.25">
      <c r="A63" s="24">
        <v>62</v>
      </c>
      <c r="B63" s="24" t="s">
        <v>34</v>
      </c>
      <c r="C63" s="24" t="s">
        <v>358</v>
      </c>
      <c r="D63" s="116">
        <v>1315.8999999999999</v>
      </c>
      <c r="E63" s="116">
        <v>13052.199999999999</v>
      </c>
      <c r="F63" s="108">
        <f t="shared" si="0"/>
        <v>14368.099999999999</v>
      </c>
      <c r="G63" s="116">
        <v>439.2</v>
      </c>
      <c r="H63" s="116">
        <v>8164.9</v>
      </c>
      <c r="I63" s="28">
        <f t="shared" si="1"/>
        <v>8604.1</v>
      </c>
      <c r="J63" s="28">
        <f t="shared" si="2"/>
        <v>876.69999999999982</v>
      </c>
      <c r="K63" s="28">
        <f t="shared" si="3"/>
        <v>4887.2999999999993</v>
      </c>
      <c r="L63" s="28">
        <f t="shared" si="4"/>
        <v>87.669999999999987</v>
      </c>
      <c r="M63" s="28">
        <f t="shared" si="5"/>
        <v>488.72999999999996</v>
      </c>
      <c r="N63" s="107">
        <f t="shared" si="6"/>
        <v>5763.9999999999982</v>
      </c>
      <c r="O63" s="107">
        <f t="shared" si="7"/>
        <v>576.39999999999986</v>
      </c>
      <c r="P63" s="9"/>
      <c r="Q63" s="35" t="str">
        <f t="shared" si="8"/>
        <v>1.315,90</v>
      </c>
      <c r="R63" s="35" t="str">
        <f t="shared" si="9"/>
        <v>13.052,20</v>
      </c>
      <c r="S63" s="35" t="str">
        <f t="shared" si="10"/>
        <v>14.368,10</v>
      </c>
      <c r="T63" s="35" t="str">
        <f t="shared" si="11"/>
        <v>439,20</v>
      </c>
      <c r="U63" s="35" t="str">
        <f t="shared" si="12"/>
        <v>8.164,90</v>
      </c>
      <c r="V63" s="35" t="str">
        <f t="shared" si="13"/>
        <v>8.604,10</v>
      </c>
      <c r="W63" s="35" t="str">
        <f t="shared" si="14"/>
        <v>876,70</v>
      </c>
      <c r="X63" s="35" t="str">
        <f t="shared" si="15"/>
        <v>4.887,30</v>
      </c>
      <c r="Y63" s="35" t="str">
        <f t="shared" si="16"/>
        <v>87,67</v>
      </c>
      <c r="Z63" s="35" t="str">
        <f t="shared" si="17"/>
        <v>488,73</v>
      </c>
      <c r="AA63" s="35" t="str">
        <f t="shared" si="18"/>
        <v>5.764,00</v>
      </c>
      <c r="AB63" s="35" t="str">
        <f t="shared" si="19"/>
        <v>576,40</v>
      </c>
    </row>
    <row r="64" spans="1:28" ht="16" x14ac:dyDescent="0.25">
      <c r="A64" s="24">
        <v>63</v>
      </c>
      <c r="B64" s="24" t="s">
        <v>359</v>
      </c>
      <c r="C64" s="24" t="s">
        <v>358</v>
      </c>
      <c r="D64" s="116">
        <v>902.6</v>
      </c>
      <c r="E64" s="116">
        <v>249.7</v>
      </c>
      <c r="F64" s="108">
        <f t="shared" ref="F64:F125" si="20">D64+E64</f>
        <v>1152.3</v>
      </c>
      <c r="G64" s="116">
        <v>317.60000000000002</v>
      </c>
      <c r="H64" s="116">
        <v>196</v>
      </c>
      <c r="I64" s="28">
        <f t="shared" ref="I64:I125" si="21">G64+H64</f>
        <v>513.6</v>
      </c>
      <c r="J64" s="28">
        <f t="shared" ref="J64:J125" si="22">D64-G64</f>
        <v>585</v>
      </c>
      <c r="K64" s="28">
        <f t="shared" ref="K64:K125" si="23">E64-H64</f>
        <v>53.699999999999989</v>
      </c>
      <c r="L64" s="28">
        <f t="shared" ref="L64:L125" si="24">J64*0.1</f>
        <v>58.5</v>
      </c>
      <c r="M64" s="28">
        <f t="shared" ref="M64:M125" si="25">K64*0.1</f>
        <v>5.3699999999999992</v>
      </c>
      <c r="N64" s="107">
        <f t="shared" ref="N64:N125" si="26">F64-I64</f>
        <v>638.69999999999993</v>
      </c>
      <c r="O64" s="107">
        <f t="shared" ref="O64:O125" si="27">N64*0.1</f>
        <v>63.87</v>
      </c>
      <c r="P64" s="9"/>
      <c r="Q64" s="35" t="str">
        <f t="shared" ref="Q64:Q125" si="28">TEXT(D64,"#.###,00")</f>
        <v>902,60</v>
      </c>
      <c r="R64" s="35" t="str">
        <f t="shared" ref="R64:R125" si="29">TEXT(E64,"#.###,00")</f>
        <v>249,70</v>
      </c>
      <c r="S64" s="35" t="str">
        <f t="shared" ref="S64:S125" si="30">TEXT(F64,"#.###,00")</f>
        <v>1.152,30</v>
      </c>
      <c r="T64" s="35" t="str">
        <f t="shared" ref="T64:T125" si="31">TEXT(G64,"#.###,00")</f>
        <v>317,60</v>
      </c>
      <c r="U64" s="35" t="str">
        <f t="shared" ref="U64:U125" si="32">TEXT(H64,"#.###,00")</f>
        <v>196,00</v>
      </c>
      <c r="V64" s="35" t="str">
        <f t="shared" ref="V64:V125" si="33">TEXT(I64,"#.###,00")</f>
        <v>513,60</v>
      </c>
      <c r="W64" s="35" t="str">
        <f t="shared" ref="W64:W125" si="34">TEXT(J64,"#.###,00")</f>
        <v>585,00</v>
      </c>
      <c r="X64" s="35" t="str">
        <f t="shared" ref="X64:X125" si="35">TEXT(K64,"#.###,00")</f>
        <v>53,70</v>
      </c>
      <c r="Y64" s="35" t="str">
        <f t="shared" ref="Y64:Y125" si="36">TEXT(L64,"#.###,00")</f>
        <v>58,50</v>
      </c>
      <c r="Z64" s="35" t="str">
        <f t="shared" ref="Z64:Z125" si="37">TEXT(M64,"#.###,00")</f>
        <v>5,37</v>
      </c>
      <c r="AA64" s="35" t="str">
        <f t="shared" ref="AA64:AA125" si="38">TEXT(N64,"#.###,00")</f>
        <v>638,70</v>
      </c>
      <c r="AB64" s="35" t="str">
        <f t="shared" ref="AB64:AB125" si="39">TEXT(O64,"#.###,00")</f>
        <v>63,87</v>
      </c>
    </row>
    <row r="65" spans="1:28" ht="16" x14ac:dyDescent="0.25">
      <c r="A65" s="24">
        <v>64</v>
      </c>
      <c r="B65" s="24" t="s">
        <v>2307</v>
      </c>
      <c r="C65" s="24" t="s">
        <v>358</v>
      </c>
      <c r="D65" s="116">
        <v>273.5</v>
      </c>
      <c r="E65" s="116">
        <v>247.8</v>
      </c>
      <c r="F65" s="108">
        <f t="shared" si="20"/>
        <v>521.29999999999995</v>
      </c>
      <c r="G65" s="116">
        <v>0</v>
      </c>
      <c r="H65" s="116">
        <v>0</v>
      </c>
      <c r="I65" s="28">
        <f t="shared" si="21"/>
        <v>0</v>
      </c>
      <c r="J65" s="28">
        <f t="shared" si="22"/>
        <v>273.5</v>
      </c>
      <c r="K65" s="28">
        <f t="shared" si="23"/>
        <v>247.8</v>
      </c>
      <c r="L65" s="28">
        <f t="shared" si="24"/>
        <v>27.35</v>
      </c>
      <c r="M65" s="28">
        <f t="shared" si="25"/>
        <v>24.78</v>
      </c>
      <c r="N65" s="107">
        <f t="shared" si="26"/>
        <v>521.29999999999995</v>
      </c>
      <c r="O65" s="107">
        <f t="shared" si="27"/>
        <v>52.129999999999995</v>
      </c>
      <c r="P65" s="9"/>
      <c r="Q65" s="35" t="str">
        <f t="shared" si="28"/>
        <v>273,50</v>
      </c>
      <c r="R65" s="35" t="str">
        <f t="shared" si="29"/>
        <v>247,80</v>
      </c>
      <c r="S65" s="35" t="str">
        <f t="shared" si="30"/>
        <v>521,30</v>
      </c>
      <c r="T65" s="35" t="str">
        <f t="shared" si="31"/>
        <v>,00</v>
      </c>
      <c r="U65" s="35" t="str">
        <f t="shared" si="32"/>
        <v>,00</v>
      </c>
      <c r="V65" s="35" t="str">
        <f t="shared" si="33"/>
        <v>,00</v>
      </c>
      <c r="W65" s="35" t="str">
        <f t="shared" si="34"/>
        <v>273,50</v>
      </c>
      <c r="X65" s="35" t="str">
        <f t="shared" si="35"/>
        <v>247,80</v>
      </c>
      <c r="Y65" s="35" t="str">
        <f t="shared" si="36"/>
        <v>27,35</v>
      </c>
      <c r="Z65" s="35" t="str">
        <f t="shared" si="37"/>
        <v>24,78</v>
      </c>
      <c r="AA65" s="35" t="str">
        <f t="shared" si="38"/>
        <v>521,30</v>
      </c>
      <c r="AB65" s="35" t="str">
        <f t="shared" si="39"/>
        <v>52,13</v>
      </c>
    </row>
    <row r="66" spans="1:28" ht="16" x14ac:dyDescent="0.25">
      <c r="A66" s="24">
        <v>65</v>
      </c>
      <c r="B66" s="24" t="s">
        <v>34</v>
      </c>
      <c r="C66" s="24" t="s">
        <v>51</v>
      </c>
      <c r="D66" s="116">
        <v>51898.36</v>
      </c>
      <c r="E66" s="116">
        <v>69887.789999999994</v>
      </c>
      <c r="F66" s="108">
        <f t="shared" si="20"/>
        <v>121786.15</v>
      </c>
      <c r="G66" s="116">
        <v>590.6</v>
      </c>
      <c r="H66" s="116">
        <v>697.1</v>
      </c>
      <c r="I66" s="28">
        <f t="shared" si="21"/>
        <v>1287.7</v>
      </c>
      <c r="J66" s="28">
        <f t="shared" si="22"/>
        <v>51307.76</v>
      </c>
      <c r="K66" s="28">
        <f t="shared" si="23"/>
        <v>69190.689999999988</v>
      </c>
      <c r="L66" s="28">
        <f t="shared" si="24"/>
        <v>5130.7760000000007</v>
      </c>
      <c r="M66" s="28">
        <f t="shared" si="25"/>
        <v>6919.0689999999995</v>
      </c>
      <c r="N66" s="107">
        <f t="shared" si="26"/>
        <v>120498.45</v>
      </c>
      <c r="O66" s="107">
        <f t="shared" si="27"/>
        <v>12049.845000000001</v>
      </c>
      <c r="P66" s="9"/>
      <c r="Q66" s="35" t="str">
        <f t="shared" si="28"/>
        <v>51.898,36</v>
      </c>
      <c r="R66" s="35" t="str">
        <f t="shared" si="29"/>
        <v>69.887,79</v>
      </c>
      <c r="S66" s="35" t="str">
        <f t="shared" si="30"/>
        <v>121.786,15</v>
      </c>
      <c r="T66" s="35" t="str">
        <f t="shared" si="31"/>
        <v>590,60</v>
      </c>
      <c r="U66" s="35" t="str">
        <f t="shared" si="32"/>
        <v>697,10</v>
      </c>
      <c r="V66" s="35" t="str">
        <f t="shared" si="33"/>
        <v>1.287,70</v>
      </c>
      <c r="W66" s="35" t="str">
        <f t="shared" si="34"/>
        <v>51.307,76</v>
      </c>
      <c r="X66" s="35" t="str">
        <f t="shared" si="35"/>
        <v>69.190,69</v>
      </c>
      <c r="Y66" s="35" t="str">
        <f t="shared" si="36"/>
        <v>5.130,78</v>
      </c>
      <c r="Z66" s="35" t="str">
        <f t="shared" si="37"/>
        <v>6.919,07</v>
      </c>
      <c r="AA66" s="35" t="str">
        <f t="shared" si="38"/>
        <v>120.498,45</v>
      </c>
      <c r="AB66" s="35" t="str">
        <f t="shared" si="39"/>
        <v>12.049,85</v>
      </c>
    </row>
    <row r="67" spans="1:28" ht="16" x14ac:dyDescent="0.25">
      <c r="A67" s="24">
        <v>66</v>
      </c>
      <c r="B67" s="24" t="s">
        <v>316</v>
      </c>
      <c r="C67" s="24" t="s">
        <v>51</v>
      </c>
      <c r="D67" s="116">
        <v>166.6</v>
      </c>
      <c r="E67" s="116">
        <v>3.4</v>
      </c>
      <c r="F67" s="108">
        <f t="shared" si="20"/>
        <v>170</v>
      </c>
      <c r="G67" s="116">
        <v>0</v>
      </c>
      <c r="H67" s="116">
        <v>0</v>
      </c>
      <c r="I67" s="28">
        <f t="shared" si="21"/>
        <v>0</v>
      </c>
      <c r="J67" s="28">
        <f t="shared" si="22"/>
        <v>166.6</v>
      </c>
      <c r="K67" s="28">
        <f t="shared" si="23"/>
        <v>3.4</v>
      </c>
      <c r="L67" s="28">
        <f t="shared" si="24"/>
        <v>16.66</v>
      </c>
      <c r="M67" s="28">
        <f t="shared" si="25"/>
        <v>0.34</v>
      </c>
      <c r="N67" s="107">
        <f t="shared" si="26"/>
        <v>170</v>
      </c>
      <c r="O67" s="107">
        <f t="shared" si="27"/>
        <v>17</v>
      </c>
      <c r="P67" s="9"/>
      <c r="Q67" s="35" t="str">
        <f t="shared" si="28"/>
        <v>166,60</v>
      </c>
      <c r="R67" s="35" t="str">
        <f t="shared" si="29"/>
        <v>3,40</v>
      </c>
      <c r="S67" s="35" t="str">
        <f t="shared" si="30"/>
        <v>170,00</v>
      </c>
      <c r="T67" s="35" t="str">
        <f t="shared" si="31"/>
        <v>,00</v>
      </c>
      <c r="U67" s="35" t="str">
        <f t="shared" si="32"/>
        <v>,00</v>
      </c>
      <c r="V67" s="35" t="str">
        <f t="shared" si="33"/>
        <v>,00</v>
      </c>
      <c r="W67" s="35" t="str">
        <f t="shared" si="34"/>
        <v>166,60</v>
      </c>
      <c r="X67" s="35" t="str">
        <f t="shared" si="35"/>
        <v>3,40</v>
      </c>
      <c r="Y67" s="35" t="str">
        <f t="shared" si="36"/>
        <v>16,66</v>
      </c>
      <c r="Z67" s="35" t="str">
        <f t="shared" si="37"/>
        <v>,34</v>
      </c>
      <c r="AA67" s="35" t="str">
        <f t="shared" si="38"/>
        <v>170,00</v>
      </c>
      <c r="AB67" s="35" t="str">
        <f t="shared" si="39"/>
        <v>17,00</v>
      </c>
    </row>
    <row r="68" spans="1:28" ht="16" x14ac:dyDescent="0.25">
      <c r="A68" s="24">
        <v>67</v>
      </c>
      <c r="B68" s="24" t="s">
        <v>317</v>
      </c>
      <c r="C68" s="24" t="s">
        <v>51</v>
      </c>
      <c r="D68" s="116">
        <v>5.4</v>
      </c>
      <c r="E68" s="116">
        <v>103.3</v>
      </c>
      <c r="F68" s="108">
        <f t="shared" si="20"/>
        <v>108.7</v>
      </c>
      <c r="G68" s="116">
        <v>0</v>
      </c>
      <c r="H68" s="116">
        <v>0</v>
      </c>
      <c r="I68" s="28">
        <f t="shared" si="21"/>
        <v>0</v>
      </c>
      <c r="J68" s="28">
        <f t="shared" si="22"/>
        <v>5.4</v>
      </c>
      <c r="K68" s="28">
        <f t="shared" si="23"/>
        <v>103.3</v>
      </c>
      <c r="L68" s="28">
        <f t="shared" si="24"/>
        <v>0.54</v>
      </c>
      <c r="M68" s="28">
        <f t="shared" si="25"/>
        <v>10.33</v>
      </c>
      <c r="N68" s="107">
        <f t="shared" si="26"/>
        <v>108.7</v>
      </c>
      <c r="O68" s="107">
        <f t="shared" si="27"/>
        <v>10.870000000000001</v>
      </c>
      <c r="P68" s="9"/>
      <c r="Q68" s="35" t="str">
        <f t="shared" si="28"/>
        <v>5,40</v>
      </c>
      <c r="R68" s="35" t="str">
        <f t="shared" si="29"/>
        <v>103,30</v>
      </c>
      <c r="S68" s="35" t="str">
        <f t="shared" si="30"/>
        <v>108,70</v>
      </c>
      <c r="T68" s="35" t="str">
        <f t="shared" si="31"/>
        <v>,00</v>
      </c>
      <c r="U68" s="35" t="str">
        <f t="shared" si="32"/>
        <v>,00</v>
      </c>
      <c r="V68" s="35" t="str">
        <f t="shared" si="33"/>
        <v>,00</v>
      </c>
      <c r="W68" s="35" t="str">
        <f t="shared" si="34"/>
        <v>5,40</v>
      </c>
      <c r="X68" s="35" t="str">
        <f t="shared" si="35"/>
        <v>103,30</v>
      </c>
      <c r="Y68" s="35" t="str">
        <f t="shared" si="36"/>
        <v>,54</v>
      </c>
      <c r="Z68" s="35" t="str">
        <f t="shared" si="37"/>
        <v>10,33</v>
      </c>
      <c r="AA68" s="35" t="str">
        <f t="shared" si="38"/>
        <v>108,70</v>
      </c>
      <c r="AB68" s="35" t="str">
        <f t="shared" si="39"/>
        <v>10,87</v>
      </c>
    </row>
    <row r="69" spans="1:28" ht="16" x14ac:dyDescent="0.25">
      <c r="A69" s="24">
        <v>68</v>
      </c>
      <c r="B69" s="24" t="s">
        <v>535</v>
      </c>
      <c r="C69" s="24" t="s">
        <v>51</v>
      </c>
      <c r="D69" s="116">
        <v>5.4</v>
      </c>
      <c r="E69" s="116">
        <v>103.3</v>
      </c>
      <c r="F69" s="108">
        <f t="shared" si="20"/>
        <v>108.7</v>
      </c>
      <c r="G69" s="116">
        <v>0</v>
      </c>
      <c r="H69" s="116">
        <v>0</v>
      </c>
      <c r="I69" s="28">
        <f t="shared" si="21"/>
        <v>0</v>
      </c>
      <c r="J69" s="28">
        <f t="shared" si="22"/>
        <v>5.4</v>
      </c>
      <c r="K69" s="28">
        <f t="shared" si="23"/>
        <v>103.3</v>
      </c>
      <c r="L69" s="28">
        <f t="shared" si="24"/>
        <v>0.54</v>
      </c>
      <c r="M69" s="28">
        <f t="shared" si="25"/>
        <v>10.33</v>
      </c>
      <c r="N69" s="107">
        <f t="shared" si="26"/>
        <v>108.7</v>
      </c>
      <c r="O69" s="107">
        <f t="shared" si="27"/>
        <v>10.870000000000001</v>
      </c>
      <c r="P69" s="9"/>
      <c r="Q69" s="35" t="str">
        <f t="shared" si="28"/>
        <v>5,40</v>
      </c>
      <c r="R69" s="35" t="str">
        <f t="shared" si="29"/>
        <v>103,30</v>
      </c>
      <c r="S69" s="35" t="str">
        <f t="shared" si="30"/>
        <v>108,70</v>
      </c>
      <c r="T69" s="35" t="str">
        <f t="shared" si="31"/>
        <v>,00</v>
      </c>
      <c r="U69" s="35" t="str">
        <f t="shared" si="32"/>
        <v>,00</v>
      </c>
      <c r="V69" s="35" t="str">
        <f t="shared" si="33"/>
        <v>,00</v>
      </c>
      <c r="W69" s="35" t="str">
        <f t="shared" si="34"/>
        <v>5,40</v>
      </c>
      <c r="X69" s="35" t="str">
        <f t="shared" si="35"/>
        <v>103,30</v>
      </c>
      <c r="Y69" s="35" t="str">
        <f t="shared" si="36"/>
        <v>,54</v>
      </c>
      <c r="Z69" s="35" t="str">
        <f t="shared" si="37"/>
        <v>10,33</v>
      </c>
      <c r="AA69" s="35" t="str">
        <f t="shared" si="38"/>
        <v>108,70</v>
      </c>
      <c r="AB69" s="35" t="str">
        <f t="shared" si="39"/>
        <v>10,87</v>
      </c>
    </row>
    <row r="70" spans="1:28" ht="16" x14ac:dyDescent="0.25">
      <c r="A70" s="24">
        <v>69</v>
      </c>
      <c r="B70" s="24" t="s">
        <v>34</v>
      </c>
      <c r="C70" s="24" t="s">
        <v>69</v>
      </c>
      <c r="D70" s="116">
        <v>5204.7000000000007</v>
      </c>
      <c r="E70" s="116">
        <v>10965.5</v>
      </c>
      <c r="F70" s="108">
        <f t="shared" si="20"/>
        <v>16170.2</v>
      </c>
      <c r="G70" s="116">
        <v>169.6</v>
      </c>
      <c r="H70" s="116">
        <v>865</v>
      </c>
      <c r="I70" s="28">
        <f t="shared" si="21"/>
        <v>1034.5999999999999</v>
      </c>
      <c r="J70" s="28">
        <f t="shared" si="22"/>
        <v>5035.1000000000004</v>
      </c>
      <c r="K70" s="28">
        <f t="shared" si="23"/>
        <v>10100.5</v>
      </c>
      <c r="L70" s="28">
        <f t="shared" si="24"/>
        <v>503.51000000000005</v>
      </c>
      <c r="M70" s="28">
        <f t="shared" si="25"/>
        <v>1010.0500000000001</v>
      </c>
      <c r="N70" s="107">
        <f t="shared" si="26"/>
        <v>15135.6</v>
      </c>
      <c r="O70" s="107">
        <f t="shared" si="27"/>
        <v>1513.5600000000002</v>
      </c>
      <c r="P70" s="9"/>
      <c r="Q70" s="35" t="str">
        <f t="shared" si="28"/>
        <v>5.204,70</v>
      </c>
      <c r="R70" s="35" t="str">
        <f t="shared" si="29"/>
        <v>10.965,50</v>
      </c>
      <c r="S70" s="35" t="str">
        <f t="shared" si="30"/>
        <v>16.170,20</v>
      </c>
      <c r="T70" s="35" t="str">
        <f t="shared" si="31"/>
        <v>169,60</v>
      </c>
      <c r="U70" s="35" t="str">
        <f t="shared" si="32"/>
        <v>865,00</v>
      </c>
      <c r="V70" s="35" t="str">
        <f t="shared" si="33"/>
        <v>1.034,60</v>
      </c>
      <c r="W70" s="35" t="str">
        <f t="shared" si="34"/>
        <v>5.035,10</v>
      </c>
      <c r="X70" s="35" t="str">
        <f t="shared" si="35"/>
        <v>10.100,50</v>
      </c>
      <c r="Y70" s="35" t="str">
        <f t="shared" si="36"/>
        <v>503,51</v>
      </c>
      <c r="Z70" s="35" t="str">
        <f t="shared" si="37"/>
        <v>1.010,05</v>
      </c>
      <c r="AA70" s="35" t="str">
        <f t="shared" si="38"/>
        <v>15.135,60</v>
      </c>
      <c r="AB70" s="35" t="str">
        <f t="shared" si="39"/>
        <v>1.513,56</v>
      </c>
    </row>
    <row r="71" spans="1:28" ht="16" x14ac:dyDescent="0.25">
      <c r="A71" s="24">
        <v>70</v>
      </c>
      <c r="B71" s="24" t="s">
        <v>2053</v>
      </c>
      <c r="C71" s="24" t="s">
        <v>69</v>
      </c>
      <c r="D71" s="116">
        <v>738.3</v>
      </c>
      <c r="E71" s="116">
        <v>549.70000000000005</v>
      </c>
      <c r="F71" s="108">
        <f t="shared" si="20"/>
        <v>1288</v>
      </c>
      <c r="G71" s="116">
        <v>0</v>
      </c>
      <c r="H71" s="116">
        <v>0</v>
      </c>
      <c r="I71" s="28">
        <f t="shared" si="21"/>
        <v>0</v>
      </c>
      <c r="J71" s="28">
        <f t="shared" si="22"/>
        <v>738.3</v>
      </c>
      <c r="K71" s="28">
        <f t="shared" si="23"/>
        <v>549.70000000000005</v>
      </c>
      <c r="L71" s="28">
        <f t="shared" si="24"/>
        <v>73.83</v>
      </c>
      <c r="M71" s="28">
        <f t="shared" si="25"/>
        <v>54.970000000000006</v>
      </c>
      <c r="N71" s="107">
        <f t="shared" si="26"/>
        <v>1288</v>
      </c>
      <c r="O71" s="107">
        <f t="shared" si="27"/>
        <v>128.80000000000001</v>
      </c>
      <c r="P71" s="9"/>
      <c r="Q71" s="35" t="str">
        <f t="shared" si="28"/>
        <v>738,30</v>
      </c>
      <c r="R71" s="35" t="str">
        <f t="shared" si="29"/>
        <v>549,70</v>
      </c>
      <c r="S71" s="35" t="str">
        <f t="shared" si="30"/>
        <v>1.288,00</v>
      </c>
      <c r="T71" s="35" t="str">
        <f t="shared" si="31"/>
        <v>,00</v>
      </c>
      <c r="U71" s="35" t="str">
        <f t="shared" si="32"/>
        <v>,00</v>
      </c>
      <c r="V71" s="35" t="str">
        <f t="shared" si="33"/>
        <v>,00</v>
      </c>
      <c r="W71" s="35" t="str">
        <f t="shared" si="34"/>
        <v>738,30</v>
      </c>
      <c r="X71" s="35" t="str">
        <f t="shared" si="35"/>
        <v>549,70</v>
      </c>
      <c r="Y71" s="35" t="str">
        <f t="shared" si="36"/>
        <v>73,83</v>
      </c>
      <c r="Z71" s="35" t="str">
        <f t="shared" si="37"/>
        <v>54,97</v>
      </c>
      <c r="AA71" s="35" t="str">
        <f t="shared" si="38"/>
        <v>1.288,00</v>
      </c>
      <c r="AB71" s="35" t="str">
        <f t="shared" si="39"/>
        <v>128,80</v>
      </c>
    </row>
    <row r="72" spans="1:28" ht="16" x14ac:dyDescent="0.25">
      <c r="A72" s="24">
        <v>71</v>
      </c>
      <c r="B72" s="24" t="s">
        <v>2155</v>
      </c>
      <c r="C72" s="24" t="s">
        <v>69</v>
      </c>
      <c r="D72" s="116">
        <v>3.3</v>
      </c>
      <c r="E72" s="116">
        <v>121.3</v>
      </c>
      <c r="F72" s="108">
        <f t="shared" si="20"/>
        <v>124.6</v>
      </c>
      <c r="G72" s="116">
        <v>0</v>
      </c>
      <c r="H72" s="116">
        <v>0</v>
      </c>
      <c r="I72" s="28">
        <f t="shared" si="21"/>
        <v>0</v>
      </c>
      <c r="J72" s="28">
        <f t="shared" si="22"/>
        <v>3.3</v>
      </c>
      <c r="K72" s="28">
        <f t="shared" si="23"/>
        <v>121.3</v>
      </c>
      <c r="L72" s="28">
        <f t="shared" si="24"/>
        <v>0.33</v>
      </c>
      <c r="M72" s="28">
        <f t="shared" si="25"/>
        <v>12.13</v>
      </c>
      <c r="N72" s="107">
        <f t="shared" si="26"/>
        <v>124.6</v>
      </c>
      <c r="O72" s="107">
        <f t="shared" si="27"/>
        <v>12.46</v>
      </c>
      <c r="P72" s="9"/>
      <c r="Q72" s="35" t="str">
        <f t="shared" si="28"/>
        <v>3,30</v>
      </c>
      <c r="R72" s="35" t="str">
        <f t="shared" si="29"/>
        <v>121,30</v>
      </c>
      <c r="S72" s="35" t="str">
        <f t="shared" si="30"/>
        <v>124,60</v>
      </c>
      <c r="T72" s="35" t="str">
        <f t="shared" si="31"/>
        <v>,00</v>
      </c>
      <c r="U72" s="35" t="str">
        <f t="shared" si="32"/>
        <v>,00</v>
      </c>
      <c r="V72" s="35" t="str">
        <f t="shared" si="33"/>
        <v>,00</v>
      </c>
      <c r="W72" s="35" t="str">
        <f t="shared" si="34"/>
        <v>3,30</v>
      </c>
      <c r="X72" s="35" t="str">
        <f t="shared" si="35"/>
        <v>121,30</v>
      </c>
      <c r="Y72" s="35" t="str">
        <f t="shared" si="36"/>
        <v>,33</v>
      </c>
      <c r="Z72" s="35" t="str">
        <f t="shared" si="37"/>
        <v>12,13</v>
      </c>
      <c r="AA72" s="35" t="str">
        <f t="shared" si="38"/>
        <v>124,60</v>
      </c>
      <c r="AB72" s="35" t="str">
        <f t="shared" si="39"/>
        <v>12,46</v>
      </c>
    </row>
    <row r="73" spans="1:28" ht="16" x14ac:dyDescent="0.25">
      <c r="A73" s="24">
        <v>72</v>
      </c>
      <c r="B73" s="24" t="s">
        <v>302</v>
      </c>
      <c r="C73" s="24" t="s">
        <v>69</v>
      </c>
      <c r="D73" s="116">
        <v>0.5</v>
      </c>
      <c r="E73" s="116">
        <v>76.400000000000006</v>
      </c>
      <c r="F73" s="108">
        <f t="shared" si="20"/>
        <v>76.900000000000006</v>
      </c>
      <c r="G73" s="116">
        <v>0</v>
      </c>
      <c r="H73" s="116">
        <v>0</v>
      </c>
      <c r="I73" s="28">
        <f t="shared" si="21"/>
        <v>0</v>
      </c>
      <c r="J73" s="28">
        <f t="shared" si="22"/>
        <v>0.5</v>
      </c>
      <c r="K73" s="28">
        <f t="shared" si="23"/>
        <v>76.400000000000006</v>
      </c>
      <c r="L73" s="28">
        <f t="shared" si="24"/>
        <v>0.05</v>
      </c>
      <c r="M73" s="28">
        <f t="shared" si="25"/>
        <v>7.6400000000000006</v>
      </c>
      <c r="N73" s="107">
        <f t="shared" si="26"/>
        <v>76.900000000000006</v>
      </c>
      <c r="O73" s="107">
        <f t="shared" si="27"/>
        <v>7.6900000000000013</v>
      </c>
      <c r="P73" s="9"/>
      <c r="Q73" s="35" t="str">
        <f t="shared" si="28"/>
        <v>,50</v>
      </c>
      <c r="R73" s="35" t="str">
        <f t="shared" si="29"/>
        <v>76,40</v>
      </c>
      <c r="S73" s="35" t="str">
        <f t="shared" si="30"/>
        <v>76,90</v>
      </c>
      <c r="T73" s="35" t="str">
        <f t="shared" si="31"/>
        <v>,00</v>
      </c>
      <c r="U73" s="35" t="str">
        <f t="shared" si="32"/>
        <v>,00</v>
      </c>
      <c r="V73" s="35" t="str">
        <f t="shared" si="33"/>
        <v>,00</v>
      </c>
      <c r="W73" s="35" t="str">
        <f t="shared" si="34"/>
        <v>,50</v>
      </c>
      <c r="X73" s="35" t="str">
        <f t="shared" si="35"/>
        <v>76,40</v>
      </c>
      <c r="Y73" s="35" t="str">
        <f t="shared" si="36"/>
        <v>,05</v>
      </c>
      <c r="Z73" s="35" t="str">
        <f t="shared" si="37"/>
        <v>7,64</v>
      </c>
      <c r="AA73" s="35" t="str">
        <f t="shared" si="38"/>
        <v>76,90</v>
      </c>
      <c r="AB73" s="35" t="str">
        <f t="shared" si="39"/>
        <v>7,69</v>
      </c>
    </row>
    <row r="74" spans="1:28" ht="16" x14ac:dyDescent="0.25">
      <c r="A74" s="24">
        <v>73</v>
      </c>
      <c r="B74" s="24" t="s">
        <v>4</v>
      </c>
      <c r="C74" s="24" t="s">
        <v>55</v>
      </c>
      <c r="D74" s="116">
        <v>12338.400000000001</v>
      </c>
      <c r="E74" s="116">
        <v>5262.2</v>
      </c>
      <c r="F74" s="108">
        <f t="shared" si="20"/>
        <v>17600.600000000002</v>
      </c>
      <c r="G74" s="116">
        <v>217.89999999999998</v>
      </c>
      <c r="H74" s="116">
        <v>441.5</v>
      </c>
      <c r="I74" s="28">
        <f t="shared" si="21"/>
        <v>659.4</v>
      </c>
      <c r="J74" s="28">
        <f t="shared" si="22"/>
        <v>12120.500000000002</v>
      </c>
      <c r="K74" s="28">
        <f t="shared" si="23"/>
        <v>4820.7</v>
      </c>
      <c r="L74" s="28">
        <f t="shared" si="24"/>
        <v>1212.0500000000002</v>
      </c>
      <c r="M74" s="28">
        <f t="shared" si="25"/>
        <v>482.07</v>
      </c>
      <c r="N74" s="107">
        <f t="shared" si="26"/>
        <v>16941.2</v>
      </c>
      <c r="O74" s="107">
        <f t="shared" si="27"/>
        <v>1694.1200000000001</v>
      </c>
      <c r="P74" s="9"/>
      <c r="Q74" s="35" t="str">
        <f t="shared" si="28"/>
        <v>12.338,40</v>
      </c>
      <c r="R74" s="35" t="str">
        <f t="shared" si="29"/>
        <v>5.262,20</v>
      </c>
      <c r="S74" s="35" t="str">
        <f t="shared" si="30"/>
        <v>17.600,60</v>
      </c>
      <c r="T74" s="35" t="str">
        <f t="shared" si="31"/>
        <v>217,90</v>
      </c>
      <c r="U74" s="35" t="str">
        <f t="shared" si="32"/>
        <v>441,50</v>
      </c>
      <c r="V74" s="35" t="str">
        <f t="shared" si="33"/>
        <v>659,40</v>
      </c>
      <c r="W74" s="35" t="str">
        <f t="shared" si="34"/>
        <v>12.120,50</v>
      </c>
      <c r="X74" s="35" t="str">
        <f t="shared" si="35"/>
        <v>4.820,70</v>
      </c>
      <c r="Y74" s="35" t="str">
        <f t="shared" si="36"/>
        <v>1.212,05</v>
      </c>
      <c r="Z74" s="35" t="str">
        <f t="shared" si="37"/>
        <v>482,07</v>
      </c>
      <c r="AA74" s="35" t="str">
        <f t="shared" si="38"/>
        <v>16.941,20</v>
      </c>
      <c r="AB74" s="35" t="str">
        <f t="shared" si="39"/>
        <v>1.694,12</v>
      </c>
    </row>
    <row r="75" spans="1:28" ht="16" x14ac:dyDescent="0.25">
      <c r="A75" s="24">
        <v>74</v>
      </c>
      <c r="B75" s="24" t="s">
        <v>34</v>
      </c>
      <c r="C75" s="24" t="s">
        <v>55</v>
      </c>
      <c r="D75" s="116">
        <v>26822.52</v>
      </c>
      <c r="E75" s="116">
        <v>38942.94</v>
      </c>
      <c r="F75" s="108">
        <f t="shared" si="20"/>
        <v>65765.460000000006</v>
      </c>
      <c r="G75" s="116">
        <v>12749.5</v>
      </c>
      <c r="H75" s="116">
        <v>40170.300000000003</v>
      </c>
      <c r="I75" s="28">
        <f t="shared" si="21"/>
        <v>52919.8</v>
      </c>
      <c r="J75" s="28">
        <f t="shared" si="22"/>
        <v>14073.02</v>
      </c>
      <c r="K75" s="28">
        <f t="shared" si="23"/>
        <v>-1227.3600000000006</v>
      </c>
      <c r="L75" s="28">
        <f t="shared" si="24"/>
        <v>1407.3020000000001</v>
      </c>
      <c r="M75" s="28">
        <f t="shared" si="25"/>
        <v>-122.73600000000006</v>
      </c>
      <c r="N75" s="107">
        <f t="shared" si="26"/>
        <v>12845.660000000003</v>
      </c>
      <c r="O75" s="107">
        <f t="shared" si="27"/>
        <v>1284.5660000000005</v>
      </c>
      <c r="P75" s="9"/>
      <c r="Q75" s="35" t="str">
        <f t="shared" si="28"/>
        <v>26.822,52</v>
      </c>
      <c r="R75" s="35" t="str">
        <f t="shared" si="29"/>
        <v>38.942,94</v>
      </c>
      <c r="S75" s="35" t="str">
        <f t="shared" si="30"/>
        <v>65.765,46</v>
      </c>
      <c r="T75" s="35" t="str">
        <f t="shared" si="31"/>
        <v>12.749,50</v>
      </c>
      <c r="U75" s="35" t="str">
        <f t="shared" si="32"/>
        <v>40.170,30</v>
      </c>
      <c r="V75" s="35" t="str">
        <f t="shared" si="33"/>
        <v>52.919,80</v>
      </c>
      <c r="W75" s="35" t="str">
        <f t="shared" si="34"/>
        <v>14.073,02</v>
      </c>
      <c r="X75" s="35" t="str">
        <f t="shared" si="35"/>
        <v>-1.227,36</v>
      </c>
      <c r="Y75" s="35" t="str">
        <f t="shared" si="36"/>
        <v>1.407,30</v>
      </c>
      <c r="Z75" s="35" t="str">
        <f t="shared" si="37"/>
        <v>-122,74</v>
      </c>
      <c r="AA75" s="35" t="str">
        <f t="shared" si="38"/>
        <v>12.845,66</v>
      </c>
      <c r="AB75" s="35" t="str">
        <f t="shared" si="39"/>
        <v>1.284,57</v>
      </c>
    </row>
    <row r="76" spans="1:28" ht="16" x14ac:dyDescent="0.25">
      <c r="A76" s="24">
        <v>75</v>
      </c>
      <c r="B76" s="24" t="s">
        <v>153</v>
      </c>
      <c r="C76" s="24" t="s">
        <v>55</v>
      </c>
      <c r="D76" s="116">
        <v>2629.3</v>
      </c>
      <c r="E76" s="116">
        <v>7437.2999999999993</v>
      </c>
      <c r="F76" s="108">
        <f t="shared" si="20"/>
        <v>10066.599999999999</v>
      </c>
      <c r="G76" s="116">
        <v>116.9</v>
      </c>
      <c r="H76" s="116">
        <v>771.40000000000009</v>
      </c>
      <c r="I76" s="28">
        <f t="shared" si="21"/>
        <v>888.30000000000007</v>
      </c>
      <c r="J76" s="28">
        <f t="shared" si="22"/>
        <v>2512.4</v>
      </c>
      <c r="K76" s="28">
        <f t="shared" si="23"/>
        <v>6665.9</v>
      </c>
      <c r="L76" s="28">
        <f t="shared" si="24"/>
        <v>251.24</v>
      </c>
      <c r="M76" s="28">
        <f t="shared" si="25"/>
        <v>666.59</v>
      </c>
      <c r="N76" s="107">
        <f t="shared" si="26"/>
        <v>9178.2999999999993</v>
      </c>
      <c r="O76" s="107">
        <f t="shared" si="27"/>
        <v>917.82999999999993</v>
      </c>
      <c r="P76" s="9"/>
      <c r="Q76" s="35" t="str">
        <f t="shared" si="28"/>
        <v>2.629,30</v>
      </c>
      <c r="R76" s="35" t="str">
        <f t="shared" si="29"/>
        <v>7.437,30</v>
      </c>
      <c r="S76" s="35" t="str">
        <f t="shared" si="30"/>
        <v>10.066,60</v>
      </c>
      <c r="T76" s="35" t="str">
        <f t="shared" si="31"/>
        <v>116,90</v>
      </c>
      <c r="U76" s="35" t="str">
        <f t="shared" si="32"/>
        <v>771,40</v>
      </c>
      <c r="V76" s="35" t="str">
        <f t="shared" si="33"/>
        <v>888,30</v>
      </c>
      <c r="W76" s="35" t="str">
        <f t="shared" si="34"/>
        <v>2.512,40</v>
      </c>
      <c r="X76" s="35" t="str">
        <f t="shared" si="35"/>
        <v>6.665,90</v>
      </c>
      <c r="Y76" s="35" t="str">
        <f t="shared" si="36"/>
        <v>251,24</v>
      </c>
      <c r="Z76" s="35" t="str">
        <f t="shared" si="37"/>
        <v>666,59</v>
      </c>
      <c r="AA76" s="35" t="str">
        <f t="shared" si="38"/>
        <v>9.178,30</v>
      </c>
      <c r="AB76" s="35" t="str">
        <f t="shared" si="39"/>
        <v>917,83</v>
      </c>
    </row>
    <row r="77" spans="1:28" ht="16" x14ac:dyDescent="0.25">
      <c r="A77" s="24">
        <v>76</v>
      </c>
      <c r="B77" s="24" t="s">
        <v>541</v>
      </c>
      <c r="C77" s="24" t="s">
        <v>55</v>
      </c>
      <c r="D77" s="116">
        <v>2358.3000000000002</v>
      </c>
      <c r="E77" s="116">
        <v>6289</v>
      </c>
      <c r="F77" s="108">
        <f t="shared" si="20"/>
        <v>8647.2999999999993</v>
      </c>
      <c r="G77" s="116">
        <v>0</v>
      </c>
      <c r="H77" s="116">
        <v>0</v>
      </c>
      <c r="I77" s="28">
        <f t="shared" si="21"/>
        <v>0</v>
      </c>
      <c r="J77" s="28">
        <f t="shared" si="22"/>
        <v>2358.3000000000002</v>
      </c>
      <c r="K77" s="28">
        <f t="shared" si="23"/>
        <v>6289</v>
      </c>
      <c r="L77" s="28">
        <f t="shared" si="24"/>
        <v>235.83000000000004</v>
      </c>
      <c r="M77" s="28">
        <f t="shared" si="25"/>
        <v>628.90000000000009</v>
      </c>
      <c r="N77" s="107">
        <f t="shared" si="26"/>
        <v>8647.2999999999993</v>
      </c>
      <c r="O77" s="107">
        <f t="shared" si="27"/>
        <v>864.73</v>
      </c>
      <c r="P77" s="9"/>
      <c r="Q77" s="35" t="str">
        <f t="shared" si="28"/>
        <v>2.358,30</v>
      </c>
      <c r="R77" s="35" t="str">
        <f t="shared" si="29"/>
        <v>6.289,00</v>
      </c>
      <c r="S77" s="35" t="str">
        <f t="shared" si="30"/>
        <v>8.647,30</v>
      </c>
      <c r="T77" s="35" t="str">
        <f t="shared" si="31"/>
        <v>,00</v>
      </c>
      <c r="U77" s="35" t="str">
        <f t="shared" si="32"/>
        <v>,00</v>
      </c>
      <c r="V77" s="35" t="str">
        <f t="shared" si="33"/>
        <v>,00</v>
      </c>
      <c r="W77" s="35" t="str">
        <f t="shared" si="34"/>
        <v>2.358,30</v>
      </c>
      <c r="X77" s="35" t="str">
        <f t="shared" si="35"/>
        <v>6.289,00</v>
      </c>
      <c r="Y77" s="35" t="str">
        <f t="shared" si="36"/>
        <v>235,83</v>
      </c>
      <c r="Z77" s="35" t="str">
        <f t="shared" si="37"/>
        <v>628,90</v>
      </c>
      <c r="AA77" s="35" t="str">
        <f t="shared" si="38"/>
        <v>8.647,30</v>
      </c>
      <c r="AB77" s="35" t="str">
        <f t="shared" si="39"/>
        <v>864,73</v>
      </c>
    </row>
    <row r="78" spans="1:28" ht="16" x14ac:dyDescent="0.25">
      <c r="A78" s="24">
        <v>77</v>
      </c>
      <c r="B78" s="24" t="s">
        <v>68</v>
      </c>
      <c r="C78" s="24" t="s">
        <v>55</v>
      </c>
      <c r="D78" s="116">
        <v>3451.5</v>
      </c>
      <c r="E78" s="116">
        <v>5728.3</v>
      </c>
      <c r="F78" s="108">
        <f t="shared" si="20"/>
        <v>9179.7999999999993</v>
      </c>
      <c r="G78" s="116">
        <v>171.8</v>
      </c>
      <c r="H78" s="116">
        <v>1389.1</v>
      </c>
      <c r="I78" s="28">
        <f t="shared" si="21"/>
        <v>1560.8999999999999</v>
      </c>
      <c r="J78" s="28">
        <f t="shared" si="22"/>
        <v>3279.7</v>
      </c>
      <c r="K78" s="28">
        <f t="shared" si="23"/>
        <v>4339.2000000000007</v>
      </c>
      <c r="L78" s="28">
        <f t="shared" si="24"/>
        <v>327.97</v>
      </c>
      <c r="M78" s="28">
        <f t="shared" si="25"/>
        <v>433.92000000000007</v>
      </c>
      <c r="N78" s="107">
        <f t="shared" si="26"/>
        <v>7618.9</v>
      </c>
      <c r="O78" s="107">
        <f t="shared" si="27"/>
        <v>761.89</v>
      </c>
      <c r="P78" s="9"/>
      <c r="Q78" s="35" t="str">
        <f t="shared" si="28"/>
        <v>3.451,50</v>
      </c>
      <c r="R78" s="35" t="str">
        <f t="shared" si="29"/>
        <v>5.728,30</v>
      </c>
      <c r="S78" s="35" t="str">
        <f t="shared" si="30"/>
        <v>9.179,80</v>
      </c>
      <c r="T78" s="35" t="str">
        <f t="shared" si="31"/>
        <v>171,80</v>
      </c>
      <c r="U78" s="35" t="str">
        <f t="shared" si="32"/>
        <v>1.389,10</v>
      </c>
      <c r="V78" s="35" t="str">
        <f t="shared" si="33"/>
        <v>1.560,90</v>
      </c>
      <c r="W78" s="35" t="str">
        <f t="shared" si="34"/>
        <v>3.279,70</v>
      </c>
      <c r="X78" s="35" t="str">
        <f t="shared" si="35"/>
        <v>4.339,20</v>
      </c>
      <c r="Y78" s="35" t="str">
        <f t="shared" si="36"/>
        <v>327,97</v>
      </c>
      <c r="Z78" s="35" t="str">
        <f t="shared" si="37"/>
        <v>433,92</v>
      </c>
      <c r="AA78" s="35" t="str">
        <f t="shared" si="38"/>
        <v>7.618,90</v>
      </c>
      <c r="AB78" s="35" t="str">
        <f t="shared" si="39"/>
        <v>761,89</v>
      </c>
    </row>
    <row r="79" spans="1:28" ht="16" x14ac:dyDescent="0.25">
      <c r="A79" s="24">
        <v>78</v>
      </c>
      <c r="B79" s="24" t="s">
        <v>97</v>
      </c>
      <c r="C79" s="24" t="s">
        <v>55</v>
      </c>
      <c r="D79" s="116">
        <v>2889.3</v>
      </c>
      <c r="E79" s="116">
        <v>2239.6</v>
      </c>
      <c r="F79" s="108">
        <f t="shared" si="20"/>
        <v>5128.8999999999996</v>
      </c>
      <c r="G79" s="116">
        <v>45</v>
      </c>
      <c r="H79" s="116">
        <v>402.8</v>
      </c>
      <c r="I79" s="28">
        <f t="shared" si="21"/>
        <v>447.8</v>
      </c>
      <c r="J79" s="28">
        <f t="shared" si="22"/>
        <v>2844.3</v>
      </c>
      <c r="K79" s="28">
        <f t="shared" si="23"/>
        <v>1836.8</v>
      </c>
      <c r="L79" s="28">
        <f t="shared" si="24"/>
        <v>284.43</v>
      </c>
      <c r="M79" s="28">
        <f t="shared" si="25"/>
        <v>183.68</v>
      </c>
      <c r="N79" s="107">
        <f t="shared" si="26"/>
        <v>4681.0999999999995</v>
      </c>
      <c r="O79" s="107">
        <f t="shared" si="27"/>
        <v>468.10999999999996</v>
      </c>
      <c r="P79" s="9"/>
      <c r="Q79" s="35" t="str">
        <f t="shared" si="28"/>
        <v>2.889,30</v>
      </c>
      <c r="R79" s="35" t="str">
        <f t="shared" si="29"/>
        <v>2.239,60</v>
      </c>
      <c r="S79" s="35" t="str">
        <f t="shared" si="30"/>
        <v>5.128,90</v>
      </c>
      <c r="T79" s="35" t="str">
        <f t="shared" si="31"/>
        <v>45,00</v>
      </c>
      <c r="U79" s="35" t="str">
        <f t="shared" si="32"/>
        <v>402,80</v>
      </c>
      <c r="V79" s="35" t="str">
        <f t="shared" si="33"/>
        <v>447,80</v>
      </c>
      <c r="W79" s="35" t="str">
        <f t="shared" si="34"/>
        <v>2.844,30</v>
      </c>
      <c r="X79" s="35" t="str">
        <f t="shared" si="35"/>
        <v>1.836,80</v>
      </c>
      <c r="Y79" s="35" t="str">
        <f t="shared" si="36"/>
        <v>284,43</v>
      </c>
      <c r="Z79" s="35" t="str">
        <f t="shared" si="37"/>
        <v>183,68</v>
      </c>
      <c r="AA79" s="35" t="str">
        <f t="shared" si="38"/>
        <v>4.681,10</v>
      </c>
      <c r="AB79" s="35" t="str">
        <f t="shared" si="39"/>
        <v>468,11</v>
      </c>
    </row>
    <row r="80" spans="1:28" ht="16" x14ac:dyDescent="0.25">
      <c r="A80" s="24">
        <v>79</v>
      </c>
      <c r="B80" s="24" t="s">
        <v>218</v>
      </c>
      <c r="C80" s="24" t="s">
        <v>55</v>
      </c>
      <c r="D80" s="116">
        <v>1955.3000000000002</v>
      </c>
      <c r="E80" s="116">
        <v>3694.2999999999997</v>
      </c>
      <c r="F80" s="108">
        <f t="shared" si="20"/>
        <v>5649.6</v>
      </c>
      <c r="G80" s="116">
        <v>370.5</v>
      </c>
      <c r="H80" s="116">
        <v>1231.3</v>
      </c>
      <c r="I80" s="28">
        <f t="shared" si="21"/>
        <v>1601.8</v>
      </c>
      <c r="J80" s="28">
        <f t="shared" si="22"/>
        <v>1584.8000000000002</v>
      </c>
      <c r="K80" s="28">
        <f t="shared" si="23"/>
        <v>2463</v>
      </c>
      <c r="L80" s="28">
        <f t="shared" si="24"/>
        <v>158.48000000000002</v>
      </c>
      <c r="M80" s="28">
        <f t="shared" si="25"/>
        <v>246.3</v>
      </c>
      <c r="N80" s="107">
        <f t="shared" si="26"/>
        <v>4047.8</v>
      </c>
      <c r="O80" s="107">
        <f t="shared" si="27"/>
        <v>404.78000000000003</v>
      </c>
      <c r="P80" s="9"/>
      <c r="Q80" s="35" t="str">
        <f t="shared" si="28"/>
        <v>1.955,30</v>
      </c>
      <c r="R80" s="35" t="str">
        <f t="shared" si="29"/>
        <v>3.694,30</v>
      </c>
      <c r="S80" s="35" t="str">
        <f t="shared" si="30"/>
        <v>5.649,60</v>
      </c>
      <c r="T80" s="35" t="str">
        <f t="shared" si="31"/>
        <v>370,50</v>
      </c>
      <c r="U80" s="35" t="str">
        <f t="shared" si="32"/>
        <v>1.231,30</v>
      </c>
      <c r="V80" s="35" t="str">
        <f t="shared" si="33"/>
        <v>1.601,80</v>
      </c>
      <c r="W80" s="35" t="str">
        <f t="shared" si="34"/>
        <v>1.584,80</v>
      </c>
      <c r="X80" s="35" t="str">
        <f t="shared" si="35"/>
        <v>2.463,00</v>
      </c>
      <c r="Y80" s="35" t="str">
        <f t="shared" si="36"/>
        <v>158,48</v>
      </c>
      <c r="Z80" s="35" t="str">
        <f t="shared" si="37"/>
        <v>246,30</v>
      </c>
      <c r="AA80" s="35" t="str">
        <f t="shared" si="38"/>
        <v>4.047,80</v>
      </c>
      <c r="AB80" s="35" t="str">
        <f t="shared" si="39"/>
        <v>404,78</v>
      </c>
    </row>
    <row r="81" spans="1:28" ht="16" x14ac:dyDescent="0.25">
      <c r="A81" s="24">
        <v>80</v>
      </c>
      <c r="B81" s="24" t="s">
        <v>341</v>
      </c>
      <c r="C81" s="24" t="s">
        <v>55</v>
      </c>
      <c r="D81" s="116">
        <v>872.19999999999993</v>
      </c>
      <c r="E81" s="116">
        <v>3420.5</v>
      </c>
      <c r="F81" s="108">
        <f t="shared" si="20"/>
        <v>4292.7</v>
      </c>
      <c r="G81" s="116">
        <v>45</v>
      </c>
      <c r="H81" s="116">
        <v>402.8</v>
      </c>
      <c r="I81" s="28">
        <f t="shared" si="21"/>
        <v>447.8</v>
      </c>
      <c r="J81" s="28">
        <f t="shared" si="22"/>
        <v>827.19999999999993</v>
      </c>
      <c r="K81" s="28">
        <f t="shared" si="23"/>
        <v>3017.7</v>
      </c>
      <c r="L81" s="28">
        <f t="shared" si="24"/>
        <v>82.72</v>
      </c>
      <c r="M81" s="28">
        <f t="shared" si="25"/>
        <v>301.77</v>
      </c>
      <c r="N81" s="107">
        <f t="shared" si="26"/>
        <v>3844.8999999999996</v>
      </c>
      <c r="O81" s="107">
        <f t="shared" si="27"/>
        <v>384.49</v>
      </c>
      <c r="P81" s="9"/>
      <c r="Q81" s="35" t="str">
        <f t="shared" si="28"/>
        <v>872,20</v>
      </c>
      <c r="R81" s="35" t="str">
        <f t="shared" si="29"/>
        <v>3.420,50</v>
      </c>
      <c r="S81" s="35" t="str">
        <f t="shared" si="30"/>
        <v>4.292,70</v>
      </c>
      <c r="T81" s="35" t="str">
        <f t="shared" si="31"/>
        <v>45,00</v>
      </c>
      <c r="U81" s="35" t="str">
        <f t="shared" si="32"/>
        <v>402,80</v>
      </c>
      <c r="V81" s="35" t="str">
        <f t="shared" si="33"/>
        <v>447,80</v>
      </c>
      <c r="W81" s="35" t="str">
        <f t="shared" si="34"/>
        <v>827,20</v>
      </c>
      <c r="X81" s="35" t="str">
        <f t="shared" si="35"/>
        <v>3.017,70</v>
      </c>
      <c r="Y81" s="35" t="str">
        <f t="shared" si="36"/>
        <v>82,72</v>
      </c>
      <c r="Z81" s="35" t="str">
        <f t="shared" si="37"/>
        <v>301,77</v>
      </c>
      <c r="AA81" s="35" t="str">
        <f t="shared" si="38"/>
        <v>3.844,90</v>
      </c>
      <c r="AB81" s="35" t="str">
        <f t="shared" si="39"/>
        <v>384,49</v>
      </c>
    </row>
    <row r="82" spans="1:28" ht="16" x14ac:dyDescent="0.25">
      <c r="A82" s="24">
        <v>81</v>
      </c>
      <c r="B82" s="24" t="s">
        <v>540</v>
      </c>
      <c r="C82" s="24" t="s">
        <v>55</v>
      </c>
      <c r="D82" s="116">
        <v>1980.4</v>
      </c>
      <c r="E82" s="116">
        <v>1011.5</v>
      </c>
      <c r="F82" s="108">
        <f t="shared" si="20"/>
        <v>2991.9</v>
      </c>
      <c r="G82" s="116">
        <v>143.19999999999999</v>
      </c>
      <c r="H82" s="116">
        <v>97.5</v>
      </c>
      <c r="I82" s="28">
        <f t="shared" si="21"/>
        <v>240.7</v>
      </c>
      <c r="J82" s="28">
        <f t="shared" si="22"/>
        <v>1837.2</v>
      </c>
      <c r="K82" s="28">
        <f t="shared" si="23"/>
        <v>914</v>
      </c>
      <c r="L82" s="28">
        <f t="shared" si="24"/>
        <v>183.72000000000003</v>
      </c>
      <c r="M82" s="28">
        <f t="shared" si="25"/>
        <v>91.4</v>
      </c>
      <c r="N82" s="107">
        <f t="shared" si="26"/>
        <v>2751.2000000000003</v>
      </c>
      <c r="O82" s="107">
        <f t="shared" si="27"/>
        <v>275.12000000000006</v>
      </c>
      <c r="P82" s="9"/>
      <c r="Q82" s="35" t="str">
        <f t="shared" si="28"/>
        <v>1.980,40</v>
      </c>
      <c r="R82" s="35" t="str">
        <f t="shared" si="29"/>
        <v>1.011,50</v>
      </c>
      <c r="S82" s="35" t="str">
        <f t="shared" si="30"/>
        <v>2.991,90</v>
      </c>
      <c r="T82" s="35" t="str">
        <f t="shared" si="31"/>
        <v>143,20</v>
      </c>
      <c r="U82" s="35" t="str">
        <f t="shared" si="32"/>
        <v>97,50</v>
      </c>
      <c r="V82" s="35" t="str">
        <f t="shared" si="33"/>
        <v>240,70</v>
      </c>
      <c r="W82" s="35" t="str">
        <f t="shared" si="34"/>
        <v>1.837,20</v>
      </c>
      <c r="X82" s="35" t="str">
        <f t="shared" si="35"/>
        <v>914,00</v>
      </c>
      <c r="Y82" s="35" t="str">
        <f t="shared" si="36"/>
        <v>183,72</v>
      </c>
      <c r="Z82" s="35" t="str">
        <f t="shared" si="37"/>
        <v>91,40</v>
      </c>
      <c r="AA82" s="35" t="str">
        <f t="shared" si="38"/>
        <v>2.751,20</v>
      </c>
      <c r="AB82" s="35" t="str">
        <f t="shared" si="39"/>
        <v>275,12</v>
      </c>
    </row>
    <row r="83" spans="1:28" ht="16" x14ac:dyDescent="0.25">
      <c r="A83" s="24">
        <v>82</v>
      </c>
      <c r="B83" s="24" t="s">
        <v>200</v>
      </c>
      <c r="C83" s="24" t="s">
        <v>55</v>
      </c>
      <c r="D83" s="116">
        <v>6949.6</v>
      </c>
      <c r="E83" s="116">
        <v>5471.6</v>
      </c>
      <c r="F83" s="108">
        <f t="shared" si="20"/>
        <v>12421.2</v>
      </c>
      <c r="G83" s="116">
        <v>9012.6999999999989</v>
      </c>
      <c r="H83" s="116">
        <v>2601.2000000000003</v>
      </c>
      <c r="I83" s="28">
        <f t="shared" si="21"/>
        <v>11613.9</v>
      </c>
      <c r="J83" s="28">
        <f t="shared" si="22"/>
        <v>-2063.0999999999985</v>
      </c>
      <c r="K83" s="28">
        <f t="shared" si="23"/>
        <v>2870.4</v>
      </c>
      <c r="L83" s="28">
        <f t="shared" si="24"/>
        <v>-206.30999999999986</v>
      </c>
      <c r="M83" s="28">
        <f t="shared" si="25"/>
        <v>287.04000000000002</v>
      </c>
      <c r="N83" s="107">
        <f t="shared" si="26"/>
        <v>807.30000000000109</v>
      </c>
      <c r="O83" s="107">
        <f t="shared" si="27"/>
        <v>80.730000000000118</v>
      </c>
      <c r="P83" s="9"/>
      <c r="Q83" s="35" t="str">
        <f t="shared" si="28"/>
        <v>6.949,60</v>
      </c>
      <c r="R83" s="35" t="str">
        <f t="shared" si="29"/>
        <v>5.471,60</v>
      </c>
      <c r="S83" s="35" t="str">
        <f t="shared" si="30"/>
        <v>12.421,20</v>
      </c>
      <c r="T83" s="35" t="str">
        <f t="shared" si="31"/>
        <v>9.012,70</v>
      </c>
      <c r="U83" s="35" t="str">
        <f t="shared" si="32"/>
        <v>2.601,20</v>
      </c>
      <c r="V83" s="35" t="str">
        <f t="shared" si="33"/>
        <v>11.613,90</v>
      </c>
      <c r="W83" s="35" t="str">
        <f t="shared" si="34"/>
        <v>-2.063,10</v>
      </c>
      <c r="X83" s="35" t="str">
        <f t="shared" si="35"/>
        <v>2.870,40</v>
      </c>
      <c r="Y83" s="35" t="str">
        <f t="shared" si="36"/>
        <v>-206,31</v>
      </c>
      <c r="Z83" s="35" t="str">
        <f t="shared" si="37"/>
        <v>287,04</v>
      </c>
      <c r="AA83" s="35" t="str">
        <f t="shared" si="38"/>
        <v>807,30</v>
      </c>
      <c r="AB83" s="35" t="str">
        <f t="shared" si="39"/>
        <v>80,73</v>
      </c>
    </row>
    <row r="84" spans="1:28" ht="16" x14ac:dyDescent="0.25">
      <c r="A84" s="24">
        <v>83</v>
      </c>
      <c r="B84" s="24" t="s">
        <v>90</v>
      </c>
      <c r="C84" s="24" t="s">
        <v>55</v>
      </c>
      <c r="D84" s="116">
        <v>555.20000000000005</v>
      </c>
      <c r="E84" s="116">
        <v>224.7</v>
      </c>
      <c r="F84" s="108">
        <f t="shared" si="20"/>
        <v>779.90000000000009</v>
      </c>
      <c r="G84" s="116">
        <v>0</v>
      </c>
      <c r="H84" s="116">
        <v>0</v>
      </c>
      <c r="I84" s="28">
        <f t="shared" si="21"/>
        <v>0</v>
      </c>
      <c r="J84" s="28">
        <f t="shared" si="22"/>
        <v>555.20000000000005</v>
      </c>
      <c r="K84" s="28">
        <f t="shared" si="23"/>
        <v>224.7</v>
      </c>
      <c r="L84" s="28">
        <f t="shared" si="24"/>
        <v>55.52000000000001</v>
      </c>
      <c r="M84" s="28">
        <f t="shared" si="25"/>
        <v>22.47</v>
      </c>
      <c r="N84" s="107">
        <f t="shared" si="26"/>
        <v>779.90000000000009</v>
      </c>
      <c r="O84" s="107">
        <f t="shared" si="27"/>
        <v>77.990000000000009</v>
      </c>
      <c r="P84" s="9"/>
      <c r="Q84" s="35" t="str">
        <f t="shared" si="28"/>
        <v>555,20</v>
      </c>
      <c r="R84" s="35" t="str">
        <f t="shared" si="29"/>
        <v>224,70</v>
      </c>
      <c r="S84" s="35" t="str">
        <f t="shared" si="30"/>
        <v>779,90</v>
      </c>
      <c r="T84" s="35" t="str">
        <f t="shared" si="31"/>
        <v>,00</v>
      </c>
      <c r="U84" s="35" t="str">
        <f t="shared" si="32"/>
        <v>,00</v>
      </c>
      <c r="V84" s="35" t="str">
        <f t="shared" si="33"/>
        <v>,00</v>
      </c>
      <c r="W84" s="35" t="str">
        <f t="shared" si="34"/>
        <v>555,20</v>
      </c>
      <c r="X84" s="35" t="str">
        <f t="shared" si="35"/>
        <v>224,70</v>
      </c>
      <c r="Y84" s="35" t="str">
        <f t="shared" si="36"/>
        <v>55,52</v>
      </c>
      <c r="Z84" s="35" t="str">
        <f t="shared" si="37"/>
        <v>22,47</v>
      </c>
      <c r="AA84" s="35" t="str">
        <f t="shared" si="38"/>
        <v>779,90</v>
      </c>
      <c r="AB84" s="35" t="str">
        <f t="shared" si="39"/>
        <v>77,99</v>
      </c>
    </row>
    <row r="85" spans="1:28" ht="16" x14ac:dyDescent="0.25">
      <c r="A85" s="24">
        <v>84</v>
      </c>
      <c r="B85" s="24" t="s">
        <v>439</v>
      </c>
      <c r="C85" s="24" t="s">
        <v>55</v>
      </c>
      <c r="D85" s="116">
        <v>20</v>
      </c>
      <c r="E85" s="116">
        <v>209.3</v>
      </c>
      <c r="F85" s="108">
        <f t="shared" si="20"/>
        <v>229.3</v>
      </c>
      <c r="G85" s="116">
        <v>0</v>
      </c>
      <c r="H85" s="116">
        <v>0</v>
      </c>
      <c r="I85" s="28">
        <f t="shared" si="21"/>
        <v>0</v>
      </c>
      <c r="J85" s="28">
        <f t="shared" si="22"/>
        <v>20</v>
      </c>
      <c r="K85" s="28">
        <f t="shared" si="23"/>
        <v>209.3</v>
      </c>
      <c r="L85" s="28">
        <f t="shared" si="24"/>
        <v>2</v>
      </c>
      <c r="M85" s="28">
        <f t="shared" si="25"/>
        <v>20.930000000000003</v>
      </c>
      <c r="N85" s="107">
        <f t="shared" si="26"/>
        <v>229.3</v>
      </c>
      <c r="O85" s="107">
        <f t="shared" si="27"/>
        <v>22.930000000000003</v>
      </c>
      <c r="P85" s="9"/>
      <c r="Q85" s="35" t="str">
        <f t="shared" si="28"/>
        <v>20,00</v>
      </c>
      <c r="R85" s="35" t="str">
        <f t="shared" si="29"/>
        <v>209,30</v>
      </c>
      <c r="S85" s="35" t="str">
        <f t="shared" si="30"/>
        <v>229,30</v>
      </c>
      <c r="T85" s="35" t="str">
        <f t="shared" si="31"/>
        <v>,00</v>
      </c>
      <c r="U85" s="35" t="str">
        <f t="shared" si="32"/>
        <v>,00</v>
      </c>
      <c r="V85" s="35" t="str">
        <f t="shared" si="33"/>
        <v>,00</v>
      </c>
      <c r="W85" s="35" t="str">
        <f t="shared" si="34"/>
        <v>20,00</v>
      </c>
      <c r="X85" s="35" t="str">
        <f t="shared" si="35"/>
        <v>209,30</v>
      </c>
      <c r="Y85" s="35" t="str">
        <f t="shared" si="36"/>
        <v>2,00</v>
      </c>
      <c r="Z85" s="35" t="str">
        <f t="shared" si="37"/>
        <v>20,93</v>
      </c>
      <c r="AA85" s="35" t="str">
        <f t="shared" si="38"/>
        <v>229,30</v>
      </c>
      <c r="AB85" s="35" t="str">
        <f t="shared" si="39"/>
        <v>22,93</v>
      </c>
    </row>
    <row r="86" spans="1:28" ht="16" x14ac:dyDescent="0.25">
      <c r="A86" s="24">
        <v>85</v>
      </c>
      <c r="B86" s="24" t="s">
        <v>34</v>
      </c>
      <c r="C86" s="24" t="s">
        <v>184</v>
      </c>
      <c r="D86" s="116">
        <v>1151</v>
      </c>
      <c r="E86" s="116">
        <v>11323.2</v>
      </c>
      <c r="F86" s="108">
        <f t="shared" si="20"/>
        <v>12474.2</v>
      </c>
      <c r="G86" s="116">
        <v>8.9</v>
      </c>
      <c r="H86" s="116">
        <v>169.5</v>
      </c>
      <c r="I86" s="28">
        <f t="shared" si="21"/>
        <v>178.4</v>
      </c>
      <c r="J86" s="28">
        <f t="shared" si="22"/>
        <v>1142.0999999999999</v>
      </c>
      <c r="K86" s="28">
        <f t="shared" si="23"/>
        <v>11153.7</v>
      </c>
      <c r="L86" s="28">
        <f t="shared" si="24"/>
        <v>114.21</v>
      </c>
      <c r="M86" s="28">
        <f t="shared" si="25"/>
        <v>1115.3700000000001</v>
      </c>
      <c r="N86" s="107">
        <f t="shared" si="26"/>
        <v>12295.800000000001</v>
      </c>
      <c r="O86" s="107">
        <f t="shared" si="27"/>
        <v>1229.5800000000002</v>
      </c>
      <c r="P86" s="9"/>
      <c r="Q86" s="35" t="str">
        <f t="shared" si="28"/>
        <v>1.151,00</v>
      </c>
      <c r="R86" s="35" t="str">
        <f t="shared" si="29"/>
        <v>11.323,20</v>
      </c>
      <c r="S86" s="35" t="str">
        <f t="shared" si="30"/>
        <v>12.474,20</v>
      </c>
      <c r="T86" s="35" t="str">
        <f t="shared" si="31"/>
        <v>8,90</v>
      </c>
      <c r="U86" s="35" t="str">
        <f t="shared" si="32"/>
        <v>169,50</v>
      </c>
      <c r="V86" s="35" t="str">
        <f t="shared" si="33"/>
        <v>178,40</v>
      </c>
      <c r="W86" s="35" t="str">
        <f t="shared" si="34"/>
        <v>1.142,10</v>
      </c>
      <c r="X86" s="35" t="str">
        <f t="shared" si="35"/>
        <v>11.153,70</v>
      </c>
      <c r="Y86" s="35" t="str">
        <f t="shared" si="36"/>
        <v>114,21</v>
      </c>
      <c r="Z86" s="35" t="str">
        <f t="shared" si="37"/>
        <v>1.115,37</v>
      </c>
      <c r="AA86" s="35" t="str">
        <f t="shared" si="38"/>
        <v>12.295,80</v>
      </c>
      <c r="AB86" s="35" t="str">
        <f t="shared" si="39"/>
        <v>1.229,58</v>
      </c>
    </row>
    <row r="87" spans="1:28" ht="16" x14ac:dyDescent="0.25">
      <c r="A87" s="24">
        <v>86</v>
      </c>
      <c r="B87" s="24" t="s">
        <v>219</v>
      </c>
      <c r="C87" s="24" t="s">
        <v>184</v>
      </c>
      <c r="D87" s="116">
        <v>1191</v>
      </c>
      <c r="E87" s="116">
        <v>1181.2</v>
      </c>
      <c r="F87" s="108">
        <f t="shared" si="20"/>
        <v>2372.1999999999998</v>
      </c>
      <c r="G87" s="116">
        <v>0</v>
      </c>
      <c r="H87" s="116">
        <v>0</v>
      </c>
      <c r="I87" s="28">
        <f t="shared" si="21"/>
        <v>0</v>
      </c>
      <c r="J87" s="28">
        <f t="shared" si="22"/>
        <v>1191</v>
      </c>
      <c r="K87" s="28">
        <f t="shared" si="23"/>
        <v>1181.2</v>
      </c>
      <c r="L87" s="28">
        <f t="shared" si="24"/>
        <v>119.10000000000001</v>
      </c>
      <c r="M87" s="28">
        <f t="shared" si="25"/>
        <v>118.12</v>
      </c>
      <c r="N87" s="107">
        <f t="shared" si="26"/>
        <v>2372.1999999999998</v>
      </c>
      <c r="O87" s="107">
        <f t="shared" si="27"/>
        <v>237.22</v>
      </c>
      <c r="P87" s="9"/>
      <c r="Q87" s="35" t="str">
        <f t="shared" si="28"/>
        <v>1.191,00</v>
      </c>
      <c r="R87" s="35" t="str">
        <f t="shared" si="29"/>
        <v>1.181,20</v>
      </c>
      <c r="S87" s="35" t="str">
        <f t="shared" si="30"/>
        <v>2.372,20</v>
      </c>
      <c r="T87" s="35" t="str">
        <f t="shared" si="31"/>
        <v>,00</v>
      </c>
      <c r="U87" s="35" t="str">
        <f t="shared" si="32"/>
        <v>,00</v>
      </c>
      <c r="V87" s="35" t="str">
        <f t="shared" si="33"/>
        <v>,00</v>
      </c>
      <c r="W87" s="35" t="str">
        <f t="shared" si="34"/>
        <v>1.191,00</v>
      </c>
      <c r="X87" s="35" t="str">
        <f t="shared" si="35"/>
        <v>1.181,20</v>
      </c>
      <c r="Y87" s="35" t="str">
        <f t="shared" si="36"/>
        <v>119,10</v>
      </c>
      <c r="Z87" s="35" t="str">
        <f t="shared" si="37"/>
        <v>118,12</v>
      </c>
      <c r="AA87" s="35" t="str">
        <f t="shared" si="38"/>
        <v>2.372,20</v>
      </c>
      <c r="AB87" s="35" t="str">
        <f t="shared" si="39"/>
        <v>237,22</v>
      </c>
    </row>
    <row r="88" spans="1:28" ht="16" x14ac:dyDescent="0.25">
      <c r="A88" s="24">
        <v>87</v>
      </c>
      <c r="B88" s="24" t="s">
        <v>544</v>
      </c>
      <c r="C88" s="24" t="s">
        <v>184</v>
      </c>
      <c r="D88" s="116">
        <v>514.1</v>
      </c>
      <c r="E88" s="116">
        <v>386.2</v>
      </c>
      <c r="F88" s="108">
        <f t="shared" si="20"/>
        <v>900.3</v>
      </c>
      <c r="G88" s="116">
        <v>0</v>
      </c>
      <c r="H88" s="116">
        <v>0</v>
      </c>
      <c r="I88" s="28">
        <f t="shared" si="21"/>
        <v>0</v>
      </c>
      <c r="J88" s="28">
        <f t="shared" si="22"/>
        <v>514.1</v>
      </c>
      <c r="K88" s="28">
        <f t="shared" si="23"/>
        <v>386.2</v>
      </c>
      <c r="L88" s="28">
        <f t="shared" si="24"/>
        <v>51.410000000000004</v>
      </c>
      <c r="M88" s="28">
        <f t="shared" si="25"/>
        <v>38.620000000000005</v>
      </c>
      <c r="N88" s="107">
        <f t="shared" si="26"/>
        <v>900.3</v>
      </c>
      <c r="O88" s="107">
        <f t="shared" si="27"/>
        <v>90.03</v>
      </c>
      <c r="P88" s="9"/>
      <c r="Q88" s="35" t="str">
        <f t="shared" si="28"/>
        <v>514,10</v>
      </c>
      <c r="R88" s="35" t="str">
        <f t="shared" si="29"/>
        <v>386,20</v>
      </c>
      <c r="S88" s="35" t="str">
        <f t="shared" si="30"/>
        <v>900,30</v>
      </c>
      <c r="T88" s="35" t="str">
        <f t="shared" si="31"/>
        <v>,00</v>
      </c>
      <c r="U88" s="35" t="str">
        <f t="shared" si="32"/>
        <v>,00</v>
      </c>
      <c r="V88" s="35" t="str">
        <f t="shared" si="33"/>
        <v>,00</v>
      </c>
      <c r="W88" s="35" t="str">
        <f t="shared" si="34"/>
        <v>514,10</v>
      </c>
      <c r="X88" s="35" t="str">
        <f t="shared" si="35"/>
        <v>386,20</v>
      </c>
      <c r="Y88" s="35" t="str">
        <f t="shared" si="36"/>
        <v>51,41</v>
      </c>
      <c r="Z88" s="35" t="str">
        <f t="shared" si="37"/>
        <v>38,62</v>
      </c>
      <c r="AA88" s="35" t="str">
        <f t="shared" si="38"/>
        <v>900,30</v>
      </c>
      <c r="AB88" s="35" t="str">
        <f t="shared" si="39"/>
        <v>90,03</v>
      </c>
    </row>
    <row r="89" spans="1:28" ht="16" x14ac:dyDescent="0.25">
      <c r="A89" s="24">
        <v>88</v>
      </c>
      <c r="B89" s="24" t="s">
        <v>2311</v>
      </c>
      <c r="C89" s="24" t="s">
        <v>184</v>
      </c>
      <c r="D89" s="116">
        <v>122.8</v>
      </c>
      <c r="E89" s="116">
        <v>208.7</v>
      </c>
      <c r="F89" s="108">
        <f t="shared" si="20"/>
        <v>331.5</v>
      </c>
      <c r="G89" s="116">
        <v>0</v>
      </c>
      <c r="H89" s="116">
        <v>0</v>
      </c>
      <c r="I89" s="28">
        <f t="shared" si="21"/>
        <v>0</v>
      </c>
      <c r="J89" s="28">
        <f t="shared" si="22"/>
        <v>122.8</v>
      </c>
      <c r="K89" s="28">
        <f t="shared" si="23"/>
        <v>208.7</v>
      </c>
      <c r="L89" s="28">
        <f t="shared" si="24"/>
        <v>12.280000000000001</v>
      </c>
      <c r="M89" s="28">
        <f t="shared" si="25"/>
        <v>20.87</v>
      </c>
      <c r="N89" s="107">
        <f t="shared" si="26"/>
        <v>331.5</v>
      </c>
      <c r="O89" s="107">
        <f t="shared" si="27"/>
        <v>33.15</v>
      </c>
      <c r="P89" s="9"/>
      <c r="Q89" s="35" t="str">
        <f t="shared" si="28"/>
        <v>122,80</v>
      </c>
      <c r="R89" s="35" t="str">
        <f t="shared" si="29"/>
        <v>208,70</v>
      </c>
      <c r="S89" s="35" t="str">
        <f t="shared" si="30"/>
        <v>331,50</v>
      </c>
      <c r="T89" s="35" t="str">
        <f t="shared" si="31"/>
        <v>,00</v>
      </c>
      <c r="U89" s="35" t="str">
        <f t="shared" si="32"/>
        <v>,00</v>
      </c>
      <c r="V89" s="35" t="str">
        <f t="shared" si="33"/>
        <v>,00</v>
      </c>
      <c r="W89" s="35" t="str">
        <f t="shared" si="34"/>
        <v>122,80</v>
      </c>
      <c r="X89" s="35" t="str">
        <f t="shared" si="35"/>
        <v>208,70</v>
      </c>
      <c r="Y89" s="35" t="str">
        <f t="shared" si="36"/>
        <v>12,28</v>
      </c>
      <c r="Z89" s="35" t="str">
        <f t="shared" si="37"/>
        <v>20,87</v>
      </c>
      <c r="AA89" s="35" t="str">
        <f t="shared" si="38"/>
        <v>331,50</v>
      </c>
      <c r="AB89" s="35" t="str">
        <f t="shared" si="39"/>
        <v>33,15</v>
      </c>
    </row>
    <row r="90" spans="1:28" ht="16" x14ac:dyDescent="0.25">
      <c r="A90" s="24">
        <v>89</v>
      </c>
      <c r="B90" s="24" t="s">
        <v>545</v>
      </c>
      <c r="C90" s="24" t="s">
        <v>184</v>
      </c>
      <c r="D90" s="116">
        <v>5.4</v>
      </c>
      <c r="E90" s="116">
        <v>103.3</v>
      </c>
      <c r="F90" s="108">
        <f t="shared" si="20"/>
        <v>108.7</v>
      </c>
      <c r="G90" s="116">
        <v>0</v>
      </c>
      <c r="H90" s="116">
        <v>0</v>
      </c>
      <c r="I90" s="28">
        <f t="shared" si="21"/>
        <v>0</v>
      </c>
      <c r="J90" s="28">
        <f t="shared" si="22"/>
        <v>5.4</v>
      </c>
      <c r="K90" s="28">
        <f t="shared" si="23"/>
        <v>103.3</v>
      </c>
      <c r="L90" s="28">
        <f t="shared" si="24"/>
        <v>0.54</v>
      </c>
      <c r="M90" s="28">
        <f t="shared" si="25"/>
        <v>10.33</v>
      </c>
      <c r="N90" s="107">
        <f t="shared" si="26"/>
        <v>108.7</v>
      </c>
      <c r="O90" s="107">
        <f t="shared" si="27"/>
        <v>10.870000000000001</v>
      </c>
      <c r="P90" s="9"/>
      <c r="Q90" s="35" t="str">
        <f t="shared" si="28"/>
        <v>5,40</v>
      </c>
      <c r="R90" s="35" t="str">
        <f t="shared" si="29"/>
        <v>103,30</v>
      </c>
      <c r="S90" s="35" t="str">
        <f t="shared" si="30"/>
        <v>108,70</v>
      </c>
      <c r="T90" s="35" t="str">
        <f t="shared" si="31"/>
        <v>,00</v>
      </c>
      <c r="U90" s="35" t="str">
        <f t="shared" si="32"/>
        <v>,00</v>
      </c>
      <c r="V90" s="35" t="str">
        <f t="shared" si="33"/>
        <v>,00</v>
      </c>
      <c r="W90" s="35" t="str">
        <f t="shared" si="34"/>
        <v>5,40</v>
      </c>
      <c r="X90" s="35" t="str">
        <f t="shared" si="35"/>
        <v>103,30</v>
      </c>
      <c r="Y90" s="35" t="str">
        <f t="shared" si="36"/>
        <v>,54</v>
      </c>
      <c r="Z90" s="35" t="str">
        <f t="shared" si="37"/>
        <v>10,33</v>
      </c>
      <c r="AA90" s="35" t="str">
        <f t="shared" si="38"/>
        <v>108,70</v>
      </c>
      <c r="AB90" s="35" t="str">
        <f t="shared" si="39"/>
        <v>10,87</v>
      </c>
    </row>
    <row r="91" spans="1:28" ht="16" x14ac:dyDescent="0.25">
      <c r="A91" s="24">
        <v>90</v>
      </c>
      <c r="B91" s="24" t="s">
        <v>440</v>
      </c>
      <c r="C91" s="24" t="s">
        <v>184</v>
      </c>
      <c r="D91" s="116">
        <v>58.9</v>
      </c>
      <c r="E91" s="116">
        <v>35.4</v>
      </c>
      <c r="F91" s="108">
        <f t="shared" si="20"/>
        <v>94.3</v>
      </c>
      <c r="G91" s="116">
        <v>0</v>
      </c>
      <c r="H91" s="116">
        <v>0</v>
      </c>
      <c r="I91" s="28">
        <f t="shared" si="21"/>
        <v>0</v>
      </c>
      <c r="J91" s="28">
        <f t="shared" si="22"/>
        <v>58.9</v>
      </c>
      <c r="K91" s="28">
        <f t="shared" si="23"/>
        <v>35.4</v>
      </c>
      <c r="L91" s="28">
        <f t="shared" si="24"/>
        <v>5.8900000000000006</v>
      </c>
      <c r="M91" s="28">
        <f t="shared" si="25"/>
        <v>3.54</v>
      </c>
      <c r="N91" s="107">
        <f t="shared" si="26"/>
        <v>94.3</v>
      </c>
      <c r="O91" s="107">
        <f t="shared" si="27"/>
        <v>9.43</v>
      </c>
      <c r="P91" s="9"/>
      <c r="Q91" s="35" t="str">
        <f t="shared" si="28"/>
        <v>58,90</v>
      </c>
      <c r="R91" s="35" t="str">
        <f t="shared" si="29"/>
        <v>35,40</v>
      </c>
      <c r="S91" s="35" t="str">
        <f t="shared" si="30"/>
        <v>94,30</v>
      </c>
      <c r="T91" s="35" t="str">
        <f t="shared" si="31"/>
        <v>,00</v>
      </c>
      <c r="U91" s="35" t="str">
        <f t="shared" si="32"/>
        <v>,00</v>
      </c>
      <c r="V91" s="35" t="str">
        <f t="shared" si="33"/>
        <v>,00</v>
      </c>
      <c r="W91" s="35" t="str">
        <f t="shared" si="34"/>
        <v>58,90</v>
      </c>
      <c r="X91" s="35" t="str">
        <f t="shared" si="35"/>
        <v>35,40</v>
      </c>
      <c r="Y91" s="35" t="str">
        <f t="shared" si="36"/>
        <v>5,89</v>
      </c>
      <c r="Z91" s="35" t="str">
        <f t="shared" si="37"/>
        <v>3,54</v>
      </c>
      <c r="AA91" s="35" t="str">
        <f t="shared" si="38"/>
        <v>94,30</v>
      </c>
      <c r="AB91" s="35" t="str">
        <f t="shared" si="39"/>
        <v>9,43</v>
      </c>
    </row>
    <row r="92" spans="1:28" ht="16" x14ac:dyDescent="0.25">
      <c r="A92" s="24">
        <v>91</v>
      </c>
      <c r="B92" s="24" t="s">
        <v>34</v>
      </c>
      <c r="C92" s="24" t="s">
        <v>170</v>
      </c>
      <c r="D92" s="116">
        <v>28746.260000000002</v>
      </c>
      <c r="E92" s="116">
        <v>29335.279999999999</v>
      </c>
      <c r="F92" s="108">
        <f t="shared" si="20"/>
        <v>58081.54</v>
      </c>
      <c r="G92" s="116">
        <v>8990.9</v>
      </c>
      <c r="H92" s="116">
        <v>5963.4</v>
      </c>
      <c r="I92" s="28">
        <f t="shared" si="21"/>
        <v>14954.3</v>
      </c>
      <c r="J92" s="28">
        <f t="shared" si="22"/>
        <v>19755.36</v>
      </c>
      <c r="K92" s="28">
        <f t="shared" si="23"/>
        <v>23371.879999999997</v>
      </c>
      <c r="L92" s="28">
        <f t="shared" si="24"/>
        <v>1975.5360000000001</v>
      </c>
      <c r="M92" s="28">
        <f t="shared" si="25"/>
        <v>2337.1879999999996</v>
      </c>
      <c r="N92" s="107">
        <f t="shared" si="26"/>
        <v>43127.240000000005</v>
      </c>
      <c r="O92" s="107">
        <f t="shared" si="27"/>
        <v>4312.7240000000011</v>
      </c>
      <c r="P92" s="9"/>
      <c r="Q92" s="35" t="str">
        <f t="shared" si="28"/>
        <v>28.746,26</v>
      </c>
      <c r="R92" s="35" t="str">
        <f t="shared" si="29"/>
        <v>29.335,28</v>
      </c>
      <c r="S92" s="35" t="str">
        <f t="shared" si="30"/>
        <v>58.081,54</v>
      </c>
      <c r="T92" s="35" t="str">
        <f t="shared" si="31"/>
        <v>8.990,90</v>
      </c>
      <c r="U92" s="35" t="str">
        <f t="shared" si="32"/>
        <v>5.963,40</v>
      </c>
      <c r="V92" s="35" t="str">
        <f t="shared" si="33"/>
        <v>14.954,30</v>
      </c>
      <c r="W92" s="35" t="str">
        <f t="shared" si="34"/>
        <v>19.755,36</v>
      </c>
      <c r="X92" s="35" t="str">
        <f t="shared" si="35"/>
        <v>23.371,88</v>
      </c>
      <c r="Y92" s="35" t="str">
        <f t="shared" si="36"/>
        <v>1.975,54</v>
      </c>
      <c r="Z92" s="35" t="str">
        <f t="shared" si="37"/>
        <v>2.337,19</v>
      </c>
      <c r="AA92" s="35" t="str">
        <f t="shared" si="38"/>
        <v>43.127,24</v>
      </c>
      <c r="AB92" s="35" t="str">
        <f t="shared" si="39"/>
        <v>4.312,72</v>
      </c>
    </row>
    <row r="93" spans="1:28" ht="16" x14ac:dyDescent="0.25">
      <c r="A93" s="24">
        <v>92</v>
      </c>
      <c r="B93" s="24" t="s">
        <v>363</v>
      </c>
      <c r="C93" s="24" t="s">
        <v>170</v>
      </c>
      <c r="D93" s="116">
        <v>5033</v>
      </c>
      <c r="E93" s="116">
        <v>10137.6</v>
      </c>
      <c r="F93" s="108">
        <f t="shared" si="20"/>
        <v>15170.6</v>
      </c>
      <c r="G93" s="116">
        <v>0</v>
      </c>
      <c r="H93" s="116">
        <v>0</v>
      </c>
      <c r="I93" s="28">
        <f t="shared" si="21"/>
        <v>0</v>
      </c>
      <c r="J93" s="28">
        <f t="shared" si="22"/>
        <v>5033</v>
      </c>
      <c r="K93" s="28">
        <f t="shared" si="23"/>
        <v>10137.6</v>
      </c>
      <c r="L93" s="28">
        <f t="shared" si="24"/>
        <v>503.3</v>
      </c>
      <c r="M93" s="28">
        <f t="shared" si="25"/>
        <v>1013.7600000000001</v>
      </c>
      <c r="N93" s="107">
        <f t="shared" si="26"/>
        <v>15170.6</v>
      </c>
      <c r="O93" s="107">
        <f t="shared" si="27"/>
        <v>1517.0600000000002</v>
      </c>
      <c r="P93" s="9"/>
      <c r="Q93" s="35" t="str">
        <f t="shared" si="28"/>
        <v>5.033,00</v>
      </c>
      <c r="R93" s="35" t="str">
        <f t="shared" si="29"/>
        <v>10.137,60</v>
      </c>
      <c r="S93" s="35" t="str">
        <f t="shared" si="30"/>
        <v>15.170,60</v>
      </c>
      <c r="T93" s="35" t="str">
        <f t="shared" si="31"/>
        <v>,00</v>
      </c>
      <c r="U93" s="35" t="str">
        <f t="shared" si="32"/>
        <v>,00</v>
      </c>
      <c r="V93" s="35" t="str">
        <f t="shared" si="33"/>
        <v>,00</v>
      </c>
      <c r="W93" s="35" t="str">
        <f t="shared" si="34"/>
        <v>5.033,00</v>
      </c>
      <c r="X93" s="35" t="str">
        <f t="shared" si="35"/>
        <v>10.137,60</v>
      </c>
      <c r="Y93" s="35" t="str">
        <f t="shared" si="36"/>
        <v>503,30</v>
      </c>
      <c r="Z93" s="35" t="str">
        <f t="shared" si="37"/>
        <v>1.013,76</v>
      </c>
      <c r="AA93" s="35" t="str">
        <f t="shared" si="38"/>
        <v>15.170,60</v>
      </c>
      <c r="AB93" s="35" t="str">
        <f t="shared" si="39"/>
        <v>1.517,06</v>
      </c>
    </row>
    <row r="94" spans="1:28" ht="16" x14ac:dyDescent="0.25">
      <c r="A94" s="24">
        <v>93</v>
      </c>
      <c r="B94" s="24" t="s">
        <v>3264</v>
      </c>
      <c r="C94" s="24" t="s">
        <v>170</v>
      </c>
      <c r="D94" s="116">
        <v>110.2</v>
      </c>
      <c r="E94" s="116">
        <v>587.1</v>
      </c>
      <c r="F94" s="108">
        <f t="shared" si="20"/>
        <v>697.30000000000007</v>
      </c>
      <c r="G94" s="116">
        <v>0</v>
      </c>
      <c r="H94" s="116">
        <v>0</v>
      </c>
      <c r="I94" s="28">
        <f t="shared" si="21"/>
        <v>0</v>
      </c>
      <c r="J94" s="28">
        <f t="shared" si="22"/>
        <v>110.2</v>
      </c>
      <c r="K94" s="28">
        <f t="shared" si="23"/>
        <v>587.1</v>
      </c>
      <c r="L94" s="28">
        <f t="shared" si="24"/>
        <v>11.020000000000001</v>
      </c>
      <c r="M94" s="28">
        <f t="shared" si="25"/>
        <v>58.710000000000008</v>
      </c>
      <c r="N94" s="107">
        <f t="shared" si="26"/>
        <v>697.30000000000007</v>
      </c>
      <c r="O94" s="107">
        <f t="shared" si="27"/>
        <v>69.73</v>
      </c>
      <c r="P94" s="9"/>
      <c r="Q94" s="35" t="str">
        <f t="shared" si="28"/>
        <v>110,20</v>
      </c>
      <c r="R94" s="35" t="str">
        <f t="shared" si="29"/>
        <v>587,10</v>
      </c>
      <c r="S94" s="35" t="str">
        <f t="shared" si="30"/>
        <v>697,30</v>
      </c>
      <c r="T94" s="35" t="str">
        <f t="shared" si="31"/>
        <v>,00</v>
      </c>
      <c r="U94" s="35" t="str">
        <f t="shared" si="32"/>
        <v>,00</v>
      </c>
      <c r="V94" s="35" t="str">
        <f t="shared" si="33"/>
        <v>,00</v>
      </c>
      <c r="W94" s="35" t="str">
        <f t="shared" si="34"/>
        <v>110,20</v>
      </c>
      <c r="X94" s="35" t="str">
        <f t="shared" si="35"/>
        <v>587,10</v>
      </c>
      <c r="Y94" s="35" t="str">
        <f t="shared" si="36"/>
        <v>11,02</v>
      </c>
      <c r="Z94" s="35" t="str">
        <f t="shared" si="37"/>
        <v>58,71</v>
      </c>
      <c r="AA94" s="35" t="str">
        <f t="shared" si="38"/>
        <v>697,30</v>
      </c>
      <c r="AB94" s="35" t="str">
        <f t="shared" si="39"/>
        <v>69,73</v>
      </c>
    </row>
    <row r="95" spans="1:28" ht="16" x14ac:dyDescent="0.25">
      <c r="A95" s="24">
        <v>94</v>
      </c>
      <c r="B95" s="24" t="s">
        <v>2821</v>
      </c>
      <c r="C95" s="24" t="s">
        <v>170</v>
      </c>
      <c r="D95" s="116">
        <v>50.4</v>
      </c>
      <c r="E95" s="116">
        <v>506.1</v>
      </c>
      <c r="F95" s="108">
        <f t="shared" si="20"/>
        <v>556.5</v>
      </c>
      <c r="G95" s="116">
        <v>0</v>
      </c>
      <c r="H95" s="116">
        <v>0</v>
      </c>
      <c r="I95" s="28">
        <f t="shared" si="21"/>
        <v>0</v>
      </c>
      <c r="J95" s="28">
        <f t="shared" si="22"/>
        <v>50.4</v>
      </c>
      <c r="K95" s="28">
        <f t="shared" si="23"/>
        <v>506.1</v>
      </c>
      <c r="L95" s="28">
        <f t="shared" si="24"/>
        <v>5.04</v>
      </c>
      <c r="M95" s="28">
        <f t="shared" si="25"/>
        <v>50.610000000000007</v>
      </c>
      <c r="N95" s="107">
        <f t="shared" si="26"/>
        <v>556.5</v>
      </c>
      <c r="O95" s="107">
        <f t="shared" si="27"/>
        <v>55.650000000000006</v>
      </c>
      <c r="P95" s="9"/>
      <c r="Q95" s="35" t="str">
        <f t="shared" si="28"/>
        <v>50,40</v>
      </c>
      <c r="R95" s="35" t="str">
        <f t="shared" si="29"/>
        <v>506,10</v>
      </c>
      <c r="S95" s="35" t="str">
        <f t="shared" si="30"/>
        <v>556,50</v>
      </c>
      <c r="T95" s="35" t="str">
        <f t="shared" si="31"/>
        <v>,00</v>
      </c>
      <c r="U95" s="35" t="str">
        <f t="shared" si="32"/>
        <v>,00</v>
      </c>
      <c r="V95" s="35" t="str">
        <f t="shared" si="33"/>
        <v>,00</v>
      </c>
      <c r="W95" s="35" t="str">
        <f t="shared" si="34"/>
        <v>50,40</v>
      </c>
      <c r="X95" s="35" t="str">
        <f t="shared" si="35"/>
        <v>506,10</v>
      </c>
      <c r="Y95" s="35" t="str">
        <f t="shared" si="36"/>
        <v>5,04</v>
      </c>
      <c r="Z95" s="35" t="str">
        <f t="shared" si="37"/>
        <v>50,61</v>
      </c>
      <c r="AA95" s="35" t="str">
        <f t="shared" si="38"/>
        <v>556,50</v>
      </c>
      <c r="AB95" s="35" t="str">
        <f t="shared" si="39"/>
        <v>55,65</v>
      </c>
    </row>
    <row r="96" spans="1:28" ht="16" x14ac:dyDescent="0.25">
      <c r="A96" s="24">
        <v>95</v>
      </c>
      <c r="B96" s="24" t="s">
        <v>546</v>
      </c>
      <c r="C96" s="24" t="s">
        <v>170</v>
      </c>
      <c r="D96" s="116">
        <v>45</v>
      </c>
      <c r="E96" s="116">
        <v>402.8</v>
      </c>
      <c r="F96" s="108">
        <f t="shared" si="20"/>
        <v>447.8</v>
      </c>
      <c r="G96" s="116">
        <v>0</v>
      </c>
      <c r="H96" s="116">
        <v>0</v>
      </c>
      <c r="I96" s="28">
        <f t="shared" si="21"/>
        <v>0</v>
      </c>
      <c r="J96" s="28">
        <f t="shared" si="22"/>
        <v>45</v>
      </c>
      <c r="K96" s="28">
        <f t="shared" si="23"/>
        <v>402.8</v>
      </c>
      <c r="L96" s="28">
        <f t="shared" si="24"/>
        <v>4.5</v>
      </c>
      <c r="M96" s="28">
        <f t="shared" si="25"/>
        <v>40.28</v>
      </c>
      <c r="N96" s="107">
        <f t="shared" si="26"/>
        <v>447.8</v>
      </c>
      <c r="O96" s="107">
        <f t="shared" si="27"/>
        <v>44.78</v>
      </c>
      <c r="P96" s="9"/>
      <c r="Q96" s="35" t="str">
        <f t="shared" si="28"/>
        <v>45,00</v>
      </c>
      <c r="R96" s="35" t="str">
        <f t="shared" si="29"/>
        <v>402,80</v>
      </c>
      <c r="S96" s="35" t="str">
        <f t="shared" si="30"/>
        <v>447,80</v>
      </c>
      <c r="T96" s="35" t="str">
        <f t="shared" si="31"/>
        <v>,00</v>
      </c>
      <c r="U96" s="35" t="str">
        <f t="shared" si="32"/>
        <v>,00</v>
      </c>
      <c r="V96" s="35" t="str">
        <f t="shared" si="33"/>
        <v>,00</v>
      </c>
      <c r="W96" s="35" t="str">
        <f t="shared" si="34"/>
        <v>45,00</v>
      </c>
      <c r="X96" s="35" t="str">
        <f t="shared" si="35"/>
        <v>402,80</v>
      </c>
      <c r="Y96" s="35" t="str">
        <f t="shared" si="36"/>
        <v>4,50</v>
      </c>
      <c r="Z96" s="35" t="str">
        <f t="shared" si="37"/>
        <v>40,28</v>
      </c>
      <c r="AA96" s="35" t="str">
        <f t="shared" si="38"/>
        <v>447,80</v>
      </c>
      <c r="AB96" s="35" t="str">
        <f t="shared" si="39"/>
        <v>44,78</v>
      </c>
    </row>
    <row r="97" spans="1:28" ht="16" x14ac:dyDescent="0.25">
      <c r="A97" s="24">
        <v>96</v>
      </c>
      <c r="B97" s="24" t="s">
        <v>548</v>
      </c>
      <c r="C97" s="24" t="s">
        <v>170</v>
      </c>
      <c r="D97" s="116">
        <v>45</v>
      </c>
      <c r="E97" s="116">
        <v>402.8</v>
      </c>
      <c r="F97" s="108">
        <f t="shared" si="20"/>
        <v>447.8</v>
      </c>
      <c r="G97" s="116">
        <v>0</v>
      </c>
      <c r="H97" s="116">
        <v>0</v>
      </c>
      <c r="I97" s="28">
        <f t="shared" si="21"/>
        <v>0</v>
      </c>
      <c r="J97" s="28">
        <f t="shared" si="22"/>
        <v>45</v>
      </c>
      <c r="K97" s="28">
        <f t="shared" si="23"/>
        <v>402.8</v>
      </c>
      <c r="L97" s="28">
        <f t="shared" si="24"/>
        <v>4.5</v>
      </c>
      <c r="M97" s="28">
        <f t="shared" si="25"/>
        <v>40.28</v>
      </c>
      <c r="N97" s="107">
        <f t="shared" si="26"/>
        <v>447.8</v>
      </c>
      <c r="O97" s="107">
        <f t="shared" si="27"/>
        <v>44.78</v>
      </c>
      <c r="P97" s="9"/>
      <c r="Q97" s="35" t="str">
        <f t="shared" si="28"/>
        <v>45,00</v>
      </c>
      <c r="R97" s="35" t="str">
        <f t="shared" si="29"/>
        <v>402,80</v>
      </c>
      <c r="S97" s="35" t="str">
        <f t="shared" si="30"/>
        <v>447,80</v>
      </c>
      <c r="T97" s="35" t="str">
        <f t="shared" si="31"/>
        <v>,00</v>
      </c>
      <c r="U97" s="35" t="str">
        <f t="shared" si="32"/>
        <v>,00</v>
      </c>
      <c r="V97" s="35" t="str">
        <f t="shared" si="33"/>
        <v>,00</v>
      </c>
      <c r="W97" s="35" t="str">
        <f t="shared" si="34"/>
        <v>45,00</v>
      </c>
      <c r="X97" s="35" t="str">
        <f t="shared" si="35"/>
        <v>402,80</v>
      </c>
      <c r="Y97" s="35" t="str">
        <f t="shared" si="36"/>
        <v>4,50</v>
      </c>
      <c r="Z97" s="35" t="str">
        <f t="shared" si="37"/>
        <v>40,28</v>
      </c>
      <c r="AA97" s="35" t="str">
        <f t="shared" si="38"/>
        <v>447,80</v>
      </c>
      <c r="AB97" s="35" t="str">
        <f t="shared" si="39"/>
        <v>44,78</v>
      </c>
    </row>
    <row r="98" spans="1:28" ht="16" x14ac:dyDescent="0.25">
      <c r="A98" s="24">
        <v>97</v>
      </c>
      <c r="B98" s="24" t="s">
        <v>547</v>
      </c>
      <c r="C98" s="24" t="s">
        <v>170</v>
      </c>
      <c r="D98" s="116">
        <v>130.80000000000001</v>
      </c>
      <c r="E98" s="116">
        <v>69.7</v>
      </c>
      <c r="F98" s="108">
        <f t="shared" si="20"/>
        <v>200.5</v>
      </c>
      <c r="G98" s="116">
        <v>0</v>
      </c>
      <c r="H98" s="116">
        <v>0</v>
      </c>
      <c r="I98" s="28">
        <f t="shared" si="21"/>
        <v>0</v>
      </c>
      <c r="J98" s="28">
        <f t="shared" si="22"/>
        <v>130.80000000000001</v>
      </c>
      <c r="K98" s="28">
        <f t="shared" si="23"/>
        <v>69.7</v>
      </c>
      <c r="L98" s="28">
        <f t="shared" si="24"/>
        <v>13.080000000000002</v>
      </c>
      <c r="M98" s="28">
        <f t="shared" si="25"/>
        <v>6.9700000000000006</v>
      </c>
      <c r="N98" s="107">
        <f t="shared" si="26"/>
        <v>200.5</v>
      </c>
      <c r="O98" s="107">
        <f t="shared" si="27"/>
        <v>20.05</v>
      </c>
      <c r="P98" s="9"/>
      <c r="Q98" s="35" t="str">
        <f t="shared" si="28"/>
        <v>130,80</v>
      </c>
      <c r="R98" s="35" t="str">
        <f t="shared" si="29"/>
        <v>69,70</v>
      </c>
      <c r="S98" s="35" t="str">
        <f t="shared" si="30"/>
        <v>200,50</v>
      </c>
      <c r="T98" s="35" t="str">
        <f t="shared" si="31"/>
        <v>,00</v>
      </c>
      <c r="U98" s="35" t="str">
        <f t="shared" si="32"/>
        <v>,00</v>
      </c>
      <c r="V98" s="35" t="str">
        <f t="shared" si="33"/>
        <v>,00</v>
      </c>
      <c r="W98" s="35" t="str">
        <f t="shared" si="34"/>
        <v>130,80</v>
      </c>
      <c r="X98" s="35" t="str">
        <f t="shared" si="35"/>
        <v>69,70</v>
      </c>
      <c r="Y98" s="35" t="str">
        <f t="shared" si="36"/>
        <v>13,08</v>
      </c>
      <c r="Z98" s="35" t="str">
        <f t="shared" si="37"/>
        <v>6,97</v>
      </c>
      <c r="AA98" s="35" t="str">
        <f t="shared" si="38"/>
        <v>200,50</v>
      </c>
      <c r="AB98" s="35" t="str">
        <f t="shared" si="39"/>
        <v>20,05</v>
      </c>
    </row>
    <row r="99" spans="1:28" ht="16" x14ac:dyDescent="0.25">
      <c r="A99" s="24">
        <v>98</v>
      </c>
      <c r="B99" s="24" t="s">
        <v>2018</v>
      </c>
      <c r="C99" s="24" t="s">
        <v>57</v>
      </c>
      <c r="D99" s="116">
        <v>330968.69999999995</v>
      </c>
      <c r="E99" s="116">
        <v>293063.99</v>
      </c>
      <c r="F99" s="108">
        <f t="shared" si="20"/>
        <v>624032.68999999994</v>
      </c>
      <c r="G99" s="116">
        <v>17007.3</v>
      </c>
      <c r="H99" s="116">
        <v>10234.370000000001</v>
      </c>
      <c r="I99" s="28">
        <f t="shared" si="21"/>
        <v>27241.67</v>
      </c>
      <c r="J99" s="28">
        <f t="shared" si="22"/>
        <v>313961.39999999997</v>
      </c>
      <c r="K99" s="28">
        <f t="shared" si="23"/>
        <v>282829.62</v>
      </c>
      <c r="L99" s="28">
        <f t="shared" si="24"/>
        <v>31396.14</v>
      </c>
      <c r="M99" s="28">
        <f t="shared" si="25"/>
        <v>28282.962</v>
      </c>
      <c r="N99" s="107">
        <f t="shared" si="26"/>
        <v>596791.0199999999</v>
      </c>
      <c r="O99" s="107">
        <f t="shared" si="27"/>
        <v>59679.101999999992</v>
      </c>
      <c r="P99" s="9"/>
      <c r="Q99" s="35" t="str">
        <f t="shared" si="28"/>
        <v>330.968,70</v>
      </c>
      <c r="R99" s="35" t="str">
        <f t="shared" si="29"/>
        <v>293.063,99</v>
      </c>
      <c r="S99" s="35" t="str">
        <f t="shared" si="30"/>
        <v>624.032,69</v>
      </c>
      <c r="T99" s="35" t="str">
        <f t="shared" si="31"/>
        <v>17.007,30</v>
      </c>
      <c r="U99" s="35" t="str">
        <f t="shared" si="32"/>
        <v>10.234,37</v>
      </c>
      <c r="V99" s="35" t="str">
        <f t="shared" si="33"/>
        <v>27.241,67</v>
      </c>
      <c r="W99" s="35" t="str">
        <f t="shared" si="34"/>
        <v>313.961,40</v>
      </c>
      <c r="X99" s="35" t="str">
        <f t="shared" si="35"/>
        <v>282.829,62</v>
      </c>
      <c r="Y99" s="35" t="str">
        <f t="shared" si="36"/>
        <v>31.396,14</v>
      </c>
      <c r="Z99" s="35" t="str">
        <f t="shared" si="37"/>
        <v>28.282,96</v>
      </c>
      <c r="AA99" s="35" t="str">
        <f t="shared" si="38"/>
        <v>596.791,02</v>
      </c>
      <c r="AB99" s="35" t="str">
        <f t="shared" si="39"/>
        <v>59.679,10</v>
      </c>
    </row>
    <row r="100" spans="1:28" ht="16" x14ac:dyDescent="0.25">
      <c r="A100" s="24">
        <v>99</v>
      </c>
      <c r="B100" s="24" t="s">
        <v>1862</v>
      </c>
      <c r="C100" s="24" t="s">
        <v>58</v>
      </c>
      <c r="D100" s="116">
        <v>48815.8</v>
      </c>
      <c r="E100" s="116">
        <v>62136.800000000003</v>
      </c>
      <c r="F100" s="108">
        <f t="shared" si="20"/>
        <v>110952.6</v>
      </c>
      <c r="G100" s="116">
        <v>436.8</v>
      </c>
      <c r="H100" s="116">
        <v>1211.5</v>
      </c>
      <c r="I100" s="28">
        <f t="shared" si="21"/>
        <v>1648.3</v>
      </c>
      <c r="J100" s="28">
        <f t="shared" si="22"/>
        <v>48379</v>
      </c>
      <c r="K100" s="28">
        <f t="shared" si="23"/>
        <v>60925.3</v>
      </c>
      <c r="L100" s="28">
        <f t="shared" si="24"/>
        <v>4837.9000000000005</v>
      </c>
      <c r="M100" s="28">
        <f t="shared" si="25"/>
        <v>6092.5300000000007</v>
      </c>
      <c r="N100" s="107">
        <f t="shared" si="26"/>
        <v>109304.3</v>
      </c>
      <c r="O100" s="107">
        <f t="shared" si="27"/>
        <v>10930.43</v>
      </c>
      <c r="P100" s="9"/>
      <c r="Q100" s="35" t="str">
        <f t="shared" si="28"/>
        <v>48.815,80</v>
      </c>
      <c r="R100" s="35" t="str">
        <f t="shared" si="29"/>
        <v>62.136,80</v>
      </c>
      <c r="S100" s="35" t="str">
        <f t="shared" si="30"/>
        <v>110.952,60</v>
      </c>
      <c r="T100" s="35" t="str">
        <f t="shared" si="31"/>
        <v>436,80</v>
      </c>
      <c r="U100" s="35" t="str">
        <f t="shared" si="32"/>
        <v>1.211,50</v>
      </c>
      <c r="V100" s="35" t="str">
        <f t="shared" si="33"/>
        <v>1.648,30</v>
      </c>
      <c r="W100" s="35" t="str">
        <f t="shared" si="34"/>
        <v>48.379,00</v>
      </c>
      <c r="X100" s="35" t="str">
        <f t="shared" si="35"/>
        <v>60.925,30</v>
      </c>
      <c r="Y100" s="35" t="str">
        <f t="shared" si="36"/>
        <v>4.837,90</v>
      </c>
      <c r="Z100" s="35" t="str">
        <f t="shared" si="37"/>
        <v>6.092,53</v>
      </c>
      <c r="AA100" s="35" t="str">
        <f t="shared" si="38"/>
        <v>109.304,30</v>
      </c>
      <c r="AB100" s="35" t="str">
        <f t="shared" si="39"/>
        <v>10.930,43</v>
      </c>
    </row>
    <row r="101" spans="1:28" ht="16" x14ac:dyDescent="0.25">
      <c r="A101" s="24">
        <v>100</v>
      </c>
      <c r="B101" s="24" t="s">
        <v>34</v>
      </c>
      <c r="C101" s="24" t="s">
        <v>201</v>
      </c>
      <c r="D101" s="116">
        <v>90729.47</v>
      </c>
      <c r="E101" s="116">
        <v>98188.84</v>
      </c>
      <c r="F101" s="108">
        <f t="shared" si="20"/>
        <v>188918.31</v>
      </c>
      <c r="G101" s="116">
        <v>20340.060000000001</v>
      </c>
      <c r="H101" s="116">
        <v>1604.63</v>
      </c>
      <c r="I101" s="28">
        <f t="shared" si="21"/>
        <v>21944.690000000002</v>
      </c>
      <c r="J101" s="28">
        <f t="shared" si="22"/>
        <v>70389.41</v>
      </c>
      <c r="K101" s="28">
        <f t="shared" si="23"/>
        <v>96584.209999999992</v>
      </c>
      <c r="L101" s="28">
        <f t="shared" si="24"/>
        <v>7038.9410000000007</v>
      </c>
      <c r="M101" s="28">
        <f t="shared" si="25"/>
        <v>9658.4210000000003</v>
      </c>
      <c r="N101" s="107">
        <f t="shared" si="26"/>
        <v>166973.62</v>
      </c>
      <c r="O101" s="107">
        <f t="shared" si="27"/>
        <v>16697.362000000001</v>
      </c>
      <c r="P101" s="9"/>
      <c r="Q101" s="35" t="str">
        <f t="shared" si="28"/>
        <v>90.729,47</v>
      </c>
      <c r="R101" s="35" t="str">
        <f t="shared" si="29"/>
        <v>98.188,84</v>
      </c>
      <c r="S101" s="35" t="str">
        <f t="shared" si="30"/>
        <v>188.918,31</v>
      </c>
      <c r="T101" s="35" t="str">
        <f t="shared" si="31"/>
        <v>20.340,06</v>
      </c>
      <c r="U101" s="35" t="str">
        <f t="shared" si="32"/>
        <v>1.604,63</v>
      </c>
      <c r="V101" s="35" t="str">
        <f t="shared" si="33"/>
        <v>21.944,69</v>
      </c>
      <c r="W101" s="35" t="str">
        <f t="shared" si="34"/>
        <v>70.389,41</v>
      </c>
      <c r="X101" s="35" t="str">
        <f t="shared" si="35"/>
        <v>96.584,21</v>
      </c>
      <c r="Y101" s="35" t="str">
        <f t="shared" si="36"/>
        <v>7.038,94</v>
      </c>
      <c r="Z101" s="35" t="str">
        <f t="shared" si="37"/>
        <v>9.658,42</v>
      </c>
      <c r="AA101" s="35" t="str">
        <f t="shared" si="38"/>
        <v>166.973,62</v>
      </c>
      <c r="AB101" s="35" t="str">
        <f t="shared" si="39"/>
        <v>16.697,36</v>
      </c>
    </row>
    <row r="102" spans="1:28" ht="16" x14ac:dyDescent="0.25">
      <c r="A102" s="24">
        <v>101</v>
      </c>
      <c r="B102" s="24" t="s">
        <v>21</v>
      </c>
      <c r="C102" s="24" t="s">
        <v>201</v>
      </c>
      <c r="D102" s="116">
        <v>12405.7</v>
      </c>
      <c r="E102" s="116">
        <v>2765.4</v>
      </c>
      <c r="F102" s="108">
        <f t="shared" si="20"/>
        <v>15171.1</v>
      </c>
      <c r="G102" s="116">
        <v>413.2</v>
      </c>
      <c r="H102" s="116">
        <v>4076.7</v>
      </c>
      <c r="I102" s="28">
        <f t="shared" si="21"/>
        <v>4489.8999999999996</v>
      </c>
      <c r="J102" s="28">
        <f t="shared" si="22"/>
        <v>11992.5</v>
      </c>
      <c r="K102" s="28">
        <f t="shared" si="23"/>
        <v>-1311.2999999999997</v>
      </c>
      <c r="L102" s="28">
        <f t="shared" si="24"/>
        <v>1199.25</v>
      </c>
      <c r="M102" s="28">
        <f t="shared" si="25"/>
        <v>-131.12999999999997</v>
      </c>
      <c r="N102" s="107">
        <f t="shared" si="26"/>
        <v>10681.2</v>
      </c>
      <c r="O102" s="107">
        <f t="shared" si="27"/>
        <v>1068.1200000000001</v>
      </c>
      <c r="P102" s="9"/>
      <c r="Q102" s="35" t="str">
        <f t="shared" si="28"/>
        <v>12.405,70</v>
      </c>
      <c r="R102" s="35" t="str">
        <f t="shared" si="29"/>
        <v>2.765,40</v>
      </c>
      <c r="S102" s="35" t="str">
        <f t="shared" si="30"/>
        <v>15.171,10</v>
      </c>
      <c r="T102" s="35" t="str">
        <f t="shared" si="31"/>
        <v>413,20</v>
      </c>
      <c r="U102" s="35" t="str">
        <f t="shared" si="32"/>
        <v>4.076,70</v>
      </c>
      <c r="V102" s="35" t="str">
        <f t="shared" si="33"/>
        <v>4.489,90</v>
      </c>
      <c r="W102" s="35" t="str">
        <f t="shared" si="34"/>
        <v>11.992,50</v>
      </c>
      <c r="X102" s="35" t="str">
        <f t="shared" si="35"/>
        <v>-1.311,30</v>
      </c>
      <c r="Y102" s="35" t="str">
        <f t="shared" si="36"/>
        <v>1.199,25</v>
      </c>
      <c r="Z102" s="35" t="str">
        <f t="shared" si="37"/>
        <v>-131,13</v>
      </c>
      <c r="AA102" s="35" t="str">
        <f t="shared" si="38"/>
        <v>10.681,20</v>
      </c>
      <c r="AB102" s="35" t="str">
        <f t="shared" si="39"/>
        <v>1.068,12</v>
      </c>
    </row>
    <row r="103" spans="1:28" ht="16" x14ac:dyDescent="0.25">
      <c r="A103" s="24">
        <v>102</v>
      </c>
      <c r="B103" s="24" t="s">
        <v>560</v>
      </c>
      <c r="C103" s="24" t="s">
        <v>201</v>
      </c>
      <c r="D103" s="116">
        <v>5504.8</v>
      </c>
      <c r="E103" s="116">
        <v>115.6</v>
      </c>
      <c r="F103" s="108">
        <f t="shared" si="20"/>
        <v>5620.4000000000005</v>
      </c>
      <c r="G103" s="116">
        <v>0</v>
      </c>
      <c r="H103" s="116">
        <v>0</v>
      </c>
      <c r="I103" s="28">
        <f t="shared" si="21"/>
        <v>0</v>
      </c>
      <c r="J103" s="28">
        <f t="shared" si="22"/>
        <v>5504.8</v>
      </c>
      <c r="K103" s="28">
        <f t="shared" si="23"/>
        <v>115.6</v>
      </c>
      <c r="L103" s="28">
        <f t="shared" si="24"/>
        <v>550.48</v>
      </c>
      <c r="M103" s="28">
        <f t="shared" si="25"/>
        <v>11.56</v>
      </c>
      <c r="N103" s="107">
        <f t="shared" si="26"/>
        <v>5620.4000000000005</v>
      </c>
      <c r="O103" s="107">
        <f t="shared" si="27"/>
        <v>562.04000000000008</v>
      </c>
      <c r="P103" s="9"/>
      <c r="Q103" s="35" t="str">
        <f t="shared" si="28"/>
        <v>5.504,80</v>
      </c>
      <c r="R103" s="35" t="str">
        <f t="shared" si="29"/>
        <v>115,60</v>
      </c>
      <c r="S103" s="35" t="str">
        <f t="shared" si="30"/>
        <v>5.620,40</v>
      </c>
      <c r="T103" s="35" t="str">
        <f t="shared" si="31"/>
        <v>,00</v>
      </c>
      <c r="U103" s="35" t="str">
        <f t="shared" si="32"/>
        <v>,00</v>
      </c>
      <c r="V103" s="35" t="str">
        <f t="shared" si="33"/>
        <v>,00</v>
      </c>
      <c r="W103" s="35" t="str">
        <f t="shared" si="34"/>
        <v>5.504,80</v>
      </c>
      <c r="X103" s="35" t="str">
        <f t="shared" si="35"/>
        <v>115,60</v>
      </c>
      <c r="Y103" s="35" t="str">
        <f t="shared" si="36"/>
        <v>550,48</v>
      </c>
      <c r="Z103" s="35" t="str">
        <f t="shared" si="37"/>
        <v>11,56</v>
      </c>
      <c r="AA103" s="35" t="str">
        <f t="shared" si="38"/>
        <v>5.620,40</v>
      </c>
      <c r="AB103" s="35" t="str">
        <f t="shared" si="39"/>
        <v>562,04</v>
      </c>
    </row>
    <row r="104" spans="1:28" ht="16" x14ac:dyDescent="0.25">
      <c r="A104" s="24">
        <v>103</v>
      </c>
      <c r="B104" s="24" t="s">
        <v>561</v>
      </c>
      <c r="C104" s="24" t="s">
        <v>201</v>
      </c>
      <c r="D104" s="116">
        <v>243.4</v>
      </c>
      <c r="E104" s="116">
        <v>223.7</v>
      </c>
      <c r="F104" s="108">
        <f t="shared" si="20"/>
        <v>467.1</v>
      </c>
      <c r="G104" s="116">
        <v>0</v>
      </c>
      <c r="H104" s="116">
        <v>0</v>
      </c>
      <c r="I104" s="28">
        <f t="shared" si="21"/>
        <v>0</v>
      </c>
      <c r="J104" s="28">
        <f t="shared" si="22"/>
        <v>243.4</v>
      </c>
      <c r="K104" s="28">
        <f t="shared" si="23"/>
        <v>223.7</v>
      </c>
      <c r="L104" s="28">
        <f t="shared" si="24"/>
        <v>24.340000000000003</v>
      </c>
      <c r="M104" s="28">
        <f t="shared" si="25"/>
        <v>22.37</v>
      </c>
      <c r="N104" s="107">
        <f t="shared" si="26"/>
        <v>467.1</v>
      </c>
      <c r="O104" s="107">
        <f t="shared" si="27"/>
        <v>46.710000000000008</v>
      </c>
      <c r="P104" s="9"/>
      <c r="Q104" s="35" t="str">
        <f t="shared" si="28"/>
        <v>243,40</v>
      </c>
      <c r="R104" s="35" t="str">
        <f t="shared" si="29"/>
        <v>223,70</v>
      </c>
      <c r="S104" s="35" t="str">
        <f t="shared" si="30"/>
        <v>467,10</v>
      </c>
      <c r="T104" s="35" t="str">
        <f t="shared" si="31"/>
        <v>,00</v>
      </c>
      <c r="U104" s="35" t="str">
        <f t="shared" si="32"/>
        <v>,00</v>
      </c>
      <c r="V104" s="35" t="str">
        <f t="shared" si="33"/>
        <v>,00</v>
      </c>
      <c r="W104" s="35" t="str">
        <f t="shared" si="34"/>
        <v>243,40</v>
      </c>
      <c r="X104" s="35" t="str">
        <f t="shared" si="35"/>
        <v>223,70</v>
      </c>
      <c r="Y104" s="35" t="str">
        <f t="shared" si="36"/>
        <v>24,34</v>
      </c>
      <c r="Z104" s="35" t="str">
        <f t="shared" si="37"/>
        <v>22,37</v>
      </c>
      <c r="AA104" s="35" t="str">
        <f t="shared" si="38"/>
        <v>467,10</v>
      </c>
      <c r="AB104" s="35" t="str">
        <f t="shared" si="39"/>
        <v>46,71</v>
      </c>
    </row>
    <row r="105" spans="1:28" ht="16" x14ac:dyDescent="0.25">
      <c r="A105" s="24">
        <v>104</v>
      </c>
      <c r="B105" s="24" t="s">
        <v>2127</v>
      </c>
      <c r="C105" s="24" t="s">
        <v>201</v>
      </c>
      <c r="D105" s="116">
        <v>167.6</v>
      </c>
      <c r="E105" s="116">
        <v>83.7</v>
      </c>
      <c r="F105" s="108">
        <f t="shared" si="20"/>
        <v>251.3</v>
      </c>
      <c r="G105" s="116">
        <v>0</v>
      </c>
      <c r="H105" s="116">
        <v>0</v>
      </c>
      <c r="I105" s="28">
        <f t="shared" si="21"/>
        <v>0</v>
      </c>
      <c r="J105" s="28">
        <f t="shared" si="22"/>
        <v>167.6</v>
      </c>
      <c r="K105" s="28">
        <f t="shared" si="23"/>
        <v>83.7</v>
      </c>
      <c r="L105" s="28">
        <f t="shared" si="24"/>
        <v>16.760000000000002</v>
      </c>
      <c r="M105" s="28">
        <f t="shared" si="25"/>
        <v>8.370000000000001</v>
      </c>
      <c r="N105" s="107">
        <f t="shared" si="26"/>
        <v>251.3</v>
      </c>
      <c r="O105" s="107">
        <f t="shared" si="27"/>
        <v>25.130000000000003</v>
      </c>
      <c r="P105" s="9"/>
      <c r="Q105" s="35" t="str">
        <f t="shared" si="28"/>
        <v>167,60</v>
      </c>
      <c r="R105" s="35" t="str">
        <f t="shared" si="29"/>
        <v>83,70</v>
      </c>
      <c r="S105" s="35" t="str">
        <f t="shared" si="30"/>
        <v>251,30</v>
      </c>
      <c r="T105" s="35" t="str">
        <f t="shared" si="31"/>
        <v>,00</v>
      </c>
      <c r="U105" s="35" t="str">
        <f t="shared" si="32"/>
        <v>,00</v>
      </c>
      <c r="V105" s="35" t="str">
        <f t="shared" si="33"/>
        <v>,00</v>
      </c>
      <c r="W105" s="35" t="str">
        <f t="shared" si="34"/>
        <v>167,60</v>
      </c>
      <c r="X105" s="35" t="str">
        <f t="shared" si="35"/>
        <v>83,70</v>
      </c>
      <c r="Y105" s="35" t="str">
        <f t="shared" si="36"/>
        <v>16,76</v>
      </c>
      <c r="Z105" s="35" t="str">
        <f t="shared" si="37"/>
        <v>8,37</v>
      </c>
      <c r="AA105" s="35" t="str">
        <f t="shared" si="38"/>
        <v>251,30</v>
      </c>
      <c r="AB105" s="35" t="str">
        <f t="shared" si="39"/>
        <v>25,13</v>
      </c>
    </row>
    <row r="106" spans="1:28" ht="16" x14ac:dyDescent="0.25">
      <c r="A106" s="24">
        <v>105</v>
      </c>
      <c r="B106" s="24" t="s">
        <v>443</v>
      </c>
      <c r="C106" s="24" t="s">
        <v>201</v>
      </c>
      <c r="D106" s="116">
        <v>23148.400000000001</v>
      </c>
      <c r="E106" s="116">
        <v>3533.9</v>
      </c>
      <c r="F106" s="108">
        <f t="shared" si="20"/>
        <v>26682.300000000003</v>
      </c>
      <c r="G106" s="116">
        <v>23071.7</v>
      </c>
      <c r="H106" s="116">
        <v>3430.4</v>
      </c>
      <c r="I106" s="28">
        <f t="shared" si="21"/>
        <v>26502.100000000002</v>
      </c>
      <c r="J106" s="28">
        <f t="shared" si="22"/>
        <v>76.700000000000728</v>
      </c>
      <c r="K106" s="28">
        <f t="shared" si="23"/>
        <v>103.5</v>
      </c>
      <c r="L106" s="28">
        <f t="shared" si="24"/>
        <v>7.6700000000000728</v>
      </c>
      <c r="M106" s="28">
        <f t="shared" si="25"/>
        <v>10.350000000000001</v>
      </c>
      <c r="N106" s="107">
        <f t="shared" si="26"/>
        <v>180.20000000000073</v>
      </c>
      <c r="O106" s="107">
        <f t="shared" si="27"/>
        <v>18.020000000000074</v>
      </c>
      <c r="P106" s="9"/>
      <c r="Q106" s="35" t="str">
        <f t="shared" si="28"/>
        <v>23.148,40</v>
      </c>
      <c r="R106" s="35" t="str">
        <f t="shared" si="29"/>
        <v>3.533,90</v>
      </c>
      <c r="S106" s="35" t="str">
        <f t="shared" si="30"/>
        <v>26.682,30</v>
      </c>
      <c r="T106" s="35" t="str">
        <f t="shared" si="31"/>
        <v>23.071,70</v>
      </c>
      <c r="U106" s="35" t="str">
        <f t="shared" si="32"/>
        <v>3.430,40</v>
      </c>
      <c r="V106" s="35" t="str">
        <f t="shared" si="33"/>
        <v>26.502,10</v>
      </c>
      <c r="W106" s="35" t="str">
        <f t="shared" si="34"/>
        <v>76,70</v>
      </c>
      <c r="X106" s="35" t="str">
        <f t="shared" si="35"/>
        <v>103,50</v>
      </c>
      <c r="Y106" s="35" t="str">
        <f t="shared" si="36"/>
        <v>7,67</v>
      </c>
      <c r="Z106" s="35" t="str">
        <f t="shared" si="37"/>
        <v>10,35</v>
      </c>
      <c r="AA106" s="35" t="str">
        <f t="shared" si="38"/>
        <v>180,20</v>
      </c>
      <c r="AB106" s="35" t="str">
        <f t="shared" si="39"/>
        <v>18,02</v>
      </c>
    </row>
    <row r="107" spans="1:28" ht="16" x14ac:dyDescent="0.25">
      <c r="A107" s="24">
        <v>106</v>
      </c>
      <c r="B107" s="24" t="s">
        <v>2126</v>
      </c>
      <c r="C107" s="24" t="s">
        <v>201</v>
      </c>
      <c r="D107" s="116">
        <v>52.4</v>
      </c>
      <c r="E107" s="116">
        <v>27</v>
      </c>
      <c r="F107" s="108">
        <f t="shared" si="20"/>
        <v>79.400000000000006</v>
      </c>
      <c r="G107" s="116">
        <v>0</v>
      </c>
      <c r="H107" s="116">
        <v>0</v>
      </c>
      <c r="I107" s="28">
        <f t="shared" si="21"/>
        <v>0</v>
      </c>
      <c r="J107" s="28">
        <f t="shared" si="22"/>
        <v>52.4</v>
      </c>
      <c r="K107" s="28">
        <f t="shared" si="23"/>
        <v>27</v>
      </c>
      <c r="L107" s="28">
        <f t="shared" si="24"/>
        <v>5.24</v>
      </c>
      <c r="M107" s="28">
        <f t="shared" si="25"/>
        <v>2.7</v>
      </c>
      <c r="N107" s="107">
        <f t="shared" si="26"/>
        <v>79.400000000000006</v>
      </c>
      <c r="O107" s="107">
        <f t="shared" si="27"/>
        <v>7.9400000000000013</v>
      </c>
      <c r="P107" s="9"/>
      <c r="Q107" s="35" t="str">
        <f t="shared" si="28"/>
        <v>52,40</v>
      </c>
      <c r="R107" s="35" t="str">
        <f t="shared" si="29"/>
        <v>27,00</v>
      </c>
      <c r="S107" s="35" t="str">
        <f t="shared" si="30"/>
        <v>79,40</v>
      </c>
      <c r="T107" s="35" t="str">
        <f t="shared" si="31"/>
        <v>,00</v>
      </c>
      <c r="U107" s="35" t="str">
        <f t="shared" si="32"/>
        <v>,00</v>
      </c>
      <c r="V107" s="35" t="str">
        <f t="shared" si="33"/>
        <v>,00</v>
      </c>
      <c r="W107" s="35" t="str">
        <f t="shared" si="34"/>
        <v>52,40</v>
      </c>
      <c r="X107" s="35" t="str">
        <f t="shared" si="35"/>
        <v>27,00</v>
      </c>
      <c r="Y107" s="35" t="str">
        <f t="shared" si="36"/>
        <v>5,24</v>
      </c>
      <c r="Z107" s="35" t="str">
        <f t="shared" si="37"/>
        <v>2,70</v>
      </c>
      <c r="AA107" s="35" t="str">
        <f t="shared" si="38"/>
        <v>79,40</v>
      </c>
      <c r="AB107" s="35" t="str">
        <f t="shared" si="39"/>
        <v>7,94</v>
      </c>
    </row>
    <row r="108" spans="1:28" ht="16" x14ac:dyDescent="0.25">
      <c r="A108" s="24">
        <v>107</v>
      </c>
      <c r="B108" s="24" t="s">
        <v>34</v>
      </c>
      <c r="C108" s="24" t="s">
        <v>59</v>
      </c>
      <c r="D108" s="116">
        <v>64769.2</v>
      </c>
      <c r="E108" s="116">
        <v>83564.3</v>
      </c>
      <c r="F108" s="108">
        <f t="shared" si="20"/>
        <v>148333.5</v>
      </c>
      <c r="G108" s="116">
        <v>38901</v>
      </c>
      <c r="H108" s="116">
        <v>1744.6</v>
      </c>
      <c r="I108" s="28">
        <f t="shared" si="21"/>
        <v>40645.599999999999</v>
      </c>
      <c r="J108" s="28">
        <f t="shared" si="22"/>
        <v>25868.199999999997</v>
      </c>
      <c r="K108" s="28">
        <f t="shared" si="23"/>
        <v>81819.7</v>
      </c>
      <c r="L108" s="28">
        <f t="shared" si="24"/>
        <v>2586.8199999999997</v>
      </c>
      <c r="M108" s="28">
        <f t="shared" si="25"/>
        <v>8181.97</v>
      </c>
      <c r="N108" s="107">
        <f t="shared" si="26"/>
        <v>107687.9</v>
      </c>
      <c r="O108" s="107">
        <f t="shared" si="27"/>
        <v>10768.79</v>
      </c>
      <c r="P108" s="9"/>
      <c r="Q108" s="35" t="str">
        <f t="shared" si="28"/>
        <v>64.769,20</v>
      </c>
      <c r="R108" s="35" t="str">
        <f t="shared" si="29"/>
        <v>83.564,30</v>
      </c>
      <c r="S108" s="35" t="str">
        <f t="shared" si="30"/>
        <v>148.333,50</v>
      </c>
      <c r="T108" s="35" t="str">
        <f t="shared" si="31"/>
        <v>38.901,00</v>
      </c>
      <c r="U108" s="35" t="str">
        <f t="shared" si="32"/>
        <v>1.744,60</v>
      </c>
      <c r="V108" s="35" t="str">
        <f t="shared" si="33"/>
        <v>40.645,60</v>
      </c>
      <c r="W108" s="35" t="str">
        <f t="shared" si="34"/>
        <v>25.868,20</v>
      </c>
      <c r="X108" s="35" t="str">
        <f t="shared" si="35"/>
        <v>81.819,70</v>
      </c>
      <c r="Y108" s="35" t="str">
        <f t="shared" si="36"/>
        <v>2.586,82</v>
      </c>
      <c r="Z108" s="35" t="str">
        <f t="shared" si="37"/>
        <v>8.181,97</v>
      </c>
      <c r="AA108" s="35" t="str">
        <f t="shared" si="38"/>
        <v>107.687,90</v>
      </c>
      <c r="AB108" s="35" t="str">
        <f t="shared" si="39"/>
        <v>10.768,79</v>
      </c>
    </row>
    <row r="109" spans="1:28" ht="16" x14ac:dyDescent="0.25">
      <c r="A109" s="24">
        <v>108</v>
      </c>
      <c r="B109" s="24" t="s">
        <v>563</v>
      </c>
      <c r="C109" s="24" t="s">
        <v>59</v>
      </c>
      <c r="D109" s="116">
        <v>11191.6</v>
      </c>
      <c r="E109" s="116">
        <v>11825.1</v>
      </c>
      <c r="F109" s="108">
        <f t="shared" si="20"/>
        <v>23016.7</v>
      </c>
      <c r="G109" s="116">
        <v>0</v>
      </c>
      <c r="H109" s="116">
        <v>0</v>
      </c>
      <c r="I109" s="28">
        <f t="shared" si="21"/>
        <v>0</v>
      </c>
      <c r="J109" s="28">
        <f t="shared" si="22"/>
        <v>11191.6</v>
      </c>
      <c r="K109" s="28">
        <f t="shared" si="23"/>
        <v>11825.1</v>
      </c>
      <c r="L109" s="28">
        <f t="shared" si="24"/>
        <v>1119.1600000000001</v>
      </c>
      <c r="M109" s="28">
        <f t="shared" si="25"/>
        <v>1182.51</v>
      </c>
      <c r="N109" s="107">
        <f t="shared" si="26"/>
        <v>23016.7</v>
      </c>
      <c r="O109" s="107">
        <f t="shared" si="27"/>
        <v>2301.67</v>
      </c>
      <c r="P109" s="9"/>
      <c r="Q109" s="35" t="str">
        <f t="shared" si="28"/>
        <v>11.191,60</v>
      </c>
      <c r="R109" s="35" t="str">
        <f t="shared" si="29"/>
        <v>11.825,10</v>
      </c>
      <c r="S109" s="35" t="str">
        <f t="shared" si="30"/>
        <v>23.016,70</v>
      </c>
      <c r="T109" s="35" t="str">
        <f t="shared" si="31"/>
        <v>,00</v>
      </c>
      <c r="U109" s="35" t="str">
        <f t="shared" si="32"/>
        <v>,00</v>
      </c>
      <c r="V109" s="35" t="str">
        <f t="shared" si="33"/>
        <v>,00</v>
      </c>
      <c r="W109" s="35" t="str">
        <f t="shared" si="34"/>
        <v>11.191,60</v>
      </c>
      <c r="X109" s="35" t="str">
        <f t="shared" si="35"/>
        <v>11.825,10</v>
      </c>
      <c r="Y109" s="35" t="str">
        <f t="shared" si="36"/>
        <v>1.119,16</v>
      </c>
      <c r="Z109" s="35" t="str">
        <f t="shared" si="37"/>
        <v>1.182,51</v>
      </c>
      <c r="AA109" s="35" t="str">
        <f t="shared" si="38"/>
        <v>23.016,70</v>
      </c>
      <c r="AB109" s="35" t="str">
        <f t="shared" si="39"/>
        <v>2.301,67</v>
      </c>
    </row>
    <row r="110" spans="1:28" ht="16" x14ac:dyDescent="0.25">
      <c r="A110" s="24">
        <v>109</v>
      </c>
      <c r="B110" s="24" t="s">
        <v>176</v>
      </c>
      <c r="C110" s="24" t="s">
        <v>59</v>
      </c>
      <c r="D110" s="116">
        <v>9524</v>
      </c>
      <c r="E110" s="116">
        <v>12555.499999999998</v>
      </c>
      <c r="F110" s="108">
        <f t="shared" si="20"/>
        <v>22079.5</v>
      </c>
      <c r="G110" s="116">
        <v>151.89999999999998</v>
      </c>
      <c r="H110" s="116">
        <v>1023.2</v>
      </c>
      <c r="I110" s="28">
        <f t="shared" si="21"/>
        <v>1175.0999999999999</v>
      </c>
      <c r="J110" s="28">
        <f t="shared" si="22"/>
        <v>9372.1</v>
      </c>
      <c r="K110" s="28">
        <f t="shared" si="23"/>
        <v>11532.299999999997</v>
      </c>
      <c r="L110" s="28">
        <f t="shared" si="24"/>
        <v>937.21</v>
      </c>
      <c r="M110" s="28">
        <f t="shared" si="25"/>
        <v>1153.2299999999998</v>
      </c>
      <c r="N110" s="107">
        <f t="shared" si="26"/>
        <v>20904.400000000001</v>
      </c>
      <c r="O110" s="107">
        <f t="shared" si="27"/>
        <v>2090.44</v>
      </c>
      <c r="P110" s="9"/>
      <c r="Q110" s="35" t="str">
        <f t="shared" si="28"/>
        <v>9.524,00</v>
      </c>
      <c r="R110" s="35" t="str">
        <f t="shared" si="29"/>
        <v>12.555,50</v>
      </c>
      <c r="S110" s="35" t="str">
        <f t="shared" si="30"/>
        <v>22.079,50</v>
      </c>
      <c r="T110" s="35" t="str">
        <f t="shared" si="31"/>
        <v>151,90</v>
      </c>
      <c r="U110" s="35" t="str">
        <f t="shared" si="32"/>
        <v>1.023,20</v>
      </c>
      <c r="V110" s="35" t="str">
        <f t="shared" si="33"/>
        <v>1.175,10</v>
      </c>
      <c r="W110" s="35" t="str">
        <f t="shared" si="34"/>
        <v>9.372,10</v>
      </c>
      <c r="X110" s="35" t="str">
        <f t="shared" si="35"/>
        <v>11.532,30</v>
      </c>
      <c r="Y110" s="35" t="str">
        <f t="shared" si="36"/>
        <v>937,21</v>
      </c>
      <c r="Z110" s="35" t="str">
        <f t="shared" si="37"/>
        <v>1.153,23</v>
      </c>
      <c r="AA110" s="35" t="str">
        <f t="shared" si="38"/>
        <v>20.904,40</v>
      </c>
      <c r="AB110" s="35" t="str">
        <f t="shared" si="39"/>
        <v>2.090,44</v>
      </c>
    </row>
    <row r="111" spans="1:28" ht="16" x14ac:dyDescent="0.25">
      <c r="A111" s="24">
        <v>110</v>
      </c>
      <c r="B111" s="24" t="s">
        <v>294</v>
      </c>
      <c r="C111" s="24" t="s">
        <v>59</v>
      </c>
      <c r="D111" s="116">
        <v>3407.1</v>
      </c>
      <c r="E111" s="116">
        <v>12530.6</v>
      </c>
      <c r="F111" s="108">
        <f t="shared" si="20"/>
        <v>15937.7</v>
      </c>
      <c r="G111" s="116">
        <v>23</v>
      </c>
      <c r="H111" s="116">
        <v>6.7</v>
      </c>
      <c r="I111" s="28">
        <f t="shared" si="21"/>
        <v>29.7</v>
      </c>
      <c r="J111" s="28">
        <f t="shared" si="22"/>
        <v>3384.1</v>
      </c>
      <c r="K111" s="28">
        <f t="shared" si="23"/>
        <v>12523.9</v>
      </c>
      <c r="L111" s="28">
        <f t="shared" si="24"/>
        <v>338.41</v>
      </c>
      <c r="M111" s="28">
        <f t="shared" si="25"/>
        <v>1252.3900000000001</v>
      </c>
      <c r="N111" s="107">
        <f t="shared" si="26"/>
        <v>15908</v>
      </c>
      <c r="O111" s="107">
        <f t="shared" si="27"/>
        <v>1590.8000000000002</v>
      </c>
      <c r="P111" s="9"/>
      <c r="Q111" s="35" t="str">
        <f t="shared" si="28"/>
        <v>3.407,10</v>
      </c>
      <c r="R111" s="35" t="str">
        <f t="shared" si="29"/>
        <v>12.530,60</v>
      </c>
      <c r="S111" s="35" t="str">
        <f t="shared" si="30"/>
        <v>15.937,70</v>
      </c>
      <c r="T111" s="35" t="str">
        <f t="shared" si="31"/>
        <v>23,00</v>
      </c>
      <c r="U111" s="35" t="str">
        <f t="shared" si="32"/>
        <v>6,70</v>
      </c>
      <c r="V111" s="35" t="str">
        <f t="shared" si="33"/>
        <v>29,70</v>
      </c>
      <c r="W111" s="35" t="str">
        <f t="shared" si="34"/>
        <v>3.384,10</v>
      </c>
      <c r="X111" s="35" t="str">
        <f t="shared" si="35"/>
        <v>12.523,90</v>
      </c>
      <c r="Y111" s="35" t="str">
        <f t="shared" si="36"/>
        <v>338,41</v>
      </c>
      <c r="Z111" s="35" t="str">
        <f t="shared" si="37"/>
        <v>1.252,39</v>
      </c>
      <c r="AA111" s="35" t="str">
        <f t="shared" si="38"/>
        <v>15.908,00</v>
      </c>
      <c r="AB111" s="35" t="str">
        <f t="shared" si="39"/>
        <v>1.590,80</v>
      </c>
    </row>
    <row r="112" spans="1:28" ht="16" x14ac:dyDescent="0.25">
      <c r="A112" s="24">
        <v>111</v>
      </c>
      <c r="B112" s="24" t="s">
        <v>74</v>
      </c>
      <c r="C112" s="24" t="s">
        <v>59</v>
      </c>
      <c r="D112" s="116">
        <v>735.7</v>
      </c>
      <c r="E112" s="116">
        <v>571.29999999999995</v>
      </c>
      <c r="F112" s="108">
        <f t="shared" si="20"/>
        <v>1307</v>
      </c>
      <c r="G112" s="116">
        <v>22.4</v>
      </c>
      <c r="H112" s="116">
        <v>14.4</v>
      </c>
      <c r="I112" s="28">
        <f t="shared" si="21"/>
        <v>36.799999999999997</v>
      </c>
      <c r="J112" s="28">
        <f t="shared" si="22"/>
        <v>713.30000000000007</v>
      </c>
      <c r="K112" s="28">
        <f t="shared" si="23"/>
        <v>556.9</v>
      </c>
      <c r="L112" s="28">
        <f t="shared" si="24"/>
        <v>71.330000000000013</v>
      </c>
      <c r="M112" s="28">
        <f t="shared" si="25"/>
        <v>55.69</v>
      </c>
      <c r="N112" s="107">
        <f t="shared" si="26"/>
        <v>1270.2</v>
      </c>
      <c r="O112" s="107">
        <f t="shared" si="27"/>
        <v>127.02000000000001</v>
      </c>
      <c r="P112" s="9"/>
      <c r="Q112" s="35" t="str">
        <f t="shared" si="28"/>
        <v>735,70</v>
      </c>
      <c r="R112" s="35" t="str">
        <f t="shared" si="29"/>
        <v>571,30</v>
      </c>
      <c r="S112" s="35" t="str">
        <f t="shared" si="30"/>
        <v>1.307,00</v>
      </c>
      <c r="T112" s="35" t="str">
        <f t="shared" si="31"/>
        <v>22,40</v>
      </c>
      <c r="U112" s="35" t="str">
        <f t="shared" si="32"/>
        <v>14,40</v>
      </c>
      <c r="V112" s="35" t="str">
        <f t="shared" si="33"/>
        <v>36,80</v>
      </c>
      <c r="W112" s="35" t="str">
        <f t="shared" si="34"/>
        <v>713,30</v>
      </c>
      <c r="X112" s="35" t="str">
        <f t="shared" si="35"/>
        <v>556,90</v>
      </c>
      <c r="Y112" s="35" t="str">
        <f t="shared" si="36"/>
        <v>71,33</v>
      </c>
      <c r="Z112" s="35" t="str">
        <f t="shared" si="37"/>
        <v>55,69</v>
      </c>
      <c r="AA112" s="35" t="str">
        <f t="shared" si="38"/>
        <v>1.270,20</v>
      </c>
      <c r="AB112" s="35" t="str">
        <f t="shared" si="39"/>
        <v>127,02</v>
      </c>
    </row>
    <row r="113" spans="1:28" ht="16" x14ac:dyDescent="0.25">
      <c r="A113" s="24">
        <v>112</v>
      </c>
      <c r="B113" s="24" t="s">
        <v>34</v>
      </c>
      <c r="C113" s="24" t="s">
        <v>161</v>
      </c>
      <c r="D113" s="116">
        <v>20320.299999999996</v>
      </c>
      <c r="E113" s="116">
        <v>32437.399999999998</v>
      </c>
      <c r="F113" s="108">
        <f t="shared" si="20"/>
        <v>52757.7</v>
      </c>
      <c r="G113" s="116">
        <v>3512.5</v>
      </c>
      <c r="H113" s="116">
        <v>3779.4000000000005</v>
      </c>
      <c r="I113" s="28">
        <f t="shared" si="21"/>
        <v>7291.9000000000005</v>
      </c>
      <c r="J113" s="28">
        <f t="shared" si="22"/>
        <v>16807.799999999996</v>
      </c>
      <c r="K113" s="28">
        <f t="shared" si="23"/>
        <v>28657.999999999996</v>
      </c>
      <c r="L113" s="28">
        <f t="shared" si="24"/>
        <v>1680.7799999999997</v>
      </c>
      <c r="M113" s="28">
        <f t="shared" si="25"/>
        <v>2865.7999999999997</v>
      </c>
      <c r="N113" s="107">
        <f t="shared" si="26"/>
        <v>45465.799999999996</v>
      </c>
      <c r="O113" s="107">
        <f t="shared" si="27"/>
        <v>4546.58</v>
      </c>
      <c r="P113" s="9"/>
      <c r="Q113" s="35" t="str">
        <f t="shared" si="28"/>
        <v>20.320,30</v>
      </c>
      <c r="R113" s="35" t="str">
        <f t="shared" si="29"/>
        <v>32.437,40</v>
      </c>
      <c r="S113" s="35" t="str">
        <f t="shared" si="30"/>
        <v>52.757,70</v>
      </c>
      <c r="T113" s="35" t="str">
        <f t="shared" si="31"/>
        <v>3.512,50</v>
      </c>
      <c r="U113" s="35" t="str">
        <f t="shared" si="32"/>
        <v>3.779,40</v>
      </c>
      <c r="V113" s="35" t="str">
        <f t="shared" si="33"/>
        <v>7.291,90</v>
      </c>
      <c r="W113" s="35" t="str">
        <f t="shared" si="34"/>
        <v>16.807,80</v>
      </c>
      <c r="X113" s="35" t="str">
        <f t="shared" si="35"/>
        <v>28.658,00</v>
      </c>
      <c r="Y113" s="35" t="str">
        <f t="shared" si="36"/>
        <v>1.680,78</v>
      </c>
      <c r="Z113" s="35" t="str">
        <f t="shared" si="37"/>
        <v>2.865,80</v>
      </c>
      <c r="AA113" s="35" t="str">
        <f t="shared" si="38"/>
        <v>45.465,80</v>
      </c>
      <c r="AB113" s="35" t="str">
        <f t="shared" si="39"/>
        <v>4.546,58</v>
      </c>
    </row>
    <row r="114" spans="1:28" ht="16" x14ac:dyDescent="0.25">
      <c r="A114" s="24">
        <v>113</v>
      </c>
      <c r="B114" s="24" t="s">
        <v>2420</v>
      </c>
      <c r="C114" s="24" t="s">
        <v>161</v>
      </c>
      <c r="D114" s="116">
        <v>708.3</v>
      </c>
      <c r="E114" s="116">
        <v>3.6</v>
      </c>
      <c r="F114" s="108">
        <f t="shared" si="20"/>
        <v>711.9</v>
      </c>
      <c r="G114" s="116">
        <v>0</v>
      </c>
      <c r="H114" s="116">
        <v>0</v>
      </c>
      <c r="I114" s="28">
        <f t="shared" si="21"/>
        <v>0</v>
      </c>
      <c r="J114" s="28">
        <f t="shared" si="22"/>
        <v>708.3</v>
      </c>
      <c r="K114" s="28">
        <f t="shared" si="23"/>
        <v>3.6</v>
      </c>
      <c r="L114" s="28">
        <f t="shared" si="24"/>
        <v>70.83</v>
      </c>
      <c r="M114" s="28">
        <f t="shared" si="25"/>
        <v>0.36000000000000004</v>
      </c>
      <c r="N114" s="107">
        <f t="shared" si="26"/>
        <v>711.9</v>
      </c>
      <c r="O114" s="107">
        <f t="shared" si="27"/>
        <v>71.19</v>
      </c>
      <c r="P114" s="9"/>
      <c r="Q114" s="35" t="str">
        <f t="shared" si="28"/>
        <v>708,30</v>
      </c>
      <c r="R114" s="35" t="str">
        <f t="shared" si="29"/>
        <v>3,60</v>
      </c>
      <c r="S114" s="35" t="str">
        <f t="shared" si="30"/>
        <v>711,90</v>
      </c>
      <c r="T114" s="35" t="str">
        <f t="shared" si="31"/>
        <v>,00</v>
      </c>
      <c r="U114" s="35" t="str">
        <f t="shared" si="32"/>
        <v>,00</v>
      </c>
      <c r="V114" s="35" t="str">
        <f t="shared" si="33"/>
        <v>,00</v>
      </c>
      <c r="W114" s="35" t="str">
        <f t="shared" si="34"/>
        <v>708,30</v>
      </c>
      <c r="X114" s="35" t="str">
        <f t="shared" si="35"/>
        <v>3,60</v>
      </c>
      <c r="Y114" s="35" t="str">
        <f t="shared" si="36"/>
        <v>70,83</v>
      </c>
      <c r="Z114" s="35" t="str">
        <f t="shared" si="37"/>
        <v>,36</v>
      </c>
      <c r="AA114" s="35" t="str">
        <f t="shared" si="38"/>
        <v>711,90</v>
      </c>
      <c r="AB114" s="35" t="str">
        <f t="shared" si="39"/>
        <v>71,19</v>
      </c>
    </row>
    <row r="115" spans="1:28" ht="16" x14ac:dyDescent="0.25">
      <c r="A115" s="24">
        <v>114</v>
      </c>
      <c r="B115" s="24" t="s">
        <v>2055</v>
      </c>
      <c r="C115" s="24" t="s">
        <v>161</v>
      </c>
      <c r="D115" s="116">
        <v>214.7</v>
      </c>
      <c r="E115" s="116">
        <v>141.19999999999999</v>
      </c>
      <c r="F115" s="108">
        <f t="shared" si="20"/>
        <v>355.9</v>
      </c>
      <c r="G115" s="116">
        <v>0</v>
      </c>
      <c r="H115" s="116">
        <v>0</v>
      </c>
      <c r="I115" s="28">
        <f t="shared" si="21"/>
        <v>0</v>
      </c>
      <c r="J115" s="28">
        <f t="shared" si="22"/>
        <v>214.7</v>
      </c>
      <c r="K115" s="28">
        <f t="shared" si="23"/>
        <v>141.19999999999999</v>
      </c>
      <c r="L115" s="28">
        <f t="shared" si="24"/>
        <v>21.47</v>
      </c>
      <c r="M115" s="28">
        <f t="shared" si="25"/>
        <v>14.12</v>
      </c>
      <c r="N115" s="107">
        <f t="shared" si="26"/>
        <v>355.9</v>
      </c>
      <c r="O115" s="107">
        <f t="shared" si="27"/>
        <v>35.589999999999996</v>
      </c>
      <c r="P115" s="9"/>
      <c r="Q115" s="35" t="str">
        <f t="shared" si="28"/>
        <v>214,70</v>
      </c>
      <c r="R115" s="35" t="str">
        <f t="shared" si="29"/>
        <v>141,20</v>
      </c>
      <c r="S115" s="35" t="str">
        <f t="shared" si="30"/>
        <v>355,90</v>
      </c>
      <c r="T115" s="35" t="str">
        <f t="shared" si="31"/>
        <v>,00</v>
      </c>
      <c r="U115" s="35" t="str">
        <f t="shared" si="32"/>
        <v>,00</v>
      </c>
      <c r="V115" s="35" t="str">
        <f t="shared" si="33"/>
        <v>,00</v>
      </c>
      <c r="W115" s="35" t="str">
        <f t="shared" si="34"/>
        <v>214,70</v>
      </c>
      <c r="X115" s="35" t="str">
        <f t="shared" si="35"/>
        <v>141,20</v>
      </c>
      <c r="Y115" s="35" t="str">
        <f t="shared" si="36"/>
        <v>21,47</v>
      </c>
      <c r="Z115" s="35" t="str">
        <f t="shared" si="37"/>
        <v>14,12</v>
      </c>
      <c r="AA115" s="35" t="str">
        <f t="shared" si="38"/>
        <v>355,90</v>
      </c>
      <c r="AB115" s="35" t="str">
        <f t="shared" si="39"/>
        <v>35,59</v>
      </c>
    </row>
    <row r="116" spans="1:28" ht="16" x14ac:dyDescent="0.25">
      <c r="A116" s="24">
        <v>115</v>
      </c>
      <c r="B116" s="24" t="s">
        <v>567</v>
      </c>
      <c r="C116" s="24" t="s">
        <v>161</v>
      </c>
      <c r="D116" s="116">
        <v>4.7</v>
      </c>
      <c r="E116" s="116">
        <v>184.7</v>
      </c>
      <c r="F116" s="108">
        <f t="shared" si="20"/>
        <v>189.39999999999998</v>
      </c>
      <c r="G116" s="116">
        <v>0</v>
      </c>
      <c r="H116" s="116">
        <v>0</v>
      </c>
      <c r="I116" s="28">
        <f t="shared" si="21"/>
        <v>0</v>
      </c>
      <c r="J116" s="28">
        <f t="shared" si="22"/>
        <v>4.7</v>
      </c>
      <c r="K116" s="28">
        <f t="shared" si="23"/>
        <v>184.7</v>
      </c>
      <c r="L116" s="28">
        <f t="shared" si="24"/>
        <v>0.47000000000000003</v>
      </c>
      <c r="M116" s="28">
        <f t="shared" si="25"/>
        <v>18.47</v>
      </c>
      <c r="N116" s="107">
        <f t="shared" si="26"/>
        <v>189.39999999999998</v>
      </c>
      <c r="O116" s="107">
        <f t="shared" si="27"/>
        <v>18.939999999999998</v>
      </c>
      <c r="P116" s="9"/>
      <c r="Q116" s="35" t="str">
        <f t="shared" si="28"/>
        <v>4,70</v>
      </c>
      <c r="R116" s="35" t="str">
        <f t="shared" si="29"/>
        <v>184,70</v>
      </c>
      <c r="S116" s="35" t="str">
        <f t="shared" si="30"/>
        <v>189,40</v>
      </c>
      <c r="T116" s="35" t="str">
        <f t="shared" si="31"/>
        <v>,00</v>
      </c>
      <c r="U116" s="35" t="str">
        <f t="shared" si="32"/>
        <v>,00</v>
      </c>
      <c r="V116" s="35" t="str">
        <f t="shared" si="33"/>
        <v>,00</v>
      </c>
      <c r="W116" s="35" t="str">
        <f t="shared" si="34"/>
        <v>4,70</v>
      </c>
      <c r="X116" s="35" t="str">
        <f t="shared" si="35"/>
        <v>184,70</v>
      </c>
      <c r="Y116" s="35" t="str">
        <f t="shared" si="36"/>
        <v>,47</v>
      </c>
      <c r="Z116" s="35" t="str">
        <f t="shared" si="37"/>
        <v>18,47</v>
      </c>
      <c r="AA116" s="35" t="str">
        <f t="shared" si="38"/>
        <v>189,40</v>
      </c>
      <c r="AB116" s="35" t="str">
        <f t="shared" si="39"/>
        <v>18,94</v>
      </c>
    </row>
    <row r="117" spans="1:28" ht="16" x14ac:dyDescent="0.25">
      <c r="A117" s="24">
        <v>116</v>
      </c>
      <c r="B117" s="24" t="s">
        <v>34</v>
      </c>
      <c r="C117" s="24" t="s">
        <v>173</v>
      </c>
      <c r="D117" s="116">
        <v>7797.5</v>
      </c>
      <c r="E117" s="116">
        <v>4826.7</v>
      </c>
      <c r="F117" s="108">
        <f t="shared" si="20"/>
        <v>12624.2</v>
      </c>
      <c r="G117" s="116">
        <v>3380</v>
      </c>
      <c r="H117" s="116">
        <v>237</v>
      </c>
      <c r="I117" s="28">
        <f t="shared" si="21"/>
        <v>3617</v>
      </c>
      <c r="J117" s="28">
        <f t="shared" si="22"/>
        <v>4417.5</v>
      </c>
      <c r="K117" s="28">
        <f t="shared" si="23"/>
        <v>4589.7</v>
      </c>
      <c r="L117" s="28">
        <f t="shared" si="24"/>
        <v>441.75</v>
      </c>
      <c r="M117" s="28">
        <f t="shared" si="25"/>
        <v>458.97</v>
      </c>
      <c r="N117" s="107">
        <f t="shared" si="26"/>
        <v>9007.2000000000007</v>
      </c>
      <c r="O117" s="107">
        <f t="shared" si="27"/>
        <v>900.72000000000014</v>
      </c>
      <c r="P117" s="9"/>
      <c r="Q117" s="35" t="str">
        <f t="shared" si="28"/>
        <v>7.797,50</v>
      </c>
      <c r="R117" s="35" t="str">
        <f t="shared" si="29"/>
        <v>4.826,70</v>
      </c>
      <c r="S117" s="35" t="str">
        <f t="shared" si="30"/>
        <v>12.624,20</v>
      </c>
      <c r="T117" s="35" t="str">
        <f t="shared" si="31"/>
        <v>3.380,00</v>
      </c>
      <c r="U117" s="35" t="str">
        <f t="shared" si="32"/>
        <v>237,00</v>
      </c>
      <c r="V117" s="35" t="str">
        <f t="shared" si="33"/>
        <v>3.617,00</v>
      </c>
      <c r="W117" s="35" t="str">
        <f t="shared" si="34"/>
        <v>4.417,50</v>
      </c>
      <c r="X117" s="35" t="str">
        <f t="shared" si="35"/>
        <v>4.589,70</v>
      </c>
      <c r="Y117" s="35" t="str">
        <f t="shared" si="36"/>
        <v>441,75</v>
      </c>
      <c r="Z117" s="35" t="str">
        <f t="shared" si="37"/>
        <v>458,97</v>
      </c>
      <c r="AA117" s="35" t="str">
        <f t="shared" si="38"/>
        <v>9.007,20</v>
      </c>
      <c r="AB117" s="35" t="str">
        <f t="shared" si="39"/>
        <v>900,72</v>
      </c>
    </row>
    <row r="118" spans="1:28" ht="16" x14ac:dyDescent="0.25">
      <c r="A118" s="24">
        <v>117</v>
      </c>
      <c r="B118" s="24" t="s">
        <v>2312</v>
      </c>
      <c r="C118" s="24" t="s">
        <v>173</v>
      </c>
      <c r="D118" s="116"/>
      <c r="E118" s="116">
        <v>2031.1</v>
      </c>
      <c r="F118" s="108">
        <f t="shared" si="20"/>
        <v>2031.1</v>
      </c>
      <c r="G118" s="116"/>
      <c r="H118" s="116">
        <v>0</v>
      </c>
      <c r="I118" s="28">
        <f t="shared" si="21"/>
        <v>0</v>
      </c>
      <c r="J118" s="28">
        <f t="shared" si="22"/>
        <v>0</v>
      </c>
      <c r="K118" s="28">
        <f t="shared" si="23"/>
        <v>2031.1</v>
      </c>
      <c r="L118" s="28">
        <f t="shared" si="24"/>
        <v>0</v>
      </c>
      <c r="M118" s="28">
        <f t="shared" si="25"/>
        <v>203.11</v>
      </c>
      <c r="N118" s="107">
        <f t="shared" si="26"/>
        <v>2031.1</v>
      </c>
      <c r="O118" s="107">
        <f t="shared" si="27"/>
        <v>203.11</v>
      </c>
      <c r="P118" s="9"/>
      <c r="Q118" s="35" t="str">
        <f t="shared" si="28"/>
        <v>,00</v>
      </c>
      <c r="R118" s="35" t="str">
        <f t="shared" si="29"/>
        <v>2.031,10</v>
      </c>
      <c r="S118" s="35" t="str">
        <f t="shared" si="30"/>
        <v>2.031,10</v>
      </c>
      <c r="T118" s="35" t="str">
        <f t="shared" si="31"/>
        <v>,00</v>
      </c>
      <c r="U118" s="35" t="str">
        <f t="shared" si="32"/>
        <v>,00</v>
      </c>
      <c r="V118" s="35" t="str">
        <f t="shared" si="33"/>
        <v>,00</v>
      </c>
      <c r="W118" s="35" t="str">
        <f t="shared" si="34"/>
        <v>,00</v>
      </c>
      <c r="X118" s="35" t="str">
        <f t="shared" si="35"/>
        <v>2.031,10</v>
      </c>
      <c r="Y118" s="35" t="str">
        <f t="shared" si="36"/>
        <v>,00</v>
      </c>
      <c r="Z118" s="35" t="str">
        <f t="shared" si="37"/>
        <v>203,11</v>
      </c>
      <c r="AA118" s="35" t="str">
        <f t="shared" si="38"/>
        <v>2.031,10</v>
      </c>
      <c r="AB118" s="35" t="str">
        <f t="shared" si="39"/>
        <v>203,11</v>
      </c>
    </row>
    <row r="119" spans="1:28" ht="16" x14ac:dyDescent="0.25">
      <c r="A119" s="24">
        <v>118</v>
      </c>
      <c r="B119" s="24" t="s">
        <v>2949</v>
      </c>
      <c r="C119" s="24" t="s">
        <v>173</v>
      </c>
      <c r="D119" s="116">
        <v>111.1</v>
      </c>
      <c r="E119" s="116">
        <v>565.9</v>
      </c>
      <c r="F119" s="108">
        <f t="shared" si="20"/>
        <v>677</v>
      </c>
      <c r="G119" s="116">
        <v>0</v>
      </c>
      <c r="H119" s="116">
        <v>0</v>
      </c>
      <c r="I119" s="28">
        <f t="shared" si="21"/>
        <v>0</v>
      </c>
      <c r="J119" s="28">
        <f t="shared" si="22"/>
        <v>111.1</v>
      </c>
      <c r="K119" s="28">
        <f t="shared" si="23"/>
        <v>565.9</v>
      </c>
      <c r="L119" s="28">
        <f t="shared" si="24"/>
        <v>11.11</v>
      </c>
      <c r="M119" s="28">
        <f t="shared" si="25"/>
        <v>56.59</v>
      </c>
      <c r="N119" s="107">
        <f t="shared" si="26"/>
        <v>677</v>
      </c>
      <c r="O119" s="107">
        <f t="shared" si="27"/>
        <v>67.7</v>
      </c>
      <c r="P119" s="9"/>
      <c r="Q119" s="35" t="str">
        <f t="shared" si="28"/>
        <v>111,10</v>
      </c>
      <c r="R119" s="35" t="str">
        <f t="shared" si="29"/>
        <v>565,90</v>
      </c>
      <c r="S119" s="35" t="str">
        <f t="shared" si="30"/>
        <v>677,00</v>
      </c>
      <c r="T119" s="35" t="str">
        <f t="shared" si="31"/>
        <v>,00</v>
      </c>
      <c r="U119" s="35" t="str">
        <f t="shared" si="32"/>
        <v>,00</v>
      </c>
      <c r="V119" s="35" t="str">
        <f t="shared" si="33"/>
        <v>,00</v>
      </c>
      <c r="W119" s="35" t="str">
        <f t="shared" si="34"/>
        <v>111,10</v>
      </c>
      <c r="X119" s="35" t="str">
        <f t="shared" si="35"/>
        <v>565,90</v>
      </c>
      <c r="Y119" s="35" t="str">
        <f t="shared" si="36"/>
        <v>11,11</v>
      </c>
      <c r="Z119" s="35" t="str">
        <f t="shared" si="37"/>
        <v>56,59</v>
      </c>
      <c r="AA119" s="35" t="str">
        <f t="shared" si="38"/>
        <v>677,00</v>
      </c>
      <c r="AB119" s="35" t="str">
        <f t="shared" si="39"/>
        <v>67,70</v>
      </c>
    </row>
    <row r="120" spans="1:28" ht="16" x14ac:dyDescent="0.25">
      <c r="A120" s="24">
        <v>119</v>
      </c>
      <c r="B120" s="24" t="s">
        <v>444</v>
      </c>
      <c r="C120" s="24" t="s">
        <v>173</v>
      </c>
      <c r="D120" s="116">
        <v>328.5</v>
      </c>
      <c r="E120" s="116">
        <v>229.1</v>
      </c>
      <c r="F120" s="108">
        <f t="shared" si="20"/>
        <v>557.6</v>
      </c>
      <c r="G120" s="116">
        <v>0</v>
      </c>
      <c r="H120" s="116">
        <v>0</v>
      </c>
      <c r="I120" s="28">
        <f t="shared" si="21"/>
        <v>0</v>
      </c>
      <c r="J120" s="28">
        <f t="shared" si="22"/>
        <v>328.5</v>
      </c>
      <c r="K120" s="28">
        <f t="shared" si="23"/>
        <v>229.1</v>
      </c>
      <c r="L120" s="28">
        <f t="shared" si="24"/>
        <v>32.85</v>
      </c>
      <c r="M120" s="28">
        <f t="shared" si="25"/>
        <v>22.91</v>
      </c>
      <c r="N120" s="107">
        <f t="shared" si="26"/>
        <v>557.6</v>
      </c>
      <c r="O120" s="107">
        <f t="shared" si="27"/>
        <v>55.760000000000005</v>
      </c>
      <c r="P120" s="9"/>
      <c r="Q120" s="35" t="str">
        <f t="shared" si="28"/>
        <v>328,50</v>
      </c>
      <c r="R120" s="35" t="str">
        <f t="shared" si="29"/>
        <v>229,10</v>
      </c>
      <c r="S120" s="35" t="str">
        <f t="shared" si="30"/>
        <v>557,60</v>
      </c>
      <c r="T120" s="35" t="str">
        <f t="shared" si="31"/>
        <v>,00</v>
      </c>
      <c r="U120" s="35" t="str">
        <f t="shared" si="32"/>
        <v>,00</v>
      </c>
      <c r="V120" s="35" t="str">
        <f t="shared" si="33"/>
        <v>,00</v>
      </c>
      <c r="W120" s="35" t="str">
        <f t="shared" si="34"/>
        <v>328,50</v>
      </c>
      <c r="X120" s="35" t="str">
        <f t="shared" si="35"/>
        <v>229,10</v>
      </c>
      <c r="Y120" s="35" t="str">
        <f t="shared" si="36"/>
        <v>32,85</v>
      </c>
      <c r="Z120" s="35" t="str">
        <f t="shared" si="37"/>
        <v>22,91</v>
      </c>
      <c r="AA120" s="35" t="str">
        <f t="shared" si="38"/>
        <v>557,60</v>
      </c>
      <c r="AB120" s="35" t="str">
        <f t="shared" si="39"/>
        <v>55,76</v>
      </c>
    </row>
    <row r="121" spans="1:28" ht="16" x14ac:dyDescent="0.25">
      <c r="A121" s="24">
        <v>120</v>
      </c>
      <c r="B121" s="24" t="s">
        <v>572</v>
      </c>
      <c r="C121" s="24" t="s">
        <v>173</v>
      </c>
      <c r="D121" s="116">
        <v>286.8</v>
      </c>
      <c r="E121" s="116">
        <v>97.7</v>
      </c>
      <c r="F121" s="108">
        <f t="shared" si="20"/>
        <v>384.5</v>
      </c>
      <c r="G121" s="116">
        <v>0</v>
      </c>
      <c r="H121" s="116">
        <v>0</v>
      </c>
      <c r="I121" s="28">
        <f t="shared" si="21"/>
        <v>0</v>
      </c>
      <c r="J121" s="28">
        <f t="shared" si="22"/>
        <v>286.8</v>
      </c>
      <c r="K121" s="28">
        <f t="shared" si="23"/>
        <v>97.7</v>
      </c>
      <c r="L121" s="28">
        <f t="shared" si="24"/>
        <v>28.680000000000003</v>
      </c>
      <c r="M121" s="28">
        <f t="shared" si="25"/>
        <v>9.7700000000000014</v>
      </c>
      <c r="N121" s="107">
        <f t="shared" si="26"/>
        <v>384.5</v>
      </c>
      <c r="O121" s="107">
        <f t="shared" si="27"/>
        <v>38.450000000000003</v>
      </c>
      <c r="P121" s="9"/>
      <c r="Q121" s="35" t="str">
        <f t="shared" si="28"/>
        <v>286,80</v>
      </c>
      <c r="R121" s="35" t="str">
        <f t="shared" si="29"/>
        <v>97,70</v>
      </c>
      <c r="S121" s="35" t="str">
        <f t="shared" si="30"/>
        <v>384,50</v>
      </c>
      <c r="T121" s="35" t="str">
        <f t="shared" si="31"/>
        <v>,00</v>
      </c>
      <c r="U121" s="35" t="str">
        <f t="shared" si="32"/>
        <v>,00</v>
      </c>
      <c r="V121" s="35" t="str">
        <f t="shared" si="33"/>
        <v>,00</v>
      </c>
      <c r="W121" s="35" t="str">
        <f t="shared" si="34"/>
        <v>286,80</v>
      </c>
      <c r="X121" s="35" t="str">
        <f t="shared" si="35"/>
        <v>97,70</v>
      </c>
      <c r="Y121" s="35" t="str">
        <f t="shared" si="36"/>
        <v>28,68</v>
      </c>
      <c r="Z121" s="35" t="str">
        <f t="shared" si="37"/>
        <v>9,77</v>
      </c>
      <c r="AA121" s="35" t="str">
        <f t="shared" si="38"/>
        <v>384,50</v>
      </c>
      <c r="AB121" s="35" t="str">
        <f t="shared" si="39"/>
        <v>38,45</v>
      </c>
    </row>
    <row r="122" spans="1:28" ht="16" x14ac:dyDescent="0.25">
      <c r="A122" s="24">
        <v>121</v>
      </c>
      <c r="B122" s="24" t="s">
        <v>1864</v>
      </c>
      <c r="C122" s="24" t="s">
        <v>60</v>
      </c>
      <c r="D122" s="116">
        <v>117921.40000000001</v>
      </c>
      <c r="E122" s="116">
        <v>1301826.8</v>
      </c>
      <c r="F122" s="108">
        <f t="shared" si="20"/>
        <v>1419748.2</v>
      </c>
      <c r="G122" s="116">
        <v>705.6</v>
      </c>
      <c r="H122" s="116">
        <v>1949.2</v>
      </c>
      <c r="I122" s="28">
        <f t="shared" si="21"/>
        <v>2654.8</v>
      </c>
      <c r="J122" s="28">
        <f t="shared" si="22"/>
        <v>117215.8</v>
      </c>
      <c r="K122" s="28">
        <f t="shared" si="23"/>
        <v>1299877.6000000001</v>
      </c>
      <c r="L122" s="28">
        <f t="shared" si="24"/>
        <v>11721.580000000002</v>
      </c>
      <c r="M122" s="28">
        <f t="shared" si="25"/>
        <v>129987.76000000001</v>
      </c>
      <c r="N122" s="107">
        <f t="shared" si="26"/>
        <v>1417093.4</v>
      </c>
      <c r="O122" s="107">
        <f t="shared" si="27"/>
        <v>141709.34</v>
      </c>
      <c r="P122" s="9"/>
      <c r="Q122" s="35" t="str">
        <f t="shared" si="28"/>
        <v>117.921,40</v>
      </c>
      <c r="R122" s="35" t="str">
        <f t="shared" si="29"/>
        <v>1.301.826,80</v>
      </c>
      <c r="S122" s="35" t="str">
        <f t="shared" si="30"/>
        <v>1.419.748,20</v>
      </c>
      <c r="T122" s="35" t="str">
        <f t="shared" si="31"/>
        <v>705,60</v>
      </c>
      <c r="U122" s="35" t="str">
        <f t="shared" si="32"/>
        <v>1.949,20</v>
      </c>
      <c r="V122" s="35" t="str">
        <f t="shared" si="33"/>
        <v>2.654,80</v>
      </c>
      <c r="W122" s="35" t="str">
        <f t="shared" si="34"/>
        <v>117.215,80</v>
      </c>
      <c r="X122" s="35" t="str">
        <f t="shared" si="35"/>
        <v>1.299.877,60</v>
      </c>
      <c r="Y122" s="35" t="str">
        <f t="shared" si="36"/>
        <v>11.721,58</v>
      </c>
      <c r="Z122" s="35" t="str">
        <f t="shared" si="37"/>
        <v>129.987,76</v>
      </c>
      <c r="AA122" s="35" t="str">
        <f t="shared" si="38"/>
        <v>1.417.093,40</v>
      </c>
      <c r="AB122" s="35" t="str">
        <f t="shared" si="39"/>
        <v>141.709,34</v>
      </c>
    </row>
    <row r="123" spans="1:28" ht="16" x14ac:dyDescent="0.25">
      <c r="A123" s="24">
        <v>122</v>
      </c>
      <c r="B123" s="24" t="s">
        <v>1865</v>
      </c>
      <c r="C123" s="24" t="s">
        <v>61</v>
      </c>
      <c r="D123" s="116">
        <v>45046.130000000005</v>
      </c>
      <c r="E123" s="116">
        <v>108566.84</v>
      </c>
      <c r="F123" s="108">
        <f t="shared" si="20"/>
        <v>153612.97</v>
      </c>
      <c r="G123" s="116">
        <v>2075.3000000000002</v>
      </c>
      <c r="H123" s="116">
        <v>3319.2999999999997</v>
      </c>
      <c r="I123" s="28">
        <f t="shared" si="21"/>
        <v>5394.6</v>
      </c>
      <c r="J123" s="28">
        <f t="shared" si="22"/>
        <v>42970.83</v>
      </c>
      <c r="K123" s="28">
        <f t="shared" si="23"/>
        <v>105247.54</v>
      </c>
      <c r="L123" s="28">
        <f t="shared" si="24"/>
        <v>4297.0830000000005</v>
      </c>
      <c r="M123" s="28">
        <f t="shared" si="25"/>
        <v>10524.754000000001</v>
      </c>
      <c r="N123" s="107">
        <f t="shared" si="26"/>
        <v>148218.37</v>
      </c>
      <c r="O123" s="107">
        <f t="shared" si="27"/>
        <v>14821.837</v>
      </c>
      <c r="P123" s="9"/>
      <c r="Q123" s="35" t="str">
        <f t="shared" si="28"/>
        <v>45.046,13</v>
      </c>
      <c r="R123" s="35" t="str">
        <f t="shared" si="29"/>
        <v>108.566,84</v>
      </c>
      <c r="S123" s="35" t="str">
        <f t="shared" si="30"/>
        <v>153.612,97</v>
      </c>
      <c r="T123" s="35" t="str">
        <f t="shared" si="31"/>
        <v>2.075,30</v>
      </c>
      <c r="U123" s="35" t="str">
        <f t="shared" si="32"/>
        <v>3.319,30</v>
      </c>
      <c r="V123" s="35" t="str">
        <f t="shared" si="33"/>
        <v>5.394,60</v>
      </c>
      <c r="W123" s="35" t="str">
        <f t="shared" si="34"/>
        <v>42.970,83</v>
      </c>
      <c r="X123" s="35" t="str">
        <f t="shared" si="35"/>
        <v>105.247,54</v>
      </c>
      <c r="Y123" s="35" t="str">
        <f t="shared" si="36"/>
        <v>4.297,08</v>
      </c>
      <c r="Z123" s="35" t="str">
        <f t="shared" si="37"/>
        <v>10.524,75</v>
      </c>
      <c r="AA123" s="35" t="str">
        <f t="shared" si="38"/>
        <v>148.218,37</v>
      </c>
      <c r="AB123" s="35" t="str">
        <f t="shared" si="39"/>
        <v>14.821,84</v>
      </c>
    </row>
    <row r="124" spans="1:28" ht="16" x14ac:dyDescent="0.25">
      <c r="A124" s="24">
        <v>123</v>
      </c>
      <c r="B124" s="24" t="s">
        <v>1867</v>
      </c>
      <c r="C124" s="24" t="s">
        <v>62</v>
      </c>
      <c r="D124" s="116">
        <v>102994.87000000001</v>
      </c>
      <c r="E124" s="116">
        <v>177831.94000000003</v>
      </c>
      <c r="F124" s="108">
        <f t="shared" si="20"/>
        <v>280826.81000000006</v>
      </c>
      <c r="G124" s="116">
        <v>8092.3</v>
      </c>
      <c r="H124" s="116">
        <v>49116.800000000003</v>
      </c>
      <c r="I124" s="28">
        <f t="shared" si="21"/>
        <v>57209.100000000006</v>
      </c>
      <c r="J124" s="28">
        <f t="shared" si="22"/>
        <v>94902.57</v>
      </c>
      <c r="K124" s="28">
        <f t="shared" si="23"/>
        <v>128715.14000000003</v>
      </c>
      <c r="L124" s="28">
        <f t="shared" si="24"/>
        <v>9490.2570000000014</v>
      </c>
      <c r="M124" s="28">
        <f t="shared" si="25"/>
        <v>12871.514000000003</v>
      </c>
      <c r="N124" s="107">
        <f t="shared" si="26"/>
        <v>223617.71000000005</v>
      </c>
      <c r="O124" s="107">
        <f t="shared" si="27"/>
        <v>22361.771000000008</v>
      </c>
      <c r="P124" s="9"/>
      <c r="Q124" s="35" t="str">
        <f t="shared" si="28"/>
        <v>102.994,87</v>
      </c>
      <c r="R124" s="35" t="str">
        <f t="shared" si="29"/>
        <v>177.831,94</v>
      </c>
      <c r="S124" s="35" t="str">
        <f t="shared" si="30"/>
        <v>280.826,81</v>
      </c>
      <c r="T124" s="35" t="str">
        <f t="shared" si="31"/>
        <v>8.092,30</v>
      </c>
      <c r="U124" s="35" t="str">
        <f t="shared" si="32"/>
        <v>49.116,80</v>
      </c>
      <c r="V124" s="35" t="str">
        <f t="shared" si="33"/>
        <v>57.209,10</v>
      </c>
      <c r="W124" s="35" t="str">
        <f t="shared" si="34"/>
        <v>94.902,57</v>
      </c>
      <c r="X124" s="35" t="str">
        <f t="shared" si="35"/>
        <v>128.715,14</v>
      </c>
      <c r="Y124" s="35" t="str">
        <f t="shared" si="36"/>
        <v>9.490,26</v>
      </c>
      <c r="Z124" s="35" t="str">
        <f t="shared" si="37"/>
        <v>12.871,51</v>
      </c>
      <c r="AA124" s="35" t="str">
        <f t="shared" si="38"/>
        <v>223.617,71</v>
      </c>
      <c r="AB124" s="35" t="str">
        <f t="shared" si="39"/>
        <v>22.361,77</v>
      </c>
    </row>
    <row r="125" spans="1:28" ht="16" x14ac:dyDescent="0.25">
      <c r="A125" s="24">
        <v>124</v>
      </c>
      <c r="B125" s="24" t="s">
        <v>450</v>
      </c>
      <c r="C125" s="24" t="s">
        <v>163</v>
      </c>
      <c r="D125" s="116">
        <v>37455.4</v>
      </c>
      <c r="E125" s="116">
        <v>46764.7</v>
      </c>
      <c r="F125" s="108">
        <f t="shared" si="20"/>
        <v>84220.1</v>
      </c>
      <c r="G125" s="116">
        <v>64.400000000000006</v>
      </c>
      <c r="H125" s="116">
        <v>131.30000000000001</v>
      </c>
      <c r="I125" s="28">
        <f t="shared" si="21"/>
        <v>195.70000000000002</v>
      </c>
      <c r="J125" s="28">
        <f t="shared" si="22"/>
        <v>37391</v>
      </c>
      <c r="K125" s="28">
        <f t="shared" si="23"/>
        <v>46633.399999999994</v>
      </c>
      <c r="L125" s="28">
        <f t="shared" si="24"/>
        <v>3739.1000000000004</v>
      </c>
      <c r="M125" s="28">
        <f t="shared" si="25"/>
        <v>4663.3399999999992</v>
      </c>
      <c r="N125" s="107">
        <f t="shared" si="26"/>
        <v>84024.400000000009</v>
      </c>
      <c r="O125" s="107">
        <f t="shared" si="27"/>
        <v>8402.44</v>
      </c>
      <c r="P125" s="9"/>
      <c r="Q125" s="35" t="str">
        <f t="shared" si="28"/>
        <v>37.455,40</v>
      </c>
      <c r="R125" s="35" t="str">
        <f t="shared" si="29"/>
        <v>46.764,70</v>
      </c>
      <c r="S125" s="35" t="str">
        <f t="shared" si="30"/>
        <v>84.220,10</v>
      </c>
      <c r="T125" s="35" t="str">
        <f t="shared" si="31"/>
        <v>64,40</v>
      </c>
      <c r="U125" s="35" t="str">
        <f t="shared" si="32"/>
        <v>131,30</v>
      </c>
      <c r="V125" s="35" t="str">
        <f t="shared" si="33"/>
        <v>195,70</v>
      </c>
      <c r="W125" s="35" t="str">
        <f t="shared" si="34"/>
        <v>37.391,00</v>
      </c>
      <c r="X125" s="35" t="str">
        <f t="shared" si="35"/>
        <v>46.633,40</v>
      </c>
      <c r="Y125" s="35" t="str">
        <f t="shared" si="36"/>
        <v>3.739,10</v>
      </c>
      <c r="Z125" s="35" t="str">
        <f t="shared" si="37"/>
        <v>4.663,34</v>
      </c>
      <c r="AA125" s="35" t="str">
        <f t="shared" si="38"/>
        <v>84.024,40</v>
      </c>
      <c r="AB125" s="35" t="str">
        <f t="shared" si="39"/>
        <v>8.402,44</v>
      </c>
    </row>
    <row r="126" spans="1:28" ht="16" x14ac:dyDescent="0.25">
      <c r="A126" s="24">
        <v>125</v>
      </c>
      <c r="B126" s="24" t="s">
        <v>34</v>
      </c>
      <c r="C126" s="24" t="s">
        <v>163</v>
      </c>
      <c r="D126" s="116">
        <v>28130.94</v>
      </c>
      <c r="E126" s="116">
        <v>15194.25</v>
      </c>
      <c r="F126" s="108">
        <f t="shared" ref="F126:F189" si="40">D126+E126</f>
        <v>43325.19</v>
      </c>
      <c r="G126" s="116">
        <v>1079.5999999999999</v>
      </c>
      <c r="H126" s="116">
        <v>4059.1</v>
      </c>
      <c r="I126" s="28">
        <f t="shared" ref="I126:I189" si="41">G126+H126</f>
        <v>5138.7</v>
      </c>
      <c r="J126" s="28">
        <f t="shared" ref="J126:J189" si="42">D126-G126</f>
        <v>27051.34</v>
      </c>
      <c r="K126" s="28">
        <f t="shared" ref="K126:K189" si="43">E126-H126</f>
        <v>11135.15</v>
      </c>
      <c r="L126" s="28">
        <f t="shared" ref="L126:L189" si="44">J126*0.1</f>
        <v>2705.134</v>
      </c>
      <c r="M126" s="28">
        <f t="shared" ref="M126:M189" si="45">K126*0.1</f>
        <v>1113.5150000000001</v>
      </c>
      <c r="N126" s="107">
        <f t="shared" ref="N126:N189" si="46">F126-I126</f>
        <v>38186.490000000005</v>
      </c>
      <c r="O126" s="107">
        <f t="shared" ref="O126:O189" si="47">N126*0.1</f>
        <v>3818.6490000000008</v>
      </c>
      <c r="P126" s="9"/>
      <c r="Q126" s="35" t="str">
        <f t="shared" ref="Q126:Q189" si="48">TEXT(D126,"#.###,00")</f>
        <v>28.130,94</v>
      </c>
      <c r="R126" s="35" t="str">
        <f t="shared" ref="R126:R189" si="49">TEXT(E126,"#.###,00")</f>
        <v>15.194,25</v>
      </c>
      <c r="S126" s="35" t="str">
        <f t="shared" ref="S126:S189" si="50">TEXT(F126,"#.###,00")</f>
        <v>43.325,19</v>
      </c>
      <c r="T126" s="35" t="str">
        <f t="shared" ref="T126:T189" si="51">TEXT(G126,"#.###,00")</f>
        <v>1.079,60</v>
      </c>
      <c r="U126" s="35" t="str">
        <f t="shared" ref="U126:U189" si="52">TEXT(H126,"#.###,00")</f>
        <v>4.059,10</v>
      </c>
      <c r="V126" s="35" t="str">
        <f t="shared" ref="V126:V189" si="53">TEXT(I126,"#.###,00")</f>
        <v>5.138,70</v>
      </c>
      <c r="W126" s="35" t="str">
        <f t="shared" ref="W126:W189" si="54">TEXT(J126,"#.###,00")</f>
        <v>27.051,34</v>
      </c>
      <c r="X126" s="35" t="str">
        <f t="shared" ref="X126:X189" si="55">TEXT(K126,"#.###,00")</f>
        <v>11.135,15</v>
      </c>
      <c r="Y126" s="35" t="str">
        <f t="shared" ref="Y126:Y189" si="56">TEXT(L126,"#.###,00")</f>
        <v>2.705,13</v>
      </c>
      <c r="Z126" s="35" t="str">
        <f t="shared" ref="Z126:Z189" si="57">TEXT(M126,"#.###,00")</f>
        <v>1.113,52</v>
      </c>
      <c r="AA126" s="35" t="str">
        <f t="shared" ref="AA126:AA189" si="58">TEXT(N126,"#.###,00")</f>
        <v>38.186,49</v>
      </c>
      <c r="AB126" s="35" t="str">
        <f t="shared" ref="AB126:AB189" si="59">TEXT(O126,"#.###,00")</f>
        <v>3.818,65</v>
      </c>
    </row>
    <row r="127" spans="1:28" ht="16" x14ac:dyDescent="0.25">
      <c r="A127" s="24">
        <v>126</v>
      </c>
      <c r="B127" s="24" t="s">
        <v>2204</v>
      </c>
      <c r="C127" s="24" t="s">
        <v>163</v>
      </c>
      <c r="D127" s="116">
        <v>6059.6</v>
      </c>
      <c r="E127" s="116">
        <v>6816.5999999999995</v>
      </c>
      <c r="F127" s="108">
        <f t="shared" si="40"/>
        <v>12876.2</v>
      </c>
      <c r="G127" s="116">
        <v>4.5</v>
      </c>
      <c r="H127" s="116">
        <v>85.7</v>
      </c>
      <c r="I127" s="28">
        <f t="shared" si="41"/>
        <v>90.2</v>
      </c>
      <c r="J127" s="28">
        <f t="shared" si="42"/>
        <v>6055.1</v>
      </c>
      <c r="K127" s="28">
        <f t="shared" si="43"/>
        <v>6730.9</v>
      </c>
      <c r="L127" s="28">
        <f t="shared" si="44"/>
        <v>605.5100000000001</v>
      </c>
      <c r="M127" s="28">
        <f t="shared" si="45"/>
        <v>673.09</v>
      </c>
      <c r="N127" s="107">
        <f t="shared" si="46"/>
        <v>12786</v>
      </c>
      <c r="O127" s="107">
        <f t="shared" si="47"/>
        <v>1278.6000000000001</v>
      </c>
      <c r="P127" s="9"/>
      <c r="Q127" s="35" t="str">
        <f t="shared" si="48"/>
        <v>6.059,60</v>
      </c>
      <c r="R127" s="35" t="str">
        <f t="shared" si="49"/>
        <v>6.816,60</v>
      </c>
      <c r="S127" s="35" t="str">
        <f t="shared" si="50"/>
        <v>12.876,20</v>
      </c>
      <c r="T127" s="35" t="str">
        <f t="shared" si="51"/>
        <v>4,50</v>
      </c>
      <c r="U127" s="35" t="str">
        <f t="shared" si="52"/>
        <v>85,70</v>
      </c>
      <c r="V127" s="35" t="str">
        <f t="shared" si="53"/>
        <v>90,20</v>
      </c>
      <c r="W127" s="35" t="str">
        <f t="shared" si="54"/>
        <v>6.055,10</v>
      </c>
      <c r="X127" s="35" t="str">
        <f t="shared" si="55"/>
        <v>6.730,90</v>
      </c>
      <c r="Y127" s="35" t="str">
        <f t="shared" si="56"/>
        <v>605,51</v>
      </c>
      <c r="Z127" s="35" t="str">
        <f t="shared" si="57"/>
        <v>673,09</v>
      </c>
      <c r="AA127" s="35" t="str">
        <f t="shared" si="58"/>
        <v>12.786,00</v>
      </c>
      <c r="AB127" s="35" t="str">
        <f t="shared" si="59"/>
        <v>1.278,60</v>
      </c>
    </row>
    <row r="128" spans="1:28" ht="16" x14ac:dyDescent="0.25">
      <c r="A128" s="24">
        <v>127</v>
      </c>
      <c r="B128" s="24" t="s">
        <v>95</v>
      </c>
      <c r="C128" s="24" t="s">
        <v>163</v>
      </c>
      <c r="D128" s="116">
        <v>2510.4</v>
      </c>
      <c r="E128" s="116">
        <v>2217.6999999999998</v>
      </c>
      <c r="F128" s="108">
        <f t="shared" si="40"/>
        <v>4728.1000000000004</v>
      </c>
      <c r="G128" s="116">
        <v>45</v>
      </c>
      <c r="H128" s="116">
        <v>402.8</v>
      </c>
      <c r="I128" s="28">
        <f t="shared" si="41"/>
        <v>447.8</v>
      </c>
      <c r="J128" s="28">
        <f t="shared" si="42"/>
        <v>2465.4</v>
      </c>
      <c r="K128" s="28">
        <f t="shared" si="43"/>
        <v>1814.8999999999999</v>
      </c>
      <c r="L128" s="28">
        <f t="shared" si="44"/>
        <v>246.54000000000002</v>
      </c>
      <c r="M128" s="28">
        <f t="shared" si="45"/>
        <v>181.49</v>
      </c>
      <c r="N128" s="107">
        <f t="shared" si="46"/>
        <v>4280.3</v>
      </c>
      <c r="O128" s="107">
        <f t="shared" si="47"/>
        <v>428.03000000000003</v>
      </c>
      <c r="P128" s="9"/>
      <c r="Q128" s="35" t="str">
        <f t="shared" si="48"/>
        <v>2.510,40</v>
      </c>
      <c r="R128" s="35" t="str">
        <f t="shared" si="49"/>
        <v>2.217,70</v>
      </c>
      <c r="S128" s="35" t="str">
        <f t="shared" si="50"/>
        <v>4.728,10</v>
      </c>
      <c r="T128" s="35" t="str">
        <f t="shared" si="51"/>
        <v>45,00</v>
      </c>
      <c r="U128" s="35" t="str">
        <f t="shared" si="52"/>
        <v>402,80</v>
      </c>
      <c r="V128" s="35" t="str">
        <f t="shared" si="53"/>
        <v>447,80</v>
      </c>
      <c r="W128" s="35" t="str">
        <f t="shared" si="54"/>
        <v>2.465,40</v>
      </c>
      <c r="X128" s="35" t="str">
        <f t="shared" si="55"/>
        <v>1.814,90</v>
      </c>
      <c r="Y128" s="35" t="str">
        <f t="shared" si="56"/>
        <v>246,54</v>
      </c>
      <c r="Z128" s="35" t="str">
        <f t="shared" si="57"/>
        <v>181,49</v>
      </c>
      <c r="AA128" s="35" t="str">
        <f t="shared" si="58"/>
        <v>4.280,30</v>
      </c>
      <c r="AB128" s="35" t="str">
        <f t="shared" si="59"/>
        <v>428,03</v>
      </c>
    </row>
    <row r="129" spans="1:28" ht="16" x14ac:dyDescent="0.25">
      <c r="A129" s="24">
        <v>128</v>
      </c>
      <c r="B129" s="24" t="s">
        <v>587</v>
      </c>
      <c r="C129" s="24" t="s">
        <v>163</v>
      </c>
      <c r="D129" s="116">
        <v>298.3</v>
      </c>
      <c r="E129" s="116">
        <v>699</v>
      </c>
      <c r="F129" s="108">
        <f t="shared" si="40"/>
        <v>997.3</v>
      </c>
      <c r="G129" s="116">
        <v>0</v>
      </c>
      <c r="H129" s="116">
        <v>0</v>
      </c>
      <c r="I129" s="28">
        <f t="shared" si="41"/>
        <v>0</v>
      </c>
      <c r="J129" s="28">
        <f t="shared" si="42"/>
        <v>298.3</v>
      </c>
      <c r="K129" s="28">
        <f t="shared" si="43"/>
        <v>699</v>
      </c>
      <c r="L129" s="28">
        <f t="shared" si="44"/>
        <v>29.830000000000002</v>
      </c>
      <c r="M129" s="28">
        <f t="shared" si="45"/>
        <v>69.900000000000006</v>
      </c>
      <c r="N129" s="107">
        <f t="shared" si="46"/>
        <v>997.3</v>
      </c>
      <c r="O129" s="107">
        <f t="shared" si="47"/>
        <v>99.73</v>
      </c>
      <c r="P129" s="9"/>
      <c r="Q129" s="35" t="str">
        <f t="shared" si="48"/>
        <v>298,30</v>
      </c>
      <c r="R129" s="35" t="str">
        <f t="shared" si="49"/>
        <v>699,00</v>
      </c>
      <c r="S129" s="35" t="str">
        <f t="shared" si="50"/>
        <v>997,30</v>
      </c>
      <c r="T129" s="35" t="str">
        <f t="shared" si="51"/>
        <v>,00</v>
      </c>
      <c r="U129" s="35" t="str">
        <f t="shared" si="52"/>
        <v>,00</v>
      </c>
      <c r="V129" s="35" t="str">
        <f t="shared" si="53"/>
        <v>,00</v>
      </c>
      <c r="W129" s="35" t="str">
        <f t="shared" si="54"/>
        <v>298,30</v>
      </c>
      <c r="X129" s="35" t="str">
        <f t="shared" si="55"/>
        <v>699,00</v>
      </c>
      <c r="Y129" s="35" t="str">
        <f t="shared" si="56"/>
        <v>29,83</v>
      </c>
      <c r="Z129" s="35" t="str">
        <f t="shared" si="57"/>
        <v>69,90</v>
      </c>
      <c r="AA129" s="35" t="str">
        <f t="shared" si="58"/>
        <v>997,30</v>
      </c>
      <c r="AB129" s="35" t="str">
        <f t="shared" si="59"/>
        <v>99,73</v>
      </c>
    </row>
    <row r="130" spans="1:28" ht="16" x14ac:dyDescent="0.25">
      <c r="A130" s="24">
        <v>129</v>
      </c>
      <c r="B130" s="24" t="s">
        <v>1998</v>
      </c>
      <c r="C130" s="24" t="s">
        <v>163</v>
      </c>
      <c r="D130" s="116">
        <v>528.79999999999995</v>
      </c>
      <c r="E130" s="116">
        <v>296.7</v>
      </c>
      <c r="F130" s="108">
        <f t="shared" si="40"/>
        <v>825.5</v>
      </c>
      <c r="G130" s="116">
        <v>0</v>
      </c>
      <c r="H130" s="116">
        <v>0</v>
      </c>
      <c r="I130" s="28">
        <f t="shared" si="41"/>
        <v>0</v>
      </c>
      <c r="J130" s="28">
        <f t="shared" si="42"/>
        <v>528.79999999999995</v>
      </c>
      <c r="K130" s="28">
        <f t="shared" si="43"/>
        <v>296.7</v>
      </c>
      <c r="L130" s="28">
        <f t="shared" si="44"/>
        <v>52.879999999999995</v>
      </c>
      <c r="M130" s="28">
        <f t="shared" si="45"/>
        <v>29.67</v>
      </c>
      <c r="N130" s="107">
        <f t="shared" si="46"/>
        <v>825.5</v>
      </c>
      <c r="O130" s="107">
        <f t="shared" si="47"/>
        <v>82.550000000000011</v>
      </c>
      <c r="P130" s="9"/>
      <c r="Q130" s="35" t="str">
        <f t="shared" si="48"/>
        <v>528,80</v>
      </c>
      <c r="R130" s="35" t="str">
        <f t="shared" si="49"/>
        <v>296,70</v>
      </c>
      <c r="S130" s="35" t="str">
        <f t="shared" si="50"/>
        <v>825,50</v>
      </c>
      <c r="T130" s="35" t="str">
        <f t="shared" si="51"/>
        <v>,00</v>
      </c>
      <c r="U130" s="35" t="str">
        <f t="shared" si="52"/>
        <v>,00</v>
      </c>
      <c r="V130" s="35" t="str">
        <f t="shared" si="53"/>
        <v>,00</v>
      </c>
      <c r="W130" s="35" t="str">
        <f t="shared" si="54"/>
        <v>528,80</v>
      </c>
      <c r="X130" s="35" t="str">
        <f t="shared" si="55"/>
        <v>296,70</v>
      </c>
      <c r="Y130" s="35" t="str">
        <f t="shared" si="56"/>
        <v>52,88</v>
      </c>
      <c r="Z130" s="35" t="str">
        <f t="shared" si="57"/>
        <v>29,67</v>
      </c>
      <c r="AA130" s="35" t="str">
        <f t="shared" si="58"/>
        <v>825,50</v>
      </c>
      <c r="AB130" s="35" t="str">
        <f t="shared" si="59"/>
        <v>82,55</v>
      </c>
    </row>
    <row r="131" spans="1:28" ht="16" x14ac:dyDescent="0.25">
      <c r="A131" s="24">
        <v>130</v>
      </c>
      <c r="B131" s="24" t="s">
        <v>318</v>
      </c>
      <c r="C131" s="24" t="s">
        <v>163</v>
      </c>
      <c r="D131" s="116">
        <v>607.79999999999995</v>
      </c>
      <c r="E131" s="116"/>
      <c r="F131" s="108">
        <f t="shared" si="40"/>
        <v>607.79999999999995</v>
      </c>
      <c r="G131" s="116">
        <v>0</v>
      </c>
      <c r="H131" s="116"/>
      <c r="I131" s="28">
        <f t="shared" si="41"/>
        <v>0</v>
      </c>
      <c r="J131" s="28">
        <f t="shared" si="42"/>
        <v>607.79999999999995</v>
      </c>
      <c r="K131" s="28">
        <f t="shared" si="43"/>
        <v>0</v>
      </c>
      <c r="L131" s="28">
        <f t="shared" si="44"/>
        <v>60.78</v>
      </c>
      <c r="M131" s="28">
        <f t="shared" si="45"/>
        <v>0</v>
      </c>
      <c r="N131" s="107">
        <f t="shared" si="46"/>
        <v>607.79999999999995</v>
      </c>
      <c r="O131" s="107">
        <f t="shared" si="47"/>
        <v>60.78</v>
      </c>
      <c r="P131" s="9"/>
      <c r="Q131" s="35" t="str">
        <f t="shared" si="48"/>
        <v>607,80</v>
      </c>
      <c r="R131" s="35" t="str">
        <f t="shared" si="49"/>
        <v>,00</v>
      </c>
      <c r="S131" s="35" t="str">
        <f t="shared" si="50"/>
        <v>607,80</v>
      </c>
      <c r="T131" s="35" t="str">
        <f t="shared" si="51"/>
        <v>,00</v>
      </c>
      <c r="U131" s="35" t="str">
        <f t="shared" si="52"/>
        <v>,00</v>
      </c>
      <c r="V131" s="35" t="str">
        <f t="shared" si="53"/>
        <v>,00</v>
      </c>
      <c r="W131" s="35" t="str">
        <f t="shared" si="54"/>
        <v>607,80</v>
      </c>
      <c r="X131" s="35" t="str">
        <f t="shared" si="55"/>
        <v>,00</v>
      </c>
      <c r="Y131" s="35" t="str">
        <f t="shared" si="56"/>
        <v>60,78</v>
      </c>
      <c r="Z131" s="35" t="str">
        <f t="shared" si="57"/>
        <v>,00</v>
      </c>
      <c r="AA131" s="35" t="str">
        <f t="shared" si="58"/>
        <v>607,80</v>
      </c>
      <c r="AB131" s="35" t="str">
        <f t="shared" si="59"/>
        <v>60,78</v>
      </c>
    </row>
    <row r="132" spans="1:28" ht="16" x14ac:dyDescent="0.25">
      <c r="A132" s="24">
        <v>131</v>
      </c>
      <c r="B132" s="24" t="s">
        <v>2398</v>
      </c>
      <c r="C132" s="24" t="s">
        <v>163</v>
      </c>
      <c r="D132" s="116">
        <v>86.4</v>
      </c>
      <c r="E132" s="116">
        <v>428.1</v>
      </c>
      <c r="F132" s="108">
        <f t="shared" si="40"/>
        <v>514.5</v>
      </c>
      <c r="G132" s="116">
        <v>0</v>
      </c>
      <c r="H132" s="116">
        <v>0</v>
      </c>
      <c r="I132" s="28">
        <f t="shared" si="41"/>
        <v>0</v>
      </c>
      <c r="J132" s="28">
        <f t="shared" si="42"/>
        <v>86.4</v>
      </c>
      <c r="K132" s="28">
        <f t="shared" si="43"/>
        <v>428.1</v>
      </c>
      <c r="L132" s="28">
        <f t="shared" si="44"/>
        <v>8.64</v>
      </c>
      <c r="M132" s="28">
        <f t="shared" si="45"/>
        <v>42.81</v>
      </c>
      <c r="N132" s="107">
        <f t="shared" si="46"/>
        <v>514.5</v>
      </c>
      <c r="O132" s="107">
        <f t="shared" si="47"/>
        <v>51.45</v>
      </c>
      <c r="P132" s="9"/>
      <c r="Q132" s="35" t="str">
        <f t="shared" si="48"/>
        <v>86,40</v>
      </c>
      <c r="R132" s="35" t="str">
        <f t="shared" si="49"/>
        <v>428,10</v>
      </c>
      <c r="S132" s="35" t="str">
        <f t="shared" si="50"/>
        <v>514,50</v>
      </c>
      <c r="T132" s="35" t="str">
        <f t="shared" si="51"/>
        <v>,00</v>
      </c>
      <c r="U132" s="35" t="str">
        <f t="shared" si="52"/>
        <v>,00</v>
      </c>
      <c r="V132" s="35" t="str">
        <f t="shared" si="53"/>
        <v>,00</v>
      </c>
      <c r="W132" s="35" t="str">
        <f t="shared" si="54"/>
        <v>86,40</v>
      </c>
      <c r="X132" s="35" t="str">
        <f t="shared" si="55"/>
        <v>428,10</v>
      </c>
      <c r="Y132" s="35" t="str">
        <f t="shared" si="56"/>
        <v>8,64</v>
      </c>
      <c r="Z132" s="35" t="str">
        <f t="shared" si="57"/>
        <v>42,81</v>
      </c>
      <c r="AA132" s="35" t="str">
        <f t="shared" si="58"/>
        <v>514,50</v>
      </c>
      <c r="AB132" s="35" t="str">
        <f t="shared" si="59"/>
        <v>51,45</v>
      </c>
    </row>
    <row r="133" spans="1:28" ht="16" x14ac:dyDescent="0.25">
      <c r="A133" s="24">
        <v>132</v>
      </c>
      <c r="B133" s="24" t="s">
        <v>34</v>
      </c>
      <c r="C133" s="24" t="s">
        <v>247</v>
      </c>
      <c r="D133" s="116">
        <v>84.4</v>
      </c>
      <c r="E133" s="116">
        <v>2135.6999999999998</v>
      </c>
      <c r="F133" s="108">
        <f t="shared" si="40"/>
        <v>2220.1</v>
      </c>
      <c r="G133" s="116">
        <v>0</v>
      </c>
      <c r="H133" s="116">
        <v>0</v>
      </c>
      <c r="I133" s="28">
        <f t="shared" si="41"/>
        <v>0</v>
      </c>
      <c r="J133" s="28">
        <f t="shared" si="42"/>
        <v>84.4</v>
      </c>
      <c r="K133" s="28">
        <f t="shared" si="43"/>
        <v>2135.6999999999998</v>
      </c>
      <c r="L133" s="28">
        <f t="shared" si="44"/>
        <v>8.4400000000000013</v>
      </c>
      <c r="M133" s="28">
        <f t="shared" si="45"/>
        <v>213.57</v>
      </c>
      <c r="N133" s="107">
        <f t="shared" si="46"/>
        <v>2220.1</v>
      </c>
      <c r="O133" s="107">
        <f t="shared" si="47"/>
        <v>222.01</v>
      </c>
      <c r="P133" s="9"/>
      <c r="Q133" s="35" t="str">
        <f t="shared" si="48"/>
        <v>84,40</v>
      </c>
      <c r="R133" s="35" t="str">
        <f t="shared" si="49"/>
        <v>2.135,70</v>
      </c>
      <c r="S133" s="35" t="str">
        <f t="shared" si="50"/>
        <v>2.220,10</v>
      </c>
      <c r="T133" s="35" t="str">
        <f t="shared" si="51"/>
        <v>,00</v>
      </c>
      <c r="U133" s="35" t="str">
        <f t="shared" si="52"/>
        <v>,00</v>
      </c>
      <c r="V133" s="35" t="str">
        <f t="shared" si="53"/>
        <v>,00</v>
      </c>
      <c r="W133" s="35" t="str">
        <f t="shared" si="54"/>
        <v>84,40</v>
      </c>
      <c r="X133" s="35" t="str">
        <f t="shared" si="55"/>
        <v>2.135,70</v>
      </c>
      <c r="Y133" s="35" t="str">
        <f t="shared" si="56"/>
        <v>8,44</v>
      </c>
      <c r="Z133" s="35" t="str">
        <f t="shared" si="57"/>
        <v>213,57</v>
      </c>
      <c r="AA133" s="35" t="str">
        <f t="shared" si="58"/>
        <v>2.220,10</v>
      </c>
      <c r="AB133" s="35" t="str">
        <f t="shared" si="59"/>
        <v>222,01</v>
      </c>
    </row>
    <row r="134" spans="1:28" ht="16" x14ac:dyDescent="0.25">
      <c r="A134" s="24">
        <v>133</v>
      </c>
      <c r="B134" s="24" t="s">
        <v>2250</v>
      </c>
      <c r="C134" s="24" t="s">
        <v>247</v>
      </c>
      <c r="D134" s="116">
        <v>188.9</v>
      </c>
      <c r="E134" s="116">
        <v>1124.5</v>
      </c>
      <c r="F134" s="108">
        <f t="shared" si="40"/>
        <v>1313.4</v>
      </c>
      <c r="G134" s="116">
        <v>0</v>
      </c>
      <c r="H134" s="116">
        <v>0</v>
      </c>
      <c r="I134" s="28">
        <f t="shared" si="41"/>
        <v>0</v>
      </c>
      <c r="J134" s="28">
        <f t="shared" si="42"/>
        <v>188.9</v>
      </c>
      <c r="K134" s="28">
        <f t="shared" si="43"/>
        <v>1124.5</v>
      </c>
      <c r="L134" s="28">
        <f t="shared" si="44"/>
        <v>18.89</v>
      </c>
      <c r="M134" s="28">
        <f t="shared" si="45"/>
        <v>112.45</v>
      </c>
      <c r="N134" s="107">
        <f t="shared" si="46"/>
        <v>1313.4</v>
      </c>
      <c r="O134" s="107">
        <f t="shared" si="47"/>
        <v>131.34</v>
      </c>
      <c r="P134" s="9"/>
      <c r="Q134" s="35" t="str">
        <f t="shared" si="48"/>
        <v>188,90</v>
      </c>
      <c r="R134" s="35" t="str">
        <f t="shared" si="49"/>
        <v>1.124,50</v>
      </c>
      <c r="S134" s="35" t="str">
        <f t="shared" si="50"/>
        <v>1.313,40</v>
      </c>
      <c r="T134" s="35" t="str">
        <f t="shared" si="51"/>
        <v>,00</v>
      </c>
      <c r="U134" s="35" t="str">
        <f t="shared" si="52"/>
        <v>,00</v>
      </c>
      <c r="V134" s="35" t="str">
        <f t="shared" si="53"/>
        <v>,00</v>
      </c>
      <c r="W134" s="35" t="str">
        <f t="shared" si="54"/>
        <v>188,90</v>
      </c>
      <c r="X134" s="35" t="str">
        <f t="shared" si="55"/>
        <v>1.124,50</v>
      </c>
      <c r="Y134" s="35" t="str">
        <f t="shared" si="56"/>
        <v>18,89</v>
      </c>
      <c r="Z134" s="35" t="str">
        <f t="shared" si="57"/>
        <v>112,45</v>
      </c>
      <c r="AA134" s="35" t="str">
        <f t="shared" si="58"/>
        <v>1.313,40</v>
      </c>
      <c r="AB134" s="35" t="str">
        <f t="shared" si="59"/>
        <v>131,34</v>
      </c>
    </row>
    <row r="135" spans="1:28" ht="16" x14ac:dyDescent="0.25">
      <c r="A135" s="24">
        <v>134</v>
      </c>
      <c r="B135" s="24" t="s">
        <v>2019</v>
      </c>
      <c r="C135" s="24" t="s">
        <v>65</v>
      </c>
      <c r="D135" s="116">
        <v>74526.700000000012</v>
      </c>
      <c r="E135" s="116">
        <v>106294.64000000003</v>
      </c>
      <c r="F135" s="108">
        <f t="shared" si="40"/>
        <v>180821.34000000003</v>
      </c>
      <c r="G135" s="116">
        <v>2676.0000000000005</v>
      </c>
      <c r="H135" s="116">
        <v>7947.0999999999995</v>
      </c>
      <c r="I135" s="28">
        <f t="shared" si="41"/>
        <v>10623.1</v>
      </c>
      <c r="J135" s="28">
        <f t="shared" si="42"/>
        <v>71850.700000000012</v>
      </c>
      <c r="K135" s="28">
        <f t="shared" si="43"/>
        <v>98347.540000000023</v>
      </c>
      <c r="L135" s="28">
        <f t="shared" si="44"/>
        <v>7185.0700000000015</v>
      </c>
      <c r="M135" s="28">
        <f t="shared" si="45"/>
        <v>9834.7540000000026</v>
      </c>
      <c r="N135" s="107">
        <f t="shared" si="46"/>
        <v>170198.24000000002</v>
      </c>
      <c r="O135" s="107">
        <f t="shared" si="47"/>
        <v>17019.824000000004</v>
      </c>
      <c r="P135" s="9"/>
      <c r="Q135" s="35" t="str">
        <f t="shared" si="48"/>
        <v>74.526,70</v>
      </c>
      <c r="R135" s="35" t="str">
        <f t="shared" si="49"/>
        <v>106.294,64</v>
      </c>
      <c r="S135" s="35" t="str">
        <f t="shared" si="50"/>
        <v>180.821,34</v>
      </c>
      <c r="T135" s="35" t="str">
        <f t="shared" si="51"/>
        <v>2.676,00</v>
      </c>
      <c r="U135" s="35" t="str">
        <f t="shared" si="52"/>
        <v>7.947,10</v>
      </c>
      <c r="V135" s="35" t="str">
        <f t="shared" si="53"/>
        <v>10.623,10</v>
      </c>
      <c r="W135" s="35" t="str">
        <f t="shared" si="54"/>
        <v>71.850,70</v>
      </c>
      <c r="X135" s="35" t="str">
        <f t="shared" si="55"/>
        <v>98.347,54</v>
      </c>
      <c r="Y135" s="35" t="str">
        <f t="shared" si="56"/>
        <v>7.185,07</v>
      </c>
      <c r="Z135" s="35" t="str">
        <f t="shared" si="57"/>
        <v>9.834,75</v>
      </c>
      <c r="AA135" s="35" t="str">
        <f t="shared" si="58"/>
        <v>170.198,24</v>
      </c>
      <c r="AB135" s="35" t="str">
        <f t="shared" si="59"/>
        <v>17.019,82</v>
      </c>
    </row>
    <row r="136" spans="1:28" ht="16" x14ac:dyDescent="0.25">
      <c r="A136" s="24">
        <v>135</v>
      </c>
      <c r="B136" s="24" t="s">
        <v>34</v>
      </c>
      <c r="C136" s="24" t="s">
        <v>239</v>
      </c>
      <c r="D136" s="116">
        <v>1789.8000000000002</v>
      </c>
      <c r="E136" s="116">
        <v>8631.1</v>
      </c>
      <c r="F136" s="108">
        <f t="shared" si="40"/>
        <v>10420.900000000001</v>
      </c>
      <c r="G136" s="116">
        <v>25</v>
      </c>
      <c r="H136" s="116">
        <v>326.7</v>
      </c>
      <c r="I136" s="28">
        <f t="shared" si="41"/>
        <v>351.7</v>
      </c>
      <c r="J136" s="28">
        <f t="shared" si="42"/>
        <v>1764.8000000000002</v>
      </c>
      <c r="K136" s="28">
        <f t="shared" si="43"/>
        <v>8304.4</v>
      </c>
      <c r="L136" s="28">
        <f t="shared" si="44"/>
        <v>176.48000000000002</v>
      </c>
      <c r="M136" s="28">
        <f t="shared" si="45"/>
        <v>830.44</v>
      </c>
      <c r="N136" s="107">
        <f t="shared" si="46"/>
        <v>10069.200000000001</v>
      </c>
      <c r="O136" s="107">
        <f t="shared" si="47"/>
        <v>1006.9200000000001</v>
      </c>
      <c r="P136" s="9"/>
      <c r="Q136" s="35" t="str">
        <f t="shared" si="48"/>
        <v>1.789,80</v>
      </c>
      <c r="R136" s="35" t="str">
        <f t="shared" si="49"/>
        <v>8.631,10</v>
      </c>
      <c r="S136" s="35" t="str">
        <f t="shared" si="50"/>
        <v>10.420,90</v>
      </c>
      <c r="T136" s="35" t="str">
        <f t="shared" si="51"/>
        <v>25,00</v>
      </c>
      <c r="U136" s="35" t="str">
        <f t="shared" si="52"/>
        <v>326,70</v>
      </c>
      <c r="V136" s="35" t="str">
        <f t="shared" si="53"/>
        <v>351,70</v>
      </c>
      <c r="W136" s="35" t="str">
        <f t="shared" si="54"/>
        <v>1.764,80</v>
      </c>
      <c r="X136" s="35" t="str">
        <f t="shared" si="55"/>
        <v>8.304,40</v>
      </c>
      <c r="Y136" s="35" t="str">
        <f t="shared" si="56"/>
        <v>176,48</v>
      </c>
      <c r="Z136" s="35" t="str">
        <f t="shared" si="57"/>
        <v>830,44</v>
      </c>
      <c r="AA136" s="35" t="str">
        <f t="shared" si="58"/>
        <v>10.069,20</v>
      </c>
      <c r="AB136" s="35" t="str">
        <f t="shared" si="59"/>
        <v>1.006,92</v>
      </c>
    </row>
    <row r="137" spans="1:28" ht="16" x14ac:dyDescent="0.25">
      <c r="A137" s="24">
        <v>136</v>
      </c>
      <c r="B137" s="24" t="s">
        <v>34</v>
      </c>
      <c r="C137" s="24" t="s">
        <v>66</v>
      </c>
      <c r="D137" s="116">
        <v>10749.199999999999</v>
      </c>
      <c r="E137" s="116">
        <v>18393.399999999998</v>
      </c>
      <c r="F137" s="108">
        <f t="shared" si="40"/>
        <v>29142.6</v>
      </c>
      <c r="G137" s="116">
        <v>700.2</v>
      </c>
      <c r="H137" s="116">
        <v>5435.6</v>
      </c>
      <c r="I137" s="28">
        <f t="shared" si="41"/>
        <v>6135.8</v>
      </c>
      <c r="J137" s="28">
        <f t="shared" si="42"/>
        <v>10048.999999999998</v>
      </c>
      <c r="K137" s="28">
        <f t="shared" si="43"/>
        <v>12957.799999999997</v>
      </c>
      <c r="L137" s="28">
        <f t="shared" si="44"/>
        <v>1004.8999999999999</v>
      </c>
      <c r="M137" s="28">
        <f t="shared" si="45"/>
        <v>1295.7799999999997</v>
      </c>
      <c r="N137" s="107">
        <f t="shared" si="46"/>
        <v>23006.799999999999</v>
      </c>
      <c r="O137" s="107">
        <f t="shared" si="47"/>
        <v>2300.6799999999998</v>
      </c>
      <c r="P137" s="9"/>
      <c r="Q137" s="35" t="str">
        <f t="shared" si="48"/>
        <v>10.749,20</v>
      </c>
      <c r="R137" s="35" t="str">
        <f t="shared" si="49"/>
        <v>18.393,40</v>
      </c>
      <c r="S137" s="35" t="str">
        <f t="shared" si="50"/>
        <v>29.142,60</v>
      </c>
      <c r="T137" s="35" t="str">
        <f t="shared" si="51"/>
        <v>700,20</v>
      </c>
      <c r="U137" s="35" t="str">
        <f t="shared" si="52"/>
        <v>5.435,60</v>
      </c>
      <c r="V137" s="35" t="str">
        <f t="shared" si="53"/>
        <v>6.135,80</v>
      </c>
      <c r="W137" s="35" t="str">
        <f t="shared" si="54"/>
        <v>10.049,00</v>
      </c>
      <c r="X137" s="35" t="str">
        <f t="shared" si="55"/>
        <v>12.957,80</v>
      </c>
      <c r="Y137" s="35" t="str">
        <f t="shared" si="56"/>
        <v>1.004,90</v>
      </c>
      <c r="Z137" s="35" t="str">
        <f t="shared" si="57"/>
        <v>1.295,78</v>
      </c>
      <c r="AA137" s="35" t="str">
        <f t="shared" si="58"/>
        <v>23.006,80</v>
      </c>
      <c r="AB137" s="35" t="str">
        <f t="shared" si="59"/>
        <v>2.300,68</v>
      </c>
    </row>
    <row r="138" spans="1:28" ht="16" x14ac:dyDescent="0.25">
      <c r="A138" s="24">
        <v>137</v>
      </c>
      <c r="B138" s="24" t="s">
        <v>202</v>
      </c>
      <c r="C138" s="24" t="s">
        <v>66</v>
      </c>
      <c r="D138" s="116">
        <v>6085.0999999999995</v>
      </c>
      <c r="E138" s="116">
        <v>6658.4</v>
      </c>
      <c r="F138" s="108">
        <f t="shared" si="40"/>
        <v>12743.5</v>
      </c>
      <c r="G138" s="116">
        <v>0</v>
      </c>
      <c r="H138" s="116">
        <v>0</v>
      </c>
      <c r="I138" s="28">
        <f t="shared" si="41"/>
        <v>0</v>
      </c>
      <c r="J138" s="28">
        <f t="shared" si="42"/>
        <v>6085.0999999999995</v>
      </c>
      <c r="K138" s="28">
        <f t="shared" si="43"/>
        <v>6658.4</v>
      </c>
      <c r="L138" s="28">
        <f t="shared" si="44"/>
        <v>608.51</v>
      </c>
      <c r="M138" s="28">
        <f t="shared" si="45"/>
        <v>665.84</v>
      </c>
      <c r="N138" s="107">
        <f t="shared" si="46"/>
        <v>12743.5</v>
      </c>
      <c r="O138" s="107">
        <f t="shared" si="47"/>
        <v>1274.3500000000001</v>
      </c>
      <c r="P138" s="9"/>
      <c r="Q138" s="35" t="str">
        <f t="shared" si="48"/>
        <v>6.085,10</v>
      </c>
      <c r="R138" s="35" t="str">
        <f t="shared" si="49"/>
        <v>6.658,40</v>
      </c>
      <c r="S138" s="35" t="str">
        <f t="shared" si="50"/>
        <v>12.743,50</v>
      </c>
      <c r="T138" s="35" t="str">
        <f t="shared" si="51"/>
        <v>,00</v>
      </c>
      <c r="U138" s="35" t="str">
        <f t="shared" si="52"/>
        <v>,00</v>
      </c>
      <c r="V138" s="35" t="str">
        <f t="shared" si="53"/>
        <v>,00</v>
      </c>
      <c r="W138" s="35" t="str">
        <f t="shared" si="54"/>
        <v>6.085,10</v>
      </c>
      <c r="X138" s="35" t="str">
        <f t="shared" si="55"/>
        <v>6.658,40</v>
      </c>
      <c r="Y138" s="35" t="str">
        <f t="shared" si="56"/>
        <v>608,51</v>
      </c>
      <c r="Z138" s="35" t="str">
        <f t="shared" si="57"/>
        <v>665,84</v>
      </c>
      <c r="AA138" s="35" t="str">
        <f t="shared" si="58"/>
        <v>12.743,50</v>
      </c>
      <c r="AB138" s="35" t="str">
        <f t="shared" si="59"/>
        <v>1.274,35</v>
      </c>
    </row>
    <row r="139" spans="1:28" ht="16" x14ac:dyDescent="0.25">
      <c r="A139" s="24">
        <v>138</v>
      </c>
      <c r="B139" s="24" t="s">
        <v>2231</v>
      </c>
      <c r="C139" s="24" t="s">
        <v>66</v>
      </c>
      <c r="D139" s="116">
        <v>1300.7</v>
      </c>
      <c r="E139" s="116">
        <v>1347</v>
      </c>
      <c r="F139" s="108">
        <f t="shared" si="40"/>
        <v>2647.7</v>
      </c>
      <c r="G139" s="116">
        <v>0</v>
      </c>
      <c r="H139" s="116">
        <v>0</v>
      </c>
      <c r="I139" s="28">
        <f t="shared" si="41"/>
        <v>0</v>
      </c>
      <c r="J139" s="28">
        <f t="shared" si="42"/>
        <v>1300.7</v>
      </c>
      <c r="K139" s="28">
        <f t="shared" si="43"/>
        <v>1347</v>
      </c>
      <c r="L139" s="28">
        <f t="shared" si="44"/>
        <v>130.07000000000002</v>
      </c>
      <c r="M139" s="28">
        <f t="shared" si="45"/>
        <v>134.70000000000002</v>
      </c>
      <c r="N139" s="107">
        <f t="shared" si="46"/>
        <v>2647.7</v>
      </c>
      <c r="O139" s="107">
        <f t="shared" si="47"/>
        <v>264.77</v>
      </c>
      <c r="P139" s="9"/>
      <c r="Q139" s="35" t="str">
        <f t="shared" si="48"/>
        <v>1.300,70</v>
      </c>
      <c r="R139" s="35" t="str">
        <f t="shared" si="49"/>
        <v>1.347,00</v>
      </c>
      <c r="S139" s="35" t="str">
        <f t="shared" si="50"/>
        <v>2.647,70</v>
      </c>
      <c r="T139" s="35" t="str">
        <f t="shared" si="51"/>
        <v>,00</v>
      </c>
      <c r="U139" s="35" t="str">
        <f t="shared" si="52"/>
        <v>,00</v>
      </c>
      <c r="V139" s="35" t="str">
        <f t="shared" si="53"/>
        <v>,00</v>
      </c>
      <c r="W139" s="35" t="str">
        <f t="shared" si="54"/>
        <v>1.300,70</v>
      </c>
      <c r="X139" s="35" t="str">
        <f t="shared" si="55"/>
        <v>1.347,00</v>
      </c>
      <c r="Y139" s="35" t="str">
        <f t="shared" si="56"/>
        <v>130,07</v>
      </c>
      <c r="Z139" s="35" t="str">
        <f t="shared" si="57"/>
        <v>134,70</v>
      </c>
      <c r="AA139" s="35" t="str">
        <f t="shared" si="58"/>
        <v>2.647,70</v>
      </c>
      <c r="AB139" s="35" t="str">
        <f t="shared" si="59"/>
        <v>264,77</v>
      </c>
    </row>
    <row r="140" spans="1:28" ht="16" x14ac:dyDescent="0.25">
      <c r="A140" s="24">
        <v>139</v>
      </c>
      <c r="B140" s="24" t="s">
        <v>598</v>
      </c>
      <c r="C140" s="24" t="s">
        <v>66</v>
      </c>
      <c r="D140" s="116">
        <v>971.59999999999991</v>
      </c>
      <c r="E140" s="116">
        <v>1522.3</v>
      </c>
      <c r="F140" s="108">
        <f t="shared" si="40"/>
        <v>2493.8999999999996</v>
      </c>
      <c r="G140" s="116">
        <v>0</v>
      </c>
      <c r="H140" s="116">
        <v>0</v>
      </c>
      <c r="I140" s="28">
        <f t="shared" si="41"/>
        <v>0</v>
      </c>
      <c r="J140" s="28">
        <f t="shared" si="42"/>
        <v>971.59999999999991</v>
      </c>
      <c r="K140" s="28">
        <f t="shared" si="43"/>
        <v>1522.3</v>
      </c>
      <c r="L140" s="28">
        <f t="shared" si="44"/>
        <v>97.16</v>
      </c>
      <c r="M140" s="28">
        <f t="shared" si="45"/>
        <v>152.22999999999999</v>
      </c>
      <c r="N140" s="107">
        <f t="shared" si="46"/>
        <v>2493.8999999999996</v>
      </c>
      <c r="O140" s="107">
        <f t="shared" si="47"/>
        <v>249.39</v>
      </c>
      <c r="P140" s="9"/>
      <c r="Q140" s="35" t="str">
        <f t="shared" si="48"/>
        <v>971,60</v>
      </c>
      <c r="R140" s="35" t="str">
        <f t="shared" si="49"/>
        <v>1.522,30</v>
      </c>
      <c r="S140" s="35" t="str">
        <f t="shared" si="50"/>
        <v>2.493,90</v>
      </c>
      <c r="T140" s="35" t="str">
        <f t="shared" si="51"/>
        <v>,00</v>
      </c>
      <c r="U140" s="35" t="str">
        <f t="shared" si="52"/>
        <v>,00</v>
      </c>
      <c r="V140" s="35" t="str">
        <f t="shared" si="53"/>
        <v>,00</v>
      </c>
      <c r="W140" s="35" t="str">
        <f t="shared" si="54"/>
        <v>971,60</v>
      </c>
      <c r="X140" s="35" t="str">
        <f t="shared" si="55"/>
        <v>1.522,30</v>
      </c>
      <c r="Y140" s="35" t="str">
        <f t="shared" si="56"/>
        <v>97,16</v>
      </c>
      <c r="Z140" s="35" t="str">
        <f t="shared" si="57"/>
        <v>152,23</v>
      </c>
      <c r="AA140" s="35" t="str">
        <f t="shared" si="58"/>
        <v>2.493,90</v>
      </c>
      <c r="AB140" s="35" t="str">
        <f t="shared" si="59"/>
        <v>249,39</v>
      </c>
    </row>
    <row r="141" spans="1:28" ht="16" x14ac:dyDescent="0.25">
      <c r="A141" s="24">
        <v>140</v>
      </c>
      <c r="B141" s="24" t="s">
        <v>257</v>
      </c>
      <c r="C141" s="24" t="s">
        <v>66</v>
      </c>
      <c r="D141" s="116">
        <v>539.5</v>
      </c>
      <c r="E141" s="116">
        <v>1008.2</v>
      </c>
      <c r="F141" s="108">
        <f t="shared" si="40"/>
        <v>1547.7</v>
      </c>
      <c r="G141" s="116">
        <v>32.1</v>
      </c>
      <c r="H141" s="116">
        <v>51.7</v>
      </c>
      <c r="I141" s="28">
        <f t="shared" si="41"/>
        <v>83.800000000000011</v>
      </c>
      <c r="J141" s="28">
        <f t="shared" si="42"/>
        <v>507.4</v>
      </c>
      <c r="K141" s="28">
        <f t="shared" si="43"/>
        <v>956.5</v>
      </c>
      <c r="L141" s="28">
        <f t="shared" si="44"/>
        <v>50.74</v>
      </c>
      <c r="M141" s="28">
        <f t="shared" si="45"/>
        <v>95.65</v>
      </c>
      <c r="N141" s="107">
        <f t="shared" si="46"/>
        <v>1463.9</v>
      </c>
      <c r="O141" s="107">
        <f t="shared" si="47"/>
        <v>146.39000000000001</v>
      </c>
      <c r="P141" s="9"/>
      <c r="Q141" s="35" t="str">
        <f t="shared" si="48"/>
        <v>539,50</v>
      </c>
      <c r="R141" s="35" t="str">
        <f t="shared" si="49"/>
        <v>1.008,20</v>
      </c>
      <c r="S141" s="35" t="str">
        <f t="shared" si="50"/>
        <v>1.547,70</v>
      </c>
      <c r="T141" s="35" t="str">
        <f t="shared" si="51"/>
        <v>32,10</v>
      </c>
      <c r="U141" s="35" t="str">
        <f t="shared" si="52"/>
        <v>51,70</v>
      </c>
      <c r="V141" s="35" t="str">
        <f t="shared" si="53"/>
        <v>83,80</v>
      </c>
      <c r="W141" s="35" t="str">
        <f t="shared" si="54"/>
        <v>507,40</v>
      </c>
      <c r="X141" s="35" t="str">
        <f t="shared" si="55"/>
        <v>956,50</v>
      </c>
      <c r="Y141" s="35" t="str">
        <f t="shared" si="56"/>
        <v>50,74</v>
      </c>
      <c r="Z141" s="35" t="str">
        <f t="shared" si="57"/>
        <v>95,65</v>
      </c>
      <c r="AA141" s="35" t="str">
        <f t="shared" si="58"/>
        <v>1.463,90</v>
      </c>
      <c r="AB141" s="35" t="str">
        <f t="shared" si="59"/>
        <v>146,39</v>
      </c>
    </row>
    <row r="142" spans="1:28" ht="16" x14ac:dyDescent="0.25">
      <c r="A142" s="24">
        <v>141</v>
      </c>
      <c r="B142" s="24" t="s">
        <v>260</v>
      </c>
      <c r="C142" s="24" t="s">
        <v>66</v>
      </c>
      <c r="D142" s="116">
        <v>740.5</v>
      </c>
      <c r="E142" s="116">
        <v>675.9</v>
      </c>
      <c r="F142" s="108">
        <f t="shared" si="40"/>
        <v>1416.4</v>
      </c>
      <c r="G142" s="116">
        <v>0</v>
      </c>
      <c r="H142" s="116">
        <v>0</v>
      </c>
      <c r="I142" s="28">
        <f t="shared" si="41"/>
        <v>0</v>
      </c>
      <c r="J142" s="28">
        <f t="shared" si="42"/>
        <v>740.5</v>
      </c>
      <c r="K142" s="28">
        <f t="shared" si="43"/>
        <v>675.9</v>
      </c>
      <c r="L142" s="28">
        <f t="shared" si="44"/>
        <v>74.05</v>
      </c>
      <c r="M142" s="28">
        <f t="shared" si="45"/>
        <v>67.59</v>
      </c>
      <c r="N142" s="107">
        <f t="shared" si="46"/>
        <v>1416.4</v>
      </c>
      <c r="O142" s="107">
        <f t="shared" si="47"/>
        <v>141.64000000000001</v>
      </c>
      <c r="P142" s="9"/>
      <c r="Q142" s="35" t="str">
        <f t="shared" si="48"/>
        <v>740,50</v>
      </c>
      <c r="R142" s="35" t="str">
        <f t="shared" si="49"/>
        <v>675,90</v>
      </c>
      <c r="S142" s="35" t="str">
        <f t="shared" si="50"/>
        <v>1.416,40</v>
      </c>
      <c r="T142" s="35" t="str">
        <f t="shared" si="51"/>
        <v>,00</v>
      </c>
      <c r="U142" s="35" t="str">
        <f t="shared" si="52"/>
        <v>,00</v>
      </c>
      <c r="V142" s="35" t="str">
        <f t="shared" si="53"/>
        <v>,00</v>
      </c>
      <c r="W142" s="35" t="str">
        <f t="shared" si="54"/>
        <v>740,50</v>
      </c>
      <c r="X142" s="35" t="str">
        <f t="shared" si="55"/>
        <v>675,90</v>
      </c>
      <c r="Y142" s="35" t="str">
        <f t="shared" si="56"/>
        <v>74,05</v>
      </c>
      <c r="Z142" s="35" t="str">
        <f t="shared" si="57"/>
        <v>67,59</v>
      </c>
      <c r="AA142" s="35" t="str">
        <f t="shared" si="58"/>
        <v>1.416,40</v>
      </c>
      <c r="AB142" s="35" t="str">
        <f t="shared" si="59"/>
        <v>141,64</v>
      </c>
    </row>
    <row r="143" spans="1:28" ht="16" x14ac:dyDescent="0.25">
      <c r="A143" s="24">
        <v>142</v>
      </c>
      <c r="B143" s="24" t="s">
        <v>596</v>
      </c>
      <c r="C143" s="24" t="s">
        <v>66</v>
      </c>
      <c r="D143" s="116">
        <v>285.2</v>
      </c>
      <c r="E143" s="116">
        <v>205.7</v>
      </c>
      <c r="F143" s="108">
        <f t="shared" si="40"/>
        <v>490.9</v>
      </c>
      <c r="G143" s="116">
        <v>0</v>
      </c>
      <c r="H143" s="116">
        <v>0</v>
      </c>
      <c r="I143" s="28">
        <f t="shared" si="41"/>
        <v>0</v>
      </c>
      <c r="J143" s="28">
        <f t="shared" si="42"/>
        <v>285.2</v>
      </c>
      <c r="K143" s="28">
        <f t="shared" si="43"/>
        <v>205.7</v>
      </c>
      <c r="L143" s="28">
        <f t="shared" si="44"/>
        <v>28.52</v>
      </c>
      <c r="M143" s="28">
        <f t="shared" si="45"/>
        <v>20.57</v>
      </c>
      <c r="N143" s="107">
        <f t="shared" si="46"/>
        <v>490.9</v>
      </c>
      <c r="O143" s="107">
        <f t="shared" si="47"/>
        <v>49.09</v>
      </c>
      <c r="P143" s="9"/>
      <c r="Q143" s="35" t="str">
        <f t="shared" si="48"/>
        <v>285,20</v>
      </c>
      <c r="R143" s="35" t="str">
        <f t="shared" si="49"/>
        <v>205,70</v>
      </c>
      <c r="S143" s="35" t="str">
        <f t="shared" si="50"/>
        <v>490,90</v>
      </c>
      <c r="T143" s="35" t="str">
        <f t="shared" si="51"/>
        <v>,00</v>
      </c>
      <c r="U143" s="35" t="str">
        <f t="shared" si="52"/>
        <v>,00</v>
      </c>
      <c r="V143" s="35" t="str">
        <f t="shared" si="53"/>
        <v>,00</v>
      </c>
      <c r="W143" s="35" t="str">
        <f t="shared" si="54"/>
        <v>285,20</v>
      </c>
      <c r="X143" s="35" t="str">
        <f t="shared" si="55"/>
        <v>205,70</v>
      </c>
      <c r="Y143" s="35" t="str">
        <f t="shared" si="56"/>
        <v>28,52</v>
      </c>
      <c r="Z143" s="35" t="str">
        <f t="shared" si="57"/>
        <v>20,57</v>
      </c>
      <c r="AA143" s="35" t="str">
        <f t="shared" si="58"/>
        <v>490,90</v>
      </c>
      <c r="AB143" s="35" t="str">
        <f t="shared" si="59"/>
        <v>49,09</v>
      </c>
    </row>
    <row r="144" spans="1:28" ht="16" x14ac:dyDescent="0.25">
      <c r="A144" s="24">
        <v>143</v>
      </c>
      <c r="B144" s="24" t="s">
        <v>597</v>
      </c>
      <c r="C144" s="24" t="s">
        <v>66</v>
      </c>
      <c r="D144" s="116">
        <v>50.4</v>
      </c>
      <c r="E144" s="116">
        <v>506.1</v>
      </c>
      <c r="F144" s="108">
        <f t="shared" si="40"/>
        <v>556.5</v>
      </c>
      <c r="G144" s="116">
        <v>5.4</v>
      </c>
      <c r="H144" s="116">
        <v>103.3</v>
      </c>
      <c r="I144" s="28">
        <f t="shared" si="41"/>
        <v>108.7</v>
      </c>
      <c r="J144" s="28">
        <f t="shared" si="42"/>
        <v>45</v>
      </c>
      <c r="K144" s="28">
        <f t="shared" si="43"/>
        <v>402.8</v>
      </c>
      <c r="L144" s="28">
        <f t="shared" si="44"/>
        <v>4.5</v>
      </c>
      <c r="M144" s="28">
        <f t="shared" si="45"/>
        <v>40.28</v>
      </c>
      <c r="N144" s="107">
        <f t="shared" si="46"/>
        <v>447.8</v>
      </c>
      <c r="O144" s="107">
        <f t="shared" si="47"/>
        <v>44.78</v>
      </c>
      <c r="P144" s="9"/>
      <c r="Q144" s="35" t="str">
        <f t="shared" si="48"/>
        <v>50,40</v>
      </c>
      <c r="R144" s="35" t="str">
        <f t="shared" si="49"/>
        <v>506,10</v>
      </c>
      <c r="S144" s="35" t="str">
        <f t="shared" si="50"/>
        <v>556,50</v>
      </c>
      <c r="T144" s="35" t="str">
        <f t="shared" si="51"/>
        <v>5,40</v>
      </c>
      <c r="U144" s="35" t="str">
        <f t="shared" si="52"/>
        <v>103,30</v>
      </c>
      <c r="V144" s="35" t="str">
        <f t="shared" si="53"/>
        <v>108,70</v>
      </c>
      <c r="W144" s="35" t="str">
        <f t="shared" si="54"/>
        <v>45,00</v>
      </c>
      <c r="X144" s="35" t="str">
        <f t="shared" si="55"/>
        <v>402,80</v>
      </c>
      <c r="Y144" s="35" t="str">
        <f t="shared" si="56"/>
        <v>4,50</v>
      </c>
      <c r="Z144" s="35" t="str">
        <f t="shared" si="57"/>
        <v>40,28</v>
      </c>
      <c r="AA144" s="35" t="str">
        <f t="shared" si="58"/>
        <v>447,80</v>
      </c>
      <c r="AB144" s="35" t="str">
        <f t="shared" si="59"/>
        <v>44,78</v>
      </c>
    </row>
    <row r="145" spans="1:28" ht="16" x14ac:dyDescent="0.25">
      <c r="A145" s="24">
        <v>144</v>
      </c>
      <c r="B145" s="24" t="s">
        <v>331</v>
      </c>
      <c r="C145" s="24" t="s">
        <v>66</v>
      </c>
      <c r="D145" s="116">
        <v>53.9</v>
      </c>
      <c r="E145" s="116">
        <v>206.6</v>
      </c>
      <c r="F145" s="108">
        <f t="shared" si="40"/>
        <v>260.5</v>
      </c>
      <c r="G145" s="116">
        <v>0</v>
      </c>
      <c r="H145" s="116">
        <v>0</v>
      </c>
      <c r="I145" s="28">
        <f t="shared" si="41"/>
        <v>0</v>
      </c>
      <c r="J145" s="28">
        <f t="shared" si="42"/>
        <v>53.9</v>
      </c>
      <c r="K145" s="28">
        <f t="shared" si="43"/>
        <v>206.6</v>
      </c>
      <c r="L145" s="28">
        <f t="shared" si="44"/>
        <v>5.3900000000000006</v>
      </c>
      <c r="M145" s="28">
        <f t="shared" si="45"/>
        <v>20.66</v>
      </c>
      <c r="N145" s="107">
        <f t="shared" si="46"/>
        <v>260.5</v>
      </c>
      <c r="O145" s="107">
        <f t="shared" si="47"/>
        <v>26.05</v>
      </c>
      <c r="P145" s="9"/>
      <c r="Q145" s="35" t="str">
        <f t="shared" si="48"/>
        <v>53,90</v>
      </c>
      <c r="R145" s="35" t="str">
        <f t="shared" si="49"/>
        <v>206,60</v>
      </c>
      <c r="S145" s="35" t="str">
        <f t="shared" si="50"/>
        <v>260,50</v>
      </c>
      <c r="T145" s="35" t="str">
        <f t="shared" si="51"/>
        <v>,00</v>
      </c>
      <c r="U145" s="35" t="str">
        <f t="shared" si="52"/>
        <v>,00</v>
      </c>
      <c r="V145" s="35" t="str">
        <f t="shared" si="53"/>
        <v>,00</v>
      </c>
      <c r="W145" s="35" t="str">
        <f t="shared" si="54"/>
        <v>53,90</v>
      </c>
      <c r="X145" s="35" t="str">
        <f t="shared" si="55"/>
        <v>206,60</v>
      </c>
      <c r="Y145" s="35" t="str">
        <f t="shared" si="56"/>
        <v>5,39</v>
      </c>
      <c r="Z145" s="35" t="str">
        <f t="shared" si="57"/>
        <v>20,66</v>
      </c>
      <c r="AA145" s="35" t="str">
        <f t="shared" si="58"/>
        <v>260,50</v>
      </c>
      <c r="AB145" s="35" t="str">
        <f t="shared" si="59"/>
        <v>26,05</v>
      </c>
    </row>
    <row r="146" spans="1:28" ht="16" x14ac:dyDescent="0.25">
      <c r="A146" s="24">
        <v>145</v>
      </c>
      <c r="B146" s="24" t="s">
        <v>267</v>
      </c>
      <c r="C146" s="24" t="s">
        <v>66</v>
      </c>
      <c r="D146" s="116">
        <v>117.4</v>
      </c>
      <c r="E146" s="116">
        <v>105.4</v>
      </c>
      <c r="F146" s="108">
        <f t="shared" si="40"/>
        <v>222.8</v>
      </c>
      <c r="G146" s="116">
        <v>0</v>
      </c>
      <c r="H146" s="116">
        <v>0</v>
      </c>
      <c r="I146" s="28">
        <f t="shared" si="41"/>
        <v>0</v>
      </c>
      <c r="J146" s="28">
        <f t="shared" si="42"/>
        <v>117.4</v>
      </c>
      <c r="K146" s="28">
        <f t="shared" si="43"/>
        <v>105.4</v>
      </c>
      <c r="L146" s="28">
        <f t="shared" si="44"/>
        <v>11.740000000000002</v>
      </c>
      <c r="M146" s="28">
        <f t="shared" si="45"/>
        <v>10.540000000000001</v>
      </c>
      <c r="N146" s="107">
        <f t="shared" si="46"/>
        <v>222.8</v>
      </c>
      <c r="O146" s="107">
        <f t="shared" si="47"/>
        <v>22.28</v>
      </c>
      <c r="P146" s="9"/>
      <c r="Q146" s="35" t="str">
        <f t="shared" si="48"/>
        <v>117,40</v>
      </c>
      <c r="R146" s="35" t="str">
        <f t="shared" si="49"/>
        <v>105,40</v>
      </c>
      <c r="S146" s="35" t="str">
        <f t="shared" si="50"/>
        <v>222,80</v>
      </c>
      <c r="T146" s="35" t="str">
        <f t="shared" si="51"/>
        <v>,00</v>
      </c>
      <c r="U146" s="35" t="str">
        <f t="shared" si="52"/>
        <v>,00</v>
      </c>
      <c r="V146" s="35" t="str">
        <f t="shared" si="53"/>
        <v>,00</v>
      </c>
      <c r="W146" s="35" t="str">
        <f t="shared" si="54"/>
        <v>117,40</v>
      </c>
      <c r="X146" s="35" t="str">
        <f t="shared" si="55"/>
        <v>105,40</v>
      </c>
      <c r="Y146" s="35" t="str">
        <f t="shared" si="56"/>
        <v>11,74</v>
      </c>
      <c r="Z146" s="35" t="str">
        <f t="shared" si="57"/>
        <v>10,54</v>
      </c>
      <c r="AA146" s="35" t="str">
        <f t="shared" si="58"/>
        <v>222,80</v>
      </c>
      <c r="AB146" s="35" t="str">
        <f t="shared" si="59"/>
        <v>22,28</v>
      </c>
    </row>
    <row r="147" spans="1:28" ht="16" x14ac:dyDescent="0.25">
      <c r="A147" s="24">
        <v>146</v>
      </c>
      <c r="B147" s="24" t="s">
        <v>2256</v>
      </c>
      <c r="C147" s="24" t="s">
        <v>66</v>
      </c>
      <c r="D147" s="116">
        <v>126.7</v>
      </c>
      <c r="E147" s="116">
        <v>84.5</v>
      </c>
      <c r="F147" s="108">
        <f t="shared" si="40"/>
        <v>211.2</v>
      </c>
      <c r="G147" s="116">
        <v>0</v>
      </c>
      <c r="H147" s="116">
        <v>0</v>
      </c>
      <c r="I147" s="28">
        <f t="shared" si="41"/>
        <v>0</v>
      </c>
      <c r="J147" s="28">
        <f t="shared" si="42"/>
        <v>126.7</v>
      </c>
      <c r="K147" s="28">
        <f t="shared" si="43"/>
        <v>84.5</v>
      </c>
      <c r="L147" s="28">
        <f t="shared" si="44"/>
        <v>12.670000000000002</v>
      </c>
      <c r="M147" s="28">
        <f t="shared" si="45"/>
        <v>8.4500000000000011</v>
      </c>
      <c r="N147" s="107">
        <f t="shared" si="46"/>
        <v>211.2</v>
      </c>
      <c r="O147" s="107">
        <f t="shared" si="47"/>
        <v>21.12</v>
      </c>
      <c r="P147" s="9"/>
      <c r="Q147" s="35" t="str">
        <f t="shared" si="48"/>
        <v>126,70</v>
      </c>
      <c r="R147" s="35" t="str">
        <f t="shared" si="49"/>
        <v>84,50</v>
      </c>
      <c r="S147" s="35" t="str">
        <f t="shared" si="50"/>
        <v>211,20</v>
      </c>
      <c r="T147" s="35" t="str">
        <f t="shared" si="51"/>
        <v>,00</v>
      </c>
      <c r="U147" s="35" t="str">
        <f t="shared" si="52"/>
        <v>,00</v>
      </c>
      <c r="V147" s="35" t="str">
        <f t="shared" si="53"/>
        <v>,00</v>
      </c>
      <c r="W147" s="35" t="str">
        <f t="shared" si="54"/>
        <v>126,70</v>
      </c>
      <c r="X147" s="35" t="str">
        <f t="shared" si="55"/>
        <v>84,50</v>
      </c>
      <c r="Y147" s="35" t="str">
        <f t="shared" si="56"/>
        <v>12,67</v>
      </c>
      <c r="Z147" s="35" t="str">
        <f t="shared" si="57"/>
        <v>8,45</v>
      </c>
      <c r="AA147" s="35" t="str">
        <f t="shared" si="58"/>
        <v>211,20</v>
      </c>
      <c r="AB147" s="35" t="str">
        <f t="shared" si="59"/>
        <v>21,12</v>
      </c>
    </row>
    <row r="148" spans="1:28" ht="16" x14ac:dyDescent="0.25">
      <c r="A148" s="24">
        <v>147</v>
      </c>
      <c r="B148" s="24" t="s">
        <v>1872</v>
      </c>
      <c r="C148" s="24" t="s">
        <v>112</v>
      </c>
      <c r="D148" s="116">
        <v>1316993.8399999999</v>
      </c>
      <c r="E148" s="116">
        <v>1821661.03</v>
      </c>
      <c r="F148" s="108">
        <f t="shared" si="40"/>
        <v>3138654.87</v>
      </c>
      <c r="G148" s="116">
        <v>133376.94999999998</v>
      </c>
      <c r="H148" s="116">
        <v>150030.16999999995</v>
      </c>
      <c r="I148" s="28">
        <f t="shared" si="41"/>
        <v>283407.11999999994</v>
      </c>
      <c r="J148" s="28">
        <f t="shared" si="42"/>
        <v>1183616.8899999999</v>
      </c>
      <c r="K148" s="28">
        <f t="shared" si="43"/>
        <v>1671630.86</v>
      </c>
      <c r="L148" s="28">
        <f t="shared" si="44"/>
        <v>118361.689</v>
      </c>
      <c r="M148" s="28">
        <f t="shared" si="45"/>
        <v>167163.08600000001</v>
      </c>
      <c r="N148" s="107">
        <f t="shared" si="46"/>
        <v>2855247.75</v>
      </c>
      <c r="O148" s="107">
        <f t="shared" si="47"/>
        <v>285524.77500000002</v>
      </c>
      <c r="P148" s="9"/>
      <c r="Q148" s="35" t="str">
        <f t="shared" si="48"/>
        <v>1.316.993,84</v>
      </c>
      <c r="R148" s="35" t="str">
        <f t="shared" si="49"/>
        <v>1.821.661,03</v>
      </c>
      <c r="S148" s="35" t="str">
        <f t="shared" si="50"/>
        <v>3.138.654,87</v>
      </c>
      <c r="T148" s="35" t="str">
        <f t="shared" si="51"/>
        <v>133.376,95</v>
      </c>
      <c r="U148" s="35" t="str">
        <f t="shared" si="52"/>
        <v>150.030,17</v>
      </c>
      <c r="V148" s="35" t="str">
        <f t="shared" si="53"/>
        <v>283.407,12</v>
      </c>
      <c r="W148" s="35" t="str">
        <f t="shared" si="54"/>
        <v>1.183.616,89</v>
      </c>
      <c r="X148" s="35" t="str">
        <f t="shared" si="55"/>
        <v>1.671.630,86</v>
      </c>
      <c r="Y148" s="35" t="str">
        <f t="shared" si="56"/>
        <v>118.361,69</v>
      </c>
      <c r="Z148" s="35" t="str">
        <f t="shared" si="57"/>
        <v>167.163,09</v>
      </c>
      <c r="AA148" s="35" t="str">
        <f t="shared" si="58"/>
        <v>2.855.247,75</v>
      </c>
      <c r="AB148" s="35" t="str">
        <f t="shared" si="59"/>
        <v>285.524,78</v>
      </c>
    </row>
    <row r="149" spans="1:28" ht="16" x14ac:dyDescent="0.25">
      <c r="A149" s="24">
        <v>148</v>
      </c>
      <c r="B149" s="24" t="s">
        <v>3607</v>
      </c>
      <c r="C149" s="24" t="s">
        <v>3596</v>
      </c>
      <c r="D149" s="116">
        <v>14445.499999999998</v>
      </c>
      <c r="E149" s="116">
        <v>29996</v>
      </c>
      <c r="F149" s="108">
        <f t="shared" si="40"/>
        <v>44441.5</v>
      </c>
      <c r="G149" s="116">
        <v>415.91</v>
      </c>
      <c r="H149" s="116">
        <v>8959.3700000000008</v>
      </c>
      <c r="I149" s="28">
        <f t="shared" si="41"/>
        <v>9375.2800000000007</v>
      </c>
      <c r="J149" s="28">
        <f t="shared" si="42"/>
        <v>14029.589999999998</v>
      </c>
      <c r="K149" s="28">
        <f t="shared" si="43"/>
        <v>21036.629999999997</v>
      </c>
      <c r="L149" s="28">
        <f t="shared" si="44"/>
        <v>1402.9589999999998</v>
      </c>
      <c r="M149" s="28">
        <f t="shared" si="45"/>
        <v>2103.663</v>
      </c>
      <c r="N149" s="107">
        <f t="shared" si="46"/>
        <v>35066.22</v>
      </c>
      <c r="O149" s="107">
        <f t="shared" si="47"/>
        <v>3506.6220000000003</v>
      </c>
      <c r="P149" s="9"/>
      <c r="Q149" s="35" t="str">
        <f t="shared" si="48"/>
        <v>14.445,50</v>
      </c>
      <c r="R149" s="35" t="str">
        <f t="shared" si="49"/>
        <v>29.996,00</v>
      </c>
      <c r="S149" s="35" t="str">
        <f t="shared" si="50"/>
        <v>44.441,50</v>
      </c>
      <c r="T149" s="35" t="str">
        <f t="shared" si="51"/>
        <v>415,91</v>
      </c>
      <c r="U149" s="35" t="str">
        <f t="shared" si="52"/>
        <v>8.959,37</v>
      </c>
      <c r="V149" s="35" t="str">
        <f t="shared" si="53"/>
        <v>9.375,28</v>
      </c>
      <c r="W149" s="35" t="str">
        <f t="shared" si="54"/>
        <v>14.029,59</v>
      </c>
      <c r="X149" s="35" t="str">
        <f t="shared" si="55"/>
        <v>21.036,63</v>
      </c>
      <c r="Y149" s="35" t="str">
        <f t="shared" si="56"/>
        <v>1.402,96</v>
      </c>
      <c r="Z149" s="35" t="str">
        <f t="shared" si="57"/>
        <v>2.103,66</v>
      </c>
      <c r="AA149" s="35" t="str">
        <f t="shared" si="58"/>
        <v>35.066,22</v>
      </c>
      <c r="AB149" s="35" t="str">
        <f t="shared" si="59"/>
        <v>3.506,62</v>
      </c>
    </row>
    <row r="150" spans="1:28" ht="16" x14ac:dyDescent="0.25">
      <c r="A150" s="24">
        <v>149</v>
      </c>
      <c r="B150" s="24" t="s">
        <v>7</v>
      </c>
      <c r="C150" s="24" t="s">
        <v>6</v>
      </c>
      <c r="D150" s="116">
        <v>8201.2000000000007</v>
      </c>
      <c r="E150" s="116">
        <v>18066.5</v>
      </c>
      <c r="F150" s="108">
        <f t="shared" si="40"/>
        <v>26267.7</v>
      </c>
      <c r="G150" s="116">
        <v>0</v>
      </c>
      <c r="H150" s="116">
        <v>0</v>
      </c>
      <c r="I150" s="28">
        <f t="shared" si="41"/>
        <v>0</v>
      </c>
      <c r="J150" s="28">
        <f t="shared" si="42"/>
        <v>8201.2000000000007</v>
      </c>
      <c r="K150" s="28">
        <f t="shared" si="43"/>
        <v>18066.5</v>
      </c>
      <c r="L150" s="28">
        <f t="shared" si="44"/>
        <v>820.12000000000012</v>
      </c>
      <c r="M150" s="28">
        <f t="shared" si="45"/>
        <v>1806.65</v>
      </c>
      <c r="N150" s="107">
        <f t="shared" si="46"/>
        <v>26267.7</v>
      </c>
      <c r="O150" s="107">
        <f t="shared" si="47"/>
        <v>2626.7700000000004</v>
      </c>
      <c r="P150" s="9"/>
      <c r="Q150" s="35" t="str">
        <f t="shared" si="48"/>
        <v>8.201,20</v>
      </c>
      <c r="R150" s="35" t="str">
        <f t="shared" si="49"/>
        <v>18.066,50</v>
      </c>
      <c r="S150" s="35" t="str">
        <f t="shared" si="50"/>
        <v>26.267,70</v>
      </c>
      <c r="T150" s="35" t="str">
        <f t="shared" si="51"/>
        <v>,00</v>
      </c>
      <c r="U150" s="35" t="str">
        <f t="shared" si="52"/>
        <v>,00</v>
      </c>
      <c r="V150" s="35" t="str">
        <f t="shared" si="53"/>
        <v>,00</v>
      </c>
      <c r="W150" s="35" t="str">
        <f t="shared" si="54"/>
        <v>8.201,20</v>
      </c>
      <c r="X150" s="35" t="str">
        <f t="shared" si="55"/>
        <v>18.066,50</v>
      </c>
      <c r="Y150" s="35" t="str">
        <f t="shared" si="56"/>
        <v>820,12</v>
      </c>
      <c r="Z150" s="35" t="str">
        <f t="shared" si="57"/>
        <v>1.806,65</v>
      </c>
      <c r="AA150" s="35" t="str">
        <f t="shared" si="58"/>
        <v>26.267,70</v>
      </c>
      <c r="AB150" s="35" t="str">
        <f t="shared" si="59"/>
        <v>2.626,77</v>
      </c>
    </row>
    <row r="151" spans="1:28" ht="16" x14ac:dyDescent="0.25">
      <c r="A151" s="24">
        <v>150</v>
      </c>
      <c r="B151" s="24" t="s">
        <v>34</v>
      </c>
      <c r="C151" s="24" t="s">
        <v>6</v>
      </c>
      <c r="D151" s="116">
        <v>7705</v>
      </c>
      <c r="E151" s="116">
        <v>8772.4599999999991</v>
      </c>
      <c r="F151" s="108">
        <f t="shared" si="40"/>
        <v>16477.46</v>
      </c>
      <c r="G151" s="116">
        <v>159.9</v>
      </c>
      <c r="H151" s="116">
        <v>34.5</v>
      </c>
      <c r="I151" s="28">
        <f t="shared" si="41"/>
        <v>194.4</v>
      </c>
      <c r="J151" s="28">
        <f t="shared" si="42"/>
        <v>7545.1</v>
      </c>
      <c r="K151" s="28">
        <f t="shared" si="43"/>
        <v>8737.9599999999991</v>
      </c>
      <c r="L151" s="28">
        <f t="shared" si="44"/>
        <v>754.5100000000001</v>
      </c>
      <c r="M151" s="28">
        <f t="shared" si="45"/>
        <v>873.79599999999994</v>
      </c>
      <c r="N151" s="107">
        <f t="shared" si="46"/>
        <v>16283.06</v>
      </c>
      <c r="O151" s="107">
        <f t="shared" si="47"/>
        <v>1628.306</v>
      </c>
      <c r="P151" s="9"/>
      <c r="Q151" s="35" t="str">
        <f t="shared" si="48"/>
        <v>7.705,00</v>
      </c>
      <c r="R151" s="35" t="str">
        <f t="shared" si="49"/>
        <v>8.772,46</v>
      </c>
      <c r="S151" s="35" t="str">
        <f t="shared" si="50"/>
        <v>16.477,46</v>
      </c>
      <c r="T151" s="35" t="str">
        <f t="shared" si="51"/>
        <v>159,90</v>
      </c>
      <c r="U151" s="35" t="str">
        <f t="shared" si="52"/>
        <v>34,50</v>
      </c>
      <c r="V151" s="35" t="str">
        <f t="shared" si="53"/>
        <v>194,40</v>
      </c>
      <c r="W151" s="35" t="str">
        <f t="shared" si="54"/>
        <v>7.545,10</v>
      </c>
      <c r="X151" s="35" t="str">
        <f t="shared" si="55"/>
        <v>8.737,96</v>
      </c>
      <c r="Y151" s="35" t="str">
        <f t="shared" si="56"/>
        <v>754,51</v>
      </c>
      <c r="Z151" s="35" t="str">
        <f t="shared" si="57"/>
        <v>873,80</v>
      </c>
      <c r="AA151" s="35" t="str">
        <f t="shared" si="58"/>
        <v>16.283,06</v>
      </c>
      <c r="AB151" s="35" t="str">
        <f t="shared" si="59"/>
        <v>1.628,31</v>
      </c>
    </row>
    <row r="152" spans="1:28" ht="16" x14ac:dyDescent="0.25">
      <c r="A152" s="24">
        <v>151</v>
      </c>
      <c r="B152" s="24" t="s">
        <v>2206</v>
      </c>
      <c r="C152" s="24" t="s">
        <v>6</v>
      </c>
      <c r="D152" s="116">
        <v>1322.8</v>
      </c>
      <c r="E152" s="116">
        <v>1185.2</v>
      </c>
      <c r="F152" s="108">
        <f t="shared" si="40"/>
        <v>2508</v>
      </c>
      <c r="G152" s="116">
        <v>0</v>
      </c>
      <c r="H152" s="116">
        <v>0</v>
      </c>
      <c r="I152" s="28">
        <f t="shared" si="41"/>
        <v>0</v>
      </c>
      <c r="J152" s="28">
        <f t="shared" si="42"/>
        <v>1322.8</v>
      </c>
      <c r="K152" s="28">
        <f t="shared" si="43"/>
        <v>1185.2</v>
      </c>
      <c r="L152" s="28">
        <f t="shared" si="44"/>
        <v>132.28</v>
      </c>
      <c r="M152" s="28">
        <f t="shared" si="45"/>
        <v>118.52000000000001</v>
      </c>
      <c r="N152" s="107">
        <f t="shared" si="46"/>
        <v>2508</v>
      </c>
      <c r="O152" s="107">
        <f t="shared" si="47"/>
        <v>250.8</v>
      </c>
      <c r="P152" s="9"/>
      <c r="Q152" s="35" t="str">
        <f t="shared" si="48"/>
        <v>1.322,80</v>
      </c>
      <c r="R152" s="35" t="str">
        <f t="shared" si="49"/>
        <v>1.185,20</v>
      </c>
      <c r="S152" s="35" t="str">
        <f t="shared" si="50"/>
        <v>2.508,00</v>
      </c>
      <c r="T152" s="35" t="str">
        <f t="shared" si="51"/>
        <v>,00</v>
      </c>
      <c r="U152" s="35" t="str">
        <f t="shared" si="52"/>
        <v>,00</v>
      </c>
      <c r="V152" s="35" t="str">
        <f t="shared" si="53"/>
        <v>,00</v>
      </c>
      <c r="W152" s="35" t="str">
        <f t="shared" si="54"/>
        <v>1.322,80</v>
      </c>
      <c r="X152" s="35" t="str">
        <f t="shared" si="55"/>
        <v>1.185,20</v>
      </c>
      <c r="Y152" s="35" t="str">
        <f t="shared" si="56"/>
        <v>132,28</v>
      </c>
      <c r="Z152" s="35" t="str">
        <f t="shared" si="57"/>
        <v>118,52</v>
      </c>
      <c r="AA152" s="35" t="str">
        <f t="shared" si="58"/>
        <v>2.508,00</v>
      </c>
      <c r="AB152" s="35" t="str">
        <f t="shared" si="59"/>
        <v>250,80</v>
      </c>
    </row>
    <row r="153" spans="1:28" ht="16" x14ac:dyDescent="0.25">
      <c r="A153" s="24">
        <v>152</v>
      </c>
      <c r="B153" s="24" t="s">
        <v>34</v>
      </c>
      <c r="C153" s="24" t="s">
        <v>81</v>
      </c>
      <c r="D153" s="116">
        <v>24641.299999999996</v>
      </c>
      <c r="E153" s="116">
        <v>27128.199999999997</v>
      </c>
      <c r="F153" s="108">
        <f t="shared" si="40"/>
        <v>51769.499999999993</v>
      </c>
      <c r="G153" s="116">
        <v>719</v>
      </c>
      <c r="H153" s="116">
        <v>4621.5</v>
      </c>
      <c r="I153" s="28">
        <f t="shared" si="41"/>
        <v>5340.5</v>
      </c>
      <c r="J153" s="28">
        <f t="shared" si="42"/>
        <v>23922.299999999996</v>
      </c>
      <c r="K153" s="28">
        <f t="shared" si="43"/>
        <v>22506.699999999997</v>
      </c>
      <c r="L153" s="28">
        <f t="shared" si="44"/>
        <v>2392.2299999999996</v>
      </c>
      <c r="M153" s="28">
        <f t="shared" si="45"/>
        <v>2250.6699999999996</v>
      </c>
      <c r="N153" s="107">
        <f t="shared" si="46"/>
        <v>46428.999999999993</v>
      </c>
      <c r="O153" s="107">
        <f t="shared" si="47"/>
        <v>4642.8999999999996</v>
      </c>
      <c r="P153" s="9"/>
      <c r="Q153" s="35" t="str">
        <f t="shared" si="48"/>
        <v>24.641,30</v>
      </c>
      <c r="R153" s="35" t="str">
        <f t="shared" si="49"/>
        <v>27.128,20</v>
      </c>
      <c r="S153" s="35" t="str">
        <f t="shared" si="50"/>
        <v>51.769,50</v>
      </c>
      <c r="T153" s="35" t="str">
        <f t="shared" si="51"/>
        <v>719,00</v>
      </c>
      <c r="U153" s="35" t="str">
        <f t="shared" si="52"/>
        <v>4.621,50</v>
      </c>
      <c r="V153" s="35" t="str">
        <f t="shared" si="53"/>
        <v>5.340,50</v>
      </c>
      <c r="W153" s="35" t="str">
        <f t="shared" si="54"/>
        <v>23.922,30</v>
      </c>
      <c r="X153" s="35" t="str">
        <f t="shared" si="55"/>
        <v>22.506,70</v>
      </c>
      <c r="Y153" s="35" t="str">
        <f t="shared" si="56"/>
        <v>2.392,23</v>
      </c>
      <c r="Z153" s="35" t="str">
        <f t="shared" si="57"/>
        <v>2.250,67</v>
      </c>
      <c r="AA153" s="35" t="str">
        <f t="shared" si="58"/>
        <v>46.429,00</v>
      </c>
      <c r="AB153" s="35" t="str">
        <f t="shared" si="59"/>
        <v>4.642,90</v>
      </c>
    </row>
    <row r="154" spans="1:28" ht="16" x14ac:dyDescent="0.25">
      <c r="A154" s="24">
        <v>153</v>
      </c>
      <c r="B154" s="24" t="s">
        <v>602</v>
      </c>
      <c r="C154" s="24" t="s">
        <v>81</v>
      </c>
      <c r="D154" s="116">
        <v>254.7</v>
      </c>
      <c r="E154" s="116">
        <v>23.2</v>
      </c>
      <c r="F154" s="108">
        <f t="shared" si="40"/>
        <v>277.89999999999998</v>
      </c>
      <c r="G154" s="116">
        <v>0</v>
      </c>
      <c r="H154" s="116">
        <v>0</v>
      </c>
      <c r="I154" s="28">
        <f t="shared" si="41"/>
        <v>0</v>
      </c>
      <c r="J154" s="28">
        <f t="shared" si="42"/>
        <v>254.7</v>
      </c>
      <c r="K154" s="28">
        <f t="shared" si="43"/>
        <v>23.2</v>
      </c>
      <c r="L154" s="28">
        <f t="shared" si="44"/>
        <v>25.47</v>
      </c>
      <c r="M154" s="28">
        <f t="shared" si="45"/>
        <v>2.3199999999999998</v>
      </c>
      <c r="N154" s="107">
        <f t="shared" si="46"/>
        <v>277.89999999999998</v>
      </c>
      <c r="O154" s="107">
        <f t="shared" si="47"/>
        <v>27.79</v>
      </c>
      <c r="P154" s="9"/>
      <c r="Q154" s="35" t="str">
        <f t="shared" si="48"/>
        <v>254,70</v>
      </c>
      <c r="R154" s="35" t="str">
        <f t="shared" si="49"/>
        <v>23,20</v>
      </c>
      <c r="S154" s="35" t="str">
        <f t="shared" si="50"/>
        <v>277,90</v>
      </c>
      <c r="T154" s="35" t="str">
        <f t="shared" si="51"/>
        <v>,00</v>
      </c>
      <c r="U154" s="35" t="str">
        <f t="shared" si="52"/>
        <v>,00</v>
      </c>
      <c r="V154" s="35" t="str">
        <f t="shared" si="53"/>
        <v>,00</v>
      </c>
      <c r="W154" s="35" t="str">
        <f t="shared" si="54"/>
        <v>254,70</v>
      </c>
      <c r="X154" s="35" t="str">
        <f t="shared" si="55"/>
        <v>23,20</v>
      </c>
      <c r="Y154" s="35" t="str">
        <f t="shared" si="56"/>
        <v>25,47</v>
      </c>
      <c r="Z154" s="35" t="str">
        <f t="shared" si="57"/>
        <v>2,32</v>
      </c>
      <c r="AA154" s="35" t="str">
        <f t="shared" si="58"/>
        <v>277,90</v>
      </c>
      <c r="AB154" s="35" t="str">
        <f t="shared" si="59"/>
        <v>27,79</v>
      </c>
    </row>
    <row r="155" spans="1:28" ht="16" x14ac:dyDescent="0.25">
      <c r="A155" s="24">
        <v>154</v>
      </c>
      <c r="B155" s="24" t="s">
        <v>2838</v>
      </c>
      <c r="C155" s="24" t="s">
        <v>81</v>
      </c>
      <c r="D155" s="116">
        <v>207.1</v>
      </c>
      <c r="E155" s="116"/>
      <c r="F155" s="108">
        <f t="shared" si="40"/>
        <v>207.1</v>
      </c>
      <c r="G155" s="116">
        <v>0</v>
      </c>
      <c r="H155" s="116"/>
      <c r="I155" s="28">
        <f t="shared" si="41"/>
        <v>0</v>
      </c>
      <c r="J155" s="28">
        <f t="shared" si="42"/>
        <v>207.1</v>
      </c>
      <c r="K155" s="28">
        <f t="shared" si="43"/>
        <v>0</v>
      </c>
      <c r="L155" s="28">
        <f t="shared" si="44"/>
        <v>20.71</v>
      </c>
      <c r="M155" s="28">
        <f t="shared" si="45"/>
        <v>0</v>
      </c>
      <c r="N155" s="107">
        <f t="shared" si="46"/>
        <v>207.1</v>
      </c>
      <c r="O155" s="107">
        <f t="shared" si="47"/>
        <v>20.71</v>
      </c>
      <c r="P155" s="9"/>
      <c r="Q155" s="35" t="str">
        <f t="shared" si="48"/>
        <v>207,10</v>
      </c>
      <c r="R155" s="35" t="str">
        <f t="shared" si="49"/>
        <v>,00</v>
      </c>
      <c r="S155" s="35" t="str">
        <f t="shared" si="50"/>
        <v>207,10</v>
      </c>
      <c r="T155" s="35" t="str">
        <f t="shared" si="51"/>
        <v>,00</v>
      </c>
      <c r="U155" s="35" t="str">
        <f t="shared" si="52"/>
        <v>,00</v>
      </c>
      <c r="V155" s="35" t="str">
        <f t="shared" si="53"/>
        <v>,00</v>
      </c>
      <c r="W155" s="35" t="str">
        <f t="shared" si="54"/>
        <v>207,10</v>
      </c>
      <c r="X155" s="35" t="str">
        <f t="shared" si="55"/>
        <v>,00</v>
      </c>
      <c r="Y155" s="35" t="str">
        <f t="shared" si="56"/>
        <v>20,71</v>
      </c>
      <c r="Z155" s="35" t="str">
        <f t="shared" si="57"/>
        <v>,00</v>
      </c>
      <c r="AA155" s="35" t="str">
        <f t="shared" si="58"/>
        <v>207,10</v>
      </c>
      <c r="AB155" s="35" t="str">
        <f t="shared" si="59"/>
        <v>20,71</v>
      </c>
    </row>
    <row r="156" spans="1:28" ht="16" x14ac:dyDescent="0.25">
      <c r="A156" s="24">
        <v>155</v>
      </c>
      <c r="B156" s="24" t="s">
        <v>34</v>
      </c>
      <c r="C156" s="24" t="s">
        <v>77</v>
      </c>
      <c r="D156" s="116">
        <v>5810.6</v>
      </c>
      <c r="E156" s="116">
        <v>4149</v>
      </c>
      <c r="F156" s="108">
        <f t="shared" si="40"/>
        <v>9959.6</v>
      </c>
      <c r="G156" s="116">
        <v>1366.5</v>
      </c>
      <c r="H156" s="116">
        <v>918.9</v>
      </c>
      <c r="I156" s="28">
        <f t="shared" si="41"/>
        <v>2285.4</v>
      </c>
      <c r="J156" s="28">
        <f t="shared" si="42"/>
        <v>4444.1000000000004</v>
      </c>
      <c r="K156" s="28">
        <f t="shared" si="43"/>
        <v>3230.1</v>
      </c>
      <c r="L156" s="28">
        <f t="shared" si="44"/>
        <v>444.41000000000008</v>
      </c>
      <c r="M156" s="28">
        <f t="shared" si="45"/>
        <v>323.01</v>
      </c>
      <c r="N156" s="107">
        <f t="shared" si="46"/>
        <v>7674.2000000000007</v>
      </c>
      <c r="O156" s="107">
        <f t="shared" si="47"/>
        <v>767.42000000000007</v>
      </c>
      <c r="P156" s="9"/>
      <c r="Q156" s="35" t="str">
        <f t="shared" si="48"/>
        <v>5.810,60</v>
      </c>
      <c r="R156" s="35" t="str">
        <f t="shared" si="49"/>
        <v>4.149,00</v>
      </c>
      <c r="S156" s="35" t="str">
        <f t="shared" si="50"/>
        <v>9.959,60</v>
      </c>
      <c r="T156" s="35" t="str">
        <f t="shared" si="51"/>
        <v>1.366,50</v>
      </c>
      <c r="U156" s="35" t="str">
        <f t="shared" si="52"/>
        <v>918,90</v>
      </c>
      <c r="V156" s="35" t="str">
        <f t="shared" si="53"/>
        <v>2.285,40</v>
      </c>
      <c r="W156" s="35" t="str">
        <f t="shared" si="54"/>
        <v>4.444,10</v>
      </c>
      <c r="X156" s="35" t="str">
        <f t="shared" si="55"/>
        <v>3.230,10</v>
      </c>
      <c r="Y156" s="35" t="str">
        <f t="shared" si="56"/>
        <v>444,41</v>
      </c>
      <c r="Z156" s="35" t="str">
        <f t="shared" si="57"/>
        <v>323,01</v>
      </c>
      <c r="AA156" s="35" t="str">
        <f t="shared" si="58"/>
        <v>7.674,20</v>
      </c>
      <c r="AB156" s="35" t="str">
        <f t="shared" si="59"/>
        <v>767,42</v>
      </c>
    </row>
    <row r="157" spans="1:28" ht="16" x14ac:dyDescent="0.25">
      <c r="A157" s="24">
        <v>156</v>
      </c>
      <c r="B157" s="24" t="s">
        <v>34</v>
      </c>
      <c r="C157" s="24" t="s">
        <v>204</v>
      </c>
      <c r="D157" s="116">
        <v>23299.95</v>
      </c>
      <c r="E157" s="116">
        <v>63756.07</v>
      </c>
      <c r="F157" s="108">
        <f t="shared" si="40"/>
        <v>87056.02</v>
      </c>
      <c r="G157" s="116">
        <v>93.8</v>
      </c>
      <c r="H157" s="116">
        <v>402.8</v>
      </c>
      <c r="I157" s="28">
        <f t="shared" si="41"/>
        <v>496.6</v>
      </c>
      <c r="J157" s="28">
        <f t="shared" si="42"/>
        <v>23206.15</v>
      </c>
      <c r="K157" s="28">
        <f t="shared" si="43"/>
        <v>63353.27</v>
      </c>
      <c r="L157" s="28">
        <f t="shared" si="44"/>
        <v>2320.6150000000002</v>
      </c>
      <c r="M157" s="28">
        <f t="shared" si="45"/>
        <v>6335.3270000000002</v>
      </c>
      <c r="N157" s="107">
        <f t="shared" si="46"/>
        <v>86559.42</v>
      </c>
      <c r="O157" s="107">
        <f t="shared" si="47"/>
        <v>8655.9420000000009</v>
      </c>
      <c r="P157" s="9"/>
      <c r="Q157" s="35" t="str">
        <f t="shared" si="48"/>
        <v>23.299,95</v>
      </c>
      <c r="R157" s="35" t="str">
        <f t="shared" si="49"/>
        <v>63.756,07</v>
      </c>
      <c r="S157" s="35" t="str">
        <f t="shared" si="50"/>
        <v>87.056,02</v>
      </c>
      <c r="T157" s="35" t="str">
        <f t="shared" si="51"/>
        <v>93,80</v>
      </c>
      <c r="U157" s="35" t="str">
        <f t="shared" si="52"/>
        <v>402,80</v>
      </c>
      <c r="V157" s="35" t="str">
        <f t="shared" si="53"/>
        <v>496,60</v>
      </c>
      <c r="W157" s="35" t="str">
        <f t="shared" si="54"/>
        <v>23.206,15</v>
      </c>
      <c r="X157" s="35" t="str">
        <f t="shared" si="55"/>
        <v>63.353,27</v>
      </c>
      <c r="Y157" s="35" t="str">
        <f t="shared" si="56"/>
        <v>2.320,62</v>
      </c>
      <c r="Z157" s="35" t="str">
        <f t="shared" si="57"/>
        <v>6.335,33</v>
      </c>
      <c r="AA157" s="35" t="str">
        <f t="shared" si="58"/>
        <v>86.559,42</v>
      </c>
      <c r="AB157" s="35" t="str">
        <f t="shared" si="59"/>
        <v>8.655,94</v>
      </c>
    </row>
    <row r="158" spans="1:28" ht="16" x14ac:dyDescent="0.25">
      <c r="A158" s="24">
        <v>157</v>
      </c>
      <c r="B158" s="24" t="s">
        <v>2529</v>
      </c>
      <c r="C158" s="24" t="s">
        <v>204</v>
      </c>
      <c r="D158" s="116">
        <v>3330.8</v>
      </c>
      <c r="E158" s="116">
        <v>3426.5</v>
      </c>
      <c r="F158" s="108">
        <f t="shared" si="40"/>
        <v>6757.3</v>
      </c>
      <c r="G158" s="116">
        <v>0</v>
      </c>
      <c r="H158" s="116">
        <v>0</v>
      </c>
      <c r="I158" s="28">
        <f t="shared" si="41"/>
        <v>0</v>
      </c>
      <c r="J158" s="28">
        <f t="shared" si="42"/>
        <v>3330.8</v>
      </c>
      <c r="K158" s="28">
        <f t="shared" si="43"/>
        <v>3426.5</v>
      </c>
      <c r="L158" s="28">
        <f t="shared" si="44"/>
        <v>333.08000000000004</v>
      </c>
      <c r="M158" s="28">
        <f t="shared" si="45"/>
        <v>342.65000000000003</v>
      </c>
      <c r="N158" s="107">
        <f t="shared" si="46"/>
        <v>6757.3</v>
      </c>
      <c r="O158" s="107">
        <f t="shared" si="47"/>
        <v>675.73</v>
      </c>
      <c r="P158" s="9"/>
      <c r="Q158" s="35" t="str">
        <f t="shared" si="48"/>
        <v>3.330,80</v>
      </c>
      <c r="R158" s="35" t="str">
        <f t="shared" si="49"/>
        <v>3.426,50</v>
      </c>
      <c r="S158" s="35" t="str">
        <f t="shared" si="50"/>
        <v>6.757,30</v>
      </c>
      <c r="T158" s="35" t="str">
        <f t="shared" si="51"/>
        <v>,00</v>
      </c>
      <c r="U158" s="35" t="str">
        <f t="shared" si="52"/>
        <v>,00</v>
      </c>
      <c r="V158" s="35" t="str">
        <f t="shared" si="53"/>
        <v>,00</v>
      </c>
      <c r="W158" s="35" t="str">
        <f t="shared" si="54"/>
        <v>3.330,80</v>
      </c>
      <c r="X158" s="35" t="str">
        <f t="shared" si="55"/>
        <v>3.426,50</v>
      </c>
      <c r="Y158" s="35" t="str">
        <f t="shared" si="56"/>
        <v>333,08</v>
      </c>
      <c r="Z158" s="35" t="str">
        <f t="shared" si="57"/>
        <v>342,65</v>
      </c>
      <c r="AA158" s="35" t="str">
        <f t="shared" si="58"/>
        <v>6.757,30</v>
      </c>
      <c r="AB158" s="35" t="str">
        <f t="shared" si="59"/>
        <v>675,73</v>
      </c>
    </row>
    <row r="159" spans="1:28" ht="16" x14ac:dyDescent="0.25">
      <c r="A159" s="24">
        <v>158</v>
      </c>
      <c r="B159" s="24" t="s">
        <v>305</v>
      </c>
      <c r="C159" s="24" t="s">
        <v>204</v>
      </c>
      <c r="D159" s="116">
        <v>4545.6000000000004</v>
      </c>
      <c r="E159" s="116">
        <v>280.3</v>
      </c>
      <c r="F159" s="108">
        <f t="shared" si="40"/>
        <v>4825.9000000000005</v>
      </c>
      <c r="G159" s="116">
        <v>0</v>
      </c>
      <c r="H159" s="116">
        <v>0</v>
      </c>
      <c r="I159" s="28">
        <f t="shared" si="41"/>
        <v>0</v>
      </c>
      <c r="J159" s="28">
        <f t="shared" si="42"/>
        <v>4545.6000000000004</v>
      </c>
      <c r="K159" s="28">
        <f t="shared" si="43"/>
        <v>280.3</v>
      </c>
      <c r="L159" s="28">
        <f t="shared" si="44"/>
        <v>454.56000000000006</v>
      </c>
      <c r="M159" s="28">
        <f t="shared" si="45"/>
        <v>28.03</v>
      </c>
      <c r="N159" s="107">
        <f t="shared" si="46"/>
        <v>4825.9000000000005</v>
      </c>
      <c r="O159" s="107">
        <f t="shared" si="47"/>
        <v>482.59000000000009</v>
      </c>
      <c r="P159" s="9"/>
      <c r="Q159" s="35" t="str">
        <f t="shared" si="48"/>
        <v>4.545,60</v>
      </c>
      <c r="R159" s="35" t="str">
        <f t="shared" si="49"/>
        <v>280,30</v>
      </c>
      <c r="S159" s="35" t="str">
        <f t="shared" si="50"/>
        <v>4.825,90</v>
      </c>
      <c r="T159" s="35" t="str">
        <f t="shared" si="51"/>
        <v>,00</v>
      </c>
      <c r="U159" s="35" t="str">
        <f t="shared" si="52"/>
        <v>,00</v>
      </c>
      <c r="V159" s="35" t="str">
        <f t="shared" si="53"/>
        <v>,00</v>
      </c>
      <c r="W159" s="35" t="str">
        <f t="shared" si="54"/>
        <v>4.545,60</v>
      </c>
      <c r="X159" s="35" t="str">
        <f t="shared" si="55"/>
        <v>280,30</v>
      </c>
      <c r="Y159" s="35" t="str">
        <f t="shared" si="56"/>
        <v>454,56</v>
      </c>
      <c r="Z159" s="35" t="str">
        <f t="shared" si="57"/>
        <v>28,03</v>
      </c>
      <c r="AA159" s="35" t="str">
        <f t="shared" si="58"/>
        <v>4.825,90</v>
      </c>
      <c r="AB159" s="35" t="str">
        <f t="shared" si="59"/>
        <v>482,59</v>
      </c>
    </row>
    <row r="160" spans="1:28" ht="16" x14ac:dyDescent="0.25">
      <c r="A160" s="24">
        <v>159</v>
      </c>
      <c r="B160" s="24" t="s">
        <v>552</v>
      </c>
      <c r="C160" s="24" t="s">
        <v>204</v>
      </c>
      <c r="D160" s="116">
        <v>302.5</v>
      </c>
      <c r="E160" s="116">
        <v>1668.2</v>
      </c>
      <c r="F160" s="108">
        <f t="shared" si="40"/>
        <v>1970.7</v>
      </c>
      <c r="G160" s="116">
        <v>0</v>
      </c>
      <c r="H160" s="116">
        <v>0</v>
      </c>
      <c r="I160" s="28">
        <f t="shared" si="41"/>
        <v>0</v>
      </c>
      <c r="J160" s="28">
        <f t="shared" si="42"/>
        <v>302.5</v>
      </c>
      <c r="K160" s="28">
        <f t="shared" si="43"/>
        <v>1668.2</v>
      </c>
      <c r="L160" s="28">
        <f t="shared" si="44"/>
        <v>30.25</v>
      </c>
      <c r="M160" s="28">
        <f t="shared" si="45"/>
        <v>166.82000000000002</v>
      </c>
      <c r="N160" s="107">
        <f t="shared" si="46"/>
        <v>1970.7</v>
      </c>
      <c r="O160" s="107">
        <f t="shared" si="47"/>
        <v>197.07000000000002</v>
      </c>
      <c r="P160" s="9"/>
      <c r="Q160" s="35" t="str">
        <f t="shared" si="48"/>
        <v>302,50</v>
      </c>
      <c r="R160" s="35" t="str">
        <f t="shared" si="49"/>
        <v>1.668,20</v>
      </c>
      <c r="S160" s="35" t="str">
        <f t="shared" si="50"/>
        <v>1.970,70</v>
      </c>
      <c r="T160" s="35" t="str">
        <f t="shared" si="51"/>
        <v>,00</v>
      </c>
      <c r="U160" s="35" t="str">
        <f t="shared" si="52"/>
        <v>,00</v>
      </c>
      <c r="V160" s="35" t="str">
        <f t="shared" si="53"/>
        <v>,00</v>
      </c>
      <c r="W160" s="35" t="str">
        <f t="shared" si="54"/>
        <v>302,50</v>
      </c>
      <c r="X160" s="35" t="str">
        <f t="shared" si="55"/>
        <v>1.668,20</v>
      </c>
      <c r="Y160" s="35" t="str">
        <f t="shared" si="56"/>
        <v>30,25</v>
      </c>
      <c r="Z160" s="35" t="str">
        <f t="shared" si="57"/>
        <v>166,82</v>
      </c>
      <c r="AA160" s="35" t="str">
        <f t="shared" si="58"/>
        <v>1.970,70</v>
      </c>
      <c r="AB160" s="35" t="str">
        <f t="shared" si="59"/>
        <v>197,07</v>
      </c>
    </row>
    <row r="161" spans="1:28" ht="16" x14ac:dyDescent="0.25">
      <c r="A161" s="24">
        <v>160</v>
      </c>
      <c r="B161" s="24" t="s">
        <v>270</v>
      </c>
      <c r="C161" s="24" t="s">
        <v>204</v>
      </c>
      <c r="D161" s="116">
        <v>625</v>
      </c>
      <c r="E161" s="116">
        <v>919.6</v>
      </c>
      <c r="F161" s="108">
        <f t="shared" si="40"/>
        <v>1544.6</v>
      </c>
      <c r="G161" s="116">
        <v>0</v>
      </c>
      <c r="H161" s="116">
        <v>0</v>
      </c>
      <c r="I161" s="28">
        <f t="shared" si="41"/>
        <v>0</v>
      </c>
      <c r="J161" s="28">
        <f t="shared" si="42"/>
        <v>625</v>
      </c>
      <c r="K161" s="28">
        <f t="shared" si="43"/>
        <v>919.6</v>
      </c>
      <c r="L161" s="28">
        <f t="shared" si="44"/>
        <v>62.5</v>
      </c>
      <c r="M161" s="28">
        <f t="shared" si="45"/>
        <v>91.960000000000008</v>
      </c>
      <c r="N161" s="107">
        <f t="shared" si="46"/>
        <v>1544.6</v>
      </c>
      <c r="O161" s="107">
        <f t="shared" si="47"/>
        <v>154.46</v>
      </c>
      <c r="P161" s="9"/>
      <c r="Q161" s="35" t="str">
        <f t="shared" si="48"/>
        <v>625,00</v>
      </c>
      <c r="R161" s="35" t="str">
        <f t="shared" si="49"/>
        <v>919,60</v>
      </c>
      <c r="S161" s="35" t="str">
        <f t="shared" si="50"/>
        <v>1.544,60</v>
      </c>
      <c r="T161" s="35" t="str">
        <f t="shared" si="51"/>
        <v>,00</v>
      </c>
      <c r="U161" s="35" t="str">
        <f t="shared" si="52"/>
        <v>,00</v>
      </c>
      <c r="V161" s="35" t="str">
        <f t="shared" si="53"/>
        <v>,00</v>
      </c>
      <c r="W161" s="35" t="str">
        <f t="shared" si="54"/>
        <v>625,00</v>
      </c>
      <c r="X161" s="35" t="str">
        <f t="shared" si="55"/>
        <v>919,60</v>
      </c>
      <c r="Y161" s="35" t="str">
        <f t="shared" si="56"/>
        <v>62,50</v>
      </c>
      <c r="Z161" s="35" t="str">
        <f t="shared" si="57"/>
        <v>91,96</v>
      </c>
      <c r="AA161" s="35" t="str">
        <f t="shared" si="58"/>
        <v>1.544,60</v>
      </c>
      <c r="AB161" s="35" t="str">
        <f t="shared" si="59"/>
        <v>154,46</v>
      </c>
    </row>
    <row r="162" spans="1:28" ht="16" x14ac:dyDescent="0.25">
      <c r="A162" s="24">
        <v>161</v>
      </c>
      <c r="B162" s="24" t="s">
        <v>608</v>
      </c>
      <c r="C162" s="24" t="s">
        <v>204</v>
      </c>
      <c r="D162" s="116">
        <v>93.6</v>
      </c>
      <c r="E162" s="116">
        <v>402.8</v>
      </c>
      <c r="F162" s="108">
        <f t="shared" si="40"/>
        <v>496.4</v>
      </c>
      <c r="G162" s="116">
        <v>0</v>
      </c>
      <c r="H162" s="116">
        <v>0</v>
      </c>
      <c r="I162" s="28">
        <f t="shared" si="41"/>
        <v>0</v>
      </c>
      <c r="J162" s="28">
        <f t="shared" si="42"/>
        <v>93.6</v>
      </c>
      <c r="K162" s="28">
        <f t="shared" si="43"/>
        <v>402.8</v>
      </c>
      <c r="L162" s="28">
        <f t="shared" si="44"/>
        <v>9.36</v>
      </c>
      <c r="M162" s="28">
        <f t="shared" si="45"/>
        <v>40.28</v>
      </c>
      <c r="N162" s="107">
        <f t="shared" si="46"/>
        <v>496.4</v>
      </c>
      <c r="O162" s="107">
        <f t="shared" si="47"/>
        <v>49.64</v>
      </c>
      <c r="P162" s="9"/>
      <c r="Q162" s="35" t="str">
        <f t="shared" si="48"/>
        <v>93,60</v>
      </c>
      <c r="R162" s="35" t="str">
        <f t="shared" si="49"/>
        <v>402,80</v>
      </c>
      <c r="S162" s="35" t="str">
        <f t="shared" si="50"/>
        <v>496,40</v>
      </c>
      <c r="T162" s="35" t="str">
        <f t="shared" si="51"/>
        <v>,00</v>
      </c>
      <c r="U162" s="35" t="str">
        <f t="shared" si="52"/>
        <v>,00</v>
      </c>
      <c r="V162" s="35" t="str">
        <f t="shared" si="53"/>
        <v>,00</v>
      </c>
      <c r="W162" s="35" t="str">
        <f t="shared" si="54"/>
        <v>93,60</v>
      </c>
      <c r="X162" s="35" t="str">
        <f t="shared" si="55"/>
        <v>402,80</v>
      </c>
      <c r="Y162" s="35" t="str">
        <f t="shared" si="56"/>
        <v>9,36</v>
      </c>
      <c r="Z162" s="35" t="str">
        <f t="shared" si="57"/>
        <v>40,28</v>
      </c>
      <c r="AA162" s="35" t="str">
        <f t="shared" si="58"/>
        <v>496,40</v>
      </c>
      <c r="AB162" s="35" t="str">
        <f t="shared" si="59"/>
        <v>49,64</v>
      </c>
    </row>
    <row r="163" spans="1:28" ht="16" x14ac:dyDescent="0.25">
      <c r="A163" s="24">
        <v>162</v>
      </c>
      <c r="B163" s="24" t="s">
        <v>243</v>
      </c>
      <c r="C163" s="24" t="s">
        <v>204</v>
      </c>
      <c r="D163" s="116">
        <v>45</v>
      </c>
      <c r="E163" s="116">
        <v>402.8</v>
      </c>
      <c r="F163" s="108">
        <f t="shared" si="40"/>
        <v>447.8</v>
      </c>
      <c r="G163" s="116">
        <v>0</v>
      </c>
      <c r="H163" s="116">
        <v>0</v>
      </c>
      <c r="I163" s="28">
        <f t="shared" si="41"/>
        <v>0</v>
      </c>
      <c r="J163" s="28">
        <f t="shared" si="42"/>
        <v>45</v>
      </c>
      <c r="K163" s="28">
        <f t="shared" si="43"/>
        <v>402.8</v>
      </c>
      <c r="L163" s="28">
        <f t="shared" si="44"/>
        <v>4.5</v>
      </c>
      <c r="M163" s="28">
        <f t="shared" si="45"/>
        <v>40.28</v>
      </c>
      <c r="N163" s="107">
        <f t="shared" si="46"/>
        <v>447.8</v>
      </c>
      <c r="O163" s="107">
        <f t="shared" si="47"/>
        <v>44.78</v>
      </c>
      <c r="P163" s="9"/>
      <c r="Q163" s="35" t="str">
        <f t="shared" si="48"/>
        <v>45,00</v>
      </c>
      <c r="R163" s="35" t="str">
        <f t="shared" si="49"/>
        <v>402,80</v>
      </c>
      <c r="S163" s="35" t="str">
        <f t="shared" si="50"/>
        <v>447,80</v>
      </c>
      <c r="T163" s="35" t="str">
        <f t="shared" si="51"/>
        <v>,00</v>
      </c>
      <c r="U163" s="35" t="str">
        <f t="shared" si="52"/>
        <v>,00</v>
      </c>
      <c r="V163" s="35" t="str">
        <f t="shared" si="53"/>
        <v>,00</v>
      </c>
      <c r="W163" s="35" t="str">
        <f t="shared" si="54"/>
        <v>45,00</v>
      </c>
      <c r="X163" s="35" t="str">
        <f t="shared" si="55"/>
        <v>402,80</v>
      </c>
      <c r="Y163" s="35" t="str">
        <f t="shared" si="56"/>
        <v>4,50</v>
      </c>
      <c r="Z163" s="35" t="str">
        <f t="shared" si="57"/>
        <v>40,28</v>
      </c>
      <c r="AA163" s="35" t="str">
        <f t="shared" si="58"/>
        <v>447,80</v>
      </c>
      <c r="AB163" s="35" t="str">
        <f t="shared" si="59"/>
        <v>44,78</v>
      </c>
    </row>
    <row r="164" spans="1:28" ht="16" x14ac:dyDescent="0.25">
      <c r="A164" s="24">
        <v>163</v>
      </c>
      <c r="B164" s="24" t="s">
        <v>2232</v>
      </c>
      <c r="C164" s="24" t="s">
        <v>204</v>
      </c>
      <c r="D164" s="116">
        <v>234.8</v>
      </c>
      <c r="E164" s="116">
        <v>106.9</v>
      </c>
      <c r="F164" s="108">
        <f t="shared" si="40"/>
        <v>341.70000000000005</v>
      </c>
      <c r="G164" s="116">
        <v>0</v>
      </c>
      <c r="H164" s="116">
        <v>0</v>
      </c>
      <c r="I164" s="28">
        <f t="shared" si="41"/>
        <v>0</v>
      </c>
      <c r="J164" s="28">
        <f t="shared" si="42"/>
        <v>234.8</v>
      </c>
      <c r="K164" s="28">
        <f t="shared" si="43"/>
        <v>106.9</v>
      </c>
      <c r="L164" s="28">
        <f t="shared" si="44"/>
        <v>23.480000000000004</v>
      </c>
      <c r="M164" s="28">
        <f t="shared" si="45"/>
        <v>10.690000000000001</v>
      </c>
      <c r="N164" s="107">
        <f t="shared" si="46"/>
        <v>341.70000000000005</v>
      </c>
      <c r="O164" s="107">
        <f t="shared" si="47"/>
        <v>34.170000000000009</v>
      </c>
      <c r="P164" s="9"/>
      <c r="Q164" s="35" t="str">
        <f t="shared" si="48"/>
        <v>234,80</v>
      </c>
      <c r="R164" s="35" t="str">
        <f t="shared" si="49"/>
        <v>106,90</v>
      </c>
      <c r="S164" s="35" t="str">
        <f t="shared" si="50"/>
        <v>341,70</v>
      </c>
      <c r="T164" s="35" t="str">
        <f t="shared" si="51"/>
        <v>,00</v>
      </c>
      <c r="U164" s="35" t="str">
        <f t="shared" si="52"/>
        <v>,00</v>
      </c>
      <c r="V164" s="35" t="str">
        <f t="shared" si="53"/>
        <v>,00</v>
      </c>
      <c r="W164" s="35" t="str">
        <f t="shared" si="54"/>
        <v>234,80</v>
      </c>
      <c r="X164" s="35" t="str">
        <f t="shared" si="55"/>
        <v>106,90</v>
      </c>
      <c r="Y164" s="35" t="str">
        <f t="shared" si="56"/>
        <v>23,48</v>
      </c>
      <c r="Z164" s="35" t="str">
        <f t="shared" si="57"/>
        <v>10,69</v>
      </c>
      <c r="AA164" s="35" t="str">
        <f t="shared" si="58"/>
        <v>341,70</v>
      </c>
      <c r="AB164" s="35" t="str">
        <f t="shared" si="59"/>
        <v>34,17</v>
      </c>
    </row>
    <row r="165" spans="1:28" ht="16" x14ac:dyDescent="0.25">
      <c r="A165" s="24">
        <v>164</v>
      </c>
      <c r="B165" s="24" t="s">
        <v>2392</v>
      </c>
      <c r="C165" s="24" t="s">
        <v>204</v>
      </c>
      <c r="D165" s="116">
        <v>136.19999999999999</v>
      </c>
      <c r="E165" s="116">
        <v>89.5</v>
      </c>
      <c r="F165" s="108">
        <f t="shared" si="40"/>
        <v>225.7</v>
      </c>
      <c r="G165" s="116">
        <v>0</v>
      </c>
      <c r="H165" s="116">
        <v>0</v>
      </c>
      <c r="I165" s="28">
        <f t="shared" si="41"/>
        <v>0</v>
      </c>
      <c r="J165" s="28">
        <f t="shared" si="42"/>
        <v>136.19999999999999</v>
      </c>
      <c r="K165" s="28">
        <f t="shared" si="43"/>
        <v>89.5</v>
      </c>
      <c r="L165" s="28">
        <f t="shared" si="44"/>
        <v>13.62</v>
      </c>
      <c r="M165" s="28">
        <f t="shared" si="45"/>
        <v>8.9500000000000011</v>
      </c>
      <c r="N165" s="107">
        <f t="shared" si="46"/>
        <v>225.7</v>
      </c>
      <c r="O165" s="107">
        <f t="shared" si="47"/>
        <v>22.57</v>
      </c>
      <c r="P165" s="9"/>
      <c r="Q165" s="35" t="str">
        <f t="shared" si="48"/>
        <v>136,20</v>
      </c>
      <c r="R165" s="35" t="str">
        <f t="shared" si="49"/>
        <v>89,50</v>
      </c>
      <c r="S165" s="35" t="str">
        <f t="shared" si="50"/>
        <v>225,70</v>
      </c>
      <c r="T165" s="35" t="str">
        <f t="shared" si="51"/>
        <v>,00</v>
      </c>
      <c r="U165" s="35" t="str">
        <f t="shared" si="52"/>
        <v>,00</v>
      </c>
      <c r="V165" s="35" t="str">
        <f t="shared" si="53"/>
        <v>,00</v>
      </c>
      <c r="W165" s="35" t="str">
        <f t="shared" si="54"/>
        <v>136,20</v>
      </c>
      <c r="X165" s="35" t="str">
        <f t="shared" si="55"/>
        <v>89,50</v>
      </c>
      <c r="Y165" s="35" t="str">
        <f t="shared" si="56"/>
        <v>13,62</v>
      </c>
      <c r="Z165" s="35" t="str">
        <f t="shared" si="57"/>
        <v>8,95</v>
      </c>
      <c r="AA165" s="35" t="str">
        <f t="shared" si="58"/>
        <v>225,70</v>
      </c>
      <c r="AB165" s="35" t="str">
        <f t="shared" si="59"/>
        <v>22,57</v>
      </c>
    </row>
    <row r="166" spans="1:28" ht="16" x14ac:dyDescent="0.25">
      <c r="A166" s="24">
        <v>165</v>
      </c>
      <c r="B166" s="24" t="s">
        <v>2308</v>
      </c>
      <c r="C166" s="24" t="s">
        <v>204</v>
      </c>
      <c r="D166" s="116">
        <v>137.5</v>
      </c>
      <c r="E166" s="116">
        <v>29.4</v>
      </c>
      <c r="F166" s="108">
        <f t="shared" si="40"/>
        <v>166.9</v>
      </c>
      <c r="G166" s="116">
        <v>0</v>
      </c>
      <c r="H166" s="116">
        <v>0</v>
      </c>
      <c r="I166" s="28">
        <f t="shared" si="41"/>
        <v>0</v>
      </c>
      <c r="J166" s="28">
        <f t="shared" si="42"/>
        <v>137.5</v>
      </c>
      <c r="K166" s="28">
        <f t="shared" si="43"/>
        <v>29.4</v>
      </c>
      <c r="L166" s="28">
        <f t="shared" si="44"/>
        <v>13.75</v>
      </c>
      <c r="M166" s="28">
        <f t="shared" si="45"/>
        <v>2.94</v>
      </c>
      <c r="N166" s="107">
        <f t="shared" si="46"/>
        <v>166.9</v>
      </c>
      <c r="O166" s="107">
        <f t="shared" si="47"/>
        <v>16.690000000000001</v>
      </c>
      <c r="P166" s="9"/>
      <c r="Q166" s="35" t="str">
        <f t="shared" si="48"/>
        <v>137,50</v>
      </c>
      <c r="R166" s="35" t="str">
        <f t="shared" si="49"/>
        <v>29,40</v>
      </c>
      <c r="S166" s="35" t="str">
        <f t="shared" si="50"/>
        <v>166,90</v>
      </c>
      <c r="T166" s="35" t="str">
        <f t="shared" si="51"/>
        <v>,00</v>
      </c>
      <c r="U166" s="35" t="str">
        <f t="shared" si="52"/>
        <v>,00</v>
      </c>
      <c r="V166" s="35" t="str">
        <f t="shared" si="53"/>
        <v>,00</v>
      </c>
      <c r="W166" s="35" t="str">
        <f t="shared" si="54"/>
        <v>137,50</v>
      </c>
      <c r="X166" s="35" t="str">
        <f t="shared" si="55"/>
        <v>29,40</v>
      </c>
      <c r="Y166" s="35" t="str">
        <f t="shared" si="56"/>
        <v>13,75</v>
      </c>
      <c r="Z166" s="35" t="str">
        <f t="shared" si="57"/>
        <v>2,94</v>
      </c>
      <c r="AA166" s="35" t="str">
        <f t="shared" si="58"/>
        <v>166,90</v>
      </c>
      <c r="AB166" s="35" t="str">
        <f t="shared" si="59"/>
        <v>16,69</v>
      </c>
    </row>
    <row r="167" spans="1:28" ht="16" x14ac:dyDescent="0.25">
      <c r="A167" s="24">
        <v>166</v>
      </c>
      <c r="B167" s="24" t="s">
        <v>306</v>
      </c>
      <c r="C167" s="24" t="s">
        <v>204</v>
      </c>
      <c r="D167" s="116">
        <v>113.3</v>
      </c>
      <c r="E167" s="116">
        <v>36.4</v>
      </c>
      <c r="F167" s="108">
        <f t="shared" si="40"/>
        <v>149.69999999999999</v>
      </c>
      <c r="G167" s="116">
        <v>38.5</v>
      </c>
      <c r="H167" s="116">
        <v>0</v>
      </c>
      <c r="I167" s="28">
        <f t="shared" si="41"/>
        <v>38.5</v>
      </c>
      <c r="J167" s="28">
        <f t="shared" si="42"/>
        <v>74.8</v>
      </c>
      <c r="K167" s="28">
        <f t="shared" si="43"/>
        <v>36.4</v>
      </c>
      <c r="L167" s="28">
        <f t="shared" si="44"/>
        <v>7.48</v>
      </c>
      <c r="M167" s="28">
        <f t="shared" si="45"/>
        <v>3.64</v>
      </c>
      <c r="N167" s="107">
        <f t="shared" si="46"/>
        <v>111.19999999999999</v>
      </c>
      <c r="O167" s="107">
        <f t="shared" si="47"/>
        <v>11.12</v>
      </c>
      <c r="P167" s="9"/>
      <c r="Q167" s="35" t="str">
        <f t="shared" si="48"/>
        <v>113,30</v>
      </c>
      <c r="R167" s="35" t="str">
        <f t="shared" si="49"/>
        <v>36,40</v>
      </c>
      <c r="S167" s="35" t="str">
        <f t="shared" si="50"/>
        <v>149,70</v>
      </c>
      <c r="T167" s="35" t="str">
        <f t="shared" si="51"/>
        <v>38,50</v>
      </c>
      <c r="U167" s="35" t="str">
        <f t="shared" si="52"/>
        <v>,00</v>
      </c>
      <c r="V167" s="35" t="str">
        <f t="shared" si="53"/>
        <v>38,50</v>
      </c>
      <c r="W167" s="35" t="str">
        <f t="shared" si="54"/>
        <v>74,80</v>
      </c>
      <c r="X167" s="35" t="str">
        <f t="shared" si="55"/>
        <v>36,40</v>
      </c>
      <c r="Y167" s="35" t="str">
        <f t="shared" si="56"/>
        <v>7,48</v>
      </c>
      <c r="Z167" s="35" t="str">
        <f t="shared" si="57"/>
        <v>3,64</v>
      </c>
      <c r="AA167" s="35" t="str">
        <f t="shared" si="58"/>
        <v>111,20</v>
      </c>
      <c r="AB167" s="35" t="str">
        <f t="shared" si="59"/>
        <v>11,12</v>
      </c>
    </row>
    <row r="168" spans="1:28" ht="16" x14ac:dyDescent="0.25">
      <c r="A168" s="24">
        <v>167</v>
      </c>
      <c r="B168" s="24" t="s">
        <v>606</v>
      </c>
      <c r="C168" s="24" t="s">
        <v>204</v>
      </c>
      <c r="D168" s="116">
        <v>105.1</v>
      </c>
      <c r="E168" s="116"/>
      <c r="F168" s="108">
        <f t="shared" si="40"/>
        <v>105.1</v>
      </c>
      <c r="G168" s="116">
        <v>0</v>
      </c>
      <c r="H168" s="116"/>
      <c r="I168" s="28">
        <f t="shared" si="41"/>
        <v>0</v>
      </c>
      <c r="J168" s="28">
        <f t="shared" si="42"/>
        <v>105.1</v>
      </c>
      <c r="K168" s="28">
        <f t="shared" si="43"/>
        <v>0</v>
      </c>
      <c r="L168" s="28">
        <f t="shared" si="44"/>
        <v>10.51</v>
      </c>
      <c r="M168" s="28">
        <f t="shared" si="45"/>
        <v>0</v>
      </c>
      <c r="N168" s="107">
        <f t="shared" si="46"/>
        <v>105.1</v>
      </c>
      <c r="O168" s="107">
        <f t="shared" si="47"/>
        <v>10.51</v>
      </c>
      <c r="P168" s="9"/>
      <c r="Q168" s="35" t="str">
        <f t="shared" si="48"/>
        <v>105,10</v>
      </c>
      <c r="R168" s="35" t="str">
        <f t="shared" si="49"/>
        <v>,00</v>
      </c>
      <c r="S168" s="35" t="str">
        <f t="shared" si="50"/>
        <v>105,10</v>
      </c>
      <c r="T168" s="35" t="str">
        <f t="shared" si="51"/>
        <v>,00</v>
      </c>
      <c r="U168" s="35" t="str">
        <f t="shared" si="52"/>
        <v>,00</v>
      </c>
      <c r="V168" s="35" t="str">
        <f t="shared" si="53"/>
        <v>,00</v>
      </c>
      <c r="W168" s="35" t="str">
        <f t="shared" si="54"/>
        <v>105,10</v>
      </c>
      <c r="X168" s="35" t="str">
        <f t="shared" si="55"/>
        <v>,00</v>
      </c>
      <c r="Y168" s="35" t="str">
        <f t="shared" si="56"/>
        <v>10,51</v>
      </c>
      <c r="Z168" s="35" t="str">
        <f t="shared" si="57"/>
        <v>,00</v>
      </c>
      <c r="AA168" s="35" t="str">
        <f t="shared" si="58"/>
        <v>105,10</v>
      </c>
      <c r="AB168" s="35" t="str">
        <f t="shared" si="59"/>
        <v>10,51</v>
      </c>
    </row>
    <row r="169" spans="1:28" ht="16" x14ac:dyDescent="0.25">
      <c r="A169" s="24">
        <v>168</v>
      </c>
      <c r="B169" s="24" t="s">
        <v>611</v>
      </c>
      <c r="C169" s="24" t="s">
        <v>204</v>
      </c>
      <c r="D169" s="116">
        <v>115.2</v>
      </c>
      <c r="E169" s="116">
        <v>43.8</v>
      </c>
      <c r="F169" s="108">
        <f t="shared" si="40"/>
        <v>159</v>
      </c>
      <c r="G169" s="116">
        <v>69.900000000000006</v>
      </c>
      <c r="H169" s="116">
        <v>0</v>
      </c>
      <c r="I169" s="28">
        <f t="shared" si="41"/>
        <v>69.900000000000006</v>
      </c>
      <c r="J169" s="28">
        <f t="shared" si="42"/>
        <v>45.3</v>
      </c>
      <c r="K169" s="28">
        <f t="shared" si="43"/>
        <v>43.8</v>
      </c>
      <c r="L169" s="28">
        <f t="shared" si="44"/>
        <v>4.53</v>
      </c>
      <c r="M169" s="28">
        <f t="shared" si="45"/>
        <v>4.38</v>
      </c>
      <c r="N169" s="107">
        <f t="shared" si="46"/>
        <v>89.1</v>
      </c>
      <c r="O169" s="107">
        <f t="shared" si="47"/>
        <v>8.91</v>
      </c>
      <c r="P169" s="9"/>
      <c r="Q169" s="35" t="str">
        <f t="shared" si="48"/>
        <v>115,20</v>
      </c>
      <c r="R169" s="35" t="str">
        <f t="shared" si="49"/>
        <v>43,80</v>
      </c>
      <c r="S169" s="35" t="str">
        <f t="shared" si="50"/>
        <v>159,00</v>
      </c>
      <c r="T169" s="35" t="str">
        <f t="shared" si="51"/>
        <v>69,90</v>
      </c>
      <c r="U169" s="35" t="str">
        <f t="shared" si="52"/>
        <v>,00</v>
      </c>
      <c r="V169" s="35" t="str">
        <f t="shared" si="53"/>
        <v>69,90</v>
      </c>
      <c r="W169" s="35" t="str">
        <f t="shared" si="54"/>
        <v>45,30</v>
      </c>
      <c r="X169" s="35" t="str">
        <f t="shared" si="55"/>
        <v>43,80</v>
      </c>
      <c r="Y169" s="35" t="str">
        <f t="shared" si="56"/>
        <v>4,53</v>
      </c>
      <c r="Z169" s="35" t="str">
        <f t="shared" si="57"/>
        <v>4,38</v>
      </c>
      <c r="AA169" s="35" t="str">
        <f t="shared" si="58"/>
        <v>89,10</v>
      </c>
      <c r="AB169" s="35" t="str">
        <f t="shared" si="59"/>
        <v>8,91</v>
      </c>
    </row>
    <row r="170" spans="1:28" ht="16" x14ac:dyDescent="0.25">
      <c r="A170" s="24">
        <v>169</v>
      </c>
      <c r="B170" s="24" t="s">
        <v>1876</v>
      </c>
      <c r="C170" s="24" t="s">
        <v>116</v>
      </c>
      <c r="D170" s="116">
        <v>93453.48000000001</v>
      </c>
      <c r="E170" s="116">
        <v>139971.43000000002</v>
      </c>
      <c r="F170" s="108">
        <f t="shared" si="40"/>
        <v>233424.91000000003</v>
      </c>
      <c r="G170" s="116">
        <v>13096.7</v>
      </c>
      <c r="H170" s="116">
        <v>28018.500000000004</v>
      </c>
      <c r="I170" s="28">
        <f t="shared" si="41"/>
        <v>41115.200000000004</v>
      </c>
      <c r="J170" s="28">
        <f t="shared" si="42"/>
        <v>80356.780000000013</v>
      </c>
      <c r="K170" s="28">
        <f t="shared" si="43"/>
        <v>111952.93000000002</v>
      </c>
      <c r="L170" s="28">
        <f t="shared" si="44"/>
        <v>8035.6780000000017</v>
      </c>
      <c r="M170" s="28">
        <f t="shared" si="45"/>
        <v>11195.293000000003</v>
      </c>
      <c r="N170" s="107">
        <f t="shared" si="46"/>
        <v>192309.71000000002</v>
      </c>
      <c r="O170" s="107">
        <f t="shared" si="47"/>
        <v>19230.971000000001</v>
      </c>
      <c r="P170" s="9"/>
      <c r="Q170" s="35" t="str">
        <f t="shared" si="48"/>
        <v>93.453,48</v>
      </c>
      <c r="R170" s="35" t="str">
        <f t="shared" si="49"/>
        <v>139.971,43</v>
      </c>
      <c r="S170" s="35" t="str">
        <f t="shared" si="50"/>
        <v>233.424,91</v>
      </c>
      <c r="T170" s="35" t="str">
        <f t="shared" si="51"/>
        <v>13.096,70</v>
      </c>
      <c r="U170" s="35" t="str">
        <f t="shared" si="52"/>
        <v>28.018,50</v>
      </c>
      <c r="V170" s="35" t="str">
        <f t="shared" si="53"/>
        <v>41.115,20</v>
      </c>
      <c r="W170" s="35" t="str">
        <f t="shared" si="54"/>
        <v>80.356,78</v>
      </c>
      <c r="X170" s="35" t="str">
        <f t="shared" si="55"/>
        <v>111.952,93</v>
      </c>
      <c r="Y170" s="35" t="str">
        <f t="shared" si="56"/>
        <v>8.035,68</v>
      </c>
      <c r="Z170" s="35" t="str">
        <f t="shared" si="57"/>
        <v>11.195,29</v>
      </c>
      <c r="AA170" s="35" t="str">
        <f t="shared" si="58"/>
        <v>192.309,71</v>
      </c>
      <c r="AB170" s="35" t="str">
        <f t="shared" si="59"/>
        <v>19.230,97</v>
      </c>
    </row>
    <row r="171" spans="1:28" ht="16" x14ac:dyDescent="0.25">
      <c r="A171" s="24">
        <v>170</v>
      </c>
      <c r="B171" s="24" t="s">
        <v>34</v>
      </c>
      <c r="C171" s="24" t="s">
        <v>8</v>
      </c>
      <c r="D171" s="116">
        <v>11891.8</v>
      </c>
      <c r="E171" s="116">
        <v>12264.8</v>
      </c>
      <c r="F171" s="108">
        <f t="shared" si="40"/>
        <v>24156.6</v>
      </c>
      <c r="G171" s="116">
        <v>753.7</v>
      </c>
      <c r="H171" s="116">
        <v>4274.1000000000004</v>
      </c>
      <c r="I171" s="28">
        <f t="shared" si="41"/>
        <v>5027.8</v>
      </c>
      <c r="J171" s="28">
        <f t="shared" si="42"/>
        <v>11138.099999999999</v>
      </c>
      <c r="K171" s="28">
        <f t="shared" si="43"/>
        <v>7990.6999999999989</v>
      </c>
      <c r="L171" s="28">
        <f t="shared" si="44"/>
        <v>1113.81</v>
      </c>
      <c r="M171" s="28">
        <f t="shared" si="45"/>
        <v>799.06999999999994</v>
      </c>
      <c r="N171" s="107">
        <f t="shared" si="46"/>
        <v>19128.8</v>
      </c>
      <c r="O171" s="107">
        <f t="shared" si="47"/>
        <v>1912.88</v>
      </c>
      <c r="P171" s="9"/>
      <c r="Q171" s="35" t="str">
        <f t="shared" si="48"/>
        <v>11.891,80</v>
      </c>
      <c r="R171" s="35" t="str">
        <f t="shared" si="49"/>
        <v>12.264,80</v>
      </c>
      <c r="S171" s="35" t="str">
        <f t="shared" si="50"/>
        <v>24.156,60</v>
      </c>
      <c r="T171" s="35" t="str">
        <f t="shared" si="51"/>
        <v>753,70</v>
      </c>
      <c r="U171" s="35" t="str">
        <f t="shared" si="52"/>
        <v>4.274,10</v>
      </c>
      <c r="V171" s="35" t="str">
        <f t="shared" si="53"/>
        <v>5.027,80</v>
      </c>
      <c r="W171" s="35" t="str">
        <f t="shared" si="54"/>
        <v>11.138,10</v>
      </c>
      <c r="X171" s="35" t="str">
        <f t="shared" si="55"/>
        <v>7.990,70</v>
      </c>
      <c r="Y171" s="35" t="str">
        <f t="shared" si="56"/>
        <v>1.113,81</v>
      </c>
      <c r="Z171" s="35" t="str">
        <f t="shared" si="57"/>
        <v>799,07</v>
      </c>
      <c r="AA171" s="35" t="str">
        <f t="shared" si="58"/>
        <v>19.128,80</v>
      </c>
      <c r="AB171" s="35" t="str">
        <f t="shared" si="59"/>
        <v>1.912,88</v>
      </c>
    </row>
    <row r="172" spans="1:28" ht="16" x14ac:dyDescent="0.25">
      <c r="A172" s="24">
        <v>171</v>
      </c>
      <c r="B172" s="24" t="s">
        <v>369</v>
      </c>
      <c r="C172" s="24" t="s">
        <v>8</v>
      </c>
      <c r="D172" s="116">
        <v>5853.3099999999995</v>
      </c>
      <c r="E172" s="116">
        <v>3491.85</v>
      </c>
      <c r="F172" s="108">
        <f t="shared" si="40"/>
        <v>9345.16</v>
      </c>
      <c r="G172" s="116">
        <v>310.89999999999998</v>
      </c>
      <c r="H172" s="116">
        <v>540.20000000000005</v>
      </c>
      <c r="I172" s="28">
        <f t="shared" si="41"/>
        <v>851.1</v>
      </c>
      <c r="J172" s="28">
        <f t="shared" si="42"/>
        <v>5542.41</v>
      </c>
      <c r="K172" s="28">
        <f t="shared" si="43"/>
        <v>2951.6499999999996</v>
      </c>
      <c r="L172" s="28">
        <f t="shared" si="44"/>
        <v>554.24099999999999</v>
      </c>
      <c r="M172" s="28">
        <f t="shared" si="45"/>
        <v>295.16499999999996</v>
      </c>
      <c r="N172" s="107">
        <f t="shared" si="46"/>
        <v>8494.06</v>
      </c>
      <c r="O172" s="107">
        <f t="shared" si="47"/>
        <v>849.40599999999995</v>
      </c>
      <c r="P172" s="9"/>
      <c r="Q172" s="35" t="str">
        <f t="shared" si="48"/>
        <v>5.853,31</v>
      </c>
      <c r="R172" s="35" t="str">
        <f t="shared" si="49"/>
        <v>3.491,85</v>
      </c>
      <c r="S172" s="35" t="str">
        <f t="shared" si="50"/>
        <v>9.345,16</v>
      </c>
      <c r="T172" s="35" t="str">
        <f t="shared" si="51"/>
        <v>310,90</v>
      </c>
      <c r="U172" s="35" t="str">
        <f t="shared" si="52"/>
        <v>540,20</v>
      </c>
      <c r="V172" s="35" t="str">
        <f t="shared" si="53"/>
        <v>851,10</v>
      </c>
      <c r="W172" s="35" t="str">
        <f t="shared" si="54"/>
        <v>5.542,41</v>
      </c>
      <c r="X172" s="35" t="str">
        <f t="shared" si="55"/>
        <v>2.951,65</v>
      </c>
      <c r="Y172" s="35" t="str">
        <f t="shared" si="56"/>
        <v>554,24</v>
      </c>
      <c r="Z172" s="35" t="str">
        <f t="shared" si="57"/>
        <v>295,17</v>
      </c>
      <c r="AA172" s="35" t="str">
        <f t="shared" si="58"/>
        <v>8.494,06</v>
      </c>
      <c r="AB172" s="35" t="str">
        <f t="shared" si="59"/>
        <v>849,41</v>
      </c>
    </row>
    <row r="173" spans="1:28" ht="16" x14ac:dyDescent="0.25">
      <c r="A173" s="24">
        <v>172</v>
      </c>
      <c r="B173" s="24" t="s">
        <v>2325</v>
      </c>
      <c r="C173" s="24" t="s">
        <v>8</v>
      </c>
      <c r="D173" s="116">
        <v>2213.3000000000002</v>
      </c>
      <c r="E173" s="116"/>
      <c r="F173" s="108">
        <f t="shared" si="40"/>
        <v>2213.3000000000002</v>
      </c>
      <c r="G173" s="116">
        <v>0</v>
      </c>
      <c r="H173" s="116"/>
      <c r="I173" s="28">
        <f t="shared" si="41"/>
        <v>0</v>
      </c>
      <c r="J173" s="28">
        <f t="shared" si="42"/>
        <v>2213.3000000000002</v>
      </c>
      <c r="K173" s="28">
        <f t="shared" si="43"/>
        <v>0</v>
      </c>
      <c r="L173" s="28">
        <f t="shared" si="44"/>
        <v>221.33000000000004</v>
      </c>
      <c r="M173" s="28">
        <f t="shared" si="45"/>
        <v>0</v>
      </c>
      <c r="N173" s="107">
        <f t="shared" si="46"/>
        <v>2213.3000000000002</v>
      </c>
      <c r="O173" s="107">
        <f t="shared" si="47"/>
        <v>221.33000000000004</v>
      </c>
      <c r="P173" s="9"/>
      <c r="Q173" s="35" t="str">
        <f t="shared" si="48"/>
        <v>2.213,30</v>
      </c>
      <c r="R173" s="35" t="str">
        <f t="shared" si="49"/>
        <v>,00</v>
      </c>
      <c r="S173" s="35" t="str">
        <f t="shared" si="50"/>
        <v>2.213,30</v>
      </c>
      <c r="T173" s="35" t="str">
        <f t="shared" si="51"/>
        <v>,00</v>
      </c>
      <c r="U173" s="35" t="str">
        <f t="shared" si="52"/>
        <v>,00</v>
      </c>
      <c r="V173" s="35" t="str">
        <f t="shared" si="53"/>
        <v>,00</v>
      </c>
      <c r="W173" s="35" t="str">
        <f t="shared" si="54"/>
        <v>2.213,30</v>
      </c>
      <c r="X173" s="35" t="str">
        <f t="shared" si="55"/>
        <v>,00</v>
      </c>
      <c r="Y173" s="35" t="str">
        <f t="shared" si="56"/>
        <v>221,33</v>
      </c>
      <c r="Z173" s="35" t="str">
        <f t="shared" si="57"/>
        <v>,00</v>
      </c>
      <c r="AA173" s="35" t="str">
        <f t="shared" si="58"/>
        <v>2.213,30</v>
      </c>
      <c r="AB173" s="35" t="str">
        <f t="shared" si="59"/>
        <v>221,33</v>
      </c>
    </row>
    <row r="174" spans="1:28" ht="16" x14ac:dyDescent="0.25">
      <c r="A174" s="24">
        <v>173</v>
      </c>
      <c r="B174" s="24" t="s">
        <v>2323</v>
      </c>
      <c r="C174" s="24" t="s">
        <v>8</v>
      </c>
      <c r="D174" s="116">
        <v>45</v>
      </c>
      <c r="E174" s="116">
        <v>402.8</v>
      </c>
      <c r="F174" s="108">
        <f t="shared" si="40"/>
        <v>447.8</v>
      </c>
      <c r="G174" s="116">
        <v>0</v>
      </c>
      <c r="H174" s="116">
        <v>0</v>
      </c>
      <c r="I174" s="28">
        <f t="shared" si="41"/>
        <v>0</v>
      </c>
      <c r="J174" s="28">
        <f t="shared" si="42"/>
        <v>45</v>
      </c>
      <c r="K174" s="28">
        <f t="shared" si="43"/>
        <v>402.8</v>
      </c>
      <c r="L174" s="28">
        <f t="shared" si="44"/>
        <v>4.5</v>
      </c>
      <c r="M174" s="28">
        <f t="shared" si="45"/>
        <v>40.28</v>
      </c>
      <c r="N174" s="107">
        <f t="shared" si="46"/>
        <v>447.8</v>
      </c>
      <c r="O174" s="107">
        <f t="shared" si="47"/>
        <v>44.78</v>
      </c>
      <c r="P174" s="9"/>
      <c r="Q174" s="35" t="str">
        <f t="shared" si="48"/>
        <v>45,00</v>
      </c>
      <c r="R174" s="35" t="str">
        <f t="shared" si="49"/>
        <v>402,80</v>
      </c>
      <c r="S174" s="35" t="str">
        <f t="shared" si="50"/>
        <v>447,80</v>
      </c>
      <c r="T174" s="35" t="str">
        <f t="shared" si="51"/>
        <v>,00</v>
      </c>
      <c r="U174" s="35" t="str">
        <f t="shared" si="52"/>
        <v>,00</v>
      </c>
      <c r="V174" s="35" t="str">
        <f t="shared" si="53"/>
        <v>,00</v>
      </c>
      <c r="W174" s="35" t="str">
        <f t="shared" si="54"/>
        <v>45,00</v>
      </c>
      <c r="X174" s="35" t="str">
        <f t="shared" si="55"/>
        <v>402,80</v>
      </c>
      <c r="Y174" s="35" t="str">
        <f t="shared" si="56"/>
        <v>4,50</v>
      </c>
      <c r="Z174" s="35" t="str">
        <f t="shared" si="57"/>
        <v>40,28</v>
      </c>
      <c r="AA174" s="35" t="str">
        <f t="shared" si="58"/>
        <v>447,80</v>
      </c>
      <c r="AB174" s="35" t="str">
        <f t="shared" si="59"/>
        <v>44,78</v>
      </c>
    </row>
    <row r="175" spans="1:28" ht="16" x14ac:dyDescent="0.25">
      <c r="A175" s="24">
        <v>174</v>
      </c>
      <c r="B175" s="24" t="s">
        <v>2257</v>
      </c>
      <c r="C175" s="24" t="s">
        <v>8</v>
      </c>
      <c r="D175" s="116">
        <v>5.4</v>
      </c>
      <c r="E175" s="116">
        <v>103.3</v>
      </c>
      <c r="F175" s="108">
        <f t="shared" si="40"/>
        <v>108.7</v>
      </c>
      <c r="G175" s="116">
        <v>0</v>
      </c>
      <c r="H175" s="116">
        <v>0</v>
      </c>
      <c r="I175" s="28">
        <f t="shared" si="41"/>
        <v>0</v>
      </c>
      <c r="J175" s="28">
        <f t="shared" si="42"/>
        <v>5.4</v>
      </c>
      <c r="K175" s="28">
        <f t="shared" si="43"/>
        <v>103.3</v>
      </c>
      <c r="L175" s="28">
        <f t="shared" si="44"/>
        <v>0.54</v>
      </c>
      <c r="M175" s="28">
        <f t="shared" si="45"/>
        <v>10.33</v>
      </c>
      <c r="N175" s="107">
        <f t="shared" si="46"/>
        <v>108.7</v>
      </c>
      <c r="O175" s="107">
        <f t="shared" si="47"/>
        <v>10.870000000000001</v>
      </c>
      <c r="P175" s="9"/>
      <c r="Q175" s="35" t="str">
        <f t="shared" si="48"/>
        <v>5,40</v>
      </c>
      <c r="R175" s="35" t="str">
        <f t="shared" si="49"/>
        <v>103,30</v>
      </c>
      <c r="S175" s="35" t="str">
        <f t="shared" si="50"/>
        <v>108,70</v>
      </c>
      <c r="T175" s="35" t="str">
        <f t="shared" si="51"/>
        <v>,00</v>
      </c>
      <c r="U175" s="35" t="str">
        <f t="shared" si="52"/>
        <v>,00</v>
      </c>
      <c r="V175" s="35" t="str">
        <f t="shared" si="53"/>
        <v>,00</v>
      </c>
      <c r="W175" s="35" t="str">
        <f t="shared" si="54"/>
        <v>5,40</v>
      </c>
      <c r="X175" s="35" t="str">
        <f t="shared" si="55"/>
        <v>103,30</v>
      </c>
      <c r="Y175" s="35" t="str">
        <f t="shared" si="56"/>
        <v>,54</v>
      </c>
      <c r="Z175" s="35" t="str">
        <f t="shared" si="57"/>
        <v>10,33</v>
      </c>
      <c r="AA175" s="35" t="str">
        <f t="shared" si="58"/>
        <v>108,70</v>
      </c>
      <c r="AB175" s="35" t="str">
        <f t="shared" si="59"/>
        <v>10,87</v>
      </c>
    </row>
    <row r="176" spans="1:28" ht="16" x14ac:dyDescent="0.25">
      <c r="A176" s="24">
        <v>175</v>
      </c>
      <c r="B176" s="24" t="s">
        <v>34</v>
      </c>
      <c r="C176" s="24" t="s">
        <v>155</v>
      </c>
      <c r="D176" s="116">
        <v>76896.599999999991</v>
      </c>
      <c r="E176" s="116">
        <v>95209.4</v>
      </c>
      <c r="F176" s="108">
        <f t="shared" si="40"/>
        <v>172106</v>
      </c>
      <c r="G176" s="116">
        <v>151.6</v>
      </c>
      <c r="H176" s="116">
        <v>0.5</v>
      </c>
      <c r="I176" s="28">
        <f t="shared" si="41"/>
        <v>152.1</v>
      </c>
      <c r="J176" s="28">
        <f t="shared" si="42"/>
        <v>76744.999999999985</v>
      </c>
      <c r="K176" s="28">
        <f t="shared" si="43"/>
        <v>95208.9</v>
      </c>
      <c r="L176" s="28">
        <f t="shared" si="44"/>
        <v>7674.4999999999991</v>
      </c>
      <c r="M176" s="28">
        <f t="shared" si="45"/>
        <v>9520.89</v>
      </c>
      <c r="N176" s="107">
        <f t="shared" si="46"/>
        <v>171953.9</v>
      </c>
      <c r="O176" s="107">
        <f t="shared" si="47"/>
        <v>17195.39</v>
      </c>
      <c r="P176" s="9"/>
      <c r="Q176" s="35" t="str">
        <f t="shared" si="48"/>
        <v>76.896,60</v>
      </c>
      <c r="R176" s="35" t="str">
        <f t="shared" si="49"/>
        <v>95.209,40</v>
      </c>
      <c r="S176" s="35" t="str">
        <f t="shared" si="50"/>
        <v>172.106,00</v>
      </c>
      <c r="T176" s="35" t="str">
        <f t="shared" si="51"/>
        <v>151,60</v>
      </c>
      <c r="U176" s="35" t="str">
        <f t="shared" si="52"/>
        <v>,50</v>
      </c>
      <c r="V176" s="35" t="str">
        <f t="shared" si="53"/>
        <v>152,10</v>
      </c>
      <c r="W176" s="35" t="str">
        <f t="shared" si="54"/>
        <v>76.745,00</v>
      </c>
      <c r="X176" s="35" t="str">
        <f t="shared" si="55"/>
        <v>95.208,90</v>
      </c>
      <c r="Y176" s="35" t="str">
        <f t="shared" si="56"/>
        <v>7.674,50</v>
      </c>
      <c r="Z176" s="35" t="str">
        <f t="shared" si="57"/>
        <v>9.520,89</v>
      </c>
      <c r="AA176" s="35" t="str">
        <f t="shared" si="58"/>
        <v>171.953,90</v>
      </c>
      <c r="AB176" s="35" t="str">
        <f t="shared" si="59"/>
        <v>17.195,39</v>
      </c>
    </row>
    <row r="177" spans="1:28" ht="16" x14ac:dyDescent="0.25">
      <c r="A177" s="24">
        <v>176</v>
      </c>
      <c r="B177" s="24" t="s">
        <v>156</v>
      </c>
      <c r="C177" s="24" t="s">
        <v>155</v>
      </c>
      <c r="D177" s="116">
        <v>15599.44</v>
      </c>
      <c r="E177" s="116">
        <v>20160.55</v>
      </c>
      <c r="F177" s="108">
        <f t="shared" si="40"/>
        <v>35759.99</v>
      </c>
      <c r="G177" s="116">
        <v>418.4</v>
      </c>
      <c r="H177" s="116">
        <v>9864.7000000000007</v>
      </c>
      <c r="I177" s="28">
        <f t="shared" si="41"/>
        <v>10283.1</v>
      </c>
      <c r="J177" s="28">
        <f t="shared" si="42"/>
        <v>15181.04</v>
      </c>
      <c r="K177" s="28">
        <f t="shared" si="43"/>
        <v>10295.849999999999</v>
      </c>
      <c r="L177" s="28">
        <f t="shared" si="44"/>
        <v>1518.1040000000003</v>
      </c>
      <c r="M177" s="28">
        <f t="shared" si="45"/>
        <v>1029.5849999999998</v>
      </c>
      <c r="N177" s="107">
        <f t="shared" si="46"/>
        <v>25476.89</v>
      </c>
      <c r="O177" s="107">
        <f t="shared" si="47"/>
        <v>2547.6890000000003</v>
      </c>
      <c r="P177" s="9"/>
      <c r="Q177" s="35" t="str">
        <f t="shared" si="48"/>
        <v>15.599,44</v>
      </c>
      <c r="R177" s="35" t="str">
        <f t="shared" si="49"/>
        <v>20.160,55</v>
      </c>
      <c r="S177" s="35" t="str">
        <f t="shared" si="50"/>
        <v>35.759,99</v>
      </c>
      <c r="T177" s="35" t="str">
        <f t="shared" si="51"/>
        <v>418,40</v>
      </c>
      <c r="U177" s="35" t="str">
        <f t="shared" si="52"/>
        <v>9.864,70</v>
      </c>
      <c r="V177" s="35" t="str">
        <f t="shared" si="53"/>
        <v>10.283,10</v>
      </c>
      <c r="W177" s="35" t="str">
        <f t="shared" si="54"/>
        <v>15.181,04</v>
      </c>
      <c r="X177" s="35" t="str">
        <f t="shared" si="55"/>
        <v>10.295,85</v>
      </c>
      <c r="Y177" s="35" t="str">
        <f t="shared" si="56"/>
        <v>1.518,10</v>
      </c>
      <c r="Z177" s="35" t="str">
        <f t="shared" si="57"/>
        <v>1.029,59</v>
      </c>
      <c r="AA177" s="35" t="str">
        <f t="shared" si="58"/>
        <v>25.476,89</v>
      </c>
      <c r="AB177" s="35" t="str">
        <f t="shared" si="59"/>
        <v>2.547,69</v>
      </c>
    </row>
    <row r="178" spans="1:28" ht="16" x14ac:dyDescent="0.25">
      <c r="A178" s="24">
        <v>177</v>
      </c>
      <c r="B178" s="24" t="s">
        <v>370</v>
      </c>
      <c r="C178" s="24" t="s">
        <v>155</v>
      </c>
      <c r="D178" s="116">
        <v>938.59999999999991</v>
      </c>
      <c r="E178" s="116">
        <v>870.4</v>
      </c>
      <c r="F178" s="108">
        <f t="shared" si="40"/>
        <v>1809</v>
      </c>
      <c r="G178" s="116">
        <v>0</v>
      </c>
      <c r="H178" s="116">
        <v>0</v>
      </c>
      <c r="I178" s="28">
        <f t="shared" si="41"/>
        <v>0</v>
      </c>
      <c r="J178" s="28">
        <f t="shared" si="42"/>
        <v>938.59999999999991</v>
      </c>
      <c r="K178" s="28">
        <f t="shared" si="43"/>
        <v>870.4</v>
      </c>
      <c r="L178" s="28">
        <f t="shared" si="44"/>
        <v>93.86</v>
      </c>
      <c r="M178" s="28">
        <f t="shared" si="45"/>
        <v>87.04</v>
      </c>
      <c r="N178" s="107">
        <f t="shared" si="46"/>
        <v>1809</v>
      </c>
      <c r="O178" s="107">
        <f t="shared" si="47"/>
        <v>180.9</v>
      </c>
      <c r="P178" s="9"/>
      <c r="Q178" s="35" t="str">
        <f t="shared" si="48"/>
        <v>938,60</v>
      </c>
      <c r="R178" s="35" t="str">
        <f t="shared" si="49"/>
        <v>870,40</v>
      </c>
      <c r="S178" s="35" t="str">
        <f t="shared" si="50"/>
        <v>1.809,00</v>
      </c>
      <c r="T178" s="35" t="str">
        <f t="shared" si="51"/>
        <v>,00</v>
      </c>
      <c r="U178" s="35" t="str">
        <f t="shared" si="52"/>
        <v>,00</v>
      </c>
      <c r="V178" s="35" t="str">
        <f t="shared" si="53"/>
        <v>,00</v>
      </c>
      <c r="W178" s="35" t="str">
        <f t="shared" si="54"/>
        <v>938,60</v>
      </c>
      <c r="X178" s="35" t="str">
        <f t="shared" si="55"/>
        <v>870,40</v>
      </c>
      <c r="Y178" s="35" t="str">
        <f t="shared" si="56"/>
        <v>93,86</v>
      </c>
      <c r="Z178" s="35" t="str">
        <f t="shared" si="57"/>
        <v>87,04</v>
      </c>
      <c r="AA178" s="35" t="str">
        <f t="shared" si="58"/>
        <v>1.809,00</v>
      </c>
      <c r="AB178" s="35" t="str">
        <f t="shared" si="59"/>
        <v>180,90</v>
      </c>
    </row>
    <row r="179" spans="1:28" ht="16" x14ac:dyDescent="0.25">
      <c r="A179" s="24">
        <v>178</v>
      </c>
      <c r="B179" s="24" t="s">
        <v>295</v>
      </c>
      <c r="C179" s="24" t="s">
        <v>155</v>
      </c>
      <c r="D179" s="116">
        <v>443.29999999999995</v>
      </c>
      <c r="E179" s="116">
        <v>584.30000000000007</v>
      </c>
      <c r="F179" s="108">
        <f t="shared" si="40"/>
        <v>1027.5999999999999</v>
      </c>
      <c r="G179" s="116">
        <v>61.3</v>
      </c>
      <c r="H179" s="116">
        <v>0</v>
      </c>
      <c r="I179" s="28">
        <f t="shared" si="41"/>
        <v>61.3</v>
      </c>
      <c r="J179" s="28">
        <f t="shared" si="42"/>
        <v>381.99999999999994</v>
      </c>
      <c r="K179" s="28">
        <f t="shared" si="43"/>
        <v>584.30000000000007</v>
      </c>
      <c r="L179" s="28">
        <f t="shared" si="44"/>
        <v>38.199999999999996</v>
      </c>
      <c r="M179" s="28">
        <f t="shared" si="45"/>
        <v>58.430000000000007</v>
      </c>
      <c r="N179" s="107">
        <f t="shared" si="46"/>
        <v>966.3</v>
      </c>
      <c r="O179" s="107">
        <f t="shared" si="47"/>
        <v>96.63</v>
      </c>
      <c r="P179" s="9"/>
      <c r="Q179" s="35" t="str">
        <f t="shared" si="48"/>
        <v>443,30</v>
      </c>
      <c r="R179" s="35" t="str">
        <f t="shared" si="49"/>
        <v>584,30</v>
      </c>
      <c r="S179" s="35" t="str">
        <f t="shared" si="50"/>
        <v>1.027,60</v>
      </c>
      <c r="T179" s="35" t="str">
        <f t="shared" si="51"/>
        <v>61,30</v>
      </c>
      <c r="U179" s="35" t="str">
        <f t="shared" si="52"/>
        <v>,00</v>
      </c>
      <c r="V179" s="35" t="str">
        <f t="shared" si="53"/>
        <v>61,30</v>
      </c>
      <c r="W179" s="35" t="str">
        <f t="shared" si="54"/>
        <v>382,00</v>
      </c>
      <c r="X179" s="35" t="str">
        <f t="shared" si="55"/>
        <v>584,30</v>
      </c>
      <c r="Y179" s="35" t="str">
        <f t="shared" si="56"/>
        <v>38,20</v>
      </c>
      <c r="Z179" s="35" t="str">
        <f t="shared" si="57"/>
        <v>58,43</v>
      </c>
      <c r="AA179" s="35" t="str">
        <f t="shared" si="58"/>
        <v>966,30</v>
      </c>
      <c r="AB179" s="35" t="str">
        <f t="shared" si="59"/>
        <v>96,63</v>
      </c>
    </row>
    <row r="180" spans="1:28" ht="16" x14ac:dyDescent="0.25">
      <c r="A180" s="24">
        <v>179</v>
      </c>
      <c r="B180" s="24" t="s">
        <v>18</v>
      </c>
      <c r="C180" s="24" t="s">
        <v>155</v>
      </c>
      <c r="D180" s="116">
        <v>43</v>
      </c>
      <c r="E180" s="116">
        <v>434.6</v>
      </c>
      <c r="F180" s="108">
        <f t="shared" si="40"/>
        <v>477.6</v>
      </c>
      <c r="G180" s="116">
        <v>0</v>
      </c>
      <c r="H180" s="116">
        <v>0</v>
      </c>
      <c r="I180" s="28">
        <f t="shared" si="41"/>
        <v>0</v>
      </c>
      <c r="J180" s="28">
        <f t="shared" si="42"/>
        <v>43</v>
      </c>
      <c r="K180" s="28">
        <f t="shared" si="43"/>
        <v>434.6</v>
      </c>
      <c r="L180" s="28">
        <f t="shared" si="44"/>
        <v>4.3</v>
      </c>
      <c r="M180" s="28">
        <f t="shared" si="45"/>
        <v>43.460000000000008</v>
      </c>
      <c r="N180" s="107">
        <f t="shared" si="46"/>
        <v>477.6</v>
      </c>
      <c r="O180" s="107">
        <f t="shared" si="47"/>
        <v>47.760000000000005</v>
      </c>
      <c r="P180" s="9"/>
      <c r="Q180" s="35" t="str">
        <f t="shared" si="48"/>
        <v>43,00</v>
      </c>
      <c r="R180" s="35" t="str">
        <f t="shared" si="49"/>
        <v>434,60</v>
      </c>
      <c r="S180" s="35" t="str">
        <f t="shared" si="50"/>
        <v>477,60</v>
      </c>
      <c r="T180" s="35" t="str">
        <f t="shared" si="51"/>
        <v>,00</v>
      </c>
      <c r="U180" s="35" t="str">
        <f t="shared" si="52"/>
        <v>,00</v>
      </c>
      <c r="V180" s="35" t="str">
        <f t="shared" si="53"/>
        <v>,00</v>
      </c>
      <c r="W180" s="35" t="str">
        <f t="shared" si="54"/>
        <v>43,00</v>
      </c>
      <c r="X180" s="35" t="str">
        <f t="shared" si="55"/>
        <v>434,60</v>
      </c>
      <c r="Y180" s="35" t="str">
        <f t="shared" si="56"/>
        <v>4,30</v>
      </c>
      <c r="Z180" s="35" t="str">
        <f t="shared" si="57"/>
        <v>43,46</v>
      </c>
      <c r="AA180" s="35" t="str">
        <f t="shared" si="58"/>
        <v>477,60</v>
      </c>
      <c r="AB180" s="35" t="str">
        <f t="shared" si="59"/>
        <v>47,76</v>
      </c>
    </row>
    <row r="181" spans="1:28" ht="16" x14ac:dyDescent="0.25">
      <c r="A181" s="24">
        <v>180</v>
      </c>
      <c r="B181" s="24" t="s">
        <v>2910</v>
      </c>
      <c r="C181" s="24" t="s">
        <v>155</v>
      </c>
      <c r="D181" s="116">
        <v>185.3</v>
      </c>
      <c r="E181" s="116">
        <v>154.69999999999999</v>
      </c>
      <c r="F181" s="108">
        <f t="shared" si="40"/>
        <v>340</v>
      </c>
      <c r="G181" s="116">
        <v>0</v>
      </c>
      <c r="H181" s="116">
        <v>0</v>
      </c>
      <c r="I181" s="28">
        <f t="shared" si="41"/>
        <v>0</v>
      </c>
      <c r="J181" s="28">
        <f t="shared" si="42"/>
        <v>185.3</v>
      </c>
      <c r="K181" s="28">
        <f t="shared" si="43"/>
        <v>154.69999999999999</v>
      </c>
      <c r="L181" s="28">
        <f t="shared" si="44"/>
        <v>18.53</v>
      </c>
      <c r="M181" s="28">
        <f t="shared" si="45"/>
        <v>15.469999999999999</v>
      </c>
      <c r="N181" s="107">
        <f t="shared" si="46"/>
        <v>340</v>
      </c>
      <c r="O181" s="107">
        <f t="shared" si="47"/>
        <v>34</v>
      </c>
      <c r="P181" s="9"/>
      <c r="Q181" s="35" t="str">
        <f t="shared" si="48"/>
        <v>185,30</v>
      </c>
      <c r="R181" s="35" t="str">
        <f t="shared" si="49"/>
        <v>154,70</v>
      </c>
      <c r="S181" s="35" t="str">
        <f t="shared" si="50"/>
        <v>340,00</v>
      </c>
      <c r="T181" s="35" t="str">
        <f t="shared" si="51"/>
        <v>,00</v>
      </c>
      <c r="U181" s="35" t="str">
        <f t="shared" si="52"/>
        <v>,00</v>
      </c>
      <c r="V181" s="35" t="str">
        <f t="shared" si="53"/>
        <v>,00</v>
      </c>
      <c r="W181" s="35" t="str">
        <f t="shared" si="54"/>
        <v>185,30</v>
      </c>
      <c r="X181" s="35" t="str">
        <f t="shared" si="55"/>
        <v>154,70</v>
      </c>
      <c r="Y181" s="35" t="str">
        <f t="shared" si="56"/>
        <v>18,53</v>
      </c>
      <c r="Z181" s="35" t="str">
        <f t="shared" si="57"/>
        <v>15,47</v>
      </c>
      <c r="AA181" s="35" t="str">
        <f t="shared" si="58"/>
        <v>340,00</v>
      </c>
      <c r="AB181" s="35" t="str">
        <f t="shared" si="59"/>
        <v>34,00</v>
      </c>
    </row>
    <row r="182" spans="1:28" ht="16" x14ac:dyDescent="0.25">
      <c r="A182" s="24">
        <v>181</v>
      </c>
      <c r="B182" s="24" t="s">
        <v>34</v>
      </c>
      <c r="C182" s="24" t="s">
        <v>144</v>
      </c>
      <c r="D182" s="116">
        <v>15027.300000000001</v>
      </c>
      <c r="E182" s="116">
        <v>7091.8</v>
      </c>
      <c r="F182" s="108">
        <f t="shared" si="40"/>
        <v>22119.100000000002</v>
      </c>
      <c r="G182" s="116">
        <v>0</v>
      </c>
      <c r="H182" s="116">
        <v>0</v>
      </c>
      <c r="I182" s="28">
        <f t="shared" si="41"/>
        <v>0</v>
      </c>
      <c r="J182" s="28">
        <f t="shared" si="42"/>
        <v>15027.300000000001</v>
      </c>
      <c r="K182" s="28">
        <f t="shared" si="43"/>
        <v>7091.8</v>
      </c>
      <c r="L182" s="28">
        <f t="shared" si="44"/>
        <v>1502.7300000000002</v>
      </c>
      <c r="M182" s="28">
        <f t="shared" si="45"/>
        <v>709.18000000000006</v>
      </c>
      <c r="N182" s="107">
        <f t="shared" si="46"/>
        <v>22119.100000000002</v>
      </c>
      <c r="O182" s="107">
        <f t="shared" si="47"/>
        <v>2211.9100000000003</v>
      </c>
      <c r="P182" s="9"/>
      <c r="Q182" s="35" t="str">
        <f t="shared" si="48"/>
        <v>15.027,30</v>
      </c>
      <c r="R182" s="35" t="str">
        <f t="shared" si="49"/>
        <v>7.091,80</v>
      </c>
      <c r="S182" s="35" t="str">
        <f t="shared" si="50"/>
        <v>22.119,10</v>
      </c>
      <c r="T182" s="35" t="str">
        <f t="shared" si="51"/>
        <v>,00</v>
      </c>
      <c r="U182" s="35" t="str">
        <f t="shared" si="52"/>
        <v>,00</v>
      </c>
      <c r="V182" s="35" t="str">
        <f t="shared" si="53"/>
        <v>,00</v>
      </c>
      <c r="W182" s="35" t="str">
        <f t="shared" si="54"/>
        <v>15.027,30</v>
      </c>
      <c r="X182" s="35" t="str">
        <f t="shared" si="55"/>
        <v>7.091,80</v>
      </c>
      <c r="Y182" s="35" t="str">
        <f t="shared" si="56"/>
        <v>1.502,73</v>
      </c>
      <c r="Z182" s="35" t="str">
        <f t="shared" si="57"/>
        <v>709,18</v>
      </c>
      <c r="AA182" s="35" t="str">
        <f t="shared" si="58"/>
        <v>22.119,10</v>
      </c>
      <c r="AB182" s="35" t="str">
        <f t="shared" si="59"/>
        <v>2.211,91</v>
      </c>
    </row>
    <row r="183" spans="1:28" ht="16" x14ac:dyDescent="0.25">
      <c r="A183" s="24">
        <v>182</v>
      </c>
      <c r="B183" s="24" t="s">
        <v>321</v>
      </c>
      <c r="C183" s="24" t="s">
        <v>144</v>
      </c>
      <c r="D183" s="116">
        <v>3515.5</v>
      </c>
      <c r="E183" s="116">
        <v>4160.2</v>
      </c>
      <c r="F183" s="108">
        <f t="shared" si="40"/>
        <v>7675.7</v>
      </c>
      <c r="G183" s="116">
        <v>0</v>
      </c>
      <c r="H183" s="116">
        <v>0</v>
      </c>
      <c r="I183" s="28">
        <f t="shared" si="41"/>
        <v>0</v>
      </c>
      <c r="J183" s="28">
        <f t="shared" si="42"/>
        <v>3515.5</v>
      </c>
      <c r="K183" s="28">
        <f t="shared" si="43"/>
        <v>4160.2</v>
      </c>
      <c r="L183" s="28">
        <f t="shared" si="44"/>
        <v>351.55</v>
      </c>
      <c r="M183" s="28">
        <f t="shared" si="45"/>
        <v>416.02</v>
      </c>
      <c r="N183" s="107">
        <f t="shared" si="46"/>
        <v>7675.7</v>
      </c>
      <c r="O183" s="107">
        <f t="shared" si="47"/>
        <v>767.57</v>
      </c>
      <c r="P183" s="9"/>
      <c r="Q183" s="35" t="str">
        <f t="shared" si="48"/>
        <v>3.515,50</v>
      </c>
      <c r="R183" s="35" t="str">
        <f t="shared" si="49"/>
        <v>4.160,20</v>
      </c>
      <c r="S183" s="35" t="str">
        <f t="shared" si="50"/>
        <v>7.675,70</v>
      </c>
      <c r="T183" s="35" t="str">
        <f t="shared" si="51"/>
        <v>,00</v>
      </c>
      <c r="U183" s="35" t="str">
        <f t="shared" si="52"/>
        <v>,00</v>
      </c>
      <c r="V183" s="35" t="str">
        <f t="shared" si="53"/>
        <v>,00</v>
      </c>
      <c r="W183" s="35" t="str">
        <f t="shared" si="54"/>
        <v>3.515,50</v>
      </c>
      <c r="X183" s="35" t="str">
        <f t="shared" si="55"/>
        <v>4.160,20</v>
      </c>
      <c r="Y183" s="35" t="str">
        <f t="shared" si="56"/>
        <v>351,55</v>
      </c>
      <c r="Z183" s="35" t="str">
        <f t="shared" si="57"/>
        <v>416,02</v>
      </c>
      <c r="AA183" s="35" t="str">
        <f t="shared" si="58"/>
        <v>7.675,70</v>
      </c>
      <c r="AB183" s="35" t="str">
        <f t="shared" si="59"/>
        <v>767,57</v>
      </c>
    </row>
    <row r="184" spans="1:28" ht="16" x14ac:dyDescent="0.25">
      <c r="A184" s="24">
        <v>183</v>
      </c>
      <c r="B184" s="24" t="s">
        <v>2057</v>
      </c>
      <c r="C184" s="24" t="s">
        <v>144</v>
      </c>
      <c r="D184" s="116">
        <v>110.2</v>
      </c>
      <c r="E184" s="116">
        <v>587.1</v>
      </c>
      <c r="F184" s="108">
        <f t="shared" si="40"/>
        <v>697.30000000000007</v>
      </c>
      <c r="G184" s="116">
        <v>0</v>
      </c>
      <c r="H184" s="116">
        <v>0</v>
      </c>
      <c r="I184" s="28">
        <f t="shared" si="41"/>
        <v>0</v>
      </c>
      <c r="J184" s="28">
        <f t="shared" si="42"/>
        <v>110.2</v>
      </c>
      <c r="K184" s="28">
        <f t="shared" si="43"/>
        <v>587.1</v>
      </c>
      <c r="L184" s="28">
        <f t="shared" si="44"/>
        <v>11.020000000000001</v>
      </c>
      <c r="M184" s="28">
        <f t="shared" si="45"/>
        <v>58.710000000000008</v>
      </c>
      <c r="N184" s="107">
        <f t="shared" si="46"/>
        <v>697.30000000000007</v>
      </c>
      <c r="O184" s="107">
        <f t="shared" si="47"/>
        <v>69.73</v>
      </c>
      <c r="P184" s="9"/>
      <c r="Q184" s="35" t="str">
        <f t="shared" si="48"/>
        <v>110,20</v>
      </c>
      <c r="R184" s="35" t="str">
        <f t="shared" si="49"/>
        <v>587,10</v>
      </c>
      <c r="S184" s="35" t="str">
        <f t="shared" si="50"/>
        <v>697,30</v>
      </c>
      <c r="T184" s="35" t="str">
        <f t="shared" si="51"/>
        <v>,00</v>
      </c>
      <c r="U184" s="35" t="str">
        <f t="shared" si="52"/>
        <v>,00</v>
      </c>
      <c r="V184" s="35" t="str">
        <f t="shared" si="53"/>
        <v>,00</v>
      </c>
      <c r="W184" s="35" t="str">
        <f t="shared" si="54"/>
        <v>110,20</v>
      </c>
      <c r="X184" s="35" t="str">
        <f t="shared" si="55"/>
        <v>587,10</v>
      </c>
      <c r="Y184" s="35" t="str">
        <f t="shared" si="56"/>
        <v>11,02</v>
      </c>
      <c r="Z184" s="35" t="str">
        <f t="shared" si="57"/>
        <v>58,71</v>
      </c>
      <c r="AA184" s="35" t="str">
        <f t="shared" si="58"/>
        <v>697,30</v>
      </c>
      <c r="AB184" s="35" t="str">
        <f t="shared" si="59"/>
        <v>69,73</v>
      </c>
    </row>
    <row r="185" spans="1:28" ht="16" x14ac:dyDescent="0.25">
      <c r="A185" s="24">
        <v>184</v>
      </c>
      <c r="B185" s="24" t="s">
        <v>296</v>
      </c>
      <c r="C185" s="24" t="s">
        <v>144</v>
      </c>
      <c r="D185" s="116">
        <v>325</v>
      </c>
      <c r="E185" s="116">
        <v>179.2</v>
      </c>
      <c r="F185" s="108">
        <f t="shared" si="40"/>
        <v>504.2</v>
      </c>
      <c r="G185" s="116">
        <v>0</v>
      </c>
      <c r="H185" s="116">
        <v>0</v>
      </c>
      <c r="I185" s="28">
        <f t="shared" si="41"/>
        <v>0</v>
      </c>
      <c r="J185" s="28">
        <f t="shared" si="42"/>
        <v>325</v>
      </c>
      <c r="K185" s="28">
        <f t="shared" si="43"/>
        <v>179.2</v>
      </c>
      <c r="L185" s="28">
        <f t="shared" si="44"/>
        <v>32.5</v>
      </c>
      <c r="M185" s="28">
        <f t="shared" si="45"/>
        <v>17.919999999999998</v>
      </c>
      <c r="N185" s="107">
        <f t="shared" si="46"/>
        <v>504.2</v>
      </c>
      <c r="O185" s="107">
        <f t="shared" si="47"/>
        <v>50.42</v>
      </c>
      <c r="P185" s="9"/>
      <c r="Q185" s="35" t="str">
        <f t="shared" si="48"/>
        <v>325,00</v>
      </c>
      <c r="R185" s="35" t="str">
        <f t="shared" si="49"/>
        <v>179,20</v>
      </c>
      <c r="S185" s="35" t="str">
        <f t="shared" si="50"/>
        <v>504,20</v>
      </c>
      <c r="T185" s="35" t="str">
        <f t="shared" si="51"/>
        <v>,00</v>
      </c>
      <c r="U185" s="35" t="str">
        <f t="shared" si="52"/>
        <v>,00</v>
      </c>
      <c r="V185" s="35" t="str">
        <f t="shared" si="53"/>
        <v>,00</v>
      </c>
      <c r="W185" s="35" t="str">
        <f t="shared" si="54"/>
        <v>325,00</v>
      </c>
      <c r="X185" s="35" t="str">
        <f t="shared" si="55"/>
        <v>179,20</v>
      </c>
      <c r="Y185" s="35" t="str">
        <f t="shared" si="56"/>
        <v>32,50</v>
      </c>
      <c r="Z185" s="35" t="str">
        <f t="shared" si="57"/>
        <v>17,92</v>
      </c>
      <c r="AA185" s="35" t="str">
        <f t="shared" si="58"/>
        <v>504,20</v>
      </c>
      <c r="AB185" s="35" t="str">
        <f t="shared" si="59"/>
        <v>50,42</v>
      </c>
    </row>
    <row r="186" spans="1:28" ht="16" x14ac:dyDescent="0.25">
      <c r="A186" s="24">
        <v>185</v>
      </c>
      <c r="B186" s="24" t="s">
        <v>622</v>
      </c>
      <c r="C186" s="24" t="s">
        <v>144</v>
      </c>
      <c r="D186" s="116">
        <v>45</v>
      </c>
      <c r="E186" s="116">
        <v>402.8</v>
      </c>
      <c r="F186" s="108">
        <f t="shared" si="40"/>
        <v>447.8</v>
      </c>
      <c r="G186" s="116">
        <v>0</v>
      </c>
      <c r="H186" s="116">
        <v>0</v>
      </c>
      <c r="I186" s="28">
        <f t="shared" si="41"/>
        <v>0</v>
      </c>
      <c r="J186" s="28">
        <f t="shared" si="42"/>
        <v>45</v>
      </c>
      <c r="K186" s="28">
        <f t="shared" si="43"/>
        <v>402.8</v>
      </c>
      <c r="L186" s="28">
        <f t="shared" si="44"/>
        <v>4.5</v>
      </c>
      <c r="M186" s="28">
        <f t="shared" si="45"/>
        <v>40.28</v>
      </c>
      <c r="N186" s="107">
        <f t="shared" si="46"/>
        <v>447.8</v>
      </c>
      <c r="O186" s="107">
        <f t="shared" si="47"/>
        <v>44.78</v>
      </c>
      <c r="P186" s="9"/>
      <c r="Q186" s="35" t="str">
        <f t="shared" si="48"/>
        <v>45,00</v>
      </c>
      <c r="R186" s="35" t="str">
        <f t="shared" si="49"/>
        <v>402,80</v>
      </c>
      <c r="S186" s="35" t="str">
        <f t="shared" si="50"/>
        <v>447,80</v>
      </c>
      <c r="T186" s="35" t="str">
        <f t="shared" si="51"/>
        <v>,00</v>
      </c>
      <c r="U186" s="35" t="str">
        <f t="shared" si="52"/>
        <v>,00</v>
      </c>
      <c r="V186" s="35" t="str">
        <f t="shared" si="53"/>
        <v>,00</v>
      </c>
      <c r="W186" s="35" t="str">
        <f t="shared" si="54"/>
        <v>45,00</v>
      </c>
      <c r="X186" s="35" t="str">
        <f t="shared" si="55"/>
        <v>402,80</v>
      </c>
      <c r="Y186" s="35" t="str">
        <f t="shared" si="56"/>
        <v>4,50</v>
      </c>
      <c r="Z186" s="35" t="str">
        <f t="shared" si="57"/>
        <v>40,28</v>
      </c>
      <c r="AA186" s="35" t="str">
        <f t="shared" si="58"/>
        <v>447,80</v>
      </c>
      <c r="AB186" s="35" t="str">
        <f t="shared" si="59"/>
        <v>44,78</v>
      </c>
    </row>
    <row r="187" spans="1:28" ht="16" x14ac:dyDescent="0.25">
      <c r="A187" s="24">
        <v>186</v>
      </c>
      <c r="B187" s="24" t="s">
        <v>34</v>
      </c>
      <c r="C187" s="24" t="s">
        <v>262</v>
      </c>
      <c r="D187" s="116">
        <v>1345.8000000000002</v>
      </c>
      <c r="E187" s="116">
        <v>1083.7</v>
      </c>
      <c r="F187" s="108">
        <f t="shared" si="40"/>
        <v>2429.5</v>
      </c>
      <c r="G187" s="116">
        <v>0</v>
      </c>
      <c r="H187" s="116">
        <v>0</v>
      </c>
      <c r="I187" s="28">
        <f t="shared" si="41"/>
        <v>0</v>
      </c>
      <c r="J187" s="28">
        <f t="shared" si="42"/>
        <v>1345.8000000000002</v>
      </c>
      <c r="K187" s="28">
        <f t="shared" si="43"/>
        <v>1083.7</v>
      </c>
      <c r="L187" s="28">
        <f t="shared" si="44"/>
        <v>134.58000000000001</v>
      </c>
      <c r="M187" s="28">
        <f t="shared" si="45"/>
        <v>108.37</v>
      </c>
      <c r="N187" s="107">
        <f t="shared" si="46"/>
        <v>2429.5</v>
      </c>
      <c r="O187" s="107">
        <f t="shared" si="47"/>
        <v>242.95000000000002</v>
      </c>
      <c r="P187" s="9"/>
      <c r="Q187" s="35" t="str">
        <f t="shared" si="48"/>
        <v>1.345,80</v>
      </c>
      <c r="R187" s="35" t="str">
        <f t="shared" si="49"/>
        <v>1.083,70</v>
      </c>
      <c r="S187" s="35" t="str">
        <f t="shared" si="50"/>
        <v>2.429,50</v>
      </c>
      <c r="T187" s="35" t="str">
        <f t="shared" si="51"/>
        <v>,00</v>
      </c>
      <c r="U187" s="35" t="str">
        <f t="shared" si="52"/>
        <v>,00</v>
      </c>
      <c r="V187" s="35" t="str">
        <f t="shared" si="53"/>
        <v>,00</v>
      </c>
      <c r="W187" s="35" t="str">
        <f t="shared" si="54"/>
        <v>1.345,80</v>
      </c>
      <c r="X187" s="35" t="str">
        <f t="shared" si="55"/>
        <v>1.083,70</v>
      </c>
      <c r="Y187" s="35" t="str">
        <f t="shared" si="56"/>
        <v>134,58</v>
      </c>
      <c r="Z187" s="35" t="str">
        <f t="shared" si="57"/>
        <v>108,37</v>
      </c>
      <c r="AA187" s="35" t="str">
        <f t="shared" si="58"/>
        <v>2.429,50</v>
      </c>
      <c r="AB187" s="35" t="str">
        <f t="shared" si="59"/>
        <v>242,95</v>
      </c>
    </row>
    <row r="188" spans="1:28" ht="16" x14ac:dyDescent="0.25">
      <c r="A188" s="24">
        <v>187</v>
      </c>
      <c r="B188" s="24" t="s">
        <v>1878</v>
      </c>
      <c r="C188" s="24" t="s">
        <v>117</v>
      </c>
      <c r="D188" s="116">
        <v>882938.97</v>
      </c>
      <c r="E188" s="116">
        <v>1513160.37</v>
      </c>
      <c r="F188" s="108">
        <f t="shared" si="40"/>
        <v>2396099.34</v>
      </c>
      <c r="G188" s="116">
        <v>667841.48000000021</v>
      </c>
      <c r="H188" s="116">
        <v>690705.03999999992</v>
      </c>
      <c r="I188" s="28">
        <f t="shared" si="41"/>
        <v>1358546.52</v>
      </c>
      <c r="J188" s="28">
        <f t="shared" si="42"/>
        <v>215097.48999999976</v>
      </c>
      <c r="K188" s="28">
        <f t="shared" si="43"/>
        <v>822455.33000000019</v>
      </c>
      <c r="L188" s="28">
        <f t="shared" si="44"/>
        <v>21509.748999999978</v>
      </c>
      <c r="M188" s="28">
        <f t="shared" si="45"/>
        <v>82245.533000000025</v>
      </c>
      <c r="N188" s="107">
        <f t="shared" si="46"/>
        <v>1037552.8199999998</v>
      </c>
      <c r="O188" s="107">
        <f t="shared" si="47"/>
        <v>103755.28199999999</v>
      </c>
      <c r="P188" s="9"/>
      <c r="Q188" s="35" t="str">
        <f t="shared" si="48"/>
        <v>882.938,97</v>
      </c>
      <c r="R188" s="35" t="str">
        <f t="shared" si="49"/>
        <v>1.513.160,37</v>
      </c>
      <c r="S188" s="35" t="str">
        <f t="shared" si="50"/>
        <v>2.396.099,34</v>
      </c>
      <c r="T188" s="35" t="str">
        <f t="shared" si="51"/>
        <v>667.841,48</v>
      </c>
      <c r="U188" s="35" t="str">
        <f t="shared" si="52"/>
        <v>690.705,04</v>
      </c>
      <c r="V188" s="35" t="str">
        <f t="shared" si="53"/>
        <v>1.358.546,52</v>
      </c>
      <c r="W188" s="35" t="str">
        <f t="shared" si="54"/>
        <v>215.097,49</v>
      </c>
      <c r="X188" s="35" t="str">
        <f t="shared" si="55"/>
        <v>822.455,33</v>
      </c>
      <c r="Y188" s="35" t="str">
        <f t="shared" si="56"/>
        <v>21.509,75</v>
      </c>
      <c r="Z188" s="35" t="str">
        <f t="shared" si="57"/>
        <v>82.245,53</v>
      </c>
      <c r="AA188" s="35" t="str">
        <f t="shared" si="58"/>
        <v>1.037.552,82</v>
      </c>
      <c r="AB188" s="35" t="str">
        <f t="shared" si="59"/>
        <v>103.755,28</v>
      </c>
    </row>
    <row r="189" spans="1:28" ht="16" x14ac:dyDescent="0.25">
      <c r="A189" s="24">
        <v>188</v>
      </c>
      <c r="B189" s="24" t="s">
        <v>1879</v>
      </c>
      <c r="C189" s="24" t="s">
        <v>118</v>
      </c>
      <c r="D189" s="116">
        <v>313287.67999999999</v>
      </c>
      <c r="E189" s="116">
        <v>399261.03000000009</v>
      </c>
      <c r="F189" s="108">
        <f t="shared" si="40"/>
        <v>712548.71000000008</v>
      </c>
      <c r="G189" s="116">
        <v>19416.600000000002</v>
      </c>
      <c r="H189" s="116">
        <v>49585.000000000007</v>
      </c>
      <c r="I189" s="28">
        <f t="shared" si="41"/>
        <v>69001.600000000006</v>
      </c>
      <c r="J189" s="28">
        <f t="shared" si="42"/>
        <v>293871.08</v>
      </c>
      <c r="K189" s="28">
        <f t="shared" si="43"/>
        <v>349676.03000000009</v>
      </c>
      <c r="L189" s="28">
        <f t="shared" si="44"/>
        <v>29387.108000000004</v>
      </c>
      <c r="M189" s="28">
        <f t="shared" si="45"/>
        <v>34967.60300000001</v>
      </c>
      <c r="N189" s="107">
        <f t="shared" si="46"/>
        <v>643547.1100000001</v>
      </c>
      <c r="O189" s="107">
        <f t="shared" si="47"/>
        <v>64354.71100000001</v>
      </c>
      <c r="P189" s="9"/>
      <c r="Q189" s="35" t="str">
        <f t="shared" si="48"/>
        <v>313.287,68</v>
      </c>
      <c r="R189" s="35" t="str">
        <f t="shared" si="49"/>
        <v>399.261,03</v>
      </c>
      <c r="S189" s="35" t="str">
        <f t="shared" si="50"/>
        <v>712.548,71</v>
      </c>
      <c r="T189" s="35" t="str">
        <f t="shared" si="51"/>
        <v>19.416,60</v>
      </c>
      <c r="U189" s="35" t="str">
        <f t="shared" si="52"/>
        <v>49.585,00</v>
      </c>
      <c r="V189" s="35" t="str">
        <f t="shared" si="53"/>
        <v>69.001,60</v>
      </c>
      <c r="W189" s="35" t="str">
        <f t="shared" si="54"/>
        <v>293.871,08</v>
      </c>
      <c r="X189" s="35" t="str">
        <f t="shared" si="55"/>
        <v>349.676,03</v>
      </c>
      <c r="Y189" s="35" t="str">
        <f t="shared" si="56"/>
        <v>29.387,11</v>
      </c>
      <c r="Z189" s="35" t="str">
        <f t="shared" si="57"/>
        <v>34.967,60</v>
      </c>
      <c r="AA189" s="35" t="str">
        <f t="shared" si="58"/>
        <v>643.547,11</v>
      </c>
      <c r="AB189" s="35" t="str">
        <f t="shared" si="59"/>
        <v>64.354,71</v>
      </c>
    </row>
    <row r="190" spans="1:28" ht="16" x14ac:dyDescent="0.25">
      <c r="A190" s="24">
        <v>189</v>
      </c>
      <c r="B190" s="24" t="s">
        <v>34</v>
      </c>
      <c r="C190" s="24" t="s">
        <v>76</v>
      </c>
      <c r="D190" s="116">
        <v>7748.3</v>
      </c>
      <c r="E190" s="116">
        <v>30483.759999999998</v>
      </c>
      <c r="F190" s="108">
        <f t="shared" ref="F190:F252" si="60">D190+E190</f>
        <v>38232.06</v>
      </c>
      <c r="G190" s="116">
        <v>60.2</v>
      </c>
      <c r="H190" s="116">
        <v>617.1</v>
      </c>
      <c r="I190" s="28">
        <f t="shared" ref="I190:I252" si="61">G190+H190</f>
        <v>677.30000000000007</v>
      </c>
      <c r="J190" s="28">
        <f t="shared" ref="J190:J252" si="62">D190-G190</f>
        <v>7688.1</v>
      </c>
      <c r="K190" s="28">
        <f t="shared" ref="K190:K252" si="63">E190-H190</f>
        <v>29866.66</v>
      </c>
      <c r="L190" s="28">
        <f t="shared" ref="L190:L252" si="64">J190*0.1</f>
        <v>768.81000000000006</v>
      </c>
      <c r="M190" s="28">
        <f t="shared" ref="M190:M252" si="65">K190*0.1</f>
        <v>2986.6660000000002</v>
      </c>
      <c r="N190" s="107">
        <f t="shared" ref="N190:N252" si="66">F190-I190</f>
        <v>37554.759999999995</v>
      </c>
      <c r="O190" s="107">
        <f t="shared" ref="O190:O252" si="67">N190*0.1</f>
        <v>3755.4759999999997</v>
      </c>
      <c r="P190" s="9"/>
      <c r="Q190" s="35" t="str">
        <f t="shared" ref="Q190:Q252" si="68">TEXT(D190,"#.###,00")</f>
        <v>7.748,30</v>
      </c>
      <c r="R190" s="35" t="str">
        <f t="shared" ref="R190:R252" si="69">TEXT(E190,"#.###,00")</f>
        <v>30.483,76</v>
      </c>
      <c r="S190" s="35" t="str">
        <f t="shared" ref="S190:S252" si="70">TEXT(F190,"#.###,00")</f>
        <v>38.232,06</v>
      </c>
      <c r="T190" s="35" t="str">
        <f t="shared" ref="T190:T252" si="71">TEXT(G190,"#.###,00")</f>
        <v>60,20</v>
      </c>
      <c r="U190" s="35" t="str">
        <f t="shared" ref="U190:U252" si="72">TEXT(H190,"#.###,00")</f>
        <v>617,10</v>
      </c>
      <c r="V190" s="35" t="str">
        <f t="shared" ref="V190:V252" si="73">TEXT(I190,"#.###,00")</f>
        <v>677,30</v>
      </c>
      <c r="W190" s="35" t="str">
        <f t="shared" ref="W190:W252" si="74">TEXT(J190,"#.###,00")</f>
        <v>7.688,10</v>
      </c>
      <c r="X190" s="35" t="str">
        <f t="shared" ref="X190:X252" si="75">TEXT(K190,"#.###,00")</f>
        <v>29.866,66</v>
      </c>
      <c r="Y190" s="35" t="str">
        <f t="shared" ref="Y190:Y252" si="76">TEXT(L190,"#.###,00")</f>
        <v>768,81</v>
      </c>
      <c r="Z190" s="35" t="str">
        <f t="shared" ref="Z190:Z252" si="77">TEXT(M190,"#.###,00")</f>
        <v>2.986,67</v>
      </c>
      <c r="AA190" s="35" t="str">
        <f t="shared" ref="AA190:AA252" si="78">TEXT(N190,"#.###,00")</f>
        <v>37.554,76</v>
      </c>
      <c r="AB190" s="35" t="str">
        <f t="shared" ref="AB190:AB252" si="79">TEXT(O190,"#.###,00")</f>
        <v>3.755,48</v>
      </c>
    </row>
    <row r="191" spans="1:28" ht="16" x14ac:dyDescent="0.25">
      <c r="A191" s="24">
        <v>190</v>
      </c>
      <c r="B191" s="24" t="s">
        <v>4355</v>
      </c>
      <c r="C191" s="24" t="s">
        <v>76</v>
      </c>
      <c r="D191" s="116">
        <v>394.8</v>
      </c>
      <c r="E191" s="116">
        <v>7046.4</v>
      </c>
      <c r="F191" s="108">
        <f t="shared" si="60"/>
        <v>7441.2</v>
      </c>
      <c r="G191" s="116">
        <v>0</v>
      </c>
      <c r="H191" s="116">
        <v>0</v>
      </c>
      <c r="I191" s="28">
        <f t="shared" si="61"/>
        <v>0</v>
      </c>
      <c r="J191" s="28">
        <f t="shared" si="62"/>
        <v>394.8</v>
      </c>
      <c r="K191" s="28">
        <f t="shared" si="63"/>
        <v>7046.4</v>
      </c>
      <c r="L191" s="28">
        <f t="shared" si="64"/>
        <v>39.480000000000004</v>
      </c>
      <c r="M191" s="28">
        <f t="shared" si="65"/>
        <v>704.64</v>
      </c>
      <c r="N191" s="107">
        <f t="shared" si="66"/>
        <v>7441.2</v>
      </c>
      <c r="O191" s="107">
        <f t="shared" si="67"/>
        <v>744.12</v>
      </c>
      <c r="P191" s="9"/>
      <c r="Q191" s="35" t="str">
        <f t="shared" si="68"/>
        <v>394,80</v>
      </c>
      <c r="R191" s="35" t="str">
        <f t="shared" si="69"/>
        <v>7.046,40</v>
      </c>
      <c r="S191" s="35" t="str">
        <f t="shared" si="70"/>
        <v>7.441,20</v>
      </c>
      <c r="T191" s="35" t="str">
        <f t="shared" si="71"/>
        <v>,00</v>
      </c>
      <c r="U191" s="35" t="str">
        <f t="shared" si="72"/>
        <v>,00</v>
      </c>
      <c r="V191" s="35" t="str">
        <f t="shared" si="73"/>
        <v>,00</v>
      </c>
      <c r="W191" s="35" t="str">
        <f t="shared" si="74"/>
        <v>394,80</v>
      </c>
      <c r="X191" s="35" t="str">
        <f t="shared" si="75"/>
        <v>7.046,40</v>
      </c>
      <c r="Y191" s="35" t="str">
        <f t="shared" si="76"/>
        <v>39,48</v>
      </c>
      <c r="Z191" s="35" t="str">
        <f t="shared" si="77"/>
        <v>704,64</v>
      </c>
      <c r="AA191" s="35" t="str">
        <f t="shared" si="78"/>
        <v>7.441,20</v>
      </c>
      <c r="AB191" s="35" t="str">
        <f t="shared" si="79"/>
        <v>744,12</v>
      </c>
    </row>
    <row r="192" spans="1:28" ht="16" x14ac:dyDescent="0.25">
      <c r="A192" s="24">
        <v>191</v>
      </c>
      <c r="B192" s="24" t="s">
        <v>374</v>
      </c>
      <c r="C192" s="24" t="s">
        <v>76</v>
      </c>
      <c r="D192" s="116">
        <v>1611</v>
      </c>
      <c r="E192" s="116">
        <v>3013.5</v>
      </c>
      <c r="F192" s="108">
        <f t="shared" si="60"/>
        <v>4624.5</v>
      </c>
      <c r="G192" s="116">
        <v>5.4</v>
      </c>
      <c r="H192" s="116">
        <v>103.3</v>
      </c>
      <c r="I192" s="28">
        <f t="shared" si="61"/>
        <v>108.7</v>
      </c>
      <c r="J192" s="28">
        <f t="shared" si="62"/>
        <v>1605.6</v>
      </c>
      <c r="K192" s="28">
        <f t="shared" si="63"/>
        <v>2910.2</v>
      </c>
      <c r="L192" s="28">
        <f t="shared" si="64"/>
        <v>160.56</v>
      </c>
      <c r="M192" s="28">
        <f t="shared" si="65"/>
        <v>291.02</v>
      </c>
      <c r="N192" s="107">
        <f t="shared" si="66"/>
        <v>4515.8</v>
      </c>
      <c r="O192" s="107">
        <f t="shared" si="67"/>
        <v>451.58000000000004</v>
      </c>
      <c r="P192" s="9"/>
      <c r="Q192" s="35" t="str">
        <f t="shared" si="68"/>
        <v>1.611,00</v>
      </c>
      <c r="R192" s="35" t="str">
        <f t="shared" si="69"/>
        <v>3.013,50</v>
      </c>
      <c r="S192" s="35" t="str">
        <f t="shared" si="70"/>
        <v>4.624,50</v>
      </c>
      <c r="T192" s="35" t="str">
        <f t="shared" si="71"/>
        <v>5,40</v>
      </c>
      <c r="U192" s="35" t="str">
        <f t="shared" si="72"/>
        <v>103,30</v>
      </c>
      <c r="V192" s="35" t="str">
        <f t="shared" si="73"/>
        <v>108,70</v>
      </c>
      <c r="W192" s="35" t="str">
        <f t="shared" si="74"/>
        <v>1.605,60</v>
      </c>
      <c r="X192" s="35" t="str">
        <f t="shared" si="75"/>
        <v>2.910,20</v>
      </c>
      <c r="Y192" s="35" t="str">
        <f t="shared" si="76"/>
        <v>160,56</v>
      </c>
      <c r="Z192" s="35" t="str">
        <f t="shared" si="77"/>
        <v>291,02</v>
      </c>
      <c r="AA192" s="35" t="str">
        <f t="shared" si="78"/>
        <v>4.515,80</v>
      </c>
      <c r="AB192" s="35" t="str">
        <f t="shared" si="79"/>
        <v>451,58</v>
      </c>
    </row>
    <row r="193" spans="1:28" ht="16" x14ac:dyDescent="0.25">
      <c r="A193" s="24">
        <v>192</v>
      </c>
      <c r="B193" s="24" t="s">
        <v>458</v>
      </c>
      <c r="C193" s="24" t="s">
        <v>76</v>
      </c>
      <c r="D193" s="116">
        <v>639.6</v>
      </c>
      <c r="E193" s="116">
        <v>1321.2</v>
      </c>
      <c r="F193" s="108">
        <f t="shared" si="60"/>
        <v>1960.8000000000002</v>
      </c>
      <c r="G193" s="116">
        <v>0</v>
      </c>
      <c r="H193" s="116">
        <v>0</v>
      </c>
      <c r="I193" s="28">
        <f t="shared" si="61"/>
        <v>0</v>
      </c>
      <c r="J193" s="28">
        <f t="shared" si="62"/>
        <v>639.6</v>
      </c>
      <c r="K193" s="28">
        <f t="shared" si="63"/>
        <v>1321.2</v>
      </c>
      <c r="L193" s="28">
        <f t="shared" si="64"/>
        <v>63.960000000000008</v>
      </c>
      <c r="M193" s="28">
        <f t="shared" si="65"/>
        <v>132.12</v>
      </c>
      <c r="N193" s="107">
        <f t="shared" si="66"/>
        <v>1960.8000000000002</v>
      </c>
      <c r="O193" s="107">
        <f t="shared" si="67"/>
        <v>196.08000000000004</v>
      </c>
      <c r="P193" s="9"/>
      <c r="Q193" s="35" t="str">
        <f t="shared" si="68"/>
        <v>639,60</v>
      </c>
      <c r="R193" s="35" t="str">
        <f t="shared" si="69"/>
        <v>1.321,20</v>
      </c>
      <c r="S193" s="35" t="str">
        <f t="shared" si="70"/>
        <v>1.960,80</v>
      </c>
      <c r="T193" s="35" t="str">
        <f t="shared" si="71"/>
        <v>,00</v>
      </c>
      <c r="U193" s="35" t="str">
        <f t="shared" si="72"/>
        <v>,00</v>
      </c>
      <c r="V193" s="35" t="str">
        <f t="shared" si="73"/>
        <v>,00</v>
      </c>
      <c r="W193" s="35" t="str">
        <f t="shared" si="74"/>
        <v>639,60</v>
      </c>
      <c r="X193" s="35" t="str">
        <f t="shared" si="75"/>
        <v>1.321,20</v>
      </c>
      <c r="Y193" s="35" t="str">
        <f t="shared" si="76"/>
        <v>63,96</v>
      </c>
      <c r="Z193" s="35" t="str">
        <f t="shared" si="77"/>
        <v>132,12</v>
      </c>
      <c r="AA193" s="35" t="str">
        <f t="shared" si="78"/>
        <v>1.960,80</v>
      </c>
      <c r="AB193" s="35" t="str">
        <f t="shared" si="79"/>
        <v>196,08</v>
      </c>
    </row>
    <row r="194" spans="1:28" ht="16" x14ac:dyDescent="0.25">
      <c r="A194" s="24">
        <v>193</v>
      </c>
      <c r="B194" s="24" t="s">
        <v>307</v>
      </c>
      <c r="C194" s="24" t="s">
        <v>76</v>
      </c>
      <c r="D194" s="116">
        <v>136.30000000000001</v>
      </c>
      <c r="E194" s="116">
        <v>269.2</v>
      </c>
      <c r="F194" s="108">
        <f t="shared" si="60"/>
        <v>405.5</v>
      </c>
      <c r="G194" s="116">
        <v>0</v>
      </c>
      <c r="H194" s="116">
        <v>0</v>
      </c>
      <c r="I194" s="28">
        <f t="shared" si="61"/>
        <v>0</v>
      </c>
      <c r="J194" s="28">
        <f t="shared" si="62"/>
        <v>136.30000000000001</v>
      </c>
      <c r="K194" s="28">
        <f t="shared" si="63"/>
        <v>269.2</v>
      </c>
      <c r="L194" s="28">
        <f t="shared" si="64"/>
        <v>13.630000000000003</v>
      </c>
      <c r="M194" s="28">
        <f t="shared" si="65"/>
        <v>26.92</v>
      </c>
      <c r="N194" s="107">
        <f t="shared" si="66"/>
        <v>405.5</v>
      </c>
      <c r="O194" s="107">
        <f t="shared" si="67"/>
        <v>40.550000000000004</v>
      </c>
      <c r="P194" s="9"/>
      <c r="Q194" s="35" t="str">
        <f t="shared" si="68"/>
        <v>136,30</v>
      </c>
      <c r="R194" s="35" t="str">
        <f t="shared" si="69"/>
        <v>269,20</v>
      </c>
      <c r="S194" s="35" t="str">
        <f t="shared" si="70"/>
        <v>405,50</v>
      </c>
      <c r="T194" s="35" t="str">
        <f t="shared" si="71"/>
        <v>,00</v>
      </c>
      <c r="U194" s="35" t="str">
        <f t="shared" si="72"/>
        <v>,00</v>
      </c>
      <c r="V194" s="35" t="str">
        <f t="shared" si="73"/>
        <v>,00</v>
      </c>
      <c r="W194" s="35" t="str">
        <f t="shared" si="74"/>
        <v>136,30</v>
      </c>
      <c r="X194" s="35" t="str">
        <f t="shared" si="75"/>
        <v>269,20</v>
      </c>
      <c r="Y194" s="35" t="str">
        <f t="shared" si="76"/>
        <v>13,63</v>
      </c>
      <c r="Z194" s="35" t="str">
        <f t="shared" si="77"/>
        <v>26,92</v>
      </c>
      <c r="AA194" s="35" t="str">
        <f t="shared" si="78"/>
        <v>405,50</v>
      </c>
      <c r="AB194" s="35" t="str">
        <f t="shared" si="79"/>
        <v>40,55</v>
      </c>
    </row>
    <row r="195" spans="1:28" ht="16" x14ac:dyDescent="0.25">
      <c r="A195" s="24">
        <v>194</v>
      </c>
      <c r="B195" s="24" t="s">
        <v>643</v>
      </c>
      <c r="C195" s="24" t="s">
        <v>76</v>
      </c>
      <c r="D195" s="116">
        <v>155.6</v>
      </c>
      <c r="E195" s="116">
        <v>107.3</v>
      </c>
      <c r="F195" s="108">
        <f t="shared" si="60"/>
        <v>262.89999999999998</v>
      </c>
      <c r="G195" s="116">
        <v>0</v>
      </c>
      <c r="H195" s="116">
        <v>0</v>
      </c>
      <c r="I195" s="28">
        <f t="shared" si="61"/>
        <v>0</v>
      </c>
      <c r="J195" s="28">
        <f t="shared" si="62"/>
        <v>155.6</v>
      </c>
      <c r="K195" s="28">
        <f t="shared" si="63"/>
        <v>107.3</v>
      </c>
      <c r="L195" s="28">
        <f t="shared" si="64"/>
        <v>15.56</v>
      </c>
      <c r="M195" s="28">
        <f t="shared" si="65"/>
        <v>10.73</v>
      </c>
      <c r="N195" s="107">
        <f t="shared" si="66"/>
        <v>262.89999999999998</v>
      </c>
      <c r="O195" s="107">
        <f t="shared" si="67"/>
        <v>26.29</v>
      </c>
      <c r="P195" s="9"/>
      <c r="Q195" s="35" t="str">
        <f t="shared" si="68"/>
        <v>155,60</v>
      </c>
      <c r="R195" s="35" t="str">
        <f t="shared" si="69"/>
        <v>107,30</v>
      </c>
      <c r="S195" s="35" t="str">
        <f t="shared" si="70"/>
        <v>262,90</v>
      </c>
      <c r="T195" s="35" t="str">
        <f t="shared" si="71"/>
        <v>,00</v>
      </c>
      <c r="U195" s="35" t="str">
        <f t="shared" si="72"/>
        <v>,00</v>
      </c>
      <c r="V195" s="35" t="str">
        <f t="shared" si="73"/>
        <v>,00</v>
      </c>
      <c r="W195" s="35" t="str">
        <f t="shared" si="74"/>
        <v>155,60</v>
      </c>
      <c r="X195" s="35" t="str">
        <f t="shared" si="75"/>
        <v>107,30</v>
      </c>
      <c r="Y195" s="35" t="str">
        <f t="shared" si="76"/>
        <v>15,56</v>
      </c>
      <c r="Z195" s="35" t="str">
        <f t="shared" si="77"/>
        <v>10,73</v>
      </c>
      <c r="AA195" s="35" t="str">
        <f t="shared" si="78"/>
        <v>262,90</v>
      </c>
      <c r="AB195" s="35" t="str">
        <f t="shared" si="79"/>
        <v>26,29</v>
      </c>
    </row>
    <row r="196" spans="1:28" ht="16" x14ac:dyDescent="0.25">
      <c r="A196" s="24">
        <v>195</v>
      </c>
      <c r="B196" s="24" t="s">
        <v>2393</v>
      </c>
      <c r="C196" s="24" t="s">
        <v>76</v>
      </c>
      <c r="D196" s="116">
        <v>5.4</v>
      </c>
      <c r="E196" s="116">
        <v>103.3</v>
      </c>
      <c r="F196" s="108">
        <f t="shared" si="60"/>
        <v>108.7</v>
      </c>
      <c r="G196" s="116">
        <v>0</v>
      </c>
      <c r="H196" s="116">
        <v>0</v>
      </c>
      <c r="I196" s="28">
        <f t="shared" si="61"/>
        <v>0</v>
      </c>
      <c r="J196" s="28">
        <f t="shared" si="62"/>
        <v>5.4</v>
      </c>
      <c r="K196" s="28">
        <f t="shared" si="63"/>
        <v>103.3</v>
      </c>
      <c r="L196" s="28">
        <f t="shared" si="64"/>
        <v>0.54</v>
      </c>
      <c r="M196" s="28">
        <f t="shared" si="65"/>
        <v>10.33</v>
      </c>
      <c r="N196" s="107">
        <f t="shared" si="66"/>
        <v>108.7</v>
      </c>
      <c r="O196" s="107">
        <f t="shared" si="67"/>
        <v>10.870000000000001</v>
      </c>
      <c r="P196" s="9"/>
      <c r="Q196" s="35" t="str">
        <f t="shared" si="68"/>
        <v>5,40</v>
      </c>
      <c r="R196" s="35" t="str">
        <f t="shared" si="69"/>
        <v>103,30</v>
      </c>
      <c r="S196" s="35" t="str">
        <f t="shared" si="70"/>
        <v>108,70</v>
      </c>
      <c r="T196" s="35" t="str">
        <f t="shared" si="71"/>
        <v>,00</v>
      </c>
      <c r="U196" s="35" t="str">
        <f t="shared" si="72"/>
        <v>,00</v>
      </c>
      <c r="V196" s="35" t="str">
        <f t="shared" si="73"/>
        <v>,00</v>
      </c>
      <c r="W196" s="35" t="str">
        <f t="shared" si="74"/>
        <v>5,40</v>
      </c>
      <c r="X196" s="35" t="str">
        <f t="shared" si="75"/>
        <v>103,30</v>
      </c>
      <c r="Y196" s="35" t="str">
        <f t="shared" si="76"/>
        <v>,54</v>
      </c>
      <c r="Z196" s="35" t="str">
        <f t="shared" si="77"/>
        <v>10,33</v>
      </c>
      <c r="AA196" s="35" t="str">
        <f t="shared" si="78"/>
        <v>108,70</v>
      </c>
      <c r="AB196" s="35" t="str">
        <f t="shared" si="79"/>
        <v>10,87</v>
      </c>
    </row>
    <row r="197" spans="1:28" ht="16" x14ac:dyDescent="0.25">
      <c r="A197" s="24">
        <v>196</v>
      </c>
      <c r="B197" s="24" t="s">
        <v>2020</v>
      </c>
      <c r="C197" s="24" t="s">
        <v>120</v>
      </c>
      <c r="D197" s="116">
        <v>37980.54</v>
      </c>
      <c r="E197" s="116">
        <v>31718.93</v>
      </c>
      <c r="F197" s="108">
        <f t="shared" si="60"/>
        <v>69699.47</v>
      </c>
      <c r="G197" s="116">
        <v>2116.5999999999995</v>
      </c>
      <c r="H197" s="116">
        <v>2293.1</v>
      </c>
      <c r="I197" s="28">
        <f t="shared" si="61"/>
        <v>4409.6999999999989</v>
      </c>
      <c r="J197" s="28">
        <f t="shared" si="62"/>
        <v>35863.94</v>
      </c>
      <c r="K197" s="28">
        <f t="shared" si="63"/>
        <v>29425.83</v>
      </c>
      <c r="L197" s="28">
        <f t="shared" si="64"/>
        <v>3586.3940000000002</v>
      </c>
      <c r="M197" s="28">
        <f t="shared" si="65"/>
        <v>2942.5830000000005</v>
      </c>
      <c r="N197" s="107">
        <f t="shared" si="66"/>
        <v>65289.770000000004</v>
      </c>
      <c r="O197" s="107">
        <f t="shared" si="67"/>
        <v>6528.9770000000008</v>
      </c>
      <c r="P197" s="9"/>
      <c r="Q197" s="35" t="str">
        <f t="shared" si="68"/>
        <v>37.980,54</v>
      </c>
      <c r="R197" s="35" t="str">
        <f t="shared" si="69"/>
        <v>31.718,93</v>
      </c>
      <c r="S197" s="35" t="str">
        <f t="shared" si="70"/>
        <v>69.699,47</v>
      </c>
      <c r="T197" s="35" t="str">
        <f t="shared" si="71"/>
        <v>2.116,60</v>
      </c>
      <c r="U197" s="35" t="str">
        <f t="shared" si="72"/>
        <v>2.293,10</v>
      </c>
      <c r="V197" s="35" t="str">
        <f t="shared" si="73"/>
        <v>4.409,70</v>
      </c>
      <c r="W197" s="35" t="str">
        <f t="shared" si="74"/>
        <v>35.863,94</v>
      </c>
      <c r="X197" s="35" t="str">
        <f t="shared" si="75"/>
        <v>29.425,83</v>
      </c>
      <c r="Y197" s="35" t="str">
        <f t="shared" si="76"/>
        <v>3.586,39</v>
      </c>
      <c r="Z197" s="35" t="str">
        <f t="shared" si="77"/>
        <v>2.942,58</v>
      </c>
      <c r="AA197" s="35" t="str">
        <f t="shared" si="78"/>
        <v>65.289,77</v>
      </c>
      <c r="AB197" s="35" t="str">
        <f t="shared" si="79"/>
        <v>6.528,98</v>
      </c>
    </row>
    <row r="198" spans="1:28" ht="16" x14ac:dyDescent="0.25">
      <c r="A198" s="24">
        <v>197</v>
      </c>
      <c r="B198" s="24" t="s">
        <v>2021</v>
      </c>
      <c r="C198" s="24" t="s">
        <v>121</v>
      </c>
      <c r="D198" s="116">
        <v>156841.02000000002</v>
      </c>
      <c r="E198" s="116">
        <v>278846.26000000007</v>
      </c>
      <c r="F198" s="108">
        <f t="shared" si="60"/>
        <v>435687.28000000009</v>
      </c>
      <c r="G198" s="116">
        <v>5907</v>
      </c>
      <c r="H198" s="116">
        <v>8177.1</v>
      </c>
      <c r="I198" s="28">
        <f t="shared" si="61"/>
        <v>14084.1</v>
      </c>
      <c r="J198" s="28">
        <f t="shared" si="62"/>
        <v>150934.02000000002</v>
      </c>
      <c r="K198" s="28">
        <f t="shared" si="63"/>
        <v>270669.16000000009</v>
      </c>
      <c r="L198" s="28">
        <f t="shared" si="64"/>
        <v>15093.402000000002</v>
      </c>
      <c r="M198" s="28">
        <f t="shared" si="65"/>
        <v>27066.916000000012</v>
      </c>
      <c r="N198" s="107">
        <f t="shared" si="66"/>
        <v>421603.18000000011</v>
      </c>
      <c r="O198" s="107">
        <f t="shared" si="67"/>
        <v>42160.318000000014</v>
      </c>
      <c r="P198" s="9"/>
      <c r="Q198" s="35" t="str">
        <f t="shared" si="68"/>
        <v>156.841,02</v>
      </c>
      <c r="R198" s="35" t="str">
        <f t="shared" si="69"/>
        <v>278.846,26</v>
      </c>
      <c r="S198" s="35" t="str">
        <f t="shared" si="70"/>
        <v>435.687,28</v>
      </c>
      <c r="T198" s="35" t="str">
        <f t="shared" si="71"/>
        <v>5.907,00</v>
      </c>
      <c r="U198" s="35" t="str">
        <f t="shared" si="72"/>
        <v>8.177,10</v>
      </c>
      <c r="V198" s="35" t="str">
        <f t="shared" si="73"/>
        <v>14.084,10</v>
      </c>
      <c r="W198" s="35" t="str">
        <f t="shared" si="74"/>
        <v>150.934,02</v>
      </c>
      <c r="X198" s="35" t="str">
        <f t="shared" si="75"/>
        <v>270.669,16</v>
      </c>
      <c r="Y198" s="35" t="str">
        <f t="shared" si="76"/>
        <v>15.093,40</v>
      </c>
      <c r="Z198" s="35" t="str">
        <f t="shared" si="77"/>
        <v>27.066,92</v>
      </c>
      <c r="AA198" s="35" t="str">
        <f t="shared" si="78"/>
        <v>421.603,18</v>
      </c>
      <c r="AB198" s="35" t="str">
        <f t="shared" si="79"/>
        <v>42.160,32</v>
      </c>
    </row>
    <row r="199" spans="1:28" ht="16" x14ac:dyDescent="0.25">
      <c r="A199" s="24">
        <v>198</v>
      </c>
      <c r="B199" s="24" t="s">
        <v>2946</v>
      </c>
      <c r="C199" s="24" t="s">
        <v>24</v>
      </c>
      <c r="D199" s="116">
        <v>192683.2</v>
      </c>
      <c r="E199" s="116">
        <v>82649.700000000012</v>
      </c>
      <c r="F199" s="108">
        <f t="shared" si="60"/>
        <v>275332.90000000002</v>
      </c>
      <c r="G199" s="116">
        <v>9481.3000000000011</v>
      </c>
      <c r="H199" s="116">
        <v>10637.7</v>
      </c>
      <c r="I199" s="28">
        <f t="shared" si="61"/>
        <v>20119</v>
      </c>
      <c r="J199" s="28">
        <f t="shared" si="62"/>
        <v>183201.90000000002</v>
      </c>
      <c r="K199" s="28">
        <f t="shared" si="63"/>
        <v>72012.000000000015</v>
      </c>
      <c r="L199" s="28">
        <f t="shared" si="64"/>
        <v>18320.190000000002</v>
      </c>
      <c r="M199" s="28">
        <f t="shared" si="65"/>
        <v>7201.2000000000016</v>
      </c>
      <c r="N199" s="107">
        <f t="shared" si="66"/>
        <v>255213.90000000002</v>
      </c>
      <c r="O199" s="107">
        <f t="shared" si="67"/>
        <v>25521.390000000003</v>
      </c>
      <c r="P199" s="9"/>
      <c r="Q199" s="35" t="str">
        <f t="shared" si="68"/>
        <v>192.683,20</v>
      </c>
      <c r="R199" s="35" t="str">
        <f t="shared" si="69"/>
        <v>82.649,70</v>
      </c>
      <c r="S199" s="35" t="str">
        <f t="shared" si="70"/>
        <v>275.332,90</v>
      </c>
      <c r="T199" s="35" t="str">
        <f t="shared" si="71"/>
        <v>9.481,30</v>
      </c>
      <c r="U199" s="35" t="str">
        <f t="shared" si="72"/>
        <v>10.637,70</v>
      </c>
      <c r="V199" s="35" t="str">
        <f t="shared" si="73"/>
        <v>20.119,00</v>
      </c>
      <c r="W199" s="35" t="str">
        <f t="shared" si="74"/>
        <v>183.201,90</v>
      </c>
      <c r="X199" s="35" t="str">
        <f t="shared" si="75"/>
        <v>72.012,00</v>
      </c>
      <c r="Y199" s="35" t="str">
        <f t="shared" si="76"/>
        <v>18.320,19</v>
      </c>
      <c r="Z199" s="35" t="str">
        <f t="shared" si="77"/>
        <v>7.201,20</v>
      </c>
      <c r="AA199" s="35" t="str">
        <f t="shared" si="78"/>
        <v>255.213,90</v>
      </c>
      <c r="AB199" s="35" t="str">
        <f t="shared" si="79"/>
        <v>25.521,39</v>
      </c>
    </row>
    <row r="200" spans="1:28" ht="16" x14ac:dyDescent="0.25">
      <c r="A200" s="24">
        <v>199</v>
      </c>
      <c r="B200" s="24" t="s">
        <v>1880</v>
      </c>
      <c r="C200" s="24" t="s">
        <v>122</v>
      </c>
      <c r="D200" s="116">
        <v>231096.39000000004</v>
      </c>
      <c r="E200" s="116">
        <v>315034.23999999993</v>
      </c>
      <c r="F200" s="108">
        <f t="shared" si="60"/>
        <v>546130.63</v>
      </c>
      <c r="G200" s="116">
        <v>5926.8899999999994</v>
      </c>
      <c r="H200" s="116">
        <v>13750.39</v>
      </c>
      <c r="I200" s="28">
        <f t="shared" si="61"/>
        <v>19677.28</v>
      </c>
      <c r="J200" s="28">
        <f t="shared" si="62"/>
        <v>225169.50000000006</v>
      </c>
      <c r="K200" s="28">
        <f t="shared" si="63"/>
        <v>301283.84999999992</v>
      </c>
      <c r="L200" s="28">
        <f t="shared" si="64"/>
        <v>22516.950000000008</v>
      </c>
      <c r="M200" s="28">
        <f t="shared" si="65"/>
        <v>30128.384999999995</v>
      </c>
      <c r="N200" s="107">
        <f t="shared" si="66"/>
        <v>526453.35</v>
      </c>
      <c r="O200" s="107">
        <f t="shared" si="67"/>
        <v>52645.334999999999</v>
      </c>
      <c r="P200" s="9"/>
      <c r="Q200" s="35" t="str">
        <f t="shared" si="68"/>
        <v>231.096,39</v>
      </c>
      <c r="R200" s="35" t="str">
        <f t="shared" si="69"/>
        <v>315.034,24</v>
      </c>
      <c r="S200" s="35" t="str">
        <f t="shared" si="70"/>
        <v>546.130,63</v>
      </c>
      <c r="T200" s="35" t="str">
        <f t="shared" si="71"/>
        <v>5.926,89</v>
      </c>
      <c r="U200" s="35" t="str">
        <f t="shared" si="72"/>
        <v>13.750,39</v>
      </c>
      <c r="V200" s="35" t="str">
        <f t="shared" si="73"/>
        <v>19.677,28</v>
      </c>
      <c r="W200" s="35" t="str">
        <f t="shared" si="74"/>
        <v>225.169,50</v>
      </c>
      <c r="X200" s="35" t="str">
        <f t="shared" si="75"/>
        <v>301.283,85</v>
      </c>
      <c r="Y200" s="35" t="str">
        <f t="shared" si="76"/>
        <v>22.516,95</v>
      </c>
      <c r="Z200" s="35" t="str">
        <f t="shared" si="77"/>
        <v>30.128,39</v>
      </c>
      <c r="AA200" s="35" t="str">
        <f t="shared" si="78"/>
        <v>526.453,35</v>
      </c>
      <c r="AB200" s="35" t="str">
        <f t="shared" si="79"/>
        <v>52.645,34</v>
      </c>
    </row>
    <row r="201" spans="1:28" ht="16" x14ac:dyDescent="0.25">
      <c r="A201" s="24">
        <v>200</v>
      </c>
      <c r="B201" s="24" t="s">
        <v>2022</v>
      </c>
      <c r="C201" s="24" t="s">
        <v>124</v>
      </c>
      <c r="D201" s="116">
        <v>697592.05999999994</v>
      </c>
      <c r="E201" s="116">
        <v>448123.0799999999</v>
      </c>
      <c r="F201" s="108">
        <f t="shared" si="60"/>
        <v>1145715.1399999999</v>
      </c>
      <c r="G201" s="116">
        <v>45249.840000000004</v>
      </c>
      <c r="H201" s="116">
        <v>47757.810000000012</v>
      </c>
      <c r="I201" s="28">
        <f t="shared" si="61"/>
        <v>93007.650000000023</v>
      </c>
      <c r="J201" s="28">
        <f t="shared" si="62"/>
        <v>652342.22</v>
      </c>
      <c r="K201" s="28">
        <f t="shared" si="63"/>
        <v>400365.2699999999</v>
      </c>
      <c r="L201" s="28">
        <f t="shared" si="64"/>
        <v>65234.222000000002</v>
      </c>
      <c r="M201" s="28">
        <f t="shared" si="65"/>
        <v>40036.526999999995</v>
      </c>
      <c r="N201" s="107">
        <f t="shared" si="66"/>
        <v>1052707.4899999998</v>
      </c>
      <c r="O201" s="107">
        <f t="shared" si="67"/>
        <v>105270.74899999998</v>
      </c>
      <c r="P201" s="9"/>
      <c r="Q201" s="35" t="str">
        <f t="shared" si="68"/>
        <v>697.592,06</v>
      </c>
      <c r="R201" s="35" t="str">
        <f t="shared" si="69"/>
        <v>448.123,08</v>
      </c>
      <c r="S201" s="35" t="str">
        <f t="shared" si="70"/>
        <v>1.145.715,14</v>
      </c>
      <c r="T201" s="35" t="str">
        <f t="shared" si="71"/>
        <v>45.249,84</v>
      </c>
      <c r="U201" s="35" t="str">
        <f t="shared" si="72"/>
        <v>47.757,81</v>
      </c>
      <c r="V201" s="35" t="str">
        <f t="shared" si="73"/>
        <v>93.007,65</v>
      </c>
      <c r="W201" s="35" t="str">
        <f t="shared" si="74"/>
        <v>652.342,22</v>
      </c>
      <c r="X201" s="35" t="str">
        <f t="shared" si="75"/>
        <v>400.365,27</v>
      </c>
      <c r="Y201" s="35" t="str">
        <f t="shared" si="76"/>
        <v>65.234,22</v>
      </c>
      <c r="Z201" s="35" t="str">
        <f t="shared" si="77"/>
        <v>40.036,53</v>
      </c>
      <c r="AA201" s="35" t="str">
        <f t="shared" si="78"/>
        <v>1.052.707,49</v>
      </c>
      <c r="AB201" s="35" t="str">
        <f t="shared" si="79"/>
        <v>105.270,75</v>
      </c>
    </row>
    <row r="202" spans="1:28" ht="16" x14ac:dyDescent="0.25">
      <c r="A202" s="24">
        <v>201</v>
      </c>
      <c r="B202" s="24" t="s">
        <v>34</v>
      </c>
      <c r="C202" s="24" t="s">
        <v>221</v>
      </c>
      <c r="D202" s="116">
        <v>947.00000000000011</v>
      </c>
      <c r="E202" s="116">
        <v>913.8</v>
      </c>
      <c r="F202" s="108">
        <f t="shared" si="60"/>
        <v>1860.8000000000002</v>
      </c>
      <c r="G202" s="116">
        <v>331.9</v>
      </c>
      <c r="H202" s="116">
        <v>180.9</v>
      </c>
      <c r="I202" s="28">
        <f t="shared" si="61"/>
        <v>512.79999999999995</v>
      </c>
      <c r="J202" s="28">
        <f t="shared" si="62"/>
        <v>615.10000000000014</v>
      </c>
      <c r="K202" s="28">
        <f t="shared" si="63"/>
        <v>732.9</v>
      </c>
      <c r="L202" s="28">
        <f t="shared" si="64"/>
        <v>61.510000000000019</v>
      </c>
      <c r="M202" s="28">
        <f t="shared" si="65"/>
        <v>73.290000000000006</v>
      </c>
      <c r="N202" s="107">
        <f t="shared" si="66"/>
        <v>1348.0000000000002</v>
      </c>
      <c r="O202" s="107">
        <f t="shared" si="67"/>
        <v>134.80000000000004</v>
      </c>
      <c r="P202" s="9"/>
      <c r="Q202" s="35" t="str">
        <f t="shared" si="68"/>
        <v>947,00</v>
      </c>
      <c r="R202" s="35" t="str">
        <f t="shared" si="69"/>
        <v>913,80</v>
      </c>
      <c r="S202" s="35" t="str">
        <f t="shared" si="70"/>
        <v>1.860,80</v>
      </c>
      <c r="T202" s="35" t="str">
        <f t="shared" si="71"/>
        <v>331,90</v>
      </c>
      <c r="U202" s="35" t="str">
        <f t="shared" si="72"/>
        <v>180,90</v>
      </c>
      <c r="V202" s="35" t="str">
        <f t="shared" si="73"/>
        <v>512,80</v>
      </c>
      <c r="W202" s="35" t="str">
        <f t="shared" si="74"/>
        <v>615,10</v>
      </c>
      <c r="X202" s="35" t="str">
        <f t="shared" si="75"/>
        <v>732,90</v>
      </c>
      <c r="Y202" s="35" t="str">
        <f t="shared" si="76"/>
        <v>61,51</v>
      </c>
      <c r="Z202" s="35" t="str">
        <f t="shared" si="77"/>
        <v>73,29</v>
      </c>
      <c r="AA202" s="35" t="str">
        <f t="shared" si="78"/>
        <v>1.348,00</v>
      </c>
      <c r="AB202" s="35" t="str">
        <f t="shared" si="79"/>
        <v>134,80</v>
      </c>
    </row>
    <row r="203" spans="1:28" ht="16" x14ac:dyDescent="0.25">
      <c r="A203" s="24">
        <v>202</v>
      </c>
      <c r="B203" s="24" t="s">
        <v>2326</v>
      </c>
      <c r="C203" s="24" t="s">
        <v>221</v>
      </c>
      <c r="D203" s="116">
        <v>199.5</v>
      </c>
      <c r="E203" s="116"/>
      <c r="F203" s="108">
        <f t="shared" si="60"/>
        <v>199.5</v>
      </c>
      <c r="G203" s="116">
        <v>0</v>
      </c>
      <c r="H203" s="116"/>
      <c r="I203" s="28">
        <f t="shared" si="61"/>
        <v>0</v>
      </c>
      <c r="J203" s="28">
        <f t="shared" si="62"/>
        <v>199.5</v>
      </c>
      <c r="K203" s="28">
        <f t="shared" si="63"/>
        <v>0</v>
      </c>
      <c r="L203" s="28">
        <f t="shared" si="64"/>
        <v>19.950000000000003</v>
      </c>
      <c r="M203" s="28">
        <f t="shared" si="65"/>
        <v>0</v>
      </c>
      <c r="N203" s="107">
        <f t="shared" si="66"/>
        <v>199.5</v>
      </c>
      <c r="O203" s="107">
        <f t="shared" si="67"/>
        <v>19.950000000000003</v>
      </c>
      <c r="P203" s="9"/>
      <c r="Q203" s="35" t="str">
        <f t="shared" si="68"/>
        <v>199,50</v>
      </c>
      <c r="R203" s="35" t="str">
        <f t="shared" si="69"/>
        <v>,00</v>
      </c>
      <c r="S203" s="35" t="str">
        <f t="shared" si="70"/>
        <v>199,50</v>
      </c>
      <c r="T203" s="35" t="str">
        <f t="shared" si="71"/>
        <v>,00</v>
      </c>
      <c r="U203" s="35" t="str">
        <f t="shared" si="72"/>
        <v>,00</v>
      </c>
      <c r="V203" s="35" t="str">
        <f t="shared" si="73"/>
        <v>,00</v>
      </c>
      <c r="W203" s="35" t="str">
        <f t="shared" si="74"/>
        <v>199,50</v>
      </c>
      <c r="X203" s="35" t="str">
        <f t="shared" si="75"/>
        <v>,00</v>
      </c>
      <c r="Y203" s="35" t="str">
        <f t="shared" si="76"/>
        <v>19,95</v>
      </c>
      <c r="Z203" s="35" t="str">
        <f t="shared" si="77"/>
        <v>,00</v>
      </c>
      <c r="AA203" s="35" t="str">
        <f t="shared" si="78"/>
        <v>199,50</v>
      </c>
      <c r="AB203" s="35" t="str">
        <f t="shared" si="79"/>
        <v>19,95</v>
      </c>
    </row>
    <row r="204" spans="1:28" ht="16" x14ac:dyDescent="0.25">
      <c r="A204" s="24">
        <v>203</v>
      </c>
      <c r="B204" s="24" t="s">
        <v>668</v>
      </c>
      <c r="C204" s="24" t="s">
        <v>191</v>
      </c>
      <c r="D204" s="116">
        <v>7595.2000000000007</v>
      </c>
      <c r="E204" s="116">
        <v>30926.3</v>
      </c>
      <c r="F204" s="108">
        <f t="shared" si="60"/>
        <v>38521.5</v>
      </c>
      <c r="G204" s="116">
        <v>531.69999999999993</v>
      </c>
      <c r="H204" s="116">
        <v>751.40000000000009</v>
      </c>
      <c r="I204" s="28">
        <f t="shared" si="61"/>
        <v>1283.0999999999999</v>
      </c>
      <c r="J204" s="28">
        <f t="shared" si="62"/>
        <v>7063.5000000000009</v>
      </c>
      <c r="K204" s="28">
        <f t="shared" si="63"/>
        <v>30174.899999999998</v>
      </c>
      <c r="L204" s="28">
        <f t="shared" si="64"/>
        <v>706.35000000000014</v>
      </c>
      <c r="M204" s="28">
        <f t="shared" si="65"/>
        <v>3017.49</v>
      </c>
      <c r="N204" s="107">
        <f t="shared" si="66"/>
        <v>37238.400000000001</v>
      </c>
      <c r="O204" s="107">
        <f t="shared" si="67"/>
        <v>3723.84</v>
      </c>
      <c r="P204" s="9"/>
      <c r="Q204" s="35" t="str">
        <f t="shared" si="68"/>
        <v>7.595,20</v>
      </c>
      <c r="R204" s="35" t="str">
        <f t="shared" si="69"/>
        <v>30.926,30</v>
      </c>
      <c r="S204" s="35" t="str">
        <f t="shared" si="70"/>
        <v>38.521,50</v>
      </c>
      <c r="T204" s="35" t="str">
        <f t="shared" si="71"/>
        <v>531,70</v>
      </c>
      <c r="U204" s="35" t="str">
        <f t="shared" si="72"/>
        <v>751,40</v>
      </c>
      <c r="V204" s="35" t="str">
        <f t="shared" si="73"/>
        <v>1.283,10</v>
      </c>
      <c r="W204" s="35" t="str">
        <f t="shared" si="74"/>
        <v>7.063,50</v>
      </c>
      <c r="X204" s="35" t="str">
        <f t="shared" si="75"/>
        <v>30.174,90</v>
      </c>
      <c r="Y204" s="35" t="str">
        <f t="shared" si="76"/>
        <v>706,35</v>
      </c>
      <c r="Z204" s="35" t="str">
        <f t="shared" si="77"/>
        <v>3.017,49</v>
      </c>
      <c r="AA204" s="35" t="str">
        <f t="shared" si="78"/>
        <v>37.238,40</v>
      </c>
      <c r="AB204" s="35" t="str">
        <f t="shared" si="79"/>
        <v>3.723,84</v>
      </c>
    </row>
    <row r="205" spans="1:28" ht="16" x14ac:dyDescent="0.25">
      <c r="A205" s="24">
        <v>204</v>
      </c>
      <c r="B205" s="24" t="s">
        <v>34</v>
      </c>
      <c r="C205" s="24" t="s">
        <v>191</v>
      </c>
      <c r="D205" s="116">
        <v>15111.920000000002</v>
      </c>
      <c r="E205" s="116">
        <v>21703.27</v>
      </c>
      <c r="F205" s="108">
        <f t="shared" si="60"/>
        <v>36815.19</v>
      </c>
      <c r="G205" s="116">
        <v>159.79999999999998</v>
      </c>
      <c r="H205" s="116">
        <v>903.2</v>
      </c>
      <c r="I205" s="28">
        <f t="shared" si="61"/>
        <v>1063</v>
      </c>
      <c r="J205" s="28">
        <f t="shared" si="62"/>
        <v>14952.120000000003</v>
      </c>
      <c r="K205" s="28">
        <f t="shared" si="63"/>
        <v>20800.07</v>
      </c>
      <c r="L205" s="28">
        <f t="shared" si="64"/>
        <v>1495.2120000000004</v>
      </c>
      <c r="M205" s="28">
        <f t="shared" si="65"/>
        <v>2080.0070000000001</v>
      </c>
      <c r="N205" s="107">
        <f t="shared" si="66"/>
        <v>35752.19</v>
      </c>
      <c r="O205" s="107">
        <f t="shared" si="67"/>
        <v>3575.2190000000005</v>
      </c>
      <c r="P205" s="9"/>
      <c r="Q205" s="35" t="str">
        <f t="shared" si="68"/>
        <v>15.111,92</v>
      </c>
      <c r="R205" s="35" t="str">
        <f t="shared" si="69"/>
        <v>21.703,27</v>
      </c>
      <c r="S205" s="35" t="str">
        <f t="shared" si="70"/>
        <v>36.815,19</v>
      </c>
      <c r="T205" s="35" t="str">
        <f t="shared" si="71"/>
        <v>159,80</v>
      </c>
      <c r="U205" s="35" t="str">
        <f t="shared" si="72"/>
        <v>903,20</v>
      </c>
      <c r="V205" s="35" t="str">
        <f t="shared" si="73"/>
        <v>1.063,00</v>
      </c>
      <c r="W205" s="35" t="str">
        <f t="shared" si="74"/>
        <v>14.952,12</v>
      </c>
      <c r="X205" s="35" t="str">
        <f t="shared" si="75"/>
        <v>20.800,07</v>
      </c>
      <c r="Y205" s="35" t="str">
        <f t="shared" si="76"/>
        <v>1.495,21</v>
      </c>
      <c r="Z205" s="35" t="str">
        <f t="shared" si="77"/>
        <v>2.080,01</v>
      </c>
      <c r="AA205" s="35" t="str">
        <f t="shared" si="78"/>
        <v>35.752,19</v>
      </c>
      <c r="AB205" s="35" t="str">
        <f t="shared" si="79"/>
        <v>3.575,22</v>
      </c>
    </row>
    <row r="206" spans="1:28" ht="16" x14ac:dyDescent="0.25">
      <c r="A206" s="24">
        <v>205</v>
      </c>
      <c r="B206" s="24" t="s">
        <v>309</v>
      </c>
      <c r="C206" s="24" t="s">
        <v>191</v>
      </c>
      <c r="D206" s="116">
        <v>2502.9</v>
      </c>
      <c r="E206" s="116">
        <v>4624.9000000000005</v>
      </c>
      <c r="F206" s="108">
        <f t="shared" si="60"/>
        <v>7127.8000000000011</v>
      </c>
      <c r="G206" s="116">
        <v>9.3000000000000007</v>
      </c>
      <c r="H206" s="116">
        <v>156.1</v>
      </c>
      <c r="I206" s="28">
        <f t="shared" si="61"/>
        <v>165.4</v>
      </c>
      <c r="J206" s="28">
        <f t="shared" si="62"/>
        <v>2493.6</v>
      </c>
      <c r="K206" s="28">
        <f t="shared" si="63"/>
        <v>4468.8</v>
      </c>
      <c r="L206" s="28">
        <f t="shared" si="64"/>
        <v>249.36</v>
      </c>
      <c r="M206" s="28">
        <f t="shared" si="65"/>
        <v>446.88000000000005</v>
      </c>
      <c r="N206" s="107">
        <f t="shared" si="66"/>
        <v>6962.4000000000015</v>
      </c>
      <c r="O206" s="107">
        <f t="shared" si="67"/>
        <v>696.24000000000024</v>
      </c>
      <c r="P206" s="9"/>
      <c r="Q206" s="35" t="str">
        <f t="shared" si="68"/>
        <v>2.502,90</v>
      </c>
      <c r="R206" s="35" t="str">
        <f t="shared" si="69"/>
        <v>4.624,90</v>
      </c>
      <c r="S206" s="35" t="str">
        <f t="shared" si="70"/>
        <v>7.127,80</v>
      </c>
      <c r="T206" s="35" t="str">
        <f t="shared" si="71"/>
        <v>9,30</v>
      </c>
      <c r="U206" s="35" t="str">
        <f t="shared" si="72"/>
        <v>156,10</v>
      </c>
      <c r="V206" s="35" t="str">
        <f t="shared" si="73"/>
        <v>165,40</v>
      </c>
      <c r="W206" s="35" t="str">
        <f t="shared" si="74"/>
        <v>2.493,60</v>
      </c>
      <c r="X206" s="35" t="str">
        <f t="shared" si="75"/>
        <v>4.468,80</v>
      </c>
      <c r="Y206" s="35" t="str">
        <f t="shared" si="76"/>
        <v>249,36</v>
      </c>
      <c r="Z206" s="35" t="str">
        <f t="shared" si="77"/>
        <v>446,88</v>
      </c>
      <c r="AA206" s="35" t="str">
        <f t="shared" si="78"/>
        <v>6.962,40</v>
      </c>
      <c r="AB206" s="35" t="str">
        <f t="shared" si="79"/>
        <v>696,24</v>
      </c>
    </row>
    <row r="207" spans="1:28" ht="16" x14ac:dyDescent="0.25">
      <c r="A207" s="24">
        <v>206</v>
      </c>
      <c r="B207" s="24" t="s">
        <v>670</v>
      </c>
      <c r="C207" s="24" t="s">
        <v>191</v>
      </c>
      <c r="D207" s="116">
        <v>1440.8000000000002</v>
      </c>
      <c r="E207" s="116">
        <v>660.90000000000009</v>
      </c>
      <c r="F207" s="108">
        <f t="shared" si="60"/>
        <v>2101.7000000000003</v>
      </c>
      <c r="G207" s="116">
        <v>0</v>
      </c>
      <c r="H207" s="116">
        <v>0</v>
      </c>
      <c r="I207" s="28">
        <f t="shared" si="61"/>
        <v>0</v>
      </c>
      <c r="J207" s="28">
        <f t="shared" si="62"/>
        <v>1440.8000000000002</v>
      </c>
      <c r="K207" s="28">
        <f t="shared" si="63"/>
        <v>660.90000000000009</v>
      </c>
      <c r="L207" s="28">
        <f t="shared" si="64"/>
        <v>144.08000000000001</v>
      </c>
      <c r="M207" s="28">
        <f t="shared" si="65"/>
        <v>66.090000000000018</v>
      </c>
      <c r="N207" s="107">
        <f t="shared" si="66"/>
        <v>2101.7000000000003</v>
      </c>
      <c r="O207" s="107">
        <f t="shared" si="67"/>
        <v>210.17000000000004</v>
      </c>
      <c r="P207" s="9"/>
      <c r="Q207" s="35" t="str">
        <f t="shared" si="68"/>
        <v>1.440,80</v>
      </c>
      <c r="R207" s="35" t="str">
        <f t="shared" si="69"/>
        <v>660,90</v>
      </c>
      <c r="S207" s="35" t="str">
        <f t="shared" si="70"/>
        <v>2.101,70</v>
      </c>
      <c r="T207" s="35" t="str">
        <f t="shared" si="71"/>
        <v>,00</v>
      </c>
      <c r="U207" s="35" t="str">
        <f t="shared" si="72"/>
        <v>,00</v>
      </c>
      <c r="V207" s="35" t="str">
        <f t="shared" si="73"/>
        <v>,00</v>
      </c>
      <c r="W207" s="35" t="str">
        <f t="shared" si="74"/>
        <v>1.440,80</v>
      </c>
      <c r="X207" s="35" t="str">
        <f t="shared" si="75"/>
        <v>660,90</v>
      </c>
      <c r="Y207" s="35" t="str">
        <f t="shared" si="76"/>
        <v>144,08</v>
      </c>
      <c r="Z207" s="35" t="str">
        <f t="shared" si="77"/>
        <v>66,09</v>
      </c>
      <c r="AA207" s="35" t="str">
        <f t="shared" si="78"/>
        <v>2.101,70</v>
      </c>
      <c r="AB207" s="35" t="str">
        <f t="shared" si="79"/>
        <v>210,17</v>
      </c>
    </row>
    <row r="208" spans="1:28" ht="16" x14ac:dyDescent="0.25">
      <c r="A208" s="24">
        <v>207</v>
      </c>
      <c r="B208" s="24" t="s">
        <v>2402</v>
      </c>
      <c r="C208" s="24" t="s">
        <v>191</v>
      </c>
      <c r="D208" s="116">
        <v>231.5</v>
      </c>
      <c r="E208" s="116">
        <v>491.20000000000005</v>
      </c>
      <c r="F208" s="108">
        <f t="shared" si="60"/>
        <v>722.7</v>
      </c>
      <c r="G208" s="116">
        <v>0</v>
      </c>
      <c r="H208" s="116">
        <v>0</v>
      </c>
      <c r="I208" s="28">
        <f t="shared" si="61"/>
        <v>0</v>
      </c>
      <c r="J208" s="28">
        <f t="shared" si="62"/>
        <v>231.5</v>
      </c>
      <c r="K208" s="28">
        <f t="shared" si="63"/>
        <v>491.20000000000005</v>
      </c>
      <c r="L208" s="28">
        <f t="shared" si="64"/>
        <v>23.150000000000002</v>
      </c>
      <c r="M208" s="28">
        <f t="shared" si="65"/>
        <v>49.120000000000005</v>
      </c>
      <c r="N208" s="107">
        <f t="shared" si="66"/>
        <v>722.7</v>
      </c>
      <c r="O208" s="107">
        <f t="shared" si="67"/>
        <v>72.27000000000001</v>
      </c>
      <c r="P208" s="9"/>
      <c r="Q208" s="35" t="str">
        <f t="shared" si="68"/>
        <v>231,50</v>
      </c>
      <c r="R208" s="35" t="str">
        <f t="shared" si="69"/>
        <v>491,20</v>
      </c>
      <c r="S208" s="35" t="str">
        <f t="shared" si="70"/>
        <v>722,70</v>
      </c>
      <c r="T208" s="35" t="str">
        <f t="shared" si="71"/>
        <v>,00</v>
      </c>
      <c r="U208" s="35" t="str">
        <f t="shared" si="72"/>
        <v>,00</v>
      </c>
      <c r="V208" s="35" t="str">
        <f t="shared" si="73"/>
        <v>,00</v>
      </c>
      <c r="W208" s="35" t="str">
        <f t="shared" si="74"/>
        <v>231,50</v>
      </c>
      <c r="X208" s="35" t="str">
        <f t="shared" si="75"/>
        <v>491,20</v>
      </c>
      <c r="Y208" s="35" t="str">
        <f t="shared" si="76"/>
        <v>23,15</v>
      </c>
      <c r="Z208" s="35" t="str">
        <f t="shared" si="77"/>
        <v>49,12</v>
      </c>
      <c r="AA208" s="35" t="str">
        <f t="shared" si="78"/>
        <v>722,70</v>
      </c>
      <c r="AB208" s="35" t="str">
        <f t="shared" si="79"/>
        <v>72,27</v>
      </c>
    </row>
    <row r="209" spans="1:28" ht="16" x14ac:dyDescent="0.25">
      <c r="A209" s="24">
        <v>208</v>
      </c>
      <c r="B209" s="24" t="s">
        <v>669</v>
      </c>
      <c r="C209" s="24" t="s">
        <v>191</v>
      </c>
      <c r="D209" s="116">
        <v>45</v>
      </c>
      <c r="E209" s="116">
        <v>402.8</v>
      </c>
      <c r="F209" s="108">
        <f t="shared" si="60"/>
        <v>447.8</v>
      </c>
      <c r="G209" s="116">
        <v>0</v>
      </c>
      <c r="H209" s="116">
        <v>0</v>
      </c>
      <c r="I209" s="28">
        <f t="shared" si="61"/>
        <v>0</v>
      </c>
      <c r="J209" s="28">
        <f t="shared" si="62"/>
        <v>45</v>
      </c>
      <c r="K209" s="28">
        <f t="shared" si="63"/>
        <v>402.8</v>
      </c>
      <c r="L209" s="28">
        <f t="shared" si="64"/>
        <v>4.5</v>
      </c>
      <c r="M209" s="28">
        <f t="shared" si="65"/>
        <v>40.28</v>
      </c>
      <c r="N209" s="107">
        <f t="shared" si="66"/>
        <v>447.8</v>
      </c>
      <c r="O209" s="107">
        <f t="shared" si="67"/>
        <v>44.78</v>
      </c>
      <c r="P209" s="9"/>
      <c r="Q209" s="35" t="str">
        <f t="shared" si="68"/>
        <v>45,00</v>
      </c>
      <c r="R209" s="35" t="str">
        <f t="shared" si="69"/>
        <v>402,80</v>
      </c>
      <c r="S209" s="35" t="str">
        <f t="shared" si="70"/>
        <v>447,80</v>
      </c>
      <c r="T209" s="35" t="str">
        <f t="shared" si="71"/>
        <v>,00</v>
      </c>
      <c r="U209" s="35" t="str">
        <f t="shared" si="72"/>
        <v>,00</v>
      </c>
      <c r="V209" s="35" t="str">
        <f t="shared" si="73"/>
        <v>,00</v>
      </c>
      <c r="W209" s="35" t="str">
        <f t="shared" si="74"/>
        <v>45,00</v>
      </c>
      <c r="X209" s="35" t="str">
        <f t="shared" si="75"/>
        <v>402,80</v>
      </c>
      <c r="Y209" s="35" t="str">
        <f t="shared" si="76"/>
        <v>4,50</v>
      </c>
      <c r="Z209" s="35" t="str">
        <f t="shared" si="77"/>
        <v>40,28</v>
      </c>
      <c r="AA209" s="35" t="str">
        <f t="shared" si="78"/>
        <v>447,80</v>
      </c>
      <c r="AB209" s="35" t="str">
        <f t="shared" si="79"/>
        <v>44,78</v>
      </c>
    </row>
    <row r="210" spans="1:28" ht="16" x14ac:dyDescent="0.25">
      <c r="A210" s="24">
        <v>209</v>
      </c>
      <c r="B210" s="24" t="s">
        <v>34</v>
      </c>
      <c r="C210" s="24" t="s">
        <v>192</v>
      </c>
      <c r="D210" s="116">
        <v>15363.8</v>
      </c>
      <c r="E210" s="116">
        <v>50877.8</v>
      </c>
      <c r="F210" s="108">
        <f t="shared" si="60"/>
        <v>66241.600000000006</v>
      </c>
      <c r="G210" s="116">
        <v>212.6</v>
      </c>
      <c r="H210" s="116">
        <v>4373.8</v>
      </c>
      <c r="I210" s="28">
        <f t="shared" si="61"/>
        <v>4586.4000000000005</v>
      </c>
      <c r="J210" s="28">
        <f t="shared" si="62"/>
        <v>15151.199999999999</v>
      </c>
      <c r="K210" s="28">
        <f t="shared" si="63"/>
        <v>46504</v>
      </c>
      <c r="L210" s="28">
        <f t="shared" si="64"/>
        <v>1515.12</v>
      </c>
      <c r="M210" s="28">
        <f t="shared" si="65"/>
        <v>4650.4000000000005</v>
      </c>
      <c r="N210" s="107">
        <f t="shared" si="66"/>
        <v>61655.200000000004</v>
      </c>
      <c r="O210" s="107">
        <f t="shared" si="67"/>
        <v>6165.52</v>
      </c>
      <c r="P210" s="9"/>
      <c r="Q210" s="35" t="str">
        <f t="shared" si="68"/>
        <v>15.363,80</v>
      </c>
      <c r="R210" s="35" t="str">
        <f t="shared" si="69"/>
        <v>50.877,80</v>
      </c>
      <c r="S210" s="35" t="str">
        <f t="shared" si="70"/>
        <v>66.241,60</v>
      </c>
      <c r="T210" s="35" t="str">
        <f t="shared" si="71"/>
        <v>212,60</v>
      </c>
      <c r="U210" s="35" t="str">
        <f t="shared" si="72"/>
        <v>4.373,80</v>
      </c>
      <c r="V210" s="35" t="str">
        <f t="shared" si="73"/>
        <v>4.586,40</v>
      </c>
      <c r="W210" s="35" t="str">
        <f t="shared" si="74"/>
        <v>15.151,20</v>
      </c>
      <c r="X210" s="35" t="str">
        <f t="shared" si="75"/>
        <v>46.504,00</v>
      </c>
      <c r="Y210" s="35" t="str">
        <f t="shared" si="76"/>
        <v>1.515,12</v>
      </c>
      <c r="Z210" s="35" t="str">
        <f t="shared" si="77"/>
        <v>4.650,40</v>
      </c>
      <c r="AA210" s="35" t="str">
        <f t="shared" si="78"/>
        <v>61.655,20</v>
      </c>
      <c r="AB210" s="35" t="str">
        <f t="shared" si="79"/>
        <v>6.165,52</v>
      </c>
    </row>
    <row r="211" spans="1:28" ht="16" x14ac:dyDescent="0.25">
      <c r="A211" s="24">
        <v>210</v>
      </c>
      <c r="B211" s="24" t="s">
        <v>334</v>
      </c>
      <c r="C211" s="24" t="s">
        <v>192</v>
      </c>
      <c r="D211" s="116">
        <v>32071.8</v>
      </c>
      <c r="E211" s="116">
        <v>3039.5</v>
      </c>
      <c r="F211" s="108">
        <f t="shared" si="60"/>
        <v>35111.300000000003</v>
      </c>
      <c r="G211" s="116">
        <v>4.2</v>
      </c>
      <c r="H211" s="116">
        <v>79.2</v>
      </c>
      <c r="I211" s="28">
        <f t="shared" si="61"/>
        <v>83.4</v>
      </c>
      <c r="J211" s="28">
        <f t="shared" si="62"/>
        <v>32067.599999999999</v>
      </c>
      <c r="K211" s="28">
        <f t="shared" si="63"/>
        <v>2960.3</v>
      </c>
      <c r="L211" s="28">
        <f t="shared" si="64"/>
        <v>3206.76</v>
      </c>
      <c r="M211" s="28">
        <f t="shared" si="65"/>
        <v>296.03000000000003</v>
      </c>
      <c r="N211" s="107">
        <f t="shared" si="66"/>
        <v>35027.9</v>
      </c>
      <c r="O211" s="107">
        <f t="shared" si="67"/>
        <v>3502.7900000000004</v>
      </c>
      <c r="P211" s="9"/>
      <c r="Q211" s="35" t="str">
        <f t="shared" si="68"/>
        <v>32.071,80</v>
      </c>
      <c r="R211" s="35" t="str">
        <f t="shared" si="69"/>
        <v>3.039,50</v>
      </c>
      <c r="S211" s="35" t="str">
        <f t="shared" si="70"/>
        <v>35.111,30</v>
      </c>
      <c r="T211" s="35" t="str">
        <f t="shared" si="71"/>
        <v>4,20</v>
      </c>
      <c r="U211" s="35" t="str">
        <f t="shared" si="72"/>
        <v>79,20</v>
      </c>
      <c r="V211" s="35" t="str">
        <f t="shared" si="73"/>
        <v>83,40</v>
      </c>
      <c r="W211" s="35" t="str">
        <f t="shared" si="74"/>
        <v>32.067,60</v>
      </c>
      <c r="X211" s="35" t="str">
        <f t="shared" si="75"/>
        <v>2.960,30</v>
      </c>
      <c r="Y211" s="35" t="str">
        <f t="shared" si="76"/>
        <v>3.206,76</v>
      </c>
      <c r="Z211" s="35" t="str">
        <f t="shared" si="77"/>
        <v>296,03</v>
      </c>
      <c r="AA211" s="35" t="str">
        <f t="shared" si="78"/>
        <v>35.027,90</v>
      </c>
      <c r="AB211" s="35" t="str">
        <f t="shared" si="79"/>
        <v>3.502,79</v>
      </c>
    </row>
    <row r="212" spans="1:28" ht="16" x14ac:dyDescent="0.25">
      <c r="A212" s="24">
        <v>211</v>
      </c>
      <c r="B212" s="24" t="s">
        <v>466</v>
      </c>
      <c r="C212" s="24" t="s">
        <v>192</v>
      </c>
      <c r="D212" s="116">
        <v>2274.1</v>
      </c>
      <c r="E212" s="116">
        <v>153.1</v>
      </c>
      <c r="F212" s="108">
        <f t="shared" si="60"/>
        <v>2427.1999999999998</v>
      </c>
      <c r="G212" s="116">
        <v>0</v>
      </c>
      <c r="H212" s="116">
        <v>0</v>
      </c>
      <c r="I212" s="28">
        <f t="shared" si="61"/>
        <v>0</v>
      </c>
      <c r="J212" s="28">
        <f t="shared" si="62"/>
        <v>2274.1</v>
      </c>
      <c r="K212" s="28">
        <f t="shared" si="63"/>
        <v>153.1</v>
      </c>
      <c r="L212" s="28">
        <f t="shared" si="64"/>
        <v>227.41</v>
      </c>
      <c r="M212" s="28">
        <f t="shared" si="65"/>
        <v>15.31</v>
      </c>
      <c r="N212" s="107">
        <f t="shared" si="66"/>
        <v>2427.1999999999998</v>
      </c>
      <c r="O212" s="107">
        <f t="shared" si="67"/>
        <v>242.72</v>
      </c>
      <c r="P212" s="9"/>
      <c r="Q212" s="35" t="str">
        <f t="shared" si="68"/>
        <v>2.274,10</v>
      </c>
      <c r="R212" s="35" t="str">
        <f t="shared" si="69"/>
        <v>153,10</v>
      </c>
      <c r="S212" s="35" t="str">
        <f t="shared" si="70"/>
        <v>2.427,20</v>
      </c>
      <c r="T212" s="35" t="str">
        <f t="shared" si="71"/>
        <v>,00</v>
      </c>
      <c r="U212" s="35" t="str">
        <f t="shared" si="72"/>
        <v>,00</v>
      </c>
      <c r="V212" s="35" t="str">
        <f t="shared" si="73"/>
        <v>,00</v>
      </c>
      <c r="W212" s="35" t="str">
        <f t="shared" si="74"/>
        <v>2.274,10</v>
      </c>
      <c r="X212" s="35" t="str">
        <f t="shared" si="75"/>
        <v>153,10</v>
      </c>
      <c r="Y212" s="35" t="str">
        <f t="shared" si="76"/>
        <v>227,41</v>
      </c>
      <c r="Z212" s="35" t="str">
        <f t="shared" si="77"/>
        <v>15,31</v>
      </c>
      <c r="AA212" s="35" t="str">
        <f t="shared" si="78"/>
        <v>2.427,20</v>
      </c>
      <c r="AB212" s="35" t="str">
        <f t="shared" si="79"/>
        <v>242,72</v>
      </c>
    </row>
    <row r="213" spans="1:28" ht="16" x14ac:dyDescent="0.25">
      <c r="A213" s="24">
        <v>212</v>
      </c>
      <c r="B213" s="24" t="s">
        <v>2309</v>
      </c>
      <c r="C213" s="24" t="s">
        <v>192</v>
      </c>
      <c r="D213" s="116">
        <v>247.2</v>
      </c>
      <c r="E213" s="116">
        <v>1226.2</v>
      </c>
      <c r="F213" s="108">
        <f t="shared" si="60"/>
        <v>1473.4</v>
      </c>
      <c r="G213" s="116">
        <v>0</v>
      </c>
      <c r="H213" s="116">
        <v>0</v>
      </c>
      <c r="I213" s="28">
        <f t="shared" si="61"/>
        <v>0</v>
      </c>
      <c r="J213" s="28">
        <f t="shared" si="62"/>
        <v>247.2</v>
      </c>
      <c r="K213" s="28">
        <f t="shared" si="63"/>
        <v>1226.2</v>
      </c>
      <c r="L213" s="28">
        <f t="shared" si="64"/>
        <v>24.72</v>
      </c>
      <c r="M213" s="28">
        <f t="shared" si="65"/>
        <v>122.62</v>
      </c>
      <c r="N213" s="107">
        <f t="shared" si="66"/>
        <v>1473.4</v>
      </c>
      <c r="O213" s="107">
        <f t="shared" si="67"/>
        <v>147.34</v>
      </c>
      <c r="P213" s="9"/>
      <c r="Q213" s="35" t="str">
        <f t="shared" si="68"/>
        <v>247,20</v>
      </c>
      <c r="R213" s="35" t="str">
        <f t="shared" si="69"/>
        <v>1.226,20</v>
      </c>
      <c r="S213" s="35" t="str">
        <f t="shared" si="70"/>
        <v>1.473,40</v>
      </c>
      <c r="T213" s="35" t="str">
        <f t="shared" si="71"/>
        <v>,00</v>
      </c>
      <c r="U213" s="35" t="str">
        <f t="shared" si="72"/>
        <v>,00</v>
      </c>
      <c r="V213" s="35" t="str">
        <f t="shared" si="73"/>
        <v>,00</v>
      </c>
      <c r="W213" s="35" t="str">
        <f t="shared" si="74"/>
        <v>247,20</v>
      </c>
      <c r="X213" s="35" t="str">
        <f t="shared" si="75"/>
        <v>1.226,20</v>
      </c>
      <c r="Y213" s="35" t="str">
        <f t="shared" si="76"/>
        <v>24,72</v>
      </c>
      <c r="Z213" s="35" t="str">
        <f t="shared" si="77"/>
        <v>122,62</v>
      </c>
      <c r="AA213" s="35" t="str">
        <f t="shared" si="78"/>
        <v>1.473,40</v>
      </c>
      <c r="AB213" s="35" t="str">
        <f t="shared" si="79"/>
        <v>147,34</v>
      </c>
    </row>
    <row r="214" spans="1:28" ht="16" x14ac:dyDescent="0.25">
      <c r="A214" s="24">
        <v>213</v>
      </c>
      <c r="B214" s="24" t="s">
        <v>465</v>
      </c>
      <c r="C214" s="24" t="s">
        <v>192</v>
      </c>
      <c r="D214" s="116">
        <v>140.5</v>
      </c>
      <c r="E214" s="116">
        <v>587.1</v>
      </c>
      <c r="F214" s="108">
        <f t="shared" si="60"/>
        <v>727.6</v>
      </c>
      <c r="G214" s="116">
        <v>0</v>
      </c>
      <c r="H214" s="116">
        <v>0</v>
      </c>
      <c r="I214" s="28">
        <f t="shared" si="61"/>
        <v>0</v>
      </c>
      <c r="J214" s="28">
        <f t="shared" si="62"/>
        <v>140.5</v>
      </c>
      <c r="K214" s="28">
        <f t="shared" si="63"/>
        <v>587.1</v>
      </c>
      <c r="L214" s="28">
        <f t="shared" si="64"/>
        <v>14.05</v>
      </c>
      <c r="M214" s="28">
        <f t="shared" si="65"/>
        <v>58.710000000000008</v>
      </c>
      <c r="N214" s="107">
        <f t="shared" si="66"/>
        <v>727.6</v>
      </c>
      <c r="O214" s="107">
        <f t="shared" si="67"/>
        <v>72.760000000000005</v>
      </c>
      <c r="P214" s="9"/>
      <c r="Q214" s="35" t="str">
        <f t="shared" si="68"/>
        <v>140,50</v>
      </c>
      <c r="R214" s="35" t="str">
        <f t="shared" si="69"/>
        <v>587,10</v>
      </c>
      <c r="S214" s="35" t="str">
        <f t="shared" si="70"/>
        <v>727,60</v>
      </c>
      <c r="T214" s="35" t="str">
        <f t="shared" si="71"/>
        <v>,00</v>
      </c>
      <c r="U214" s="35" t="str">
        <f t="shared" si="72"/>
        <v>,00</v>
      </c>
      <c r="V214" s="35" t="str">
        <f t="shared" si="73"/>
        <v>,00</v>
      </c>
      <c r="W214" s="35" t="str">
        <f t="shared" si="74"/>
        <v>140,50</v>
      </c>
      <c r="X214" s="35" t="str">
        <f t="shared" si="75"/>
        <v>587,10</v>
      </c>
      <c r="Y214" s="35" t="str">
        <f t="shared" si="76"/>
        <v>14,05</v>
      </c>
      <c r="Z214" s="35" t="str">
        <f t="shared" si="77"/>
        <v>58,71</v>
      </c>
      <c r="AA214" s="35" t="str">
        <f t="shared" si="78"/>
        <v>727,60</v>
      </c>
      <c r="AB214" s="35" t="str">
        <f t="shared" si="79"/>
        <v>72,76</v>
      </c>
    </row>
    <row r="215" spans="1:28" ht="16" x14ac:dyDescent="0.25">
      <c r="A215" s="24">
        <v>214</v>
      </c>
      <c r="B215" s="24" t="s">
        <v>2036</v>
      </c>
      <c r="C215" s="24" t="s">
        <v>130</v>
      </c>
      <c r="D215" s="116">
        <v>36684.25</v>
      </c>
      <c r="E215" s="116">
        <v>37189.01</v>
      </c>
      <c r="F215" s="108">
        <f t="shared" si="60"/>
        <v>73873.260000000009</v>
      </c>
      <c r="G215" s="116">
        <v>1439.8999999999999</v>
      </c>
      <c r="H215" s="116">
        <v>3340.3</v>
      </c>
      <c r="I215" s="28">
        <f t="shared" si="61"/>
        <v>4780.2</v>
      </c>
      <c r="J215" s="28">
        <f t="shared" si="62"/>
        <v>35244.35</v>
      </c>
      <c r="K215" s="28">
        <f t="shared" si="63"/>
        <v>33848.71</v>
      </c>
      <c r="L215" s="28">
        <f t="shared" si="64"/>
        <v>3524.4349999999999</v>
      </c>
      <c r="M215" s="28">
        <f t="shared" si="65"/>
        <v>3384.8710000000001</v>
      </c>
      <c r="N215" s="107">
        <f t="shared" si="66"/>
        <v>69093.060000000012</v>
      </c>
      <c r="O215" s="107">
        <f t="shared" si="67"/>
        <v>6909.3060000000014</v>
      </c>
      <c r="P215" s="9"/>
      <c r="Q215" s="35" t="str">
        <f t="shared" si="68"/>
        <v>36.684,25</v>
      </c>
      <c r="R215" s="35" t="str">
        <f t="shared" si="69"/>
        <v>37.189,01</v>
      </c>
      <c r="S215" s="35" t="str">
        <f t="shared" si="70"/>
        <v>73.873,26</v>
      </c>
      <c r="T215" s="35" t="str">
        <f t="shared" si="71"/>
        <v>1.439,90</v>
      </c>
      <c r="U215" s="35" t="str">
        <f t="shared" si="72"/>
        <v>3.340,30</v>
      </c>
      <c r="V215" s="35" t="str">
        <f t="shared" si="73"/>
        <v>4.780,20</v>
      </c>
      <c r="W215" s="35" t="str">
        <f t="shared" si="74"/>
        <v>35.244,35</v>
      </c>
      <c r="X215" s="35" t="str">
        <f t="shared" si="75"/>
        <v>33.848,71</v>
      </c>
      <c r="Y215" s="35" t="str">
        <f t="shared" si="76"/>
        <v>3.524,44</v>
      </c>
      <c r="Z215" s="35" t="str">
        <f t="shared" si="77"/>
        <v>3.384,87</v>
      </c>
      <c r="AA215" s="35" t="str">
        <f t="shared" si="78"/>
        <v>69.093,06</v>
      </c>
      <c r="AB215" s="35" t="str">
        <f t="shared" si="79"/>
        <v>6.909,31</v>
      </c>
    </row>
    <row r="216" spans="1:28" ht="16" x14ac:dyDescent="0.25">
      <c r="A216" s="24">
        <v>215</v>
      </c>
      <c r="B216" s="24" t="s">
        <v>34</v>
      </c>
      <c r="C216" s="24" t="s">
        <v>35</v>
      </c>
      <c r="D216" s="116">
        <v>15504.5</v>
      </c>
      <c r="E216" s="116">
        <v>13954</v>
      </c>
      <c r="F216" s="108">
        <f t="shared" si="60"/>
        <v>29458.5</v>
      </c>
      <c r="G216" s="116">
        <v>720.2</v>
      </c>
      <c r="H216" s="116">
        <v>1078.5999999999999</v>
      </c>
      <c r="I216" s="28">
        <f t="shared" si="61"/>
        <v>1798.8</v>
      </c>
      <c r="J216" s="28">
        <f t="shared" si="62"/>
        <v>14784.3</v>
      </c>
      <c r="K216" s="28">
        <f t="shared" si="63"/>
        <v>12875.4</v>
      </c>
      <c r="L216" s="28">
        <f t="shared" si="64"/>
        <v>1478.43</v>
      </c>
      <c r="M216" s="28">
        <f t="shared" si="65"/>
        <v>1287.54</v>
      </c>
      <c r="N216" s="107">
        <f t="shared" si="66"/>
        <v>27659.7</v>
      </c>
      <c r="O216" s="107">
        <f t="shared" si="67"/>
        <v>2765.9700000000003</v>
      </c>
      <c r="P216" s="9"/>
      <c r="Q216" s="35" t="str">
        <f t="shared" si="68"/>
        <v>15.504,50</v>
      </c>
      <c r="R216" s="35" t="str">
        <f t="shared" si="69"/>
        <v>13.954,00</v>
      </c>
      <c r="S216" s="35" t="str">
        <f t="shared" si="70"/>
        <v>29.458,50</v>
      </c>
      <c r="T216" s="35" t="str">
        <f t="shared" si="71"/>
        <v>720,20</v>
      </c>
      <c r="U216" s="35" t="str">
        <f t="shared" si="72"/>
        <v>1.078,60</v>
      </c>
      <c r="V216" s="35" t="str">
        <f t="shared" si="73"/>
        <v>1.798,80</v>
      </c>
      <c r="W216" s="35" t="str">
        <f t="shared" si="74"/>
        <v>14.784,30</v>
      </c>
      <c r="X216" s="35" t="str">
        <f t="shared" si="75"/>
        <v>12.875,40</v>
      </c>
      <c r="Y216" s="35" t="str">
        <f t="shared" si="76"/>
        <v>1.478,43</v>
      </c>
      <c r="Z216" s="35" t="str">
        <f t="shared" si="77"/>
        <v>1.287,54</v>
      </c>
      <c r="AA216" s="35" t="str">
        <f t="shared" si="78"/>
        <v>27.659,70</v>
      </c>
      <c r="AB216" s="35" t="str">
        <f t="shared" si="79"/>
        <v>2.765,97</v>
      </c>
    </row>
    <row r="217" spans="1:28" ht="16" x14ac:dyDescent="0.25">
      <c r="A217" s="24">
        <v>216</v>
      </c>
      <c r="B217" s="24" t="s">
        <v>325</v>
      </c>
      <c r="C217" s="24" t="s">
        <v>35</v>
      </c>
      <c r="D217" s="116">
        <v>1964.6</v>
      </c>
      <c r="E217" s="116">
        <v>4626.8</v>
      </c>
      <c r="F217" s="108">
        <f t="shared" si="60"/>
        <v>6591.4</v>
      </c>
      <c r="G217" s="116">
        <v>0</v>
      </c>
      <c r="H217" s="116">
        <v>0</v>
      </c>
      <c r="I217" s="28">
        <f t="shared" si="61"/>
        <v>0</v>
      </c>
      <c r="J217" s="28">
        <f t="shared" si="62"/>
        <v>1964.6</v>
      </c>
      <c r="K217" s="28">
        <f t="shared" si="63"/>
        <v>4626.8</v>
      </c>
      <c r="L217" s="28">
        <f t="shared" si="64"/>
        <v>196.46</v>
      </c>
      <c r="M217" s="28">
        <f t="shared" si="65"/>
        <v>462.68000000000006</v>
      </c>
      <c r="N217" s="107">
        <f t="shared" si="66"/>
        <v>6591.4</v>
      </c>
      <c r="O217" s="107">
        <f t="shared" si="67"/>
        <v>659.14</v>
      </c>
      <c r="P217" s="9"/>
      <c r="Q217" s="35" t="str">
        <f t="shared" si="68"/>
        <v>1.964,60</v>
      </c>
      <c r="R217" s="35" t="str">
        <f t="shared" si="69"/>
        <v>4.626,80</v>
      </c>
      <c r="S217" s="35" t="str">
        <f t="shared" si="70"/>
        <v>6.591,40</v>
      </c>
      <c r="T217" s="35" t="str">
        <f t="shared" si="71"/>
        <v>,00</v>
      </c>
      <c r="U217" s="35" t="str">
        <f t="shared" si="72"/>
        <v>,00</v>
      </c>
      <c r="V217" s="35" t="str">
        <f t="shared" si="73"/>
        <v>,00</v>
      </c>
      <c r="W217" s="35" t="str">
        <f t="shared" si="74"/>
        <v>1.964,60</v>
      </c>
      <c r="X217" s="35" t="str">
        <f t="shared" si="75"/>
        <v>4.626,80</v>
      </c>
      <c r="Y217" s="35" t="str">
        <f t="shared" si="76"/>
        <v>196,46</v>
      </c>
      <c r="Z217" s="35" t="str">
        <f t="shared" si="77"/>
        <v>462,68</v>
      </c>
      <c r="AA217" s="35" t="str">
        <f t="shared" si="78"/>
        <v>6.591,40</v>
      </c>
      <c r="AB217" s="35" t="str">
        <f t="shared" si="79"/>
        <v>659,14</v>
      </c>
    </row>
    <row r="218" spans="1:28" ht="16" x14ac:dyDescent="0.25">
      <c r="A218" s="24">
        <v>217</v>
      </c>
      <c r="B218" s="24" t="s">
        <v>2059</v>
      </c>
      <c r="C218" s="24" t="s">
        <v>35</v>
      </c>
      <c r="D218" s="116">
        <v>2754</v>
      </c>
      <c r="E218" s="116">
        <v>2737.5</v>
      </c>
      <c r="F218" s="108">
        <f t="shared" si="60"/>
        <v>5491.5</v>
      </c>
      <c r="G218" s="116">
        <v>0</v>
      </c>
      <c r="H218" s="116">
        <v>0</v>
      </c>
      <c r="I218" s="28">
        <f t="shared" si="61"/>
        <v>0</v>
      </c>
      <c r="J218" s="28">
        <f t="shared" si="62"/>
        <v>2754</v>
      </c>
      <c r="K218" s="28">
        <f t="shared" si="63"/>
        <v>2737.5</v>
      </c>
      <c r="L218" s="28">
        <f t="shared" si="64"/>
        <v>275.40000000000003</v>
      </c>
      <c r="M218" s="28">
        <f t="shared" si="65"/>
        <v>273.75</v>
      </c>
      <c r="N218" s="107">
        <f t="shared" si="66"/>
        <v>5491.5</v>
      </c>
      <c r="O218" s="107">
        <f t="shared" si="67"/>
        <v>549.15</v>
      </c>
      <c r="P218" s="9"/>
      <c r="Q218" s="35" t="str">
        <f t="shared" si="68"/>
        <v>2.754,00</v>
      </c>
      <c r="R218" s="35" t="str">
        <f t="shared" si="69"/>
        <v>2.737,50</v>
      </c>
      <c r="S218" s="35" t="str">
        <f t="shared" si="70"/>
        <v>5.491,50</v>
      </c>
      <c r="T218" s="35" t="str">
        <f t="shared" si="71"/>
        <v>,00</v>
      </c>
      <c r="U218" s="35" t="str">
        <f t="shared" si="72"/>
        <v>,00</v>
      </c>
      <c r="V218" s="35" t="str">
        <f t="shared" si="73"/>
        <v>,00</v>
      </c>
      <c r="W218" s="35" t="str">
        <f t="shared" si="74"/>
        <v>2.754,00</v>
      </c>
      <c r="X218" s="35" t="str">
        <f t="shared" si="75"/>
        <v>2.737,50</v>
      </c>
      <c r="Y218" s="35" t="str">
        <f t="shared" si="76"/>
        <v>275,40</v>
      </c>
      <c r="Z218" s="35" t="str">
        <f t="shared" si="77"/>
        <v>273,75</v>
      </c>
      <c r="AA218" s="35" t="str">
        <f t="shared" si="78"/>
        <v>5.491,50</v>
      </c>
      <c r="AB218" s="35" t="str">
        <f t="shared" si="79"/>
        <v>549,15</v>
      </c>
    </row>
    <row r="219" spans="1:28" ht="16" x14ac:dyDescent="0.25">
      <c r="A219" s="24">
        <v>218</v>
      </c>
      <c r="B219" s="24" t="s">
        <v>217</v>
      </c>
      <c r="C219" s="24" t="s">
        <v>35</v>
      </c>
      <c r="D219" s="116">
        <v>2079.9</v>
      </c>
      <c r="E219" s="116">
        <v>995.3</v>
      </c>
      <c r="F219" s="108">
        <f t="shared" si="60"/>
        <v>3075.2</v>
      </c>
      <c r="G219" s="116">
        <v>0</v>
      </c>
      <c r="H219" s="116">
        <v>0</v>
      </c>
      <c r="I219" s="28">
        <f t="shared" si="61"/>
        <v>0</v>
      </c>
      <c r="J219" s="28">
        <f t="shared" si="62"/>
        <v>2079.9</v>
      </c>
      <c r="K219" s="28">
        <f t="shared" si="63"/>
        <v>995.3</v>
      </c>
      <c r="L219" s="28">
        <f t="shared" si="64"/>
        <v>207.99</v>
      </c>
      <c r="M219" s="28">
        <f t="shared" si="65"/>
        <v>99.53</v>
      </c>
      <c r="N219" s="107">
        <f t="shared" si="66"/>
        <v>3075.2</v>
      </c>
      <c r="O219" s="107">
        <f t="shared" si="67"/>
        <v>307.52</v>
      </c>
      <c r="P219" s="9"/>
      <c r="Q219" s="35" t="str">
        <f t="shared" si="68"/>
        <v>2.079,90</v>
      </c>
      <c r="R219" s="35" t="str">
        <f t="shared" si="69"/>
        <v>995,30</v>
      </c>
      <c r="S219" s="35" t="str">
        <f t="shared" si="70"/>
        <v>3.075,20</v>
      </c>
      <c r="T219" s="35" t="str">
        <f t="shared" si="71"/>
        <v>,00</v>
      </c>
      <c r="U219" s="35" t="str">
        <f t="shared" si="72"/>
        <v>,00</v>
      </c>
      <c r="V219" s="35" t="str">
        <f t="shared" si="73"/>
        <v>,00</v>
      </c>
      <c r="W219" s="35" t="str">
        <f t="shared" si="74"/>
        <v>2.079,90</v>
      </c>
      <c r="X219" s="35" t="str">
        <f t="shared" si="75"/>
        <v>995,30</v>
      </c>
      <c r="Y219" s="35" t="str">
        <f t="shared" si="76"/>
        <v>207,99</v>
      </c>
      <c r="Z219" s="35" t="str">
        <f t="shared" si="77"/>
        <v>99,53</v>
      </c>
      <c r="AA219" s="35" t="str">
        <f t="shared" si="78"/>
        <v>3.075,20</v>
      </c>
      <c r="AB219" s="35" t="str">
        <f t="shared" si="79"/>
        <v>307,52</v>
      </c>
    </row>
    <row r="220" spans="1:28" ht="16" x14ac:dyDescent="0.25">
      <c r="A220" s="24">
        <v>219</v>
      </c>
      <c r="B220" s="24" t="s">
        <v>4232</v>
      </c>
      <c r="C220" s="24" t="s">
        <v>35</v>
      </c>
      <c r="D220" s="116">
        <v>10.8</v>
      </c>
      <c r="E220" s="116">
        <v>206.6</v>
      </c>
      <c r="F220" s="108">
        <f t="shared" si="60"/>
        <v>217.4</v>
      </c>
      <c r="G220" s="116">
        <v>0</v>
      </c>
      <c r="H220" s="116">
        <v>0</v>
      </c>
      <c r="I220" s="28">
        <f t="shared" si="61"/>
        <v>0</v>
      </c>
      <c r="J220" s="28">
        <f t="shared" si="62"/>
        <v>10.8</v>
      </c>
      <c r="K220" s="28">
        <f t="shared" si="63"/>
        <v>206.6</v>
      </c>
      <c r="L220" s="28">
        <f t="shared" si="64"/>
        <v>1.08</v>
      </c>
      <c r="M220" s="28">
        <f t="shared" si="65"/>
        <v>20.66</v>
      </c>
      <c r="N220" s="107">
        <f t="shared" si="66"/>
        <v>217.4</v>
      </c>
      <c r="O220" s="107">
        <f t="shared" si="67"/>
        <v>21.740000000000002</v>
      </c>
      <c r="P220" s="9"/>
      <c r="Q220" s="35" t="str">
        <f t="shared" si="68"/>
        <v>10,80</v>
      </c>
      <c r="R220" s="35" t="str">
        <f t="shared" si="69"/>
        <v>206,60</v>
      </c>
      <c r="S220" s="35" t="str">
        <f t="shared" si="70"/>
        <v>217,40</v>
      </c>
      <c r="T220" s="35" t="str">
        <f t="shared" si="71"/>
        <v>,00</v>
      </c>
      <c r="U220" s="35" t="str">
        <f t="shared" si="72"/>
        <v>,00</v>
      </c>
      <c r="V220" s="35" t="str">
        <f t="shared" si="73"/>
        <v>,00</v>
      </c>
      <c r="W220" s="35" t="str">
        <f t="shared" si="74"/>
        <v>10,80</v>
      </c>
      <c r="X220" s="35" t="str">
        <f t="shared" si="75"/>
        <v>206,60</v>
      </c>
      <c r="Y220" s="35" t="str">
        <f t="shared" si="76"/>
        <v>1,08</v>
      </c>
      <c r="Z220" s="35" t="str">
        <f t="shared" si="77"/>
        <v>20,66</v>
      </c>
      <c r="AA220" s="35" t="str">
        <f t="shared" si="78"/>
        <v>217,40</v>
      </c>
      <c r="AB220" s="35" t="str">
        <f t="shared" si="79"/>
        <v>21,74</v>
      </c>
    </row>
    <row r="221" spans="1:28" ht="16" x14ac:dyDescent="0.25">
      <c r="A221" s="24">
        <v>220</v>
      </c>
      <c r="B221" s="24" t="s">
        <v>87</v>
      </c>
      <c r="C221" s="24" t="s">
        <v>131</v>
      </c>
      <c r="D221" s="116">
        <v>7359.4</v>
      </c>
      <c r="E221" s="116">
        <v>10222.900000000001</v>
      </c>
      <c r="F221" s="108">
        <f t="shared" si="60"/>
        <v>17582.300000000003</v>
      </c>
      <c r="G221" s="116">
        <v>429.7</v>
      </c>
      <c r="H221" s="116">
        <v>543.29999999999995</v>
      </c>
      <c r="I221" s="28">
        <f t="shared" si="61"/>
        <v>973</v>
      </c>
      <c r="J221" s="28">
        <f t="shared" si="62"/>
        <v>6929.7</v>
      </c>
      <c r="K221" s="28">
        <f t="shared" si="63"/>
        <v>9679.6000000000022</v>
      </c>
      <c r="L221" s="28">
        <f t="shared" si="64"/>
        <v>692.97</v>
      </c>
      <c r="M221" s="28">
        <f t="shared" si="65"/>
        <v>967.96000000000026</v>
      </c>
      <c r="N221" s="107">
        <f t="shared" si="66"/>
        <v>16609.300000000003</v>
      </c>
      <c r="O221" s="107">
        <f t="shared" si="67"/>
        <v>1660.9300000000003</v>
      </c>
      <c r="P221" s="9"/>
      <c r="Q221" s="35" t="str">
        <f t="shared" si="68"/>
        <v>7.359,40</v>
      </c>
      <c r="R221" s="35" t="str">
        <f t="shared" si="69"/>
        <v>10.222,90</v>
      </c>
      <c r="S221" s="35" t="str">
        <f t="shared" si="70"/>
        <v>17.582,30</v>
      </c>
      <c r="T221" s="35" t="str">
        <f t="shared" si="71"/>
        <v>429,70</v>
      </c>
      <c r="U221" s="35" t="str">
        <f t="shared" si="72"/>
        <v>543,30</v>
      </c>
      <c r="V221" s="35" t="str">
        <f t="shared" si="73"/>
        <v>973,00</v>
      </c>
      <c r="W221" s="35" t="str">
        <f t="shared" si="74"/>
        <v>6.929,70</v>
      </c>
      <c r="X221" s="35" t="str">
        <f t="shared" si="75"/>
        <v>9.679,60</v>
      </c>
      <c r="Y221" s="35" t="str">
        <f t="shared" si="76"/>
        <v>692,97</v>
      </c>
      <c r="Z221" s="35" t="str">
        <f t="shared" si="77"/>
        <v>967,96</v>
      </c>
      <c r="AA221" s="35" t="str">
        <f t="shared" si="78"/>
        <v>16.609,30</v>
      </c>
      <c r="AB221" s="35" t="str">
        <f t="shared" si="79"/>
        <v>1.660,93</v>
      </c>
    </row>
    <row r="222" spans="1:28" ht="16" x14ac:dyDescent="0.25">
      <c r="A222" s="24">
        <v>221</v>
      </c>
      <c r="B222" s="24" t="s">
        <v>2130</v>
      </c>
      <c r="C222" s="24" t="s">
        <v>131</v>
      </c>
      <c r="D222" s="116">
        <v>154.1</v>
      </c>
      <c r="E222" s="116">
        <v>1086.7</v>
      </c>
      <c r="F222" s="108">
        <f t="shared" si="60"/>
        <v>1240.8</v>
      </c>
      <c r="G222" s="116">
        <v>0</v>
      </c>
      <c r="H222" s="116">
        <v>0</v>
      </c>
      <c r="I222" s="28">
        <f t="shared" si="61"/>
        <v>0</v>
      </c>
      <c r="J222" s="28">
        <f t="shared" si="62"/>
        <v>154.1</v>
      </c>
      <c r="K222" s="28">
        <f t="shared" si="63"/>
        <v>1086.7</v>
      </c>
      <c r="L222" s="28">
        <f t="shared" si="64"/>
        <v>15.41</v>
      </c>
      <c r="M222" s="28">
        <f t="shared" si="65"/>
        <v>108.67000000000002</v>
      </c>
      <c r="N222" s="107">
        <f t="shared" si="66"/>
        <v>1240.8</v>
      </c>
      <c r="O222" s="107">
        <f t="shared" si="67"/>
        <v>124.08</v>
      </c>
      <c r="P222" s="9"/>
      <c r="Q222" s="35" t="str">
        <f t="shared" si="68"/>
        <v>154,10</v>
      </c>
      <c r="R222" s="35" t="str">
        <f t="shared" si="69"/>
        <v>1.086,70</v>
      </c>
      <c r="S222" s="35" t="str">
        <f t="shared" si="70"/>
        <v>1.240,80</v>
      </c>
      <c r="T222" s="35" t="str">
        <f t="shared" si="71"/>
        <v>,00</v>
      </c>
      <c r="U222" s="35" t="str">
        <f t="shared" si="72"/>
        <v>,00</v>
      </c>
      <c r="V222" s="35" t="str">
        <f t="shared" si="73"/>
        <v>,00</v>
      </c>
      <c r="W222" s="35" t="str">
        <f t="shared" si="74"/>
        <v>154,10</v>
      </c>
      <c r="X222" s="35" t="str">
        <f t="shared" si="75"/>
        <v>1.086,70</v>
      </c>
      <c r="Y222" s="35" t="str">
        <f t="shared" si="76"/>
        <v>15,41</v>
      </c>
      <c r="Z222" s="35" t="str">
        <f t="shared" si="77"/>
        <v>108,67</v>
      </c>
      <c r="AA222" s="35" t="str">
        <f t="shared" si="78"/>
        <v>1.240,80</v>
      </c>
      <c r="AB222" s="35" t="str">
        <f t="shared" si="79"/>
        <v>124,08</v>
      </c>
    </row>
    <row r="223" spans="1:28" ht="16" x14ac:dyDescent="0.25">
      <c r="A223" s="24">
        <v>222</v>
      </c>
      <c r="B223" s="24" t="s">
        <v>680</v>
      </c>
      <c r="C223" s="24" t="s">
        <v>131</v>
      </c>
      <c r="D223" s="116">
        <v>663.6</v>
      </c>
      <c r="E223" s="116">
        <v>543.79999999999995</v>
      </c>
      <c r="F223" s="108">
        <f t="shared" si="60"/>
        <v>1207.4000000000001</v>
      </c>
      <c r="G223" s="116">
        <v>5.4</v>
      </c>
      <c r="H223" s="116">
        <v>103.3</v>
      </c>
      <c r="I223" s="28">
        <f t="shared" si="61"/>
        <v>108.7</v>
      </c>
      <c r="J223" s="28">
        <f t="shared" si="62"/>
        <v>658.2</v>
      </c>
      <c r="K223" s="28">
        <f t="shared" si="63"/>
        <v>440.49999999999994</v>
      </c>
      <c r="L223" s="28">
        <f t="shared" si="64"/>
        <v>65.820000000000007</v>
      </c>
      <c r="M223" s="28">
        <f t="shared" si="65"/>
        <v>44.05</v>
      </c>
      <c r="N223" s="107">
        <f t="shared" si="66"/>
        <v>1098.7</v>
      </c>
      <c r="O223" s="107">
        <f t="shared" si="67"/>
        <v>109.87</v>
      </c>
      <c r="P223" s="9"/>
      <c r="Q223" s="35" t="str">
        <f t="shared" si="68"/>
        <v>663,60</v>
      </c>
      <c r="R223" s="35" t="str">
        <f t="shared" si="69"/>
        <v>543,80</v>
      </c>
      <c r="S223" s="35" t="str">
        <f t="shared" si="70"/>
        <v>1.207,40</v>
      </c>
      <c r="T223" s="35" t="str">
        <f t="shared" si="71"/>
        <v>5,40</v>
      </c>
      <c r="U223" s="35" t="str">
        <f t="shared" si="72"/>
        <v>103,30</v>
      </c>
      <c r="V223" s="35" t="str">
        <f t="shared" si="73"/>
        <v>108,70</v>
      </c>
      <c r="W223" s="35" t="str">
        <f t="shared" si="74"/>
        <v>658,20</v>
      </c>
      <c r="X223" s="35" t="str">
        <f t="shared" si="75"/>
        <v>440,50</v>
      </c>
      <c r="Y223" s="35" t="str">
        <f t="shared" si="76"/>
        <v>65,82</v>
      </c>
      <c r="Z223" s="35" t="str">
        <f t="shared" si="77"/>
        <v>44,05</v>
      </c>
      <c r="AA223" s="35" t="str">
        <f t="shared" si="78"/>
        <v>1.098,70</v>
      </c>
      <c r="AB223" s="35" t="str">
        <f t="shared" si="79"/>
        <v>109,87</v>
      </c>
    </row>
    <row r="224" spans="1:28" ht="16" x14ac:dyDescent="0.25">
      <c r="A224" s="24">
        <v>223</v>
      </c>
      <c r="B224" s="24" t="s">
        <v>679</v>
      </c>
      <c r="C224" s="24" t="s">
        <v>131</v>
      </c>
      <c r="D224" s="116">
        <v>0.5</v>
      </c>
      <c r="E224" s="116">
        <v>859.3</v>
      </c>
      <c r="F224" s="108">
        <f t="shared" si="60"/>
        <v>859.8</v>
      </c>
      <c r="G224" s="116">
        <v>0</v>
      </c>
      <c r="H224" s="116">
        <v>0</v>
      </c>
      <c r="I224" s="28">
        <f t="shared" si="61"/>
        <v>0</v>
      </c>
      <c r="J224" s="28">
        <f t="shared" si="62"/>
        <v>0.5</v>
      </c>
      <c r="K224" s="28">
        <f t="shared" si="63"/>
        <v>859.3</v>
      </c>
      <c r="L224" s="28">
        <f t="shared" si="64"/>
        <v>0.05</v>
      </c>
      <c r="M224" s="28">
        <f t="shared" si="65"/>
        <v>85.93</v>
      </c>
      <c r="N224" s="107">
        <f t="shared" si="66"/>
        <v>859.8</v>
      </c>
      <c r="O224" s="107">
        <f t="shared" si="67"/>
        <v>85.98</v>
      </c>
      <c r="P224" s="9"/>
      <c r="Q224" s="35" t="str">
        <f t="shared" si="68"/>
        <v>,50</v>
      </c>
      <c r="R224" s="35" t="str">
        <f t="shared" si="69"/>
        <v>859,30</v>
      </c>
      <c r="S224" s="35" t="str">
        <f t="shared" si="70"/>
        <v>859,80</v>
      </c>
      <c r="T224" s="35" t="str">
        <f t="shared" si="71"/>
        <v>,00</v>
      </c>
      <c r="U224" s="35" t="str">
        <f t="shared" si="72"/>
        <v>,00</v>
      </c>
      <c r="V224" s="35" t="str">
        <f t="shared" si="73"/>
        <v>,00</v>
      </c>
      <c r="W224" s="35" t="str">
        <f t="shared" si="74"/>
        <v>,50</v>
      </c>
      <c r="X224" s="35" t="str">
        <f t="shared" si="75"/>
        <v>859,30</v>
      </c>
      <c r="Y224" s="35" t="str">
        <f t="shared" si="76"/>
        <v>,05</v>
      </c>
      <c r="Z224" s="35" t="str">
        <f t="shared" si="77"/>
        <v>85,93</v>
      </c>
      <c r="AA224" s="35" t="str">
        <f t="shared" si="78"/>
        <v>859,80</v>
      </c>
      <c r="AB224" s="35" t="str">
        <f t="shared" si="79"/>
        <v>85,98</v>
      </c>
    </row>
    <row r="225" spans="1:28" ht="16" x14ac:dyDescent="0.25">
      <c r="A225" s="24">
        <v>224</v>
      </c>
      <c r="B225" s="24" t="s">
        <v>2211</v>
      </c>
      <c r="C225" s="24" t="s">
        <v>131</v>
      </c>
      <c r="D225" s="116">
        <v>0.4</v>
      </c>
      <c r="E225" s="116">
        <v>740.8</v>
      </c>
      <c r="F225" s="108">
        <f t="shared" si="60"/>
        <v>741.19999999999993</v>
      </c>
      <c r="G225" s="116">
        <v>0</v>
      </c>
      <c r="H225" s="116">
        <v>0</v>
      </c>
      <c r="I225" s="28">
        <f t="shared" si="61"/>
        <v>0</v>
      </c>
      <c r="J225" s="28">
        <f t="shared" si="62"/>
        <v>0.4</v>
      </c>
      <c r="K225" s="28">
        <f t="shared" si="63"/>
        <v>740.8</v>
      </c>
      <c r="L225" s="28">
        <f t="shared" si="64"/>
        <v>4.0000000000000008E-2</v>
      </c>
      <c r="M225" s="28">
        <f t="shared" si="65"/>
        <v>74.08</v>
      </c>
      <c r="N225" s="107">
        <f t="shared" si="66"/>
        <v>741.19999999999993</v>
      </c>
      <c r="O225" s="107">
        <f t="shared" si="67"/>
        <v>74.11999999999999</v>
      </c>
      <c r="P225" s="9"/>
      <c r="Q225" s="35" t="str">
        <f t="shared" si="68"/>
        <v>,40</v>
      </c>
      <c r="R225" s="35" t="str">
        <f t="shared" si="69"/>
        <v>740,80</v>
      </c>
      <c r="S225" s="35" t="str">
        <f t="shared" si="70"/>
        <v>741,20</v>
      </c>
      <c r="T225" s="35" t="str">
        <f t="shared" si="71"/>
        <v>,00</v>
      </c>
      <c r="U225" s="35" t="str">
        <f t="shared" si="72"/>
        <v>,00</v>
      </c>
      <c r="V225" s="35" t="str">
        <f t="shared" si="73"/>
        <v>,00</v>
      </c>
      <c r="W225" s="35" t="str">
        <f t="shared" si="74"/>
        <v>,40</v>
      </c>
      <c r="X225" s="35" t="str">
        <f t="shared" si="75"/>
        <v>740,80</v>
      </c>
      <c r="Y225" s="35" t="str">
        <f t="shared" si="76"/>
        <v>,04</v>
      </c>
      <c r="Z225" s="35" t="str">
        <f t="shared" si="77"/>
        <v>74,08</v>
      </c>
      <c r="AA225" s="35" t="str">
        <f t="shared" si="78"/>
        <v>741,20</v>
      </c>
      <c r="AB225" s="35" t="str">
        <f t="shared" si="79"/>
        <v>74,12</v>
      </c>
    </row>
    <row r="226" spans="1:28" ht="16" x14ac:dyDescent="0.25">
      <c r="A226" s="24">
        <v>225</v>
      </c>
      <c r="B226" s="24" t="s">
        <v>380</v>
      </c>
      <c r="C226" s="24" t="s">
        <v>131</v>
      </c>
      <c r="D226" s="116">
        <v>408.3</v>
      </c>
      <c r="E226" s="116">
        <v>171.1</v>
      </c>
      <c r="F226" s="108">
        <f t="shared" si="60"/>
        <v>579.4</v>
      </c>
      <c r="G226" s="116">
        <v>0</v>
      </c>
      <c r="H226" s="116">
        <v>0</v>
      </c>
      <c r="I226" s="28">
        <f t="shared" si="61"/>
        <v>0</v>
      </c>
      <c r="J226" s="28">
        <f t="shared" si="62"/>
        <v>408.3</v>
      </c>
      <c r="K226" s="28">
        <f t="shared" si="63"/>
        <v>171.1</v>
      </c>
      <c r="L226" s="28">
        <f t="shared" si="64"/>
        <v>40.830000000000005</v>
      </c>
      <c r="M226" s="28">
        <f t="shared" si="65"/>
        <v>17.11</v>
      </c>
      <c r="N226" s="107">
        <f t="shared" si="66"/>
        <v>579.4</v>
      </c>
      <c r="O226" s="107">
        <f t="shared" si="67"/>
        <v>57.94</v>
      </c>
      <c r="P226" s="9"/>
      <c r="Q226" s="35" t="str">
        <f t="shared" si="68"/>
        <v>408,30</v>
      </c>
      <c r="R226" s="35" t="str">
        <f t="shared" si="69"/>
        <v>171,10</v>
      </c>
      <c r="S226" s="35" t="str">
        <f t="shared" si="70"/>
        <v>579,40</v>
      </c>
      <c r="T226" s="35" t="str">
        <f t="shared" si="71"/>
        <v>,00</v>
      </c>
      <c r="U226" s="35" t="str">
        <f t="shared" si="72"/>
        <v>,00</v>
      </c>
      <c r="V226" s="35" t="str">
        <f t="shared" si="73"/>
        <v>,00</v>
      </c>
      <c r="W226" s="35" t="str">
        <f t="shared" si="74"/>
        <v>408,30</v>
      </c>
      <c r="X226" s="35" t="str">
        <f t="shared" si="75"/>
        <v>171,10</v>
      </c>
      <c r="Y226" s="35" t="str">
        <f t="shared" si="76"/>
        <v>40,83</v>
      </c>
      <c r="Z226" s="35" t="str">
        <f t="shared" si="77"/>
        <v>17,11</v>
      </c>
      <c r="AA226" s="35" t="str">
        <f t="shared" si="78"/>
        <v>579,40</v>
      </c>
      <c r="AB226" s="35" t="str">
        <f t="shared" si="79"/>
        <v>57,94</v>
      </c>
    </row>
    <row r="227" spans="1:28" ht="16" x14ac:dyDescent="0.25">
      <c r="A227" s="24">
        <v>226</v>
      </c>
      <c r="B227" s="24" t="s">
        <v>678</v>
      </c>
      <c r="C227" s="24" t="s">
        <v>131</v>
      </c>
      <c r="D227" s="116">
        <v>5.4</v>
      </c>
      <c r="E227" s="116">
        <v>103.3</v>
      </c>
      <c r="F227" s="108">
        <f t="shared" si="60"/>
        <v>108.7</v>
      </c>
      <c r="G227" s="116">
        <v>0</v>
      </c>
      <c r="H227" s="116">
        <v>0</v>
      </c>
      <c r="I227" s="28">
        <f t="shared" si="61"/>
        <v>0</v>
      </c>
      <c r="J227" s="28">
        <f t="shared" si="62"/>
        <v>5.4</v>
      </c>
      <c r="K227" s="28">
        <f t="shared" si="63"/>
        <v>103.3</v>
      </c>
      <c r="L227" s="28">
        <f t="shared" si="64"/>
        <v>0.54</v>
      </c>
      <c r="M227" s="28">
        <f t="shared" si="65"/>
        <v>10.33</v>
      </c>
      <c r="N227" s="107">
        <f t="shared" si="66"/>
        <v>108.7</v>
      </c>
      <c r="O227" s="107">
        <f t="shared" si="67"/>
        <v>10.870000000000001</v>
      </c>
      <c r="P227" s="9"/>
      <c r="Q227" s="35" t="str">
        <f t="shared" si="68"/>
        <v>5,40</v>
      </c>
      <c r="R227" s="35" t="str">
        <f t="shared" si="69"/>
        <v>103,30</v>
      </c>
      <c r="S227" s="35" t="str">
        <f t="shared" si="70"/>
        <v>108,70</v>
      </c>
      <c r="T227" s="35" t="str">
        <f t="shared" si="71"/>
        <v>,00</v>
      </c>
      <c r="U227" s="35" t="str">
        <f t="shared" si="72"/>
        <v>,00</v>
      </c>
      <c r="V227" s="35" t="str">
        <f t="shared" si="73"/>
        <v>,00</v>
      </c>
      <c r="W227" s="35" t="str">
        <f t="shared" si="74"/>
        <v>5,40</v>
      </c>
      <c r="X227" s="35" t="str">
        <f t="shared" si="75"/>
        <v>103,30</v>
      </c>
      <c r="Y227" s="35" t="str">
        <f t="shared" si="76"/>
        <v>,54</v>
      </c>
      <c r="Z227" s="35" t="str">
        <f t="shared" si="77"/>
        <v>10,33</v>
      </c>
      <c r="AA227" s="35" t="str">
        <f t="shared" si="78"/>
        <v>108,70</v>
      </c>
      <c r="AB227" s="35" t="str">
        <f t="shared" si="79"/>
        <v>10,87</v>
      </c>
    </row>
    <row r="228" spans="1:28" ht="16" x14ac:dyDescent="0.25">
      <c r="A228" s="24">
        <v>227</v>
      </c>
      <c r="B228" s="24" t="s">
        <v>1883</v>
      </c>
      <c r="C228" s="24" t="s">
        <v>132</v>
      </c>
      <c r="D228" s="116">
        <v>200602.25999999998</v>
      </c>
      <c r="E228" s="116">
        <v>247879.19</v>
      </c>
      <c r="F228" s="108">
        <f t="shared" si="60"/>
        <v>448481.44999999995</v>
      </c>
      <c r="G228" s="116">
        <v>15985.859999999997</v>
      </c>
      <c r="H228" s="116">
        <v>14730.080000000002</v>
      </c>
      <c r="I228" s="28">
        <f t="shared" si="61"/>
        <v>30715.94</v>
      </c>
      <c r="J228" s="28">
        <f t="shared" si="62"/>
        <v>184616.4</v>
      </c>
      <c r="K228" s="28">
        <f t="shared" si="63"/>
        <v>233149.11</v>
      </c>
      <c r="L228" s="28">
        <f t="shared" si="64"/>
        <v>18461.64</v>
      </c>
      <c r="M228" s="28">
        <f t="shared" si="65"/>
        <v>23314.911</v>
      </c>
      <c r="N228" s="107">
        <f t="shared" si="66"/>
        <v>417765.50999999995</v>
      </c>
      <c r="O228" s="107">
        <f t="shared" si="67"/>
        <v>41776.550999999999</v>
      </c>
      <c r="P228" s="9"/>
      <c r="Q228" s="35" t="str">
        <f t="shared" si="68"/>
        <v>200.602,26</v>
      </c>
      <c r="R228" s="35" t="str">
        <f t="shared" si="69"/>
        <v>247.879,19</v>
      </c>
      <c r="S228" s="35" t="str">
        <f t="shared" si="70"/>
        <v>448.481,45</v>
      </c>
      <c r="T228" s="35" t="str">
        <f t="shared" si="71"/>
        <v>15.985,86</v>
      </c>
      <c r="U228" s="35" t="str">
        <f t="shared" si="72"/>
        <v>14.730,08</v>
      </c>
      <c r="V228" s="35" t="str">
        <f t="shared" si="73"/>
        <v>30.715,94</v>
      </c>
      <c r="W228" s="35" t="str">
        <f t="shared" si="74"/>
        <v>184.616,40</v>
      </c>
      <c r="X228" s="35" t="str">
        <f t="shared" si="75"/>
        <v>233.149,11</v>
      </c>
      <c r="Y228" s="35" t="str">
        <f t="shared" si="76"/>
        <v>18.461,64</v>
      </c>
      <c r="Z228" s="35" t="str">
        <f t="shared" si="77"/>
        <v>23.314,91</v>
      </c>
      <c r="AA228" s="35" t="str">
        <f t="shared" si="78"/>
        <v>417.765,51</v>
      </c>
      <c r="AB228" s="35" t="str">
        <f t="shared" si="79"/>
        <v>41.776,55</v>
      </c>
    </row>
    <row r="229" spans="1:28" ht="16" x14ac:dyDescent="0.25">
      <c r="A229" s="24">
        <v>228</v>
      </c>
      <c r="B229" s="24" t="s">
        <v>1885</v>
      </c>
      <c r="C229" s="24" t="s">
        <v>134</v>
      </c>
      <c r="D229" s="116">
        <v>60748.939999999995</v>
      </c>
      <c r="E229" s="116">
        <v>81040.10000000002</v>
      </c>
      <c r="F229" s="108">
        <f t="shared" si="60"/>
        <v>141789.04</v>
      </c>
      <c r="G229" s="116">
        <v>6407.9</v>
      </c>
      <c r="H229" s="116">
        <v>15618.499999999998</v>
      </c>
      <c r="I229" s="28">
        <f t="shared" si="61"/>
        <v>22026.399999999998</v>
      </c>
      <c r="J229" s="28">
        <f t="shared" si="62"/>
        <v>54341.039999999994</v>
      </c>
      <c r="K229" s="28">
        <f t="shared" si="63"/>
        <v>65421.60000000002</v>
      </c>
      <c r="L229" s="28">
        <f t="shared" si="64"/>
        <v>5434.1039999999994</v>
      </c>
      <c r="M229" s="28">
        <f t="shared" si="65"/>
        <v>6542.1600000000026</v>
      </c>
      <c r="N229" s="107">
        <f t="shared" si="66"/>
        <v>119762.64000000001</v>
      </c>
      <c r="O229" s="107">
        <f t="shared" si="67"/>
        <v>11976.264000000003</v>
      </c>
      <c r="P229" s="9"/>
      <c r="Q229" s="35" t="str">
        <f t="shared" si="68"/>
        <v>60.748,94</v>
      </c>
      <c r="R229" s="35" t="str">
        <f t="shared" si="69"/>
        <v>81.040,10</v>
      </c>
      <c r="S229" s="35" t="str">
        <f t="shared" si="70"/>
        <v>141.789,04</v>
      </c>
      <c r="T229" s="35" t="str">
        <f t="shared" si="71"/>
        <v>6.407,90</v>
      </c>
      <c r="U229" s="35" t="str">
        <f t="shared" si="72"/>
        <v>15.618,50</v>
      </c>
      <c r="V229" s="35" t="str">
        <f t="shared" si="73"/>
        <v>22.026,40</v>
      </c>
      <c r="W229" s="35" t="str">
        <f t="shared" si="74"/>
        <v>54.341,04</v>
      </c>
      <c r="X229" s="35" t="str">
        <f t="shared" si="75"/>
        <v>65.421,60</v>
      </c>
      <c r="Y229" s="35" t="str">
        <f t="shared" si="76"/>
        <v>5.434,10</v>
      </c>
      <c r="Z229" s="35" t="str">
        <f t="shared" si="77"/>
        <v>6.542,16</v>
      </c>
      <c r="AA229" s="35" t="str">
        <f t="shared" si="78"/>
        <v>119.762,64</v>
      </c>
      <c r="AB229" s="35" t="str">
        <f t="shared" si="79"/>
        <v>11.976,26</v>
      </c>
    </row>
    <row r="230" spans="1:28" ht="16" x14ac:dyDescent="0.25">
      <c r="A230" s="24">
        <v>229</v>
      </c>
      <c r="B230" s="24" t="s">
        <v>34</v>
      </c>
      <c r="C230" s="24" t="s">
        <v>88</v>
      </c>
      <c r="D230" s="116">
        <v>2743.8</v>
      </c>
      <c r="E230" s="116">
        <v>6164.2</v>
      </c>
      <c r="F230" s="108">
        <f t="shared" si="60"/>
        <v>8908</v>
      </c>
      <c r="G230" s="116">
        <v>0</v>
      </c>
      <c r="H230" s="116">
        <v>0</v>
      </c>
      <c r="I230" s="28">
        <f t="shared" si="61"/>
        <v>0</v>
      </c>
      <c r="J230" s="28">
        <f t="shared" si="62"/>
        <v>2743.8</v>
      </c>
      <c r="K230" s="28">
        <f t="shared" si="63"/>
        <v>6164.2</v>
      </c>
      <c r="L230" s="28">
        <f t="shared" si="64"/>
        <v>274.38000000000005</v>
      </c>
      <c r="M230" s="28">
        <f t="shared" si="65"/>
        <v>616.42000000000007</v>
      </c>
      <c r="N230" s="107">
        <f t="shared" si="66"/>
        <v>8908</v>
      </c>
      <c r="O230" s="107">
        <f t="shared" si="67"/>
        <v>890.80000000000007</v>
      </c>
      <c r="P230" s="9"/>
      <c r="Q230" s="35" t="str">
        <f t="shared" si="68"/>
        <v>2.743,80</v>
      </c>
      <c r="R230" s="35" t="str">
        <f t="shared" si="69"/>
        <v>6.164,20</v>
      </c>
      <c r="S230" s="35" t="str">
        <f t="shared" si="70"/>
        <v>8.908,00</v>
      </c>
      <c r="T230" s="35" t="str">
        <f t="shared" si="71"/>
        <v>,00</v>
      </c>
      <c r="U230" s="35" t="str">
        <f t="shared" si="72"/>
        <v>,00</v>
      </c>
      <c r="V230" s="35" t="str">
        <f t="shared" si="73"/>
        <v>,00</v>
      </c>
      <c r="W230" s="35" t="str">
        <f t="shared" si="74"/>
        <v>2.743,80</v>
      </c>
      <c r="X230" s="35" t="str">
        <f t="shared" si="75"/>
        <v>6.164,20</v>
      </c>
      <c r="Y230" s="35" t="str">
        <f t="shared" si="76"/>
        <v>274,38</v>
      </c>
      <c r="Z230" s="35" t="str">
        <f t="shared" si="77"/>
        <v>616,42</v>
      </c>
      <c r="AA230" s="35" t="str">
        <f t="shared" si="78"/>
        <v>8.908,00</v>
      </c>
      <c r="AB230" s="35" t="str">
        <f t="shared" si="79"/>
        <v>890,80</v>
      </c>
    </row>
    <row r="231" spans="1:28" ht="16" x14ac:dyDescent="0.25">
      <c r="A231" s="24">
        <v>230</v>
      </c>
      <c r="B231" s="24" t="s">
        <v>1887</v>
      </c>
      <c r="C231" s="24" t="s">
        <v>88</v>
      </c>
      <c r="D231" s="116">
        <v>207.6</v>
      </c>
      <c r="E231" s="116"/>
      <c r="F231" s="108">
        <f t="shared" si="60"/>
        <v>207.6</v>
      </c>
      <c r="G231" s="116">
        <v>0</v>
      </c>
      <c r="H231" s="116"/>
      <c r="I231" s="28">
        <f t="shared" si="61"/>
        <v>0</v>
      </c>
      <c r="J231" s="28">
        <f t="shared" si="62"/>
        <v>207.6</v>
      </c>
      <c r="K231" s="28">
        <f t="shared" si="63"/>
        <v>0</v>
      </c>
      <c r="L231" s="28">
        <f t="shared" si="64"/>
        <v>20.76</v>
      </c>
      <c r="M231" s="28">
        <f t="shared" si="65"/>
        <v>0</v>
      </c>
      <c r="N231" s="107">
        <f t="shared" si="66"/>
        <v>207.6</v>
      </c>
      <c r="O231" s="107">
        <f t="shared" si="67"/>
        <v>20.76</v>
      </c>
      <c r="P231" s="9"/>
      <c r="Q231" s="35" t="str">
        <f t="shared" si="68"/>
        <v>207,60</v>
      </c>
      <c r="R231" s="35" t="str">
        <f t="shared" si="69"/>
        <v>,00</v>
      </c>
      <c r="S231" s="35" t="str">
        <f t="shared" si="70"/>
        <v>207,60</v>
      </c>
      <c r="T231" s="35" t="str">
        <f t="shared" si="71"/>
        <v>,00</v>
      </c>
      <c r="U231" s="35" t="str">
        <f t="shared" si="72"/>
        <v>,00</v>
      </c>
      <c r="V231" s="35" t="str">
        <f t="shared" si="73"/>
        <v>,00</v>
      </c>
      <c r="W231" s="35" t="str">
        <f t="shared" si="74"/>
        <v>207,60</v>
      </c>
      <c r="X231" s="35" t="str">
        <f t="shared" si="75"/>
        <v>,00</v>
      </c>
      <c r="Y231" s="35" t="str">
        <f t="shared" si="76"/>
        <v>20,76</v>
      </c>
      <c r="Z231" s="35" t="str">
        <f t="shared" si="77"/>
        <v>,00</v>
      </c>
      <c r="AA231" s="35" t="str">
        <f t="shared" si="78"/>
        <v>207,60</v>
      </c>
      <c r="AB231" s="35" t="str">
        <f t="shared" si="79"/>
        <v>20,76</v>
      </c>
    </row>
    <row r="232" spans="1:28" ht="16" x14ac:dyDescent="0.25">
      <c r="A232" s="24">
        <v>231</v>
      </c>
      <c r="B232" s="24" t="s">
        <v>34</v>
      </c>
      <c r="C232" s="24" t="s">
        <v>141</v>
      </c>
      <c r="D232" s="116">
        <v>11693</v>
      </c>
      <c r="E232" s="116">
        <v>25453.5</v>
      </c>
      <c r="F232" s="108">
        <f t="shared" si="60"/>
        <v>37146.5</v>
      </c>
      <c r="G232" s="116">
        <v>1040</v>
      </c>
      <c r="H232" s="116">
        <v>1814.7</v>
      </c>
      <c r="I232" s="28">
        <f t="shared" si="61"/>
        <v>2854.7</v>
      </c>
      <c r="J232" s="28">
        <f t="shared" si="62"/>
        <v>10653</v>
      </c>
      <c r="K232" s="28">
        <f t="shared" si="63"/>
        <v>23638.799999999999</v>
      </c>
      <c r="L232" s="28">
        <f t="shared" si="64"/>
        <v>1065.3</v>
      </c>
      <c r="M232" s="28">
        <f t="shared" si="65"/>
        <v>2363.88</v>
      </c>
      <c r="N232" s="107">
        <f t="shared" si="66"/>
        <v>34291.800000000003</v>
      </c>
      <c r="O232" s="107">
        <f t="shared" si="67"/>
        <v>3429.1800000000003</v>
      </c>
      <c r="P232" s="9"/>
      <c r="Q232" s="35" t="str">
        <f t="shared" si="68"/>
        <v>11.693,00</v>
      </c>
      <c r="R232" s="35" t="str">
        <f t="shared" si="69"/>
        <v>25.453,50</v>
      </c>
      <c r="S232" s="35" t="str">
        <f t="shared" si="70"/>
        <v>37.146,50</v>
      </c>
      <c r="T232" s="35" t="str">
        <f t="shared" si="71"/>
        <v>1.040,00</v>
      </c>
      <c r="U232" s="35" t="str">
        <f t="shared" si="72"/>
        <v>1.814,70</v>
      </c>
      <c r="V232" s="35" t="str">
        <f t="shared" si="73"/>
        <v>2.854,70</v>
      </c>
      <c r="W232" s="35" t="str">
        <f t="shared" si="74"/>
        <v>10.653,00</v>
      </c>
      <c r="X232" s="35" t="str">
        <f t="shared" si="75"/>
        <v>23.638,80</v>
      </c>
      <c r="Y232" s="35" t="str">
        <f t="shared" si="76"/>
        <v>1.065,30</v>
      </c>
      <c r="Z232" s="35" t="str">
        <f t="shared" si="77"/>
        <v>2.363,88</v>
      </c>
      <c r="AA232" s="35" t="str">
        <f t="shared" si="78"/>
        <v>34.291,80</v>
      </c>
      <c r="AB232" s="35" t="str">
        <f t="shared" si="79"/>
        <v>3.429,18</v>
      </c>
    </row>
    <row r="233" spans="1:28" ht="16" x14ac:dyDescent="0.25">
      <c r="A233" s="24">
        <v>232</v>
      </c>
      <c r="B233" s="24" t="s">
        <v>2239</v>
      </c>
      <c r="C233" s="24" t="s">
        <v>141</v>
      </c>
      <c r="D233" s="116">
        <v>859.9</v>
      </c>
      <c r="E233" s="116">
        <v>1609.9</v>
      </c>
      <c r="F233" s="108">
        <f t="shared" si="60"/>
        <v>2469.8000000000002</v>
      </c>
      <c r="G233" s="116">
        <v>699.3</v>
      </c>
      <c r="H233" s="116">
        <v>516.70000000000005</v>
      </c>
      <c r="I233" s="28">
        <f t="shared" si="61"/>
        <v>1216</v>
      </c>
      <c r="J233" s="28">
        <f t="shared" si="62"/>
        <v>160.60000000000002</v>
      </c>
      <c r="K233" s="28">
        <f t="shared" si="63"/>
        <v>1093.2</v>
      </c>
      <c r="L233" s="28">
        <f t="shared" si="64"/>
        <v>16.060000000000002</v>
      </c>
      <c r="M233" s="28">
        <f t="shared" si="65"/>
        <v>109.32000000000001</v>
      </c>
      <c r="N233" s="107">
        <f t="shared" si="66"/>
        <v>1253.8000000000002</v>
      </c>
      <c r="O233" s="107">
        <f t="shared" si="67"/>
        <v>125.38000000000002</v>
      </c>
      <c r="P233" s="9"/>
      <c r="Q233" s="35" t="str">
        <f t="shared" si="68"/>
        <v>859,90</v>
      </c>
      <c r="R233" s="35" t="str">
        <f t="shared" si="69"/>
        <v>1.609,90</v>
      </c>
      <c r="S233" s="35" t="str">
        <f t="shared" si="70"/>
        <v>2.469,80</v>
      </c>
      <c r="T233" s="35" t="str">
        <f t="shared" si="71"/>
        <v>699,30</v>
      </c>
      <c r="U233" s="35" t="str">
        <f t="shared" si="72"/>
        <v>516,70</v>
      </c>
      <c r="V233" s="35" t="str">
        <f t="shared" si="73"/>
        <v>1.216,00</v>
      </c>
      <c r="W233" s="35" t="str">
        <f t="shared" si="74"/>
        <v>160,60</v>
      </c>
      <c r="X233" s="35" t="str">
        <f t="shared" si="75"/>
        <v>1.093,20</v>
      </c>
      <c r="Y233" s="35" t="str">
        <f t="shared" si="76"/>
        <v>16,06</v>
      </c>
      <c r="Z233" s="35" t="str">
        <f t="shared" si="77"/>
        <v>109,32</v>
      </c>
      <c r="AA233" s="35" t="str">
        <f t="shared" si="78"/>
        <v>1.253,80</v>
      </c>
      <c r="AB233" s="35" t="str">
        <f t="shared" si="79"/>
        <v>125,38</v>
      </c>
    </row>
    <row r="234" spans="1:28" ht="16" x14ac:dyDescent="0.25">
      <c r="A234" s="24">
        <v>233</v>
      </c>
      <c r="B234" s="24" t="s">
        <v>470</v>
      </c>
      <c r="C234" s="24" t="s">
        <v>141</v>
      </c>
      <c r="D234" s="116">
        <v>118.7</v>
      </c>
      <c r="E234" s="116">
        <v>415.6</v>
      </c>
      <c r="F234" s="108">
        <f t="shared" si="60"/>
        <v>534.30000000000007</v>
      </c>
      <c r="G234" s="116">
        <v>39</v>
      </c>
      <c r="H234" s="116">
        <v>0</v>
      </c>
      <c r="I234" s="28">
        <f t="shared" si="61"/>
        <v>39</v>
      </c>
      <c r="J234" s="28">
        <f t="shared" si="62"/>
        <v>79.7</v>
      </c>
      <c r="K234" s="28">
        <f t="shared" si="63"/>
        <v>415.6</v>
      </c>
      <c r="L234" s="28">
        <f t="shared" si="64"/>
        <v>7.9700000000000006</v>
      </c>
      <c r="M234" s="28">
        <f t="shared" si="65"/>
        <v>41.56</v>
      </c>
      <c r="N234" s="107">
        <f t="shared" si="66"/>
        <v>495.30000000000007</v>
      </c>
      <c r="O234" s="107">
        <f t="shared" si="67"/>
        <v>49.530000000000008</v>
      </c>
      <c r="P234" s="9"/>
      <c r="Q234" s="35" t="str">
        <f t="shared" si="68"/>
        <v>118,70</v>
      </c>
      <c r="R234" s="35" t="str">
        <f t="shared" si="69"/>
        <v>415,60</v>
      </c>
      <c r="S234" s="35" t="str">
        <f t="shared" si="70"/>
        <v>534,30</v>
      </c>
      <c r="T234" s="35" t="str">
        <f t="shared" si="71"/>
        <v>39,00</v>
      </c>
      <c r="U234" s="35" t="str">
        <f t="shared" si="72"/>
        <v>,00</v>
      </c>
      <c r="V234" s="35" t="str">
        <f t="shared" si="73"/>
        <v>39,00</v>
      </c>
      <c r="W234" s="35" t="str">
        <f t="shared" si="74"/>
        <v>79,70</v>
      </c>
      <c r="X234" s="35" t="str">
        <f t="shared" si="75"/>
        <v>415,60</v>
      </c>
      <c r="Y234" s="35" t="str">
        <f t="shared" si="76"/>
        <v>7,97</v>
      </c>
      <c r="Z234" s="35" t="str">
        <f t="shared" si="77"/>
        <v>41,56</v>
      </c>
      <c r="AA234" s="35" t="str">
        <f t="shared" si="78"/>
        <v>495,30</v>
      </c>
      <c r="AB234" s="35" t="str">
        <f t="shared" si="79"/>
        <v>49,53</v>
      </c>
    </row>
    <row r="235" spans="1:28" ht="16" x14ac:dyDescent="0.25">
      <c r="A235" s="24">
        <v>234</v>
      </c>
      <c r="B235" s="24" t="s">
        <v>2244</v>
      </c>
      <c r="C235" s="24" t="s">
        <v>141</v>
      </c>
      <c r="D235" s="116">
        <v>236.7</v>
      </c>
      <c r="E235" s="116">
        <v>58.300000000000004</v>
      </c>
      <c r="F235" s="108">
        <f t="shared" si="60"/>
        <v>295</v>
      </c>
      <c r="G235" s="116">
        <v>0.8</v>
      </c>
      <c r="H235" s="116">
        <v>9.6</v>
      </c>
      <c r="I235" s="28">
        <f t="shared" si="61"/>
        <v>10.4</v>
      </c>
      <c r="J235" s="28">
        <f t="shared" si="62"/>
        <v>235.89999999999998</v>
      </c>
      <c r="K235" s="28">
        <f t="shared" si="63"/>
        <v>48.7</v>
      </c>
      <c r="L235" s="28">
        <f t="shared" si="64"/>
        <v>23.59</v>
      </c>
      <c r="M235" s="28">
        <f t="shared" si="65"/>
        <v>4.870000000000001</v>
      </c>
      <c r="N235" s="107">
        <f t="shared" si="66"/>
        <v>284.60000000000002</v>
      </c>
      <c r="O235" s="107">
        <f t="shared" si="67"/>
        <v>28.460000000000004</v>
      </c>
      <c r="P235" s="9"/>
      <c r="Q235" s="35" t="str">
        <f t="shared" si="68"/>
        <v>236,70</v>
      </c>
      <c r="R235" s="35" t="str">
        <f t="shared" si="69"/>
        <v>58,30</v>
      </c>
      <c r="S235" s="35" t="str">
        <f t="shared" si="70"/>
        <v>295,00</v>
      </c>
      <c r="T235" s="35" t="str">
        <f t="shared" si="71"/>
        <v>,80</v>
      </c>
      <c r="U235" s="35" t="str">
        <f t="shared" si="72"/>
        <v>9,60</v>
      </c>
      <c r="V235" s="35" t="str">
        <f t="shared" si="73"/>
        <v>10,40</v>
      </c>
      <c r="W235" s="35" t="str">
        <f t="shared" si="74"/>
        <v>235,90</v>
      </c>
      <c r="X235" s="35" t="str">
        <f t="shared" si="75"/>
        <v>48,70</v>
      </c>
      <c r="Y235" s="35" t="str">
        <f t="shared" si="76"/>
        <v>23,59</v>
      </c>
      <c r="Z235" s="35" t="str">
        <f t="shared" si="77"/>
        <v>4,87</v>
      </c>
      <c r="AA235" s="35" t="str">
        <f t="shared" si="78"/>
        <v>284,60</v>
      </c>
      <c r="AB235" s="35" t="str">
        <f t="shared" si="79"/>
        <v>28,46</v>
      </c>
    </row>
    <row r="236" spans="1:28" ht="16" x14ac:dyDescent="0.25">
      <c r="A236" s="24">
        <v>235</v>
      </c>
      <c r="B236" s="24" t="s">
        <v>2002</v>
      </c>
      <c r="C236" s="24" t="s">
        <v>135</v>
      </c>
      <c r="D236" s="116">
        <v>55824</v>
      </c>
      <c r="E236" s="116">
        <v>53326.400000000001</v>
      </c>
      <c r="F236" s="108">
        <f t="shared" si="60"/>
        <v>109150.39999999999</v>
      </c>
      <c r="G236" s="116">
        <v>0</v>
      </c>
      <c r="H236" s="116">
        <v>0</v>
      </c>
      <c r="I236" s="28">
        <f t="shared" si="61"/>
        <v>0</v>
      </c>
      <c r="J236" s="28">
        <f t="shared" si="62"/>
        <v>55824</v>
      </c>
      <c r="K236" s="28">
        <f t="shared" si="63"/>
        <v>53326.400000000001</v>
      </c>
      <c r="L236" s="28">
        <f t="shared" si="64"/>
        <v>5582.4000000000005</v>
      </c>
      <c r="M236" s="28">
        <f t="shared" si="65"/>
        <v>5332.64</v>
      </c>
      <c r="N236" s="107">
        <f t="shared" si="66"/>
        <v>109150.39999999999</v>
      </c>
      <c r="O236" s="107">
        <f t="shared" si="67"/>
        <v>10915.04</v>
      </c>
      <c r="P236" s="9"/>
      <c r="Q236" s="35" t="str">
        <f t="shared" si="68"/>
        <v>55.824,00</v>
      </c>
      <c r="R236" s="35" t="str">
        <f t="shared" si="69"/>
        <v>53.326,40</v>
      </c>
      <c r="S236" s="35" t="str">
        <f t="shared" si="70"/>
        <v>109.150,40</v>
      </c>
      <c r="T236" s="35" t="str">
        <f t="shared" si="71"/>
        <v>,00</v>
      </c>
      <c r="U236" s="35" t="str">
        <f t="shared" si="72"/>
        <v>,00</v>
      </c>
      <c r="V236" s="35" t="str">
        <f t="shared" si="73"/>
        <v>,00</v>
      </c>
      <c r="W236" s="35" t="str">
        <f t="shared" si="74"/>
        <v>55.824,00</v>
      </c>
      <c r="X236" s="35" t="str">
        <f t="shared" si="75"/>
        <v>53.326,40</v>
      </c>
      <c r="Y236" s="35" t="str">
        <f t="shared" si="76"/>
        <v>5.582,40</v>
      </c>
      <c r="Z236" s="35" t="str">
        <f t="shared" si="77"/>
        <v>5.332,64</v>
      </c>
      <c r="AA236" s="35" t="str">
        <f t="shared" si="78"/>
        <v>109.150,40</v>
      </c>
      <c r="AB236" s="35" t="str">
        <f t="shared" si="79"/>
        <v>10.915,04</v>
      </c>
    </row>
    <row r="237" spans="1:28" ht="16" x14ac:dyDescent="0.25">
      <c r="A237" s="24">
        <v>236</v>
      </c>
      <c r="B237" s="24" t="s">
        <v>34</v>
      </c>
      <c r="C237" s="24" t="s">
        <v>135</v>
      </c>
      <c r="D237" s="116">
        <v>8080.5</v>
      </c>
      <c r="E237" s="116">
        <v>13098</v>
      </c>
      <c r="F237" s="108">
        <f t="shared" si="60"/>
        <v>21178.5</v>
      </c>
      <c r="G237" s="116">
        <v>1457.1000000000001</v>
      </c>
      <c r="H237" s="116">
        <v>6857.8</v>
      </c>
      <c r="I237" s="28">
        <f t="shared" si="61"/>
        <v>8314.9</v>
      </c>
      <c r="J237" s="28">
        <f t="shared" si="62"/>
        <v>6623.4</v>
      </c>
      <c r="K237" s="28">
        <f t="shared" si="63"/>
        <v>6240.2</v>
      </c>
      <c r="L237" s="28">
        <f t="shared" si="64"/>
        <v>662.34</v>
      </c>
      <c r="M237" s="28">
        <f t="shared" si="65"/>
        <v>624.02</v>
      </c>
      <c r="N237" s="107">
        <f t="shared" si="66"/>
        <v>12863.6</v>
      </c>
      <c r="O237" s="107">
        <f t="shared" si="67"/>
        <v>1286.3600000000001</v>
      </c>
      <c r="P237" s="9"/>
      <c r="Q237" s="35" t="str">
        <f t="shared" si="68"/>
        <v>8.080,50</v>
      </c>
      <c r="R237" s="35" t="str">
        <f t="shared" si="69"/>
        <v>13.098,00</v>
      </c>
      <c r="S237" s="35" t="str">
        <f t="shared" si="70"/>
        <v>21.178,50</v>
      </c>
      <c r="T237" s="35" t="str">
        <f t="shared" si="71"/>
        <v>1.457,10</v>
      </c>
      <c r="U237" s="35" t="str">
        <f t="shared" si="72"/>
        <v>6.857,80</v>
      </c>
      <c r="V237" s="35" t="str">
        <f t="shared" si="73"/>
        <v>8.314,90</v>
      </c>
      <c r="W237" s="35" t="str">
        <f t="shared" si="74"/>
        <v>6.623,40</v>
      </c>
      <c r="X237" s="35" t="str">
        <f t="shared" si="75"/>
        <v>6.240,20</v>
      </c>
      <c r="Y237" s="35" t="str">
        <f t="shared" si="76"/>
        <v>662,34</v>
      </c>
      <c r="Z237" s="35" t="str">
        <f t="shared" si="77"/>
        <v>624,02</v>
      </c>
      <c r="AA237" s="35" t="str">
        <f t="shared" si="78"/>
        <v>12.863,60</v>
      </c>
      <c r="AB237" s="35" t="str">
        <f t="shared" si="79"/>
        <v>1.286,36</v>
      </c>
    </row>
    <row r="238" spans="1:28" ht="16" x14ac:dyDescent="0.25">
      <c r="A238" s="24">
        <v>237</v>
      </c>
      <c r="B238" s="24" t="s">
        <v>2213</v>
      </c>
      <c r="C238" s="24" t="s">
        <v>135</v>
      </c>
      <c r="D238" s="116">
        <v>2041.1</v>
      </c>
      <c r="E238" s="116">
        <v>1849.6</v>
      </c>
      <c r="F238" s="108">
        <f t="shared" si="60"/>
        <v>3890.7</v>
      </c>
      <c r="G238" s="116">
        <v>0</v>
      </c>
      <c r="H238" s="116">
        <v>0</v>
      </c>
      <c r="I238" s="28">
        <f t="shared" si="61"/>
        <v>0</v>
      </c>
      <c r="J238" s="28">
        <f t="shared" si="62"/>
        <v>2041.1</v>
      </c>
      <c r="K238" s="28">
        <f t="shared" si="63"/>
        <v>1849.6</v>
      </c>
      <c r="L238" s="28">
        <f t="shared" si="64"/>
        <v>204.11</v>
      </c>
      <c r="M238" s="28">
        <f t="shared" si="65"/>
        <v>184.96</v>
      </c>
      <c r="N238" s="107">
        <f t="shared" si="66"/>
        <v>3890.7</v>
      </c>
      <c r="O238" s="107">
        <f t="shared" si="67"/>
        <v>389.07</v>
      </c>
      <c r="P238" s="9"/>
      <c r="Q238" s="35" t="str">
        <f t="shared" si="68"/>
        <v>2.041,10</v>
      </c>
      <c r="R238" s="35" t="str">
        <f t="shared" si="69"/>
        <v>1.849,60</v>
      </c>
      <c r="S238" s="35" t="str">
        <f t="shared" si="70"/>
        <v>3.890,70</v>
      </c>
      <c r="T238" s="35" t="str">
        <f t="shared" si="71"/>
        <v>,00</v>
      </c>
      <c r="U238" s="35" t="str">
        <f t="shared" si="72"/>
        <v>,00</v>
      </c>
      <c r="V238" s="35" t="str">
        <f t="shared" si="73"/>
        <v>,00</v>
      </c>
      <c r="W238" s="35" t="str">
        <f t="shared" si="74"/>
        <v>2.041,10</v>
      </c>
      <c r="X238" s="35" t="str">
        <f t="shared" si="75"/>
        <v>1.849,60</v>
      </c>
      <c r="Y238" s="35" t="str">
        <f t="shared" si="76"/>
        <v>204,11</v>
      </c>
      <c r="Z238" s="35" t="str">
        <f t="shared" si="77"/>
        <v>184,96</v>
      </c>
      <c r="AA238" s="35" t="str">
        <f t="shared" si="78"/>
        <v>3.890,70</v>
      </c>
      <c r="AB238" s="35" t="str">
        <f t="shared" si="79"/>
        <v>389,07</v>
      </c>
    </row>
    <row r="239" spans="1:28" ht="16" x14ac:dyDescent="0.25">
      <c r="A239" s="24">
        <v>238</v>
      </c>
      <c r="B239" s="24" t="s">
        <v>683</v>
      </c>
      <c r="C239" s="24" t="s">
        <v>135</v>
      </c>
      <c r="D239" s="116">
        <v>249.2</v>
      </c>
      <c r="E239" s="116">
        <v>454.8</v>
      </c>
      <c r="F239" s="108">
        <f t="shared" si="60"/>
        <v>704</v>
      </c>
      <c r="G239" s="116">
        <v>0</v>
      </c>
      <c r="H239" s="116">
        <v>0</v>
      </c>
      <c r="I239" s="28">
        <f t="shared" si="61"/>
        <v>0</v>
      </c>
      <c r="J239" s="28">
        <f t="shared" si="62"/>
        <v>249.2</v>
      </c>
      <c r="K239" s="28">
        <f t="shared" si="63"/>
        <v>454.8</v>
      </c>
      <c r="L239" s="28">
        <f t="shared" si="64"/>
        <v>24.92</v>
      </c>
      <c r="M239" s="28">
        <f t="shared" si="65"/>
        <v>45.480000000000004</v>
      </c>
      <c r="N239" s="107">
        <f t="shared" si="66"/>
        <v>704</v>
      </c>
      <c r="O239" s="107">
        <f t="shared" si="67"/>
        <v>70.400000000000006</v>
      </c>
      <c r="P239" s="9"/>
      <c r="Q239" s="35" t="str">
        <f t="shared" si="68"/>
        <v>249,20</v>
      </c>
      <c r="R239" s="35" t="str">
        <f t="shared" si="69"/>
        <v>454,80</v>
      </c>
      <c r="S239" s="35" t="str">
        <f t="shared" si="70"/>
        <v>704,00</v>
      </c>
      <c r="T239" s="35" t="str">
        <f t="shared" si="71"/>
        <v>,00</v>
      </c>
      <c r="U239" s="35" t="str">
        <f t="shared" si="72"/>
        <v>,00</v>
      </c>
      <c r="V239" s="35" t="str">
        <f t="shared" si="73"/>
        <v>,00</v>
      </c>
      <c r="W239" s="35" t="str">
        <f t="shared" si="74"/>
        <v>249,20</v>
      </c>
      <c r="X239" s="35" t="str">
        <f t="shared" si="75"/>
        <v>454,80</v>
      </c>
      <c r="Y239" s="35" t="str">
        <f t="shared" si="76"/>
        <v>24,92</v>
      </c>
      <c r="Z239" s="35" t="str">
        <f t="shared" si="77"/>
        <v>45,48</v>
      </c>
      <c r="AA239" s="35" t="str">
        <f t="shared" si="78"/>
        <v>704,00</v>
      </c>
      <c r="AB239" s="35" t="str">
        <f t="shared" si="79"/>
        <v>70,40</v>
      </c>
    </row>
    <row r="240" spans="1:28" ht="16" x14ac:dyDescent="0.25">
      <c r="A240" s="24">
        <v>239</v>
      </c>
      <c r="B240" s="24" t="s">
        <v>2318</v>
      </c>
      <c r="C240" s="24" t="s">
        <v>135</v>
      </c>
      <c r="D240" s="116">
        <v>45</v>
      </c>
      <c r="E240" s="116">
        <v>402.8</v>
      </c>
      <c r="F240" s="108">
        <f t="shared" si="60"/>
        <v>447.8</v>
      </c>
      <c r="G240" s="116">
        <v>0</v>
      </c>
      <c r="H240" s="116">
        <v>0</v>
      </c>
      <c r="I240" s="28">
        <f t="shared" si="61"/>
        <v>0</v>
      </c>
      <c r="J240" s="28">
        <f t="shared" si="62"/>
        <v>45</v>
      </c>
      <c r="K240" s="28">
        <f t="shared" si="63"/>
        <v>402.8</v>
      </c>
      <c r="L240" s="28">
        <f t="shared" si="64"/>
        <v>4.5</v>
      </c>
      <c r="M240" s="28">
        <f t="shared" si="65"/>
        <v>40.28</v>
      </c>
      <c r="N240" s="107">
        <f t="shared" si="66"/>
        <v>447.8</v>
      </c>
      <c r="O240" s="107">
        <f t="shared" si="67"/>
        <v>44.78</v>
      </c>
      <c r="P240" s="9"/>
      <c r="Q240" s="35" t="str">
        <f t="shared" si="68"/>
        <v>45,00</v>
      </c>
      <c r="R240" s="35" t="str">
        <f t="shared" si="69"/>
        <v>402,80</v>
      </c>
      <c r="S240" s="35" t="str">
        <f t="shared" si="70"/>
        <v>447,80</v>
      </c>
      <c r="T240" s="35" t="str">
        <f t="shared" si="71"/>
        <v>,00</v>
      </c>
      <c r="U240" s="35" t="str">
        <f t="shared" si="72"/>
        <v>,00</v>
      </c>
      <c r="V240" s="35" t="str">
        <f t="shared" si="73"/>
        <v>,00</v>
      </c>
      <c r="W240" s="35" t="str">
        <f t="shared" si="74"/>
        <v>45,00</v>
      </c>
      <c r="X240" s="35" t="str">
        <f t="shared" si="75"/>
        <v>402,80</v>
      </c>
      <c r="Y240" s="35" t="str">
        <f t="shared" si="76"/>
        <v>4,50</v>
      </c>
      <c r="Z240" s="35" t="str">
        <f t="shared" si="77"/>
        <v>40,28</v>
      </c>
      <c r="AA240" s="35" t="str">
        <f t="shared" si="78"/>
        <v>447,80</v>
      </c>
      <c r="AB240" s="35" t="str">
        <f t="shared" si="79"/>
        <v>44,78</v>
      </c>
    </row>
    <row r="241" spans="1:28" ht="16" x14ac:dyDescent="0.25">
      <c r="A241" s="24">
        <v>240</v>
      </c>
      <c r="B241" s="24" t="s">
        <v>2396</v>
      </c>
      <c r="C241" s="24" t="s">
        <v>135</v>
      </c>
      <c r="D241" s="116">
        <v>45</v>
      </c>
      <c r="E241" s="116">
        <v>402.8</v>
      </c>
      <c r="F241" s="108">
        <f t="shared" si="60"/>
        <v>447.8</v>
      </c>
      <c r="G241" s="116">
        <v>0</v>
      </c>
      <c r="H241" s="116">
        <v>0</v>
      </c>
      <c r="I241" s="28">
        <f t="shared" si="61"/>
        <v>0</v>
      </c>
      <c r="J241" s="28">
        <f t="shared" si="62"/>
        <v>45</v>
      </c>
      <c r="K241" s="28">
        <f t="shared" si="63"/>
        <v>402.8</v>
      </c>
      <c r="L241" s="28">
        <f t="shared" si="64"/>
        <v>4.5</v>
      </c>
      <c r="M241" s="28">
        <f t="shared" si="65"/>
        <v>40.28</v>
      </c>
      <c r="N241" s="107">
        <f t="shared" si="66"/>
        <v>447.8</v>
      </c>
      <c r="O241" s="107">
        <f t="shared" si="67"/>
        <v>44.78</v>
      </c>
      <c r="P241" s="9"/>
      <c r="Q241" s="35" t="str">
        <f t="shared" si="68"/>
        <v>45,00</v>
      </c>
      <c r="R241" s="35" t="str">
        <f t="shared" si="69"/>
        <v>402,80</v>
      </c>
      <c r="S241" s="35" t="str">
        <f t="shared" si="70"/>
        <v>447,80</v>
      </c>
      <c r="T241" s="35" t="str">
        <f t="shared" si="71"/>
        <v>,00</v>
      </c>
      <c r="U241" s="35" t="str">
        <f t="shared" si="72"/>
        <v>,00</v>
      </c>
      <c r="V241" s="35" t="str">
        <f t="shared" si="73"/>
        <v>,00</v>
      </c>
      <c r="W241" s="35" t="str">
        <f t="shared" si="74"/>
        <v>45,00</v>
      </c>
      <c r="X241" s="35" t="str">
        <f t="shared" si="75"/>
        <v>402,80</v>
      </c>
      <c r="Y241" s="35" t="str">
        <f t="shared" si="76"/>
        <v>4,50</v>
      </c>
      <c r="Z241" s="35" t="str">
        <f t="shared" si="77"/>
        <v>40,28</v>
      </c>
      <c r="AA241" s="35" t="str">
        <f t="shared" si="78"/>
        <v>447,80</v>
      </c>
      <c r="AB241" s="35" t="str">
        <f t="shared" si="79"/>
        <v>44,78</v>
      </c>
    </row>
    <row r="242" spans="1:28" ht="16" x14ac:dyDescent="0.25">
      <c r="A242" s="24">
        <v>241</v>
      </c>
      <c r="B242" s="24" t="s">
        <v>2783</v>
      </c>
      <c r="C242" s="24" t="s">
        <v>135</v>
      </c>
      <c r="D242" s="116">
        <v>9.4</v>
      </c>
      <c r="E242" s="116">
        <v>203.3</v>
      </c>
      <c r="F242" s="108">
        <f t="shared" si="60"/>
        <v>212.70000000000002</v>
      </c>
      <c r="G242" s="116">
        <v>0</v>
      </c>
      <c r="H242" s="116">
        <v>0</v>
      </c>
      <c r="I242" s="28">
        <f t="shared" si="61"/>
        <v>0</v>
      </c>
      <c r="J242" s="28">
        <f t="shared" si="62"/>
        <v>9.4</v>
      </c>
      <c r="K242" s="28">
        <f t="shared" si="63"/>
        <v>203.3</v>
      </c>
      <c r="L242" s="28">
        <f t="shared" si="64"/>
        <v>0.94000000000000006</v>
      </c>
      <c r="M242" s="28">
        <f t="shared" si="65"/>
        <v>20.330000000000002</v>
      </c>
      <c r="N242" s="107">
        <f t="shared" si="66"/>
        <v>212.70000000000002</v>
      </c>
      <c r="O242" s="107">
        <f t="shared" si="67"/>
        <v>21.270000000000003</v>
      </c>
      <c r="P242" s="9"/>
      <c r="Q242" s="35" t="str">
        <f t="shared" si="68"/>
        <v>9,40</v>
      </c>
      <c r="R242" s="35" t="str">
        <f t="shared" si="69"/>
        <v>203,30</v>
      </c>
      <c r="S242" s="35" t="str">
        <f t="shared" si="70"/>
        <v>212,70</v>
      </c>
      <c r="T242" s="35" t="str">
        <f t="shared" si="71"/>
        <v>,00</v>
      </c>
      <c r="U242" s="35" t="str">
        <f t="shared" si="72"/>
        <v>,00</v>
      </c>
      <c r="V242" s="35" t="str">
        <f t="shared" si="73"/>
        <v>,00</v>
      </c>
      <c r="W242" s="35" t="str">
        <f t="shared" si="74"/>
        <v>9,40</v>
      </c>
      <c r="X242" s="35" t="str">
        <f t="shared" si="75"/>
        <v>203,30</v>
      </c>
      <c r="Y242" s="35" t="str">
        <f t="shared" si="76"/>
        <v>,94</v>
      </c>
      <c r="Z242" s="35" t="str">
        <f t="shared" si="77"/>
        <v>20,33</v>
      </c>
      <c r="AA242" s="35" t="str">
        <f t="shared" si="78"/>
        <v>212,70</v>
      </c>
      <c r="AB242" s="35" t="str">
        <f t="shared" si="79"/>
        <v>21,27</v>
      </c>
    </row>
    <row r="243" spans="1:28" ht="16" x14ac:dyDescent="0.25">
      <c r="A243" s="24">
        <v>242</v>
      </c>
      <c r="B243" s="24" t="s">
        <v>2597</v>
      </c>
      <c r="C243" s="24" t="s">
        <v>135</v>
      </c>
      <c r="D243" s="116">
        <v>46.2</v>
      </c>
      <c r="E243" s="116">
        <v>103.3</v>
      </c>
      <c r="F243" s="108">
        <f t="shared" si="60"/>
        <v>149.5</v>
      </c>
      <c r="G243" s="116">
        <v>0</v>
      </c>
      <c r="H243" s="116">
        <v>0</v>
      </c>
      <c r="I243" s="28">
        <f t="shared" si="61"/>
        <v>0</v>
      </c>
      <c r="J243" s="28">
        <f t="shared" si="62"/>
        <v>46.2</v>
      </c>
      <c r="K243" s="28">
        <f t="shared" si="63"/>
        <v>103.3</v>
      </c>
      <c r="L243" s="28">
        <f t="shared" si="64"/>
        <v>4.62</v>
      </c>
      <c r="M243" s="28">
        <f t="shared" si="65"/>
        <v>10.33</v>
      </c>
      <c r="N243" s="107">
        <f t="shared" si="66"/>
        <v>149.5</v>
      </c>
      <c r="O243" s="107">
        <f t="shared" si="67"/>
        <v>14.950000000000001</v>
      </c>
      <c r="P243" s="9"/>
      <c r="Q243" s="35" t="str">
        <f t="shared" si="68"/>
        <v>46,20</v>
      </c>
      <c r="R243" s="35" t="str">
        <f t="shared" si="69"/>
        <v>103,30</v>
      </c>
      <c r="S243" s="35" t="str">
        <f t="shared" si="70"/>
        <v>149,50</v>
      </c>
      <c r="T243" s="35" t="str">
        <f t="shared" si="71"/>
        <v>,00</v>
      </c>
      <c r="U243" s="35" t="str">
        <f t="shared" si="72"/>
        <v>,00</v>
      </c>
      <c r="V243" s="35" t="str">
        <f t="shared" si="73"/>
        <v>,00</v>
      </c>
      <c r="W243" s="35" t="str">
        <f t="shared" si="74"/>
        <v>46,20</v>
      </c>
      <c r="X243" s="35" t="str">
        <f t="shared" si="75"/>
        <v>103,30</v>
      </c>
      <c r="Y243" s="35" t="str">
        <f t="shared" si="76"/>
        <v>4,62</v>
      </c>
      <c r="Z243" s="35" t="str">
        <f t="shared" si="77"/>
        <v>10,33</v>
      </c>
      <c r="AA243" s="35" t="str">
        <f t="shared" si="78"/>
        <v>149,50</v>
      </c>
      <c r="AB243" s="35" t="str">
        <f t="shared" si="79"/>
        <v>14,95</v>
      </c>
    </row>
    <row r="244" spans="1:28" ht="16" x14ac:dyDescent="0.25">
      <c r="A244" s="24">
        <v>243</v>
      </c>
      <c r="B244" s="24" t="s">
        <v>2024</v>
      </c>
      <c r="C244" s="24" t="s">
        <v>136</v>
      </c>
      <c r="D244" s="116">
        <v>91708.69</v>
      </c>
      <c r="E244" s="116">
        <v>86019.280000000028</v>
      </c>
      <c r="F244" s="108">
        <f t="shared" si="60"/>
        <v>177727.97000000003</v>
      </c>
      <c r="G244" s="116">
        <v>1476.6000000000001</v>
      </c>
      <c r="H244" s="116">
        <v>4266.3999999999996</v>
      </c>
      <c r="I244" s="28">
        <f t="shared" si="61"/>
        <v>5743</v>
      </c>
      <c r="J244" s="28">
        <f t="shared" si="62"/>
        <v>90232.09</v>
      </c>
      <c r="K244" s="28">
        <f t="shared" si="63"/>
        <v>81752.880000000034</v>
      </c>
      <c r="L244" s="28">
        <f t="shared" si="64"/>
        <v>9023.2090000000007</v>
      </c>
      <c r="M244" s="28">
        <f t="shared" si="65"/>
        <v>8175.2880000000041</v>
      </c>
      <c r="N244" s="107">
        <f t="shared" si="66"/>
        <v>171984.97000000003</v>
      </c>
      <c r="O244" s="107">
        <f t="shared" si="67"/>
        <v>17198.497000000003</v>
      </c>
      <c r="P244" s="9"/>
      <c r="Q244" s="35" t="str">
        <f t="shared" si="68"/>
        <v>91.708,69</v>
      </c>
      <c r="R244" s="35" t="str">
        <f t="shared" si="69"/>
        <v>86.019,28</v>
      </c>
      <c r="S244" s="35" t="str">
        <f t="shared" si="70"/>
        <v>177.727,97</v>
      </c>
      <c r="T244" s="35" t="str">
        <f t="shared" si="71"/>
        <v>1.476,60</v>
      </c>
      <c r="U244" s="35" t="str">
        <f t="shared" si="72"/>
        <v>4.266,40</v>
      </c>
      <c r="V244" s="35" t="str">
        <f t="shared" si="73"/>
        <v>5.743,00</v>
      </c>
      <c r="W244" s="35" t="str">
        <f t="shared" si="74"/>
        <v>90.232,09</v>
      </c>
      <c r="X244" s="35" t="str">
        <f t="shared" si="75"/>
        <v>81.752,88</v>
      </c>
      <c r="Y244" s="35" t="str">
        <f t="shared" si="76"/>
        <v>9.023,21</v>
      </c>
      <c r="Z244" s="35" t="str">
        <f t="shared" si="77"/>
        <v>8.175,29</v>
      </c>
      <c r="AA244" s="35" t="str">
        <f t="shared" si="78"/>
        <v>171.984,97</v>
      </c>
      <c r="AB244" s="35" t="str">
        <f t="shared" si="79"/>
        <v>17.198,50</v>
      </c>
    </row>
    <row r="245" spans="1:28" ht="16" x14ac:dyDescent="0.25">
      <c r="A245" s="24">
        <v>244</v>
      </c>
      <c r="B245" s="24" t="s">
        <v>338</v>
      </c>
      <c r="C245" s="24" t="s">
        <v>222</v>
      </c>
      <c r="D245" s="116">
        <v>1566.6</v>
      </c>
      <c r="E245" s="116">
        <v>1860</v>
      </c>
      <c r="F245" s="108">
        <f t="shared" si="60"/>
        <v>3426.6</v>
      </c>
      <c r="G245" s="116">
        <v>0</v>
      </c>
      <c r="H245" s="116">
        <v>0</v>
      </c>
      <c r="I245" s="28">
        <f t="shared" si="61"/>
        <v>0</v>
      </c>
      <c r="J245" s="28">
        <f t="shared" si="62"/>
        <v>1566.6</v>
      </c>
      <c r="K245" s="28">
        <f t="shared" si="63"/>
        <v>1860</v>
      </c>
      <c r="L245" s="28">
        <f t="shared" si="64"/>
        <v>156.66</v>
      </c>
      <c r="M245" s="28">
        <f t="shared" si="65"/>
        <v>186</v>
      </c>
      <c r="N245" s="107">
        <f t="shared" si="66"/>
        <v>3426.6</v>
      </c>
      <c r="O245" s="107">
        <f t="shared" si="67"/>
        <v>342.66</v>
      </c>
      <c r="P245" s="9"/>
      <c r="Q245" s="35" t="str">
        <f t="shared" si="68"/>
        <v>1.566,60</v>
      </c>
      <c r="R245" s="35" t="str">
        <f t="shared" si="69"/>
        <v>1.860,00</v>
      </c>
      <c r="S245" s="35" t="str">
        <f t="shared" si="70"/>
        <v>3.426,60</v>
      </c>
      <c r="T245" s="35" t="str">
        <f t="shared" si="71"/>
        <v>,00</v>
      </c>
      <c r="U245" s="35" t="str">
        <f t="shared" si="72"/>
        <v>,00</v>
      </c>
      <c r="V245" s="35" t="str">
        <f t="shared" si="73"/>
        <v>,00</v>
      </c>
      <c r="W245" s="35" t="str">
        <f t="shared" si="74"/>
        <v>1.566,60</v>
      </c>
      <c r="X245" s="35" t="str">
        <f t="shared" si="75"/>
        <v>1.860,00</v>
      </c>
      <c r="Y245" s="35" t="str">
        <f t="shared" si="76"/>
        <v>156,66</v>
      </c>
      <c r="Z245" s="35" t="str">
        <f t="shared" si="77"/>
        <v>186,00</v>
      </c>
      <c r="AA245" s="35" t="str">
        <f t="shared" si="78"/>
        <v>3.426,60</v>
      </c>
      <c r="AB245" s="35" t="str">
        <f t="shared" si="79"/>
        <v>342,66</v>
      </c>
    </row>
    <row r="246" spans="1:28" ht="16" x14ac:dyDescent="0.25">
      <c r="A246" s="24">
        <v>245</v>
      </c>
      <c r="B246" s="24" t="s">
        <v>2797</v>
      </c>
      <c r="C246" s="24" t="s">
        <v>137</v>
      </c>
      <c r="D246" s="116">
        <v>216020.67000000004</v>
      </c>
      <c r="E246" s="116">
        <v>207358.85000000003</v>
      </c>
      <c r="F246" s="108">
        <f t="shared" si="60"/>
        <v>423379.52000000008</v>
      </c>
      <c r="G246" s="116">
        <v>7856.3999999999987</v>
      </c>
      <c r="H246" s="116">
        <v>5267.24</v>
      </c>
      <c r="I246" s="28">
        <f t="shared" si="61"/>
        <v>13123.64</v>
      </c>
      <c r="J246" s="28">
        <f t="shared" si="62"/>
        <v>208164.27000000005</v>
      </c>
      <c r="K246" s="28">
        <f t="shared" si="63"/>
        <v>202091.61000000004</v>
      </c>
      <c r="L246" s="28">
        <f t="shared" si="64"/>
        <v>20816.427000000007</v>
      </c>
      <c r="M246" s="28">
        <f t="shared" si="65"/>
        <v>20209.161000000007</v>
      </c>
      <c r="N246" s="107">
        <f t="shared" si="66"/>
        <v>410255.88000000006</v>
      </c>
      <c r="O246" s="107">
        <f t="shared" si="67"/>
        <v>41025.588000000011</v>
      </c>
      <c r="P246" s="9"/>
      <c r="Q246" s="35" t="str">
        <f t="shared" si="68"/>
        <v>216.020,67</v>
      </c>
      <c r="R246" s="35" t="str">
        <f t="shared" si="69"/>
        <v>207.358,85</v>
      </c>
      <c r="S246" s="35" t="str">
        <f t="shared" si="70"/>
        <v>423.379,52</v>
      </c>
      <c r="T246" s="35" t="str">
        <f t="shared" si="71"/>
        <v>7.856,40</v>
      </c>
      <c r="U246" s="35" t="str">
        <f t="shared" si="72"/>
        <v>5.267,24</v>
      </c>
      <c r="V246" s="35" t="str">
        <f t="shared" si="73"/>
        <v>13.123,64</v>
      </c>
      <c r="W246" s="35" t="str">
        <f t="shared" si="74"/>
        <v>208.164,27</v>
      </c>
      <c r="X246" s="35" t="str">
        <f t="shared" si="75"/>
        <v>202.091,61</v>
      </c>
      <c r="Y246" s="35" t="str">
        <f t="shared" si="76"/>
        <v>20.816,43</v>
      </c>
      <c r="Z246" s="35" t="str">
        <f t="shared" si="77"/>
        <v>20.209,16</v>
      </c>
      <c r="AA246" s="35" t="str">
        <f t="shared" si="78"/>
        <v>410.255,88</v>
      </c>
      <c r="AB246" s="35" t="str">
        <f t="shared" si="79"/>
        <v>41.025,59</v>
      </c>
    </row>
    <row r="247" spans="1:28" ht="16" x14ac:dyDescent="0.25">
      <c r="A247" s="24">
        <v>246</v>
      </c>
      <c r="B247" s="24" t="s">
        <v>229</v>
      </c>
      <c r="C247" s="24" t="s">
        <v>188</v>
      </c>
      <c r="D247" s="116">
        <v>33217.99</v>
      </c>
      <c r="E247" s="116">
        <v>40681.869999999995</v>
      </c>
      <c r="F247" s="108">
        <f t="shared" si="60"/>
        <v>73899.859999999986</v>
      </c>
      <c r="G247" s="116">
        <v>1632.7</v>
      </c>
      <c r="H247" s="116">
        <v>0</v>
      </c>
      <c r="I247" s="28">
        <f t="shared" si="61"/>
        <v>1632.7</v>
      </c>
      <c r="J247" s="28">
        <f t="shared" si="62"/>
        <v>31585.289999999997</v>
      </c>
      <c r="K247" s="28">
        <f t="shared" si="63"/>
        <v>40681.869999999995</v>
      </c>
      <c r="L247" s="28">
        <f t="shared" si="64"/>
        <v>3158.529</v>
      </c>
      <c r="M247" s="28">
        <f t="shared" si="65"/>
        <v>4068.1869999999999</v>
      </c>
      <c r="N247" s="107">
        <f t="shared" si="66"/>
        <v>72267.159999999989</v>
      </c>
      <c r="O247" s="107">
        <f t="shared" si="67"/>
        <v>7226.7159999999994</v>
      </c>
      <c r="P247" s="9"/>
      <c r="Q247" s="35" t="str">
        <f t="shared" si="68"/>
        <v>33.217,99</v>
      </c>
      <c r="R247" s="35" t="str">
        <f t="shared" si="69"/>
        <v>40.681,87</v>
      </c>
      <c r="S247" s="35" t="str">
        <f t="shared" si="70"/>
        <v>73.899,86</v>
      </c>
      <c r="T247" s="35" t="str">
        <f t="shared" si="71"/>
        <v>1.632,70</v>
      </c>
      <c r="U247" s="35" t="str">
        <f t="shared" si="72"/>
        <v>,00</v>
      </c>
      <c r="V247" s="35" t="str">
        <f t="shared" si="73"/>
        <v>1.632,70</v>
      </c>
      <c r="W247" s="35" t="str">
        <f t="shared" si="74"/>
        <v>31.585,29</v>
      </c>
      <c r="X247" s="35" t="str">
        <f t="shared" si="75"/>
        <v>40.681,87</v>
      </c>
      <c r="Y247" s="35" t="str">
        <f t="shared" si="76"/>
        <v>3.158,53</v>
      </c>
      <c r="Z247" s="35" t="str">
        <f t="shared" si="77"/>
        <v>4.068,19</v>
      </c>
      <c r="AA247" s="35" t="str">
        <f t="shared" si="78"/>
        <v>72.267,16</v>
      </c>
      <c r="AB247" s="35" t="str">
        <f t="shared" si="79"/>
        <v>7.226,72</v>
      </c>
    </row>
    <row r="248" spans="1:28" ht="16" x14ac:dyDescent="0.25">
      <c r="A248" s="24">
        <v>247</v>
      </c>
      <c r="B248" s="24" t="s">
        <v>34</v>
      </c>
      <c r="C248" s="24" t="s">
        <v>188</v>
      </c>
      <c r="D248" s="116">
        <v>8676.1000000000022</v>
      </c>
      <c r="E248" s="116">
        <v>17436.400000000001</v>
      </c>
      <c r="F248" s="108">
        <f t="shared" si="60"/>
        <v>26112.500000000004</v>
      </c>
      <c r="G248" s="116">
        <v>22.6</v>
      </c>
      <c r="H248" s="116">
        <v>1014.2</v>
      </c>
      <c r="I248" s="28">
        <f t="shared" si="61"/>
        <v>1036.8</v>
      </c>
      <c r="J248" s="28">
        <f t="shared" si="62"/>
        <v>8653.5000000000018</v>
      </c>
      <c r="K248" s="28">
        <f t="shared" si="63"/>
        <v>16422.2</v>
      </c>
      <c r="L248" s="28">
        <f t="shared" si="64"/>
        <v>865.35000000000025</v>
      </c>
      <c r="M248" s="28">
        <f t="shared" si="65"/>
        <v>1642.2200000000003</v>
      </c>
      <c r="N248" s="107">
        <f t="shared" si="66"/>
        <v>25075.700000000004</v>
      </c>
      <c r="O248" s="107">
        <f t="shared" si="67"/>
        <v>2507.5700000000006</v>
      </c>
      <c r="P248" s="9"/>
      <c r="Q248" s="35" t="str">
        <f t="shared" si="68"/>
        <v>8.676,10</v>
      </c>
      <c r="R248" s="35" t="str">
        <f t="shared" si="69"/>
        <v>17.436,40</v>
      </c>
      <c r="S248" s="35" t="str">
        <f t="shared" si="70"/>
        <v>26.112,50</v>
      </c>
      <c r="T248" s="35" t="str">
        <f t="shared" si="71"/>
        <v>22,60</v>
      </c>
      <c r="U248" s="35" t="str">
        <f t="shared" si="72"/>
        <v>1.014,20</v>
      </c>
      <c r="V248" s="35" t="str">
        <f t="shared" si="73"/>
        <v>1.036,80</v>
      </c>
      <c r="W248" s="35" t="str">
        <f t="shared" si="74"/>
        <v>8.653,50</v>
      </c>
      <c r="X248" s="35" t="str">
        <f t="shared" si="75"/>
        <v>16.422,20</v>
      </c>
      <c r="Y248" s="35" t="str">
        <f t="shared" si="76"/>
        <v>865,35</v>
      </c>
      <c r="Z248" s="35" t="str">
        <f t="shared" si="77"/>
        <v>1.642,22</v>
      </c>
      <c r="AA248" s="35" t="str">
        <f t="shared" si="78"/>
        <v>25.075,70</v>
      </c>
      <c r="AB248" s="35" t="str">
        <f t="shared" si="79"/>
        <v>2.507,57</v>
      </c>
    </row>
    <row r="249" spans="1:28" ht="16" x14ac:dyDescent="0.25">
      <c r="A249" s="24">
        <v>248</v>
      </c>
      <c r="B249" s="24" t="s">
        <v>2160</v>
      </c>
      <c r="C249" s="24" t="s">
        <v>188</v>
      </c>
      <c r="D249" s="116">
        <v>5790.9</v>
      </c>
      <c r="E249" s="116">
        <v>5866.1</v>
      </c>
      <c r="F249" s="108">
        <f t="shared" si="60"/>
        <v>11657</v>
      </c>
      <c r="G249" s="116">
        <v>191</v>
      </c>
      <c r="H249" s="116">
        <v>109.4</v>
      </c>
      <c r="I249" s="28">
        <f t="shared" si="61"/>
        <v>300.39999999999998</v>
      </c>
      <c r="J249" s="28">
        <f t="shared" si="62"/>
        <v>5599.9</v>
      </c>
      <c r="K249" s="28">
        <f t="shared" si="63"/>
        <v>5756.7000000000007</v>
      </c>
      <c r="L249" s="28">
        <f t="shared" si="64"/>
        <v>559.99</v>
      </c>
      <c r="M249" s="28">
        <f t="shared" si="65"/>
        <v>575.67000000000007</v>
      </c>
      <c r="N249" s="107">
        <f t="shared" si="66"/>
        <v>11356.6</v>
      </c>
      <c r="O249" s="107">
        <f t="shared" si="67"/>
        <v>1135.6600000000001</v>
      </c>
      <c r="P249" s="9"/>
      <c r="Q249" s="35" t="str">
        <f t="shared" si="68"/>
        <v>5.790,90</v>
      </c>
      <c r="R249" s="35" t="str">
        <f t="shared" si="69"/>
        <v>5.866,10</v>
      </c>
      <c r="S249" s="35" t="str">
        <f t="shared" si="70"/>
        <v>11.657,00</v>
      </c>
      <c r="T249" s="35" t="str">
        <f t="shared" si="71"/>
        <v>191,00</v>
      </c>
      <c r="U249" s="35" t="str">
        <f t="shared" si="72"/>
        <v>109,40</v>
      </c>
      <c r="V249" s="35" t="str">
        <f t="shared" si="73"/>
        <v>300,40</v>
      </c>
      <c r="W249" s="35" t="str">
        <f t="shared" si="74"/>
        <v>5.599,90</v>
      </c>
      <c r="X249" s="35" t="str">
        <f t="shared" si="75"/>
        <v>5.756,70</v>
      </c>
      <c r="Y249" s="35" t="str">
        <f t="shared" si="76"/>
        <v>559,99</v>
      </c>
      <c r="Z249" s="35" t="str">
        <f t="shared" si="77"/>
        <v>575,67</v>
      </c>
      <c r="AA249" s="35" t="str">
        <f t="shared" si="78"/>
        <v>11.356,60</v>
      </c>
      <c r="AB249" s="35" t="str">
        <f t="shared" si="79"/>
        <v>1.135,66</v>
      </c>
    </row>
    <row r="250" spans="1:28" ht="16" x14ac:dyDescent="0.25">
      <c r="A250" s="24">
        <v>249</v>
      </c>
      <c r="B250" s="24" t="s">
        <v>383</v>
      </c>
      <c r="C250" s="24" t="s">
        <v>188</v>
      </c>
      <c r="D250" s="116">
        <v>2501.6000000000004</v>
      </c>
      <c r="E250" s="116">
        <v>3640.5999999999995</v>
      </c>
      <c r="F250" s="108">
        <f t="shared" si="60"/>
        <v>6142.2</v>
      </c>
      <c r="G250" s="116">
        <v>0</v>
      </c>
      <c r="H250" s="116">
        <v>0</v>
      </c>
      <c r="I250" s="28">
        <f t="shared" si="61"/>
        <v>0</v>
      </c>
      <c r="J250" s="28">
        <f t="shared" si="62"/>
        <v>2501.6000000000004</v>
      </c>
      <c r="K250" s="28">
        <f t="shared" si="63"/>
        <v>3640.5999999999995</v>
      </c>
      <c r="L250" s="28">
        <f t="shared" si="64"/>
        <v>250.16000000000005</v>
      </c>
      <c r="M250" s="28">
        <f t="shared" si="65"/>
        <v>364.05999999999995</v>
      </c>
      <c r="N250" s="107">
        <f t="shared" si="66"/>
        <v>6142.2</v>
      </c>
      <c r="O250" s="107">
        <f t="shared" si="67"/>
        <v>614.22</v>
      </c>
      <c r="P250" s="9"/>
      <c r="Q250" s="35" t="str">
        <f t="shared" si="68"/>
        <v>2.501,60</v>
      </c>
      <c r="R250" s="35" t="str">
        <f t="shared" si="69"/>
        <v>3.640,60</v>
      </c>
      <c r="S250" s="35" t="str">
        <f t="shared" si="70"/>
        <v>6.142,20</v>
      </c>
      <c r="T250" s="35" t="str">
        <f t="shared" si="71"/>
        <v>,00</v>
      </c>
      <c r="U250" s="35" t="str">
        <f t="shared" si="72"/>
        <v>,00</v>
      </c>
      <c r="V250" s="35" t="str">
        <f t="shared" si="73"/>
        <v>,00</v>
      </c>
      <c r="W250" s="35" t="str">
        <f t="shared" si="74"/>
        <v>2.501,60</v>
      </c>
      <c r="X250" s="35" t="str">
        <f t="shared" si="75"/>
        <v>3.640,60</v>
      </c>
      <c r="Y250" s="35" t="str">
        <f t="shared" si="76"/>
        <v>250,16</v>
      </c>
      <c r="Z250" s="35" t="str">
        <f t="shared" si="77"/>
        <v>364,06</v>
      </c>
      <c r="AA250" s="35" t="str">
        <f t="shared" si="78"/>
        <v>6.142,20</v>
      </c>
      <c r="AB250" s="35" t="str">
        <f t="shared" si="79"/>
        <v>614,22</v>
      </c>
    </row>
    <row r="251" spans="1:28" ht="16" x14ac:dyDescent="0.25">
      <c r="A251" s="24">
        <v>250</v>
      </c>
      <c r="B251" s="24" t="s">
        <v>384</v>
      </c>
      <c r="C251" s="24" t="s">
        <v>188</v>
      </c>
      <c r="D251" s="116">
        <v>974.09999999999991</v>
      </c>
      <c r="E251" s="116">
        <v>5007.7</v>
      </c>
      <c r="F251" s="108">
        <f t="shared" si="60"/>
        <v>5981.7999999999993</v>
      </c>
      <c r="G251" s="116">
        <v>4.4000000000000004</v>
      </c>
      <c r="H251" s="116">
        <v>0</v>
      </c>
      <c r="I251" s="28">
        <f t="shared" si="61"/>
        <v>4.4000000000000004</v>
      </c>
      <c r="J251" s="28">
        <f t="shared" si="62"/>
        <v>969.69999999999993</v>
      </c>
      <c r="K251" s="28">
        <f t="shared" si="63"/>
        <v>5007.7</v>
      </c>
      <c r="L251" s="28">
        <f t="shared" si="64"/>
        <v>96.97</v>
      </c>
      <c r="M251" s="28">
        <f t="shared" si="65"/>
        <v>500.77</v>
      </c>
      <c r="N251" s="107">
        <f t="shared" si="66"/>
        <v>5977.4</v>
      </c>
      <c r="O251" s="107">
        <f t="shared" si="67"/>
        <v>597.74</v>
      </c>
      <c r="P251" s="9"/>
      <c r="Q251" s="35" t="str">
        <f t="shared" si="68"/>
        <v>974,10</v>
      </c>
      <c r="R251" s="35" t="str">
        <f t="shared" si="69"/>
        <v>5.007,70</v>
      </c>
      <c r="S251" s="35" t="str">
        <f t="shared" si="70"/>
        <v>5.981,80</v>
      </c>
      <c r="T251" s="35" t="str">
        <f t="shared" si="71"/>
        <v>4,40</v>
      </c>
      <c r="U251" s="35" t="str">
        <f t="shared" si="72"/>
        <v>,00</v>
      </c>
      <c r="V251" s="35" t="str">
        <f t="shared" si="73"/>
        <v>4,40</v>
      </c>
      <c r="W251" s="35" t="str">
        <f t="shared" si="74"/>
        <v>969,70</v>
      </c>
      <c r="X251" s="35" t="str">
        <f t="shared" si="75"/>
        <v>5.007,70</v>
      </c>
      <c r="Y251" s="35" t="str">
        <f t="shared" si="76"/>
        <v>96,97</v>
      </c>
      <c r="Z251" s="35" t="str">
        <f t="shared" si="77"/>
        <v>500,77</v>
      </c>
      <c r="AA251" s="35" t="str">
        <f t="shared" si="78"/>
        <v>5.977,40</v>
      </c>
      <c r="AB251" s="35" t="str">
        <f t="shared" si="79"/>
        <v>597,74</v>
      </c>
    </row>
    <row r="252" spans="1:28" ht="16" x14ac:dyDescent="0.25">
      <c r="A252" s="24">
        <v>251</v>
      </c>
      <c r="B252" s="24" t="s">
        <v>85</v>
      </c>
      <c r="C252" s="24" t="s">
        <v>188</v>
      </c>
      <c r="D252" s="116">
        <v>1327.8</v>
      </c>
      <c r="E252" s="116">
        <v>1846.1999999999998</v>
      </c>
      <c r="F252" s="108">
        <f t="shared" si="60"/>
        <v>3174</v>
      </c>
      <c r="G252" s="116">
        <v>24.4</v>
      </c>
      <c r="H252" s="116">
        <v>123.7</v>
      </c>
      <c r="I252" s="28">
        <f t="shared" si="61"/>
        <v>148.1</v>
      </c>
      <c r="J252" s="28">
        <f t="shared" si="62"/>
        <v>1303.3999999999999</v>
      </c>
      <c r="K252" s="28">
        <f t="shared" si="63"/>
        <v>1722.4999999999998</v>
      </c>
      <c r="L252" s="28">
        <f t="shared" si="64"/>
        <v>130.34</v>
      </c>
      <c r="M252" s="28">
        <f t="shared" si="65"/>
        <v>172.25</v>
      </c>
      <c r="N252" s="107">
        <f t="shared" si="66"/>
        <v>3025.9</v>
      </c>
      <c r="O252" s="107">
        <f t="shared" si="67"/>
        <v>302.59000000000003</v>
      </c>
      <c r="P252" s="9"/>
      <c r="Q252" s="35" t="str">
        <f t="shared" si="68"/>
        <v>1.327,80</v>
      </c>
      <c r="R252" s="35" t="str">
        <f t="shared" si="69"/>
        <v>1.846,20</v>
      </c>
      <c r="S252" s="35" t="str">
        <f t="shared" si="70"/>
        <v>3.174,00</v>
      </c>
      <c r="T252" s="35" t="str">
        <f t="shared" si="71"/>
        <v>24,40</v>
      </c>
      <c r="U252" s="35" t="str">
        <f t="shared" si="72"/>
        <v>123,70</v>
      </c>
      <c r="V252" s="35" t="str">
        <f t="shared" si="73"/>
        <v>148,10</v>
      </c>
      <c r="W252" s="35" t="str">
        <f t="shared" si="74"/>
        <v>1.303,40</v>
      </c>
      <c r="X252" s="35" t="str">
        <f t="shared" si="75"/>
        <v>1.722,50</v>
      </c>
      <c r="Y252" s="35" t="str">
        <f t="shared" si="76"/>
        <v>130,34</v>
      </c>
      <c r="Z252" s="35" t="str">
        <f t="shared" si="77"/>
        <v>172,25</v>
      </c>
      <c r="AA252" s="35" t="str">
        <f t="shared" si="78"/>
        <v>3.025,90</v>
      </c>
      <c r="AB252" s="35" t="str">
        <f t="shared" si="79"/>
        <v>302,59</v>
      </c>
    </row>
    <row r="253" spans="1:28" ht="16" x14ac:dyDescent="0.25">
      <c r="A253" s="24">
        <v>252</v>
      </c>
      <c r="B253" s="24" t="s">
        <v>2599</v>
      </c>
      <c r="C253" s="24" t="s">
        <v>188</v>
      </c>
      <c r="D253" s="116">
        <v>289.5</v>
      </c>
      <c r="E253" s="116">
        <v>200.3</v>
      </c>
      <c r="F253" s="108">
        <f t="shared" ref="F253:F289" si="80">D253+E253</f>
        <v>489.8</v>
      </c>
      <c r="G253" s="116">
        <v>0</v>
      </c>
      <c r="H253" s="116">
        <v>0</v>
      </c>
      <c r="I253" s="28">
        <f t="shared" ref="I253:I271" si="81">G253+H253</f>
        <v>0</v>
      </c>
      <c r="J253" s="28">
        <f t="shared" ref="J253:J271" si="82">D253-G253</f>
        <v>289.5</v>
      </c>
      <c r="K253" s="28">
        <f t="shared" ref="K253:K271" si="83">E253-H253</f>
        <v>200.3</v>
      </c>
      <c r="L253" s="28">
        <f t="shared" ref="L253:L271" si="84">J253*0.1</f>
        <v>28.950000000000003</v>
      </c>
      <c r="M253" s="28">
        <f t="shared" ref="M253:M271" si="85">K253*0.1</f>
        <v>20.03</v>
      </c>
      <c r="N253" s="107">
        <f t="shared" ref="N253:N271" si="86">F253-I253</f>
        <v>489.8</v>
      </c>
      <c r="O253" s="107">
        <f t="shared" ref="O253:O271" si="87">N253*0.1</f>
        <v>48.980000000000004</v>
      </c>
      <c r="P253" s="9"/>
      <c r="Q253" s="35" t="str">
        <f t="shared" ref="Q253:Q271" si="88">TEXT(D253,"#.###,00")</f>
        <v>289,50</v>
      </c>
      <c r="R253" s="35" t="str">
        <f t="shared" ref="R253:R271" si="89">TEXT(E253,"#.###,00")</f>
        <v>200,30</v>
      </c>
      <c r="S253" s="35" t="str">
        <f t="shared" ref="S253:S271" si="90">TEXT(F253,"#.###,00")</f>
        <v>489,80</v>
      </c>
      <c r="T253" s="35" t="str">
        <f t="shared" ref="T253:T271" si="91">TEXT(G253,"#.###,00")</f>
        <v>,00</v>
      </c>
      <c r="U253" s="35" t="str">
        <f t="shared" ref="U253:U271" si="92">TEXT(H253,"#.###,00")</f>
        <v>,00</v>
      </c>
      <c r="V253" s="35" t="str">
        <f t="shared" ref="V253:V271" si="93">TEXT(I253,"#.###,00")</f>
        <v>,00</v>
      </c>
      <c r="W253" s="35" t="str">
        <f t="shared" ref="W253:W271" si="94">TEXT(J253,"#.###,00")</f>
        <v>289,50</v>
      </c>
      <c r="X253" s="35" t="str">
        <f t="shared" ref="X253:X271" si="95">TEXT(K253,"#.###,00")</f>
        <v>200,30</v>
      </c>
      <c r="Y253" s="35" t="str">
        <f t="shared" ref="Y253:Y271" si="96">TEXT(L253,"#.###,00")</f>
        <v>28,95</v>
      </c>
      <c r="Z253" s="35" t="str">
        <f t="shared" ref="Z253:Z271" si="97">TEXT(M253,"#.###,00")</f>
        <v>20,03</v>
      </c>
      <c r="AA253" s="35" t="str">
        <f t="shared" ref="AA253:AA271" si="98">TEXT(N253,"#.###,00")</f>
        <v>489,80</v>
      </c>
      <c r="AB253" s="35" t="str">
        <f t="shared" ref="AB253:AB271" si="99">TEXT(O253,"#.###,00")</f>
        <v>48,98</v>
      </c>
    </row>
    <row r="254" spans="1:28" ht="16" x14ac:dyDescent="0.25">
      <c r="A254" s="24">
        <v>253</v>
      </c>
      <c r="B254" s="24" t="s">
        <v>336</v>
      </c>
      <c r="C254" s="24" t="s">
        <v>188</v>
      </c>
      <c r="D254" s="116">
        <v>5.4</v>
      </c>
      <c r="E254" s="116">
        <v>103.3</v>
      </c>
      <c r="F254" s="108">
        <f t="shared" si="80"/>
        <v>108.7</v>
      </c>
      <c r="G254" s="116">
        <v>0</v>
      </c>
      <c r="H254" s="116">
        <v>0</v>
      </c>
      <c r="I254" s="28">
        <f t="shared" si="81"/>
        <v>0</v>
      </c>
      <c r="J254" s="28">
        <f t="shared" si="82"/>
        <v>5.4</v>
      </c>
      <c r="K254" s="28">
        <f t="shared" si="83"/>
        <v>103.3</v>
      </c>
      <c r="L254" s="28">
        <f t="shared" si="84"/>
        <v>0.54</v>
      </c>
      <c r="M254" s="28">
        <f t="shared" si="85"/>
        <v>10.33</v>
      </c>
      <c r="N254" s="107">
        <f t="shared" si="86"/>
        <v>108.7</v>
      </c>
      <c r="O254" s="107">
        <f t="shared" si="87"/>
        <v>10.870000000000001</v>
      </c>
      <c r="P254" s="9"/>
      <c r="Q254" s="35" t="str">
        <f t="shared" si="88"/>
        <v>5,40</v>
      </c>
      <c r="R254" s="35" t="str">
        <f t="shared" si="89"/>
        <v>103,30</v>
      </c>
      <c r="S254" s="35" t="str">
        <f t="shared" si="90"/>
        <v>108,70</v>
      </c>
      <c r="T254" s="35" t="str">
        <f t="shared" si="91"/>
        <v>,00</v>
      </c>
      <c r="U254" s="35" t="str">
        <f t="shared" si="92"/>
        <v>,00</v>
      </c>
      <c r="V254" s="35" t="str">
        <f t="shared" si="93"/>
        <v>,00</v>
      </c>
      <c r="W254" s="35" t="str">
        <f t="shared" si="94"/>
        <v>5,40</v>
      </c>
      <c r="X254" s="35" t="str">
        <f t="shared" si="95"/>
        <v>103,30</v>
      </c>
      <c r="Y254" s="35" t="str">
        <f t="shared" si="96"/>
        <v>,54</v>
      </c>
      <c r="Z254" s="35" t="str">
        <f t="shared" si="97"/>
        <v>10,33</v>
      </c>
      <c r="AA254" s="35" t="str">
        <f t="shared" si="98"/>
        <v>108,70</v>
      </c>
      <c r="AB254" s="35" t="str">
        <f t="shared" si="99"/>
        <v>10,87</v>
      </c>
    </row>
    <row r="255" spans="1:28" ht="16" x14ac:dyDescent="0.25">
      <c r="A255" s="24">
        <v>254</v>
      </c>
      <c r="B255" s="24" t="s">
        <v>2023</v>
      </c>
      <c r="C255" s="24" t="s">
        <v>147</v>
      </c>
      <c r="D255" s="116">
        <v>42562.09</v>
      </c>
      <c r="E255" s="116">
        <v>81054.729999999981</v>
      </c>
      <c r="F255" s="108">
        <f t="shared" si="80"/>
        <v>123616.81999999998</v>
      </c>
      <c r="G255" s="116">
        <v>2875.9</v>
      </c>
      <c r="H255" s="116">
        <v>5070.1000000000004</v>
      </c>
      <c r="I255" s="28">
        <f t="shared" si="81"/>
        <v>7946</v>
      </c>
      <c r="J255" s="28">
        <f t="shared" si="82"/>
        <v>39686.189999999995</v>
      </c>
      <c r="K255" s="28">
        <f t="shared" si="83"/>
        <v>75984.629999999976</v>
      </c>
      <c r="L255" s="28">
        <f t="shared" si="84"/>
        <v>3968.6189999999997</v>
      </c>
      <c r="M255" s="28">
        <f t="shared" si="85"/>
        <v>7598.4629999999979</v>
      </c>
      <c r="N255" s="107">
        <f t="shared" si="86"/>
        <v>115670.81999999998</v>
      </c>
      <c r="O255" s="107">
        <f t="shared" si="87"/>
        <v>11567.081999999999</v>
      </c>
      <c r="P255" s="9"/>
      <c r="Q255" s="35" t="str">
        <f t="shared" si="88"/>
        <v>42.562,09</v>
      </c>
      <c r="R255" s="35" t="str">
        <f t="shared" si="89"/>
        <v>81.054,73</v>
      </c>
      <c r="S255" s="35" t="str">
        <f t="shared" si="90"/>
        <v>123.616,82</v>
      </c>
      <c r="T255" s="35" t="str">
        <f t="shared" si="91"/>
        <v>2.875,90</v>
      </c>
      <c r="U255" s="35" t="str">
        <f t="shared" si="92"/>
        <v>5.070,10</v>
      </c>
      <c r="V255" s="35" t="str">
        <f t="shared" si="93"/>
        <v>7.946,00</v>
      </c>
      <c r="W255" s="35" t="str">
        <f t="shared" si="94"/>
        <v>39.686,19</v>
      </c>
      <c r="X255" s="35" t="str">
        <f t="shared" si="95"/>
        <v>75.984,63</v>
      </c>
      <c r="Y255" s="35" t="str">
        <f t="shared" si="96"/>
        <v>3.968,62</v>
      </c>
      <c r="Z255" s="35" t="str">
        <f t="shared" si="97"/>
        <v>7.598,46</v>
      </c>
      <c r="AA255" s="35" t="str">
        <f t="shared" si="98"/>
        <v>115.670,82</v>
      </c>
      <c r="AB255" s="35" t="str">
        <f t="shared" si="99"/>
        <v>11.567,08</v>
      </c>
    </row>
    <row r="256" spans="1:28" ht="16" x14ac:dyDescent="0.25">
      <c r="A256" s="24">
        <v>255</v>
      </c>
      <c r="B256" s="24" t="s">
        <v>2310</v>
      </c>
      <c r="C256" s="24" t="s">
        <v>311</v>
      </c>
      <c r="D256" s="116">
        <v>61.2</v>
      </c>
      <c r="E256" s="116">
        <v>712.7</v>
      </c>
      <c r="F256" s="108">
        <f t="shared" si="80"/>
        <v>773.90000000000009</v>
      </c>
      <c r="G256" s="116">
        <v>0</v>
      </c>
      <c r="H256" s="116">
        <v>0</v>
      </c>
      <c r="I256" s="28">
        <f t="shared" si="81"/>
        <v>0</v>
      </c>
      <c r="J256" s="28">
        <f t="shared" si="82"/>
        <v>61.2</v>
      </c>
      <c r="K256" s="28">
        <f t="shared" si="83"/>
        <v>712.7</v>
      </c>
      <c r="L256" s="28">
        <f t="shared" si="84"/>
        <v>6.120000000000001</v>
      </c>
      <c r="M256" s="28">
        <f t="shared" si="85"/>
        <v>71.27000000000001</v>
      </c>
      <c r="N256" s="107">
        <f t="shared" si="86"/>
        <v>773.90000000000009</v>
      </c>
      <c r="O256" s="107">
        <f t="shared" si="87"/>
        <v>77.390000000000015</v>
      </c>
      <c r="P256" s="9"/>
      <c r="Q256" s="35" t="str">
        <f t="shared" si="88"/>
        <v>61,20</v>
      </c>
      <c r="R256" s="35" t="str">
        <f t="shared" si="89"/>
        <v>712,70</v>
      </c>
      <c r="S256" s="35" t="str">
        <f t="shared" si="90"/>
        <v>773,90</v>
      </c>
      <c r="T256" s="35" t="str">
        <f t="shared" si="91"/>
        <v>,00</v>
      </c>
      <c r="U256" s="35" t="str">
        <f t="shared" si="92"/>
        <v>,00</v>
      </c>
      <c r="V256" s="35" t="str">
        <f t="shared" si="93"/>
        <v>,00</v>
      </c>
      <c r="W256" s="35" t="str">
        <f t="shared" si="94"/>
        <v>61,20</v>
      </c>
      <c r="X256" s="35" t="str">
        <f t="shared" si="95"/>
        <v>712,70</v>
      </c>
      <c r="Y256" s="35" t="str">
        <f t="shared" si="96"/>
        <v>6,12</v>
      </c>
      <c r="Z256" s="35" t="str">
        <f t="shared" si="97"/>
        <v>71,27</v>
      </c>
      <c r="AA256" s="35" t="str">
        <f t="shared" si="98"/>
        <v>773,90</v>
      </c>
      <c r="AB256" s="35" t="str">
        <f t="shared" si="99"/>
        <v>77,39</v>
      </c>
    </row>
    <row r="257" spans="1:28" ht="16" x14ac:dyDescent="0.25">
      <c r="A257" s="24">
        <v>256</v>
      </c>
      <c r="B257" s="24" t="s">
        <v>34</v>
      </c>
      <c r="C257" s="24" t="s">
        <v>13</v>
      </c>
      <c r="D257" s="116">
        <v>20625.199999999997</v>
      </c>
      <c r="E257" s="116">
        <v>20430.7</v>
      </c>
      <c r="F257" s="108">
        <f t="shared" si="80"/>
        <v>41055.899999999994</v>
      </c>
      <c r="G257" s="116">
        <v>633.29999999999995</v>
      </c>
      <c r="H257" s="116">
        <v>364.8</v>
      </c>
      <c r="I257" s="28">
        <f t="shared" si="81"/>
        <v>998.09999999999991</v>
      </c>
      <c r="J257" s="28">
        <f t="shared" si="82"/>
        <v>19991.899999999998</v>
      </c>
      <c r="K257" s="28">
        <f t="shared" si="83"/>
        <v>20065.900000000001</v>
      </c>
      <c r="L257" s="28">
        <f t="shared" si="84"/>
        <v>1999.1899999999998</v>
      </c>
      <c r="M257" s="28">
        <f t="shared" si="85"/>
        <v>2006.5900000000001</v>
      </c>
      <c r="N257" s="107">
        <f t="shared" si="86"/>
        <v>40057.799999999996</v>
      </c>
      <c r="O257" s="107">
        <f t="shared" si="87"/>
        <v>4005.7799999999997</v>
      </c>
      <c r="P257" s="9"/>
      <c r="Q257" s="35" t="str">
        <f t="shared" si="88"/>
        <v>20.625,20</v>
      </c>
      <c r="R257" s="35" t="str">
        <f t="shared" si="89"/>
        <v>20.430,70</v>
      </c>
      <c r="S257" s="35" t="str">
        <f t="shared" si="90"/>
        <v>41.055,90</v>
      </c>
      <c r="T257" s="35" t="str">
        <f t="shared" si="91"/>
        <v>633,30</v>
      </c>
      <c r="U257" s="35" t="str">
        <f t="shared" si="92"/>
        <v>364,80</v>
      </c>
      <c r="V257" s="35" t="str">
        <f t="shared" si="93"/>
        <v>998,10</v>
      </c>
      <c r="W257" s="35" t="str">
        <f t="shared" si="94"/>
        <v>19.991,90</v>
      </c>
      <c r="X257" s="35" t="str">
        <f t="shared" si="95"/>
        <v>20.065,90</v>
      </c>
      <c r="Y257" s="35" t="str">
        <f t="shared" si="96"/>
        <v>1.999,19</v>
      </c>
      <c r="Z257" s="35" t="str">
        <f t="shared" si="97"/>
        <v>2.006,59</v>
      </c>
      <c r="AA257" s="35" t="str">
        <f t="shared" si="98"/>
        <v>40.057,80</v>
      </c>
      <c r="AB257" s="35" t="str">
        <f t="shared" si="99"/>
        <v>4.005,78</v>
      </c>
    </row>
    <row r="258" spans="1:28" ht="16" x14ac:dyDescent="0.25">
      <c r="A258" s="24">
        <v>257</v>
      </c>
      <c r="B258" s="24" t="s">
        <v>2241</v>
      </c>
      <c r="C258" s="24" t="s">
        <v>13</v>
      </c>
      <c r="D258" s="116">
        <v>3390.4</v>
      </c>
      <c r="E258" s="116">
        <v>3624.1000000000004</v>
      </c>
      <c r="F258" s="108">
        <f t="shared" si="80"/>
        <v>7014.5</v>
      </c>
      <c r="G258" s="116">
        <v>0</v>
      </c>
      <c r="H258" s="116">
        <v>0</v>
      </c>
      <c r="I258" s="28">
        <f t="shared" si="81"/>
        <v>0</v>
      </c>
      <c r="J258" s="28">
        <f t="shared" si="82"/>
        <v>3390.4</v>
      </c>
      <c r="K258" s="28">
        <f t="shared" si="83"/>
        <v>3624.1000000000004</v>
      </c>
      <c r="L258" s="28">
        <f t="shared" si="84"/>
        <v>339.04</v>
      </c>
      <c r="M258" s="28">
        <f t="shared" si="85"/>
        <v>362.41000000000008</v>
      </c>
      <c r="N258" s="107">
        <f t="shared" si="86"/>
        <v>7014.5</v>
      </c>
      <c r="O258" s="107">
        <f t="shared" si="87"/>
        <v>701.45</v>
      </c>
      <c r="P258" s="9"/>
      <c r="Q258" s="35" t="str">
        <f t="shared" si="88"/>
        <v>3.390,40</v>
      </c>
      <c r="R258" s="35" t="str">
        <f t="shared" si="89"/>
        <v>3.624,10</v>
      </c>
      <c r="S258" s="35" t="str">
        <f t="shared" si="90"/>
        <v>7.014,50</v>
      </c>
      <c r="T258" s="35" t="str">
        <f t="shared" si="91"/>
        <v>,00</v>
      </c>
      <c r="U258" s="35" t="str">
        <f t="shared" si="92"/>
        <v>,00</v>
      </c>
      <c r="V258" s="35" t="str">
        <f t="shared" si="93"/>
        <v>,00</v>
      </c>
      <c r="W258" s="35" t="str">
        <f t="shared" si="94"/>
        <v>3.390,40</v>
      </c>
      <c r="X258" s="35" t="str">
        <f t="shared" si="95"/>
        <v>3.624,10</v>
      </c>
      <c r="Y258" s="35" t="str">
        <f t="shared" si="96"/>
        <v>339,04</v>
      </c>
      <c r="Z258" s="35" t="str">
        <f t="shared" si="97"/>
        <v>362,41</v>
      </c>
      <c r="AA258" s="35" t="str">
        <f t="shared" si="98"/>
        <v>7.014,50</v>
      </c>
      <c r="AB258" s="35" t="str">
        <f t="shared" si="99"/>
        <v>701,45</v>
      </c>
    </row>
    <row r="259" spans="1:28" ht="16" x14ac:dyDescent="0.25">
      <c r="A259" s="24">
        <v>258</v>
      </c>
      <c r="B259" s="24" t="s">
        <v>2003</v>
      </c>
      <c r="C259" s="24" t="s">
        <v>13</v>
      </c>
      <c r="D259" s="116">
        <v>779.9</v>
      </c>
      <c r="E259" s="116">
        <v>1199.5999999999999</v>
      </c>
      <c r="F259" s="108">
        <f t="shared" si="80"/>
        <v>1979.5</v>
      </c>
      <c r="G259" s="116">
        <v>0</v>
      </c>
      <c r="H259" s="116">
        <v>0</v>
      </c>
      <c r="I259" s="28">
        <f t="shared" si="81"/>
        <v>0</v>
      </c>
      <c r="J259" s="28">
        <f t="shared" si="82"/>
        <v>779.9</v>
      </c>
      <c r="K259" s="28">
        <f t="shared" si="83"/>
        <v>1199.5999999999999</v>
      </c>
      <c r="L259" s="28">
        <f t="shared" si="84"/>
        <v>77.990000000000009</v>
      </c>
      <c r="M259" s="28">
        <f t="shared" si="85"/>
        <v>119.96</v>
      </c>
      <c r="N259" s="107">
        <f t="shared" si="86"/>
        <v>1979.5</v>
      </c>
      <c r="O259" s="107">
        <f t="shared" si="87"/>
        <v>197.95000000000002</v>
      </c>
      <c r="P259" s="9"/>
      <c r="Q259" s="35" t="str">
        <f t="shared" si="88"/>
        <v>779,90</v>
      </c>
      <c r="R259" s="35" t="str">
        <f t="shared" si="89"/>
        <v>1.199,60</v>
      </c>
      <c r="S259" s="35" t="str">
        <f t="shared" si="90"/>
        <v>1.979,50</v>
      </c>
      <c r="T259" s="35" t="str">
        <f t="shared" si="91"/>
        <v>,00</v>
      </c>
      <c r="U259" s="35" t="str">
        <f t="shared" si="92"/>
        <v>,00</v>
      </c>
      <c r="V259" s="35" t="str">
        <f t="shared" si="93"/>
        <v>,00</v>
      </c>
      <c r="W259" s="35" t="str">
        <f t="shared" si="94"/>
        <v>779,90</v>
      </c>
      <c r="X259" s="35" t="str">
        <f t="shared" si="95"/>
        <v>1.199,60</v>
      </c>
      <c r="Y259" s="35" t="str">
        <f t="shared" si="96"/>
        <v>77,99</v>
      </c>
      <c r="Z259" s="35" t="str">
        <f t="shared" si="97"/>
        <v>119,96</v>
      </c>
      <c r="AA259" s="35" t="str">
        <f t="shared" si="98"/>
        <v>1.979,50</v>
      </c>
      <c r="AB259" s="35" t="str">
        <f t="shared" si="99"/>
        <v>197,95</v>
      </c>
    </row>
    <row r="260" spans="1:28" ht="16" x14ac:dyDescent="0.25">
      <c r="A260" s="24">
        <v>259</v>
      </c>
      <c r="B260" s="24" t="s">
        <v>345</v>
      </c>
      <c r="C260" s="24" t="s">
        <v>13</v>
      </c>
      <c r="D260" s="116">
        <v>891.2</v>
      </c>
      <c r="E260" s="116">
        <v>989.9</v>
      </c>
      <c r="F260" s="108">
        <f t="shared" si="80"/>
        <v>1881.1</v>
      </c>
      <c r="G260" s="116">
        <v>45</v>
      </c>
      <c r="H260" s="116">
        <v>402.8</v>
      </c>
      <c r="I260" s="28">
        <f t="shared" si="81"/>
        <v>447.8</v>
      </c>
      <c r="J260" s="28">
        <f t="shared" si="82"/>
        <v>846.2</v>
      </c>
      <c r="K260" s="28">
        <f t="shared" si="83"/>
        <v>587.09999999999991</v>
      </c>
      <c r="L260" s="28">
        <f t="shared" si="84"/>
        <v>84.62</v>
      </c>
      <c r="M260" s="28">
        <f t="shared" si="85"/>
        <v>58.709999999999994</v>
      </c>
      <c r="N260" s="107">
        <f t="shared" si="86"/>
        <v>1433.3</v>
      </c>
      <c r="O260" s="107">
        <f t="shared" si="87"/>
        <v>143.33000000000001</v>
      </c>
      <c r="P260" s="9"/>
      <c r="Q260" s="35" t="str">
        <f t="shared" si="88"/>
        <v>891,20</v>
      </c>
      <c r="R260" s="35" t="str">
        <f t="shared" si="89"/>
        <v>989,90</v>
      </c>
      <c r="S260" s="35" t="str">
        <f t="shared" si="90"/>
        <v>1.881,10</v>
      </c>
      <c r="T260" s="35" t="str">
        <f t="shared" si="91"/>
        <v>45,00</v>
      </c>
      <c r="U260" s="35" t="str">
        <f t="shared" si="92"/>
        <v>402,80</v>
      </c>
      <c r="V260" s="35" t="str">
        <f t="shared" si="93"/>
        <v>447,80</v>
      </c>
      <c r="W260" s="35" t="str">
        <f t="shared" si="94"/>
        <v>846,20</v>
      </c>
      <c r="X260" s="35" t="str">
        <f t="shared" si="95"/>
        <v>587,10</v>
      </c>
      <c r="Y260" s="35" t="str">
        <f t="shared" si="96"/>
        <v>84,62</v>
      </c>
      <c r="Z260" s="35" t="str">
        <f t="shared" si="97"/>
        <v>58,71</v>
      </c>
      <c r="AA260" s="35" t="str">
        <f t="shared" si="98"/>
        <v>1.433,30</v>
      </c>
      <c r="AB260" s="35" t="str">
        <f t="shared" si="99"/>
        <v>143,33</v>
      </c>
    </row>
    <row r="261" spans="1:28" ht="16" x14ac:dyDescent="0.25">
      <c r="A261" s="24">
        <v>260</v>
      </c>
      <c r="B261" s="24" t="s">
        <v>2418</v>
      </c>
      <c r="C261" s="24" t="s">
        <v>13</v>
      </c>
      <c r="D261" s="116">
        <v>404.9</v>
      </c>
      <c r="E261" s="116">
        <v>300.5</v>
      </c>
      <c r="F261" s="108">
        <f t="shared" si="80"/>
        <v>705.4</v>
      </c>
      <c r="G261" s="116">
        <v>0</v>
      </c>
      <c r="H261" s="116">
        <v>0</v>
      </c>
      <c r="I261" s="28">
        <f t="shared" si="81"/>
        <v>0</v>
      </c>
      <c r="J261" s="28">
        <f t="shared" si="82"/>
        <v>404.9</v>
      </c>
      <c r="K261" s="28">
        <f t="shared" si="83"/>
        <v>300.5</v>
      </c>
      <c r="L261" s="28">
        <f t="shared" si="84"/>
        <v>40.49</v>
      </c>
      <c r="M261" s="28">
        <f t="shared" si="85"/>
        <v>30.05</v>
      </c>
      <c r="N261" s="107">
        <f t="shared" si="86"/>
        <v>705.4</v>
      </c>
      <c r="O261" s="107">
        <f t="shared" si="87"/>
        <v>70.540000000000006</v>
      </c>
      <c r="P261" s="9"/>
      <c r="Q261" s="35" t="str">
        <f t="shared" si="88"/>
        <v>404,90</v>
      </c>
      <c r="R261" s="35" t="str">
        <f t="shared" si="89"/>
        <v>300,50</v>
      </c>
      <c r="S261" s="35" t="str">
        <f t="shared" si="90"/>
        <v>705,40</v>
      </c>
      <c r="T261" s="35" t="str">
        <f t="shared" si="91"/>
        <v>,00</v>
      </c>
      <c r="U261" s="35" t="str">
        <f t="shared" si="92"/>
        <v>,00</v>
      </c>
      <c r="V261" s="35" t="str">
        <f t="shared" si="93"/>
        <v>,00</v>
      </c>
      <c r="W261" s="35" t="str">
        <f t="shared" si="94"/>
        <v>404,90</v>
      </c>
      <c r="X261" s="35" t="str">
        <f t="shared" si="95"/>
        <v>300,50</v>
      </c>
      <c r="Y261" s="35" t="str">
        <f t="shared" si="96"/>
        <v>40,49</v>
      </c>
      <c r="Z261" s="35" t="str">
        <f t="shared" si="97"/>
        <v>30,05</v>
      </c>
      <c r="AA261" s="35" t="str">
        <f t="shared" si="98"/>
        <v>705,40</v>
      </c>
      <c r="AB261" s="35" t="str">
        <f t="shared" si="99"/>
        <v>70,54</v>
      </c>
    </row>
    <row r="262" spans="1:28" ht="16" x14ac:dyDescent="0.25">
      <c r="A262" s="24">
        <v>261</v>
      </c>
      <c r="B262" s="24" t="s">
        <v>2214</v>
      </c>
      <c r="C262" s="24" t="s">
        <v>13</v>
      </c>
      <c r="D262" s="116">
        <v>112.2</v>
      </c>
      <c r="E262" s="116">
        <v>81</v>
      </c>
      <c r="F262" s="108">
        <f t="shared" si="80"/>
        <v>193.2</v>
      </c>
      <c r="G262" s="116">
        <v>0</v>
      </c>
      <c r="H262" s="116">
        <v>0</v>
      </c>
      <c r="I262" s="28">
        <f t="shared" si="81"/>
        <v>0</v>
      </c>
      <c r="J262" s="28">
        <f t="shared" si="82"/>
        <v>112.2</v>
      </c>
      <c r="K262" s="28">
        <f t="shared" si="83"/>
        <v>81</v>
      </c>
      <c r="L262" s="28">
        <f t="shared" si="84"/>
        <v>11.22</v>
      </c>
      <c r="M262" s="28">
        <f t="shared" si="85"/>
        <v>8.1</v>
      </c>
      <c r="N262" s="107">
        <f t="shared" si="86"/>
        <v>193.2</v>
      </c>
      <c r="O262" s="107">
        <f t="shared" si="87"/>
        <v>19.32</v>
      </c>
      <c r="P262" s="9"/>
      <c r="Q262" s="35" t="str">
        <f t="shared" si="88"/>
        <v>112,20</v>
      </c>
      <c r="R262" s="35" t="str">
        <f t="shared" si="89"/>
        <v>81,00</v>
      </c>
      <c r="S262" s="35" t="str">
        <f t="shared" si="90"/>
        <v>193,20</v>
      </c>
      <c r="T262" s="35" t="str">
        <f t="shared" si="91"/>
        <v>,00</v>
      </c>
      <c r="U262" s="35" t="str">
        <f t="shared" si="92"/>
        <v>,00</v>
      </c>
      <c r="V262" s="35" t="str">
        <f t="shared" si="93"/>
        <v>,00</v>
      </c>
      <c r="W262" s="35" t="str">
        <f t="shared" si="94"/>
        <v>112,20</v>
      </c>
      <c r="X262" s="35" t="str">
        <f t="shared" si="95"/>
        <v>81,00</v>
      </c>
      <c r="Y262" s="35" t="str">
        <f t="shared" si="96"/>
        <v>11,22</v>
      </c>
      <c r="Z262" s="35" t="str">
        <f t="shared" si="97"/>
        <v>8,10</v>
      </c>
      <c r="AA262" s="35" t="str">
        <f t="shared" si="98"/>
        <v>193,20</v>
      </c>
      <c r="AB262" s="35" t="str">
        <f t="shared" si="99"/>
        <v>19,32</v>
      </c>
    </row>
    <row r="263" spans="1:28" ht="16" x14ac:dyDescent="0.25">
      <c r="A263" s="24">
        <v>262</v>
      </c>
      <c r="B263" s="24" t="s">
        <v>2947</v>
      </c>
      <c r="C263" s="24" t="s">
        <v>181</v>
      </c>
      <c r="D263" s="116">
        <v>25951</v>
      </c>
      <c r="E263" s="116">
        <v>15943.73</v>
      </c>
      <c r="F263" s="108">
        <f t="shared" si="80"/>
        <v>41894.729999999996</v>
      </c>
      <c r="G263" s="116">
        <v>873.2</v>
      </c>
      <c r="H263" s="116">
        <v>1149.8000000000002</v>
      </c>
      <c r="I263" s="28">
        <f t="shared" si="81"/>
        <v>2023.0000000000002</v>
      </c>
      <c r="J263" s="28">
        <f t="shared" si="82"/>
        <v>25077.8</v>
      </c>
      <c r="K263" s="28">
        <f t="shared" si="83"/>
        <v>14793.93</v>
      </c>
      <c r="L263" s="28">
        <f t="shared" si="84"/>
        <v>2507.7800000000002</v>
      </c>
      <c r="M263" s="28">
        <f t="shared" si="85"/>
        <v>1479.393</v>
      </c>
      <c r="N263" s="107">
        <f t="shared" si="86"/>
        <v>39871.729999999996</v>
      </c>
      <c r="O263" s="107">
        <f t="shared" si="87"/>
        <v>3987.1729999999998</v>
      </c>
      <c r="P263" s="9"/>
      <c r="Q263" s="35" t="str">
        <f t="shared" si="88"/>
        <v>25.951,00</v>
      </c>
      <c r="R263" s="35" t="str">
        <f t="shared" si="89"/>
        <v>15.943,73</v>
      </c>
      <c r="S263" s="35" t="str">
        <f t="shared" si="90"/>
        <v>41.894,73</v>
      </c>
      <c r="T263" s="35" t="str">
        <f t="shared" si="91"/>
        <v>873,20</v>
      </c>
      <c r="U263" s="35" t="str">
        <f t="shared" si="92"/>
        <v>1.149,80</v>
      </c>
      <c r="V263" s="35" t="str">
        <f t="shared" si="93"/>
        <v>2.023,00</v>
      </c>
      <c r="W263" s="35" t="str">
        <f t="shared" si="94"/>
        <v>25.077,80</v>
      </c>
      <c r="X263" s="35" t="str">
        <f t="shared" si="95"/>
        <v>14.793,93</v>
      </c>
      <c r="Y263" s="35" t="str">
        <f t="shared" si="96"/>
        <v>2.507,78</v>
      </c>
      <c r="Z263" s="35" t="str">
        <f t="shared" si="97"/>
        <v>1.479,39</v>
      </c>
      <c r="AA263" s="35" t="str">
        <f t="shared" si="98"/>
        <v>39.871,73</v>
      </c>
      <c r="AB263" s="35" t="str">
        <f t="shared" si="99"/>
        <v>3.987,17</v>
      </c>
    </row>
    <row r="264" spans="1:28" ht="16" x14ac:dyDescent="0.25">
      <c r="A264" s="24">
        <v>263</v>
      </c>
      <c r="B264" s="24" t="s">
        <v>34</v>
      </c>
      <c r="C264" s="24" t="s">
        <v>148</v>
      </c>
      <c r="D264" s="116">
        <v>43814.87</v>
      </c>
      <c r="E264" s="116">
        <v>32001.8</v>
      </c>
      <c r="F264" s="108">
        <f t="shared" si="80"/>
        <v>75816.67</v>
      </c>
      <c r="G264" s="116">
        <v>2728.7</v>
      </c>
      <c r="H264" s="116">
        <v>1998.6</v>
      </c>
      <c r="I264" s="28">
        <f t="shared" si="81"/>
        <v>4727.2999999999993</v>
      </c>
      <c r="J264" s="28">
        <f t="shared" si="82"/>
        <v>41086.170000000006</v>
      </c>
      <c r="K264" s="28">
        <f t="shared" si="83"/>
        <v>30003.200000000001</v>
      </c>
      <c r="L264" s="28">
        <f t="shared" si="84"/>
        <v>4108.6170000000011</v>
      </c>
      <c r="M264" s="28">
        <f t="shared" si="85"/>
        <v>3000.32</v>
      </c>
      <c r="N264" s="107">
        <f t="shared" si="86"/>
        <v>71089.37</v>
      </c>
      <c r="O264" s="107">
        <f t="shared" si="87"/>
        <v>7108.9369999999999</v>
      </c>
      <c r="P264" s="9"/>
      <c r="Q264" s="35" t="str">
        <f t="shared" si="88"/>
        <v>43.814,87</v>
      </c>
      <c r="R264" s="35" t="str">
        <f t="shared" si="89"/>
        <v>32.001,80</v>
      </c>
      <c r="S264" s="35" t="str">
        <f t="shared" si="90"/>
        <v>75.816,67</v>
      </c>
      <c r="T264" s="35" t="str">
        <f t="shared" si="91"/>
        <v>2.728,70</v>
      </c>
      <c r="U264" s="35" t="str">
        <f t="shared" si="92"/>
        <v>1.998,60</v>
      </c>
      <c r="V264" s="35" t="str">
        <f t="shared" si="93"/>
        <v>4.727,30</v>
      </c>
      <c r="W264" s="35" t="str">
        <f t="shared" si="94"/>
        <v>41.086,17</v>
      </c>
      <c r="X264" s="35" t="str">
        <f t="shared" si="95"/>
        <v>30.003,20</v>
      </c>
      <c r="Y264" s="35" t="str">
        <f t="shared" si="96"/>
        <v>4.108,62</v>
      </c>
      <c r="Z264" s="35" t="str">
        <f t="shared" si="97"/>
        <v>3.000,32</v>
      </c>
      <c r="AA264" s="35" t="str">
        <f t="shared" si="98"/>
        <v>71.089,37</v>
      </c>
      <c r="AB264" s="35" t="str">
        <f t="shared" si="99"/>
        <v>7.108,94</v>
      </c>
    </row>
    <row r="265" spans="1:28" ht="16" x14ac:dyDescent="0.25">
      <c r="A265" s="24">
        <v>264</v>
      </c>
      <c r="B265" s="24" t="s">
        <v>207</v>
      </c>
      <c r="C265" s="24" t="s">
        <v>148</v>
      </c>
      <c r="D265" s="116">
        <v>29695.100000000002</v>
      </c>
      <c r="E265" s="116">
        <v>11780.5</v>
      </c>
      <c r="F265" s="108">
        <f t="shared" si="80"/>
        <v>41475.600000000006</v>
      </c>
      <c r="G265" s="116">
        <v>2833.7</v>
      </c>
      <c r="H265" s="116">
        <v>947</v>
      </c>
      <c r="I265" s="28">
        <f t="shared" si="81"/>
        <v>3780.7</v>
      </c>
      <c r="J265" s="28">
        <f t="shared" si="82"/>
        <v>26861.4</v>
      </c>
      <c r="K265" s="28">
        <f t="shared" si="83"/>
        <v>10833.5</v>
      </c>
      <c r="L265" s="28">
        <f t="shared" si="84"/>
        <v>2686.1400000000003</v>
      </c>
      <c r="M265" s="28">
        <f t="shared" si="85"/>
        <v>1083.3500000000001</v>
      </c>
      <c r="N265" s="107">
        <f t="shared" si="86"/>
        <v>37694.900000000009</v>
      </c>
      <c r="O265" s="107">
        <f t="shared" si="87"/>
        <v>3769.4900000000011</v>
      </c>
      <c r="P265" s="9"/>
      <c r="Q265" s="35" t="str">
        <f t="shared" si="88"/>
        <v>29.695,10</v>
      </c>
      <c r="R265" s="35" t="str">
        <f t="shared" si="89"/>
        <v>11.780,50</v>
      </c>
      <c r="S265" s="35" t="str">
        <f t="shared" si="90"/>
        <v>41.475,60</v>
      </c>
      <c r="T265" s="35" t="str">
        <f t="shared" si="91"/>
        <v>2.833,70</v>
      </c>
      <c r="U265" s="35" t="str">
        <f t="shared" si="92"/>
        <v>947,00</v>
      </c>
      <c r="V265" s="35" t="str">
        <f t="shared" si="93"/>
        <v>3.780,70</v>
      </c>
      <c r="W265" s="35" t="str">
        <f t="shared" si="94"/>
        <v>26.861,40</v>
      </c>
      <c r="X265" s="35" t="str">
        <f t="shared" si="95"/>
        <v>10.833,50</v>
      </c>
      <c r="Y265" s="35" t="str">
        <f t="shared" si="96"/>
        <v>2.686,14</v>
      </c>
      <c r="Z265" s="35" t="str">
        <f t="shared" si="97"/>
        <v>1.083,35</v>
      </c>
      <c r="AA265" s="35" t="str">
        <f t="shared" si="98"/>
        <v>37.694,90</v>
      </c>
      <c r="AB265" s="35" t="str">
        <f t="shared" si="99"/>
        <v>3.769,49</v>
      </c>
    </row>
    <row r="266" spans="1:28" ht="16" x14ac:dyDescent="0.25">
      <c r="A266" s="24">
        <v>265</v>
      </c>
      <c r="B266" s="24" t="s">
        <v>182</v>
      </c>
      <c r="C266" s="24" t="s">
        <v>148</v>
      </c>
      <c r="D266" s="116">
        <v>30586.100000000002</v>
      </c>
      <c r="E266" s="116">
        <v>5327.4</v>
      </c>
      <c r="F266" s="108">
        <f t="shared" si="80"/>
        <v>35913.5</v>
      </c>
      <c r="G266" s="116">
        <v>5043.3</v>
      </c>
      <c r="H266" s="116">
        <v>690</v>
      </c>
      <c r="I266" s="28">
        <f t="shared" si="81"/>
        <v>5733.3</v>
      </c>
      <c r="J266" s="28">
        <f t="shared" si="82"/>
        <v>25542.800000000003</v>
      </c>
      <c r="K266" s="28">
        <f t="shared" si="83"/>
        <v>4637.3999999999996</v>
      </c>
      <c r="L266" s="28">
        <f t="shared" si="84"/>
        <v>2554.2800000000007</v>
      </c>
      <c r="M266" s="28">
        <f t="shared" si="85"/>
        <v>463.74</v>
      </c>
      <c r="N266" s="107">
        <f t="shared" si="86"/>
        <v>30180.2</v>
      </c>
      <c r="O266" s="107">
        <f t="shared" si="87"/>
        <v>3018.0200000000004</v>
      </c>
      <c r="P266" s="9"/>
      <c r="Q266" s="35" t="str">
        <f t="shared" si="88"/>
        <v>30.586,10</v>
      </c>
      <c r="R266" s="35" t="str">
        <f t="shared" si="89"/>
        <v>5.327,40</v>
      </c>
      <c r="S266" s="35" t="str">
        <f t="shared" si="90"/>
        <v>35.913,50</v>
      </c>
      <c r="T266" s="35" t="str">
        <f t="shared" si="91"/>
        <v>5.043,30</v>
      </c>
      <c r="U266" s="35" t="str">
        <f t="shared" si="92"/>
        <v>690,00</v>
      </c>
      <c r="V266" s="35" t="str">
        <f t="shared" si="93"/>
        <v>5.733,30</v>
      </c>
      <c r="W266" s="35" t="str">
        <f t="shared" si="94"/>
        <v>25.542,80</v>
      </c>
      <c r="X266" s="35" t="str">
        <f t="shared" si="95"/>
        <v>4.637,40</v>
      </c>
      <c r="Y266" s="35" t="str">
        <f t="shared" si="96"/>
        <v>2.554,28</v>
      </c>
      <c r="Z266" s="35" t="str">
        <f t="shared" si="97"/>
        <v>463,74</v>
      </c>
      <c r="AA266" s="35" t="str">
        <f t="shared" si="98"/>
        <v>30.180,20</v>
      </c>
      <c r="AB266" s="35" t="str">
        <f t="shared" si="99"/>
        <v>3.018,02</v>
      </c>
    </row>
    <row r="267" spans="1:28" ht="16" x14ac:dyDescent="0.25">
      <c r="A267" s="24">
        <v>266</v>
      </c>
      <c r="B267" s="24" t="s">
        <v>2063</v>
      </c>
      <c r="C267" s="24" t="s">
        <v>148</v>
      </c>
      <c r="D267" s="116">
        <v>1495</v>
      </c>
      <c r="E267" s="116">
        <v>929.6</v>
      </c>
      <c r="F267" s="108">
        <f t="shared" si="80"/>
        <v>2424.6</v>
      </c>
      <c r="G267" s="116">
        <v>0</v>
      </c>
      <c r="H267" s="116">
        <v>0</v>
      </c>
      <c r="I267" s="28">
        <f t="shared" si="81"/>
        <v>0</v>
      </c>
      <c r="J267" s="28">
        <f t="shared" si="82"/>
        <v>1495</v>
      </c>
      <c r="K267" s="28">
        <f t="shared" si="83"/>
        <v>929.6</v>
      </c>
      <c r="L267" s="28">
        <f t="shared" si="84"/>
        <v>149.5</v>
      </c>
      <c r="M267" s="28">
        <f t="shared" si="85"/>
        <v>92.960000000000008</v>
      </c>
      <c r="N267" s="107">
        <f t="shared" si="86"/>
        <v>2424.6</v>
      </c>
      <c r="O267" s="107">
        <f t="shared" si="87"/>
        <v>242.46</v>
      </c>
      <c r="P267" s="9"/>
      <c r="Q267" s="35" t="str">
        <f t="shared" si="88"/>
        <v>1.495,00</v>
      </c>
      <c r="R267" s="35" t="str">
        <f t="shared" si="89"/>
        <v>929,60</v>
      </c>
      <c r="S267" s="35" t="str">
        <f t="shared" si="90"/>
        <v>2.424,60</v>
      </c>
      <c r="T267" s="35" t="str">
        <f t="shared" si="91"/>
        <v>,00</v>
      </c>
      <c r="U267" s="35" t="str">
        <f t="shared" si="92"/>
        <v>,00</v>
      </c>
      <c r="V267" s="35" t="str">
        <f t="shared" si="93"/>
        <v>,00</v>
      </c>
      <c r="W267" s="35" t="str">
        <f t="shared" si="94"/>
        <v>1.495,00</v>
      </c>
      <c r="X267" s="35" t="str">
        <f t="shared" si="95"/>
        <v>929,60</v>
      </c>
      <c r="Y267" s="35" t="str">
        <f t="shared" si="96"/>
        <v>149,50</v>
      </c>
      <c r="Z267" s="35" t="str">
        <f t="shared" si="97"/>
        <v>92,96</v>
      </c>
      <c r="AA267" s="35" t="str">
        <f t="shared" si="98"/>
        <v>2.424,60</v>
      </c>
      <c r="AB267" s="35" t="str">
        <f t="shared" si="99"/>
        <v>242,46</v>
      </c>
    </row>
    <row r="268" spans="1:28" ht="16" x14ac:dyDescent="0.25">
      <c r="A268" s="24">
        <v>267</v>
      </c>
      <c r="B268" s="24" t="s">
        <v>183</v>
      </c>
      <c r="C268" s="24" t="s">
        <v>148</v>
      </c>
      <c r="D268" s="116">
        <v>558</v>
      </c>
      <c r="E268" s="116">
        <v>160.1</v>
      </c>
      <c r="F268" s="108">
        <f t="shared" si="80"/>
        <v>718.1</v>
      </c>
      <c r="G268" s="116">
        <v>0</v>
      </c>
      <c r="H268" s="116">
        <v>0</v>
      </c>
      <c r="I268" s="28">
        <f t="shared" si="81"/>
        <v>0</v>
      </c>
      <c r="J268" s="28">
        <f t="shared" si="82"/>
        <v>558</v>
      </c>
      <c r="K268" s="28">
        <f t="shared" si="83"/>
        <v>160.1</v>
      </c>
      <c r="L268" s="28">
        <f t="shared" si="84"/>
        <v>55.800000000000004</v>
      </c>
      <c r="M268" s="28">
        <f t="shared" si="85"/>
        <v>16.010000000000002</v>
      </c>
      <c r="N268" s="107">
        <f t="shared" si="86"/>
        <v>718.1</v>
      </c>
      <c r="O268" s="107">
        <f t="shared" si="87"/>
        <v>71.81</v>
      </c>
      <c r="P268" s="9"/>
      <c r="Q268" s="35" t="str">
        <f t="shared" si="88"/>
        <v>558,00</v>
      </c>
      <c r="R268" s="35" t="str">
        <f t="shared" si="89"/>
        <v>160,10</v>
      </c>
      <c r="S268" s="35" t="str">
        <f t="shared" si="90"/>
        <v>718,10</v>
      </c>
      <c r="T268" s="35" t="str">
        <f t="shared" si="91"/>
        <v>,00</v>
      </c>
      <c r="U268" s="35" t="str">
        <f t="shared" si="92"/>
        <v>,00</v>
      </c>
      <c r="V268" s="35" t="str">
        <f t="shared" si="93"/>
        <v>,00</v>
      </c>
      <c r="W268" s="35" t="str">
        <f t="shared" si="94"/>
        <v>558,00</v>
      </c>
      <c r="X268" s="35" t="str">
        <f t="shared" si="95"/>
        <v>160,10</v>
      </c>
      <c r="Y268" s="35" t="str">
        <f t="shared" si="96"/>
        <v>55,80</v>
      </c>
      <c r="Z268" s="35" t="str">
        <f t="shared" si="97"/>
        <v>16,01</v>
      </c>
      <c r="AA268" s="35" t="str">
        <f t="shared" si="98"/>
        <v>718,10</v>
      </c>
      <c r="AB268" s="35" t="str">
        <f t="shared" si="99"/>
        <v>71,81</v>
      </c>
    </row>
    <row r="269" spans="1:28" ht="16" x14ac:dyDescent="0.25">
      <c r="A269" s="24">
        <v>268</v>
      </c>
      <c r="B269" s="24" t="s">
        <v>480</v>
      </c>
      <c r="C269" s="24" t="s">
        <v>284</v>
      </c>
      <c r="D269" s="116">
        <v>858.4</v>
      </c>
      <c r="E269" s="116">
        <v>5745.5</v>
      </c>
      <c r="F269" s="108">
        <f t="shared" si="80"/>
        <v>6603.9</v>
      </c>
      <c r="G269" s="116">
        <v>0</v>
      </c>
      <c r="H269" s="116">
        <v>0</v>
      </c>
      <c r="I269" s="28">
        <f t="shared" si="81"/>
        <v>0</v>
      </c>
      <c r="J269" s="28">
        <f t="shared" si="82"/>
        <v>858.4</v>
      </c>
      <c r="K269" s="28">
        <f t="shared" si="83"/>
        <v>5745.5</v>
      </c>
      <c r="L269" s="28">
        <f t="shared" si="84"/>
        <v>85.84</v>
      </c>
      <c r="M269" s="28">
        <f t="shared" si="85"/>
        <v>574.55000000000007</v>
      </c>
      <c r="N269" s="107">
        <f t="shared" si="86"/>
        <v>6603.9</v>
      </c>
      <c r="O269" s="107">
        <f t="shared" si="87"/>
        <v>660.39</v>
      </c>
      <c r="P269" s="9"/>
      <c r="Q269" s="35" t="str">
        <f t="shared" si="88"/>
        <v>858,40</v>
      </c>
      <c r="R269" s="35" t="str">
        <f t="shared" si="89"/>
        <v>5.745,50</v>
      </c>
      <c r="S269" s="35" t="str">
        <f t="shared" si="90"/>
        <v>6.603,90</v>
      </c>
      <c r="T269" s="35" t="str">
        <f t="shared" si="91"/>
        <v>,00</v>
      </c>
      <c r="U269" s="35" t="str">
        <f t="shared" si="92"/>
        <v>,00</v>
      </c>
      <c r="V269" s="35" t="str">
        <f t="shared" si="93"/>
        <v>,00</v>
      </c>
      <c r="W269" s="35" t="str">
        <f t="shared" si="94"/>
        <v>858,40</v>
      </c>
      <c r="X269" s="35" t="str">
        <f t="shared" si="95"/>
        <v>5.745,50</v>
      </c>
      <c r="Y269" s="35" t="str">
        <f t="shared" si="96"/>
        <v>85,84</v>
      </c>
      <c r="Z269" s="35" t="str">
        <f t="shared" si="97"/>
        <v>574,55</v>
      </c>
      <c r="AA269" s="35" t="str">
        <f t="shared" si="98"/>
        <v>6.603,90</v>
      </c>
      <c r="AB269" s="35" t="str">
        <f t="shared" si="99"/>
        <v>660,39</v>
      </c>
    </row>
    <row r="270" spans="1:28" ht="16" x14ac:dyDescent="0.25">
      <c r="A270" s="24">
        <v>269</v>
      </c>
      <c r="B270" s="24" t="s">
        <v>34</v>
      </c>
      <c r="C270" s="24" t="s">
        <v>284</v>
      </c>
      <c r="D270" s="116">
        <v>1794.8</v>
      </c>
      <c r="E270" s="116">
        <v>3764.6</v>
      </c>
      <c r="F270" s="108">
        <f t="shared" si="80"/>
        <v>5559.4</v>
      </c>
      <c r="G270" s="116">
        <v>17.7</v>
      </c>
      <c r="H270" s="116">
        <v>314</v>
      </c>
      <c r="I270" s="28">
        <f t="shared" si="81"/>
        <v>331.7</v>
      </c>
      <c r="J270" s="28">
        <f t="shared" si="82"/>
        <v>1777.1</v>
      </c>
      <c r="K270" s="28">
        <f t="shared" si="83"/>
        <v>3450.6</v>
      </c>
      <c r="L270" s="28">
        <f t="shared" si="84"/>
        <v>177.71</v>
      </c>
      <c r="M270" s="28">
        <f t="shared" si="85"/>
        <v>345.06</v>
      </c>
      <c r="N270" s="107">
        <f t="shared" si="86"/>
        <v>5227.7</v>
      </c>
      <c r="O270" s="107">
        <f t="shared" si="87"/>
        <v>522.77</v>
      </c>
      <c r="P270" s="9"/>
      <c r="Q270" s="35" t="str">
        <f t="shared" si="88"/>
        <v>1.794,80</v>
      </c>
      <c r="R270" s="35" t="str">
        <f t="shared" si="89"/>
        <v>3.764,60</v>
      </c>
      <c r="S270" s="35" t="str">
        <f t="shared" si="90"/>
        <v>5.559,40</v>
      </c>
      <c r="T270" s="35" t="str">
        <f t="shared" si="91"/>
        <v>17,70</v>
      </c>
      <c r="U270" s="35" t="str">
        <f t="shared" si="92"/>
        <v>314,00</v>
      </c>
      <c r="V270" s="35" t="str">
        <f t="shared" si="93"/>
        <v>331,70</v>
      </c>
      <c r="W270" s="35" t="str">
        <f t="shared" si="94"/>
        <v>1.777,10</v>
      </c>
      <c r="X270" s="35" t="str">
        <f t="shared" si="95"/>
        <v>3.450,60</v>
      </c>
      <c r="Y270" s="35" t="str">
        <f t="shared" si="96"/>
        <v>177,71</v>
      </c>
      <c r="Z270" s="35" t="str">
        <f t="shared" si="97"/>
        <v>345,06</v>
      </c>
      <c r="AA270" s="35" t="str">
        <f t="shared" si="98"/>
        <v>5.227,70</v>
      </c>
      <c r="AB270" s="35" t="str">
        <f t="shared" si="99"/>
        <v>522,77</v>
      </c>
    </row>
    <row r="271" spans="1:28" ht="16" x14ac:dyDescent="0.25">
      <c r="A271" s="24">
        <v>270</v>
      </c>
      <c r="B271" s="24" t="s">
        <v>2262</v>
      </c>
      <c r="C271" s="24" t="s">
        <v>284</v>
      </c>
      <c r="D271" s="116">
        <v>415.5</v>
      </c>
      <c r="E271" s="116">
        <v>299.60000000000002</v>
      </c>
      <c r="F271" s="108">
        <f t="shared" si="80"/>
        <v>715.1</v>
      </c>
      <c r="G271" s="116">
        <v>0</v>
      </c>
      <c r="H271" s="116">
        <v>0</v>
      </c>
      <c r="I271" s="28">
        <f t="shared" si="81"/>
        <v>0</v>
      </c>
      <c r="J271" s="28">
        <f t="shared" si="82"/>
        <v>415.5</v>
      </c>
      <c r="K271" s="28">
        <f t="shared" si="83"/>
        <v>299.60000000000002</v>
      </c>
      <c r="L271" s="28">
        <f t="shared" si="84"/>
        <v>41.550000000000004</v>
      </c>
      <c r="M271" s="28">
        <f t="shared" si="85"/>
        <v>29.960000000000004</v>
      </c>
      <c r="N271" s="107">
        <f t="shared" si="86"/>
        <v>715.1</v>
      </c>
      <c r="O271" s="107">
        <f t="shared" si="87"/>
        <v>71.510000000000005</v>
      </c>
      <c r="P271" s="9"/>
      <c r="Q271" s="35" t="str">
        <f t="shared" si="88"/>
        <v>415,50</v>
      </c>
      <c r="R271" s="35" t="str">
        <f t="shared" si="89"/>
        <v>299,60</v>
      </c>
      <c r="S271" s="35" t="str">
        <f t="shared" si="90"/>
        <v>715,10</v>
      </c>
      <c r="T271" s="35" t="str">
        <f t="shared" si="91"/>
        <v>,00</v>
      </c>
      <c r="U271" s="35" t="str">
        <f t="shared" si="92"/>
        <v>,00</v>
      </c>
      <c r="V271" s="35" t="str">
        <f t="shared" si="93"/>
        <v>,00</v>
      </c>
      <c r="W271" s="35" t="str">
        <f t="shared" si="94"/>
        <v>415,50</v>
      </c>
      <c r="X271" s="35" t="str">
        <f t="shared" si="95"/>
        <v>299,60</v>
      </c>
      <c r="Y271" s="35" t="str">
        <f t="shared" si="96"/>
        <v>41,55</v>
      </c>
      <c r="Z271" s="35" t="str">
        <f t="shared" si="97"/>
        <v>29,96</v>
      </c>
      <c r="AA271" s="35" t="str">
        <f t="shared" si="98"/>
        <v>715,10</v>
      </c>
      <c r="AB271" s="35" t="str">
        <f t="shared" si="99"/>
        <v>71,51</v>
      </c>
    </row>
    <row r="272" spans="1:28" ht="16" x14ac:dyDescent="0.25">
      <c r="A272" s="24">
        <v>271</v>
      </c>
      <c r="B272" s="24" t="s">
        <v>2181</v>
      </c>
      <c r="C272" s="24" t="s">
        <v>284</v>
      </c>
      <c r="D272" s="116">
        <v>402.8</v>
      </c>
      <c r="E272" s="116">
        <v>142.1</v>
      </c>
      <c r="F272" s="108">
        <f t="shared" si="80"/>
        <v>544.9</v>
      </c>
      <c r="G272" s="116">
        <v>0</v>
      </c>
      <c r="H272" s="116">
        <v>0</v>
      </c>
      <c r="I272" s="28">
        <f t="shared" ref="I272:I284" si="100">G272+H272</f>
        <v>0</v>
      </c>
      <c r="J272" s="28">
        <f t="shared" ref="J272:J284" si="101">D272-G272</f>
        <v>402.8</v>
      </c>
      <c r="K272" s="28">
        <f t="shared" ref="K272:K284" si="102">E272-H272</f>
        <v>142.1</v>
      </c>
      <c r="L272" s="28">
        <f t="shared" ref="L272:L284" si="103">J272*0.1</f>
        <v>40.28</v>
      </c>
      <c r="M272" s="28">
        <f t="shared" ref="M272:M284" si="104">K272*0.1</f>
        <v>14.21</v>
      </c>
      <c r="N272" s="107">
        <f t="shared" ref="N272:N284" si="105">F272-I272</f>
        <v>544.9</v>
      </c>
      <c r="O272" s="107">
        <f t="shared" ref="O272:O284" si="106">N272*0.1</f>
        <v>54.49</v>
      </c>
      <c r="P272" s="9"/>
      <c r="Q272" s="35" t="str">
        <f t="shared" ref="Q272:Q284" si="107">TEXT(D272,"#.###,00")</f>
        <v>402,80</v>
      </c>
      <c r="R272" s="35" t="str">
        <f t="shared" ref="R272:R284" si="108">TEXT(E272,"#.###,00")</f>
        <v>142,10</v>
      </c>
      <c r="S272" s="35" t="str">
        <f t="shared" ref="S272:S284" si="109">TEXT(F272,"#.###,00")</f>
        <v>544,90</v>
      </c>
      <c r="T272" s="35" t="str">
        <f t="shared" ref="T272:T284" si="110">TEXT(G272,"#.###,00")</f>
        <v>,00</v>
      </c>
      <c r="U272" s="35" t="str">
        <f t="shared" ref="U272:U284" si="111">TEXT(H272,"#.###,00")</f>
        <v>,00</v>
      </c>
      <c r="V272" s="35" t="str">
        <f t="shared" ref="V272:V284" si="112">TEXT(I272,"#.###,00")</f>
        <v>,00</v>
      </c>
      <c r="W272" s="35" t="str">
        <f t="shared" ref="W272:W284" si="113">TEXT(J272,"#.###,00")</f>
        <v>402,80</v>
      </c>
      <c r="X272" s="35" t="str">
        <f t="shared" ref="X272:X284" si="114">TEXT(K272,"#.###,00")</f>
        <v>142,10</v>
      </c>
      <c r="Y272" s="35" t="str">
        <f t="shared" ref="Y272:Y284" si="115">TEXT(L272,"#.###,00")</f>
        <v>40,28</v>
      </c>
      <c r="Z272" s="35" t="str">
        <f t="shared" ref="Z272:Z284" si="116">TEXT(M272,"#.###,00")</f>
        <v>14,21</v>
      </c>
      <c r="AA272" s="35" t="str">
        <f t="shared" ref="AA272:AA284" si="117">TEXT(N272,"#.###,00")</f>
        <v>544,90</v>
      </c>
      <c r="AB272" s="35" t="str">
        <f t="shared" ref="AB272:AB284" si="118">TEXT(O272,"#.###,00")</f>
        <v>54,49</v>
      </c>
    </row>
    <row r="273" spans="1:28" ht="16" x14ac:dyDescent="0.25">
      <c r="A273" s="24">
        <v>272</v>
      </c>
      <c r="B273" s="24" t="s">
        <v>692</v>
      </c>
      <c r="C273" s="24" t="s">
        <v>284</v>
      </c>
      <c r="D273" s="116">
        <v>365.2</v>
      </c>
      <c r="E273" s="116">
        <v>100.1</v>
      </c>
      <c r="F273" s="108">
        <f t="shared" si="80"/>
        <v>465.29999999999995</v>
      </c>
      <c r="G273" s="116">
        <v>0</v>
      </c>
      <c r="H273" s="116">
        <v>0</v>
      </c>
      <c r="I273" s="28">
        <f t="shared" si="100"/>
        <v>0</v>
      </c>
      <c r="J273" s="28">
        <f t="shared" si="101"/>
        <v>365.2</v>
      </c>
      <c r="K273" s="28">
        <f t="shared" si="102"/>
        <v>100.1</v>
      </c>
      <c r="L273" s="28">
        <f t="shared" si="103"/>
        <v>36.520000000000003</v>
      </c>
      <c r="M273" s="28">
        <f t="shared" si="104"/>
        <v>10.01</v>
      </c>
      <c r="N273" s="107">
        <f t="shared" si="105"/>
        <v>465.29999999999995</v>
      </c>
      <c r="O273" s="107">
        <f t="shared" si="106"/>
        <v>46.53</v>
      </c>
      <c r="P273" s="9"/>
      <c r="Q273" s="35" t="str">
        <f t="shared" si="107"/>
        <v>365,20</v>
      </c>
      <c r="R273" s="35" t="str">
        <f t="shared" si="108"/>
        <v>100,10</v>
      </c>
      <c r="S273" s="35" t="str">
        <f t="shared" si="109"/>
        <v>465,30</v>
      </c>
      <c r="T273" s="35" t="str">
        <f t="shared" si="110"/>
        <v>,00</v>
      </c>
      <c r="U273" s="35" t="str">
        <f t="shared" si="111"/>
        <v>,00</v>
      </c>
      <c r="V273" s="35" t="str">
        <f t="shared" si="112"/>
        <v>,00</v>
      </c>
      <c r="W273" s="35" t="str">
        <f t="shared" si="113"/>
        <v>365,20</v>
      </c>
      <c r="X273" s="35" t="str">
        <f t="shared" si="114"/>
        <v>100,10</v>
      </c>
      <c r="Y273" s="35" t="str">
        <f t="shared" si="115"/>
        <v>36,52</v>
      </c>
      <c r="Z273" s="35" t="str">
        <f t="shared" si="116"/>
        <v>10,01</v>
      </c>
      <c r="AA273" s="35" t="str">
        <f t="shared" si="117"/>
        <v>465,30</v>
      </c>
      <c r="AB273" s="35" t="str">
        <f t="shared" si="118"/>
        <v>46,53</v>
      </c>
    </row>
    <row r="274" spans="1:28" ht="16" x14ac:dyDescent="0.25">
      <c r="A274" s="24">
        <v>273</v>
      </c>
      <c r="B274" s="24" t="s">
        <v>2259</v>
      </c>
      <c r="C274" s="24" t="s">
        <v>284</v>
      </c>
      <c r="D274" s="116">
        <v>45</v>
      </c>
      <c r="E274" s="116">
        <v>402.8</v>
      </c>
      <c r="F274" s="108">
        <f t="shared" si="80"/>
        <v>447.8</v>
      </c>
      <c r="G274" s="116">
        <v>0</v>
      </c>
      <c r="H274" s="116">
        <v>0</v>
      </c>
      <c r="I274" s="28">
        <f t="shared" si="100"/>
        <v>0</v>
      </c>
      <c r="J274" s="28">
        <f t="shared" si="101"/>
        <v>45</v>
      </c>
      <c r="K274" s="28">
        <f t="shared" si="102"/>
        <v>402.8</v>
      </c>
      <c r="L274" s="28">
        <f t="shared" si="103"/>
        <v>4.5</v>
      </c>
      <c r="M274" s="28">
        <f t="shared" si="104"/>
        <v>40.28</v>
      </c>
      <c r="N274" s="107">
        <f t="shared" si="105"/>
        <v>447.8</v>
      </c>
      <c r="O274" s="107">
        <f t="shared" si="106"/>
        <v>44.78</v>
      </c>
      <c r="P274" s="9"/>
      <c r="Q274" s="35" t="str">
        <f t="shared" si="107"/>
        <v>45,00</v>
      </c>
      <c r="R274" s="35" t="str">
        <f t="shared" si="108"/>
        <v>402,80</v>
      </c>
      <c r="S274" s="35" t="str">
        <f t="shared" si="109"/>
        <v>447,80</v>
      </c>
      <c r="T274" s="35" t="str">
        <f t="shared" si="110"/>
        <v>,00</v>
      </c>
      <c r="U274" s="35" t="str">
        <f t="shared" si="111"/>
        <v>,00</v>
      </c>
      <c r="V274" s="35" t="str">
        <f t="shared" si="112"/>
        <v>,00</v>
      </c>
      <c r="W274" s="35" t="str">
        <f t="shared" si="113"/>
        <v>45,00</v>
      </c>
      <c r="X274" s="35" t="str">
        <f t="shared" si="114"/>
        <v>402,80</v>
      </c>
      <c r="Y274" s="35" t="str">
        <f t="shared" si="115"/>
        <v>4,50</v>
      </c>
      <c r="Z274" s="35" t="str">
        <f t="shared" si="116"/>
        <v>40,28</v>
      </c>
      <c r="AA274" s="35" t="str">
        <f t="shared" si="117"/>
        <v>447,80</v>
      </c>
      <c r="AB274" s="35" t="str">
        <f t="shared" si="118"/>
        <v>44,78</v>
      </c>
    </row>
    <row r="275" spans="1:28" ht="16" x14ac:dyDescent="0.25">
      <c r="A275" s="24">
        <v>274</v>
      </c>
      <c r="B275" s="24" t="s">
        <v>2237</v>
      </c>
      <c r="C275" s="24" t="s">
        <v>284</v>
      </c>
      <c r="D275" s="116">
        <v>0.3</v>
      </c>
      <c r="E275" s="116">
        <v>2017.4</v>
      </c>
      <c r="F275" s="108">
        <f t="shared" si="80"/>
        <v>2017.7</v>
      </c>
      <c r="G275" s="116">
        <v>146.19999999999999</v>
      </c>
      <c r="H275" s="116">
        <v>1448.7</v>
      </c>
      <c r="I275" s="28">
        <f t="shared" si="100"/>
        <v>1594.9</v>
      </c>
      <c r="J275" s="28">
        <f t="shared" si="101"/>
        <v>-145.89999999999998</v>
      </c>
      <c r="K275" s="28">
        <f t="shared" si="102"/>
        <v>568.70000000000005</v>
      </c>
      <c r="L275" s="28">
        <f t="shared" si="103"/>
        <v>-14.589999999999998</v>
      </c>
      <c r="M275" s="28">
        <f t="shared" si="104"/>
        <v>56.870000000000005</v>
      </c>
      <c r="N275" s="107">
        <f t="shared" si="105"/>
        <v>422.79999999999995</v>
      </c>
      <c r="O275" s="107">
        <f t="shared" si="106"/>
        <v>42.28</v>
      </c>
      <c r="P275" s="9"/>
      <c r="Q275" s="35" t="str">
        <f t="shared" si="107"/>
        <v>,30</v>
      </c>
      <c r="R275" s="35" t="str">
        <f t="shared" si="108"/>
        <v>2.017,40</v>
      </c>
      <c r="S275" s="35" t="str">
        <f t="shared" si="109"/>
        <v>2.017,70</v>
      </c>
      <c r="T275" s="35" t="str">
        <f t="shared" si="110"/>
        <v>146,20</v>
      </c>
      <c r="U275" s="35" t="str">
        <f t="shared" si="111"/>
        <v>1.448,70</v>
      </c>
      <c r="V275" s="35" t="str">
        <f t="shared" si="112"/>
        <v>1.594,90</v>
      </c>
      <c r="W275" s="35" t="str">
        <f t="shared" si="113"/>
        <v>-145,90</v>
      </c>
      <c r="X275" s="35" t="str">
        <f t="shared" si="114"/>
        <v>568,70</v>
      </c>
      <c r="Y275" s="35" t="str">
        <f t="shared" si="115"/>
        <v>-14,59</v>
      </c>
      <c r="Z275" s="35" t="str">
        <f t="shared" si="116"/>
        <v>56,87</v>
      </c>
      <c r="AA275" s="35" t="str">
        <f t="shared" si="117"/>
        <v>422,80</v>
      </c>
      <c r="AB275" s="35" t="str">
        <f t="shared" si="118"/>
        <v>42,28</v>
      </c>
    </row>
    <row r="276" spans="1:28" ht="16" x14ac:dyDescent="0.25">
      <c r="A276" s="24">
        <v>275</v>
      </c>
      <c r="B276" s="24" t="s">
        <v>387</v>
      </c>
      <c r="C276" s="24" t="s">
        <v>284</v>
      </c>
      <c r="D276" s="116">
        <v>241.9</v>
      </c>
      <c r="E276" s="116">
        <v>169.8</v>
      </c>
      <c r="F276" s="108">
        <f t="shared" si="80"/>
        <v>411.70000000000005</v>
      </c>
      <c r="G276" s="116">
        <v>0</v>
      </c>
      <c r="H276" s="116">
        <v>0</v>
      </c>
      <c r="I276" s="28">
        <f t="shared" si="100"/>
        <v>0</v>
      </c>
      <c r="J276" s="28">
        <f t="shared" si="101"/>
        <v>241.9</v>
      </c>
      <c r="K276" s="28">
        <f t="shared" si="102"/>
        <v>169.8</v>
      </c>
      <c r="L276" s="28">
        <f t="shared" si="103"/>
        <v>24.19</v>
      </c>
      <c r="M276" s="28">
        <f t="shared" si="104"/>
        <v>16.98</v>
      </c>
      <c r="N276" s="107">
        <f t="shared" si="105"/>
        <v>411.70000000000005</v>
      </c>
      <c r="O276" s="107">
        <f t="shared" si="106"/>
        <v>41.170000000000009</v>
      </c>
      <c r="P276" s="9"/>
      <c r="Q276" s="35" t="str">
        <f t="shared" si="107"/>
        <v>241,90</v>
      </c>
      <c r="R276" s="35" t="str">
        <f t="shared" si="108"/>
        <v>169,80</v>
      </c>
      <c r="S276" s="35" t="str">
        <f t="shared" si="109"/>
        <v>411,70</v>
      </c>
      <c r="T276" s="35" t="str">
        <f t="shared" si="110"/>
        <v>,00</v>
      </c>
      <c r="U276" s="35" t="str">
        <f t="shared" si="111"/>
        <v>,00</v>
      </c>
      <c r="V276" s="35" t="str">
        <f t="shared" si="112"/>
        <v>,00</v>
      </c>
      <c r="W276" s="35" t="str">
        <f t="shared" si="113"/>
        <v>241,90</v>
      </c>
      <c r="X276" s="35" t="str">
        <f t="shared" si="114"/>
        <v>169,80</v>
      </c>
      <c r="Y276" s="35" t="str">
        <f t="shared" si="115"/>
        <v>24,19</v>
      </c>
      <c r="Z276" s="35" t="str">
        <f t="shared" si="116"/>
        <v>16,98</v>
      </c>
      <c r="AA276" s="35" t="str">
        <f t="shared" si="117"/>
        <v>411,70</v>
      </c>
      <c r="AB276" s="35" t="str">
        <f t="shared" si="118"/>
        <v>41,17</v>
      </c>
    </row>
    <row r="277" spans="1:28" ht="16" x14ac:dyDescent="0.25">
      <c r="A277" s="24">
        <v>276</v>
      </c>
      <c r="B277" s="24" t="s">
        <v>119</v>
      </c>
      <c r="C277" s="24" t="s">
        <v>149</v>
      </c>
      <c r="D277" s="116">
        <v>6545.41</v>
      </c>
      <c r="E277" s="116">
        <v>12614.669999999998</v>
      </c>
      <c r="F277" s="108">
        <f t="shared" si="80"/>
        <v>19160.079999999998</v>
      </c>
      <c r="G277" s="116">
        <v>207.99999999999997</v>
      </c>
      <c r="H277" s="116">
        <v>2087.8399999999997</v>
      </c>
      <c r="I277" s="28">
        <f t="shared" si="100"/>
        <v>2295.8399999999997</v>
      </c>
      <c r="J277" s="28">
        <f t="shared" si="101"/>
        <v>6337.41</v>
      </c>
      <c r="K277" s="28">
        <f t="shared" si="102"/>
        <v>10526.829999999998</v>
      </c>
      <c r="L277" s="28">
        <f t="shared" si="103"/>
        <v>633.74099999999999</v>
      </c>
      <c r="M277" s="28">
        <f t="shared" si="104"/>
        <v>1052.6829999999998</v>
      </c>
      <c r="N277" s="107">
        <f t="shared" si="105"/>
        <v>16864.239999999998</v>
      </c>
      <c r="O277" s="107">
        <f t="shared" si="106"/>
        <v>1686.424</v>
      </c>
      <c r="P277" s="9"/>
      <c r="Q277" s="35" t="str">
        <f t="shared" si="107"/>
        <v>6.545,41</v>
      </c>
      <c r="R277" s="35" t="str">
        <f t="shared" si="108"/>
        <v>12.614,67</v>
      </c>
      <c r="S277" s="35" t="str">
        <f t="shared" si="109"/>
        <v>19.160,08</v>
      </c>
      <c r="T277" s="35" t="str">
        <f t="shared" si="110"/>
        <v>208,00</v>
      </c>
      <c r="U277" s="35" t="str">
        <f t="shared" si="111"/>
        <v>2.087,84</v>
      </c>
      <c r="V277" s="35" t="str">
        <f t="shared" si="112"/>
        <v>2.295,84</v>
      </c>
      <c r="W277" s="35" t="str">
        <f t="shared" si="113"/>
        <v>6.337,41</v>
      </c>
      <c r="X277" s="35" t="str">
        <f t="shared" si="114"/>
        <v>10.526,83</v>
      </c>
      <c r="Y277" s="35" t="str">
        <f t="shared" si="115"/>
        <v>633,74</v>
      </c>
      <c r="Z277" s="35" t="str">
        <f t="shared" si="116"/>
        <v>1.052,68</v>
      </c>
      <c r="AA277" s="35" t="str">
        <f t="shared" si="117"/>
        <v>16.864,24</v>
      </c>
      <c r="AB277" s="35" t="str">
        <f t="shared" si="118"/>
        <v>1.686,42</v>
      </c>
    </row>
    <row r="278" spans="1:28" ht="16" x14ac:dyDescent="0.25">
      <c r="A278" s="24">
        <v>277</v>
      </c>
      <c r="B278" s="24" t="s">
        <v>34</v>
      </c>
      <c r="C278" s="24" t="s">
        <v>149</v>
      </c>
      <c r="D278" s="116">
        <v>3627.73</v>
      </c>
      <c r="E278" s="116">
        <v>11585.02</v>
      </c>
      <c r="F278" s="108">
        <f t="shared" si="80"/>
        <v>15212.75</v>
      </c>
      <c r="G278" s="116">
        <v>24.799999999999997</v>
      </c>
      <c r="H278" s="116">
        <v>1934.2</v>
      </c>
      <c r="I278" s="28">
        <f t="shared" si="100"/>
        <v>1959</v>
      </c>
      <c r="J278" s="28">
        <f t="shared" si="101"/>
        <v>3602.93</v>
      </c>
      <c r="K278" s="28">
        <f t="shared" si="102"/>
        <v>9650.82</v>
      </c>
      <c r="L278" s="28">
        <f t="shared" si="103"/>
        <v>360.29300000000001</v>
      </c>
      <c r="M278" s="28">
        <f t="shared" si="104"/>
        <v>965.08199999999999</v>
      </c>
      <c r="N278" s="107">
        <f t="shared" si="105"/>
        <v>13253.75</v>
      </c>
      <c r="O278" s="107">
        <f t="shared" si="106"/>
        <v>1325.375</v>
      </c>
      <c r="P278" s="9"/>
      <c r="Q278" s="35" t="str">
        <f t="shared" si="107"/>
        <v>3.627,73</v>
      </c>
      <c r="R278" s="35" t="str">
        <f t="shared" si="108"/>
        <v>11.585,02</v>
      </c>
      <c r="S278" s="35" t="str">
        <f t="shared" si="109"/>
        <v>15.212,75</v>
      </c>
      <c r="T278" s="35" t="str">
        <f t="shared" si="110"/>
        <v>24,80</v>
      </c>
      <c r="U278" s="35" t="str">
        <f t="shared" si="111"/>
        <v>1.934,20</v>
      </c>
      <c r="V278" s="35" t="str">
        <f t="shared" si="112"/>
        <v>1.959,00</v>
      </c>
      <c r="W278" s="35" t="str">
        <f t="shared" si="113"/>
        <v>3.602,93</v>
      </c>
      <c r="X278" s="35" t="str">
        <f t="shared" si="114"/>
        <v>9.650,82</v>
      </c>
      <c r="Y278" s="35" t="str">
        <f t="shared" si="115"/>
        <v>360,29</v>
      </c>
      <c r="Z278" s="35" t="str">
        <f t="shared" si="116"/>
        <v>965,08</v>
      </c>
      <c r="AA278" s="35" t="str">
        <f t="shared" si="117"/>
        <v>13.253,75</v>
      </c>
      <c r="AB278" s="35" t="str">
        <f t="shared" si="118"/>
        <v>1.325,38</v>
      </c>
    </row>
    <row r="279" spans="1:28" ht="16" x14ac:dyDescent="0.25">
      <c r="A279" s="24">
        <v>278</v>
      </c>
      <c r="B279" s="24" t="s">
        <v>346</v>
      </c>
      <c r="C279" s="24" t="s">
        <v>149</v>
      </c>
      <c r="D279" s="116">
        <v>1378.6000000000001</v>
      </c>
      <c r="E279" s="116">
        <v>1927.9</v>
      </c>
      <c r="F279" s="108">
        <f t="shared" si="80"/>
        <v>3306.5</v>
      </c>
      <c r="G279" s="116">
        <v>0</v>
      </c>
      <c r="H279" s="116">
        <v>0</v>
      </c>
      <c r="I279" s="28">
        <f t="shared" si="100"/>
        <v>0</v>
      </c>
      <c r="J279" s="28">
        <f t="shared" si="101"/>
        <v>1378.6000000000001</v>
      </c>
      <c r="K279" s="28">
        <f t="shared" si="102"/>
        <v>1927.9</v>
      </c>
      <c r="L279" s="28">
        <f t="shared" si="103"/>
        <v>137.86000000000001</v>
      </c>
      <c r="M279" s="28">
        <f t="shared" si="104"/>
        <v>192.79000000000002</v>
      </c>
      <c r="N279" s="107">
        <f t="shared" si="105"/>
        <v>3306.5</v>
      </c>
      <c r="O279" s="107">
        <f t="shared" si="106"/>
        <v>330.65000000000003</v>
      </c>
      <c r="P279" s="9"/>
      <c r="Q279" s="35" t="str">
        <f t="shared" si="107"/>
        <v>1.378,60</v>
      </c>
      <c r="R279" s="35" t="str">
        <f t="shared" si="108"/>
        <v>1.927,90</v>
      </c>
      <c r="S279" s="35" t="str">
        <f t="shared" si="109"/>
        <v>3.306,50</v>
      </c>
      <c r="T279" s="35" t="str">
        <f t="shared" si="110"/>
        <v>,00</v>
      </c>
      <c r="U279" s="35" t="str">
        <f t="shared" si="111"/>
        <v>,00</v>
      </c>
      <c r="V279" s="35" t="str">
        <f t="shared" si="112"/>
        <v>,00</v>
      </c>
      <c r="W279" s="35" t="str">
        <f t="shared" si="113"/>
        <v>1.378,60</v>
      </c>
      <c r="X279" s="35" t="str">
        <f t="shared" si="114"/>
        <v>1.927,90</v>
      </c>
      <c r="Y279" s="35" t="str">
        <f t="shared" si="115"/>
        <v>137,86</v>
      </c>
      <c r="Z279" s="35" t="str">
        <f t="shared" si="116"/>
        <v>192,79</v>
      </c>
      <c r="AA279" s="35" t="str">
        <f t="shared" si="117"/>
        <v>3.306,50</v>
      </c>
      <c r="AB279" s="35" t="str">
        <f t="shared" si="118"/>
        <v>330,65</v>
      </c>
    </row>
    <row r="280" spans="1:28" ht="16" x14ac:dyDescent="0.25">
      <c r="A280" s="24">
        <v>279</v>
      </c>
      <c r="B280" s="24" t="s">
        <v>2253</v>
      </c>
      <c r="C280" s="24" t="s">
        <v>149</v>
      </c>
      <c r="D280" s="116">
        <v>1265.3</v>
      </c>
      <c r="E280" s="116">
        <v>1860.6</v>
      </c>
      <c r="F280" s="108">
        <f t="shared" si="80"/>
        <v>3125.8999999999996</v>
      </c>
      <c r="G280" s="116">
        <v>0</v>
      </c>
      <c r="H280" s="116">
        <v>0</v>
      </c>
      <c r="I280" s="28">
        <f t="shared" si="100"/>
        <v>0</v>
      </c>
      <c r="J280" s="28">
        <f t="shared" si="101"/>
        <v>1265.3</v>
      </c>
      <c r="K280" s="28">
        <f t="shared" si="102"/>
        <v>1860.6</v>
      </c>
      <c r="L280" s="28">
        <f t="shared" si="103"/>
        <v>126.53</v>
      </c>
      <c r="M280" s="28">
        <f t="shared" si="104"/>
        <v>186.06</v>
      </c>
      <c r="N280" s="107">
        <f t="shared" si="105"/>
        <v>3125.8999999999996</v>
      </c>
      <c r="O280" s="107">
        <f t="shared" si="106"/>
        <v>312.58999999999997</v>
      </c>
      <c r="P280" s="9"/>
      <c r="Q280" s="35" t="str">
        <f t="shared" si="107"/>
        <v>1.265,30</v>
      </c>
      <c r="R280" s="35" t="str">
        <f t="shared" si="108"/>
        <v>1.860,60</v>
      </c>
      <c r="S280" s="35" t="str">
        <f t="shared" si="109"/>
        <v>3.125,90</v>
      </c>
      <c r="T280" s="35" t="str">
        <f t="shared" si="110"/>
        <v>,00</v>
      </c>
      <c r="U280" s="35" t="str">
        <f t="shared" si="111"/>
        <v>,00</v>
      </c>
      <c r="V280" s="35" t="str">
        <f t="shared" si="112"/>
        <v>,00</v>
      </c>
      <c r="W280" s="35" t="str">
        <f t="shared" si="113"/>
        <v>1.265,30</v>
      </c>
      <c r="X280" s="35" t="str">
        <f t="shared" si="114"/>
        <v>1.860,60</v>
      </c>
      <c r="Y280" s="35" t="str">
        <f t="shared" si="115"/>
        <v>126,53</v>
      </c>
      <c r="Z280" s="35" t="str">
        <f t="shared" si="116"/>
        <v>186,06</v>
      </c>
      <c r="AA280" s="35" t="str">
        <f t="shared" si="117"/>
        <v>3.125,90</v>
      </c>
      <c r="AB280" s="35" t="str">
        <f t="shared" si="118"/>
        <v>312,59</v>
      </c>
    </row>
    <row r="281" spans="1:28" ht="16" x14ac:dyDescent="0.25">
      <c r="A281" s="24">
        <v>280</v>
      </c>
      <c r="B281" s="24" t="s">
        <v>693</v>
      </c>
      <c r="C281" s="24" t="s">
        <v>149</v>
      </c>
      <c r="D281" s="116">
        <v>834.5</v>
      </c>
      <c r="E281" s="116">
        <v>1471.7</v>
      </c>
      <c r="F281" s="108">
        <f t="shared" si="80"/>
        <v>2306.1999999999998</v>
      </c>
      <c r="G281" s="116">
        <v>3.1</v>
      </c>
      <c r="H281" s="116">
        <v>0</v>
      </c>
      <c r="I281" s="28">
        <f t="shared" si="100"/>
        <v>3.1</v>
      </c>
      <c r="J281" s="28">
        <f t="shared" si="101"/>
        <v>831.4</v>
      </c>
      <c r="K281" s="28">
        <f t="shared" si="102"/>
        <v>1471.7</v>
      </c>
      <c r="L281" s="28">
        <f t="shared" si="103"/>
        <v>83.14</v>
      </c>
      <c r="M281" s="28">
        <f t="shared" si="104"/>
        <v>147.17000000000002</v>
      </c>
      <c r="N281" s="107">
        <f t="shared" si="105"/>
        <v>2303.1</v>
      </c>
      <c r="O281" s="107">
        <f t="shared" si="106"/>
        <v>230.31</v>
      </c>
      <c r="P281" s="9"/>
      <c r="Q281" s="35" t="str">
        <f t="shared" si="107"/>
        <v>834,50</v>
      </c>
      <c r="R281" s="35" t="str">
        <f t="shared" si="108"/>
        <v>1.471,70</v>
      </c>
      <c r="S281" s="35" t="str">
        <f t="shared" si="109"/>
        <v>2.306,20</v>
      </c>
      <c r="T281" s="35" t="str">
        <f t="shared" si="110"/>
        <v>3,10</v>
      </c>
      <c r="U281" s="35" t="str">
        <f t="shared" si="111"/>
        <v>,00</v>
      </c>
      <c r="V281" s="35" t="str">
        <f t="shared" si="112"/>
        <v>3,10</v>
      </c>
      <c r="W281" s="35" t="str">
        <f t="shared" si="113"/>
        <v>831,40</v>
      </c>
      <c r="X281" s="35" t="str">
        <f t="shared" si="114"/>
        <v>1.471,70</v>
      </c>
      <c r="Y281" s="35" t="str">
        <f t="shared" si="115"/>
        <v>83,14</v>
      </c>
      <c r="Z281" s="35" t="str">
        <f t="shared" si="116"/>
        <v>147,17</v>
      </c>
      <c r="AA281" s="35" t="str">
        <f t="shared" si="117"/>
        <v>2.303,10</v>
      </c>
      <c r="AB281" s="35" t="str">
        <f t="shared" si="118"/>
        <v>230,31</v>
      </c>
    </row>
    <row r="282" spans="1:28" ht="16" x14ac:dyDescent="0.25">
      <c r="A282" s="24">
        <v>281</v>
      </c>
      <c r="B282" s="24" t="s">
        <v>255</v>
      </c>
      <c r="C282" s="24" t="s">
        <v>149</v>
      </c>
      <c r="D282" s="116">
        <v>738.1</v>
      </c>
      <c r="E282" s="116">
        <v>1276.2</v>
      </c>
      <c r="F282" s="108">
        <f t="shared" si="80"/>
        <v>2014.3000000000002</v>
      </c>
      <c r="G282" s="116">
        <v>5.4</v>
      </c>
      <c r="H282" s="116">
        <v>103.3</v>
      </c>
      <c r="I282" s="28">
        <f t="shared" si="100"/>
        <v>108.7</v>
      </c>
      <c r="J282" s="28">
        <f t="shared" si="101"/>
        <v>732.7</v>
      </c>
      <c r="K282" s="28">
        <f t="shared" si="102"/>
        <v>1172.9000000000001</v>
      </c>
      <c r="L282" s="28">
        <f t="shared" si="103"/>
        <v>73.27000000000001</v>
      </c>
      <c r="M282" s="28">
        <f t="shared" si="104"/>
        <v>117.29000000000002</v>
      </c>
      <c r="N282" s="107">
        <f t="shared" si="105"/>
        <v>1905.6000000000001</v>
      </c>
      <c r="O282" s="107">
        <f t="shared" si="106"/>
        <v>190.56000000000003</v>
      </c>
      <c r="P282" s="9"/>
      <c r="Q282" s="35" t="str">
        <f t="shared" si="107"/>
        <v>738,10</v>
      </c>
      <c r="R282" s="35" t="str">
        <f t="shared" si="108"/>
        <v>1.276,20</v>
      </c>
      <c r="S282" s="35" t="str">
        <f t="shared" si="109"/>
        <v>2.014,30</v>
      </c>
      <c r="T282" s="35" t="str">
        <f t="shared" si="110"/>
        <v>5,40</v>
      </c>
      <c r="U282" s="35" t="str">
        <f t="shared" si="111"/>
        <v>103,30</v>
      </c>
      <c r="V282" s="35" t="str">
        <f t="shared" si="112"/>
        <v>108,70</v>
      </c>
      <c r="W282" s="35" t="str">
        <f t="shared" si="113"/>
        <v>732,70</v>
      </c>
      <c r="X282" s="35" t="str">
        <f t="shared" si="114"/>
        <v>1.172,90</v>
      </c>
      <c r="Y282" s="35" t="str">
        <f t="shared" si="115"/>
        <v>73,27</v>
      </c>
      <c r="Z282" s="35" t="str">
        <f t="shared" si="116"/>
        <v>117,29</v>
      </c>
      <c r="AA282" s="35" t="str">
        <f t="shared" si="117"/>
        <v>1.905,60</v>
      </c>
      <c r="AB282" s="35" t="str">
        <f t="shared" si="118"/>
        <v>190,56</v>
      </c>
    </row>
    <row r="283" spans="1:28" ht="16" x14ac:dyDescent="0.25">
      <c r="A283" s="24">
        <v>282</v>
      </c>
      <c r="B283" s="24" t="s">
        <v>285</v>
      </c>
      <c r="C283" s="24" t="s">
        <v>149</v>
      </c>
      <c r="D283" s="116">
        <v>305.39999999999998</v>
      </c>
      <c r="E283" s="116">
        <v>1613.4</v>
      </c>
      <c r="F283" s="108">
        <f t="shared" si="80"/>
        <v>1918.8000000000002</v>
      </c>
      <c r="G283" s="116">
        <v>45</v>
      </c>
      <c r="H283" s="116">
        <v>0</v>
      </c>
      <c r="I283" s="28">
        <f t="shared" si="100"/>
        <v>45</v>
      </c>
      <c r="J283" s="28">
        <f t="shared" si="101"/>
        <v>260.39999999999998</v>
      </c>
      <c r="K283" s="28">
        <f t="shared" si="102"/>
        <v>1613.4</v>
      </c>
      <c r="L283" s="28">
        <f t="shared" si="103"/>
        <v>26.04</v>
      </c>
      <c r="M283" s="28">
        <f t="shared" si="104"/>
        <v>161.34000000000003</v>
      </c>
      <c r="N283" s="107">
        <f t="shared" si="105"/>
        <v>1873.8000000000002</v>
      </c>
      <c r="O283" s="107">
        <f t="shared" si="106"/>
        <v>187.38000000000002</v>
      </c>
      <c r="P283" s="9"/>
      <c r="Q283" s="35" t="str">
        <f t="shared" si="107"/>
        <v>305,40</v>
      </c>
      <c r="R283" s="35" t="str">
        <f t="shared" si="108"/>
        <v>1.613,40</v>
      </c>
      <c r="S283" s="35" t="str">
        <f t="shared" si="109"/>
        <v>1.918,80</v>
      </c>
      <c r="T283" s="35" t="str">
        <f t="shared" si="110"/>
        <v>45,00</v>
      </c>
      <c r="U283" s="35" t="str">
        <f t="shared" si="111"/>
        <v>,00</v>
      </c>
      <c r="V283" s="35" t="str">
        <f t="shared" si="112"/>
        <v>45,00</v>
      </c>
      <c r="W283" s="35" t="str">
        <f t="shared" si="113"/>
        <v>260,40</v>
      </c>
      <c r="X283" s="35" t="str">
        <f t="shared" si="114"/>
        <v>1.613,40</v>
      </c>
      <c r="Y283" s="35" t="str">
        <f t="shared" si="115"/>
        <v>26,04</v>
      </c>
      <c r="Z283" s="35" t="str">
        <f t="shared" si="116"/>
        <v>161,34</v>
      </c>
      <c r="AA283" s="35" t="str">
        <f t="shared" si="117"/>
        <v>1.873,80</v>
      </c>
      <c r="AB283" s="35" t="str">
        <f t="shared" si="118"/>
        <v>187,38</v>
      </c>
    </row>
    <row r="284" spans="1:28" ht="16" x14ac:dyDescent="0.25">
      <c r="A284" s="24">
        <v>283</v>
      </c>
      <c r="B284" s="24" t="s">
        <v>694</v>
      </c>
      <c r="C284" s="24" t="s">
        <v>149</v>
      </c>
      <c r="D284" s="116">
        <v>209</v>
      </c>
      <c r="E284" s="116">
        <v>792.9</v>
      </c>
      <c r="F284" s="108">
        <f t="shared" si="80"/>
        <v>1001.9</v>
      </c>
      <c r="G284" s="116">
        <v>0</v>
      </c>
      <c r="H284" s="116">
        <v>0</v>
      </c>
      <c r="I284" s="28">
        <f t="shared" si="100"/>
        <v>0</v>
      </c>
      <c r="J284" s="28">
        <f t="shared" si="101"/>
        <v>209</v>
      </c>
      <c r="K284" s="28">
        <f t="shared" si="102"/>
        <v>792.9</v>
      </c>
      <c r="L284" s="28">
        <f t="shared" si="103"/>
        <v>20.900000000000002</v>
      </c>
      <c r="M284" s="28">
        <f t="shared" si="104"/>
        <v>79.290000000000006</v>
      </c>
      <c r="N284" s="107">
        <f t="shared" si="105"/>
        <v>1001.9</v>
      </c>
      <c r="O284" s="107">
        <f t="shared" si="106"/>
        <v>100.19</v>
      </c>
      <c r="P284" s="9"/>
      <c r="Q284" s="35" t="str">
        <f t="shared" si="107"/>
        <v>209,00</v>
      </c>
      <c r="R284" s="35" t="str">
        <f t="shared" si="108"/>
        <v>792,90</v>
      </c>
      <c r="S284" s="35" t="str">
        <f t="shared" si="109"/>
        <v>1.001,90</v>
      </c>
      <c r="T284" s="35" t="str">
        <f t="shared" si="110"/>
        <v>,00</v>
      </c>
      <c r="U284" s="35" t="str">
        <f t="shared" si="111"/>
        <v>,00</v>
      </c>
      <c r="V284" s="35" t="str">
        <f t="shared" si="112"/>
        <v>,00</v>
      </c>
      <c r="W284" s="35" t="str">
        <f t="shared" si="113"/>
        <v>209,00</v>
      </c>
      <c r="X284" s="35" t="str">
        <f t="shared" si="114"/>
        <v>792,90</v>
      </c>
      <c r="Y284" s="35" t="str">
        <f t="shared" si="115"/>
        <v>20,90</v>
      </c>
      <c r="Z284" s="35" t="str">
        <f t="shared" si="116"/>
        <v>79,29</v>
      </c>
      <c r="AA284" s="35" t="str">
        <f t="shared" si="117"/>
        <v>1.001,90</v>
      </c>
      <c r="AB284" s="35" t="str">
        <f t="shared" si="118"/>
        <v>100,19</v>
      </c>
    </row>
    <row r="285" spans="1:28" ht="16" x14ac:dyDescent="0.25">
      <c r="A285" s="24">
        <v>284</v>
      </c>
      <c r="B285" s="24" t="s">
        <v>347</v>
      </c>
      <c r="C285" s="24" t="s">
        <v>2143</v>
      </c>
      <c r="D285" s="116">
        <v>258.40000000000003</v>
      </c>
      <c r="E285" s="116">
        <v>411</v>
      </c>
      <c r="F285" s="108">
        <f t="shared" si="80"/>
        <v>669.40000000000009</v>
      </c>
      <c r="G285" s="116">
        <v>0</v>
      </c>
      <c r="H285" s="116">
        <v>0</v>
      </c>
      <c r="I285" s="28">
        <f t="shared" ref="I285:I289" si="119">G285+H285</f>
        <v>0</v>
      </c>
      <c r="J285" s="28">
        <f t="shared" ref="J285:J289" si="120">D285-G285</f>
        <v>258.40000000000003</v>
      </c>
      <c r="K285" s="28">
        <f t="shared" ref="K285:K289" si="121">E285-H285</f>
        <v>411</v>
      </c>
      <c r="L285" s="28">
        <f t="shared" ref="L285:L289" si="122">J285*0.1</f>
        <v>25.840000000000003</v>
      </c>
      <c r="M285" s="28">
        <f t="shared" ref="M285:M289" si="123">K285*0.1</f>
        <v>41.1</v>
      </c>
      <c r="N285" s="107">
        <f t="shared" ref="N285:N289" si="124">F285-I285</f>
        <v>669.40000000000009</v>
      </c>
      <c r="O285" s="107">
        <f t="shared" ref="O285:O289" si="125">N285*0.1</f>
        <v>66.940000000000012</v>
      </c>
      <c r="Q285" s="35" t="str">
        <f t="shared" ref="Q285:Q289" si="126">TEXT(D285,"#.###,00")</f>
        <v>258,40</v>
      </c>
      <c r="R285" s="35" t="str">
        <f t="shared" ref="R285:R289" si="127">TEXT(E285,"#.###,00")</f>
        <v>411,00</v>
      </c>
      <c r="S285" s="35" t="str">
        <f t="shared" ref="S285:S289" si="128">TEXT(F285,"#.###,00")</f>
        <v>669,40</v>
      </c>
      <c r="T285" s="35" t="str">
        <f t="shared" ref="T285:T289" si="129">TEXT(G285,"#.###,00")</f>
        <v>,00</v>
      </c>
      <c r="U285" s="35" t="str">
        <f t="shared" ref="U285:U289" si="130">TEXT(H285,"#.###,00")</f>
        <v>,00</v>
      </c>
      <c r="V285" s="35" t="str">
        <f t="shared" ref="V285:V289" si="131">TEXT(I285,"#.###,00")</f>
        <v>,00</v>
      </c>
      <c r="W285" s="35" t="str">
        <f t="shared" ref="W285:W289" si="132">TEXT(J285,"#.###,00")</f>
        <v>258,40</v>
      </c>
      <c r="X285" s="35" t="str">
        <f t="shared" ref="X285:X289" si="133">TEXT(K285,"#.###,00")</f>
        <v>411,00</v>
      </c>
      <c r="Y285" s="35" t="str">
        <f t="shared" ref="Y285:Y289" si="134">TEXT(L285,"#.###,00")</f>
        <v>25,84</v>
      </c>
      <c r="Z285" s="35" t="str">
        <f t="shared" ref="Z285:Z289" si="135">TEXT(M285,"#.###,00")</f>
        <v>41,10</v>
      </c>
      <c r="AA285" s="35" t="str">
        <f t="shared" ref="AA285:AA289" si="136">TEXT(N285,"#.###,00")</f>
        <v>669,40</v>
      </c>
      <c r="AB285" s="35" t="str">
        <f t="shared" ref="AB285:AB289" si="137">TEXT(O285,"#.###,00")</f>
        <v>66,94</v>
      </c>
    </row>
    <row r="286" spans="1:28" ht="16" x14ac:dyDescent="0.25">
      <c r="A286" s="24">
        <v>285</v>
      </c>
      <c r="B286" s="24" t="s">
        <v>1859</v>
      </c>
      <c r="C286" s="24" t="s">
        <v>52</v>
      </c>
      <c r="D286" s="116">
        <v>429731.52000000008</v>
      </c>
      <c r="E286" s="116">
        <v>844865.6399999999</v>
      </c>
      <c r="F286" s="108">
        <f t="shared" si="80"/>
        <v>1274597.1599999999</v>
      </c>
      <c r="G286" s="116">
        <v>114887.64</v>
      </c>
      <c r="H286" s="116">
        <v>127353.21</v>
      </c>
      <c r="I286" s="28">
        <f t="shared" si="119"/>
        <v>242240.85</v>
      </c>
      <c r="J286" s="28">
        <f t="shared" si="120"/>
        <v>314843.88000000006</v>
      </c>
      <c r="K286" s="28">
        <f t="shared" si="121"/>
        <v>717512.42999999993</v>
      </c>
      <c r="L286" s="28">
        <f t="shared" si="122"/>
        <v>31484.388000000006</v>
      </c>
      <c r="M286" s="28">
        <f t="shared" si="123"/>
        <v>71751.243000000002</v>
      </c>
      <c r="N286" s="107">
        <f t="shared" si="124"/>
        <v>1032356.3099999999</v>
      </c>
      <c r="O286" s="107">
        <f t="shared" si="125"/>
        <v>103235.63099999999</v>
      </c>
      <c r="Q286" s="35" t="str">
        <f t="shared" si="126"/>
        <v>429.731,52</v>
      </c>
      <c r="R286" s="35" t="str">
        <f t="shared" si="127"/>
        <v>844.865,64</v>
      </c>
      <c r="S286" s="35" t="str">
        <f t="shared" si="128"/>
        <v>1.274.597,16</v>
      </c>
      <c r="T286" s="35" t="str">
        <f t="shared" si="129"/>
        <v>114.887,64</v>
      </c>
      <c r="U286" s="35" t="str">
        <f t="shared" si="130"/>
        <v>127.353,21</v>
      </c>
      <c r="V286" s="35" t="str">
        <f t="shared" si="131"/>
        <v>242.240,85</v>
      </c>
      <c r="W286" s="35" t="str">
        <f t="shared" si="132"/>
        <v>314.843,88</v>
      </c>
      <c r="X286" s="35" t="str">
        <f t="shared" si="133"/>
        <v>717.512,43</v>
      </c>
      <c r="Y286" s="35" t="str">
        <f t="shared" si="134"/>
        <v>31.484,39</v>
      </c>
      <c r="Z286" s="35" t="str">
        <f t="shared" si="135"/>
        <v>71.751,24</v>
      </c>
      <c r="AA286" s="35" t="str">
        <f t="shared" si="136"/>
        <v>1.032.356,31</v>
      </c>
      <c r="AB286" s="35" t="str">
        <f t="shared" si="137"/>
        <v>103.235,63</v>
      </c>
    </row>
    <row r="287" spans="1:28" ht="16" x14ac:dyDescent="0.25">
      <c r="A287" s="24">
        <v>286</v>
      </c>
      <c r="B287" s="24" t="s">
        <v>549</v>
      </c>
      <c r="C287" s="24" t="s">
        <v>170</v>
      </c>
      <c r="D287" s="116">
        <v>461.4</v>
      </c>
      <c r="E287" s="116">
        <v>2383.2000000000003</v>
      </c>
      <c r="F287" s="108">
        <f t="shared" si="80"/>
        <v>2844.6000000000004</v>
      </c>
      <c r="G287" s="116">
        <v>279</v>
      </c>
      <c r="H287" s="116">
        <v>524.4</v>
      </c>
      <c r="I287" s="28">
        <f t="shared" si="119"/>
        <v>803.4</v>
      </c>
      <c r="J287" s="28">
        <f t="shared" si="120"/>
        <v>182.39999999999998</v>
      </c>
      <c r="K287" s="28">
        <f t="shared" si="121"/>
        <v>1858.8000000000002</v>
      </c>
      <c r="L287" s="28">
        <f t="shared" si="122"/>
        <v>18.239999999999998</v>
      </c>
      <c r="M287" s="28">
        <f t="shared" si="123"/>
        <v>185.88000000000002</v>
      </c>
      <c r="N287" s="107">
        <f t="shared" si="124"/>
        <v>2041.2000000000003</v>
      </c>
      <c r="O287" s="107">
        <f t="shared" si="125"/>
        <v>204.12000000000003</v>
      </c>
      <c r="Q287" s="35" t="str">
        <f t="shared" si="126"/>
        <v>461,40</v>
      </c>
      <c r="R287" s="35" t="str">
        <f t="shared" si="127"/>
        <v>2.383,20</v>
      </c>
      <c r="S287" s="35" t="str">
        <f t="shared" si="128"/>
        <v>2.844,60</v>
      </c>
      <c r="T287" s="35" t="str">
        <f t="shared" si="129"/>
        <v>279,00</v>
      </c>
      <c r="U287" s="35" t="str">
        <f t="shared" si="130"/>
        <v>524,40</v>
      </c>
      <c r="V287" s="35" t="str">
        <f t="shared" si="131"/>
        <v>803,40</v>
      </c>
      <c r="W287" s="35" t="str">
        <f t="shared" si="132"/>
        <v>182,40</v>
      </c>
      <c r="X287" s="35" t="str">
        <f t="shared" si="133"/>
        <v>1.858,80</v>
      </c>
      <c r="Y287" s="35" t="str">
        <f t="shared" si="134"/>
        <v>18,24</v>
      </c>
      <c r="Z287" s="35" t="str">
        <f t="shared" si="135"/>
        <v>185,88</v>
      </c>
      <c r="AA287" s="35" t="str">
        <f t="shared" si="136"/>
        <v>2.041,20</v>
      </c>
      <c r="AB287" s="35" t="str">
        <f t="shared" si="137"/>
        <v>204,12</v>
      </c>
    </row>
    <row r="288" spans="1:28" ht="16" x14ac:dyDescent="0.25">
      <c r="A288" s="24">
        <v>287</v>
      </c>
      <c r="B288" s="24" t="s">
        <v>34</v>
      </c>
      <c r="C288" s="24" t="s">
        <v>131</v>
      </c>
      <c r="D288" s="116">
        <v>80620.490000000005</v>
      </c>
      <c r="E288" s="116">
        <v>49533.799999999996</v>
      </c>
      <c r="F288" s="108">
        <f t="shared" si="80"/>
        <v>130154.29000000001</v>
      </c>
      <c r="G288" s="116">
        <v>1312.3</v>
      </c>
      <c r="H288" s="116">
        <v>4622.7</v>
      </c>
      <c r="I288" s="28">
        <f t="shared" si="119"/>
        <v>5935</v>
      </c>
      <c r="J288" s="28">
        <f t="shared" si="120"/>
        <v>79308.19</v>
      </c>
      <c r="K288" s="28">
        <f t="shared" si="121"/>
        <v>44911.1</v>
      </c>
      <c r="L288" s="28">
        <f t="shared" si="122"/>
        <v>7930.8190000000004</v>
      </c>
      <c r="M288" s="28">
        <f t="shared" si="123"/>
        <v>4491.1099999999997</v>
      </c>
      <c r="N288" s="107">
        <f t="shared" si="124"/>
        <v>124219.29000000001</v>
      </c>
      <c r="O288" s="107">
        <f t="shared" si="125"/>
        <v>12421.929000000002</v>
      </c>
      <c r="Q288" s="35" t="str">
        <f t="shared" si="126"/>
        <v>80.620,49</v>
      </c>
      <c r="R288" s="35" t="str">
        <f t="shared" si="127"/>
        <v>49.533,80</v>
      </c>
      <c r="S288" s="35" t="str">
        <f t="shared" si="128"/>
        <v>130.154,29</v>
      </c>
      <c r="T288" s="35" t="str">
        <f t="shared" si="129"/>
        <v>1.312,30</v>
      </c>
      <c r="U288" s="35" t="str">
        <f t="shared" si="130"/>
        <v>4.622,70</v>
      </c>
      <c r="V288" s="35" t="str">
        <f t="shared" si="131"/>
        <v>5.935,00</v>
      </c>
      <c r="W288" s="35" t="str">
        <f t="shared" si="132"/>
        <v>79.308,19</v>
      </c>
      <c r="X288" s="35" t="str">
        <f t="shared" si="133"/>
        <v>44.911,10</v>
      </c>
      <c r="Y288" s="35" t="str">
        <f t="shared" si="134"/>
        <v>7.930,82</v>
      </c>
      <c r="Z288" s="35" t="str">
        <f t="shared" si="135"/>
        <v>4.491,11</v>
      </c>
      <c r="AA288" s="35" t="str">
        <f t="shared" si="136"/>
        <v>124.219,29</v>
      </c>
      <c r="AB288" s="35" t="str">
        <f t="shared" si="137"/>
        <v>12.421,93</v>
      </c>
    </row>
    <row r="289" spans="1:28" ht="16" x14ac:dyDescent="0.25">
      <c r="A289" s="24">
        <v>288</v>
      </c>
      <c r="B289" s="24" t="s">
        <v>34</v>
      </c>
      <c r="C289" s="24" t="s">
        <v>311</v>
      </c>
      <c r="D289" s="116">
        <v>2763.7</v>
      </c>
      <c r="E289" s="116">
        <v>1676.6</v>
      </c>
      <c r="F289" s="108">
        <f t="shared" si="80"/>
        <v>4440.2999999999993</v>
      </c>
      <c r="G289" s="116">
        <v>0</v>
      </c>
      <c r="H289" s="116">
        <v>0</v>
      </c>
      <c r="I289" s="28">
        <f t="shared" si="119"/>
        <v>0</v>
      </c>
      <c r="J289" s="28">
        <f t="shared" si="120"/>
        <v>2763.7</v>
      </c>
      <c r="K289" s="28">
        <f t="shared" si="121"/>
        <v>1676.6</v>
      </c>
      <c r="L289" s="28">
        <f t="shared" si="122"/>
        <v>276.37</v>
      </c>
      <c r="M289" s="28">
        <f t="shared" si="123"/>
        <v>167.66</v>
      </c>
      <c r="N289" s="107">
        <f t="shared" si="124"/>
        <v>4440.2999999999993</v>
      </c>
      <c r="O289" s="107">
        <f t="shared" si="125"/>
        <v>444.03</v>
      </c>
      <c r="Q289" s="35" t="str">
        <f t="shared" si="126"/>
        <v>2.763,70</v>
      </c>
      <c r="R289" s="35" t="str">
        <f t="shared" si="127"/>
        <v>1.676,60</v>
      </c>
      <c r="S289" s="35" t="str">
        <f t="shared" si="128"/>
        <v>4.440,30</v>
      </c>
      <c r="T289" s="35" t="str">
        <f t="shared" si="129"/>
        <v>,00</v>
      </c>
      <c r="U289" s="35" t="str">
        <f t="shared" si="130"/>
        <v>,00</v>
      </c>
      <c r="V289" s="35" t="str">
        <f t="shared" si="131"/>
        <v>,00</v>
      </c>
      <c r="W289" s="35" t="str">
        <f t="shared" si="132"/>
        <v>2.763,70</v>
      </c>
      <c r="X289" s="35" t="str">
        <f t="shared" si="133"/>
        <v>1.676,60</v>
      </c>
      <c r="Y289" s="35" t="str">
        <f t="shared" si="134"/>
        <v>276,37</v>
      </c>
      <c r="Z289" s="35" t="str">
        <f t="shared" si="135"/>
        <v>167,66</v>
      </c>
      <c r="AA289" s="35" t="str">
        <f t="shared" si="136"/>
        <v>4.440,30</v>
      </c>
      <c r="AB289" s="35" t="str">
        <f t="shared" si="137"/>
        <v>444,03</v>
      </c>
    </row>
    <row r="290" spans="1:28" x14ac:dyDescent="0.25">
      <c r="L290" s="9"/>
    </row>
    <row r="291" spans="1:28" x14ac:dyDescent="0.25">
      <c r="L291" s="9"/>
    </row>
    <row r="292" spans="1:28" x14ac:dyDescent="0.25">
      <c r="L292" s="9"/>
    </row>
    <row r="293" spans="1:28" x14ac:dyDescent="0.25">
      <c r="L293" s="9"/>
    </row>
    <row r="294" spans="1:28" x14ac:dyDescent="0.25">
      <c r="L294" s="9"/>
    </row>
    <row r="295" spans="1:28" x14ac:dyDescent="0.25">
      <c r="L295" s="9"/>
    </row>
    <row r="296" spans="1:28" x14ac:dyDescent="0.25">
      <c r="L296" s="9"/>
    </row>
    <row r="297" spans="1:28" x14ac:dyDescent="0.25">
      <c r="L297" s="9"/>
    </row>
    <row r="298" spans="1:28" x14ac:dyDescent="0.25">
      <c r="L298" s="9"/>
    </row>
    <row r="299" spans="1:28" x14ac:dyDescent="0.25">
      <c r="L299" s="9"/>
    </row>
    <row r="300" spans="1:28" x14ac:dyDescent="0.25">
      <c r="L300" s="9"/>
    </row>
    <row r="301" spans="1:28" x14ac:dyDescent="0.25">
      <c r="L301" s="9"/>
    </row>
    <row r="302" spans="1:28" x14ac:dyDescent="0.25">
      <c r="L302" s="9"/>
    </row>
    <row r="303" spans="1:28" x14ac:dyDescent="0.25">
      <c r="L303" s="9"/>
    </row>
    <row r="304" spans="1:28" x14ac:dyDescent="0.25">
      <c r="L304" s="9"/>
    </row>
    <row r="305" spans="12:12" x14ac:dyDescent="0.25">
      <c r="L305" s="9"/>
    </row>
    <row r="306" spans="12:12" x14ac:dyDescent="0.25">
      <c r="L306" s="9"/>
    </row>
    <row r="307" spans="12:12" x14ac:dyDescent="0.25">
      <c r="L307" s="9"/>
    </row>
    <row r="308" spans="12:12" x14ac:dyDescent="0.25">
      <c r="L308" s="9"/>
    </row>
    <row r="309" spans="12:12" x14ac:dyDescent="0.25">
      <c r="L309" s="9"/>
    </row>
    <row r="310" spans="12:12" x14ac:dyDescent="0.25">
      <c r="L310" s="9"/>
    </row>
    <row r="311" spans="12:12" x14ac:dyDescent="0.25">
      <c r="L311" s="9"/>
    </row>
    <row r="312" spans="12:12" x14ac:dyDescent="0.25">
      <c r="L312" s="9"/>
    </row>
    <row r="313" spans="12:12" x14ac:dyDescent="0.25">
      <c r="L313" s="9"/>
    </row>
    <row r="314" spans="12:12" x14ac:dyDescent="0.25">
      <c r="L314" s="9"/>
    </row>
    <row r="315" spans="12:12" x14ac:dyDescent="0.25">
      <c r="L315" s="9"/>
    </row>
    <row r="316" spans="12:12" x14ac:dyDescent="0.25">
      <c r="L316" s="9"/>
    </row>
    <row r="317" spans="12:12" x14ac:dyDescent="0.25">
      <c r="L317" s="9"/>
    </row>
    <row r="318" spans="12:12" x14ac:dyDescent="0.25">
      <c r="L318" s="9"/>
    </row>
    <row r="319" spans="12:12" x14ac:dyDescent="0.25">
      <c r="L319" s="9"/>
    </row>
    <row r="320" spans="12:12" x14ac:dyDescent="0.25">
      <c r="L320" s="9"/>
    </row>
    <row r="321" spans="12:12" x14ac:dyDescent="0.25">
      <c r="L321" s="9"/>
    </row>
    <row r="322" spans="12:12" x14ac:dyDescent="0.25">
      <c r="L322" s="9"/>
    </row>
    <row r="323" spans="12:12" x14ac:dyDescent="0.25">
      <c r="L323" s="9"/>
    </row>
    <row r="324" spans="12:12" x14ac:dyDescent="0.25">
      <c r="L324" s="9"/>
    </row>
    <row r="325" spans="12:12" x14ac:dyDescent="0.25">
      <c r="L325" s="9"/>
    </row>
    <row r="326" spans="12:12" x14ac:dyDescent="0.25">
      <c r="L326" s="9"/>
    </row>
    <row r="327" spans="12:12" x14ac:dyDescent="0.25">
      <c r="L327" s="9"/>
    </row>
    <row r="328" spans="12:12" x14ac:dyDescent="0.25">
      <c r="L328" s="9"/>
    </row>
    <row r="329" spans="12:12" x14ac:dyDescent="0.25">
      <c r="L329" s="9"/>
    </row>
    <row r="330" spans="12:12" x14ac:dyDescent="0.25">
      <c r="L330" s="9"/>
    </row>
    <row r="331" spans="12:12" x14ac:dyDescent="0.25">
      <c r="L331" s="9"/>
    </row>
    <row r="332" spans="12:12" x14ac:dyDescent="0.25">
      <c r="L332" s="9"/>
    </row>
    <row r="333" spans="12:12" x14ac:dyDescent="0.25">
      <c r="L333" s="9"/>
    </row>
    <row r="334" spans="12:12" x14ac:dyDescent="0.25">
      <c r="L334" s="9"/>
    </row>
    <row r="335" spans="12:12" x14ac:dyDescent="0.25">
      <c r="L335" s="9"/>
    </row>
    <row r="336" spans="12:12" x14ac:dyDescent="0.25">
      <c r="L336" s="9"/>
    </row>
    <row r="337" spans="12:12" x14ac:dyDescent="0.25">
      <c r="L337" s="9"/>
    </row>
    <row r="338" spans="12:12" x14ac:dyDescent="0.25">
      <c r="L338" s="9"/>
    </row>
    <row r="339" spans="12:12" x14ac:dyDescent="0.25">
      <c r="L339" s="9"/>
    </row>
    <row r="340" spans="12:12" x14ac:dyDescent="0.25">
      <c r="L340" s="9"/>
    </row>
    <row r="341" spans="12:12" x14ac:dyDescent="0.25">
      <c r="L341" s="9"/>
    </row>
    <row r="342" spans="12:12" x14ac:dyDescent="0.25">
      <c r="L342" s="9"/>
    </row>
    <row r="343" spans="12:12" x14ac:dyDescent="0.25">
      <c r="L343" s="9"/>
    </row>
    <row r="344" spans="12:12" x14ac:dyDescent="0.25">
      <c r="L344" s="9"/>
    </row>
    <row r="345" spans="12:12" x14ac:dyDescent="0.25">
      <c r="L345" s="9"/>
    </row>
    <row r="346" spans="12:12" x14ac:dyDescent="0.25">
      <c r="L346" s="9"/>
    </row>
    <row r="347" spans="12:12" x14ac:dyDescent="0.25">
      <c r="L347" s="9"/>
    </row>
    <row r="348" spans="12:12" x14ac:dyDescent="0.25">
      <c r="L348" s="9"/>
    </row>
    <row r="349" spans="12:12" x14ac:dyDescent="0.25">
      <c r="L349" s="9"/>
    </row>
    <row r="350" spans="12:12" x14ac:dyDescent="0.25">
      <c r="L350" s="9"/>
    </row>
    <row r="351" spans="12:12" x14ac:dyDescent="0.25">
      <c r="L351" s="9"/>
    </row>
    <row r="352" spans="12:12" x14ac:dyDescent="0.25">
      <c r="L352" s="9"/>
    </row>
    <row r="353" spans="12:12" x14ac:dyDescent="0.25">
      <c r="L353" s="9"/>
    </row>
    <row r="354" spans="12:12" x14ac:dyDescent="0.25">
      <c r="L354" s="9"/>
    </row>
    <row r="355" spans="12:12" x14ac:dyDescent="0.25">
      <c r="L355" s="9"/>
    </row>
    <row r="356" spans="12:12" x14ac:dyDescent="0.25">
      <c r="L356" s="9"/>
    </row>
    <row r="357" spans="12:12" x14ac:dyDescent="0.25">
      <c r="L357" s="9"/>
    </row>
    <row r="358" spans="12:12" x14ac:dyDescent="0.25">
      <c r="L358" s="9"/>
    </row>
    <row r="359" spans="12:12" x14ac:dyDescent="0.25">
      <c r="L359" s="9"/>
    </row>
    <row r="360" spans="12:12" x14ac:dyDescent="0.25">
      <c r="L360" s="9"/>
    </row>
  </sheetData>
  <sortState xmlns:xlrd2="http://schemas.microsoft.com/office/spreadsheetml/2017/richdata2" ref="A2:O272">
    <sortCondition ref="C2:C272"/>
  </sortState>
  <pageMargins left="0.19685039370078741" right="0.23622047244094491" top="0.27559055118110237" bottom="0.15748031496062992" header="0.15748031496062992" footer="0.15748031496062992"/>
  <pageSetup paperSize="9" scale="55" orientation="landscape" r:id="rId1"/>
  <headerFooter differentOddEven="1" differentFirst="1">
    <oddFooter>&amp;L
_x000D_&amp;1#&amp;"Calibri"&amp;10&amp;K008000 Internal&amp;C&amp;"tahoma,Bold"&amp;8&amp;KFFCC00¯¯¯¯¯¯¯¯¯¯¯¯¯¯¯¯¯¯¯¯¯¯¯¯¯¯¯¯¯¯¯¯¯¯¯¯¯
Gizli / Confidential  -
 Genel Nitelikli Kişisel Veri
&amp;10_____________________________________</oddFooter>
    <evenFooter>&amp;L
_x000D_&amp;1#&amp;"Calibri"&amp;10&amp;K008000 Internal&amp;C&amp;"tahoma,Bold"&amp;8&amp;KFFCC00¯¯¯¯¯¯¯¯¯¯¯¯¯¯¯¯¯¯¯¯¯¯¯¯¯¯¯¯¯¯¯¯¯¯¯¯¯
Gizli / Confidential  -
 Genel Nitelikli Kişisel Veri
&amp;10_____________________________________</evenFooter>
    <firstFooter>&amp;L
_x000D_&amp;1#&amp;"Calibri"&amp;10&amp;K008000 Internal&amp;C&amp;"tahoma,Bold"&amp;8&amp;KFFCC00¯¯¯¯¯¯¯¯¯¯¯¯¯¯¯¯¯¯¯¯¯¯¯¯¯¯¯¯¯¯¯¯¯¯¯¯¯
Gizli / Confidential  -
 Genel Nitelikli Kişisel Veri
&amp;10_____________________________________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R291"/>
  <sheetViews>
    <sheetView zoomScale="70" zoomScaleNormal="70" workbookViewId="0">
      <pane ySplit="1" topLeftCell="A254" activePane="bottomLeft" state="frozen"/>
      <selection activeCell="G302" sqref="G302"/>
      <selection pane="bottomLeft" activeCell="P291" sqref="P291"/>
    </sheetView>
  </sheetViews>
  <sheetFormatPr defaultColWidth="9.26953125" defaultRowHeight="12.5" x14ac:dyDescent="0.25"/>
  <cols>
    <col min="1" max="1" width="7.7265625" bestFit="1" customWidth="1"/>
    <col min="2" max="2" width="29.54296875" bestFit="1" customWidth="1"/>
    <col min="3" max="3" width="19.54296875" bestFit="1" customWidth="1"/>
    <col min="4" max="4" width="48.453125" bestFit="1" customWidth="1"/>
    <col min="5" max="5" width="15.453125" style="9" bestFit="1" customWidth="1"/>
    <col min="6" max="6" width="13.453125" style="9" bestFit="1" customWidth="1"/>
    <col min="7" max="7" width="13.7265625" style="9" bestFit="1" customWidth="1"/>
    <col min="8" max="8" width="15.26953125" style="9" customWidth="1"/>
    <col min="9" max="9" width="13.54296875" style="9" bestFit="1" customWidth="1"/>
    <col min="10" max="10" width="13" style="9" bestFit="1" customWidth="1"/>
    <col min="11" max="11" width="12.7265625" style="9" bestFit="1" customWidth="1"/>
    <col min="12" max="12" width="38.54296875" style="9" bestFit="1" customWidth="1"/>
    <col min="13" max="13" width="17.26953125" style="9" bestFit="1" customWidth="1"/>
    <col min="14" max="14" width="16.26953125" bestFit="1" customWidth="1"/>
    <col min="15" max="15" width="15" customWidth="1"/>
    <col min="16" max="16" width="31.453125" bestFit="1" customWidth="1"/>
  </cols>
  <sheetData>
    <row r="1" spans="1:18" ht="13" x14ac:dyDescent="0.3">
      <c r="A1" s="22" t="s">
        <v>30</v>
      </c>
      <c r="B1" s="10" t="s">
        <v>227</v>
      </c>
      <c r="C1" s="10" t="s">
        <v>225</v>
      </c>
      <c r="D1" s="104" t="s">
        <v>3082</v>
      </c>
      <c r="E1" s="21" t="s">
        <v>272</v>
      </c>
      <c r="F1" s="21" t="s">
        <v>273</v>
      </c>
      <c r="G1" s="21" t="s">
        <v>274</v>
      </c>
      <c r="H1" s="21" t="s">
        <v>275</v>
      </c>
      <c r="I1" s="21" t="s">
        <v>22</v>
      </c>
      <c r="J1" s="21" t="s">
        <v>23</v>
      </c>
      <c r="K1" s="9" t="s">
        <v>2913</v>
      </c>
      <c r="L1" s="105" t="s">
        <v>3964</v>
      </c>
      <c r="M1" s="9" t="s">
        <v>4040</v>
      </c>
      <c r="N1" s="13"/>
      <c r="O1" s="13"/>
      <c r="P1" s="13"/>
    </row>
    <row r="2" spans="1:18" s="19" customFormat="1" ht="14.5" x14ac:dyDescent="0.25">
      <c r="A2" s="6">
        <v>1</v>
      </c>
      <c r="B2" s="6" t="s">
        <v>1849</v>
      </c>
      <c r="C2" s="6" t="s">
        <v>33</v>
      </c>
      <c r="D2" s="125" t="str">
        <f t="shared" ref="D2:D65" si="0">L2</f>
        <v>ADANA BÜYÜKŞEHİR / ADANA</v>
      </c>
      <c r="E2" s="125">
        <v>174202.41</v>
      </c>
      <c r="F2" s="125">
        <v>154813.21999999994</v>
      </c>
      <c r="G2" s="125">
        <v>10663.699999999999</v>
      </c>
      <c r="H2" s="125">
        <v>13590.900000000001</v>
      </c>
      <c r="I2" s="122">
        <v>304761.02999999991</v>
      </c>
      <c r="J2" s="122">
        <v>30476.100000000006</v>
      </c>
      <c r="K2" s="120">
        <f>VLOOKUP(D2,Excel6!A:H,8,0)</f>
        <v>30476.100000000006</v>
      </c>
      <c r="L2" s="120" t="str">
        <f t="shared" ref="L2:L65" si="1">CONCATENATE(B2&amp; " / " &amp;C2)</f>
        <v>ADANA BÜYÜKŞEHİR / ADANA</v>
      </c>
      <c r="M2" s="124">
        <f t="shared" ref="M2:M65" si="2">J2-K2</f>
        <v>0</v>
      </c>
      <c r="N2" s="120"/>
      <c r="O2" s="120"/>
      <c r="P2" s="120"/>
      <c r="Q2"/>
      <c r="R2"/>
    </row>
    <row r="3" spans="1:18" ht="13.5" customHeight="1" x14ac:dyDescent="0.25">
      <c r="A3" s="6">
        <v>2</v>
      </c>
      <c r="B3" s="6" t="s">
        <v>34</v>
      </c>
      <c r="C3" s="6" t="s">
        <v>190</v>
      </c>
      <c r="D3" s="125" t="str">
        <f t="shared" si="0"/>
        <v>MERKEZ / ADIYAMAN</v>
      </c>
      <c r="E3" s="125">
        <v>12248.300000000001</v>
      </c>
      <c r="F3" s="125">
        <v>15964.6</v>
      </c>
      <c r="G3" s="125">
        <v>802.39999999999986</v>
      </c>
      <c r="H3" s="125">
        <v>1371.1</v>
      </c>
      <c r="I3" s="122">
        <v>26039.4</v>
      </c>
      <c r="J3" s="122">
        <v>2603.9400000000005</v>
      </c>
      <c r="K3" s="120">
        <f>VLOOKUP(D3,Excel6!A:H,8,0)</f>
        <v>2603.9400000000005</v>
      </c>
      <c r="L3" s="120" t="str">
        <f t="shared" si="1"/>
        <v>MERKEZ / ADIYAMAN</v>
      </c>
      <c r="M3" s="124">
        <f t="shared" si="2"/>
        <v>0</v>
      </c>
      <c r="N3" s="120"/>
      <c r="O3" s="120"/>
      <c r="P3" s="120"/>
    </row>
    <row r="4" spans="1:18" ht="14.5" x14ac:dyDescent="0.25">
      <c r="A4" s="6">
        <v>3</v>
      </c>
      <c r="B4" s="6" t="s">
        <v>424</v>
      </c>
      <c r="C4" s="6" t="s">
        <v>190</v>
      </c>
      <c r="D4" s="125" t="str">
        <f t="shared" si="0"/>
        <v>KAHTA / ADIYAMAN</v>
      </c>
      <c r="E4" s="125">
        <v>1905.1</v>
      </c>
      <c r="F4" s="125">
        <v>3151.8</v>
      </c>
      <c r="G4" s="125">
        <v>0</v>
      </c>
      <c r="H4" s="125">
        <v>0</v>
      </c>
      <c r="I4" s="122">
        <v>5056.8999999999996</v>
      </c>
      <c r="J4" s="122">
        <v>505.69</v>
      </c>
      <c r="K4" s="120">
        <f>VLOOKUP(D4,Excel6!A:H,8,0)</f>
        <v>505.69</v>
      </c>
      <c r="L4" s="120" t="str">
        <f t="shared" si="1"/>
        <v>KAHTA / ADIYAMAN</v>
      </c>
      <c r="M4" s="124">
        <f t="shared" si="2"/>
        <v>0</v>
      </c>
      <c r="N4" s="120"/>
      <c r="O4" s="120"/>
      <c r="P4" s="120"/>
    </row>
    <row r="5" spans="1:18" ht="14.5" x14ac:dyDescent="0.25">
      <c r="A5" s="6">
        <v>4</v>
      </c>
      <c r="B5" s="6" t="s">
        <v>340</v>
      </c>
      <c r="C5" s="6" t="s">
        <v>190</v>
      </c>
      <c r="D5" s="125" t="str">
        <f t="shared" si="0"/>
        <v>BESNİ / ADIYAMAN</v>
      </c>
      <c r="E5" s="125">
        <v>261.10000000000002</v>
      </c>
      <c r="F5" s="125">
        <v>449.6</v>
      </c>
      <c r="G5" s="125">
        <v>0</v>
      </c>
      <c r="H5" s="125">
        <v>0</v>
      </c>
      <c r="I5" s="122">
        <v>710.7</v>
      </c>
      <c r="J5" s="122">
        <v>71.069999999999993</v>
      </c>
      <c r="K5" s="120">
        <f>VLOOKUP(D5,Excel6!A:H,8,0)</f>
        <v>71.069999999999993</v>
      </c>
      <c r="L5" s="120" t="str">
        <f t="shared" si="1"/>
        <v>BESNİ / ADIYAMAN</v>
      </c>
      <c r="M5" s="124">
        <f t="shared" si="2"/>
        <v>0</v>
      </c>
      <c r="N5" s="120"/>
      <c r="O5" s="120"/>
      <c r="P5" s="120"/>
    </row>
    <row r="6" spans="1:18" ht="14.5" x14ac:dyDescent="0.25">
      <c r="A6" s="6">
        <v>5</v>
      </c>
      <c r="B6" s="6" t="s">
        <v>3515</v>
      </c>
      <c r="C6" s="6" t="s">
        <v>190</v>
      </c>
      <c r="D6" s="125" t="str">
        <f t="shared" si="0"/>
        <v>ÇELİKHAN / ADIYAMAN</v>
      </c>
      <c r="E6" s="125">
        <v>307.39999999999998</v>
      </c>
      <c r="F6" s="125">
        <v>118</v>
      </c>
      <c r="G6" s="125">
        <v>0</v>
      </c>
      <c r="H6" s="125">
        <v>0</v>
      </c>
      <c r="I6" s="122">
        <v>425.4</v>
      </c>
      <c r="J6" s="122">
        <v>42.54</v>
      </c>
      <c r="K6" s="120">
        <f>VLOOKUP(D6,Excel6!A:H,8,0)</f>
        <v>42.54</v>
      </c>
      <c r="L6" s="120" t="str">
        <f t="shared" si="1"/>
        <v>ÇELİKHAN / ADIYAMAN</v>
      </c>
      <c r="M6" s="124">
        <f t="shared" si="2"/>
        <v>0</v>
      </c>
      <c r="N6" s="120"/>
      <c r="O6" s="120"/>
      <c r="P6" s="120"/>
    </row>
    <row r="7" spans="1:18" ht="14.5" x14ac:dyDescent="0.25">
      <c r="A7" s="6">
        <v>6</v>
      </c>
      <c r="B7" s="6" t="s">
        <v>150</v>
      </c>
      <c r="C7" s="24" t="s">
        <v>190</v>
      </c>
      <c r="D7" s="125" t="str">
        <f t="shared" si="0"/>
        <v>GÖLBAŞI / ADIYAMAN</v>
      </c>
      <c r="E7" s="123">
        <v>88.6</v>
      </c>
      <c r="F7" s="123">
        <v>134.29999999999998</v>
      </c>
      <c r="G7" s="123">
        <v>0</v>
      </c>
      <c r="H7" s="123">
        <v>0</v>
      </c>
      <c r="I7" s="123">
        <v>222.89999999999998</v>
      </c>
      <c r="J7" s="123">
        <v>22.29</v>
      </c>
      <c r="K7" s="120">
        <f>VLOOKUP(D7,Excel6!A:H,8,0)</f>
        <v>22.29</v>
      </c>
      <c r="L7" s="120" t="str">
        <f t="shared" si="1"/>
        <v>GÖLBAŞI / ADIYAMAN</v>
      </c>
      <c r="M7" s="124">
        <f t="shared" si="2"/>
        <v>0</v>
      </c>
      <c r="N7" s="120"/>
      <c r="O7" s="120"/>
      <c r="P7" s="120"/>
    </row>
    <row r="8" spans="1:18" ht="14.5" x14ac:dyDescent="0.25">
      <c r="A8" s="6">
        <v>7</v>
      </c>
      <c r="B8" s="24" t="s">
        <v>34</v>
      </c>
      <c r="C8" s="6" t="s">
        <v>2143</v>
      </c>
      <c r="D8" s="125" t="str">
        <f t="shared" si="0"/>
        <v>MERKEZ / AFYONKARAHİSAR</v>
      </c>
      <c r="E8" s="125">
        <v>30076.5</v>
      </c>
      <c r="F8" s="125">
        <v>55308.7</v>
      </c>
      <c r="G8" s="125">
        <v>344</v>
      </c>
      <c r="H8" s="125">
        <v>282.89999999999998</v>
      </c>
      <c r="I8" s="122">
        <v>84758.3</v>
      </c>
      <c r="J8" s="122">
        <v>8475.83</v>
      </c>
      <c r="K8" s="120">
        <f>VLOOKUP(D8,Excel6!A:H,8,0)</f>
        <v>8475.83</v>
      </c>
      <c r="L8" s="120" t="str">
        <f t="shared" si="1"/>
        <v>MERKEZ / AFYONKARAHİSAR</v>
      </c>
      <c r="M8" s="124">
        <f t="shared" si="2"/>
        <v>0</v>
      </c>
      <c r="N8" s="120"/>
      <c r="O8" s="120"/>
      <c r="P8" s="120"/>
    </row>
    <row r="9" spans="1:18" ht="14.5" x14ac:dyDescent="0.25">
      <c r="A9" s="6">
        <v>8</v>
      </c>
      <c r="B9" s="6" t="s">
        <v>497</v>
      </c>
      <c r="C9" s="6" t="s">
        <v>2143</v>
      </c>
      <c r="D9" s="125" t="str">
        <f t="shared" si="0"/>
        <v>ÇAY / AFYONKARAHİSAR</v>
      </c>
      <c r="E9" s="125">
        <v>51763.5</v>
      </c>
      <c r="F9" s="125"/>
      <c r="G9" s="125">
        <v>0</v>
      </c>
      <c r="H9" s="125"/>
      <c r="I9" s="122">
        <v>51763.5</v>
      </c>
      <c r="J9" s="122">
        <v>5176.3500000000004</v>
      </c>
      <c r="K9" s="120">
        <f>VLOOKUP(D9,Excel6!A:H,8,0)</f>
        <v>5176.3500000000004</v>
      </c>
      <c r="L9" s="120" t="str">
        <f t="shared" si="1"/>
        <v>ÇAY / AFYONKARAHİSAR</v>
      </c>
      <c r="M9" s="124">
        <f t="shared" si="2"/>
        <v>0</v>
      </c>
      <c r="N9" s="120"/>
      <c r="O9" s="120"/>
      <c r="P9" s="120"/>
    </row>
    <row r="10" spans="1:18" ht="14.5" x14ac:dyDescent="0.25">
      <c r="A10" s="6">
        <v>9</v>
      </c>
      <c r="B10" s="6" t="s">
        <v>2260</v>
      </c>
      <c r="C10" s="6" t="s">
        <v>2143</v>
      </c>
      <c r="D10" s="125" t="str">
        <f t="shared" si="0"/>
        <v>ŞUHUT / AFYONKARAHİSAR</v>
      </c>
      <c r="E10" s="125">
        <v>4256.9999999999991</v>
      </c>
      <c r="F10" s="125">
        <v>1005.5</v>
      </c>
      <c r="G10" s="125">
        <v>0</v>
      </c>
      <c r="H10" s="125">
        <v>0</v>
      </c>
      <c r="I10" s="122">
        <v>5262.4999999999991</v>
      </c>
      <c r="J10" s="122">
        <v>526.25</v>
      </c>
      <c r="K10" s="120">
        <f>VLOOKUP(D10,Excel6!A:H,8,0)</f>
        <v>526.25</v>
      </c>
      <c r="L10" s="120" t="str">
        <f t="shared" si="1"/>
        <v>ŞUHUT / AFYONKARAHİSAR</v>
      </c>
      <c r="M10" s="124">
        <f t="shared" si="2"/>
        <v>0</v>
      </c>
      <c r="N10" s="120"/>
      <c r="O10" s="120"/>
      <c r="P10" s="120"/>
    </row>
    <row r="11" spans="1:18" ht="14.5" x14ac:dyDescent="0.25">
      <c r="A11" s="6">
        <v>10</v>
      </c>
      <c r="B11" s="6" t="s">
        <v>502</v>
      </c>
      <c r="C11" s="6" t="s">
        <v>2143</v>
      </c>
      <c r="D11" s="125" t="str">
        <f t="shared" si="0"/>
        <v>İSCEHİSAR / AFYONKARAHİSAR</v>
      </c>
      <c r="E11" s="125">
        <v>2151.9</v>
      </c>
      <c r="F11" s="125">
        <v>199.1</v>
      </c>
      <c r="G11" s="125">
        <v>0</v>
      </c>
      <c r="H11" s="125">
        <v>0</v>
      </c>
      <c r="I11" s="122">
        <v>2351</v>
      </c>
      <c r="J11" s="122">
        <v>235.1</v>
      </c>
      <c r="K11" s="120">
        <f>VLOOKUP(D11,Excel6!A:H,8,0)</f>
        <v>235.1</v>
      </c>
      <c r="L11" s="120" t="str">
        <f t="shared" si="1"/>
        <v>İSCEHİSAR / AFYONKARAHİSAR</v>
      </c>
      <c r="M11" s="124">
        <f t="shared" si="2"/>
        <v>0</v>
      </c>
      <c r="N11" s="120"/>
      <c r="O11" s="120"/>
      <c r="P11" s="120"/>
    </row>
    <row r="12" spans="1:18" ht="14.5" x14ac:dyDescent="0.25">
      <c r="A12" s="6">
        <v>11</v>
      </c>
      <c r="B12" s="6" t="s">
        <v>348</v>
      </c>
      <c r="C12" s="6" t="s">
        <v>2143</v>
      </c>
      <c r="D12" s="125" t="str">
        <f t="shared" si="0"/>
        <v>DİNAR / AFYONKARAHİSAR</v>
      </c>
      <c r="E12" s="125">
        <v>890.40000000000009</v>
      </c>
      <c r="F12" s="125">
        <v>1468.3999999999999</v>
      </c>
      <c r="G12" s="125">
        <v>21.7</v>
      </c>
      <c r="H12" s="125">
        <v>12.1</v>
      </c>
      <c r="I12" s="122">
        <v>2325</v>
      </c>
      <c r="J12" s="122">
        <v>232.5</v>
      </c>
      <c r="K12" s="120">
        <f>VLOOKUP(D12,Excel6!A:H,8,0)</f>
        <v>232.5</v>
      </c>
      <c r="L12" s="120" t="str">
        <f t="shared" si="1"/>
        <v>DİNAR / AFYONKARAHİSAR</v>
      </c>
      <c r="M12" s="124">
        <f t="shared" si="2"/>
        <v>0</v>
      </c>
      <c r="N12" s="120"/>
      <c r="O12" s="120"/>
      <c r="P12" s="120"/>
    </row>
    <row r="13" spans="1:18" ht="14.5" x14ac:dyDescent="0.25">
      <c r="A13" s="6">
        <v>12</v>
      </c>
      <c r="B13" s="6" t="s">
        <v>266</v>
      </c>
      <c r="C13" s="6" t="s">
        <v>2143</v>
      </c>
      <c r="D13" s="125" t="str">
        <f t="shared" si="0"/>
        <v>DAZKIRI / AFYONKARAHİSAR</v>
      </c>
      <c r="E13" s="125">
        <v>0.2</v>
      </c>
      <c r="F13" s="125">
        <v>2049.3000000000002</v>
      </c>
      <c r="G13" s="125">
        <v>0</v>
      </c>
      <c r="H13" s="125">
        <v>0</v>
      </c>
      <c r="I13" s="122">
        <v>2049.5</v>
      </c>
      <c r="J13" s="122">
        <v>204.95000000000002</v>
      </c>
      <c r="K13" s="120">
        <f>VLOOKUP(D13,Excel6!A:H,8,0)</f>
        <v>204.95000000000002</v>
      </c>
      <c r="L13" s="120" t="str">
        <f t="shared" si="1"/>
        <v>DAZKIRI / AFYONKARAHİSAR</v>
      </c>
      <c r="M13" s="124">
        <f t="shared" si="2"/>
        <v>0</v>
      </c>
      <c r="N13" s="120"/>
      <c r="O13" s="120"/>
      <c r="P13" s="120"/>
    </row>
    <row r="14" spans="1:18" ht="14.5" x14ac:dyDescent="0.25">
      <c r="A14" s="6">
        <v>13</v>
      </c>
      <c r="B14" s="6" t="s">
        <v>501</v>
      </c>
      <c r="C14" s="6" t="s">
        <v>2143</v>
      </c>
      <c r="D14" s="125" t="str">
        <f t="shared" si="0"/>
        <v>İHSANİYE / AFYONKARAHİSAR</v>
      </c>
      <c r="E14" s="125">
        <v>0.1</v>
      </c>
      <c r="F14" s="125">
        <v>1335.8</v>
      </c>
      <c r="G14" s="125">
        <v>0</v>
      </c>
      <c r="H14" s="125">
        <v>0</v>
      </c>
      <c r="I14" s="122">
        <v>1335.8999999999999</v>
      </c>
      <c r="J14" s="122">
        <v>133.59</v>
      </c>
      <c r="K14" s="120">
        <f>VLOOKUP(D14,Excel6!A:H,8,0)</f>
        <v>133.59</v>
      </c>
      <c r="L14" s="120" t="str">
        <f t="shared" si="1"/>
        <v>İHSANİYE / AFYONKARAHİSAR</v>
      </c>
      <c r="M14" s="124">
        <f t="shared" si="2"/>
        <v>0</v>
      </c>
      <c r="N14" s="120"/>
      <c r="O14" s="120"/>
      <c r="P14" s="120"/>
    </row>
    <row r="15" spans="1:18" ht="14.5" x14ac:dyDescent="0.25">
      <c r="A15" s="6">
        <v>14</v>
      </c>
      <c r="B15" s="6" t="s">
        <v>2258</v>
      </c>
      <c r="C15" s="6" t="s">
        <v>2143</v>
      </c>
      <c r="D15" s="125" t="str">
        <f t="shared" si="0"/>
        <v>SULTANDAĞI / AFYONKARAHİSAR</v>
      </c>
      <c r="E15" s="125">
        <v>688.6</v>
      </c>
      <c r="F15" s="125">
        <v>478.1</v>
      </c>
      <c r="G15" s="125">
        <v>0</v>
      </c>
      <c r="H15" s="125">
        <v>0</v>
      </c>
      <c r="I15" s="122">
        <v>1166.7</v>
      </c>
      <c r="J15" s="122">
        <v>116.67</v>
      </c>
      <c r="K15" s="120">
        <f>VLOOKUP(D15,Excel6!A:H,8,0)</f>
        <v>116.67</v>
      </c>
      <c r="L15" s="120" t="str">
        <f t="shared" si="1"/>
        <v>SULTANDAĞI / AFYONKARAHİSAR</v>
      </c>
      <c r="M15" s="124">
        <f t="shared" si="2"/>
        <v>0</v>
      </c>
      <c r="N15" s="120"/>
      <c r="O15" s="120"/>
      <c r="P15" s="120"/>
    </row>
    <row r="16" spans="1:18" ht="14.5" x14ac:dyDescent="0.25">
      <c r="A16" s="6">
        <v>15</v>
      </c>
      <c r="B16" s="6" t="s">
        <v>292</v>
      </c>
      <c r="C16" s="6" t="s">
        <v>2143</v>
      </c>
      <c r="D16" s="125" t="str">
        <f t="shared" si="0"/>
        <v>EMİRDAĞ / AFYONKARAHİSAR</v>
      </c>
      <c r="E16" s="125">
        <v>909.3</v>
      </c>
      <c r="F16" s="125">
        <v>256.5</v>
      </c>
      <c r="G16" s="125">
        <v>23.3</v>
      </c>
      <c r="H16" s="125">
        <v>0</v>
      </c>
      <c r="I16" s="122">
        <v>1142.5</v>
      </c>
      <c r="J16" s="122">
        <v>114.25</v>
      </c>
      <c r="K16" s="120">
        <f>VLOOKUP(D16,Excel6!A:H,8,0)</f>
        <v>114.25</v>
      </c>
      <c r="L16" s="120" t="str">
        <f t="shared" si="1"/>
        <v>EMİRDAĞ / AFYONKARAHİSAR</v>
      </c>
      <c r="M16" s="124">
        <f t="shared" si="2"/>
        <v>0</v>
      </c>
      <c r="N16" s="120"/>
      <c r="O16" s="120"/>
      <c r="P16" s="120"/>
    </row>
    <row r="17" spans="1:16" ht="14.5" x14ac:dyDescent="0.25">
      <c r="A17" s="6">
        <v>16</v>
      </c>
      <c r="B17" s="6" t="s">
        <v>2721</v>
      </c>
      <c r="C17" s="6" t="s">
        <v>2143</v>
      </c>
      <c r="D17" s="125" t="str">
        <f t="shared" si="0"/>
        <v>SİNANPAŞA  / AFYONKARAHİSAR</v>
      </c>
      <c r="E17" s="125">
        <v>188.1</v>
      </c>
      <c r="F17" s="125">
        <v>793.69999999999993</v>
      </c>
      <c r="G17" s="125">
        <v>0</v>
      </c>
      <c r="H17" s="125">
        <v>0</v>
      </c>
      <c r="I17" s="122">
        <v>981.8</v>
      </c>
      <c r="J17" s="122">
        <v>98.18</v>
      </c>
      <c r="K17" s="120">
        <f>VLOOKUP(D17,Excel6!A:H,8,0)</f>
        <v>98.18</v>
      </c>
      <c r="L17" s="120" t="str">
        <f t="shared" si="1"/>
        <v>SİNANPAŞA  / AFYONKARAHİSAR</v>
      </c>
      <c r="M17" s="124">
        <f t="shared" si="2"/>
        <v>0</v>
      </c>
      <c r="N17" s="120"/>
      <c r="O17" s="120"/>
      <c r="P17" s="120"/>
    </row>
    <row r="18" spans="1:16" ht="14.5" x14ac:dyDescent="0.25">
      <c r="A18" s="6">
        <v>17</v>
      </c>
      <c r="B18" s="6" t="s">
        <v>93</v>
      </c>
      <c r="C18" s="6" t="s">
        <v>2143</v>
      </c>
      <c r="D18" s="125" t="str">
        <f t="shared" si="0"/>
        <v>SANDIKLI / AFYONKARAHİSAR</v>
      </c>
      <c r="E18" s="125">
        <v>207.2</v>
      </c>
      <c r="F18" s="125">
        <v>569.40000000000009</v>
      </c>
      <c r="G18" s="125">
        <v>0</v>
      </c>
      <c r="H18" s="125">
        <v>0</v>
      </c>
      <c r="I18" s="122">
        <v>776.60000000000014</v>
      </c>
      <c r="J18" s="122">
        <v>77.66</v>
      </c>
      <c r="K18" s="120">
        <f>VLOOKUP(D18,Excel6!A:H,8,0)</f>
        <v>77.66</v>
      </c>
      <c r="L18" s="120" t="str">
        <f t="shared" si="1"/>
        <v>SANDIKLI / AFYONKARAHİSAR</v>
      </c>
      <c r="M18" s="124">
        <f t="shared" si="2"/>
        <v>0</v>
      </c>
      <c r="N18" s="120"/>
      <c r="O18" s="120"/>
      <c r="P18" s="120"/>
    </row>
    <row r="19" spans="1:16" ht="14.5" x14ac:dyDescent="0.25">
      <c r="A19" s="6">
        <v>18</v>
      </c>
      <c r="B19" s="6" t="s">
        <v>347</v>
      </c>
      <c r="C19" s="6" t="s">
        <v>2143</v>
      </c>
      <c r="D19" s="125" t="str">
        <f t="shared" si="0"/>
        <v>BOLVADİN / AFYONKARAHİSAR</v>
      </c>
      <c r="E19" s="125">
        <v>258.40000000000003</v>
      </c>
      <c r="F19" s="125">
        <v>411</v>
      </c>
      <c r="G19" s="125">
        <v>0</v>
      </c>
      <c r="H19" s="125">
        <v>0</v>
      </c>
      <c r="I19" s="122">
        <v>669.40000000000009</v>
      </c>
      <c r="J19" s="122">
        <v>66.94</v>
      </c>
      <c r="K19" s="120">
        <f>VLOOKUP(D19,Excel6!A:H,8,0)</f>
        <v>66.94</v>
      </c>
      <c r="L19" s="120" t="str">
        <f t="shared" si="1"/>
        <v>BOLVADİN / AFYONKARAHİSAR</v>
      </c>
      <c r="M19" s="124">
        <f t="shared" si="2"/>
        <v>0</v>
      </c>
      <c r="N19" s="120"/>
      <c r="O19" s="120"/>
      <c r="P19" s="120"/>
    </row>
    <row r="20" spans="1:16" ht="14.5" x14ac:dyDescent="0.25">
      <c r="A20" s="6">
        <v>19</v>
      </c>
      <c r="B20" s="6" t="s">
        <v>2305</v>
      </c>
      <c r="C20" s="6" t="s">
        <v>2143</v>
      </c>
      <c r="D20" s="125" t="str">
        <f t="shared" si="0"/>
        <v>SİNANPAŞA / AFYONKARAHİSAR</v>
      </c>
      <c r="E20" s="125">
        <v>299.8</v>
      </c>
      <c r="F20" s="125">
        <v>281.8</v>
      </c>
      <c r="G20" s="125">
        <v>0</v>
      </c>
      <c r="H20" s="125">
        <v>0</v>
      </c>
      <c r="I20" s="122">
        <v>581.6</v>
      </c>
      <c r="J20" s="122">
        <v>58.16</v>
      </c>
      <c r="K20" s="120">
        <f>VLOOKUP(D20,Excel6!A:H,8,0)</f>
        <v>58.16</v>
      </c>
      <c r="L20" s="120" t="str">
        <f t="shared" si="1"/>
        <v>SİNANPAŞA / AFYONKARAHİSAR</v>
      </c>
      <c r="M20" s="124">
        <f t="shared" si="2"/>
        <v>0</v>
      </c>
      <c r="N20" s="120"/>
      <c r="O20" s="120"/>
      <c r="P20" s="120"/>
    </row>
    <row r="21" spans="1:16" ht="14.5" x14ac:dyDescent="0.25">
      <c r="A21" s="6">
        <v>20</v>
      </c>
      <c r="B21" s="6" t="s">
        <v>500</v>
      </c>
      <c r="C21" s="6" t="s">
        <v>2143</v>
      </c>
      <c r="D21" s="125" t="str">
        <f t="shared" si="0"/>
        <v>HOCALAR / AFYONKARAHİSAR</v>
      </c>
      <c r="E21" s="125">
        <v>246.6</v>
      </c>
      <c r="F21" s="125">
        <v>129.80000000000001</v>
      </c>
      <c r="G21" s="125">
        <v>4.2</v>
      </c>
      <c r="H21" s="125">
        <v>57.2</v>
      </c>
      <c r="I21" s="122">
        <v>315</v>
      </c>
      <c r="J21" s="122">
        <v>31.5</v>
      </c>
      <c r="K21" s="120">
        <f>VLOOKUP(D21,Excel6!A:H,8,0)</f>
        <v>31.5</v>
      </c>
      <c r="L21" s="120" t="str">
        <f t="shared" si="1"/>
        <v>HOCALAR / AFYONKARAHİSAR</v>
      </c>
      <c r="M21" s="124">
        <f t="shared" si="2"/>
        <v>0</v>
      </c>
      <c r="N21" s="120"/>
      <c r="O21" s="120"/>
      <c r="P21" s="120"/>
    </row>
    <row r="22" spans="1:16" ht="14.5" x14ac:dyDescent="0.25">
      <c r="A22" s="6">
        <v>21</v>
      </c>
      <c r="B22" s="6" t="s">
        <v>34</v>
      </c>
      <c r="C22" s="24" t="s">
        <v>175</v>
      </c>
      <c r="D22" s="125" t="str">
        <f t="shared" si="0"/>
        <v>MERKEZ / AĞRI</v>
      </c>
      <c r="E22" s="125">
        <v>11599.699999999999</v>
      </c>
      <c r="F22" s="125">
        <v>2700.7</v>
      </c>
      <c r="G22" s="125">
        <v>122.3</v>
      </c>
      <c r="H22" s="125">
        <v>546.9</v>
      </c>
      <c r="I22" s="125">
        <v>13631.2</v>
      </c>
      <c r="J22" s="125">
        <v>1363.12</v>
      </c>
      <c r="K22" s="120">
        <f>VLOOKUP(D22,Excel6!A:H,8,0)</f>
        <v>1363.12</v>
      </c>
      <c r="L22" s="120" t="str">
        <f t="shared" si="1"/>
        <v>MERKEZ / AĞRI</v>
      </c>
      <c r="M22" s="124">
        <f t="shared" si="2"/>
        <v>0</v>
      </c>
      <c r="N22" s="120"/>
      <c r="O22" s="120"/>
      <c r="P22" s="120"/>
    </row>
    <row r="23" spans="1:16" ht="14.5" x14ac:dyDescent="0.25">
      <c r="A23" s="6">
        <v>22</v>
      </c>
      <c r="B23" s="6" t="s">
        <v>426</v>
      </c>
      <c r="C23" s="6" t="s">
        <v>175</v>
      </c>
      <c r="D23" s="125" t="str">
        <f t="shared" si="0"/>
        <v>PATNOS / AĞRI</v>
      </c>
      <c r="E23" s="125">
        <v>6155.3</v>
      </c>
      <c r="F23" s="125">
        <v>221</v>
      </c>
      <c r="G23" s="125">
        <v>255.7</v>
      </c>
      <c r="H23" s="125">
        <v>570.1</v>
      </c>
      <c r="I23" s="122">
        <v>5550.5</v>
      </c>
      <c r="J23" s="122">
        <v>555.05000000000007</v>
      </c>
      <c r="K23" s="120">
        <f>VLOOKUP(D23,Excel6!A:H,8,0)</f>
        <v>555.05000000000007</v>
      </c>
      <c r="L23" s="120" t="str">
        <f t="shared" si="1"/>
        <v>PATNOS / AĞRI</v>
      </c>
      <c r="M23" s="124">
        <f t="shared" si="2"/>
        <v>0</v>
      </c>
      <c r="N23" s="120"/>
      <c r="O23" s="120"/>
      <c r="P23" s="120"/>
    </row>
    <row r="24" spans="1:16" ht="14.5" x14ac:dyDescent="0.25">
      <c r="A24" s="6">
        <v>23</v>
      </c>
      <c r="B24" s="6" t="s">
        <v>425</v>
      </c>
      <c r="C24" s="6" t="s">
        <v>175</v>
      </c>
      <c r="D24" s="125" t="str">
        <f t="shared" si="0"/>
        <v>DOĞUBAYAZIT / AĞRI</v>
      </c>
      <c r="E24" s="125">
        <v>369</v>
      </c>
      <c r="F24" s="125">
        <v>483.9</v>
      </c>
      <c r="G24" s="125">
        <v>25.2</v>
      </c>
      <c r="H24" s="125">
        <v>325</v>
      </c>
      <c r="I24" s="122">
        <v>502.70000000000005</v>
      </c>
      <c r="J24" s="122">
        <v>50.27</v>
      </c>
      <c r="K24" s="120">
        <f>VLOOKUP(D24,Excel6!A:H,8,0)</f>
        <v>50.27</v>
      </c>
      <c r="L24" s="120" t="str">
        <f t="shared" si="1"/>
        <v>DOĞUBAYAZIT / AĞRI</v>
      </c>
      <c r="M24" s="124">
        <f t="shared" si="2"/>
        <v>0</v>
      </c>
      <c r="N24" s="120"/>
      <c r="O24" s="120"/>
      <c r="P24" s="120"/>
    </row>
    <row r="25" spans="1:16" ht="14.5" x14ac:dyDescent="0.25">
      <c r="A25" s="6">
        <v>24</v>
      </c>
      <c r="B25" s="6" t="s">
        <v>34</v>
      </c>
      <c r="C25" s="6" t="s">
        <v>194</v>
      </c>
      <c r="D25" s="125" t="str">
        <f t="shared" si="0"/>
        <v>MERKEZ / AKSARAY</v>
      </c>
      <c r="E25" s="123">
        <v>38513.799999999996</v>
      </c>
      <c r="F25" s="123">
        <v>50050.5</v>
      </c>
      <c r="G25" s="123">
        <v>861.1</v>
      </c>
      <c r="H25" s="123">
        <v>0.4</v>
      </c>
      <c r="I25" s="121">
        <v>87702.799999999988</v>
      </c>
      <c r="J25" s="121">
        <v>8770.2800000000007</v>
      </c>
      <c r="K25" s="120">
        <f>VLOOKUP(D25,Excel6!A:H,8,0)</f>
        <v>8770.2800000000007</v>
      </c>
      <c r="L25" s="120" t="str">
        <f t="shared" si="1"/>
        <v>MERKEZ / AKSARAY</v>
      </c>
      <c r="M25" s="124">
        <f t="shared" si="2"/>
        <v>0</v>
      </c>
      <c r="N25" s="120"/>
      <c r="O25" s="120"/>
      <c r="P25" s="120"/>
    </row>
    <row r="26" spans="1:16" ht="14.5" x14ac:dyDescent="0.25">
      <c r="A26" s="6">
        <v>25</v>
      </c>
      <c r="B26" s="6" t="s">
        <v>2124</v>
      </c>
      <c r="C26" s="24" t="s">
        <v>194</v>
      </c>
      <c r="D26" s="125" t="str">
        <f t="shared" si="0"/>
        <v>SULTANHANI / AKSARAY</v>
      </c>
      <c r="E26" s="125">
        <v>15822.4</v>
      </c>
      <c r="F26" s="125">
        <v>10439.700000000001</v>
      </c>
      <c r="G26" s="125">
        <v>7826.9</v>
      </c>
      <c r="H26" s="125">
        <v>6006.3</v>
      </c>
      <c r="I26" s="125">
        <v>12428.9</v>
      </c>
      <c r="J26" s="125">
        <v>1242.8899999999999</v>
      </c>
      <c r="K26" s="120">
        <f>VLOOKUP(D26,Excel6!A:H,8,0)</f>
        <v>1242.8899999999999</v>
      </c>
      <c r="L26" s="120" t="str">
        <f t="shared" si="1"/>
        <v>SULTANHANI / AKSARAY</v>
      </c>
      <c r="M26" s="124">
        <f t="shared" si="2"/>
        <v>0</v>
      </c>
      <c r="N26" s="120"/>
      <c r="O26" s="120"/>
      <c r="P26" s="120"/>
    </row>
    <row r="27" spans="1:16" ht="14.5" x14ac:dyDescent="0.25">
      <c r="A27" s="6">
        <v>26</v>
      </c>
      <c r="B27" s="6" t="s">
        <v>1993</v>
      </c>
      <c r="C27" s="6" t="s">
        <v>194</v>
      </c>
      <c r="D27" s="125" t="str">
        <f t="shared" si="0"/>
        <v>AĞAÇÖREN / AKSARAY</v>
      </c>
      <c r="E27" s="125"/>
      <c r="F27" s="125">
        <v>4362.3</v>
      </c>
      <c r="G27" s="125"/>
      <c r="H27" s="125">
        <v>0</v>
      </c>
      <c r="I27" s="122">
        <v>4362.3</v>
      </c>
      <c r="J27" s="122">
        <v>436.23</v>
      </c>
      <c r="K27" s="120">
        <f>VLOOKUP(D27,Excel6!A:H,8,0)</f>
        <v>436.23</v>
      </c>
      <c r="L27" s="120" t="str">
        <f t="shared" si="1"/>
        <v>AĞAÇÖREN / AKSARAY</v>
      </c>
      <c r="M27" s="124">
        <f t="shared" si="2"/>
        <v>0</v>
      </c>
      <c r="N27" s="120"/>
      <c r="O27" s="120"/>
      <c r="P27" s="120"/>
    </row>
    <row r="28" spans="1:16" ht="14.5" x14ac:dyDescent="0.25">
      <c r="A28" s="6">
        <v>27</v>
      </c>
      <c r="B28" s="6" t="s">
        <v>2200</v>
      </c>
      <c r="C28" s="6" t="s">
        <v>194</v>
      </c>
      <c r="D28" s="125" t="str">
        <f t="shared" si="0"/>
        <v>ESKİL / AKSARAY</v>
      </c>
      <c r="E28" s="125">
        <v>551</v>
      </c>
      <c r="F28" s="125">
        <v>2947.3</v>
      </c>
      <c r="G28" s="125">
        <v>110.2</v>
      </c>
      <c r="H28" s="125">
        <v>587.1</v>
      </c>
      <c r="I28" s="122">
        <v>2801.0000000000005</v>
      </c>
      <c r="J28" s="122">
        <v>280.10000000000002</v>
      </c>
      <c r="K28" s="120">
        <f>VLOOKUP(D28,Excel6!A:H,8,0)</f>
        <v>280.10000000000002</v>
      </c>
      <c r="L28" s="120" t="str">
        <f t="shared" si="1"/>
        <v>ESKİL / AKSARAY</v>
      </c>
      <c r="M28" s="124">
        <f t="shared" si="2"/>
        <v>0</v>
      </c>
      <c r="N28" s="120"/>
      <c r="O28" s="120"/>
      <c r="P28" s="120"/>
    </row>
    <row r="29" spans="1:16" ht="14.5" x14ac:dyDescent="0.25">
      <c r="A29" s="6">
        <v>28</v>
      </c>
      <c r="B29" s="6" t="s">
        <v>349</v>
      </c>
      <c r="C29" s="6" t="s">
        <v>194</v>
      </c>
      <c r="D29" s="125" t="str">
        <f t="shared" si="0"/>
        <v>ORTAKÖY / AKSARAY</v>
      </c>
      <c r="E29" s="125">
        <v>310.39999999999998</v>
      </c>
      <c r="F29" s="125">
        <v>401.2</v>
      </c>
      <c r="G29" s="125">
        <v>0</v>
      </c>
      <c r="H29" s="125">
        <v>0</v>
      </c>
      <c r="I29" s="122">
        <v>711.59999999999991</v>
      </c>
      <c r="J29" s="122">
        <v>71.16</v>
      </c>
      <c r="K29" s="120">
        <f>VLOOKUP(D29,Excel6!A:H,8,0)</f>
        <v>71.16</v>
      </c>
      <c r="L29" s="120" t="str">
        <f t="shared" si="1"/>
        <v>ORTAKÖY / AKSARAY</v>
      </c>
      <c r="M29" s="124">
        <f t="shared" si="2"/>
        <v>0</v>
      </c>
      <c r="N29" s="120"/>
      <c r="O29" s="120"/>
      <c r="P29" s="120"/>
    </row>
    <row r="30" spans="1:16" ht="14.5" x14ac:dyDescent="0.25">
      <c r="A30" s="6">
        <v>29</v>
      </c>
      <c r="B30" s="6" t="s">
        <v>2395</v>
      </c>
      <c r="C30" s="24" t="s">
        <v>194</v>
      </c>
      <c r="D30" s="125" t="str">
        <f t="shared" si="0"/>
        <v>GÜZELYURT / AKSARAY</v>
      </c>
      <c r="E30" s="126">
        <v>85.8</v>
      </c>
      <c r="F30" s="126">
        <v>51.9</v>
      </c>
      <c r="G30" s="126">
        <v>0.1</v>
      </c>
      <c r="H30" s="126">
        <v>0</v>
      </c>
      <c r="I30" s="126">
        <v>137.6</v>
      </c>
      <c r="J30" s="126">
        <v>13.760000000000002</v>
      </c>
      <c r="K30" s="120">
        <f>VLOOKUP(D30,Excel6!A:H,8,0)</f>
        <v>13.760000000000002</v>
      </c>
      <c r="L30" s="120" t="str">
        <f t="shared" si="1"/>
        <v>GÜZELYURT / AKSARAY</v>
      </c>
      <c r="M30" s="124">
        <f t="shared" si="2"/>
        <v>0</v>
      </c>
      <c r="N30" s="120"/>
      <c r="O30" s="120"/>
      <c r="P30" s="120"/>
    </row>
    <row r="31" spans="1:16" ht="14.5" x14ac:dyDescent="0.25">
      <c r="A31" s="6">
        <v>30</v>
      </c>
      <c r="B31" s="6" t="s">
        <v>34</v>
      </c>
      <c r="C31" s="6" t="s">
        <v>38</v>
      </c>
      <c r="D31" s="125" t="str">
        <f t="shared" si="0"/>
        <v>MERKEZ / AMASYA</v>
      </c>
      <c r="E31" s="125">
        <v>18996.399999999998</v>
      </c>
      <c r="F31" s="125">
        <v>45496</v>
      </c>
      <c r="G31" s="125">
        <v>173.69999999999996</v>
      </c>
      <c r="H31" s="125">
        <v>602.29999999999995</v>
      </c>
      <c r="I31" s="122">
        <v>63716.4</v>
      </c>
      <c r="J31" s="122">
        <v>6371.64</v>
      </c>
      <c r="K31" s="120">
        <f>VLOOKUP(D31,Excel6!A:H,8,0)</f>
        <v>6371.64</v>
      </c>
      <c r="L31" s="120" t="str">
        <f t="shared" si="1"/>
        <v>MERKEZ / AMASYA</v>
      </c>
      <c r="M31" s="124">
        <f t="shared" si="2"/>
        <v>0</v>
      </c>
      <c r="N31" s="120"/>
      <c r="O31" s="120"/>
      <c r="P31" s="120"/>
    </row>
    <row r="32" spans="1:16" ht="14.5" x14ac:dyDescent="0.25">
      <c r="A32" s="6">
        <v>31</v>
      </c>
      <c r="B32" s="6" t="s">
        <v>230</v>
      </c>
      <c r="C32" s="6" t="s">
        <v>38</v>
      </c>
      <c r="D32" s="125" t="str">
        <f t="shared" si="0"/>
        <v>MERZİFON / AMASYA</v>
      </c>
      <c r="E32" s="125">
        <v>5248.4</v>
      </c>
      <c r="F32" s="125">
        <v>2442.3000000000002</v>
      </c>
      <c r="G32" s="125">
        <v>45</v>
      </c>
      <c r="H32" s="125">
        <v>402.8</v>
      </c>
      <c r="I32" s="122">
        <v>7242.9</v>
      </c>
      <c r="J32" s="122">
        <v>724.29000000000008</v>
      </c>
      <c r="K32" s="120">
        <f>VLOOKUP(D32,Excel6!A:H,8,0)</f>
        <v>724.29000000000008</v>
      </c>
      <c r="L32" s="120" t="str">
        <f t="shared" si="1"/>
        <v>MERZİFON / AMASYA</v>
      </c>
      <c r="M32" s="124">
        <f t="shared" si="2"/>
        <v>0</v>
      </c>
      <c r="N32" s="120"/>
      <c r="O32" s="120"/>
      <c r="P32" s="120"/>
    </row>
    <row r="33" spans="1:16" ht="14.5" x14ac:dyDescent="0.25">
      <c r="A33" s="6">
        <v>32</v>
      </c>
      <c r="B33" s="24" t="s">
        <v>427</v>
      </c>
      <c r="C33" s="6" t="s">
        <v>38</v>
      </c>
      <c r="D33" s="125" t="str">
        <f t="shared" si="0"/>
        <v>GÜMÜŞHACIKÖY / AMASYA</v>
      </c>
      <c r="E33" s="125">
        <v>377.1</v>
      </c>
      <c r="F33" s="125">
        <v>313.3</v>
      </c>
      <c r="G33" s="125">
        <v>0</v>
      </c>
      <c r="H33" s="125">
        <v>0</v>
      </c>
      <c r="I33" s="122">
        <v>690.40000000000009</v>
      </c>
      <c r="J33" s="122">
        <v>69.039999999999992</v>
      </c>
      <c r="K33" s="120">
        <f>VLOOKUP(D33,Excel6!A:H,8,0)</f>
        <v>69.039999999999992</v>
      </c>
      <c r="L33" s="120" t="str">
        <f t="shared" si="1"/>
        <v>GÜMÜŞHACIKÖY / AMASYA</v>
      </c>
      <c r="M33" s="124">
        <f t="shared" si="2"/>
        <v>0</v>
      </c>
      <c r="N33" s="120"/>
      <c r="O33" s="120"/>
      <c r="P33" s="120"/>
    </row>
    <row r="34" spans="1:16" ht="14.5" x14ac:dyDescent="0.25">
      <c r="A34" s="6">
        <v>33</v>
      </c>
      <c r="B34" s="6" t="s">
        <v>2624</v>
      </c>
      <c r="C34" s="6" t="s">
        <v>38</v>
      </c>
      <c r="D34" s="125" t="str">
        <f t="shared" si="0"/>
        <v>GÖYNÜCEK / AMASYA</v>
      </c>
      <c r="E34" s="125">
        <v>5.4</v>
      </c>
      <c r="F34" s="125">
        <v>103.3</v>
      </c>
      <c r="G34" s="125">
        <v>0</v>
      </c>
      <c r="H34" s="125">
        <v>0</v>
      </c>
      <c r="I34" s="122">
        <v>108.7</v>
      </c>
      <c r="J34" s="122">
        <v>10.870000000000001</v>
      </c>
      <c r="K34" s="120">
        <f>VLOOKUP(D34,Excel6!A:H,8,0)</f>
        <v>10.870000000000001</v>
      </c>
      <c r="L34" s="120" t="str">
        <f t="shared" si="1"/>
        <v>GÖYNÜCEK / AMASYA</v>
      </c>
      <c r="M34" s="124">
        <f t="shared" si="2"/>
        <v>0</v>
      </c>
      <c r="N34" s="120"/>
      <c r="O34" s="120"/>
      <c r="P34" s="120"/>
    </row>
    <row r="35" spans="1:16" ht="14.5" x14ac:dyDescent="0.25">
      <c r="A35" s="6">
        <v>34</v>
      </c>
      <c r="B35" s="6" t="s">
        <v>328</v>
      </c>
      <c r="C35" s="6" t="s">
        <v>38</v>
      </c>
      <c r="D35" s="125" t="str">
        <f t="shared" si="0"/>
        <v>TAŞOVA / AMASYA</v>
      </c>
      <c r="E35" s="125">
        <v>5.4</v>
      </c>
      <c r="F35" s="125">
        <v>103.3</v>
      </c>
      <c r="G35" s="125">
        <v>0</v>
      </c>
      <c r="H35" s="125">
        <v>0</v>
      </c>
      <c r="I35" s="125">
        <v>108.7</v>
      </c>
      <c r="J35" s="125">
        <v>10.870000000000001</v>
      </c>
      <c r="K35" s="120">
        <f>VLOOKUP(D35,Excel6!A:H,8,0)</f>
        <v>10.870000000000001</v>
      </c>
      <c r="L35" s="120" t="str">
        <f t="shared" si="1"/>
        <v>TAŞOVA / AMASYA</v>
      </c>
      <c r="M35" s="124">
        <f t="shared" si="2"/>
        <v>0</v>
      </c>
      <c r="N35" s="120"/>
      <c r="O35" s="120"/>
      <c r="P35" s="120"/>
    </row>
    <row r="36" spans="1:16" ht="14.5" x14ac:dyDescent="0.25">
      <c r="A36" s="6">
        <v>35</v>
      </c>
      <c r="B36" s="6" t="s">
        <v>428</v>
      </c>
      <c r="C36" s="6" t="s">
        <v>38</v>
      </c>
      <c r="D36" s="125" t="str">
        <f t="shared" si="0"/>
        <v>SULUOVA / AMASYA</v>
      </c>
      <c r="E36" s="125">
        <v>207</v>
      </c>
      <c r="F36" s="125"/>
      <c r="G36" s="125">
        <v>126.4</v>
      </c>
      <c r="H36" s="125"/>
      <c r="I36" s="125">
        <v>80.599999999999994</v>
      </c>
      <c r="J36" s="125">
        <v>8.0599999999999987</v>
      </c>
      <c r="K36" s="120">
        <f>VLOOKUP(D36,Excel6!A:H,8,0)</f>
        <v>8.0599999999999987</v>
      </c>
      <c r="L36" s="120" t="str">
        <f t="shared" si="1"/>
        <v>SULUOVA / AMASYA</v>
      </c>
      <c r="M36" s="124">
        <f t="shared" si="2"/>
        <v>0</v>
      </c>
      <c r="N36" s="120"/>
      <c r="O36" s="120"/>
      <c r="P36" s="120"/>
    </row>
    <row r="37" spans="1:16" ht="14.5" x14ac:dyDescent="0.25">
      <c r="A37" s="6">
        <v>36</v>
      </c>
      <c r="B37" s="6" t="s">
        <v>1851</v>
      </c>
      <c r="C37" s="6" t="s">
        <v>31</v>
      </c>
      <c r="D37" s="125" t="str">
        <f t="shared" si="0"/>
        <v>ANKARA BÜYÜKŞEHİR / ANKARA</v>
      </c>
      <c r="E37" s="125">
        <v>1011237.3000000003</v>
      </c>
      <c r="F37" s="125">
        <v>1497153.79</v>
      </c>
      <c r="G37" s="125">
        <v>51577.409999999996</v>
      </c>
      <c r="H37" s="125">
        <v>107930.45999999999</v>
      </c>
      <c r="I37" s="122">
        <v>2348883.2200000002</v>
      </c>
      <c r="J37" s="122">
        <v>234888.37000000002</v>
      </c>
      <c r="K37" s="120">
        <f>VLOOKUP(D37,Excel6!A:H,8,0)</f>
        <v>234888.37000000002</v>
      </c>
      <c r="L37" s="120" t="str">
        <f t="shared" si="1"/>
        <v>ANKARA BÜYÜKŞEHİR / ANKARA</v>
      </c>
      <c r="M37" s="124">
        <f t="shared" si="2"/>
        <v>0</v>
      </c>
      <c r="N37" s="120"/>
      <c r="O37" s="120"/>
      <c r="P37" s="120"/>
    </row>
    <row r="38" spans="1:16" ht="14.5" x14ac:dyDescent="0.25">
      <c r="A38" s="6">
        <v>37</v>
      </c>
      <c r="B38" s="6" t="s">
        <v>1852</v>
      </c>
      <c r="C38" s="6" t="s">
        <v>40</v>
      </c>
      <c r="D38" s="125" t="str">
        <f t="shared" si="0"/>
        <v>ANTALYA BÜYÜKŞEHİR / ANTALYA</v>
      </c>
      <c r="E38" s="125">
        <v>656158.68000000017</v>
      </c>
      <c r="F38" s="125">
        <v>1043094.9499999997</v>
      </c>
      <c r="G38" s="125">
        <v>66212.219999999987</v>
      </c>
      <c r="H38" s="125">
        <v>73315.48000000001</v>
      </c>
      <c r="I38" s="122">
        <v>1559725.93</v>
      </c>
      <c r="J38" s="122">
        <v>155972.60999999999</v>
      </c>
      <c r="K38" s="120">
        <f>VLOOKUP(D38,Excel6!A:H,8,0)</f>
        <v>155972.60999999999</v>
      </c>
      <c r="L38" s="120" t="str">
        <f t="shared" si="1"/>
        <v>ANTALYA BÜYÜKŞEHİR / ANTALYA</v>
      </c>
      <c r="M38" s="124">
        <f t="shared" si="2"/>
        <v>0</v>
      </c>
      <c r="N38" s="120"/>
      <c r="O38" s="120"/>
      <c r="P38" s="120"/>
    </row>
    <row r="39" spans="1:16" ht="14.5" x14ac:dyDescent="0.25">
      <c r="A39" s="6">
        <v>38</v>
      </c>
      <c r="B39" s="6" t="s">
        <v>34</v>
      </c>
      <c r="C39" s="6" t="s">
        <v>313</v>
      </c>
      <c r="D39" s="125" t="str">
        <f t="shared" si="0"/>
        <v>MERKEZ / ARDAHAN</v>
      </c>
      <c r="E39" s="125">
        <v>4355</v>
      </c>
      <c r="F39" s="125">
        <v>2429.3000000000002</v>
      </c>
      <c r="G39" s="125">
        <v>1738.6</v>
      </c>
      <c r="H39" s="125">
        <v>28.3</v>
      </c>
      <c r="I39" s="122">
        <v>5017.3999999999996</v>
      </c>
      <c r="J39" s="122">
        <v>501.74</v>
      </c>
      <c r="K39" s="120">
        <f>VLOOKUP(D39,Excel6!A:H,8,0)</f>
        <v>501.74</v>
      </c>
      <c r="L39" s="120" t="str">
        <f t="shared" si="1"/>
        <v>MERKEZ / ARDAHAN</v>
      </c>
      <c r="M39" s="124">
        <f t="shared" si="2"/>
        <v>0</v>
      </c>
      <c r="N39" s="120"/>
      <c r="O39" s="120"/>
      <c r="P39" s="120"/>
    </row>
    <row r="40" spans="1:16" ht="14.5" x14ac:dyDescent="0.25">
      <c r="A40" s="6">
        <v>39</v>
      </c>
      <c r="B40" s="6" t="s">
        <v>514</v>
      </c>
      <c r="C40" s="6" t="s">
        <v>313</v>
      </c>
      <c r="D40" s="125" t="str">
        <f t="shared" si="0"/>
        <v>GÖLE / ARDAHAN</v>
      </c>
      <c r="E40" s="125">
        <v>1702.7</v>
      </c>
      <c r="F40" s="125">
        <v>502.7</v>
      </c>
      <c r="G40" s="125">
        <v>0</v>
      </c>
      <c r="H40" s="125">
        <v>0</v>
      </c>
      <c r="I40" s="122">
        <v>2205.4</v>
      </c>
      <c r="J40" s="122">
        <v>220.54000000000002</v>
      </c>
      <c r="K40" s="120">
        <f>VLOOKUP(D40,Excel6!A:H,8,0)</f>
        <v>220.54000000000002</v>
      </c>
      <c r="L40" s="120" t="str">
        <f t="shared" si="1"/>
        <v>GÖLE / ARDAHAN</v>
      </c>
      <c r="M40" s="124">
        <f t="shared" si="2"/>
        <v>0</v>
      </c>
      <c r="N40" s="120"/>
      <c r="O40" s="120"/>
      <c r="P40" s="120"/>
    </row>
    <row r="41" spans="1:16" ht="14.5" x14ac:dyDescent="0.25">
      <c r="A41" s="6">
        <v>40</v>
      </c>
      <c r="B41" s="6" t="s">
        <v>2849</v>
      </c>
      <c r="C41" s="6" t="s">
        <v>313</v>
      </c>
      <c r="D41" s="125" t="str">
        <f t="shared" si="0"/>
        <v>HANAK / ARDAHAN</v>
      </c>
      <c r="E41" s="125">
        <v>455.8</v>
      </c>
      <c r="F41" s="125">
        <v>45.8</v>
      </c>
      <c r="G41" s="125">
        <v>0</v>
      </c>
      <c r="H41" s="125">
        <v>0</v>
      </c>
      <c r="I41" s="122">
        <v>501.6</v>
      </c>
      <c r="J41" s="122">
        <v>50.16</v>
      </c>
      <c r="K41" s="120">
        <f>VLOOKUP(D41,Excel6!A:H,8,0)</f>
        <v>50.16</v>
      </c>
      <c r="L41" s="120" t="str">
        <f t="shared" si="1"/>
        <v>HANAK / ARDAHAN</v>
      </c>
      <c r="M41" s="124">
        <f t="shared" si="2"/>
        <v>0</v>
      </c>
      <c r="N41" s="120"/>
      <c r="O41" s="120"/>
      <c r="P41" s="120"/>
    </row>
    <row r="42" spans="1:16" ht="14.5" x14ac:dyDescent="0.25">
      <c r="A42" s="6">
        <v>41</v>
      </c>
      <c r="B42" s="6" t="s">
        <v>433</v>
      </c>
      <c r="C42" s="6" t="s">
        <v>313</v>
      </c>
      <c r="D42" s="125" t="str">
        <f t="shared" si="0"/>
        <v>POSOF / ARDAHAN</v>
      </c>
      <c r="E42" s="125">
        <v>4.5999999999999996</v>
      </c>
      <c r="F42" s="125">
        <v>478.5</v>
      </c>
      <c r="G42" s="125">
        <v>0</v>
      </c>
      <c r="H42" s="125">
        <v>0</v>
      </c>
      <c r="I42" s="122">
        <v>483.1</v>
      </c>
      <c r="J42" s="122">
        <v>48.31</v>
      </c>
      <c r="K42" s="120">
        <f>VLOOKUP(D42,Excel6!A:H,8,0)</f>
        <v>48.31</v>
      </c>
      <c r="L42" s="120" t="str">
        <f t="shared" si="1"/>
        <v>POSOF / ARDAHAN</v>
      </c>
      <c r="M42" s="124">
        <f t="shared" si="2"/>
        <v>0</v>
      </c>
      <c r="N42" s="120"/>
      <c r="O42" s="120"/>
      <c r="P42" s="120"/>
    </row>
    <row r="43" spans="1:16" ht="14.5" x14ac:dyDescent="0.25">
      <c r="A43" s="6">
        <v>42</v>
      </c>
      <c r="B43" s="6" t="s">
        <v>2885</v>
      </c>
      <c r="C43" s="6" t="s">
        <v>313</v>
      </c>
      <c r="D43" s="125" t="str">
        <f t="shared" si="0"/>
        <v>DAMAL / ARDAHAN</v>
      </c>
      <c r="E43" s="125">
        <v>288.7</v>
      </c>
      <c r="F43" s="125">
        <v>186.4</v>
      </c>
      <c r="G43" s="125">
        <v>0</v>
      </c>
      <c r="H43" s="125">
        <v>0</v>
      </c>
      <c r="I43" s="122">
        <v>475.1</v>
      </c>
      <c r="J43" s="122">
        <v>47.510000000000005</v>
      </c>
      <c r="K43" s="120">
        <f>VLOOKUP(D43,Excel6!A:H,8,0)</f>
        <v>47.510000000000005</v>
      </c>
      <c r="L43" s="120" t="str">
        <f t="shared" si="1"/>
        <v>DAMAL / ARDAHAN</v>
      </c>
      <c r="M43" s="124">
        <f t="shared" si="2"/>
        <v>0</v>
      </c>
      <c r="N43" s="120"/>
      <c r="O43" s="120"/>
      <c r="P43" s="120"/>
    </row>
    <row r="44" spans="1:16" ht="14.5" x14ac:dyDescent="0.25">
      <c r="A44" s="6">
        <v>43</v>
      </c>
      <c r="B44" s="6" t="s">
        <v>515</v>
      </c>
      <c r="C44" s="6" t="s">
        <v>2</v>
      </c>
      <c r="D44" s="125" t="str">
        <f t="shared" si="0"/>
        <v>HOPA / ARTVİN</v>
      </c>
      <c r="E44" s="125">
        <v>2585.6999999999998</v>
      </c>
      <c r="F44" s="125">
        <v>1052.9000000000001</v>
      </c>
      <c r="G44" s="125">
        <v>998.5</v>
      </c>
      <c r="H44" s="125">
        <v>0</v>
      </c>
      <c r="I44" s="122">
        <v>2640.1000000000004</v>
      </c>
      <c r="J44" s="122">
        <v>264.01</v>
      </c>
      <c r="K44" s="120">
        <f>VLOOKUP(D44,Excel6!A:H,8,0)</f>
        <v>264.01</v>
      </c>
      <c r="L44" s="120" t="str">
        <f t="shared" si="1"/>
        <v>HOPA / ARTVİN</v>
      </c>
      <c r="M44" s="124">
        <f t="shared" si="2"/>
        <v>0</v>
      </c>
    </row>
    <row r="45" spans="1:16" ht="14.5" x14ac:dyDescent="0.25">
      <c r="A45" s="6">
        <v>44</v>
      </c>
      <c r="B45" s="6" t="s">
        <v>34</v>
      </c>
      <c r="C45" s="6" t="s">
        <v>2</v>
      </c>
      <c r="D45" s="125" t="str">
        <f t="shared" si="0"/>
        <v>MERKEZ / ARTVİN</v>
      </c>
      <c r="E45" s="125">
        <v>1202.2</v>
      </c>
      <c r="F45" s="125">
        <v>2736.7</v>
      </c>
      <c r="G45" s="125">
        <v>714.6</v>
      </c>
      <c r="H45" s="125">
        <v>2192.6</v>
      </c>
      <c r="I45" s="122">
        <v>1031.7</v>
      </c>
      <c r="J45" s="122">
        <v>103.16999999999999</v>
      </c>
      <c r="K45" s="120">
        <f>VLOOKUP(D45,Excel6!A:H,8,0)</f>
        <v>103.16999999999999</v>
      </c>
      <c r="L45" s="120" t="str">
        <f t="shared" si="1"/>
        <v>MERKEZ / ARTVİN</v>
      </c>
      <c r="M45" s="124">
        <f t="shared" si="2"/>
        <v>0</v>
      </c>
      <c r="N45" s="120"/>
      <c r="O45" s="120"/>
      <c r="P45" s="120"/>
    </row>
    <row r="46" spans="1:16" ht="14.5" x14ac:dyDescent="0.25">
      <c r="A46" s="6">
        <v>45</v>
      </c>
      <c r="B46" s="6" t="s">
        <v>2264</v>
      </c>
      <c r="C46" s="6" t="s">
        <v>2</v>
      </c>
      <c r="D46" s="125" t="str">
        <f t="shared" si="0"/>
        <v>YUSUFELİ / ARTVİN</v>
      </c>
      <c r="E46" s="125">
        <v>507.2</v>
      </c>
      <c r="F46" s="125">
        <v>240.3</v>
      </c>
      <c r="G46" s="125">
        <v>0</v>
      </c>
      <c r="H46" s="125">
        <v>0</v>
      </c>
      <c r="I46" s="121">
        <v>747.5</v>
      </c>
      <c r="J46" s="121">
        <v>74.75</v>
      </c>
      <c r="K46" s="120">
        <f>VLOOKUP(D46,Excel6!A:H,8,0)</f>
        <v>74.75</v>
      </c>
      <c r="L46" s="120" t="str">
        <f t="shared" si="1"/>
        <v>YUSUFELİ / ARTVİN</v>
      </c>
      <c r="M46" s="124">
        <f t="shared" si="2"/>
        <v>0</v>
      </c>
      <c r="N46" s="120"/>
      <c r="O46" s="120"/>
      <c r="P46" s="120"/>
    </row>
    <row r="47" spans="1:16" ht="14.5" x14ac:dyDescent="0.25">
      <c r="A47" s="6">
        <v>46</v>
      </c>
      <c r="B47" s="6" t="s">
        <v>2108</v>
      </c>
      <c r="C47" s="6" t="s">
        <v>2</v>
      </c>
      <c r="D47" s="125" t="str">
        <f t="shared" si="0"/>
        <v>ARHAVİ / ARTVİN</v>
      </c>
      <c r="E47" s="125">
        <v>178.6</v>
      </c>
      <c r="F47" s="125">
        <v>433.3</v>
      </c>
      <c r="G47" s="125">
        <v>0</v>
      </c>
      <c r="H47" s="125">
        <v>0</v>
      </c>
      <c r="I47" s="122">
        <v>611.9</v>
      </c>
      <c r="J47" s="122">
        <v>61.19</v>
      </c>
      <c r="K47" s="120">
        <f>VLOOKUP(D47,Excel6!A:H,8,0)</f>
        <v>61.19</v>
      </c>
      <c r="L47" s="120" t="str">
        <f t="shared" si="1"/>
        <v>ARHAVİ / ARTVİN</v>
      </c>
      <c r="M47" s="124">
        <f t="shared" si="2"/>
        <v>0</v>
      </c>
      <c r="N47" s="120"/>
      <c r="O47" s="120"/>
      <c r="P47" s="120"/>
    </row>
    <row r="48" spans="1:16" ht="14.5" x14ac:dyDescent="0.25">
      <c r="A48" s="6">
        <v>47</v>
      </c>
      <c r="B48" s="6" t="s">
        <v>2016</v>
      </c>
      <c r="C48" s="6" t="s">
        <v>42</v>
      </c>
      <c r="D48" s="125" t="str">
        <f t="shared" si="0"/>
        <v>AYDIN BÜYÜKŞEHİR / AYDIN</v>
      </c>
      <c r="E48" s="125">
        <v>99432.099999999991</v>
      </c>
      <c r="F48" s="125">
        <v>122188.51000000005</v>
      </c>
      <c r="G48" s="125">
        <v>11764.01</v>
      </c>
      <c r="H48" s="125">
        <v>16220.01</v>
      </c>
      <c r="I48" s="122">
        <v>193636.59000000003</v>
      </c>
      <c r="J48" s="122">
        <v>19363.680000000004</v>
      </c>
      <c r="K48" s="120">
        <f>VLOOKUP(D48,Excel6!A:H,8,0)</f>
        <v>19363.680000000004</v>
      </c>
      <c r="L48" s="120" t="str">
        <f t="shared" si="1"/>
        <v>AYDIN BÜYÜKŞEHİR / AYDIN</v>
      </c>
      <c r="M48" s="124">
        <f t="shared" si="2"/>
        <v>0</v>
      </c>
      <c r="N48" s="120"/>
      <c r="O48" s="120"/>
      <c r="P48" s="120"/>
    </row>
    <row r="49" spans="1:18" ht="14.5" x14ac:dyDescent="0.25">
      <c r="A49" s="6">
        <v>48</v>
      </c>
      <c r="B49" s="24" t="s">
        <v>2017</v>
      </c>
      <c r="C49" s="6" t="s">
        <v>44</v>
      </c>
      <c r="D49" s="125" t="str">
        <f t="shared" si="0"/>
        <v>BALIKESİR BÜYÜKŞEHİR / BALIKESİR</v>
      </c>
      <c r="E49" s="125">
        <v>153308.38</v>
      </c>
      <c r="F49" s="125">
        <v>170715.19999999998</v>
      </c>
      <c r="G49" s="125">
        <v>20562.05</v>
      </c>
      <c r="H49" s="125">
        <v>24789.640000000003</v>
      </c>
      <c r="I49" s="122">
        <v>278671.89</v>
      </c>
      <c r="J49" s="122">
        <v>27867.180000000004</v>
      </c>
      <c r="K49" s="120">
        <f>VLOOKUP(D49,Excel6!A:H,8,0)</f>
        <v>27867.180000000004</v>
      </c>
      <c r="L49" s="120" t="str">
        <f t="shared" si="1"/>
        <v>BALIKESİR BÜYÜKŞEHİR / BALIKESİR</v>
      </c>
      <c r="M49" s="124">
        <f t="shared" si="2"/>
        <v>0</v>
      </c>
      <c r="N49" s="120"/>
      <c r="O49" s="120"/>
      <c r="P49" s="120"/>
    </row>
    <row r="50" spans="1:18" ht="14.5" x14ac:dyDescent="0.25">
      <c r="A50" s="6">
        <v>49</v>
      </c>
      <c r="B50" s="6" t="s">
        <v>1816</v>
      </c>
      <c r="C50" s="6" t="s">
        <v>67</v>
      </c>
      <c r="D50" s="125" t="str">
        <f t="shared" si="0"/>
        <v>ULUS / BARTIN</v>
      </c>
      <c r="E50" s="125">
        <v>3079.4</v>
      </c>
      <c r="F50" s="125">
        <v>5614.4</v>
      </c>
      <c r="G50" s="125">
        <v>0</v>
      </c>
      <c r="H50" s="125">
        <v>0</v>
      </c>
      <c r="I50" s="122">
        <v>8693.7999999999993</v>
      </c>
      <c r="J50" s="122">
        <v>869.37999999999988</v>
      </c>
      <c r="K50" s="120">
        <f>VLOOKUP(D50,Excel6!A:H,8,0)</f>
        <v>869.37999999999988</v>
      </c>
      <c r="L50" s="120" t="str">
        <f t="shared" si="1"/>
        <v>ULUS / BARTIN</v>
      </c>
      <c r="M50" s="124">
        <f t="shared" si="2"/>
        <v>0</v>
      </c>
      <c r="N50" s="120"/>
      <c r="O50" s="120"/>
      <c r="P50" s="120"/>
    </row>
    <row r="51" spans="1:18" ht="14.5" x14ac:dyDescent="0.3">
      <c r="A51" s="6">
        <v>50</v>
      </c>
      <c r="B51" s="6" t="s">
        <v>34</v>
      </c>
      <c r="C51" s="6" t="s">
        <v>67</v>
      </c>
      <c r="D51" s="125" t="str">
        <f t="shared" si="0"/>
        <v>MERKEZ / BARTIN</v>
      </c>
      <c r="E51" s="125">
        <v>4742.4000000000005</v>
      </c>
      <c r="F51" s="125">
        <v>8669.9</v>
      </c>
      <c r="G51" s="125">
        <v>2660.5</v>
      </c>
      <c r="H51" s="125">
        <v>6140</v>
      </c>
      <c r="I51" s="122">
        <v>4611.7999999999993</v>
      </c>
      <c r="J51" s="122">
        <v>461.18999999999994</v>
      </c>
      <c r="K51" s="120">
        <f>VLOOKUP(D51,Excel6!A:H,8,0)</f>
        <v>461.18999999999994</v>
      </c>
      <c r="L51" s="120" t="str">
        <f t="shared" si="1"/>
        <v>MERKEZ / BARTIN</v>
      </c>
      <c r="M51" s="124">
        <f t="shared" si="2"/>
        <v>0</v>
      </c>
      <c r="N51" s="120"/>
      <c r="O51" s="120"/>
      <c r="P51" s="120"/>
      <c r="Q51" s="16"/>
      <c r="R51" s="16"/>
    </row>
    <row r="52" spans="1:18" ht="14.5" x14ac:dyDescent="0.25">
      <c r="A52" s="6">
        <v>51</v>
      </c>
      <c r="B52" s="6" t="s">
        <v>2317</v>
      </c>
      <c r="C52" s="6" t="s">
        <v>67</v>
      </c>
      <c r="D52" s="125" t="str">
        <f t="shared" si="0"/>
        <v>KURUCAŞİLE / BARTIN</v>
      </c>
      <c r="E52" s="125">
        <v>84.7</v>
      </c>
      <c r="F52" s="125">
        <v>34</v>
      </c>
      <c r="G52" s="125">
        <v>0</v>
      </c>
      <c r="H52" s="125">
        <v>0</v>
      </c>
      <c r="I52" s="122">
        <v>118.7</v>
      </c>
      <c r="J52" s="122">
        <v>11.870000000000001</v>
      </c>
      <c r="K52" s="120">
        <f>VLOOKUP(D52,Excel6!A:H,8,0)</f>
        <v>11.870000000000001</v>
      </c>
      <c r="L52" s="120" t="str">
        <f t="shared" si="1"/>
        <v>KURUCAŞİLE / BARTIN</v>
      </c>
      <c r="M52" s="124">
        <f t="shared" si="2"/>
        <v>0</v>
      </c>
      <c r="N52" s="120"/>
      <c r="O52" s="120"/>
      <c r="P52" s="120"/>
    </row>
    <row r="53" spans="1:18" ht="14.5" x14ac:dyDescent="0.25">
      <c r="A53" s="6">
        <v>52</v>
      </c>
      <c r="B53" s="6" t="s">
        <v>2315</v>
      </c>
      <c r="C53" s="6" t="s">
        <v>67</v>
      </c>
      <c r="D53" s="125" t="str">
        <f t="shared" si="0"/>
        <v>AMASRA / BARTIN</v>
      </c>
      <c r="E53" s="125">
        <v>73.3</v>
      </c>
      <c r="F53" s="125">
        <v>21.2</v>
      </c>
      <c r="G53" s="125">
        <v>1.3</v>
      </c>
      <c r="H53" s="125">
        <v>0</v>
      </c>
      <c r="I53" s="125">
        <v>93.2</v>
      </c>
      <c r="J53" s="125">
        <v>9.32</v>
      </c>
      <c r="K53" s="120">
        <f>VLOOKUP(D53,Excel6!A:H,8,0)</f>
        <v>9.32</v>
      </c>
      <c r="L53" s="120" t="str">
        <f t="shared" si="1"/>
        <v>AMASRA / BARTIN</v>
      </c>
      <c r="M53" s="124">
        <f t="shared" si="2"/>
        <v>0</v>
      </c>
      <c r="N53" s="120"/>
      <c r="O53" s="120"/>
      <c r="P53" s="120"/>
    </row>
    <row r="54" spans="1:18" ht="14.5" x14ac:dyDescent="0.25">
      <c r="A54" s="6">
        <v>53</v>
      </c>
      <c r="B54" s="24" t="s">
        <v>527</v>
      </c>
      <c r="C54" s="6" t="s">
        <v>49</v>
      </c>
      <c r="D54" s="125" t="str">
        <f t="shared" si="0"/>
        <v>BEŞİRİ / BATMAN</v>
      </c>
      <c r="E54" s="125">
        <v>7693</v>
      </c>
      <c r="F54" s="125">
        <v>4700.6000000000004</v>
      </c>
      <c r="G54" s="125">
        <v>0</v>
      </c>
      <c r="H54" s="125">
        <v>0</v>
      </c>
      <c r="I54" s="122">
        <v>12393.6</v>
      </c>
      <c r="J54" s="122">
        <v>1239.3599999999999</v>
      </c>
      <c r="K54" s="120">
        <f>VLOOKUP(D54,Excel6!A:H,8,0)</f>
        <v>1239.3599999999999</v>
      </c>
      <c r="L54" s="120" t="str">
        <f t="shared" si="1"/>
        <v>BEŞİRİ / BATMAN</v>
      </c>
      <c r="M54" s="124">
        <f t="shared" si="2"/>
        <v>0</v>
      </c>
      <c r="N54" s="120"/>
      <c r="O54" s="120"/>
      <c r="P54" s="120"/>
    </row>
    <row r="55" spans="1:18" ht="14.5" x14ac:dyDescent="0.25">
      <c r="A55" s="6">
        <v>54</v>
      </c>
      <c r="B55" s="6" t="s">
        <v>34</v>
      </c>
      <c r="C55" s="24" t="s">
        <v>49</v>
      </c>
      <c r="D55" s="125" t="str">
        <f t="shared" si="0"/>
        <v>MERKEZ / BATMAN</v>
      </c>
      <c r="E55" s="123">
        <v>11720.9</v>
      </c>
      <c r="F55" s="123">
        <v>14569.2</v>
      </c>
      <c r="G55" s="123">
        <v>5629.2</v>
      </c>
      <c r="H55" s="123">
        <v>8621.2999999999993</v>
      </c>
      <c r="I55" s="123">
        <v>12039.599999999999</v>
      </c>
      <c r="J55" s="123">
        <v>1203.96</v>
      </c>
      <c r="K55" s="120">
        <f>VLOOKUP(D55,Excel6!A:H,8,0)</f>
        <v>1203.96</v>
      </c>
      <c r="L55" s="120" t="str">
        <f t="shared" si="1"/>
        <v>MERKEZ / BATMAN</v>
      </c>
      <c r="M55" s="124">
        <f t="shared" si="2"/>
        <v>0</v>
      </c>
      <c r="N55" s="120"/>
      <c r="O55" s="120"/>
      <c r="P55" s="120"/>
    </row>
    <row r="56" spans="1:18" ht="14.5" x14ac:dyDescent="0.25">
      <c r="A56" s="6">
        <v>55</v>
      </c>
      <c r="B56" s="6" t="s">
        <v>2243</v>
      </c>
      <c r="C56" s="24" t="s">
        <v>49</v>
      </c>
      <c r="D56" s="125" t="str">
        <f t="shared" si="0"/>
        <v>GERCÜŞ / BATMAN</v>
      </c>
      <c r="E56" s="125">
        <v>6.1</v>
      </c>
      <c r="F56" s="125">
        <v>957.8</v>
      </c>
      <c r="G56" s="125">
        <v>0</v>
      </c>
      <c r="H56" s="125">
        <v>0</v>
      </c>
      <c r="I56" s="125">
        <v>963.9</v>
      </c>
      <c r="J56" s="125">
        <v>96.39</v>
      </c>
      <c r="K56" s="120">
        <f>VLOOKUP(D56,Excel6!A:H,8,0)</f>
        <v>96.39</v>
      </c>
      <c r="L56" s="120" t="str">
        <f t="shared" si="1"/>
        <v>GERCÜŞ / BATMAN</v>
      </c>
      <c r="M56" s="124">
        <f t="shared" si="2"/>
        <v>0</v>
      </c>
      <c r="N56" s="120"/>
      <c r="O56" s="120"/>
      <c r="P56" s="120"/>
    </row>
    <row r="57" spans="1:18" ht="14.5" x14ac:dyDescent="0.25">
      <c r="A57" s="6">
        <v>56</v>
      </c>
      <c r="B57" s="6" t="s">
        <v>34</v>
      </c>
      <c r="C57" s="6" t="s">
        <v>529</v>
      </c>
      <c r="D57" s="125" t="str">
        <f t="shared" si="0"/>
        <v>MERKEZ / BAYBURT</v>
      </c>
      <c r="E57" s="125">
        <v>15.6</v>
      </c>
      <c r="F57" s="125">
        <v>94.4</v>
      </c>
      <c r="G57" s="125">
        <v>0</v>
      </c>
      <c r="H57" s="125">
        <v>0</v>
      </c>
      <c r="I57" s="122">
        <v>110</v>
      </c>
      <c r="J57" s="122">
        <v>11</v>
      </c>
      <c r="K57" s="120">
        <f>VLOOKUP(D57,Excel6!A:H,8,0)</f>
        <v>11</v>
      </c>
      <c r="L57" s="120" t="str">
        <f t="shared" si="1"/>
        <v>MERKEZ / BAYBURT</v>
      </c>
      <c r="M57" s="124">
        <f t="shared" si="2"/>
        <v>0</v>
      </c>
      <c r="N57" s="120"/>
      <c r="O57" s="120"/>
      <c r="P57" s="120"/>
    </row>
    <row r="58" spans="1:18" ht="14.5" x14ac:dyDescent="0.25">
      <c r="A58" s="6">
        <v>57</v>
      </c>
      <c r="B58" s="6" t="s">
        <v>167</v>
      </c>
      <c r="C58" s="24" t="s">
        <v>50</v>
      </c>
      <c r="D58" s="125" t="str">
        <f t="shared" si="0"/>
        <v>BOZÜYÜK / BİLECİK</v>
      </c>
      <c r="E58" s="123">
        <v>1798.3000000000002</v>
      </c>
      <c r="F58" s="123">
        <v>4877.1000000000004</v>
      </c>
      <c r="G58" s="123">
        <v>192.60000000000002</v>
      </c>
      <c r="H58" s="123">
        <v>1497.6000000000001</v>
      </c>
      <c r="I58" s="123">
        <v>4985.2</v>
      </c>
      <c r="J58" s="123">
        <v>498.52000000000004</v>
      </c>
      <c r="K58" s="120">
        <f>VLOOKUP(D58,Excel6!A:H,8,0)</f>
        <v>498.52000000000004</v>
      </c>
      <c r="L58" s="120" t="str">
        <f t="shared" si="1"/>
        <v>BOZÜYÜK / BİLECİK</v>
      </c>
      <c r="M58" s="124">
        <f t="shared" si="2"/>
        <v>0</v>
      </c>
      <c r="N58" s="120"/>
      <c r="O58" s="120"/>
      <c r="P58" s="120"/>
    </row>
    <row r="59" spans="1:18" ht="14.5" x14ac:dyDescent="0.25">
      <c r="A59" s="6">
        <v>58</v>
      </c>
      <c r="B59" s="6" t="s">
        <v>532</v>
      </c>
      <c r="C59" s="6" t="s">
        <v>50</v>
      </c>
      <c r="D59" s="125" t="str">
        <f t="shared" si="0"/>
        <v>SÖĞÜT / BİLECİK</v>
      </c>
      <c r="E59" s="125">
        <v>298.60000000000002</v>
      </c>
      <c r="F59" s="125">
        <v>2281.6</v>
      </c>
      <c r="G59" s="125">
        <v>0</v>
      </c>
      <c r="H59" s="125">
        <v>0</v>
      </c>
      <c r="I59" s="122">
        <v>2580.1999999999998</v>
      </c>
      <c r="J59" s="122">
        <v>258.02000000000004</v>
      </c>
      <c r="K59" s="120">
        <f>VLOOKUP(D59,Excel6!A:H,8,0)</f>
        <v>258.02000000000004</v>
      </c>
      <c r="L59" s="120" t="str">
        <f t="shared" si="1"/>
        <v>SÖĞÜT / BİLECİK</v>
      </c>
      <c r="M59" s="124">
        <f t="shared" si="2"/>
        <v>0</v>
      </c>
      <c r="N59" s="120"/>
      <c r="O59" s="120"/>
      <c r="P59" s="120"/>
    </row>
    <row r="60" spans="1:18" ht="14.5" x14ac:dyDescent="0.25">
      <c r="A60" s="6">
        <v>59</v>
      </c>
      <c r="B60" s="6" t="s">
        <v>34</v>
      </c>
      <c r="C60" s="6" t="s">
        <v>50</v>
      </c>
      <c r="D60" s="125" t="str">
        <f t="shared" si="0"/>
        <v>MERKEZ / BİLECİK</v>
      </c>
      <c r="E60" s="125">
        <v>812.40000000000009</v>
      </c>
      <c r="F60" s="125">
        <v>2389.5</v>
      </c>
      <c r="G60" s="125">
        <v>78.8</v>
      </c>
      <c r="H60" s="125">
        <v>704.90000000000009</v>
      </c>
      <c r="I60" s="121">
        <v>2418.1999999999998</v>
      </c>
      <c r="J60" s="121">
        <v>241.82</v>
      </c>
      <c r="K60" s="120">
        <f>VLOOKUP(D60,Excel6!A:H,8,0)</f>
        <v>241.82</v>
      </c>
      <c r="L60" s="120" t="str">
        <f t="shared" si="1"/>
        <v>MERKEZ / BİLECİK</v>
      </c>
      <c r="M60" s="124">
        <f t="shared" si="2"/>
        <v>0</v>
      </c>
      <c r="N60" s="120"/>
      <c r="O60" s="120"/>
      <c r="P60" s="120"/>
    </row>
    <row r="61" spans="1:18" ht="14.5" x14ac:dyDescent="0.25">
      <c r="A61" s="6">
        <v>60</v>
      </c>
      <c r="B61" s="6" t="s">
        <v>531</v>
      </c>
      <c r="C61" s="6" t="s">
        <v>50</v>
      </c>
      <c r="D61" s="125" t="str">
        <f t="shared" si="0"/>
        <v>OSMANELİ / BİLECİK</v>
      </c>
      <c r="E61" s="125">
        <v>788.1</v>
      </c>
      <c r="F61" s="125">
        <v>714</v>
      </c>
      <c r="G61" s="125">
        <v>0</v>
      </c>
      <c r="H61" s="125">
        <v>0</v>
      </c>
      <c r="I61" s="122">
        <v>1502.1</v>
      </c>
      <c r="J61" s="122">
        <v>150.21</v>
      </c>
      <c r="K61" s="120">
        <f>VLOOKUP(D61,Excel6!A:H,8,0)</f>
        <v>150.21</v>
      </c>
      <c r="L61" s="120" t="str">
        <f t="shared" si="1"/>
        <v>OSMANELİ / BİLECİK</v>
      </c>
      <c r="M61" s="124">
        <f t="shared" si="2"/>
        <v>0</v>
      </c>
      <c r="N61" s="120"/>
      <c r="O61" s="120"/>
      <c r="P61" s="120"/>
    </row>
    <row r="62" spans="1:18" ht="14.5" x14ac:dyDescent="0.25">
      <c r="A62" s="6">
        <v>61</v>
      </c>
      <c r="B62" s="6" t="s">
        <v>279</v>
      </c>
      <c r="C62" s="6" t="s">
        <v>50</v>
      </c>
      <c r="D62" s="125" t="str">
        <f t="shared" si="0"/>
        <v>GÖLPAZARI / BİLECİK</v>
      </c>
      <c r="E62" s="125">
        <v>162.4</v>
      </c>
      <c r="F62" s="125">
        <v>508.2</v>
      </c>
      <c r="G62" s="125">
        <v>0</v>
      </c>
      <c r="H62" s="125">
        <v>0</v>
      </c>
      <c r="I62" s="122">
        <v>670.6</v>
      </c>
      <c r="J62" s="122">
        <v>67.06</v>
      </c>
      <c r="K62" s="120">
        <f>VLOOKUP(D62,Excel6!A:H,8,0)</f>
        <v>67.06</v>
      </c>
      <c r="L62" s="120" t="str">
        <f t="shared" si="1"/>
        <v>GÖLPAZARI / BİLECİK</v>
      </c>
      <c r="M62" s="124">
        <f t="shared" si="2"/>
        <v>0</v>
      </c>
      <c r="N62" s="120"/>
      <c r="O62" s="120"/>
      <c r="P62" s="120"/>
    </row>
    <row r="63" spans="1:18" ht="14.5" x14ac:dyDescent="0.25">
      <c r="A63" s="6">
        <v>62</v>
      </c>
      <c r="B63" s="6" t="s">
        <v>34</v>
      </c>
      <c r="C63" s="6" t="s">
        <v>199</v>
      </c>
      <c r="D63" s="125" t="str">
        <f t="shared" si="0"/>
        <v>MERKEZ / BİNGÖL</v>
      </c>
      <c r="E63" s="125">
        <v>15455.5</v>
      </c>
      <c r="F63" s="125">
        <v>5983.9</v>
      </c>
      <c r="G63" s="125">
        <v>5522.1</v>
      </c>
      <c r="H63" s="125">
        <v>1636.1000000000001</v>
      </c>
      <c r="I63" s="122">
        <v>14281.2</v>
      </c>
      <c r="J63" s="122">
        <v>1428.12</v>
      </c>
      <c r="K63" s="120">
        <f>VLOOKUP(D63,Excel6!A:H,8,0)</f>
        <v>1428.12</v>
      </c>
      <c r="L63" s="120" t="str">
        <f t="shared" si="1"/>
        <v>MERKEZ / BİNGÖL</v>
      </c>
      <c r="M63" s="124">
        <f t="shared" si="2"/>
        <v>0</v>
      </c>
      <c r="N63" s="120"/>
      <c r="O63" s="120"/>
      <c r="P63" s="120"/>
    </row>
    <row r="64" spans="1:18" ht="14.5" x14ac:dyDescent="0.25">
      <c r="A64" s="6">
        <v>63</v>
      </c>
      <c r="B64" s="6" t="s">
        <v>258</v>
      </c>
      <c r="C64" s="6" t="s">
        <v>199</v>
      </c>
      <c r="D64" s="125" t="str">
        <f t="shared" si="0"/>
        <v>KARLIOVA / BİNGÖL</v>
      </c>
      <c r="E64" s="125">
        <v>917.5</v>
      </c>
      <c r="F64" s="125"/>
      <c r="G64" s="125">
        <v>0</v>
      </c>
      <c r="H64" s="125"/>
      <c r="I64" s="122">
        <v>917.5</v>
      </c>
      <c r="J64" s="122">
        <v>91.75</v>
      </c>
      <c r="K64" s="120">
        <f>VLOOKUP(D64,Excel6!A:H,8,0)</f>
        <v>91.75</v>
      </c>
      <c r="L64" s="120" t="str">
        <f t="shared" si="1"/>
        <v>KARLIOVA / BİNGÖL</v>
      </c>
      <c r="M64" s="124">
        <f t="shared" si="2"/>
        <v>0</v>
      </c>
      <c r="N64" s="120"/>
      <c r="O64" s="120"/>
      <c r="P64" s="120"/>
    </row>
    <row r="65" spans="1:18" ht="14.5" x14ac:dyDescent="0.25">
      <c r="A65" s="6">
        <v>64</v>
      </c>
      <c r="B65" s="6" t="s">
        <v>34</v>
      </c>
      <c r="C65" s="6" t="s">
        <v>358</v>
      </c>
      <c r="D65" s="125" t="str">
        <f t="shared" si="0"/>
        <v>MERKEZ / BİTLİS</v>
      </c>
      <c r="E65" s="125">
        <v>1315.8999999999999</v>
      </c>
      <c r="F65" s="125">
        <v>13052.199999999999</v>
      </c>
      <c r="G65" s="125">
        <v>439.2</v>
      </c>
      <c r="H65" s="125">
        <v>8164.9</v>
      </c>
      <c r="I65" s="122">
        <v>5764</v>
      </c>
      <c r="J65" s="122">
        <v>576.4</v>
      </c>
      <c r="K65" s="120">
        <f>VLOOKUP(D65,Excel6!A:H,8,0)</f>
        <v>576.4</v>
      </c>
      <c r="L65" s="120" t="str">
        <f t="shared" si="1"/>
        <v>MERKEZ / BİTLİS</v>
      </c>
      <c r="M65" s="124">
        <f t="shared" si="2"/>
        <v>0</v>
      </c>
      <c r="N65" s="120"/>
      <c r="O65" s="120"/>
      <c r="P65" s="120"/>
    </row>
    <row r="66" spans="1:18" ht="14.5" x14ac:dyDescent="0.25">
      <c r="A66" s="6">
        <v>65</v>
      </c>
      <c r="B66" s="6" t="s">
        <v>359</v>
      </c>
      <c r="C66" s="24" t="s">
        <v>358</v>
      </c>
      <c r="D66" s="125" t="str">
        <f t="shared" ref="D66:D129" si="3">L66</f>
        <v>TATVAN / BİTLİS</v>
      </c>
      <c r="E66" s="125">
        <v>902.6</v>
      </c>
      <c r="F66" s="125">
        <v>249.7</v>
      </c>
      <c r="G66" s="125">
        <v>317.60000000000002</v>
      </c>
      <c r="H66" s="125">
        <v>196</v>
      </c>
      <c r="I66" s="125">
        <v>638.70000000000005</v>
      </c>
      <c r="J66" s="125">
        <v>63.87</v>
      </c>
      <c r="K66" s="120">
        <f>VLOOKUP(D66,Excel6!A:H,8,0)</f>
        <v>63.87</v>
      </c>
      <c r="L66" s="120" t="str">
        <f t="shared" ref="L66:L129" si="4">CONCATENATE(B66&amp; " / " &amp;C66)</f>
        <v>TATVAN / BİTLİS</v>
      </c>
      <c r="M66" s="124">
        <f t="shared" ref="M66:M129" si="5">J66-K66</f>
        <v>0</v>
      </c>
      <c r="N66" s="120"/>
      <c r="O66" s="120"/>
      <c r="P66" s="120"/>
    </row>
    <row r="67" spans="1:18" ht="14.5" x14ac:dyDescent="0.25">
      <c r="A67" s="6">
        <v>66</v>
      </c>
      <c r="B67" s="24" t="s">
        <v>2307</v>
      </c>
      <c r="C67" s="6" t="s">
        <v>358</v>
      </c>
      <c r="D67" s="125" t="str">
        <f t="shared" si="3"/>
        <v>AHLAT / BİTLİS</v>
      </c>
      <c r="E67" s="125">
        <v>273.5</v>
      </c>
      <c r="F67" s="125">
        <v>247.8</v>
      </c>
      <c r="G67" s="125">
        <v>0</v>
      </c>
      <c r="H67" s="125">
        <v>0</v>
      </c>
      <c r="I67" s="122">
        <v>521.29999999999995</v>
      </c>
      <c r="J67" s="122">
        <v>52.13</v>
      </c>
      <c r="K67" s="120">
        <f>VLOOKUP(D67,Excel6!A:H,8,0)</f>
        <v>52.13</v>
      </c>
      <c r="L67" s="120" t="str">
        <f t="shared" si="4"/>
        <v>AHLAT / BİTLİS</v>
      </c>
      <c r="M67" s="124">
        <f t="shared" si="5"/>
        <v>0</v>
      </c>
      <c r="N67" s="120"/>
      <c r="O67" s="120"/>
      <c r="P67" s="120"/>
    </row>
    <row r="68" spans="1:18" ht="14.5" x14ac:dyDescent="0.25">
      <c r="A68" s="6">
        <v>67</v>
      </c>
      <c r="B68" s="6" t="s">
        <v>34</v>
      </c>
      <c r="C68" s="6" t="s">
        <v>51</v>
      </c>
      <c r="D68" s="125" t="str">
        <f t="shared" si="3"/>
        <v>MERKEZ / BOLU</v>
      </c>
      <c r="E68" s="125">
        <v>51898.36</v>
      </c>
      <c r="F68" s="125">
        <v>69887.789999999994</v>
      </c>
      <c r="G68" s="125">
        <v>590.6</v>
      </c>
      <c r="H68" s="125">
        <v>697.1</v>
      </c>
      <c r="I68" s="122">
        <v>120498.45</v>
      </c>
      <c r="J68" s="122">
        <v>12049.82</v>
      </c>
      <c r="K68" s="120">
        <f>VLOOKUP(D68,Excel6!A:H,8,0)</f>
        <v>12049.82</v>
      </c>
      <c r="L68" s="120" t="str">
        <f t="shared" si="4"/>
        <v>MERKEZ / BOLU</v>
      </c>
      <c r="M68" s="124">
        <f t="shared" si="5"/>
        <v>0</v>
      </c>
      <c r="N68" s="120"/>
      <c r="O68" s="120"/>
      <c r="P68" s="120"/>
    </row>
    <row r="69" spans="1:18" ht="14.5" x14ac:dyDescent="0.25">
      <c r="A69" s="6">
        <v>68</v>
      </c>
      <c r="B69" s="6" t="s">
        <v>316</v>
      </c>
      <c r="C69" s="6" t="s">
        <v>51</v>
      </c>
      <c r="D69" s="125" t="str">
        <f t="shared" si="3"/>
        <v>GEREDE / BOLU</v>
      </c>
      <c r="E69" s="125">
        <v>166.6</v>
      </c>
      <c r="F69" s="125">
        <v>3.4</v>
      </c>
      <c r="G69" s="125">
        <v>0</v>
      </c>
      <c r="H69" s="125">
        <v>0</v>
      </c>
      <c r="I69" s="122">
        <v>170</v>
      </c>
      <c r="J69" s="122">
        <v>17</v>
      </c>
      <c r="K69" s="120">
        <f>VLOOKUP(D69,Excel6!A:H,8,0)</f>
        <v>17</v>
      </c>
      <c r="L69" s="120" t="str">
        <f t="shared" si="4"/>
        <v>GEREDE / BOLU</v>
      </c>
      <c r="M69" s="124">
        <f t="shared" si="5"/>
        <v>0</v>
      </c>
      <c r="N69" s="120"/>
      <c r="O69" s="120"/>
      <c r="P69" s="120"/>
    </row>
    <row r="70" spans="1:18" ht="14.5" x14ac:dyDescent="0.25">
      <c r="A70" s="6">
        <v>69</v>
      </c>
      <c r="B70" s="6" t="s">
        <v>317</v>
      </c>
      <c r="C70" s="6" t="s">
        <v>51</v>
      </c>
      <c r="D70" s="125" t="str">
        <f t="shared" si="3"/>
        <v>GÖYNÜK / BOLU</v>
      </c>
      <c r="E70" s="125">
        <v>5.4</v>
      </c>
      <c r="F70" s="125">
        <v>103.3</v>
      </c>
      <c r="G70" s="125">
        <v>0</v>
      </c>
      <c r="H70" s="125">
        <v>0</v>
      </c>
      <c r="I70" s="122">
        <v>108.7</v>
      </c>
      <c r="J70" s="122">
        <v>10.870000000000001</v>
      </c>
      <c r="K70" s="120">
        <f>VLOOKUP(D70,Excel6!A:H,8,0)</f>
        <v>10.870000000000001</v>
      </c>
      <c r="L70" s="120" t="str">
        <f t="shared" si="4"/>
        <v>GÖYNÜK / BOLU</v>
      </c>
      <c r="M70" s="124">
        <f t="shared" si="5"/>
        <v>0</v>
      </c>
      <c r="N70" s="124"/>
      <c r="O70" s="124"/>
      <c r="P70" s="124"/>
      <c r="Q70" s="124"/>
      <c r="R70" s="124"/>
    </row>
    <row r="71" spans="1:18" ht="14.5" x14ac:dyDescent="0.25">
      <c r="A71" s="6">
        <v>70</v>
      </c>
      <c r="B71" s="6" t="s">
        <v>535</v>
      </c>
      <c r="C71" s="6" t="s">
        <v>51</v>
      </c>
      <c r="D71" s="125" t="str">
        <f t="shared" si="3"/>
        <v>YENİÇAĞA / BOLU</v>
      </c>
      <c r="E71" s="125">
        <v>5.4</v>
      </c>
      <c r="F71" s="125">
        <v>103.3</v>
      </c>
      <c r="G71" s="125">
        <v>0</v>
      </c>
      <c r="H71" s="125">
        <v>0</v>
      </c>
      <c r="I71" s="125">
        <v>108.7</v>
      </c>
      <c r="J71" s="125">
        <v>10.870000000000001</v>
      </c>
      <c r="K71" s="120">
        <f>VLOOKUP(D71,Excel6!A:H,8,0)</f>
        <v>10.870000000000001</v>
      </c>
      <c r="L71" s="120" t="str">
        <f t="shared" si="4"/>
        <v>YENİÇAĞA / BOLU</v>
      </c>
      <c r="M71" s="124">
        <f t="shared" si="5"/>
        <v>0</v>
      </c>
      <c r="N71" s="120"/>
      <c r="O71" s="120"/>
      <c r="P71" s="120"/>
    </row>
    <row r="72" spans="1:18" ht="14.5" x14ac:dyDescent="0.25">
      <c r="A72" s="6">
        <v>71</v>
      </c>
      <c r="B72" s="6" t="s">
        <v>34</v>
      </c>
      <c r="C72" s="6" t="s">
        <v>69</v>
      </c>
      <c r="D72" s="125" t="str">
        <f t="shared" si="3"/>
        <v>MERKEZ / BURDUR</v>
      </c>
      <c r="E72" s="125">
        <v>5204.7000000000007</v>
      </c>
      <c r="F72" s="125">
        <v>10965.5</v>
      </c>
      <c r="G72" s="125">
        <v>169.6</v>
      </c>
      <c r="H72" s="125">
        <v>865</v>
      </c>
      <c r="I72" s="122">
        <v>15135.6</v>
      </c>
      <c r="J72" s="122">
        <v>1513.56</v>
      </c>
      <c r="K72" s="120">
        <f>VLOOKUP(D72,Excel6!A:H,8,0)</f>
        <v>1513.56</v>
      </c>
      <c r="L72" s="120" t="str">
        <f t="shared" si="4"/>
        <v>MERKEZ / BURDUR</v>
      </c>
      <c r="M72" s="124">
        <f t="shared" si="5"/>
        <v>0</v>
      </c>
      <c r="N72" s="120"/>
      <c r="O72" s="120"/>
      <c r="P72" s="120"/>
    </row>
    <row r="73" spans="1:18" ht="14.5" x14ac:dyDescent="0.25">
      <c r="A73" s="6">
        <v>72</v>
      </c>
      <c r="B73" s="6" t="s">
        <v>2053</v>
      </c>
      <c r="C73" s="6" t="s">
        <v>69</v>
      </c>
      <c r="D73" s="125" t="str">
        <f t="shared" si="3"/>
        <v>ÇAVDIR / BURDUR</v>
      </c>
      <c r="E73" s="125">
        <v>738.3</v>
      </c>
      <c r="F73" s="125">
        <v>549.70000000000005</v>
      </c>
      <c r="G73" s="125">
        <v>0</v>
      </c>
      <c r="H73" s="125">
        <v>0</v>
      </c>
      <c r="I73" s="122">
        <v>1288</v>
      </c>
      <c r="J73" s="122">
        <v>128.80000000000001</v>
      </c>
      <c r="K73" s="120">
        <f>VLOOKUP(D73,Excel6!A:H,8,0)</f>
        <v>128.80000000000001</v>
      </c>
      <c r="L73" s="120" t="str">
        <f t="shared" si="4"/>
        <v>ÇAVDIR / BURDUR</v>
      </c>
      <c r="M73" s="124">
        <f t="shared" si="5"/>
        <v>0</v>
      </c>
      <c r="N73" s="120"/>
      <c r="O73" s="120"/>
      <c r="P73" s="120"/>
    </row>
    <row r="74" spans="1:18" ht="14.5" x14ac:dyDescent="0.25">
      <c r="A74" s="6">
        <v>73</v>
      </c>
      <c r="B74" s="6" t="s">
        <v>2155</v>
      </c>
      <c r="C74" s="6" t="s">
        <v>69</v>
      </c>
      <c r="D74" s="125" t="str">
        <f t="shared" si="3"/>
        <v>GÖLHİSAR / BURDUR</v>
      </c>
      <c r="E74" s="125">
        <v>3.3</v>
      </c>
      <c r="F74" s="125">
        <v>121.3</v>
      </c>
      <c r="G74" s="125">
        <v>0</v>
      </c>
      <c r="H74" s="125">
        <v>0</v>
      </c>
      <c r="I74" s="122">
        <v>124.6</v>
      </c>
      <c r="J74" s="122">
        <v>12.46</v>
      </c>
      <c r="K74" s="120">
        <f>VLOOKUP(D74,Excel6!A:H,8,0)</f>
        <v>12.46</v>
      </c>
      <c r="L74" s="120" t="str">
        <f t="shared" si="4"/>
        <v>GÖLHİSAR / BURDUR</v>
      </c>
      <c r="M74" s="124">
        <f t="shared" si="5"/>
        <v>0</v>
      </c>
      <c r="N74" s="120"/>
      <c r="O74" s="120"/>
      <c r="P74" s="120"/>
    </row>
    <row r="75" spans="1:18" ht="14.5" x14ac:dyDescent="0.25">
      <c r="A75" s="6">
        <v>74</v>
      </c>
      <c r="B75" s="6" t="s">
        <v>302</v>
      </c>
      <c r="C75" s="6" t="s">
        <v>69</v>
      </c>
      <c r="D75" s="125" t="str">
        <f t="shared" si="3"/>
        <v>KARAMANLI / BURDUR</v>
      </c>
      <c r="E75" s="125">
        <v>0.5</v>
      </c>
      <c r="F75" s="125">
        <v>76.400000000000006</v>
      </c>
      <c r="G75" s="125">
        <v>0</v>
      </c>
      <c r="H75" s="125">
        <v>0</v>
      </c>
      <c r="I75" s="125">
        <v>76.900000000000006</v>
      </c>
      <c r="J75" s="125">
        <v>7.6899999999999995</v>
      </c>
      <c r="K75" s="120">
        <f>VLOOKUP(D75,Excel6!A:H,8,0)</f>
        <v>7.6899999999999995</v>
      </c>
      <c r="L75" s="120" t="str">
        <f t="shared" si="4"/>
        <v>KARAMANLI / BURDUR</v>
      </c>
      <c r="M75" s="124">
        <f t="shared" si="5"/>
        <v>0</v>
      </c>
      <c r="N75" s="120"/>
      <c r="O75" s="120"/>
      <c r="P75" s="120"/>
    </row>
    <row r="76" spans="1:18" ht="14.5" x14ac:dyDescent="0.25">
      <c r="A76" s="6">
        <v>75</v>
      </c>
      <c r="B76" s="6" t="s">
        <v>1859</v>
      </c>
      <c r="C76" s="6" t="s">
        <v>52</v>
      </c>
      <c r="D76" s="125" t="str">
        <f t="shared" si="3"/>
        <v>BURSA BÜYÜKŞEHİR / BURSA</v>
      </c>
      <c r="E76" s="125">
        <v>429731.52000000008</v>
      </c>
      <c r="F76" s="123">
        <v>844865.6399999999</v>
      </c>
      <c r="G76" s="123">
        <v>114887.64</v>
      </c>
      <c r="H76" s="123">
        <v>127353.21</v>
      </c>
      <c r="I76" s="121">
        <v>1032356.31</v>
      </c>
      <c r="J76" s="121">
        <v>103235.70000000001</v>
      </c>
      <c r="K76" s="120">
        <f>VLOOKUP(D76,Excel6!A:H,8,0)</f>
        <v>103235.70000000001</v>
      </c>
      <c r="L76" s="120" t="str">
        <f t="shared" si="4"/>
        <v>BURSA BÜYÜKŞEHİR / BURSA</v>
      </c>
      <c r="M76" s="124">
        <f t="shared" si="5"/>
        <v>0</v>
      </c>
      <c r="N76" s="120"/>
      <c r="O76" s="120"/>
      <c r="P76" s="120"/>
    </row>
    <row r="77" spans="1:18" ht="14.5" x14ac:dyDescent="0.25">
      <c r="A77" s="6">
        <v>76</v>
      </c>
      <c r="B77" s="6" t="s">
        <v>4</v>
      </c>
      <c r="C77" s="24" t="s">
        <v>55</v>
      </c>
      <c r="D77" s="125" t="str">
        <f t="shared" si="3"/>
        <v>AYVACIK / ÇANAKKALE</v>
      </c>
      <c r="E77" s="125">
        <v>12338.400000000001</v>
      </c>
      <c r="F77" s="125">
        <v>5262.2</v>
      </c>
      <c r="G77" s="125">
        <v>217.89999999999998</v>
      </c>
      <c r="H77" s="125">
        <v>441.5</v>
      </c>
      <c r="I77" s="125">
        <v>16941.2</v>
      </c>
      <c r="J77" s="125">
        <v>1694.1200000000001</v>
      </c>
      <c r="K77" s="120">
        <f>VLOOKUP(D77,Excel6!A:H,8,0)</f>
        <v>1694.1200000000001</v>
      </c>
      <c r="L77" s="120" t="str">
        <f t="shared" si="4"/>
        <v>AYVACIK / ÇANAKKALE</v>
      </c>
      <c r="M77" s="124">
        <f t="shared" si="5"/>
        <v>0</v>
      </c>
      <c r="N77" s="120"/>
      <c r="O77" s="120"/>
      <c r="P77" s="120"/>
    </row>
    <row r="78" spans="1:18" ht="14.5" x14ac:dyDescent="0.25">
      <c r="A78" s="6">
        <v>77</v>
      </c>
      <c r="B78" s="6" t="s">
        <v>34</v>
      </c>
      <c r="C78" s="6" t="s">
        <v>55</v>
      </c>
      <c r="D78" s="125" t="str">
        <f t="shared" si="3"/>
        <v>MERKEZ / ÇANAKKALE</v>
      </c>
      <c r="E78" s="125">
        <v>26822.52</v>
      </c>
      <c r="F78" s="125">
        <v>38942.94</v>
      </c>
      <c r="G78" s="125">
        <v>12749.5</v>
      </c>
      <c r="H78" s="125">
        <v>40170.300000000003</v>
      </c>
      <c r="I78" s="122">
        <v>12845.660000000002</v>
      </c>
      <c r="J78" s="122">
        <v>1284.56</v>
      </c>
      <c r="K78" s="120">
        <f>VLOOKUP(D78,Excel6!A:H,8,0)</f>
        <v>1284.56</v>
      </c>
      <c r="L78" s="120" t="str">
        <f t="shared" si="4"/>
        <v>MERKEZ / ÇANAKKALE</v>
      </c>
      <c r="M78" s="124">
        <f t="shared" si="5"/>
        <v>0</v>
      </c>
      <c r="N78" s="120"/>
      <c r="O78" s="120"/>
      <c r="P78" s="120"/>
    </row>
    <row r="79" spans="1:18" ht="14.5" x14ac:dyDescent="0.25">
      <c r="A79" s="6">
        <v>78</v>
      </c>
      <c r="B79" s="6" t="s">
        <v>153</v>
      </c>
      <c r="C79" s="6" t="s">
        <v>55</v>
      </c>
      <c r="D79" s="125" t="str">
        <f t="shared" si="3"/>
        <v>BİGA / ÇANAKKALE</v>
      </c>
      <c r="E79" s="125">
        <v>2629.3</v>
      </c>
      <c r="F79" s="125">
        <v>7437.2999999999993</v>
      </c>
      <c r="G79" s="125">
        <v>116.9</v>
      </c>
      <c r="H79" s="125">
        <v>771.40000000000009</v>
      </c>
      <c r="I79" s="121">
        <v>9178.2999999999993</v>
      </c>
      <c r="J79" s="121">
        <v>917.82999999999993</v>
      </c>
      <c r="K79" s="120">
        <f>VLOOKUP(D79,Excel6!A:H,8,0)</f>
        <v>917.82999999999993</v>
      </c>
      <c r="L79" s="120" t="str">
        <f t="shared" si="4"/>
        <v>BİGA / ÇANAKKALE</v>
      </c>
      <c r="M79" s="124">
        <f t="shared" si="5"/>
        <v>0</v>
      </c>
      <c r="N79" s="120"/>
      <c r="O79" s="120"/>
      <c r="P79" s="120"/>
    </row>
    <row r="80" spans="1:18" ht="14.5" x14ac:dyDescent="0.25">
      <c r="A80" s="6">
        <v>79</v>
      </c>
      <c r="B80" s="6" t="s">
        <v>541</v>
      </c>
      <c r="C80" s="24" t="s">
        <v>55</v>
      </c>
      <c r="D80" s="125" t="str">
        <f t="shared" si="3"/>
        <v>LAPSEKİ / ÇANAKKALE</v>
      </c>
      <c r="E80" s="125">
        <v>2358.3000000000002</v>
      </c>
      <c r="F80" s="125">
        <v>6289</v>
      </c>
      <c r="G80" s="125">
        <v>0</v>
      </c>
      <c r="H80" s="125">
        <v>0</v>
      </c>
      <c r="I80" s="125">
        <v>8647.2999999999993</v>
      </c>
      <c r="J80" s="125">
        <v>864.72999999999979</v>
      </c>
      <c r="K80" s="120">
        <f>VLOOKUP(D80,Excel6!A:H,8,0)</f>
        <v>864.72999999999979</v>
      </c>
      <c r="L80" s="120" t="str">
        <f t="shared" si="4"/>
        <v>LAPSEKİ / ÇANAKKALE</v>
      </c>
      <c r="M80" s="124">
        <f t="shared" si="5"/>
        <v>0</v>
      </c>
      <c r="N80" s="120"/>
      <c r="O80" s="120"/>
      <c r="P80" s="120"/>
    </row>
    <row r="81" spans="1:16" ht="14.5" x14ac:dyDescent="0.25">
      <c r="A81" s="6">
        <v>80</v>
      </c>
      <c r="B81" s="6" t="s">
        <v>68</v>
      </c>
      <c r="C81" s="6" t="s">
        <v>55</v>
      </c>
      <c r="D81" s="125" t="str">
        <f t="shared" si="3"/>
        <v>BOZCAADA / ÇANAKKALE</v>
      </c>
      <c r="E81" s="125">
        <v>3451.5</v>
      </c>
      <c r="F81" s="125">
        <v>5728.3</v>
      </c>
      <c r="G81" s="125">
        <v>171.8</v>
      </c>
      <c r="H81" s="125">
        <v>1389.1</v>
      </c>
      <c r="I81" s="121">
        <v>7618.9</v>
      </c>
      <c r="J81" s="121">
        <v>761.8900000000001</v>
      </c>
      <c r="K81" s="120">
        <f>VLOOKUP(D81,Excel6!A:H,8,0)</f>
        <v>761.8900000000001</v>
      </c>
      <c r="L81" s="120" t="str">
        <f t="shared" si="4"/>
        <v>BOZCAADA / ÇANAKKALE</v>
      </c>
      <c r="M81" s="124">
        <f t="shared" si="5"/>
        <v>0</v>
      </c>
      <c r="N81" s="120"/>
      <c r="O81" s="120"/>
      <c r="P81" s="120"/>
    </row>
    <row r="82" spans="1:16" ht="14.5" x14ac:dyDescent="0.25">
      <c r="A82" s="6">
        <v>81</v>
      </c>
      <c r="B82" s="6" t="s">
        <v>97</v>
      </c>
      <c r="C82" s="6" t="s">
        <v>55</v>
      </c>
      <c r="D82" s="125" t="str">
        <f t="shared" si="3"/>
        <v>ECEABAT / ÇANAKKALE</v>
      </c>
      <c r="E82" s="125">
        <v>2889.3</v>
      </c>
      <c r="F82" s="125">
        <v>2239.6</v>
      </c>
      <c r="G82" s="125">
        <v>45</v>
      </c>
      <c r="H82" s="125">
        <v>402.8</v>
      </c>
      <c r="I82" s="122">
        <v>4681.1000000000004</v>
      </c>
      <c r="J82" s="122">
        <v>468.11</v>
      </c>
      <c r="K82" s="120">
        <f>VLOOKUP(D82,Excel6!A:H,8,0)</f>
        <v>468.11</v>
      </c>
      <c r="L82" s="120" t="str">
        <f t="shared" si="4"/>
        <v>ECEABAT / ÇANAKKALE</v>
      </c>
      <c r="M82" s="124">
        <f t="shared" si="5"/>
        <v>0</v>
      </c>
      <c r="N82" s="120"/>
      <c r="O82" s="120"/>
      <c r="P82" s="120"/>
    </row>
    <row r="83" spans="1:16" ht="14.5" x14ac:dyDescent="0.25">
      <c r="A83" s="6">
        <v>82</v>
      </c>
      <c r="B83" s="6" t="s">
        <v>218</v>
      </c>
      <c r="C83" s="6" t="s">
        <v>55</v>
      </c>
      <c r="D83" s="125" t="str">
        <f t="shared" si="3"/>
        <v>EZİNE / ÇANAKKALE</v>
      </c>
      <c r="E83" s="125">
        <v>1955.3000000000002</v>
      </c>
      <c r="F83" s="125">
        <v>3694.2999999999997</v>
      </c>
      <c r="G83" s="125">
        <v>370.5</v>
      </c>
      <c r="H83" s="125">
        <v>1231.3</v>
      </c>
      <c r="I83" s="122">
        <v>4047.8</v>
      </c>
      <c r="J83" s="122">
        <v>404.78000000000003</v>
      </c>
      <c r="K83" s="120">
        <f>VLOOKUP(D83,Excel6!A:H,8,0)</f>
        <v>404.78000000000003</v>
      </c>
      <c r="L83" s="120" t="str">
        <f t="shared" si="4"/>
        <v>EZİNE / ÇANAKKALE</v>
      </c>
      <c r="M83" s="124">
        <f t="shared" si="5"/>
        <v>0</v>
      </c>
      <c r="N83" s="120"/>
      <c r="O83" s="120"/>
      <c r="P83" s="120"/>
    </row>
    <row r="84" spans="1:16" ht="14.5" x14ac:dyDescent="0.25">
      <c r="A84" s="6">
        <v>83</v>
      </c>
      <c r="B84" s="6" t="s">
        <v>341</v>
      </c>
      <c r="C84" s="6" t="s">
        <v>55</v>
      </c>
      <c r="D84" s="125" t="str">
        <f t="shared" si="3"/>
        <v>ÇAN / ÇANAKKALE</v>
      </c>
      <c r="E84" s="125">
        <v>872.19999999999993</v>
      </c>
      <c r="F84" s="125">
        <v>3420.5</v>
      </c>
      <c r="G84" s="125">
        <v>45</v>
      </c>
      <c r="H84" s="125">
        <v>402.8</v>
      </c>
      <c r="I84" s="122">
        <v>3844.9</v>
      </c>
      <c r="J84" s="122">
        <v>384.49</v>
      </c>
      <c r="K84" s="120">
        <f>VLOOKUP(D84,Excel6!A:H,8,0)</f>
        <v>384.49</v>
      </c>
      <c r="L84" s="120" t="str">
        <f t="shared" si="4"/>
        <v>ÇAN / ÇANAKKALE</v>
      </c>
      <c r="M84" s="124">
        <f t="shared" si="5"/>
        <v>0</v>
      </c>
      <c r="N84" s="120"/>
      <c r="O84" s="120"/>
      <c r="P84" s="120"/>
    </row>
    <row r="85" spans="1:16" ht="14.5" x14ac:dyDescent="0.25">
      <c r="A85" s="6">
        <v>84</v>
      </c>
      <c r="B85" s="6" t="s">
        <v>540</v>
      </c>
      <c r="C85" s="6" t="s">
        <v>55</v>
      </c>
      <c r="D85" s="125" t="str">
        <f t="shared" si="3"/>
        <v>GÖKÇEADA / ÇANAKKALE</v>
      </c>
      <c r="E85" s="125">
        <v>1980.4</v>
      </c>
      <c r="F85" s="125">
        <v>1011.5</v>
      </c>
      <c r="G85" s="125">
        <v>143.19999999999999</v>
      </c>
      <c r="H85" s="125">
        <v>97.5</v>
      </c>
      <c r="I85" s="121">
        <v>2751.2</v>
      </c>
      <c r="J85" s="121">
        <v>275.12</v>
      </c>
      <c r="K85" s="120">
        <f>VLOOKUP(D85,Excel6!A:H,8,0)</f>
        <v>275.12</v>
      </c>
      <c r="L85" s="120" t="str">
        <f t="shared" si="4"/>
        <v>GÖKÇEADA / ÇANAKKALE</v>
      </c>
      <c r="M85" s="124">
        <f t="shared" si="5"/>
        <v>0</v>
      </c>
      <c r="N85" s="120"/>
      <c r="O85" s="120"/>
      <c r="P85" s="120"/>
    </row>
    <row r="86" spans="1:16" ht="14.5" x14ac:dyDescent="0.25">
      <c r="A86" s="6">
        <v>85</v>
      </c>
      <c r="B86" s="6" t="s">
        <v>200</v>
      </c>
      <c r="C86" s="6" t="s">
        <v>55</v>
      </c>
      <c r="D86" s="125" t="str">
        <f t="shared" si="3"/>
        <v>GELİBOLU / ÇANAKKALE</v>
      </c>
      <c r="E86" s="125">
        <v>6949.6</v>
      </c>
      <c r="F86" s="125">
        <v>5471.6</v>
      </c>
      <c r="G86" s="125">
        <v>9012.6999999999989</v>
      </c>
      <c r="H86" s="125">
        <v>2601.2000000000003</v>
      </c>
      <c r="I86" s="122">
        <v>807.30000000000018</v>
      </c>
      <c r="J86" s="122">
        <v>80.72999999999999</v>
      </c>
      <c r="K86" s="120">
        <f>VLOOKUP(D86,Excel6!A:H,8,0)</f>
        <v>80.72999999999999</v>
      </c>
      <c r="L86" s="120" t="str">
        <f t="shared" si="4"/>
        <v>GELİBOLU / ÇANAKKALE</v>
      </c>
      <c r="M86" s="124">
        <f t="shared" si="5"/>
        <v>0</v>
      </c>
      <c r="N86" s="120"/>
      <c r="O86" s="120"/>
      <c r="P86" s="120"/>
    </row>
    <row r="87" spans="1:16" ht="14.5" x14ac:dyDescent="0.25">
      <c r="A87" s="6">
        <v>86</v>
      </c>
      <c r="B87" s="6" t="s">
        <v>90</v>
      </c>
      <c r="C87" s="6" t="s">
        <v>55</v>
      </c>
      <c r="D87" s="125" t="str">
        <f t="shared" si="3"/>
        <v>YENİCE / ÇANAKKALE</v>
      </c>
      <c r="E87" s="125">
        <v>555.20000000000005</v>
      </c>
      <c r="F87" s="125">
        <v>224.7</v>
      </c>
      <c r="G87" s="125">
        <v>0</v>
      </c>
      <c r="H87" s="125">
        <v>0</v>
      </c>
      <c r="I87" s="122">
        <v>779.90000000000009</v>
      </c>
      <c r="J87" s="122">
        <v>77.990000000000009</v>
      </c>
      <c r="K87" s="120">
        <f>VLOOKUP(D87,Excel6!A:H,8,0)</f>
        <v>77.990000000000009</v>
      </c>
      <c r="L87" s="120" t="str">
        <f t="shared" si="4"/>
        <v>YENİCE / ÇANAKKALE</v>
      </c>
      <c r="M87" s="124">
        <f t="shared" si="5"/>
        <v>0</v>
      </c>
      <c r="N87" s="120"/>
      <c r="O87" s="120"/>
      <c r="P87" s="120"/>
    </row>
    <row r="88" spans="1:16" ht="14.5" x14ac:dyDescent="0.25">
      <c r="A88" s="6">
        <v>87</v>
      </c>
      <c r="B88" s="6" t="s">
        <v>439</v>
      </c>
      <c r="C88" s="6" t="s">
        <v>55</v>
      </c>
      <c r="D88" s="125" t="str">
        <f t="shared" si="3"/>
        <v>BAYRAMİÇ / ÇANAKKALE</v>
      </c>
      <c r="E88" s="125">
        <v>20</v>
      </c>
      <c r="F88" s="125">
        <v>209.3</v>
      </c>
      <c r="G88" s="125">
        <v>0</v>
      </c>
      <c r="H88" s="125">
        <v>0</v>
      </c>
      <c r="I88" s="122">
        <v>229.3</v>
      </c>
      <c r="J88" s="122">
        <v>22.93</v>
      </c>
      <c r="K88" s="120">
        <f>VLOOKUP(D88,Excel6!A:H,8,0)</f>
        <v>22.93</v>
      </c>
      <c r="L88" s="120" t="str">
        <f t="shared" si="4"/>
        <v>BAYRAMİÇ / ÇANAKKALE</v>
      </c>
      <c r="M88" s="124">
        <f t="shared" si="5"/>
        <v>0</v>
      </c>
      <c r="N88" s="120"/>
      <c r="O88" s="120"/>
      <c r="P88" s="120"/>
    </row>
    <row r="89" spans="1:16" ht="14.5" x14ac:dyDescent="0.25">
      <c r="A89" s="6">
        <v>88</v>
      </c>
      <c r="B89" s="6" t="s">
        <v>34</v>
      </c>
      <c r="C89" s="6" t="s">
        <v>184</v>
      </c>
      <c r="D89" s="125" t="str">
        <f t="shared" si="3"/>
        <v>MERKEZ / ÇANKIRI</v>
      </c>
      <c r="E89" s="125">
        <v>1151</v>
      </c>
      <c r="F89" s="125">
        <v>11323.2</v>
      </c>
      <c r="G89" s="125">
        <v>8.9</v>
      </c>
      <c r="H89" s="125">
        <v>169.5</v>
      </c>
      <c r="I89" s="122">
        <v>12295.800000000001</v>
      </c>
      <c r="J89" s="122">
        <v>1229.58</v>
      </c>
      <c r="K89" s="120">
        <f>VLOOKUP(D89,Excel6!A:H,8,0)</f>
        <v>1229.58</v>
      </c>
      <c r="L89" s="120" t="str">
        <f t="shared" si="4"/>
        <v>MERKEZ / ÇANKIRI</v>
      </c>
      <c r="M89" s="124">
        <f t="shared" si="5"/>
        <v>0</v>
      </c>
      <c r="N89" s="120"/>
      <c r="O89" s="120"/>
      <c r="P89" s="120"/>
    </row>
    <row r="90" spans="1:16" ht="14.5" x14ac:dyDescent="0.25">
      <c r="A90" s="6">
        <v>89</v>
      </c>
      <c r="B90" s="6" t="s">
        <v>219</v>
      </c>
      <c r="C90" s="6" t="s">
        <v>184</v>
      </c>
      <c r="D90" s="125" t="str">
        <f t="shared" si="3"/>
        <v>ÇERKEŞ / ÇANKIRI</v>
      </c>
      <c r="E90" s="125">
        <v>1191</v>
      </c>
      <c r="F90" s="125">
        <v>1181.2</v>
      </c>
      <c r="G90" s="125">
        <v>0</v>
      </c>
      <c r="H90" s="125">
        <v>0</v>
      </c>
      <c r="I90" s="122">
        <v>2372.1999999999998</v>
      </c>
      <c r="J90" s="122">
        <v>237.22</v>
      </c>
      <c r="K90" s="120">
        <f>VLOOKUP(D90,Excel6!A:H,8,0)</f>
        <v>237.22</v>
      </c>
      <c r="L90" s="120" t="str">
        <f t="shared" si="4"/>
        <v>ÇERKEŞ / ÇANKIRI</v>
      </c>
      <c r="M90" s="124">
        <f t="shared" si="5"/>
        <v>0</v>
      </c>
      <c r="N90" s="120"/>
      <c r="O90" s="120"/>
      <c r="P90" s="120"/>
    </row>
    <row r="91" spans="1:16" ht="14.5" x14ac:dyDescent="0.25">
      <c r="A91" s="6">
        <v>90</v>
      </c>
      <c r="B91" s="6" t="s">
        <v>544</v>
      </c>
      <c r="C91" s="24" t="s">
        <v>184</v>
      </c>
      <c r="D91" s="125" t="str">
        <f t="shared" si="3"/>
        <v>ORTA / ÇANKIRI</v>
      </c>
      <c r="E91" s="125">
        <v>514.1</v>
      </c>
      <c r="F91" s="125">
        <v>386.2</v>
      </c>
      <c r="G91" s="125">
        <v>0</v>
      </c>
      <c r="H91" s="125">
        <v>0</v>
      </c>
      <c r="I91" s="125">
        <v>900.3</v>
      </c>
      <c r="J91" s="125">
        <v>90.03</v>
      </c>
      <c r="K91" s="120">
        <f>VLOOKUP(D91,Excel6!A:H,8,0)</f>
        <v>90.03</v>
      </c>
      <c r="L91" s="120" t="str">
        <f t="shared" si="4"/>
        <v>ORTA / ÇANKIRI</v>
      </c>
      <c r="M91" s="124">
        <f t="shared" si="5"/>
        <v>0</v>
      </c>
      <c r="N91" s="120"/>
      <c r="O91" s="120"/>
      <c r="P91" s="120"/>
    </row>
    <row r="92" spans="1:16" ht="14.5" x14ac:dyDescent="0.25">
      <c r="A92" s="6">
        <v>91</v>
      </c>
      <c r="B92" s="6" t="s">
        <v>2311</v>
      </c>
      <c r="C92" s="24" t="s">
        <v>184</v>
      </c>
      <c r="D92" s="125" t="str">
        <f t="shared" si="3"/>
        <v>ELDİVAN / ÇANKIRI</v>
      </c>
      <c r="E92" s="125">
        <v>122.8</v>
      </c>
      <c r="F92" s="125">
        <v>208.7</v>
      </c>
      <c r="G92" s="125">
        <v>0</v>
      </c>
      <c r="H92" s="125">
        <v>0</v>
      </c>
      <c r="I92" s="125">
        <v>331.5</v>
      </c>
      <c r="J92" s="125">
        <v>33.15</v>
      </c>
      <c r="K92" s="120">
        <f>VLOOKUP(D92,Excel6!A:H,8,0)</f>
        <v>33.15</v>
      </c>
      <c r="L92" s="120" t="str">
        <f t="shared" si="4"/>
        <v>ELDİVAN / ÇANKIRI</v>
      </c>
      <c r="M92" s="124">
        <f t="shared" si="5"/>
        <v>0</v>
      </c>
      <c r="N92" s="120"/>
      <c r="O92" s="120"/>
      <c r="P92" s="120"/>
    </row>
    <row r="93" spans="1:16" ht="14.5" x14ac:dyDescent="0.25">
      <c r="A93" s="6">
        <v>92</v>
      </c>
      <c r="B93" s="6" t="s">
        <v>545</v>
      </c>
      <c r="C93" s="6" t="s">
        <v>184</v>
      </c>
      <c r="D93" s="125" t="str">
        <f t="shared" si="3"/>
        <v>ŞABANÖZÜ / ÇANKIRI</v>
      </c>
      <c r="E93" s="125">
        <v>5.4</v>
      </c>
      <c r="F93" s="125">
        <v>103.3</v>
      </c>
      <c r="G93" s="125">
        <v>0</v>
      </c>
      <c r="H93" s="125">
        <v>0</v>
      </c>
      <c r="I93" s="125">
        <v>108.7</v>
      </c>
      <c r="J93" s="126">
        <v>10.870000000000001</v>
      </c>
      <c r="K93" s="120">
        <f>VLOOKUP(D93,Excel6!A:H,8,0)</f>
        <v>10.870000000000001</v>
      </c>
      <c r="L93" s="120" t="str">
        <f t="shared" si="4"/>
        <v>ŞABANÖZÜ / ÇANKIRI</v>
      </c>
      <c r="M93" s="124">
        <f t="shared" si="5"/>
        <v>0</v>
      </c>
      <c r="N93" s="120"/>
      <c r="O93" s="120"/>
      <c r="P93" s="120"/>
    </row>
    <row r="94" spans="1:16" ht="14.5" x14ac:dyDescent="0.25">
      <c r="A94" s="6">
        <v>93</v>
      </c>
      <c r="B94" s="6" t="s">
        <v>440</v>
      </c>
      <c r="C94" s="6" t="s">
        <v>184</v>
      </c>
      <c r="D94" s="125" t="str">
        <f t="shared" si="3"/>
        <v>ILGAZ / ÇANKIRI</v>
      </c>
      <c r="E94" s="125">
        <v>58.9</v>
      </c>
      <c r="F94" s="125">
        <v>35.4</v>
      </c>
      <c r="G94" s="125">
        <v>0</v>
      </c>
      <c r="H94" s="125">
        <v>0</v>
      </c>
      <c r="I94" s="125">
        <v>94.3</v>
      </c>
      <c r="J94" s="125">
        <v>9.43</v>
      </c>
      <c r="K94" s="120">
        <f>VLOOKUP(D94,Excel6!A:H,8,0)</f>
        <v>9.43</v>
      </c>
      <c r="L94" s="120" t="str">
        <f t="shared" si="4"/>
        <v>ILGAZ / ÇANKIRI</v>
      </c>
      <c r="M94" s="124">
        <f t="shared" si="5"/>
        <v>0</v>
      </c>
      <c r="N94" s="120"/>
      <c r="O94" s="120"/>
      <c r="P94" s="120"/>
    </row>
    <row r="95" spans="1:16" ht="14.5" x14ac:dyDescent="0.25">
      <c r="A95" s="6">
        <v>94</v>
      </c>
      <c r="B95" s="6" t="s">
        <v>34</v>
      </c>
      <c r="C95" s="6" t="s">
        <v>170</v>
      </c>
      <c r="D95" s="125" t="str">
        <f t="shared" si="3"/>
        <v>MERKEZ / ÇORUM</v>
      </c>
      <c r="E95" s="125">
        <v>28746.260000000002</v>
      </c>
      <c r="F95" s="125">
        <v>29335.279999999999</v>
      </c>
      <c r="G95" s="125">
        <v>8990.9</v>
      </c>
      <c r="H95" s="125">
        <v>5963.4</v>
      </c>
      <c r="I95" s="122">
        <v>43127.24</v>
      </c>
      <c r="J95" s="122">
        <v>4312.7299999999996</v>
      </c>
      <c r="K95" s="120">
        <f>VLOOKUP(D95,Excel6!A:H,8,0)</f>
        <v>4312.7299999999996</v>
      </c>
      <c r="L95" s="120" t="str">
        <f t="shared" si="4"/>
        <v>MERKEZ / ÇORUM</v>
      </c>
      <c r="M95" s="124">
        <f t="shared" si="5"/>
        <v>0</v>
      </c>
      <c r="N95" s="120"/>
      <c r="O95" s="120"/>
      <c r="P95" s="120"/>
    </row>
    <row r="96" spans="1:16" ht="14.5" x14ac:dyDescent="0.25">
      <c r="A96" s="6">
        <v>95</v>
      </c>
      <c r="B96" s="6" t="s">
        <v>363</v>
      </c>
      <c r="C96" s="6" t="s">
        <v>170</v>
      </c>
      <c r="D96" s="125" t="str">
        <f t="shared" si="3"/>
        <v>SUNGURLU / ÇORUM</v>
      </c>
      <c r="E96" s="123">
        <v>5033</v>
      </c>
      <c r="F96" s="123">
        <v>10137.6</v>
      </c>
      <c r="G96" s="123">
        <v>0</v>
      </c>
      <c r="H96" s="123">
        <v>0</v>
      </c>
      <c r="I96" s="121">
        <v>15170.6</v>
      </c>
      <c r="J96" s="121">
        <v>1517.06</v>
      </c>
      <c r="K96" s="120">
        <f>VLOOKUP(D96,Excel6!A:H,8,0)</f>
        <v>1517.06</v>
      </c>
      <c r="L96" s="120" t="str">
        <f t="shared" si="4"/>
        <v>SUNGURLU / ÇORUM</v>
      </c>
      <c r="M96" s="124">
        <f t="shared" si="5"/>
        <v>0</v>
      </c>
      <c r="N96" s="120"/>
      <c r="O96" s="120"/>
      <c r="P96" s="120"/>
    </row>
    <row r="97" spans="1:16" ht="14.5" x14ac:dyDescent="0.25">
      <c r="A97" s="6">
        <v>96</v>
      </c>
      <c r="B97" s="6" t="s">
        <v>549</v>
      </c>
      <c r="C97" s="6" t="s">
        <v>170</v>
      </c>
      <c r="D97" s="125" t="str">
        <f t="shared" si="3"/>
        <v>OSMANCIK / ÇORUM</v>
      </c>
      <c r="E97" s="125">
        <v>461.4</v>
      </c>
      <c r="F97" s="125">
        <v>2383.2000000000003</v>
      </c>
      <c r="G97" s="125">
        <v>279</v>
      </c>
      <c r="H97" s="125">
        <v>524.4</v>
      </c>
      <c r="I97" s="122">
        <v>2041.2000000000003</v>
      </c>
      <c r="J97" s="122">
        <v>204.12</v>
      </c>
      <c r="K97" s="120">
        <f>VLOOKUP(D97,Excel6!A:H,8,0)</f>
        <v>204.12</v>
      </c>
      <c r="L97" s="120" t="str">
        <f t="shared" si="4"/>
        <v>OSMANCIK / ÇORUM</v>
      </c>
      <c r="M97" s="124">
        <f t="shared" si="5"/>
        <v>0</v>
      </c>
      <c r="N97" s="120"/>
      <c r="O97" s="120"/>
      <c r="P97" s="120"/>
    </row>
    <row r="98" spans="1:16" ht="14.5" x14ac:dyDescent="0.25">
      <c r="A98" s="6">
        <v>97</v>
      </c>
      <c r="B98" s="6" t="s">
        <v>3264</v>
      </c>
      <c r="C98" s="6" t="s">
        <v>170</v>
      </c>
      <c r="D98" s="125" t="str">
        <f t="shared" si="3"/>
        <v>DODURGA / ÇORUM</v>
      </c>
      <c r="E98" s="125">
        <v>110.2</v>
      </c>
      <c r="F98" s="125">
        <v>587.1</v>
      </c>
      <c r="G98" s="125">
        <v>0</v>
      </c>
      <c r="H98" s="125">
        <v>0</v>
      </c>
      <c r="I98" s="122">
        <v>697.30000000000007</v>
      </c>
      <c r="J98" s="122">
        <v>69.73</v>
      </c>
      <c r="K98" s="120">
        <f>VLOOKUP(D98,Excel6!A:H,8,0)</f>
        <v>69.73</v>
      </c>
      <c r="L98" s="120" t="str">
        <f t="shared" si="4"/>
        <v>DODURGA / ÇORUM</v>
      </c>
      <c r="M98" s="124">
        <f t="shared" si="5"/>
        <v>0</v>
      </c>
      <c r="N98" s="120"/>
      <c r="O98" s="120"/>
      <c r="P98" s="120"/>
    </row>
    <row r="99" spans="1:16" ht="14.5" x14ac:dyDescent="0.25">
      <c r="A99" s="6">
        <v>98</v>
      </c>
      <c r="B99" s="6" t="s">
        <v>2821</v>
      </c>
      <c r="C99" s="6" t="s">
        <v>170</v>
      </c>
      <c r="D99" s="125" t="str">
        <f t="shared" si="3"/>
        <v>OĞUZLAR / ÇORUM</v>
      </c>
      <c r="E99" s="125">
        <v>50.4</v>
      </c>
      <c r="F99" s="125">
        <v>506.1</v>
      </c>
      <c r="G99" s="125">
        <v>0</v>
      </c>
      <c r="H99" s="125">
        <v>0</v>
      </c>
      <c r="I99" s="122">
        <v>556.5</v>
      </c>
      <c r="J99" s="122">
        <v>55.65</v>
      </c>
      <c r="K99" s="120">
        <f>VLOOKUP(D99,Excel6!A:H,8,0)</f>
        <v>55.65</v>
      </c>
      <c r="L99" s="120" t="str">
        <f t="shared" si="4"/>
        <v>OĞUZLAR / ÇORUM</v>
      </c>
      <c r="M99" s="124">
        <f t="shared" si="5"/>
        <v>0</v>
      </c>
      <c r="N99" s="120"/>
      <c r="O99" s="120"/>
      <c r="P99" s="120"/>
    </row>
    <row r="100" spans="1:16" ht="14.5" x14ac:dyDescent="0.25">
      <c r="A100" s="6">
        <v>99</v>
      </c>
      <c r="B100" s="6" t="s">
        <v>546</v>
      </c>
      <c r="C100" s="6" t="s">
        <v>170</v>
      </c>
      <c r="D100" s="125" t="str">
        <f t="shared" si="3"/>
        <v>İSKİLİP / ÇORUM</v>
      </c>
      <c r="E100" s="125">
        <v>45</v>
      </c>
      <c r="F100" s="125">
        <v>402.8</v>
      </c>
      <c r="G100" s="125">
        <v>0</v>
      </c>
      <c r="H100" s="125">
        <v>0</v>
      </c>
      <c r="I100" s="122">
        <v>447.8</v>
      </c>
      <c r="J100" s="122">
        <v>44.78</v>
      </c>
      <c r="K100" s="120">
        <f>VLOOKUP(D100,Excel6!A:H,8,0)</f>
        <v>44.78</v>
      </c>
      <c r="L100" s="120" t="str">
        <f t="shared" si="4"/>
        <v>İSKİLİP / ÇORUM</v>
      </c>
      <c r="M100" s="124">
        <f t="shared" si="5"/>
        <v>0</v>
      </c>
      <c r="N100" s="120"/>
      <c r="O100" s="120"/>
      <c r="P100" s="120"/>
    </row>
    <row r="101" spans="1:16" ht="14.5" x14ac:dyDescent="0.25">
      <c r="A101" s="6">
        <v>100</v>
      </c>
      <c r="B101" s="6" t="s">
        <v>548</v>
      </c>
      <c r="C101" s="6" t="s">
        <v>170</v>
      </c>
      <c r="D101" s="125" t="str">
        <f t="shared" si="3"/>
        <v>MECİTÖZÜ / ÇORUM</v>
      </c>
      <c r="E101" s="125">
        <v>45</v>
      </c>
      <c r="F101" s="125">
        <v>402.8</v>
      </c>
      <c r="G101" s="125">
        <v>0</v>
      </c>
      <c r="H101" s="125">
        <v>0</v>
      </c>
      <c r="I101" s="122">
        <v>447.8</v>
      </c>
      <c r="J101" s="122">
        <v>44.78</v>
      </c>
      <c r="K101" s="120">
        <f>VLOOKUP(D101,Excel6!A:H,8,0)</f>
        <v>44.78</v>
      </c>
      <c r="L101" s="120" t="str">
        <f t="shared" si="4"/>
        <v>MECİTÖZÜ / ÇORUM</v>
      </c>
      <c r="M101" s="124">
        <f t="shared" si="5"/>
        <v>0</v>
      </c>
      <c r="N101" s="120"/>
      <c r="O101" s="120"/>
      <c r="P101" s="120"/>
    </row>
    <row r="102" spans="1:16" ht="14.5" x14ac:dyDescent="0.25">
      <c r="A102" s="6">
        <v>101</v>
      </c>
      <c r="B102" s="6" t="s">
        <v>547</v>
      </c>
      <c r="C102" s="6" t="s">
        <v>170</v>
      </c>
      <c r="D102" s="125" t="str">
        <f t="shared" si="3"/>
        <v>KARGI / ÇORUM</v>
      </c>
      <c r="E102" s="125">
        <v>130.80000000000001</v>
      </c>
      <c r="F102" s="125">
        <v>69.7</v>
      </c>
      <c r="G102" s="125">
        <v>0</v>
      </c>
      <c r="H102" s="125">
        <v>0</v>
      </c>
      <c r="I102" s="122">
        <v>200.5</v>
      </c>
      <c r="J102" s="122">
        <v>20.05</v>
      </c>
      <c r="K102" s="120">
        <f>VLOOKUP(D102,Excel6!A:H,8,0)</f>
        <v>20.05</v>
      </c>
      <c r="L102" s="120" t="str">
        <f t="shared" si="4"/>
        <v>KARGI / ÇORUM</v>
      </c>
      <c r="M102" s="124">
        <f t="shared" si="5"/>
        <v>0</v>
      </c>
      <c r="N102" s="120"/>
      <c r="O102" s="120"/>
      <c r="P102" s="120"/>
    </row>
    <row r="103" spans="1:16" ht="14.5" x14ac:dyDescent="0.25">
      <c r="A103" s="6">
        <v>102</v>
      </c>
      <c r="B103" s="6" t="s">
        <v>2018</v>
      </c>
      <c r="C103" s="6" t="s">
        <v>57</v>
      </c>
      <c r="D103" s="125" t="str">
        <f t="shared" si="3"/>
        <v>DENİZLİ BÜYÜKŞEHİR / DENİZLİ</v>
      </c>
      <c r="E103" s="125">
        <v>330968.69999999995</v>
      </c>
      <c r="F103" s="125">
        <v>293063.99</v>
      </c>
      <c r="G103" s="125">
        <v>17007.3</v>
      </c>
      <c r="H103" s="125">
        <v>10234.370000000001</v>
      </c>
      <c r="I103" s="122">
        <v>596791.02</v>
      </c>
      <c r="J103" s="122">
        <v>59679.079999999994</v>
      </c>
      <c r="K103" s="120">
        <f>VLOOKUP(D103,Excel6!A:H,8,0)</f>
        <v>59679.079999999994</v>
      </c>
      <c r="L103" s="120" t="str">
        <f t="shared" si="4"/>
        <v>DENİZLİ BÜYÜKŞEHİR / DENİZLİ</v>
      </c>
      <c r="M103" s="124">
        <f t="shared" si="5"/>
        <v>0</v>
      </c>
      <c r="N103" s="120"/>
      <c r="O103" s="120"/>
      <c r="P103" s="120"/>
    </row>
    <row r="104" spans="1:16" ht="14.5" x14ac:dyDescent="0.25">
      <c r="A104" s="6">
        <v>103</v>
      </c>
      <c r="B104" s="6" t="s">
        <v>1862</v>
      </c>
      <c r="C104" s="6" t="s">
        <v>58</v>
      </c>
      <c r="D104" s="125" t="str">
        <f t="shared" si="3"/>
        <v>DİYARBAKIR BÜYÜKŞEHİR / DİYARBAKIR</v>
      </c>
      <c r="E104" s="125">
        <v>48815.8</v>
      </c>
      <c r="F104" s="125">
        <v>62136.800000000003</v>
      </c>
      <c r="G104" s="125">
        <v>436.8</v>
      </c>
      <c r="H104" s="125">
        <v>1211.5</v>
      </c>
      <c r="I104" s="122">
        <v>109304.3</v>
      </c>
      <c r="J104" s="122">
        <v>10930.43</v>
      </c>
      <c r="K104" s="120">
        <f>VLOOKUP(D104,Excel6!A:H,8,0)</f>
        <v>10930.43</v>
      </c>
      <c r="L104" s="120" t="str">
        <f t="shared" si="4"/>
        <v>DİYARBAKIR BÜYÜKŞEHİR / DİYARBAKIR</v>
      </c>
      <c r="M104" s="124">
        <f t="shared" si="5"/>
        <v>0</v>
      </c>
      <c r="N104" s="120"/>
      <c r="O104" s="120"/>
      <c r="P104" s="120"/>
    </row>
    <row r="105" spans="1:16" ht="14.5" x14ac:dyDescent="0.25">
      <c r="A105" s="6">
        <v>104</v>
      </c>
      <c r="B105" s="24" t="s">
        <v>34</v>
      </c>
      <c r="C105" s="6" t="s">
        <v>201</v>
      </c>
      <c r="D105" s="125" t="str">
        <f t="shared" si="3"/>
        <v>MERKEZ / DÜZCE</v>
      </c>
      <c r="E105" s="125">
        <v>90729.47</v>
      </c>
      <c r="F105" s="125">
        <v>98188.84</v>
      </c>
      <c r="G105" s="125">
        <v>20340.060000000001</v>
      </c>
      <c r="H105" s="125">
        <v>1604.63</v>
      </c>
      <c r="I105" s="122">
        <v>166973.62</v>
      </c>
      <c r="J105" s="122">
        <v>16697.37</v>
      </c>
      <c r="K105" s="120">
        <f>VLOOKUP(D105,Excel6!A:H,8,0)</f>
        <v>16697.37</v>
      </c>
      <c r="L105" s="120" t="str">
        <f t="shared" si="4"/>
        <v>MERKEZ / DÜZCE</v>
      </c>
      <c r="M105" s="124">
        <f t="shared" si="5"/>
        <v>0</v>
      </c>
      <c r="N105" s="120"/>
      <c r="O105" s="120"/>
      <c r="P105" s="120"/>
    </row>
    <row r="106" spans="1:16" ht="14.5" x14ac:dyDescent="0.25">
      <c r="A106" s="6">
        <v>105</v>
      </c>
      <c r="B106" s="6" t="s">
        <v>21</v>
      </c>
      <c r="C106" s="24" t="s">
        <v>201</v>
      </c>
      <c r="D106" s="125" t="str">
        <f t="shared" si="3"/>
        <v>AKÇAKOCA / DÜZCE</v>
      </c>
      <c r="E106" s="125">
        <v>12405.7</v>
      </c>
      <c r="F106" s="125">
        <v>2765.4</v>
      </c>
      <c r="G106" s="125">
        <v>413.2</v>
      </c>
      <c r="H106" s="125">
        <v>4076.7</v>
      </c>
      <c r="I106" s="125">
        <v>10681.2</v>
      </c>
      <c r="J106" s="125">
        <v>1068.1199999999999</v>
      </c>
      <c r="K106" s="120">
        <f>VLOOKUP(D106,Excel6!A:H,8,0)</f>
        <v>1068.1199999999999</v>
      </c>
      <c r="L106" s="120" t="str">
        <f t="shared" si="4"/>
        <v>AKÇAKOCA / DÜZCE</v>
      </c>
      <c r="M106" s="124">
        <f t="shared" si="5"/>
        <v>0</v>
      </c>
      <c r="N106" s="120"/>
      <c r="O106" s="120"/>
      <c r="P106" s="120"/>
    </row>
    <row r="107" spans="1:16" ht="14.5" x14ac:dyDescent="0.25">
      <c r="A107" s="6">
        <v>106</v>
      </c>
      <c r="B107" s="6" t="s">
        <v>560</v>
      </c>
      <c r="C107" s="6" t="s">
        <v>201</v>
      </c>
      <c r="D107" s="125" t="str">
        <f t="shared" si="3"/>
        <v>CUMAYERİ / DÜZCE</v>
      </c>
      <c r="E107" s="125">
        <v>5504.8</v>
      </c>
      <c r="F107" s="125">
        <v>115.6</v>
      </c>
      <c r="G107" s="125">
        <v>0</v>
      </c>
      <c r="H107" s="125">
        <v>0</v>
      </c>
      <c r="I107" s="122">
        <v>5620.4000000000005</v>
      </c>
      <c r="J107" s="122">
        <v>562.04</v>
      </c>
      <c r="K107" s="120">
        <f>VLOOKUP(D107,Excel6!A:H,8,0)</f>
        <v>562.04</v>
      </c>
      <c r="L107" s="120" t="str">
        <f t="shared" si="4"/>
        <v>CUMAYERİ / DÜZCE</v>
      </c>
      <c r="M107" s="124">
        <f t="shared" si="5"/>
        <v>0</v>
      </c>
      <c r="N107" s="120"/>
      <c r="O107" s="120"/>
      <c r="P107" s="120"/>
    </row>
    <row r="108" spans="1:16" ht="14.5" x14ac:dyDescent="0.25">
      <c r="A108" s="6">
        <v>107</v>
      </c>
      <c r="B108" s="6" t="s">
        <v>561</v>
      </c>
      <c r="C108" s="6" t="s">
        <v>201</v>
      </c>
      <c r="D108" s="125" t="str">
        <f t="shared" si="3"/>
        <v>ÇİLİMLİ / DÜZCE</v>
      </c>
      <c r="E108" s="125">
        <v>243.4</v>
      </c>
      <c r="F108" s="125">
        <v>223.7</v>
      </c>
      <c r="G108" s="125">
        <v>0</v>
      </c>
      <c r="H108" s="125">
        <v>0</v>
      </c>
      <c r="I108" s="122">
        <v>467.1</v>
      </c>
      <c r="J108" s="122">
        <v>46.71</v>
      </c>
      <c r="K108" s="120">
        <f>VLOOKUP(D108,Excel6!A:H,8,0)</f>
        <v>46.71</v>
      </c>
      <c r="L108" s="120" t="str">
        <f t="shared" si="4"/>
        <v>ÇİLİMLİ / DÜZCE</v>
      </c>
      <c r="M108" s="124">
        <f t="shared" si="5"/>
        <v>0</v>
      </c>
      <c r="N108" s="120"/>
      <c r="O108" s="120"/>
      <c r="P108" s="120"/>
    </row>
    <row r="109" spans="1:16" ht="14.5" x14ac:dyDescent="0.25">
      <c r="A109" s="6">
        <v>108</v>
      </c>
      <c r="B109" s="6" t="s">
        <v>2127</v>
      </c>
      <c r="C109" s="6" t="s">
        <v>201</v>
      </c>
      <c r="D109" s="125" t="str">
        <f t="shared" si="3"/>
        <v>GÜMÜŞOVA / DÜZCE</v>
      </c>
      <c r="E109" s="125">
        <v>167.6</v>
      </c>
      <c r="F109" s="125">
        <v>83.7</v>
      </c>
      <c r="G109" s="125">
        <v>0</v>
      </c>
      <c r="H109" s="125">
        <v>0</v>
      </c>
      <c r="I109" s="122">
        <v>251.3</v>
      </c>
      <c r="J109" s="122">
        <v>25.130000000000003</v>
      </c>
      <c r="K109" s="120">
        <f>VLOOKUP(D109,Excel6!A:H,8,0)</f>
        <v>25.130000000000003</v>
      </c>
      <c r="L109" s="120" t="str">
        <f t="shared" si="4"/>
        <v>GÜMÜŞOVA / DÜZCE</v>
      </c>
      <c r="M109" s="124">
        <f t="shared" si="5"/>
        <v>0</v>
      </c>
      <c r="N109" s="120"/>
      <c r="O109" s="120"/>
      <c r="P109" s="120"/>
    </row>
    <row r="110" spans="1:16" ht="14.5" x14ac:dyDescent="0.25">
      <c r="A110" s="6">
        <v>109</v>
      </c>
      <c r="B110" s="6" t="s">
        <v>443</v>
      </c>
      <c r="C110" s="24" t="s">
        <v>201</v>
      </c>
      <c r="D110" s="125" t="str">
        <f t="shared" si="3"/>
        <v>KAYNAŞLI / DÜZCE</v>
      </c>
      <c r="E110" s="125">
        <v>23148.400000000001</v>
      </c>
      <c r="F110" s="125">
        <v>3533.9</v>
      </c>
      <c r="G110" s="125">
        <v>23071.7</v>
      </c>
      <c r="H110" s="125">
        <v>3430.4</v>
      </c>
      <c r="I110" s="125">
        <v>180.2</v>
      </c>
      <c r="J110" s="125">
        <v>18.02</v>
      </c>
      <c r="K110" s="120">
        <f>VLOOKUP(D110,Excel6!A:H,8,0)</f>
        <v>18.02</v>
      </c>
      <c r="L110" s="120" t="str">
        <f t="shared" si="4"/>
        <v>KAYNAŞLI / DÜZCE</v>
      </c>
      <c r="M110" s="124">
        <f t="shared" si="5"/>
        <v>0</v>
      </c>
      <c r="N110" s="120"/>
      <c r="O110" s="120"/>
      <c r="P110" s="120"/>
    </row>
    <row r="111" spans="1:16" ht="14.5" x14ac:dyDescent="0.25">
      <c r="A111" s="6">
        <v>110</v>
      </c>
      <c r="B111" s="6" t="s">
        <v>2126</v>
      </c>
      <c r="C111" s="6" t="s">
        <v>201</v>
      </c>
      <c r="D111" s="125" t="str">
        <f t="shared" si="3"/>
        <v>GÖLYAKA / DÜZCE</v>
      </c>
      <c r="E111" s="125">
        <v>52.4</v>
      </c>
      <c r="F111" s="125">
        <v>27</v>
      </c>
      <c r="G111" s="125">
        <v>0</v>
      </c>
      <c r="H111" s="125">
        <v>0</v>
      </c>
      <c r="I111" s="125">
        <v>79.400000000000006</v>
      </c>
      <c r="J111" s="125">
        <v>7.94</v>
      </c>
      <c r="K111" s="120">
        <f>VLOOKUP(D111,Excel6!A:H,8,0)</f>
        <v>7.94</v>
      </c>
      <c r="L111" s="120" t="str">
        <f t="shared" si="4"/>
        <v>GÖLYAKA / DÜZCE</v>
      </c>
      <c r="M111" s="124">
        <f t="shared" si="5"/>
        <v>0</v>
      </c>
      <c r="N111" s="120"/>
      <c r="O111" s="120"/>
      <c r="P111" s="120"/>
    </row>
    <row r="112" spans="1:16" ht="14.5" x14ac:dyDescent="0.25">
      <c r="A112" s="6">
        <v>111</v>
      </c>
      <c r="B112" s="6" t="s">
        <v>34</v>
      </c>
      <c r="C112" s="6" t="s">
        <v>59</v>
      </c>
      <c r="D112" s="125" t="str">
        <f t="shared" si="3"/>
        <v>MERKEZ / EDİRNE</v>
      </c>
      <c r="E112" s="125">
        <v>64769.2</v>
      </c>
      <c r="F112" s="125">
        <v>83564.3</v>
      </c>
      <c r="G112" s="125">
        <v>38901</v>
      </c>
      <c r="H112" s="125">
        <v>1744.6</v>
      </c>
      <c r="I112" s="122">
        <v>107687.9</v>
      </c>
      <c r="J112" s="122">
        <v>10768.79</v>
      </c>
      <c r="K112" s="120">
        <f>VLOOKUP(D112,Excel6!A:H,8,0)</f>
        <v>10768.79</v>
      </c>
      <c r="L112" s="120" t="str">
        <f t="shared" si="4"/>
        <v>MERKEZ / EDİRNE</v>
      </c>
      <c r="M112" s="124">
        <f t="shared" si="5"/>
        <v>0</v>
      </c>
      <c r="N112" s="120"/>
      <c r="O112" s="120"/>
      <c r="P112" s="120"/>
    </row>
    <row r="113" spans="1:16" ht="14.5" x14ac:dyDescent="0.25">
      <c r="A113" s="6">
        <v>112</v>
      </c>
      <c r="B113" s="6" t="s">
        <v>563</v>
      </c>
      <c r="C113" s="24" t="s">
        <v>59</v>
      </c>
      <c r="D113" s="125" t="str">
        <f t="shared" si="3"/>
        <v>HAVSA / EDİRNE</v>
      </c>
      <c r="E113" s="125">
        <v>11191.6</v>
      </c>
      <c r="F113" s="125">
        <v>11825.1</v>
      </c>
      <c r="G113" s="125">
        <v>0</v>
      </c>
      <c r="H113" s="125">
        <v>0</v>
      </c>
      <c r="I113" s="125">
        <v>23016.7</v>
      </c>
      <c r="J113" s="125">
        <v>2301.67</v>
      </c>
      <c r="K113" s="120">
        <f>VLOOKUP(D113,Excel6!A:H,8,0)</f>
        <v>2301.67</v>
      </c>
      <c r="L113" s="120" t="str">
        <f t="shared" si="4"/>
        <v>HAVSA / EDİRNE</v>
      </c>
      <c r="M113" s="124">
        <f t="shared" si="5"/>
        <v>0</v>
      </c>
      <c r="N113" s="120"/>
      <c r="O113" s="120"/>
      <c r="P113" s="120"/>
    </row>
    <row r="114" spans="1:16" ht="14.5" x14ac:dyDescent="0.25">
      <c r="A114" s="6">
        <v>113</v>
      </c>
      <c r="B114" s="6" t="s">
        <v>176</v>
      </c>
      <c r="C114" s="6" t="s">
        <v>59</v>
      </c>
      <c r="D114" s="125" t="str">
        <f t="shared" si="3"/>
        <v>KEŞAN / EDİRNE</v>
      </c>
      <c r="E114" s="125">
        <v>9524</v>
      </c>
      <c r="F114" s="125">
        <v>12555.499999999998</v>
      </c>
      <c r="G114" s="125">
        <v>151.89999999999998</v>
      </c>
      <c r="H114" s="125">
        <v>1023.2</v>
      </c>
      <c r="I114" s="122">
        <v>20904.399999999998</v>
      </c>
      <c r="J114" s="122">
        <v>2090.44</v>
      </c>
      <c r="K114" s="120">
        <f>VLOOKUP(D114,Excel6!A:H,8,0)</f>
        <v>2090.44</v>
      </c>
      <c r="L114" s="120" t="str">
        <f t="shared" si="4"/>
        <v>KEŞAN / EDİRNE</v>
      </c>
      <c r="M114" s="124">
        <f t="shared" si="5"/>
        <v>0</v>
      </c>
      <c r="N114" s="120"/>
      <c r="O114" s="120"/>
      <c r="P114" s="120"/>
    </row>
    <row r="115" spans="1:16" ht="14.5" x14ac:dyDescent="0.25">
      <c r="A115" s="6">
        <v>114</v>
      </c>
      <c r="B115" s="6" t="s">
        <v>294</v>
      </c>
      <c r="C115" s="6" t="s">
        <v>59</v>
      </c>
      <c r="D115" s="125" t="str">
        <f t="shared" si="3"/>
        <v>UZUNKÖPRÜ / EDİRNE</v>
      </c>
      <c r="E115" s="125">
        <v>3407.1</v>
      </c>
      <c r="F115" s="125">
        <v>12530.6</v>
      </c>
      <c r="G115" s="125">
        <v>23</v>
      </c>
      <c r="H115" s="125">
        <v>6.7</v>
      </c>
      <c r="I115" s="122">
        <v>15908</v>
      </c>
      <c r="J115" s="122">
        <v>1590.8000000000002</v>
      </c>
      <c r="K115" s="120">
        <f>VLOOKUP(D115,Excel6!A:H,8,0)</f>
        <v>1590.8000000000002</v>
      </c>
      <c r="L115" s="120" t="str">
        <f t="shared" si="4"/>
        <v>UZUNKÖPRÜ / EDİRNE</v>
      </c>
      <c r="M115" s="124">
        <f t="shared" si="5"/>
        <v>0</v>
      </c>
      <c r="N115" s="120"/>
      <c r="O115" s="120"/>
      <c r="P115" s="120"/>
    </row>
    <row r="116" spans="1:16" ht="14.5" x14ac:dyDescent="0.25">
      <c r="A116" s="6">
        <v>115</v>
      </c>
      <c r="B116" s="6" t="s">
        <v>74</v>
      </c>
      <c r="C116" s="6" t="s">
        <v>59</v>
      </c>
      <c r="D116" s="125" t="str">
        <f t="shared" si="3"/>
        <v>ENEZ / EDİRNE</v>
      </c>
      <c r="E116" s="125">
        <v>735.7</v>
      </c>
      <c r="F116" s="125">
        <v>571.29999999999995</v>
      </c>
      <c r="G116" s="125">
        <v>22.4</v>
      </c>
      <c r="H116" s="125">
        <v>14.4</v>
      </c>
      <c r="I116" s="122">
        <v>1270.1999999999998</v>
      </c>
      <c r="J116" s="122">
        <v>127.02</v>
      </c>
      <c r="K116" s="120">
        <f>VLOOKUP(D116,Excel6!A:H,8,0)</f>
        <v>127.02</v>
      </c>
      <c r="L116" s="120" t="str">
        <f t="shared" si="4"/>
        <v>ENEZ / EDİRNE</v>
      </c>
      <c r="M116" s="124">
        <f t="shared" si="5"/>
        <v>0</v>
      </c>
      <c r="N116" s="120"/>
      <c r="O116" s="120"/>
      <c r="P116" s="120"/>
    </row>
    <row r="117" spans="1:16" ht="14.5" x14ac:dyDescent="0.25">
      <c r="A117" s="6">
        <v>116</v>
      </c>
      <c r="B117" s="24" t="s">
        <v>34</v>
      </c>
      <c r="C117" s="6" t="s">
        <v>161</v>
      </c>
      <c r="D117" s="125" t="str">
        <f t="shared" si="3"/>
        <v>MERKEZ / ELAZIĞ</v>
      </c>
      <c r="E117" s="125">
        <v>20320.299999999996</v>
      </c>
      <c r="F117" s="125">
        <v>32437.399999999998</v>
      </c>
      <c r="G117" s="125">
        <v>3512.5</v>
      </c>
      <c r="H117" s="125">
        <v>3779.4000000000005</v>
      </c>
      <c r="I117" s="122">
        <v>45465.8</v>
      </c>
      <c r="J117" s="122">
        <v>4546.58</v>
      </c>
      <c r="K117" s="120">
        <f>VLOOKUP(D117,Excel6!A:H,8,0)</f>
        <v>4546.58</v>
      </c>
      <c r="L117" s="120" t="str">
        <f t="shared" si="4"/>
        <v>MERKEZ / ELAZIĞ</v>
      </c>
      <c r="M117" s="124">
        <f t="shared" si="5"/>
        <v>0</v>
      </c>
      <c r="N117" s="120"/>
      <c r="O117" s="120"/>
      <c r="P117" s="120"/>
    </row>
    <row r="118" spans="1:16" ht="14.5" x14ac:dyDescent="0.25">
      <c r="A118" s="6">
        <v>117</v>
      </c>
      <c r="B118" s="6" t="s">
        <v>2420</v>
      </c>
      <c r="C118" s="6" t="s">
        <v>161</v>
      </c>
      <c r="D118" s="125" t="str">
        <f t="shared" si="3"/>
        <v>SİVRİCE / ELAZIĞ</v>
      </c>
      <c r="E118" s="125">
        <v>708.3</v>
      </c>
      <c r="F118" s="125">
        <v>3.6</v>
      </c>
      <c r="G118" s="125">
        <v>0</v>
      </c>
      <c r="H118" s="125">
        <v>0</v>
      </c>
      <c r="I118" s="122">
        <v>711.9</v>
      </c>
      <c r="J118" s="122">
        <v>71.19</v>
      </c>
      <c r="K118" s="120">
        <f>VLOOKUP(D118,Excel6!A:H,8,0)</f>
        <v>71.19</v>
      </c>
      <c r="L118" s="120" t="str">
        <f t="shared" si="4"/>
        <v>SİVRİCE / ELAZIĞ</v>
      </c>
      <c r="M118" s="124">
        <f t="shared" si="5"/>
        <v>0</v>
      </c>
      <c r="N118" s="120"/>
      <c r="O118" s="120"/>
      <c r="P118" s="120"/>
    </row>
    <row r="119" spans="1:16" ht="14.5" x14ac:dyDescent="0.25">
      <c r="A119" s="6">
        <v>118</v>
      </c>
      <c r="B119" s="6" t="s">
        <v>2055</v>
      </c>
      <c r="C119" s="6" t="s">
        <v>161</v>
      </c>
      <c r="D119" s="125" t="str">
        <f t="shared" si="3"/>
        <v>KARAKOÇAN / ELAZIĞ</v>
      </c>
      <c r="E119" s="125">
        <v>214.7</v>
      </c>
      <c r="F119" s="125">
        <v>141.19999999999999</v>
      </c>
      <c r="G119" s="125">
        <v>0</v>
      </c>
      <c r="H119" s="125">
        <v>0</v>
      </c>
      <c r="I119" s="122">
        <v>355.9</v>
      </c>
      <c r="J119" s="122">
        <v>35.589999999999996</v>
      </c>
      <c r="K119" s="120">
        <f>VLOOKUP(D119,Excel6!A:H,8,0)</f>
        <v>35.589999999999996</v>
      </c>
      <c r="L119" s="120" t="str">
        <f t="shared" si="4"/>
        <v>KARAKOÇAN / ELAZIĞ</v>
      </c>
      <c r="M119" s="124">
        <f t="shared" si="5"/>
        <v>0</v>
      </c>
      <c r="N119" s="120"/>
      <c r="O119" s="120"/>
      <c r="P119" s="120"/>
    </row>
    <row r="120" spans="1:16" ht="14.5" x14ac:dyDescent="0.25">
      <c r="A120" s="6">
        <v>119</v>
      </c>
      <c r="B120" s="6" t="s">
        <v>567</v>
      </c>
      <c r="C120" s="6" t="s">
        <v>161</v>
      </c>
      <c r="D120" s="125" t="str">
        <f t="shared" si="3"/>
        <v>KOVANCILAR / ELAZIĞ</v>
      </c>
      <c r="E120" s="125">
        <v>4.7</v>
      </c>
      <c r="F120" s="125">
        <v>184.7</v>
      </c>
      <c r="G120" s="125">
        <v>0</v>
      </c>
      <c r="H120" s="125">
        <v>0</v>
      </c>
      <c r="I120" s="122">
        <v>189.39999999999998</v>
      </c>
      <c r="J120" s="122">
        <v>18.939999999999998</v>
      </c>
      <c r="K120" s="120">
        <f>VLOOKUP(D120,Excel6!A:H,8,0)</f>
        <v>18.939999999999998</v>
      </c>
      <c r="L120" s="120" t="str">
        <f t="shared" si="4"/>
        <v>KOVANCILAR / ELAZIĞ</v>
      </c>
      <c r="M120" s="124">
        <f t="shared" si="5"/>
        <v>0</v>
      </c>
      <c r="N120" s="120"/>
      <c r="O120" s="120"/>
      <c r="P120" s="120"/>
    </row>
    <row r="121" spans="1:16" ht="14.5" x14ac:dyDescent="0.25">
      <c r="A121" s="6">
        <v>120</v>
      </c>
      <c r="B121" s="6" t="s">
        <v>34</v>
      </c>
      <c r="C121" s="6" t="s">
        <v>173</v>
      </c>
      <c r="D121" s="125" t="str">
        <f t="shared" si="3"/>
        <v>MERKEZ / ERZİNCAN</v>
      </c>
      <c r="E121" s="125">
        <v>7797.5</v>
      </c>
      <c r="F121" s="125">
        <v>4826.7</v>
      </c>
      <c r="G121" s="125">
        <v>3380</v>
      </c>
      <c r="H121" s="125">
        <v>237</v>
      </c>
      <c r="I121" s="122">
        <v>9007.2000000000007</v>
      </c>
      <c r="J121" s="122">
        <v>900.72</v>
      </c>
      <c r="K121" s="120">
        <f>VLOOKUP(D121,Excel6!A:H,8,0)</f>
        <v>900.72</v>
      </c>
      <c r="L121" s="120" t="str">
        <f t="shared" si="4"/>
        <v>MERKEZ / ERZİNCAN</v>
      </c>
      <c r="M121" s="124">
        <f t="shared" si="5"/>
        <v>0</v>
      </c>
      <c r="N121" s="120"/>
      <c r="O121" s="120"/>
      <c r="P121" s="120"/>
    </row>
    <row r="122" spans="1:16" ht="14.5" x14ac:dyDescent="0.25">
      <c r="A122" s="6">
        <v>121</v>
      </c>
      <c r="B122" s="24" t="s">
        <v>2312</v>
      </c>
      <c r="C122" s="24" t="s">
        <v>173</v>
      </c>
      <c r="D122" s="125" t="str">
        <f t="shared" si="3"/>
        <v>İLİÇ / ERZİNCAN</v>
      </c>
      <c r="E122" s="125"/>
      <c r="F122" s="125">
        <v>2031.1</v>
      </c>
      <c r="G122" s="125"/>
      <c r="H122" s="125">
        <v>0</v>
      </c>
      <c r="I122" s="125">
        <v>2031.1</v>
      </c>
      <c r="J122" s="125">
        <v>203.11</v>
      </c>
      <c r="K122" s="120">
        <f>VLOOKUP(D122,Excel6!A:H,8,0)</f>
        <v>203.11</v>
      </c>
      <c r="L122" s="120" t="str">
        <f t="shared" si="4"/>
        <v>İLİÇ / ERZİNCAN</v>
      </c>
      <c r="M122" s="124">
        <f t="shared" si="5"/>
        <v>0</v>
      </c>
      <c r="N122" s="120"/>
      <c r="O122" s="120"/>
      <c r="P122" s="120"/>
    </row>
    <row r="123" spans="1:16" ht="14.5" x14ac:dyDescent="0.25">
      <c r="A123" s="6">
        <v>122</v>
      </c>
      <c r="B123" s="6" t="s">
        <v>2949</v>
      </c>
      <c r="C123" s="6" t="s">
        <v>173</v>
      </c>
      <c r="D123" s="125" t="str">
        <f t="shared" si="3"/>
        <v>KEMAH / ERZİNCAN</v>
      </c>
      <c r="E123" s="126">
        <v>111.1</v>
      </c>
      <c r="F123" s="126">
        <v>565.9</v>
      </c>
      <c r="G123" s="126">
        <v>0</v>
      </c>
      <c r="H123" s="126">
        <v>0</v>
      </c>
      <c r="I123" s="126">
        <v>677</v>
      </c>
      <c r="J123" s="126">
        <v>67.7</v>
      </c>
      <c r="K123" s="120">
        <f>VLOOKUP(D123,Excel6!A:H,8,0)</f>
        <v>67.7</v>
      </c>
      <c r="L123" s="120" t="str">
        <f t="shared" si="4"/>
        <v>KEMAH / ERZİNCAN</v>
      </c>
      <c r="M123" s="124">
        <f t="shared" si="5"/>
        <v>0</v>
      </c>
      <c r="N123" s="120"/>
      <c r="O123" s="120"/>
      <c r="P123" s="120"/>
    </row>
    <row r="124" spans="1:16" ht="14.5" x14ac:dyDescent="0.25">
      <c r="A124" s="6">
        <v>123</v>
      </c>
      <c r="B124" s="6" t="s">
        <v>444</v>
      </c>
      <c r="C124" s="6" t="s">
        <v>173</v>
      </c>
      <c r="D124" s="125" t="str">
        <f t="shared" si="3"/>
        <v>TERCAN / ERZİNCAN</v>
      </c>
      <c r="E124" s="125">
        <v>328.5</v>
      </c>
      <c r="F124" s="125">
        <v>229.1</v>
      </c>
      <c r="G124" s="125">
        <v>0</v>
      </c>
      <c r="H124" s="125">
        <v>0</v>
      </c>
      <c r="I124" s="122">
        <v>557.6</v>
      </c>
      <c r="J124" s="122">
        <v>55.760000000000005</v>
      </c>
      <c r="K124" s="120">
        <f>VLOOKUP(D124,Excel6!A:H,8,0)</f>
        <v>55.760000000000005</v>
      </c>
      <c r="L124" s="120" t="str">
        <f t="shared" si="4"/>
        <v>TERCAN / ERZİNCAN</v>
      </c>
      <c r="M124" s="124">
        <f t="shared" si="5"/>
        <v>0</v>
      </c>
      <c r="N124" s="120"/>
      <c r="O124" s="120"/>
      <c r="P124" s="120"/>
    </row>
    <row r="125" spans="1:16" ht="14.5" x14ac:dyDescent="0.25">
      <c r="A125" s="6">
        <v>124</v>
      </c>
      <c r="B125" s="6" t="s">
        <v>572</v>
      </c>
      <c r="C125" s="6" t="s">
        <v>173</v>
      </c>
      <c r="D125" s="125" t="str">
        <f t="shared" si="3"/>
        <v>KEMALİYE / ERZİNCAN</v>
      </c>
      <c r="E125" s="125">
        <v>286.8</v>
      </c>
      <c r="F125" s="125">
        <v>97.7</v>
      </c>
      <c r="G125" s="125">
        <v>0</v>
      </c>
      <c r="H125" s="125">
        <v>0</v>
      </c>
      <c r="I125" s="122">
        <v>384.5</v>
      </c>
      <c r="J125" s="122">
        <v>38.450000000000003</v>
      </c>
      <c r="K125" s="120">
        <f>VLOOKUP(D125,Excel6!A:H,8,0)</f>
        <v>38.450000000000003</v>
      </c>
      <c r="L125" s="120" t="str">
        <f t="shared" si="4"/>
        <v>KEMALİYE / ERZİNCAN</v>
      </c>
      <c r="M125" s="124">
        <f t="shared" si="5"/>
        <v>0</v>
      </c>
      <c r="N125" s="120"/>
      <c r="O125" s="120"/>
      <c r="P125" s="120"/>
    </row>
    <row r="126" spans="1:16" ht="14.5" x14ac:dyDescent="0.25">
      <c r="A126" s="6">
        <v>125</v>
      </c>
      <c r="B126" s="6" t="s">
        <v>1864</v>
      </c>
      <c r="C126" s="6" t="s">
        <v>60</v>
      </c>
      <c r="D126" s="125" t="str">
        <f t="shared" si="3"/>
        <v>ERZURUM BÜYÜKŞEHİR / ERZURUM</v>
      </c>
      <c r="E126" s="125">
        <v>117921.40000000001</v>
      </c>
      <c r="F126" s="125">
        <v>1301826.8</v>
      </c>
      <c r="G126" s="125">
        <v>705.6</v>
      </c>
      <c r="H126" s="125">
        <v>1949.2</v>
      </c>
      <c r="I126" s="122">
        <v>1417093.4000000001</v>
      </c>
      <c r="J126" s="122">
        <v>141709.34000000003</v>
      </c>
      <c r="K126" s="120">
        <f>VLOOKUP(D126,Excel6!A:H,8,0)</f>
        <v>141709.34000000003</v>
      </c>
      <c r="L126" s="120" t="str">
        <f t="shared" si="4"/>
        <v>ERZURUM BÜYÜKŞEHİR / ERZURUM</v>
      </c>
      <c r="M126" s="124">
        <f t="shared" si="5"/>
        <v>0</v>
      </c>
      <c r="N126" s="120"/>
      <c r="O126" s="120"/>
      <c r="P126" s="120"/>
    </row>
    <row r="127" spans="1:16" ht="14.5" x14ac:dyDescent="0.25">
      <c r="A127" s="6">
        <v>126</v>
      </c>
      <c r="B127" s="6" t="s">
        <v>1865</v>
      </c>
      <c r="C127" s="24" t="s">
        <v>61</v>
      </c>
      <c r="D127" s="125" t="str">
        <f t="shared" si="3"/>
        <v>ESKİŞEHİR BÜYÜKŞEHİR / ESKİŞEHİR</v>
      </c>
      <c r="E127" s="125">
        <v>45046.130000000005</v>
      </c>
      <c r="F127" s="125">
        <v>108566.84</v>
      </c>
      <c r="G127" s="125">
        <v>2075.3000000000002</v>
      </c>
      <c r="H127" s="125">
        <v>3319.2999999999997</v>
      </c>
      <c r="I127" s="125">
        <v>148218.37</v>
      </c>
      <c r="J127" s="125">
        <v>14821.83</v>
      </c>
      <c r="K127" s="120">
        <f>VLOOKUP(D127,Excel6!A:H,8,0)</f>
        <v>14821.83</v>
      </c>
      <c r="L127" s="120" t="str">
        <f t="shared" si="4"/>
        <v>ESKİŞEHİR BÜYÜKŞEHİR / ESKİŞEHİR</v>
      </c>
      <c r="M127" s="124">
        <f t="shared" si="5"/>
        <v>0</v>
      </c>
      <c r="N127" s="120"/>
      <c r="O127" s="120"/>
      <c r="P127" s="120"/>
    </row>
    <row r="128" spans="1:16" ht="14.5" x14ac:dyDescent="0.25">
      <c r="A128" s="6">
        <v>127</v>
      </c>
      <c r="B128" s="6" t="s">
        <v>1867</v>
      </c>
      <c r="C128" s="6" t="s">
        <v>62</v>
      </c>
      <c r="D128" s="125" t="str">
        <f t="shared" si="3"/>
        <v>GAZİANTEP BÜYÜKŞEHİR / GAZİANTEP</v>
      </c>
      <c r="E128" s="125">
        <v>102994.87000000001</v>
      </c>
      <c r="F128" s="125">
        <v>177831.94000000003</v>
      </c>
      <c r="G128" s="125">
        <v>8092.3</v>
      </c>
      <c r="H128" s="125">
        <v>49116.800000000003</v>
      </c>
      <c r="I128" s="122">
        <v>223617.71000000002</v>
      </c>
      <c r="J128" s="122">
        <v>22361.759999999998</v>
      </c>
      <c r="K128" s="120">
        <f>VLOOKUP(D128,Excel6!A:H,8,0)</f>
        <v>22361.759999999998</v>
      </c>
      <c r="L128" s="120" t="str">
        <f t="shared" si="4"/>
        <v>GAZİANTEP BÜYÜKŞEHİR / GAZİANTEP</v>
      </c>
      <c r="M128" s="124">
        <f t="shared" si="5"/>
        <v>0</v>
      </c>
      <c r="N128" s="120"/>
      <c r="O128" s="120"/>
      <c r="P128" s="120"/>
    </row>
    <row r="129" spans="1:18" ht="14.5" x14ac:dyDescent="0.25">
      <c r="A129" s="6">
        <v>128</v>
      </c>
      <c r="B129" s="6" t="s">
        <v>450</v>
      </c>
      <c r="C129" s="6" t="s">
        <v>163</v>
      </c>
      <c r="D129" s="125" t="str">
        <f t="shared" si="3"/>
        <v>KEŞAP / GİRESUN</v>
      </c>
      <c r="E129" s="125">
        <v>37455.4</v>
      </c>
      <c r="F129" s="125">
        <v>46764.7</v>
      </c>
      <c r="G129" s="125">
        <v>64.400000000000006</v>
      </c>
      <c r="H129" s="125">
        <v>131.30000000000001</v>
      </c>
      <c r="I129" s="122">
        <v>84024.4</v>
      </c>
      <c r="J129" s="122">
        <v>8402.44</v>
      </c>
      <c r="K129" s="120">
        <f>VLOOKUP(D129,Excel6!A:H,8,0)</f>
        <v>8402.44</v>
      </c>
      <c r="L129" s="120" t="str">
        <f t="shared" si="4"/>
        <v>KEŞAP / GİRESUN</v>
      </c>
      <c r="M129" s="124">
        <f t="shared" si="5"/>
        <v>0</v>
      </c>
      <c r="N129" s="120"/>
      <c r="O129" s="120"/>
      <c r="P129" s="120"/>
    </row>
    <row r="130" spans="1:18" ht="14.5" x14ac:dyDescent="0.25">
      <c r="A130" s="6">
        <v>129</v>
      </c>
      <c r="B130" s="6" t="s">
        <v>34</v>
      </c>
      <c r="C130" s="6" t="s">
        <v>163</v>
      </c>
      <c r="D130" s="125" t="str">
        <f t="shared" ref="D130:D193" si="6">L130</f>
        <v>MERKEZ / GİRESUN</v>
      </c>
      <c r="E130" s="125">
        <v>28130.94</v>
      </c>
      <c r="F130" s="125">
        <v>15194.25</v>
      </c>
      <c r="G130" s="125">
        <v>1079.5999999999999</v>
      </c>
      <c r="H130" s="125">
        <v>4059.1</v>
      </c>
      <c r="I130" s="122">
        <v>38186.490000000005</v>
      </c>
      <c r="J130" s="122">
        <v>3818.6400000000003</v>
      </c>
      <c r="K130" s="120">
        <f>VLOOKUP(D130,Excel6!A:H,8,0)</f>
        <v>3818.6400000000003</v>
      </c>
      <c r="L130" s="120" t="str">
        <f t="shared" ref="L130:L193" si="7">CONCATENATE(B130&amp; " / " &amp;C130)</f>
        <v>MERKEZ / GİRESUN</v>
      </c>
      <c r="M130" s="124">
        <f t="shared" ref="M130:M193" si="8">J130-K130</f>
        <v>0</v>
      </c>
      <c r="N130" s="120"/>
      <c r="O130" s="120"/>
      <c r="P130" s="120"/>
    </row>
    <row r="131" spans="1:18" ht="14.5" x14ac:dyDescent="0.25">
      <c r="A131" s="6">
        <v>130</v>
      </c>
      <c r="B131" s="6" t="s">
        <v>2204</v>
      </c>
      <c r="C131" s="6" t="s">
        <v>163</v>
      </c>
      <c r="D131" s="125" t="str">
        <f t="shared" si="6"/>
        <v>ESPİYE / GİRESUN</v>
      </c>
      <c r="E131" s="125">
        <v>6059.6</v>
      </c>
      <c r="F131" s="125">
        <v>6816.5999999999995</v>
      </c>
      <c r="G131" s="125">
        <v>4.5</v>
      </c>
      <c r="H131" s="125">
        <v>85.7</v>
      </c>
      <c r="I131" s="122">
        <v>12786</v>
      </c>
      <c r="J131" s="122">
        <v>1278.5999999999999</v>
      </c>
      <c r="K131" s="120">
        <f>VLOOKUP(D131,Excel6!A:H,8,0)</f>
        <v>1278.5999999999999</v>
      </c>
      <c r="L131" s="120" t="str">
        <f t="shared" si="7"/>
        <v>ESPİYE / GİRESUN</v>
      </c>
      <c r="M131" s="124">
        <f t="shared" si="8"/>
        <v>0</v>
      </c>
      <c r="N131" s="120"/>
      <c r="O131" s="120"/>
      <c r="P131" s="120"/>
    </row>
    <row r="132" spans="1:18" ht="14.5" x14ac:dyDescent="0.25">
      <c r="A132" s="6">
        <v>131</v>
      </c>
      <c r="B132" s="6" t="s">
        <v>95</v>
      </c>
      <c r="C132" s="6" t="s">
        <v>163</v>
      </c>
      <c r="D132" s="125" t="str">
        <f t="shared" si="6"/>
        <v>BULANCAK / GİRESUN</v>
      </c>
      <c r="E132" s="125">
        <v>2510.4</v>
      </c>
      <c r="F132" s="125">
        <v>2217.6999999999998</v>
      </c>
      <c r="G132" s="125">
        <v>45</v>
      </c>
      <c r="H132" s="125">
        <v>402.8</v>
      </c>
      <c r="I132" s="122">
        <v>4280.3</v>
      </c>
      <c r="J132" s="122">
        <v>428.03000000000003</v>
      </c>
      <c r="K132" s="120">
        <f>VLOOKUP(D132,Excel6!A:H,8,0)</f>
        <v>428.03000000000003</v>
      </c>
      <c r="L132" s="120" t="str">
        <f t="shared" si="7"/>
        <v>BULANCAK / GİRESUN</v>
      </c>
      <c r="M132" s="124">
        <f t="shared" si="8"/>
        <v>0</v>
      </c>
      <c r="N132" s="120"/>
      <c r="O132" s="120"/>
      <c r="P132" s="120"/>
    </row>
    <row r="133" spans="1:18" ht="14.5" x14ac:dyDescent="0.25">
      <c r="A133" s="6">
        <v>132</v>
      </c>
      <c r="B133" s="6" t="s">
        <v>587</v>
      </c>
      <c r="C133" s="6" t="s">
        <v>163</v>
      </c>
      <c r="D133" s="125" t="str">
        <f t="shared" si="6"/>
        <v>DERELİ / GİRESUN</v>
      </c>
      <c r="E133" s="125">
        <v>298.3</v>
      </c>
      <c r="F133" s="125">
        <v>699</v>
      </c>
      <c r="G133" s="125">
        <v>0</v>
      </c>
      <c r="H133" s="125">
        <v>0</v>
      </c>
      <c r="I133" s="122">
        <v>997.3</v>
      </c>
      <c r="J133" s="122">
        <v>99.73</v>
      </c>
      <c r="K133" s="120">
        <f>VLOOKUP(D133,Excel6!A:H,8,0)</f>
        <v>99.73</v>
      </c>
      <c r="L133" s="120" t="str">
        <f t="shared" si="7"/>
        <v>DERELİ / GİRESUN</v>
      </c>
      <c r="M133" s="124">
        <f t="shared" si="8"/>
        <v>0</v>
      </c>
      <c r="N133" s="120"/>
      <c r="O133" s="120"/>
      <c r="P133" s="120"/>
      <c r="Q133" s="120"/>
    </row>
    <row r="134" spans="1:18" ht="14.5" x14ac:dyDescent="0.25">
      <c r="A134" s="6">
        <v>133</v>
      </c>
      <c r="B134" s="6" t="s">
        <v>1998</v>
      </c>
      <c r="C134" s="24" t="s">
        <v>163</v>
      </c>
      <c r="D134" s="125" t="str">
        <f t="shared" si="6"/>
        <v>ŞEBİNKARAHİSAR / GİRESUN</v>
      </c>
      <c r="E134" s="125">
        <v>528.79999999999995</v>
      </c>
      <c r="F134" s="125">
        <v>296.7</v>
      </c>
      <c r="G134" s="125">
        <v>0</v>
      </c>
      <c r="H134" s="125">
        <v>0</v>
      </c>
      <c r="I134" s="125">
        <v>825.5</v>
      </c>
      <c r="J134" s="125">
        <v>82.550000000000011</v>
      </c>
      <c r="K134" s="120">
        <f>VLOOKUP(D134,Excel6!A:H,8,0)</f>
        <v>82.550000000000011</v>
      </c>
      <c r="L134" s="120" t="str">
        <f t="shared" si="7"/>
        <v>ŞEBİNKARAHİSAR / GİRESUN</v>
      </c>
      <c r="M134" s="124">
        <f t="shared" si="8"/>
        <v>0</v>
      </c>
      <c r="N134" s="120"/>
      <c r="O134" s="120"/>
      <c r="P134" s="120"/>
      <c r="Q134" s="120"/>
      <c r="R134" s="120"/>
    </row>
    <row r="135" spans="1:18" ht="14.5" x14ac:dyDescent="0.3">
      <c r="A135" s="6">
        <v>134</v>
      </c>
      <c r="B135" s="6" t="s">
        <v>318</v>
      </c>
      <c r="C135" s="6" t="s">
        <v>163</v>
      </c>
      <c r="D135" s="125" t="str">
        <f t="shared" si="6"/>
        <v>GÖRELE / GİRESUN</v>
      </c>
      <c r="E135" s="125">
        <v>607.79999999999995</v>
      </c>
      <c r="F135" s="125"/>
      <c r="G135" s="125">
        <v>0</v>
      </c>
      <c r="H135" s="125"/>
      <c r="I135" s="122">
        <v>607.79999999999995</v>
      </c>
      <c r="J135" s="122">
        <v>60.78</v>
      </c>
      <c r="K135" s="120">
        <f>VLOOKUP(D135,Excel6!A:H,8,0)</f>
        <v>60.78</v>
      </c>
      <c r="L135" s="120" t="str">
        <f t="shared" si="7"/>
        <v>GÖRELE / GİRESUN</v>
      </c>
      <c r="M135" s="124">
        <f t="shared" si="8"/>
        <v>0</v>
      </c>
      <c r="N135" s="120"/>
      <c r="O135" s="120"/>
      <c r="P135" s="120"/>
      <c r="Q135" s="16"/>
    </row>
    <row r="136" spans="1:18" ht="14.5" x14ac:dyDescent="0.25">
      <c r="A136" s="6">
        <v>135</v>
      </c>
      <c r="B136" s="6" t="s">
        <v>2398</v>
      </c>
      <c r="C136" s="6" t="s">
        <v>163</v>
      </c>
      <c r="D136" s="125" t="str">
        <f t="shared" si="6"/>
        <v>GÜCE / GİRESUN</v>
      </c>
      <c r="E136" s="125">
        <v>86.4</v>
      </c>
      <c r="F136" s="125">
        <v>428.1</v>
      </c>
      <c r="G136" s="125">
        <v>0</v>
      </c>
      <c r="H136" s="125">
        <v>0</v>
      </c>
      <c r="I136" s="122">
        <v>514.5</v>
      </c>
      <c r="J136" s="122">
        <v>51.45</v>
      </c>
      <c r="K136" s="120">
        <f>VLOOKUP(D136,Excel6!A:H,8,0)</f>
        <v>51.45</v>
      </c>
      <c r="L136" s="120" t="str">
        <f t="shared" si="7"/>
        <v>GÜCE / GİRESUN</v>
      </c>
      <c r="M136" s="124">
        <f t="shared" si="8"/>
        <v>0</v>
      </c>
      <c r="N136" s="120"/>
      <c r="O136" s="120"/>
      <c r="P136" s="120"/>
    </row>
    <row r="137" spans="1:18" ht="14.5" x14ac:dyDescent="0.25">
      <c r="A137" s="6">
        <v>136</v>
      </c>
      <c r="B137" s="6" t="s">
        <v>34</v>
      </c>
      <c r="C137" s="6" t="s">
        <v>247</v>
      </c>
      <c r="D137" s="125" t="str">
        <f t="shared" si="6"/>
        <v>MERKEZ / GÜMÜŞHANE</v>
      </c>
      <c r="E137" s="125">
        <v>84.4</v>
      </c>
      <c r="F137" s="125">
        <v>2135.6999999999998</v>
      </c>
      <c r="G137" s="125">
        <v>0</v>
      </c>
      <c r="H137" s="125">
        <v>0</v>
      </c>
      <c r="I137" s="122">
        <v>2220.1</v>
      </c>
      <c r="J137" s="122">
        <v>222.01</v>
      </c>
      <c r="K137" s="120">
        <f>VLOOKUP(D137,Excel6!A:H,8,0)</f>
        <v>222.01</v>
      </c>
      <c r="L137" s="120" t="str">
        <f t="shared" si="7"/>
        <v>MERKEZ / GÜMÜŞHANE</v>
      </c>
      <c r="M137" s="124">
        <f t="shared" si="8"/>
        <v>0</v>
      </c>
      <c r="N137" s="120"/>
      <c r="O137" s="120"/>
      <c r="P137" s="120"/>
    </row>
    <row r="138" spans="1:18" ht="14.5" x14ac:dyDescent="0.25">
      <c r="A138" s="6">
        <v>137</v>
      </c>
      <c r="B138" s="6" t="s">
        <v>2250</v>
      </c>
      <c r="C138" s="6" t="s">
        <v>247</v>
      </c>
      <c r="D138" s="125" t="str">
        <f t="shared" si="6"/>
        <v>KELKİT / GÜMÜŞHANE</v>
      </c>
      <c r="E138" s="125">
        <v>188.9</v>
      </c>
      <c r="F138" s="125">
        <v>1124.5</v>
      </c>
      <c r="G138" s="125">
        <v>0</v>
      </c>
      <c r="H138" s="125">
        <v>0</v>
      </c>
      <c r="I138" s="122">
        <v>1313.4</v>
      </c>
      <c r="J138" s="122">
        <v>131.34</v>
      </c>
      <c r="K138" s="120">
        <f>VLOOKUP(D138,Excel6!A:H,8,0)</f>
        <v>131.34</v>
      </c>
      <c r="L138" s="120" t="str">
        <f t="shared" si="7"/>
        <v>KELKİT / GÜMÜŞHANE</v>
      </c>
      <c r="M138" s="124">
        <f t="shared" si="8"/>
        <v>0</v>
      </c>
      <c r="N138" s="120"/>
      <c r="O138" s="120"/>
      <c r="P138" s="120"/>
    </row>
    <row r="139" spans="1:18" ht="14.5" x14ac:dyDescent="0.25">
      <c r="A139" s="6">
        <v>138</v>
      </c>
      <c r="B139" s="6" t="s">
        <v>2019</v>
      </c>
      <c r="C139" s="6" t="s">
        <v>65</v>
      </c>
      <c r="D139" s="125" t="str">
        <f t="shared" si="6"/>
        <v>HATAY BÜYÜKŞEHİR / HATAY</v>
      </c>
      <c r="E139" s="125">
        <v>74526.700000000012</v>
      </c>
      <c r="F139" s="125">
        <v>106294.64000000003</v>
      </c>
      <c r="G139" s="125">
        <v>2676.0000000000005</v>
      </c>
      <c r="H139" s="125">
        <v>7947.0999999999995</v>
      </c>
      <c r="I139" s="122">
        <v>170198.24000000002</v>
      </c>
      <c r="J139" s="122">
        <v>17019.819999999996</v>
      </c>
      <c r="K139" s="120">
        <f>VLOOKUP(D139,Excel6!A:H,8,0)</f>
        <v>17019.819999999996</v>
      </c>
      <c r="L139" s="120" t="str">
        <f t="shared" si="7"/>
        <v>HATAY BÜYÜKŞEHİR / HATAY</v>
      </c>
      <c r="M139" s="124">
        <f t="shared" si="8"/>
        <v>0</v>
      </c>
      <c r="N139" s="120"/>
      <c r="O139" s="120"/>
      <c r="P139" s="120"/>
    </row>
    <row r="140" spans="1:18" ht="14.5" x14ac:dyDescent="0.25">
      <c r="A140" s="6">
        <v>139</v>
      </c>
      <c r="B140" s="6" t="s">
        <v>34</v>
      </c>
      <c r="C140" s="6" t="s">
        <v>239</v>
      </c>
      <c r="D140" s="125" t="str">
        <f t="shared" si="6"/>
        <v>MERKEZ / IĞDIR</v>
      </c>
      <c r="E140" s="125">
        <v>1789.8000000000002</v>
      </c>
      <c r="F140" s="125">
        <v>8631.1</v>
      </c>
      <c r="G140" s="125">
        <v>25</v>
      </c>
      <c r="H140" s="125">
        <v>326.7</v>
      </c>
      <c r="I140" s="122">
        <v>10069.200000000001</v>
      </c>
      <c r="J140" s="122">
        <v>1006.9200000000001</v>
      </c>
      <c r="K140" s="120">
        <f>VLOOKUP(D140,Excel6!A:H,8,0)</f>
        <v>1006.9200000000001</v>
      </c>
      <c r="L140" s="120" t="str">
        <f t="shared" si="7"/>
        <v>MERKEZ / IĞDIR</v>
      </c>
      <c r="M140" s="124">
        <f t="shared" si="8"/>
        <v>0</v>
      </c>
      <c r="N140" s="120"/>
      <c r="O140" s="120"/>
      <c r="P140" s="120"/>
    </row>
    <row r="141" spans="1:18" ht="14.5" x14ac:dyDescent="0.25">
      <c r="A141" s="6">
        <v>140</v>
      </c>
      <c r="B141" s="6" t="s">
        <v>34</v>
      </c>
      <c r="C141" s="6" t="s">
        <v>66</v>
      </c>
      <c r="D141" s="125" t="str">
        <f t="shared" si="6"/>
        <v>MERKEZ / ISPARTA</v>
      </c>
      <c r="E141" s="125">
        <v>10749.199999999999</v>
      </c>
      <c r="F141" s="125">
        <v>18393.399999999998</v>
      </c>
      <c r="G141" s="125">
        <v>700.2</v>
      </c>
      <c r="H141" s="125">
        <v>5435.6</v>
      </c>
      <c r="I141" s="122">
        <v>23006.799999999999</v>
      </c>
      <c r="J141" s="122">
        <v>2300.6799999999998</v>
      </c>
      <c r="K141" s="120">
        <f>VLOOKUP(D141,Excel6!A:H,8,0)</f>
        <v>2300.6799999999998</v>
      </c>
      <c r="L141" s="120" t="str">
        <f t="shared" si="7"/>
        <v>MERKEZ / ISPARTA</v>
      </c>
      <c r="M141" s="124">
        <f t="shared" si="8"/>
        <v>0</v>
      </c>
      <c r="N141" s="120"/>
      <c r="O141" s="120"/>
      <c r="P141" s="120"/>
    </row>
    <row r="142" spans="1:18" ht="14.5" x14ac:dyDescent="0.25">
      <c r="A142" s="6">
        <v>141</v>
      </c>
      <c r="B142" s="6" t="s">
        <v>202</v>
      </c>
      <c r="C142" s="6" t="s">
        <v>66</v>
      </c>
      <c r="D142" s="125" t="str">
        <f t="shared" si="6"/>
        <v>YALVAÇ / ISPARTA</v>
      </c>
      <c r="E142" s="125">
        <v>6085.0999999999995</v>
      </c>
      <c r="F142" s="125">
        <v>6658.4</v>
      </c>
      <c r="G142" s="125">
        <v>0</v>
      </c>
      <c r="H142" s="125">
        <v>0</v>
      </c>
      <c r="I142" s="122">
        <v>12743.5</v>
      </c>
      <c r="J142" s="122">
        <v>1274.3500000000001</v>
      </c>
      <c r="K142" s="120">
        <f>VLOOKUP(D142,Excel6!A:H,8,0)</f>
        <v>1274.3500000000001</v>
      </c>
      <c r="L142" s="120" t="str">
        <f t="shared" si="7"/>
        <v>YALVAÇ / ISPARTA</v>
      </c>
      <c r="M142" s="124">
        <f t="shared" si="8"/>
        <v>0</v>
      </c>
      <c r="N142" s="120"/>
      <c r="O142" s="120"/>
      <c r="P142" s="120"/>
    </row>
    <row r="143" spans="1:18" ht="14.5" x14ac:dyDescent="0.25">
      <c r="A143" s="6">
        <v>142</v>
      </c>
      <c r="B143" s="6" t="s">
        <v>2231</v>
      </c>
      <c r="C143" s="6" t="s">
        <v>66</v>
      </c>
      <c r="D143" s="125" t="str">
        <f t="shared" si="6"/>
        <v>ATABEY / ISPARTA</v>
      </c>
      <c r="E143" s="125">
        <v>1300.7</v>
      </c>
      <c r="F143" s="125">
        <v>1347</v>
      </c>
      <c r="G143" s="125">
        <v>0</v>
      </c>
      <c r="H143" s="125">
        <v>0</v>
      </c>
      <c r="I143" s="121">
        <v>2647.7</v>
      </c>
      <c r="J143" s="121">
        <v>264.77</v>
      </c>
      <c r="K143" s="120">
        <f>VLOOKUP(D143,Excel6!A:H,8,0)</f>
        <v>264.77</v>
      </c>
      <c r="L143" s="120" t="str">
        <f t="shared" si="7"/>
        <v>ATABEY / ISPARTA</v>
      </c>
      <c r="M143" s="124">
        <f t="shared" si="8"/>
        <v>0</v>
      </c>
      <c r="N143" s="120"/>
      <c r="O143" s="120"/>
      <c r="P143" s="120"/>
    </row>
    <row r="144" spans="1:18" ht="14.5" x14ac:dyDescent="0.25">
      <c r="A144" s="6">
        <v>143</v>
      </c>
      <c r="B144" s="6" t="s">
        <v>598</v>
      </c>
      <c r="C144" s="6" t="s">
        <v>66</v>
      </c>
      <c r="D144" s="125" t="str">
        <f t="shared" si="6"/>
        <v>KEÇİBORLU / ISPARTA</v>
      </c>
      <c r="E144" s="125">
        <v>971.59999999999991</v>
      </c>
      <c r="F144" s="125">
        <v>1522.3</v>
      </c>
      <c r="G144" s="125">
        <v>0</v>
      </c>
      <c r="H144" s="125">
        <v>0</v>
      </c>
      <c r="I144" s="122">
        <v>2493.8999999999996</v>
      </c>
      <c r="J144" s="122">
        <v>249.39</v>
      </c>
      <c r="K144" s="120">
        <f>VLOOKUP(D144,Excel6!A:H,8,0)</f>
        <v>249.39</v>
      </c>
      <c r="L144" s="120" t="str">
        <f t="shared" si="7"/>
        <v>KEÇİBORLU / ISPARTA</v>
      </c>
      <c r="M144" s="124">
        <f t="shared" si="8"/>
        <v>0</v>
      </c>
      <c r="N144" s="120"/>
      <c r="O144" s="120"/>
      <c r="P144" s="120"/>
    </row>
    <row r="145" spans="1:16" ht="14.5" x14ac:dyDescent="0.25">
      <c r="A145" s="6">
        <v>144</v>
      </c>
      <c r="B145" s="6" t="s">
        <v>257</v>
      </c>
      <c r="C145" s="6" t="s">
        <v>66</v>
      </c>
      <c r="D145" s="125" t="str">
        <f t="shared" si="6"/>
        <v>GÖNEN / ISPARTA</v>
      </c>
      <c r="E145" s="125">
        <v>539.5</v>
      </c>
      <c r="F145" s="125">
        <v>1008.2</v>
      </c>
      <c r="G145" s="125">
        <v>32.1</v>
      </c>
      <c r="H145" s="125">
        <v>51.7</v>
      </c>
      <c r="I145" s="122">
        <v>1463.9</v>
      </c>
      <c r="J145" s="122">
        <v>146.38999999999999</v>
      </c>
      <c r="K145" s="120">
        <f>VLOOKUP(D145,Excel6!A:H,8,0)</f>
        <v>146.38999999999999</v>
      </c>
      <c r="L145" s="120" t="str">
        <f t="shared" si="7"/>
        <v>GÖNEN / ISPARTA</v>
      </c>
      <c r="M145" s="124">
        <f t="shared" si="8"/>
        <v>0</v>
      </c>
      <c r="N145" s="120"/>
      <c r="O145" s="120"/>
      <c r="P145" s="120"/>
    </row>
    <row r="146" spans="1:16" ht="14.5" x14ac:dyDescent="0.25">
      <c r="A146" s="6">
        <v>145</v>
      </c>
      <c r="B146" s="6" t="s">
        <v>260</v>
      </c>
      <c r="C146" s="24" t="s">
        <v>66</v>
      </c>
      <c r="D146" s="125" t="str">
        <f t="shared" si="6"/>
        <v>ŞARKİKARAAĞAÇ / ISPARTA</v>
      </c>
      <c r="E146" s="125">
        <v>740.5</v>
      </c>
      <c r="F146" s="125">
        <v>675.9</v>
      </c>
      <c r="G146" s="125">
        <v>0</v>
      </c>
      <c r="H146" s="125">
        <v>0</v>
      </c>
      <c r="I146" s="125">
        <v>1416.4</v>
      </c>
      <c r="J146" s="125">
        <v>141.63999999999999</v>
      </c>
      <c r="K146" s="120">
        <f>VLOOKUP(D146,Excel6!A:H,8,0)</f>
        <v>141.63999999999999</v>
      </c>
      <c r="L146" s="120" t="str">
        <f t="shared" si="7"/>
        <v>ŞARKİKARAAĞAÇ / ISPARTA</v>
      </c>
      <c r="M146" s="124">
        <f t="shared" si="8"/>
        <v>0</v>
      </c>
      <c r="N146" s="120"/>
      <c r="O146" s="120"/>
      <c r="P146" s="120"/>
    </row>
    <row r="147" spans="1:16" ht="14.5" x14ac:dyDescent="0.25">
      <c r="A147" s="6">
        <v>146</v>
      </c>
      <c r="B147" s="6" t="s">
        <v>596</v>
      </c>
      <c r="C147" s="6" t="s">
        <v>66</v>
      </c>
      <c r="D147" s="125" t="str">
        <f t="shared" si="6"/>
        <v>EĞİRDİR / ISPARTA</v>
      </c>
      <c r="E147" s="125">
        <v>285.2</v>
      </c>
      <c r="F147" s="125">
        <v>205.7</v>
      </c>
      <c r="G147" s="125">
        <v>0</v>
      </c>
      <c r="H147" s="125">
        <v>0</v>
      </c>
      <c r="I147" s="122">
        <v>490.9</v>
      </c>
      <c r="J147" s="122">
        <v>49.09</v>
      </c>
      <c r="K147" s="120">
        <f>VLOOKUP(D147,Excel6!A:H,8,0)</f>
        <v>49.09</v>
      </c>
      <c r="L147" s="120" t="str">
        <f t="shared" si="7"/>
        <v>EĞİRDİR / ISPARTA</v>
      </c>
      <c r="M147" s="124">
        <f t="shared" si="8"/>
        <v>0</v>
      </c>
      <c r="N147" s="120"/>
      <c r="O147" s="120"/>
      <c r="P147" s="120"/>
    </row>
    <row r="148" spans="1:16" ht="14.5" x14ac:dyDescent="0.25">
      <c r="A148" s="6">
        <v>147</v>
      </c>
      <c r="B148" s="24" t="s">
        <v>597</v>
      </c>
      <c r="C148" s="6" t="s">
        <v>66</v>
      </c>
      <c r="D148" s="125" t="str">
        <f t="shared" si="6"/>
        <v>GELENDOST / ISPARTA</v>
      </c>
      <c r="E148" s="125">
        <v>50.4</v>
      </c>
      <c r="F148" s="125">
        <v>506.1</v>
      </c>
      <c r="G148" s="125">
        <v>5.4</v>
      </c>
      <c r="H148" s="125">
        <v>103.3</v>
      </c>
      <c r="I148" s="122">
        <v>447.8</v>
      </c>
      <c r="J148" s="122">
        <v>44.78</v>
      </c>
      <c r="K148" s="120">
        <f>VLOOKUP(D148,Excel6!A:H,8,0)</f>
        <v>44.78</v>
      </c>
      <c r="L148" s="120" t="str">
        <f t="shared" si="7"/>
        <v>GELENDOST / ISPARTA</v>
      </c>
      <c r="M148" s="124">
        <f t="shared" si="8"/>
        <v>0</v>
      </c>
      <c r="N148" s="120"/>
      <c r="O148" s="120"/>
      <c r="P148" s="120"/>
    </row>
    <row r="149" spans="1:16" ht="14.5" x14ac:dyDescent="0.25">
      <c r="A149" s="6">
        <v>148</v>
      </c>
      <c r="B149" s="6" t="s">
        <v>331</v>
      </c>
      <c r="C149" s="24" t="s">
        <v>66</v>
      </c>
      <c r="D149" s="125" t="str">
        <f t="shared" si="6"/>
        <v>ULUBORLU / ISPARTA</v>
      </c>
      <c r="E149" s="125">
        <v>53.9</v>
      </c>
      <c r="F149" s="125">
        <v>206.6</v>
      </c>
      <c r="G149" s="125">
        <v>0</v>
      </c>
      <c r="H149" s="125">
        <v>0</v>
      </c>
      <c r="I149" s="125">
        <v>260.5</v>
      </c>
      <c r="J149" s="125">
        <v>26.05</v>
      </c>
      <c r="K149" s="120">
        <f>VLOOKUP(D149,Excel6!A:H,8,0)</f>
        <v>26.05</v>
      </c>
      <c r="L149" s="120" t="str">
        <f t="shared" si="7"/>
        <v>ULUBORLU / ISPARTA</v>
      </c>
      <c r="M149" s="124">
        <f t="shared" si="8"/>
        <v>0</v>
      </c>
      <c r="N149" s="120"/>
      <c r="O149" s="120"/>
      <c r="P149" s="120"/>
    </row>
    <row r="150" spans="1:16" ht="14.5" x14ac:dyDescent="0.25">
      <c r="A150" s="6">
        <v>149</v>
      </c>
      <c r="B150" s="6" t="s">
        <v>267</v>
      </c>
      <c r="C150" s="6" t="s">
        <v>66</v>
      </c>
      <c r="D150" s="125" t="str">
        <f t="shared" si="6"/>
        <v>AKSU / ISPARTA</v>
      </c>
      <c r="E150" s="125">
        <v>117.4</v>
      </c>
      <c r="F150" s="125">
        <v>105.4</v>
      </c>
      <c r="G150" s="125">
        <v>0</v>
      </c>
      <c r="H150" s="125">
        <v>0</v>
      </c>
      <c r="I150" s="122">
        <v>222.8</v>
      </c>
      <c r="J150" s="122">
        <v>22.28</v>
      </c>
      <c r="K150" s="120">
        <f>VLOOKUP(D150,Excel6!A:H,8,0)</f>
        <v>22.28</v>
      </c>
      <c r="L150" s="120" t="str">
        <f t="shared" si="7"/>
        <v>AKSU / ISPARTA</v>
      </c>
      <c r="M150" s="124">
        <f t="shared" si="8"/>
        <v>0</v>
      </c>
      <c r="N150" s="120"/>
      <c r="O150" s="120"/>
      <c r="P150" s="120"/>
    </row>
    <row r="151" spans="1:16" ht="14.5" x14ac:dyDescent="0.25">
      <c r="A151" s="6">
        <v>150</v>
      </c>
      <c r="B151" s="6" t="s">
        <v>2256</v>
      </c>
      <c r="C151" s="6" t="s">
        <v>66</v>
      </c>
      <c r="D151" s="125" t="str">
        <f t="shared" si="6"/>
        <v>SENİRKENT / ISPARTA</v>
      </c>
      <c r="E151" s="125">
        <v>126.7</v>
      </c>
      <c r="F151" s="125">
        <v>84.5</v>
      </c>
      <c r="G151" s="125">
        <v>0</v>
      </c>
      <c r="H151" s="125">
        <v>0</v>
      </c>
      <c r="I151" s="122">
        <v>211.2</v>
      </c>
      <c r="J151" s="122">
        <v>21.119999999999997</v>
      </c>
      <c r="K151" s="120">
        <f>VLOOKUP(D151,Excel6!A:H,8,0)</f>
        <v>21.119999999999997</v>
      </c>
      <c r="L151" s="120" t="str">
        <f t="shared" si="7"/>
        <v>SENİRKENT / ISPARTA</v>
      </c>
      <c r="M151" s="124">
        <f t="shared" si="8"/>
        <v>0</v>
      </c>
      <c r="N151" s="120"/>
      <c r="O151" s="120"/>
      <c r="P151" s="120"/>
    </row>
    <row r="152" spans="1:16" ht="14.5" x14ac:dyDescent="0.25">
      <c r="A152" s="6">
        <v>151</v>
      </c>
      <c r="B152" s="6" t="s">
        <v>1872</v>
      </c>
      <c r="C152" s="6" t="s">
        <v>112</v>
      </c>
      <c r="D152" s="125" t="str">
        <f t="shared" si="6"/>
        <v>İZMİR BÜYÜKŞEHİR / İZMİR</v>
      </c>
      <c r="E152" s="123">
        <v>1316993.8399999999</v>
      </c>
      <c r="F152" s="123">
        <v>1821661.03</v>
      </c>
      <c r="G152" s="123">
        <v>133376.94999999998</v>
      </c>
      <c r="H152" s="123">
        <v>150030.16999999995</v>
      </c>
      <c r="I152" s="121">
        <v>2855247.75</v>
      </c>
      <c r="J152" s="121">
        <v>285524.80999999994</v>
      </c>
      <c r="K152" s="120">
        <f>VLOOKUP(D152,Excel6!A:H,8,0)</f>
        <v>285524.80999999994</v>
      </c>
      <c r="L152" s="120" t="str">
        <f t="shared" si="7"/>
        <v>İZMİR BÜYÜKŞEHİR / İZMİR</v>
      </c>
      <c r="M152" s="124">
        <f t="shared" si="8"/>
        <v>0</v>
      </c>
      <c r="N152" s="120"/>
      <c r="O152" s="120"/>
      <c r="P152" s="120"/>
    </row>
    <row r="153" spans="1:16" ht="14.5" x14ac:dyDescent="0.25">
      <c r="A153" s="6">
        <v>152</v>
      </c>
      <c r="B153" s="6" t="s">
        <v>3607</v>
      </c>
      <c r="C153" s="6" t="s">
        <v>3596</v>
      </c>
      <c r="D153" s="125" t="str">
        <f t="shared" si="6"/>
        <v>KAHRAMANMARAŞ BÜYÜKŞEHİR / KAHRAMANMARAŞ</v>
      </c>
      <c r="E153" s="125">
        <v>14445.499999999998</v>
      </c>
      <c r="F153" s="125">
        <v>29996</v>
      </c>
      <c r="G153" s="125">
        <v>415.91</v>
      </c>
      <c r="H153" s="125">
        <v>8959.3700000000008</v>
      </c>
      <c r="I153" s="122">
        <v>35066.219999999994</v>
      </c>
      <c r="J153" s="122">
        <v>3506.6099999999997</v>
      </c>
      <c r="K153" s="120">
        <f>VLOOKUP(D153,Excel6!A:H,8,0)</f>
        <v>3506.6099999999997</v>
      </c>
      <c r="L153" s="120" t="str">
        <f t="shared" si="7"/>
        <v>KAHRAMANMARAŞ BÜYÜKŞEHİR / KAHRAMANMARAŞ</v>
      </c>
      <c r="M153" s="124">
        <f t="shared" si="8"/>
        <v>0</v>
      </c>
      <c r="N153" s="120"/>
      <c r="O153" s="120"/>
      <c r="P153" s="120"/>
    </row>
    <row r="154" spans="1:16" ht="14.5" x14ac:dyDescent="0.25">
      <c r="A154" s="6">
        <v>153</v>
      </c>
      <c r="B154" s="24" t="s">
        <v>7</v>
      </c>
      <c r="C154" s="6" t="s">
        <v>6</v>
      </c>
      <c r="D154" s="125" t="str">
        <f t="shared" si="6"/>
        <v>SAFRANBOLU / KARABÜK</v>
      </c>
      <c r="E154" s="125">
        <v>8201.2000000000007</v>
      </c>
      <c r="F154" s="125">
        <v>18066.5</v>
      </c>
      <c r="G154" s="125">
        <v>0</v>
      </c>
      <c r="H154" s="125">
        <v>0</v>
      </c>
      <c r="I154" s="122">
        <v>26267.7</v>
      </c>
      <c r="J154" s="122">
        <v>2626.77</v>
      </c>
      <c r="K154" s="120">
        <f>VLOOKUP(D154,Excel6!A:H,8,0)</f>
        <v>2626.77</v>
      </c>
      <c r="L154" s="120" t="str">
        <f t="shared" si="7"/>
        <v>SAFRANBOLU / KARABÜK</v>
      </c>
      <c r="M154" s="124">
        <f t="shared" si="8"/>
        <v>0</v>
      </c>
      <c r="N154" s="120"/>
      <c r="O154" s="120"/>
      <c r="P154" s="120"/>
    </row>
    <row r="155" spans="1:16" ht="14.5" x14ac:dyDescent="0.25">
      <c r="A155" s="6">
        <v>154</v>
      </c>
      <c r="B155" s="6" t="s">
        <v>34</v>
      </c>
      <c r="C155" s="6" t="s">
        <v>6</v>
      </c>
      <c r="D155" s="125" t="str">
        <f t="shared" si="6"/>
        <v>MERKEZ / KARABÜK</v>
      </c>
      <c r="E155" s="125">
        <v>7705</v>
      </c>
      <c r="F155" s="125">
        <v>8772.4599999999991</v>
      </c>
      <c r="G155" s="125">
        <v>159.9</v>
      </c>
      <c r="H155" s="125">
        <v>34.5</v>
      </c>
      <c r="I155" s="122">
        <v>16283.06</v>
      </c>
      <c r="J155" s="122">
        <v>1628.31</v>
      </c>
      <c r="K155" s="120">
        <f>VLOOKUP(D155,Excel6!A:H,8,0)</f>
        <v>1628.31</v>
      </c>
      <c r="L155" s="120" t="str">
        <f t="shared" si="7"/>
        <v>MERKEZ / KARABÜK</v>
      </c>
      <c r="M155" s="124">
        <f t="shared" si="8"/>
        <v>0</v>
      </c>
      <c r="N155" s="120"/>
      <c r="O155" s="120"/>
      <c r="P155" s="120"/>
    </row>
    <row r="156" spans="1:16" ht="14.5" x14ac:dyDescent="0.25">
      <c r="A156" s="6">
        <v>155</v>
      </c>
      <c r="B156" s="6" t="s">
        <v>2206</v>
      </c>
      <c r="C156" s="24" t="s">
        <v>6</v>
      </c>
      <c r="D156" s="125" t="str">
        <f t="shared" si="6"/>
        <v>ESKİPAZAR / KARABÜK</v>
      </c>
      <c r="E156" s="125">
        <v>1322.8</v>
      </c>
      <c r="F156" s="125">
        <v>1185.2</v>
      </c>
      <c r="G156" s="125">
        <v>0</v>
      </c>
      <c r="H156" s="125">
        <v>0</v>
      </c>
      <c r="I156" s="125">
        <v>2508</v>
      </c>
      <c r="J156" s="125">
        <v>250.8</v>
      </c>
      <c r="K156" s="120">
        <f>VLOOKUP(D156,Excel6!A:H,8,0)</f>
        <v>250.8</v>
      </c>
      <c r="L156" s="120" t="str">
        <f t="shared" si="7"/>
        <v>ESKİPAZAR / KARABÜK</v>
      </c>
      <c r="M156" s="124">
        <f t="shared" si="8"/>
        <v>0</v>
      </c>
      <c r="N156" s="120"/>
      <c r="O156" s="120"/>
      <c r="P156" s="120"/>
    </row>
    <row r="157" spans="1:16" ht="14.5" x14ac:dyDescent="0.25">
      <c r="A157" s="6">
        <v>156</v>
      </c>
      <c r="B157" s="6" t="s">
        <v>34</v>
      </c>
      <c r="C157" s="6" t="s">
        <v>81</v>
      </c>
      <c r="D157" s="125" t="str">
        <f t="shared" si="6"/>
        <v>MERKEZ / KARAMAN</v>
      </c>
      <c r="E157" s="125">
        <v>24641.299999999996</v>
      </c>
      <c r="F157" s="125">
        <v>27128.199999999997</v>
      </c>
      <c r="G157" s="125">
        <v>719</v>
      </c>
      <c r="H157" s="125">
        <v>4621.5</v>
      </c>
      <c r="I157" s="122">
        <v>46429</v>
      </c>
      <c r="J157" s="122">
        <v>4642.8999999999996</v>
      </c>
      <c r="K157" s="120">
        <f>VLOOKUP(D157,Excel6!A:H,8,0)</f>
        <v>4642.8999999999996</v>
      </c>
      <c r="L157" s="120" t="str">
        <f t="shared" si="7"/>
        <v>MERKEZ / KARAMAN</v>
      </c>
      <c r="M157" s="124">
        <f t="shared" si="8"/>
        <v>0</v>
      </c>
      <c r="N157" s="120"/>
      <c r="O157" s="120"/>
      <c r="P157" s="120"/>
    </row>
    <row r="158" spans="1:16" ht="14.5" x14ac:dyDescent="0.25">
      <c r="A158" s="6">
        <v>157</v>
      </c>
      <c r="B158" s="6" t="s">
        <v>602</v>
      </c>
      <c r="C158" s="6" t="s">
        <v>81</v>
      </c>
      <c r="D158" s="125" t="str">
        <f t="shared" si="6"/>
        <v>ERMENEK / KARAMAN</v>
      </c>
      <c r="E158" s="125">
        <v>254.7</v>
      </c>
      <c r="F158" s="125">
        <v>23.2</v>
      </c>
      <c r="G158" s="125">
        <v>0</v>
      </c>
      <c r="H158" s="125">
        <v>0</v>
      </c>
      <c r="I158" s="122">
        <v>277.89999999999998</v>
      </c>
      <c r="J158" s="122">
        <v>27.79</v>
      </c>
      <c r="K158" s="120">
        <f>VLOOKUP(D158,Excel6!A:H,8,0)</f>
        <v>27.79</v>
      </c>
      <c r="L158" s="120" t="str">
        <f t="shared" si="7"/>
        <v>ERMENEK / KARAMAN</v>
      </c>
      <c r="M158" s="124">
        <f t="shared" si="8"/>
        <v>0</v>
      </c>
      <c r="N158" s="120"/>
      <c r="O158" s="120"/>
      <c r="P158" s="120"/>
    </row>
    <row r="159" spans="1:16" ht="14.5" x14ac:dyDescent="0.25">
      <c r="A159" s="6">
        <v>158</v>
      </c>
      <c r="B159" s="6" t="s">
        <v>2838</v>
      </c>
      <c r="C159" s="6" t="s">
        <v>81</v>
      </c>
      <c r="D159" s="125" t="str">
        <f t="shared" si="6"/>
        <v>SARIVELİLER / KARAMAN</v>
      </c>
      <c r="E159" s="125">
        <v>207.1</v>
      </c>
      <c r="F159" s="125"/>
      <c r="G159" s="125">
        <v>0</v>
      </c>
      <c r="H159" s="125"/>
      <c r="I159" s="122">
        <v>207.1</v>
      </c>
      <c r="J159" s="122">
        <v>20.71</v>
      </c>
      <c r="K159" s="120">
        <f>VLOOKUP(D159,Excel6!A:H,8,0)</f>
        <v>20.71</v>
      </c>
      <c r="L159" s="120" t="str">
        <f t="shared" si="7"/>
        <v>SARIVELİLER / KARAMAN</v>
      </c>
      <c r="M159" s="124">
        <f t="shared" si="8"/>
        <v>0</v>
      </c>
      <c r="N159" s="120"/>
      <c r="O159" s="120"/>
      <c r="P159" s="120"/>
    </row>
    <row r="160" spans="1:16" ht="14.5" x14ac:dyDescent="0.25">
      <c r="A160" s="6">
        <v>159</v>
      </c>
      <c r="B160" s="6" t="s">
        <v>34</v>
      </c>
      <c r="C160" s="6" t="s">
        <v>77</v>
      </c>
      <c r="D160" s="125" t="str">
        <f t="shared" si="6"/>
        <v>MERKEZ / KARS</v>
      </c>
      <c r="E160" s="125">
        <v>5810.6</v>
      </c>
      <c r="F160" s="125">
        <v>4149</v>
      </c>
      <c r="G160" s="125">
        <v>1366.5</v>
      </c>
      <c r="H160" s="125">
        <v>918.9</v>
      </c>
      <c r="I160" s="122">
        <v>7674.2000000000007</v>
      </c>
      <c r="J160" s="122">
        <v>767.42000000000007</v>
      </c>
      <c r="K160" s="120">
        <f>VLOOKUP(D160,Excel6!A:H,8,0)</f>
        <v>767.42000000000007</v>
      </c>
      <c r="L160" s="120" t="str">
        <f t="shared" si="7"/>
        <v>MERKEZ / KARS</v>
      </c>
      <c r="M160" s="124">
        <f t="shared" si="8"/>
        <v>0</v>
      </c>
      <c r="N160" s="120"/>
      <c r="O160" s="120"/>
      <c r="P160" s="120"/>
    </row>
    <row r="161" spans="1:18" ht="14.5" x14ac:dyDescent="0.25">
      <c r="A161" s="6">
        <v>160</v>
      </c>
      <c r="B161" s="24" t="s">
        <v>34</v>
      </c>
      <c r="C161" s="6" t="s">
        <v>204</v>
      </c>
      <c r="D161" s="125" t="str">
        <f t="shared" si="6"/>
        <v>MERKEZ / KASTAMONU</v>
      </c>
      <c r="E161" s="125">
        <v>23299.95</v>
      </c>
      <c r="F161" s="125">
        <v>63756.07</v>
      </c>
      <c r="G161" s="125">
        <v>93.8</v>
      </c>
      <c r="H161" s="125">
        <v>402.8</v>
      </c>
      <c r="I161" s="122">
        <v>86559.42</v>
      </c>
      <c r="J161" s="122">
        <v>8655.9500000000007</v>
      </c>
      <c r="K161" s="120">
        <f>VLOOKUP(D161,Excel6!A:H,8,0)</f>
        <v>8655.9500000000007</v>
      </c>
      <c r="L161" s="120" t="str">
        <f t="shared" si="7"/>
        <v>MERKEZ / KASTAMONU</v>
      </c>
      <c r="M161" s="124">
        <f t="shared" si="8"/>
        <v>0</v>
      </c>
      <c r="N161" s="120"/>
      <c r="O161" s="120"/>
      <c r="P161" s="120"/>
    </row>
    <row r="162" spans="1:18" ht="14.5" x14ac:dyDescent="0.25">
      <c r="A162" s="6">
        <v>161</v>
      </c>
      <c r="B162" s="6" t="s">
        <v>2529</v>
      </c>
      <c r="C162" s="6" t="s">
        <v>204</v>
      </c>
      <c r="D162" s="125" t="str">
        <f t="shared" si="6"/>
        <v>ŞENPAZAR / KASTAMONU</v>
      </c>
      <c r="E162" s="125">
        <v>3330.8</v>
      </c>
      <c r="F162" s="125">
        <v>3426.5</v>
      </c>
      <c r="G162" s="125">
        <v>0</v>
      </c>
      <c r="H162" s="125">
        <v>0</v>
      </c>
      <c r="I162" s="122">
        <v>6757.3</v>
      </c>
      <c r="J162" s="122">
        <v>675.73</v>
      </c>
      <c r="K162" s="120">
        <f>VLOOKUP(D162,Excel6!A:H,8,0)</f>
        <v>675.73</v>
      </c>
      <c r="L162" s="120" t="str">
        <f t="shared" si="7"/>
        <v>ŞENPAZAR / KASTAMONU</v>
      </c>
      <c r="M162" s="124">
        <f t="shared" si="8"/>
        <v>0</v>
      </c>
      <c r="N162" s="120"/>
      <c r="O162" s="120"/>
      <c r="P162" s="120"/>
    </row>
    <row r="163" spans="1:18" ht="14.5" x14ac:dyDescent="0.25">
      <c r="A163" s="6">
        <v>162</v>
      </c>
      <c r="B163" s="6" t="s">
        <v>305</v>
      </c>
      <c r="C163" s="6" t="s">
        <v>204</v>
      </c>
      <c r="D163" s="125" t="str">
        <f t="shared" si="6"/>
        <v>ARAÇ / KASTAMONU</v>
      </c>
      <c r="E163" s="125">
        <v>4545.6000000000004</v>
      </c>
      <c r="F163" s="125">
        <v>280.3</v>
      </c>
      <c r="G163" s="125">
        <v>0</v>
      </c>
      <c r="H163" s="125">
        <v>0</v>
      </c>
      <c r="I163" s="122">
        <v>4825.9000000000005</v>
      </c>
      <c r="J163" s="122">
        <v>482.59000000000003</v>
      </c>
      <c r="K163" s="120">
        <f>VLOOKUP(D163,Excel6!A:H,8,0)</f>
        <v>482.59000000000003</v>
      </c>
      <c r="L163" s="120" t="str">
        <f t="shared" si="7"/>
        <v>ARAÇ / KASTAMONU</v>
      </c>
      <c r="M163" s="124">
        <f t="shared" si="8"/>
        <v>0</v>
      </c>
      <c r="N163" s="120"/>
      <c r="O163" s="120"/>
      <c r="P163" s="120"/>
    </row>
    <row r="164" spans="1:18" ht="14.5" x14ac:dyDescent="0.25">
      <c r="A164" s="6">
        <v>163</v>
      </c>
      <c r="B164" s="6" t="s">
        <v>552</v>
      </c>
      <c r="C164" s="6" t="s">
        <v>204</v>
      </c>
      <c r="D164" s="125" t="str">
        <f t="shared" si="6"/>
        <v>BOZKURT / KASTAMONU</v>
      </c>
      <c r="E164" s="123">
        <v>302.5</v>
      </c>
      <c r="F164" s="123">
        <v>1668.2</v>
      </c>
      <c r="G164" s="123">
        <v>0</v>
      </c>
      <c r="H164" s="123">
        <v>0</v>
      </c>
      <c r="I164" s="121">
        <v>1970.7</v>
      </c>
      <c r="J164" s="121">
        <v>197.07</v>
      </c>
      <c r="K164" s="120">
        <f>VLOOKUP(D164,Excel6!A:H,8,0)</f>
        <v>197.07</v>
      </c>
      <c r="L164" s="120" t="str">
        <f t="shared" si="7"/>
        <v>BOZKURT / KASTAMONU</v>
      </c>
      <c r="M164" s="124">
        <f t="shared" si="8"/>
        <v>0</v>
      </c>
      <c r="N164" s="120"/>
      <c r="O164" s="120"/>
      <c r="P164" s="120"/>
    </row>
    <row r="165" spans="1:18" ht="14.5" x14ac:dyDescent="0.3">
      <c r="A165" s="6">
        <v>164</v>
      </c>
      <c r="B165" s="6" t="s">
        <v>270</v>
      </c>
      <c r="C165" s="6" t="s">
        <v>204</v>
      </c>
      <c r="D165" s="125" t="str">
        <f t="shared" si="6"/>
        <v>TOSYA / KASTAMONU</v>
      </c>
      <c r="E165" s="125">
        <v>625</v>
      </c>
      <c r="F165" s="125">
        <v>919.6</v>
      </c>
      <c r="G165" s="125">
        <v>0</v>
      </c>
      <c r="H165" s="125">
        <v>0</v>
      </c>
      <c r="I165" s="122">
        <v>1544.6</v>
      </c>
      <c r="J165" s="122">
        <v>154.46</v>
      </c>
      <c r="K165" s="120">
        <f>VLOOKUP(D165,Excel6!A:H,8,0)</f>
        <v>154.46</v>
      </c>
      <c r="L165" s="120" t="str">
        <f t="shared" si="7"/>
        <v>TOSYA / KASTAMONU</v>
      </c>
      <c r="M165" s="124">
        <f t="shared" si="8"/>
        <v>0</v>
      </c>
      <c r="N165" s="120"/>
      <c r="O165" s="120"/>
      <c r="P165" s="120"/>
      <c r="Q165" s="16"/>
      <c r="R165" s="120"/>
    </row>
    <row r="166" spans="1:18" ht="14.5" x14ac:dyDescent="0.25">
      <c r="A166" s="6">
        <v>165</v>
      </c>
      <c r="B166" s="24" t="s">
        <v>608</v>
      </c>
      <c r="C166" s="6" t="s">
        <v>204</v>
      </c>
      <c r="D166" s="125" t="str">
        <f t="shared" si="6"/>
        <v>DEVREKANİ / KASTAMONU</v>
      </c>
      <c r="E166" s="125">
        <v>93.6</v>
      </c>
      <c r="F166" s="125">
        <v>402.8</v>
      </c>
      <c r="G166" s="125">
        <v>0</v>
      </c>
      <c r="H166" s="125">
        <v>0</v>
      </c>
      <c r="I166" s="122">
        <v>496.4</v>
      </c>
      <c r="J166" s="122">
        <v>49.64</v>
      </c>
      <c r="K166" s="120">
        <f>VLOOKUP(D166,Excel6!A:H,8,0)</f>
        <v>49.64</v>
      </c>
      <c r="L166" s="120" t="str">
        <f t="shared" si="7"/>
        <v>DEVREKANİ / KASTAMONU</v>
      </c>
      <c r="M166" s="124">
        <f t="shared" si="8"/>
        <v>0</v>
      </c>
      <c r="N166" s="120"/>
      <c r="O166" s="120"/>
      <c r="P166" s="120"/>
    </row>
    <row r="167" spans="1:18" ht="14.5" x14ac:dyDescent="0.25">
      <c r="A167" s="6">
        <v>166</v>
      </c>
      <c r="B167" s="6" t="s">
        <v>243</v>
      </c>
      <c r="C167" s="6" t="s">
        <v>204</v>
      </c>
      <c r="D167" s="125" t="str">
        <f t="shared" si="6"/>
        <v>TAŞKÖPRÜ / KASTAMONU</v>
      </c>
      <c r="E167" s="125">
        <v>45</v>
      </c>
      <c r="F167" s="125">
        <v>402.8</v>
      </c>
      <c r="G167" s="125">
        <v>0</v>
      </c>
      <c r="H167" s="125">
        <v>0</v>
      </c>
      <c r="I167" s="122">
        <v>447.8</v>
      </c>
      <c r="J167" s="122">
        <v>44.78</v>
      </c>
      <c r="K167" s="120">
        <f>VLOOKUP(D167,Excel6!A:H,8,0)</f>
        <v>44.78</v>
      </c>
      <c r="L167" s="120" t="str">
        <f t="shared" si="7"/>
        <v>TAŞKÖPRÜ / KASTAMONU</v>
      </c>
      <c r="M167" s="124">
        <f t="shared" si="8"/>
        <v>0</v>
      </c>
      <c r="N167" s="120"/>
      <c r="O167" s="120"/>
      <c r="P167" s="120"/>
    </row>
    <row r="168" spans="1:18" ht="14.5" x14ac:dyDescent="0.25">
      <c r="A168" s="6">
        <v>167</v>
      </c>
      <c r="B168" s="6" t="s">
        <v>2232</v>
      </c>
      <c r="C168" s="6" t="s">
        <v>204</v>
      </c>
      <c r="D168" s="125" t="str">
        <f t="shared" si="6"/>
        <v>AZDAVAY / KASTAMONU</v>
      </c>
      <c r="E168" s="125">
        <v>234.8</v>
      </c>
      <c r="F168" s="125">
        <v>106.9</v>
      </c>
      <c r="G168" s="125">
        <v>0</v>
      </c>
      <c r="H168" s="125">
        <v>0</v>
      </c>
      <c r="I168" s="122">
        <v>341.70000000000005</v>
      </c>
      <c r="J168" s="122">
        <v>34.17</v>
      </c>
      <c r="K168" s="120">
        <f>VLOOKUP(D168,Excel6!A:H,8,0)</f>
        <v>34.17</v>
      </c>
      <c r="L168" s="120" t="str">
        <f t="shared" si="7"/>
        <v>AZDAVAY / KASTAMONU</v>
      </c>
      <c r="M168" s="124">
        <f t="shared" si="8"/>
        <v>0</v>
      </c>
      <c r="N168" s="120"/>
      <c r="O168" s="120"/>
      <c r="P168" s="120"/>
    </row>
    <row r="169" spans="1:18" ht="14.5" x14ac:dyDescent="0.25">
      <c r="A169" s="6">
        <v>168</v>
      </c>
      <c r="B169" s="24" t="s">
        <v>2392</v>
      </c>
      <c r="C169" s="6" t="s">
        <v>204</v>
      </c>
      <c r="D169" s="125" t="str">
        <f t="shared" si="6"/>
        <v>KÜRE / KASTAMONU</v>
      </c>
      <c r="E169" s="125">
        <v>136.19999999999999</v>
      </c>
      <c r="F169" s="125">
        <v>89.5</v>
      </c>
      <c r="G169" s="125">
        <v>0</v>
      </c>
      <c r="H169" s="125">
        <v>0</v>
      </c>
      <c r="I169" s="122">
        <v>225.7</v>
      </c>
      <c r="J169" s="122">
        <v>22.57</v>
      </c>
      <c r="K169" s="120">
        <f>VLOOKUP(D169,Excel6!A:H,8,0)</f>
        <v>22.57</v>
      </c>
      <c r="L169" s="120" t="str">
        <f t="shared" si="7"/>
        <v>KÜRE / KASTAMONU</v>
      </c>
      <c r="M169" s="124">
        <f t="shared" si="8"/>
        <v>0</v>
      </c>
      <c r="N169" s="120"/>
      <c r="O169" s="120"/>
      <c r="P169" s="120"/>
    </row>
    <row r="170" spans="1:18" ht="14.5" x14ac:dyDescent="0.25">
      <c r="A170" s="6">
        <v>169</v>
      </c>
      <c r="B170" s="6" t="s">
        <v>2308</v>
      </c>
      <c r="C170" s="6" t="s">
        <v>204</v>
      </c>
      <c r="D170" s="125" t="str">
        <f t="shared" si="6"/>
        <v>ABANA / KASTAMONU</v>
      </c>
      <c r="E170" s="123">
        <v>137.5</v>
      </c>
      <c r="F170" s="123">
        <v>29.4</v>
      </c>
      <c r="G170" s="123">
        <v>0</v>
      </c>
      <c r="H170" s="123">
        <v>0</v>
      </c>
      <c r="I170" s="121">
        <v>166.9</v>
      </c>
      <c r="J170" s="121">
        <v>16.690000000000001</v>
      </c>
      <c r="K170" s="120">
        <f>VLOOKUP(D170,Excel6!A:H,8,0)</f>
        <v>16.690000000000001</v>
      </c>
      <c r="L170" s="120" t="str">
        <f t="shared" si="7"/>
        <v>ABANA / KASTAMONU</v>
      </c>
      <c r="M170" s="124">
        <f t="shared" si="8"/>
        <v>0</v>
      </c>
      <c r="N170" s="120"/>
      <c r="O170" s="120"/>
      <c r="P170" s="120"/>
    </row>
    <row r="171" spans="1:18" ht="14.5" x14ac:dyDescent="0.25">
      <c r="A171" s="6">
        <v>170</v>
      </c>
      <c r="B171" s="6" t="s">
        <v>306</v>
      </c>
      <c r="C171" s="6" t="s">
        <v>204</v>
      </c>
      <c r="D171" s="125" t="str">
        <f t="shared" si="6"/>
        <v>İNEBOLU / KASTAMONU</v>
      </c>
      <c r="E171" s="125">
        <v>113.3</v>
      </c>
      <c r="F171" s="125">
        <v>36.4</v>
      </c>
      <c r="G171" s="125">
        <v>38.5</v>
      </c>
      <c r="H171" s="125">
        <v>0</v>
      </c>
      <c r="I171" s="122">
        <v>111.19999999999999</v>
      </c>
      <c r="J171" s="122">
        <v>11.120000000000001</v>
      </c>
      <c r="K171" s="120">
        <f>VLOOKUP(D171,Excel6!A:H,8,0)</f>
        <v>11.120000000000001</v>
      </c>
      <c r="L171" s="120" t="str">
        <f t="shared" si="7"/>
        <v>İNEBOLU / KASTAMONU</v>
      </c>
      <c r="M171" s="124">
        <f t="shared" si="8"/>
        <v>0</v>
      </c>
      <c r="N171" s="120"/>
      <c r="O171" s="120"/>
      <c r="P171" s="120"/>
    </row>
    <row r="172" spans="1:18" ht="14.5" x14ac:dyDescent="0.25">
      <c r="A172" s="6">
        <v>171</v>
      </c>
      <c r="B172" s="6" t="s">
        <v>606</v>
      </c>
      <c r="C172" s="6" t="s">
        <v>204</v>
      </c>
      <c r="D172" s="125" t="str">
        <f t="shared" si="6"/>
        <v>CİDE / KASTAMONU</v>
      </c>
      <c r="E172" s="125">
        <v>105.1</v>
      </c>
      <c r="F172" s="125"/>
      <c r="G172" s="125">
        <v>0</v>
      </c>
      <c r="H172" s="125"/>
      <c r="I172" s="125">
        <v>105.1</v>
      </c>
      <c r="J172" s="125">
        <v>10.51</v>
      </c>
      <c r="K172" s="120">
        <f>VLOOKUP(D172,Excel6!A:H,8,0)</f>
        <v>10.51</v>
      </c>
      <c r="L172" s="120" t="str">
        <f t="shared" si="7"/>
        <v>CİDE / KASTAMONU</v>
      </c>
      <c r="M172" s="124">
        <f t="shared" si="8"/>
        <v>0</v>
      </c>
      <c r="N172" s="120"/>
      <c r="O172" s="120"/>
      <c r="P172" s="120"/>
    </row>
    <row r="173" spans="1:18" ht="14.5" x14ac:dyDescent="0.25">
      <c r="A173" s="6">
        <v>172</v>
      </c>
      <c r="B173" s="6" t="s">
        <v>611</v>
      </c>
      <c r="C173" s="6" t="s">
        <v>204</v>
      </c>
      <c r="D173" s="125" t="str">
        <f t="shared" si="6"/>
        <v>SEYDİLER / KASTAMONU</v>
      </c>
      <c r="E173" s="125">
        <v>115.2</v>
      </c>
      <c r="F173" s="125">
        <v>43.8</v>
      </c>
      <c r="G173" s="125">
        <v>69.900000000000006</v>
      </c>
      <c r="H173" s="125">
        <v>0</v>
      </c>
      <c r="I173" s="125">
        <v>89.1</v>
      </c>
      <c r="J173" s="125">
        <v>8.91</v>
      </c>
      <c r="K173" s="120">
        <f>VLOOKUP(D173,Excel6!A:H,8,0)</f>
        <v>8.91</v>
      </c>
      <c r="L173" s="120" t="str">
        <f t="shared" si="7"/>
        <v>SEYDİLER / KASTAMONU</v>
      </c>
      <c r="M173" s="124">
        <f t="shared" si="8"/>
        <v>0</v>
      </c>
      <c r="N173" s="120"/>
      <c r="O173" s="120"/>
      <c r="P173" s="120"/>
    </row>
    <row r="174" spans="1:18" ht="14.5" x14ac:dyDescent="0.25">
      <c r="A174" s="6">
        <v>173</v>
      </c>
      <c r="B174" s="6" t="s">
        <v>1876</v>
      </c>
      <c r="C174" s="6" t="s">
        <v>116</v>
      </c>
      <c r="D174" s="125" t="str">
        <f t="shared" si="6"/>
        <v>KAYSERİ BÜYÜKŞEHİR / KAYSERİ</v>
      </c>
      <c r="E174" s="125">
        <v>93453.48000000001</v>
      </c>
      <c r="F174" s="125">
        <v>139971.43000000002</v>
      </c>
      <c r="G174" s="125">
        <v>13096.7</v>
      </c>
      <c r="H174" s="125">
        <v>28018.500000000004</v>
      </c>
      <c r="I174" s="122">
        <v>192309.71000000002</v>
      </c>
      <c r="J174" s="122">
        <v>19230.950000000004</v>
      </c>
      <c r="K174" s="120">
        <f>VLOOKUP(D174,Excel6!A:H,8,0)</f>
        <v>19230.950000000004</v>
      </c>
      <c r="L174" s="120" t="str">
        <f t="shared" si="7"/>
        <v>KAYSERİ BÜYÜKŞEHİR / KAYSERİ</v>
      </c>
      <c r="M174" s="124">
        <f t="shared" si="8"/>
        <v>0</v>
      </c>
      <c r="N174" s="120"/>
      <c r="O174" s="120"/>
      <c r="P174" s="120"/>
    </row>
    <row r="175" spans="1:18" ht="14.5" x14ac:dyDescent="0.25">
      <c r="A175" s="6">
        <v>174</v>
      </c>
      <c r="B175" s="6" t="s">
        <v>34</v>
      </c>
      <c r="C175" s="6" t="s">
        <v>8</v>
      </c>
      <c r="D175" s="125" t="str">
        <f t="shared" si="6"/>
        <v>MERKEZ / KIRIKKALE</v>
      </c>
      <c r="E175" s="125">
        <v>11891.8</v>
      </c>
      <c r="F175" s="125">
        <v>12264.8</v>
      </c>
      <c r="G175" s="125">
        <v>753.7</v>
      </c>
      <c r="H175" s="125">
        <v>4274.1000000000004</v>
      </c>
      <c r="I175" s="122">
        <v>19128.8</v>
      </c>
      <c r="J175" s="122">
        <v>1912.88</v>
      </c>
      <c r="K175" s="120">
        <f>VLOOKUP(D175,Excel6!A:H,8,0)</f>
        <v>1912.88</v>
      </c>
      <c r="L175" s="120" t="str">
        <f t="shared" si="7"/>
        <v>MERKEZ / KIRIKKALE</v>
      </c>
      <c r="M175" s="124">
        <f t="shared" si="8"/>
        <v>0</v>
      </c>
      <c r="N175" s="120"/>
      <c r="O175" s="120"/>
      <c r="P175" s="120"/>
      <c r="Q175" s="120"/>
      <c r="R175" s="120"/>
    </row>
    <row r="176" spans="1:18" ht="14.5" x14ac:dyDescent="0.25">
      <c r="A176" s="6">
        <v>175</v>
      </c>
      <c r="B176" s="6" t="s">
        <v>369</v>
      </c>
      <c r="C176" s="6" t="s">
        <v>8</v>
      </c>
      <c r="D176" s="125" t="str">
        <f t="shared" si="6"/>
        <v>YAHŞİHAN / KIRIKKALE</v>
      </c>
      <c r="E176" s="125">
        <v>5853.3099999999995</v>
      </c>
      <c r="F176" s="125">
        <v>3491.85</v>
      </c>
      <c r="G176" s="125">
        <v>310.89999999999998</v>
      </c>
      <c r="H176" s="125">
        <v>540.20000000000005</v>
      </c>
      <c r="I176" s="122">
        <v>8494.06</v>
      </c>
      <c r="J176" s="122">
        <v>849.4</v>
      </c>
      <c r="K176" s="120">
        <f>VLOOKUP(D176,Excel6!A:H,8,0)</f>
        <v>849.4</v>
      </c>
      <c r="L176" s="120" t="str">
        <f t="shared" si="7"/>
        <v>YAHŞİHAN / KIRIKKALE</v>
      </c>
      <c r="M176" s="124">
        <f t="shared" si="8"/>
        <v>0</v>
      </c>
      <c r="N176" s="120"/>
      <c r="O176" s="120"/>
      <c r="P176" s="120"/>
    </row>
    <row r="177" spans="1:18" ht="14.5" x14ac:dyDescent="0.25">
      <c r="A177" s="6">
        <v>176</v>
      </c>
      <c r="B177" s="6" t="s">
        <v>2325</v>
      </c>
      <c r="C177" s="6" t="s">
        <v>8</v>
      </c>
      <c r="D177" s="125" t="str">
        <f t="shared" si="6"/>
        <v>KESKİN / KIRIKKALE</v>
      </c>
      <c r="E177" s="125">
        <v>2213.3000000000002</v>
      </c>
      <c r="F177" s="125"/>
      <c r="G177" s="125">
        <v>0</v>
      </c>
      <c r="H177" s="125"/>
      <c r="I177" s="122">
        <v>2213.3000000000002</v>
      </c>
      <c r="J177" s="122">
        <v>221.33</v>
      </c>
      <c r="K177" s="120">
        <f>VLOOKUP(D177,Excel6!A:H,8,0)</f>
        <v>221.33</v>
      </c>
      <c r="L177" s="120" t="str">
        <f t="shared" si="7"/>
        <v>KESKİN / KIRIKKALE</v>
      </c>
      <c r="M177" s="124">
        <f t="shared" si="8"/>
        <v>0</v>
      </c>
      <c r="N177" s="120"/>
      <c r="O177" s="120"/>
      <c r="P177" s="120"/>
    </row>
    <row r="178" spans="1:18" ht="14.5" x14ac:dyDescent="0.25">
      <c r="A178" s="6">
        <v>177</v>
      </c>
      <c r="B178" s="6" t="s">
        <v>2323</v>
      </c>
      <c r="C178" s="6" t="s">
        <v>8</v>
      </c>
      <c r="D178" s="125" t="str">
        <f t="shared" si="6"/>
        <v>DELİCE / KIRIKKALE</v>
      </c>
      <c r="E178" s="125">
        <v>45</v>
      </c>
      <c r="F178" s="125">
        <v>402.8</v>
      </c>
      <c r="G178" s="125">
        <v>0</v>
      </c>
      <c r="H178" s="125">
        <v>0</v>
      </c>
      <c r="I178" s="122">
        <v>447.8</v>
      </c>
      <c r="J178" s="122">
        <v>44.78</v>
      </c>
      <c r="K178" s="120">
        <f>VLOOKUP(D178,Excel6!A:H,8,0)</f>
        <v>44.78</v>
      </c>
      <c r="L178" s="120" t="str">
        <f t="shared" si="7"/>
        <v>DELİCE / KIRIKKALE</v>
      </c>
      <c r="M178" s="124">
        <f t="shared" si="8"/>
        <v>0</v>
      </c>
      <c r="N178" s="120"/>
      <c r="O178" s="120"/>
      <c r="P178" s="120"/>
    </row>
    <row r="179" spans="1:18" ht="14.5" x14ac:dyDescent="0.25">
      <c r="A179" s="6">
        <v>178</v>
      </c>
      <c r="B179" s="6" t="s">
        <v>2257</v>
      </c>
      <c r="C179" s="6" t="s">
        <v>8</v>
      </c>
      <c r="D179" s="125" t="str">
        <f t="shared" si="6"/>
        <v>SULAKYURT / KIRIKKALE</v>
      </c>
      <c r="E179" s="125">
        <v>5.4</v>
      </c>
      <c r="F179" s="125">
        <v>103.3</v>
      </c>
      <c r="G179" s="125">
        <v>0</v>
      </c>
      <c r="H179" s="125">
        <v>0</v>
      </c>
      <c r="I179" s="122">
        <v>108.7</v>
      </c>
      <c r="J179" s="122">
        <v>10.870000000000001</v>
      </c>
      <c r="K179" s="120">
        <f>VLOOKUP(D179,Excel6!A:H,8,0)</f>
        <v>10.870000000000001</v>
      </c>
      <c r="L179" s="120" t="str">
        <f t="shared" si="7"/>
        <v>SULAKYURT / KIRIKKALE</v>
      </c>
      <c r="M179" s="124">
        <f t="shared" si="8"/>
        <v>0</v>
      </c>
      <c r="N179" s="120"/>
      <c r="O179" s="120"/>
      <c r="P179" s="120"/>
    </row>
    <row r="180" spans="1:18" ht="14.5" x14ac:dyDescent="0.3">
      <c r="A180" s="6">
        <v>179</v>
      </c>
      <c r="B180" s="6" t="s">
        <v>34</v>
      </c>
      <c r="C180" s="24" t="s">
        <v>155</v>
      </c>
      <c r="D180" s="125" t="str">
        <f t="shared" si="6"/>
        <v>MERKEZ / KIRKLARELİ</v>
      </c>
      <c r="E180" s="125">
        <v>76896.599999999991</v>
      </c>
      <c r="F180" s="125">
        <v>95209.4</v>
      </c>
      <c r="G180" s="125">
        <v>151.6</v>
      </c>
      <c r="H180" s="125">
        <v>0.5</v>
      </c>
      <c r="I180" s="125">
        <v>171953.9</v>
      </c>
      <c r="J180" s="125">
        <v>17195.390000000003</v>
      </c>
      <c r="K180" s="120">
        <f>VLOOKUP(D180,Excel6!A:H,8,0)</f>
        <v>17195.390000000003</v>
      </c>
      <c r="L180" s="120" t="str">
        <f t="shared" si="7"/>
        <v>MERKEZ / KIRKLARELİ</v>
      </c>
      <c r="M180" s="124">
        <f t="shared" si="8"/>
        <v>0</v>
      </c>
      <c r="N180" s="120"/>
      <c r="O180" s="120"/>
      <c r="P180" s="120"/>
      <c r="Q180" s="16"/>
      <c r="R180" s="16"/>
    </row>
    <row r="181" spans="1:18" ht="14.5" x14ac:dyDescent="0.25">
      <c r="A181" s="6">
        <v>180</v>
      </c>
      <c r="B181" s="6" t="s">
        <v>156</v>
      </c>
      <c r="C181" s="6" t="s">
        <v>155</v>
      </c>
      <c r="D181" s="125" t="str">
        <f t="shared" si="6"/>
        <v>LÜLEBURGAZ / KIRKLARELİ</v>
      </c>
      <c r="E181" s="125">
        <v>15599.44</v>
      </c>
      <c r="F181" s="125">
        <v>20160.55</v>
      </c>
      <c r="G181" s="125">
        <v>418.4</v>
      </c>
      <c r="H181" s="125">
        <v>9864.7000000000007</v>
      </c>
      <c r="I181" s="122">
        <v>25476.89</v>
      </c>
      <c r="J181" s="122">
        <v>2547.6899999999996</v>
      </c>
      <c r="K181" s="120">
        <f>VLOOKUP(D181,Excel6!A:H,8,0)</f>
        <v>2547.6899999999996</v>
      </c>
      <c r="L181" s="120" t="str">
        <f t="shared" si="7"/>
        <v>LÜLEBURGAZ / KIRKLARELİ</v>
      </c>
      <c r="M181" s="124">
        <f t="shared" si="8"/>
        <v>0</v>
      </c>
      <c r="N181" s="120"/>
      <c r="O181" s="120"/>
      <c r="P181" s="120"/>
    </row>
    <row r="182" spans="1:18" ht="14.5" x14ac:dyDescent="0.25">
      <c r="A182" s="6">
        <v>181</v>
      </c>
      <c r="B182" s="6" t="s">
        <v>370</v>
      </c>
      <c r="C182" s="6" t="s">
        <v>155</v>
      </c>
      <c r="D182" s="125" t="str">
        <f t="shared" si="6"/>
        <v>DEMİRKÖY / KIRKLARELİ</v>
      </c>
      <c r="E182" s="125">
        <v>938.59999999999991</v>
      </c>
      <c r="F182" s="125">
        <v>870.4</v>
      </c>
      <c r="G182" s="125">
        <v>0</v>
      </c>
      <c r="H182" s="125">
        <v>0</v>
      </c>
      <c r="I182" s="122">
        <v>1809</v>
      </c>
      <c r="J182" s="122">
        <v>180.9</v>
      </c>
      <c r="K182" s="120">
        <f>VLOOKUP(D182,Excel6!A:H,8,0)</f>
        <v>180.9</v>
      </c>
      <c r="L182" s="120" t="str">
        <f t="shared" si="7"/>
        <v>DEMİRKÖY / KIRKLARELİ</v>
      </c>
      <c r="M182" s="124">
        <f t="shared" si="8"/>
        <v>0</v>
      </c>
      <c r="N182" s="120"/>
      <c r="O182" s="120"/>
      <c r="P182" s="120"/>
    </row>
    <row r="183" spans="1:18" ht="14.5" x14ac:dyDescent="0.25">
      <c r="A183" s="6">
        <v>182</v>
      </c>
      <c r="B183" s="6" t="s">
        <v>295</v>
      </c>
      <c r="C183" s="6" t="s">
        <v>155</v>
      </c>
      <c r="D183" s="125" t="str">
        <f t="shared" si="6"/>
        <v>BABAESKİ / KIRKLARELİ</v>
      </c>
      <c r="E183" s="125">
        <v>443.29999999999995</v>
      </c>
      <c r="F183" s="125">
        <v>584.30000000000007</v>
      </c>
      <c r="G183" s="125">
        <v>61.3</v>
      </c>
      <c r="H183" s="125">
        <v>0</v>
      </c>
      <c r="I183" s="122">
        <v>966.30000000000007</v>
      </c>
      <c r="J183" s="122">
        <v>96.63000000000001</v>
      </c>
      <c r="K183" s="120">
        <f>VLOOKUP(D183,Excel6!A:H,8,0)</f>
        <v>96.63000000000001</v>
      </c>
      <c r="L183" s="120" t="str">
        <f t="shared" si="7"/>
        <v>BABAESKİ / KIRKLARELİ</v>
      </c>
      <c r="M183" s="124">
        <f t="shared" si="8"/>
        <v>0</v>
      </c>
      <c r="N183" s="120"/>
      <c r="O183" s="120"/>
      <c r="P183" s="120"/>
    </row>
    <row r="184" spans="1:18" ht="14.5" x14ac:dyDescent="0.25">
      <c r="A184" s="6">
        <v>183</v>
      </c>
      <c r="B184" s="24" t="s">
        <v>18</v>
      </c>
      <c r="C184" s="6" t="s">
        <v>155</v>
      </c>
      <c r="D184" s="125" t="str">
        <f t="shared" si="6"/>
        <v>VİZE / KIRKLARELİ</v>
      </c>
      <c r="E184" s="125">
        <v>43</v>
      </c>
      <c r="F184" s="125">
        <v>434.6</v>
      </c>
      <c r="G184" s="125">
        <v>0</v>
      </c>
      <c r="H184" s="125">
        <v>0</v>
      </c>
      <c r="I184" s="122">
        <v>477.6</v>
      </c>
      <c r="J184" s="122">
        <v>47.76</v>
      </c>
      <c r="K184" s="120">
        <f>VLOOKUP(D184,Excel6!A:H,8,0)</f>
        <v>47.76</v>
      </c>
      <c r="L184" s="120" t="str">
        <f t="shared" si="7"/>
        <v>VİZE / KIRKLARELİ</v>
      </c>
      <c r="M184" s="124">
        <f t="shared" si="8"/>
        <v>0</v>
      </c>
      <c r="N184" s="120"/>
      <c r="O184" s="120"/>
      <c r="P184" s="120"/>
    </row>
    <row r="185" spans="1:18" ht="14.5" x14ac:dyDescent="0.25">
      <c r="A185" s="6">
        <v>184</v>
      </c>
      <c r="B185" s="24" t="s">
        <v>2910</v>
      </c>
      <c r="C185" s="6" t="s">
        <v>155</v>
      </c>
      <c r="D185" s="125" t="str">
        <f t="shared" si="6"/>
        <v>PEHLİVANKÖY / KIRKLARELİ</v>
      </c>
      <c r="E185" s="125">
        <v>185.3</v>
      </c>
      <c r="F185" s="125">
        <v>154.69999999999999</v>
      </c>
      <c r="G185" s="125">
        <v>0</v>
      </c>
      <c r="H185" s="125">
        <v>0</v>
      </c>
      <c r="I185" s="122">
        <v>340</v>
      </c>
      <c r="J185" s="122">
        <v>34</v>
      </c>
      <c r="K185" s="120">
        <f>VLOOKUP(D185,Excel6!A:H,8,0)</f>
        <v>34</v>
      </c>
      <c r="L185" s="120" t="str">
        <f t="shared" si="7"/>
        <v>PEHLİVANKÖY / KIRKLARELİ</v>
      </c>
      <c r="M185" s="124">
        <f t="shared" si="8"/>
        <v>0</v>
      </c>
      <c r="N185" s="120"/>
      <c r="O185" s="120"/>
      <c r="P185" s="120"/>
    </row>
    <row r="186" spans="1:18" ht="14.5" x14ac:dyDescent="0.25">
      <c r="A186" s="6">
        <v>185</v>
      </c>
      <c r="B186" s="6" t="s">
        <v>34</v>
      </c>
      <c r="C186" s="6" t="s">
        <v>144</v>
      </c>
      <c r="D186" s="125" t="str">
        <f t="shared" si="6"/>
        <v>MERKEZ / KIRŞEHİR</v>
      </c>
      <c r="E186" s="125">
        <v>15027.300000000001</v>
      </c>
      <c r="F186" s="125">
        <v>7091.8</v>
      </c>
      <c r="G186" s="125">
        <v>0</v>
      </c>
      <c r="H186" s="125">
        <v>0</v>
      </c>
      <c r="I186" s="122">
        <v>22119.100000000002</v>
      </c>
      <c r="J186" s="122">
        <v>2211.91</v>
      </c>
      <c r="K186" s="120">
        <f>VLOOKUP(D186,Excel6!A:H,8,0)</f>
        <v>2211.91</v>
      </c>
      <c r="L186" s="120" t="str">
        <f t="shared" si="7"/>
        <v>MERKEZ / KIRŞEHİR</v>
      </c>
      <c r="M186" s="124">
        <f t="shared" si="8"/>
        <v>0</v>
      </c>
      <c r="N186" s="120"/>
      <c r="O186" s="120"/>
      <c r="P186" s="120"/>
    </row>
    <row r="187" spans="1:18" ht="14.5" x14ac:dyDescent="0.25">
      <c r="A187" s="6">
        <v>186</v>
      </c>
      <c r="B187" s="6" t="s">
        <v>321</v>
      </c>
      <c r="C187" s="24" t="s">
        <v>144</v>
      </c>
      <c r="D187" s="125" t="str">
        <f t="shared" si="6"/>
        <v>KAMAN / KIRŞEHİR</v>
      </c>
      <c r="E187" s="125">
        <v>3515.5</v>
      </c>
      <c r="F187" s="125">
        <v>4160.2</v>
      </c>
      <c r="G187" s="125">
        <v>0</v>
      </c>
      <c r="H187" s="125">
        <v>0</v>
      </c>
      <c r="I187" s="125">
        <v>7675.7</v>
      </c>
      <c r="J187" s="125">
        <v>767.56999999999994</v>
      </c>
      <c r="K187" s="120">
        <f>VLOOKUP(D187,Excel6!A:H,8,0)</f>
        <v>767.56999999999994</v>
      </c>
      <c r="L187" s="120" t="str">
        <f t="shared" si="7"/>
        <v>KAMAN / KIRŞEHİR</v>
      </c>
      <c r="M187" s="124">
        <f t="shared" si="8"/>
        <v>0</v>
      </c>
      <c r="N187" s="120"/>
      <c r="O187" s="120"/>
      <c r="P187" s="120"/>
    </row>
    <row r="188" spans="1:18" ht="14.5" x14ac:dyDescent="0.25">
      <c r="A188" s="6">
        <v>187</v>
      </c>
      <c r="B188" s="6" t="s">
        <v>2057</v>
      </c>
      <c r="C188" s="6" t="s">
        <v>144</v>
      </c>
      <c r="D188" s="125" t="str">
        <f t="shared" si="6"/>
        <v>AKPINAR / KIRŞEHİR</v>
      </c>
      <c r="E188" s="125">
        <v>110.2</v>
      </c>
      <c r="F188" s="125">
        <v>587.1</v>
      </c>
      <c r="G188" s="125">
        <v>0</v>
      </c>
      <c r="H188" s="125">
        <v>0</v>
      </c>
      <c r="I188" s="122">
        <v>697.30000000000007</v>
      </c>
      <c r="J188" s="122">
        <v>69.73</v>
      </c>
      <c r="K188" s="120">
        <f>VLOOKUP(D188,Excel6!A:H,8,0)</f>
        <v>69.73</v>
      </c>
      <c r="L188" s="120" t="str">
        <f t="shared" si="7"/>
        <v>AKPINAR / KIRŞEHİR</v>
      </c>
      <c r="M188" s="124">
        <f t="shared" si="8"/>
        <v>0</v>
      </c>
      <c r="N188" s="120"/>
      <c r="O188" s="120"/>
      <c r="P188" s="120"/>
    </row>
    <row r="189" spans="1:18" ht="14.5" x14ac:dyDescent="0.25">
      <c r="A189" s="6">
        <v>188</v>
      </c>
      <c r="B189" s="24" t="s">
        <v>296</v>
      </c>
      <c r="C189" s="6" t="s">
        <v>144</v>
      </c>
      <c r="D189" s="125" t="str">
        <f t="shared" si="6"/>
        <v>MUCUR / KIRŞEHİR</v>
      </c>
      <c r="E189" s="125">
        <v>325</v>
      </c>
      <c r="F189" s="125">
        <v>179.2</v>
      </c>
      <c r="G189" s="125">
        <v>0</v>
      </c>
      <c r="H189" s="125">
        <v>0</v>
      </c>
      <c r="I189" s="122">
        <v>504.2</v>
      </c>
      <c r="J189" s="122">
        <v>50.42</v>
      </c>
      <c r="K189" s="120">
        <f>VLOOKUP(D189,Excel6!A:H,8,0)</f>
        <v>50.42</v>
      </c>
      <c r="L189" s="120" t="str">
        <f t="shared" si="7"/>
        <v>MUCUR / KIRŞEHİR</v>
      </c>
      <c r="M189" s="124">
        <f t="shared" si="8"/>
        <v>0</v>
      </c>
      <c r="N189" s="120"/>
      <c r="O189" s="120"/>
      <c r="P189" s="120"/>
    </row>
    <row r="190" spans="1:18" ht="14.5" x14ac:dyDescent="0.25">
      <c r="A190" s="6">
        <v>189</v>
      </c>
      <c r="B190" s="6" t="s">
        <v>622</v>
      </c>
      <c r="C190" s="24" t="s">
        <v>144</v>
      </c>
      <c r="D190" s="125" t="str">
        <f t="shared" si="6"/>
        <v>ÇİÇEKDAĞI / KIRŞEHİR</v>
      </c>
      <c r="E190" s="125">
        <v>45</v>
      </c>
      <c r="F190" s="125">
        <v>402.8</v>
      </c>
      <c r="G190" s="125">
        <v>0</v>
      </c>
      <c r="H190" s="125">
        <v>0</v>
      </c>
      <c r="I190" s="125">
        <v>447.8</v>
      </c>
      <c r="J190" s="125">
        <v>44.78</v>
      </c>
      <c r="K190" s="120">
        <f>VLOOKUP(D190,Excel6!A:H,8,0)</f>
        <v>44.78</v>
      </c>
      <c r="L190" s="120" t="str">
        <f t="shared" si="7"/>
        <v>ÇİÇEKDAĞI / KIRŞEHİR</v>
      </c>
      <c r="M190" s="124">
        <f t="shared" si="8"/>
        <v>0</v>
      </c>
      <c r="N190" s="120"/>
      <c r="O190" s="120"/>
      <c r="P190" s="120"/>
    </row>
    <row r="191" spans="1:18" ht="14.5" x14ac:dyDescent="0.25">
      <c r="A191" s="6">
        <v>190</v>
      </c>
      <c r="B191" s="24" t="s">
        <v>34</v>
      </c>
      <c r="C191" s="6" t="s">
        <v>262</v>
      </c>
      <c r="D191" s="125" t="str">
        <f t="shared" si="6"/>
        <v>MERKEZ / KİLİS</v>
      </c>
      <c r="E191" s="125">
        <v>1345.8000000000002</v>
      </c>
      <c r="F191" s="125">
        <v>1083.7</v>
      </c>
      <c r="G191" s="125">
        <v>0</v>
      </c>
      <c r="H191" s="125">
        <v>0</v>
      </c>
      <c r="I191" s="122">
        <v>2429.5</v>
      </c>
      <c r="J191" s="122">
        <v>242.95</v>
      </c>
      <c r="K191" s="120">
        <f>VLOOKUP(D191,Excel6!A:H,8,0)</f>
        <v>242.95</v>
      </c>
      <c r="L191" s="120" t="str">
        <f t="shared" si="7"/>
        <v>MERKEZ / KİLİS</v>
      </c>
      <c r="M191" s="124">
        <f t="shared" si="8"/>
        <v>0</v>
      </c>
      <c r="N191" s="120"/>
      <c r="O191" s="120"/>
      <c r="P191" s="120"/>
    </row>
    <row r="192" spans="1:18" ht="14.5" x14ac:dyDescent="0.25">
      <c r="A192" s="6">
        <v>191</v>
      </c>
      <c r="B192" s="6" t="s">
        <v>1878</v>
      </c>
      <c r="C192" s="6" t="s">
        <v>117</v>
      </c>
      <c r="D192" s="125" t="str">
        <f t="shared" si="6"/>
        <v>KOCAELİ BÜYÜKŞEHİR / KOCAELİ</v>
      </c>
      <c r="E192" s="125">
        <v>882938.97</v>
      </c>
      <c r="F192" s="125">
        <v>1513160.37</v>
      </c>
      <c r="G192" s="125">
        <v>667841.48000000021</v>
      </c>
      <c r="H192" s="125">
        <v>690705.03999999992</v>
      </c>
      <c r="I192" s="122">
        <v>1037552.82</v>
      </c>
      <c r="J192" s="122">
        <v>103755.26999999999</v>
      </c>
      <c r="K192" s="120">
        <f>VLOOKUP(D192,Excel6!A:H,8,0)</f>
        <v>103755.26999999999</v>
      </c>
      <c r="L192" s="120" t="str">
        <f t="shared" si="7"/>
        <v>KOCAELİ BÜYÜKŞEHİR / KOCAELİ</v>
      </c>
      <c r="M192" s="124">
        <f t="shared" si="8"/>
        <v>0</v>
      </c>
      <c r="N192" s="120"/>
      <c r="O192" s="120"/>
      <c r="P192" s="120"/>
    </row>
    <row r="193" spans="1:18" ht="14.5" x14ac:dyDescent="0.25">
      <c r="A193" s="6">
        <v>192</v>
      </c>
      <c r="B193" s="6" t="s">
        <v>1879</v>
      </c>
      <c r="C193" s="6" t="s">
        <v>118</v>
      </c>
      <c r="D193" s="125" t="str">
        <f t="shared" si="6"/>
        <v>KONYA BÜYÜKŞEHİR / KONYA</v>
      </c>
      <c r="E193" s="125">
        <v>313287.67999999999</v>
      </c>
      <c r="F193" s="125">
        <v>399261.03000000009</v>
      </c>
      <c r="G193" s="125">
        <v>19416.600000000002</v>
      </c>
      <c r="H193" s="125">
        <v>49585.000000000007</v>
      </c>
      <c r="I193" s="122">
        <v>643547.1100000001</v>
      </c>
      <c r="J193" s="122">
        <v>64354.719999999987</v>
      </c>
      <c r="K193" s="120">
        <f>VLOOKUP(D193,Excel6!A:H,8,0)</f>
        <v>64354.719999999987</v>
      </c>
      <c r="L193" s="120" t="str">
        <f t="shared" si="7"/>
        <v>KONYA BÜYÜKŞEHİR / KONYA</v>
      </c>
      <c r="M193" s="124">
        <f t="shared" si="8"/>
        <v>0</v>
      </c>
      <c r="N193" s="120"/>
      <c r="O193" s="120"/>
      <c r="P193" s="120"/>
    </row>
    <row r="194" spans="1:18" ht="14.5" x14ac:dyDescent="0.25">
      <c r="A194" s="6">
        <v>193</v>
      </c>
      <c r="B194" s="6" t="s">
        <v>34</v>
      </c>
      <c r="C194" s="6" t="s">
        <v>76</v>
      </c>
      <c r="D194" s="125" t="str">
        <f t="shared" ref="D194:D257" si="9">L194</f>
        <v>MERKEZ / KÜTAHYA</v>
      </c>
      <c r="E194" s="125">
        <v>7748.3</v>
      </c>
      <c r="F194" s="125">
        <v>30483.759999999998</v>
      </c>
      <c r="G194" s="125">
        <v>60.2</v>
      </c>
      <c r="H194" s="125">
        <v>617.1</v>
      </c>
      <c r="I194" s="122">
        <v>37554.76</v>
      </c>
      <c r="J194" s="122">
        <v>3755.47</v>
      </c>
      <c r="K194" s="120">
        <f>VLOOKUP(D194,Excel6!A:H,8,0)</f>
        <v>3755.47</v>
      </c>
      <c r="L194" s="120" t="str">
        <f t="shared" ref="L194:L257" si="10">CONCATENATE(B194&amp; " / " &amp;C194)</f>
        <v>MERKEZ / KÜTAHYA</v>
      </c>
      <c r="M194" s="124">
        <f t="shared" ref="M194:M257" si="11">J194-K194</f>
        <v>0</v>
      </c>
      <c r="N194" s="120"/>
      <c r="O194" s="120"/>
      <c r="P194" s="120"/>
    </row>
    <row r="195" spans="1:18" ht="14.5" x14ac:dyDescent="0.25">
      <c r="A195" s="6">
        <v>194</v>
      </c>
      <c r="B195" s="6" t="s">
        <v>4355</v>
      </c>
      <c r="C195" s="24" t="s">
        <v>76</v>
      </c>
      <c r="D195" s="125" t="str">
        <f t="shared" si="9"/>
        <v>PAZARLAR / KÜTAHYA</v>
      </c>
      <c r="E195" s="125">
        <v>394.8</v>
      </c>
      <c r="F195" s="125">
        <v>7046.4</v>
      </c>
      <c r="G195" s="125">
        <v>0</v>
      </c>
      <c r="H195" s="125">
        <v>0</v>
      </c>
      <c r="I195" s="125">
        <v>7441.2</v>
      </c>
      <c r="J195" s="125">
        <v>744.12</v>
      </c>
      <c r="K195" s="120">
        <f>VLOOKUP(D195,Excel6!A:H,8,0)</f>
        <v>744.12</v>
      </c>
      <c r="L195" s="120" t="str">
        <f t="shared" si="10"/>
        <v>PAZARLAR / KÜTAHYA</v>
      </c>
      <c r="M195" s="124">
        <f t="shared" si="11"/>
        <v>0</v>
      </c>
      <c r="N195" s="120"/>
      <c r="O195" s="120"/>
      <c r="P195" s="120"/>
    </row>
    <row r="196" spans="1:18" ht="14.5" x14ac:dyDescent="0.25">
      <c r="A196" s="6">
        <v>195</v>
      </c>
      <c r="B196" s="6" t="s">
        <v>374</v>
      </c>
      <c r="C196" s="6" t="s">
        <v>76</v>
      </c>
      <c r="D196" s="125" t="str">
        <f t="shared" si="9"/>
        <v>TAVŞANLI / KÜTAHYA</v>
      </c>
      <c r="E196" s="125">
        <v>1611</v>
      </c>
      <c r="F196" s="125">
        <v>3013.5</v>
      </c>
      <c r="G196" s="125">
        <v>5.4</v>
      </c>
      <c r="H196" s="125">
        <v>103.3</v>
      </c>
      <c r="I196" s="122">
        <v>4515.7999999999993</v>
      </c>
      <c r="J196" s="122">
        <v>451.57999999999993</v>
      </c>
      <c r="K196" s="120">
        <f>VLOOKUP(D196,Excel6!A:H,8,0)</f>
        <v>451.57999999999993</v>
      </c>
      <c r="L196" s="120" t="str">
        <f t="shared" si="10"/>
        <v>TAVŞANLI / KÜTAHYA</v>
      </c>
      <c r="M196" s="124">
        <f t="shared" si="11"/>
        <v>0</v>
      </c>
      <c r="N196" s="120"/>
      <c r="O196" s="120"/>
      <c r="P196" s="120"/>
    </row>
    <row r="197" spans="1:18" ht="14.5" x14ac:dyDescent="0.25">
      <c r="A197" s="6">
        <v>196</v>
      </c>
      <c r="B197" s="6" t="s">
        <v>458</v>
      </c>
      <c r="C197" s="6" t="s">
        <v>76</v>
      </c>
      <c r="D197" s="125" t="str">
        <f t="shared" si="9"/>
        <v>SİMAV / KÜTAHYA</v>
      </c>
      <c r="E197" s="125">
        <v>639.6</v>
      </c>
      <c r="F197" s="125">
        <v>1321.2</v>
      </c>
      <c r="G197" s="125">
        <v>0</v>
      </c>
      <c r="H197" s="125">
        <v>0</v>
      </c>
      <c r="I197" s="122">
        <v>1960.8000000000002</v>
      </c>
      <c r="J197" s="122">
        <v>196.08000000000004</v>
      </c>
      <c r="K197" s="120">
        <f>VLOOKUP(D197,Excel6!A:H,8,0)</f>
        <v>196.08000000000004</v>
      </c>
      <c r="L197" s="120" t="str">
        <f t="shared" si="10"/>
        <v>SİMAV / KÜTAHYA</v>
      </c>
      <c r="M197" s="124">
        <f t="shared" si="11"/>
        <v>0</v>
      </c>
      <c r="N197" s="120"/>
      <c r="O197" s="120"/>
      <c r="P197" s="120"/>
    </row>
    <row r="198" spans="1:18" ht="14.5" x14ac:dyDescent="0.25">
      <c r="A198" s="6">
        <v>197</v>
      </c>
      <c r="B198" s="6" t="s">
        <v>307</v>
      </c>
      <c r="C198" s="6" t="s">
        <v>76</v>
      </c>
      <c r="D198" s="125" t="str">
        <f t="shared" si="9"/>
        <v>GEDİZ / KÜTAHYA</v>
      </c>
      <c r="E198" s="125">
        <v>136.30000000000001</v>
      </c>
      <c r="F198" s="125">
        <v>269.2</v>
      </c>
      <c r="G198" s="125">
        <v>0</v>
      </c>
      <c r="H198" s="125">
        <v>0</v>
      </c>
      <c r="I198" s="122">
        <v>405.5</v>
      </c>
      <c r="J198" s="122">
        <v>40.549999999999997</v>
      </c>
      <c r="K198" s="120">
        <f>VLOOKUP(D198,Excel6!A:H,8,0)</f>
        <v>40.549999999999997</v>
      </c>
      <c r="L198" s="120" t="str">
        <f t="shared" si="10"/>
        <v>GEDİZ / KÜTAHYA</v>
      </c>
      <c r="M198" s="124">
        <f t="shared" si="11"/>
        <v>0</v>
      </c>
      <c r="N198" s="120"/>
      <c r="O198" s="120"/>
      <c r="P198" s="120"/>
    </row>
    <row r="199" spans="1:18" ht="14.5" x14ac:dyDescent="0.25">
      <c r="A199" s="6">
        <v>198</v>
      </c>
      <c r="B199" s="6" t="s">
        <v>643</v>
      </c>
      <c r="C199" s="6" t="s">
        <v>76</v>
      </c>
      <c r="D199" s="125" t="str">
        <f t="shared" si="9"/>
        <v>ŞAPHANE / KÜTAHYA</v>
      </c>
      <c r="E199" s="125">
        <v>155.6</v>
      </c>
      <c r="F199" s="125">
        <v>107.3</v>
      </c>
      <c r="G199" s="125">
        <v>0</v>
      </c>
      <c r="H199" s="125">
        <v>0</v>
      </c>
      <c r="I199" s="122">
        <v>262.89999999999998</v>
      </c>
      <c r="J199" s="122">
        <v>26.29</v>
      </c>
      <c r="K199" s="120">
        <f>VLOOKUP(D199,Excel6!A:H,8,0)</f>
        <v>26.29</v>
      </c>
      <c r="L199" s="120" t="str">
        <f t="shared" si="10"/>
        <v>ŞAPHANE / KÜTAHYA</v>
      </c>
      <c r="M199" s="124">
        <f t="shared" si="11"/>
        <v>0</v>
      </c>
      <c r="N199" s="120"/>
      <c r="O199" s="120"/>
      <c r="P199" s="120"/>
    </row>
    <row r="200" spans="1:18" ht="14.5" x14ac:dyDescent="0.25">
      <c r="A200" s="6">
        <v>199</v>
      </c>
      <c r="B200" s="6" t="s">
        <v>2393</v>
      </c>
      <c r="C200" s="6" t="s">
        <v>76</v>
      </c>
      <c r="D200" s="125" t="str">
        <f t="shared" si="9"/>
        <v>HİSARCIK / KÜTAHYA</v>
      </c>
      <c r="E200" s="125">
        <v>5.4</v>
      </c>
      <c r="F200" s="125">
        <v>103.3</v>
      </c>
      <c r="G200" s="125">
        <v>0</v>
      </c>
      <c r="H200" s="125">
        <v>0</v>
      </c>
      <c r="I200" s="122">
        <v>108.7</v>
      </c>
      <c r="J200" s="122">
        <v>10.870000000000001</v>
      </c>
      <c r="K200" s="120">
        <f>VLOOKUP(D200,Excel6!A:H,8,0)</f>
        <v>10.870000000000001</v>
      </c>
      <c r="L200" s="120" t="str">
        <f t="shared" si="10"/>
        <v>HİSARCIK / KÜTAHYA</v>
      </c>
      <c r="M200" s="124">
        <f t="shared" si="11"/>
        <v>0</v>
      </c>
      <c r="N200" s="120"/>
      <c r="O200" s="120"/>
      <c r="P200" s="120"/>
    </row>
    <row r="201" spans="1:18" ht="14.5" x14ac:dyDescent="0.25">
      <c r="A201" s="6">
        <v>200</v>
      </c>
      <c r="B201" s="6" t="s">
        <v>2020</v>
      </c>
      <c r="C201" s="6" t="s">
        <v>120</v>
      </c>
      <c r="D201" s="125" t="str">
        <f t="shared" si="9"/>
        <v>MALATYA BÜYÜKŞEHİR / MALATYA</v>
      </c>
      <c r="E201" s="125">
        <v>37980.54</v>
      </c>
      <c r="F201" s="125">
        <v>31718.93</v>
      </c>
      <c r="G201" s="125">
        <v>2116.5999999999995</v>
      </c>
      <c r="H201" s="125">
        <v>2293.1</v>
      </c>
      <c r="I201" s="122">
        <v>65289.770000000004</v>
      </c>
      <c r="J201" s="122">
        <v>6528.9599999999991</v>
      </c>
      <c r="K201" s="120">
        <f>VLOOKUP(D201,Excel6!A:H,8,0)</f>
        <v>6528.9599999999991</v>
      </c>
      <c r="L201" s="120" t="str">
        <f t="shared" si="10"/>
        <v>MALATYA BÜYÜKŞEHİR / MALATYA</v>
      </c>
      <c r="M201" s="124">
        <f t="shared" si="11"/>
        <v>0</v>
      </c>
      <c r="N201" s="120"/>
      <c r="O201" s="120"/>
      <c r="P201" s="120"/>
    </row>
    <row r="202" spans="1:18" ht="14.5" x14ac:dyDescent="0.25">
      <c r="A202" s="6">
        <v>201</v>
      </c>
      <c r="B202" s="6" t="s">
        <v>2021</v>
      </c>
      <c r="C202" s="6" t="s">
        <v>121</v>
      </c>
      <c r="D202" s="125" t="str">
        <f t="shared" si="9"/>
        <v>MANİSA BÜYÜKŞEHİR / MANİSA</v>
      </c>
      <c r="E202" s="125">
        <v>156841.02000000002</v>
      </c>
      <c r="F202" s="125">
        <v>278846.26000000007</v>
      </c>
      <c r="G202" s="125">
        <v>5907</v>
      </c>
      <c r="H202" s="125">
        <v>8177.1</v>
      </c>
      <c r="I202" s="122">
        <v>421603.17999999993</v>
      </c>
      <c r="J202" s="122">
        <v>42160.32</v>
      </c>
      <c r="K202" s="120">
        <f>VLOOKUP(D202,Excel6!A:H,8,0)</f>
        <v>42160.32</v>
      </c>
      <c r="L202" s="120" t="str">
        <f t="shared" si="10"/>
        <v>MANİSA BÜYÜKŞEHİR / MANİSA</v>
      </c>
      <c r="M202" s="124">
        <f t="shared" si="11"/>
        <v>0</v>
      </c>
      <c r="N202" s="120"/>
      <c r="O202" s="120"/>
      <c r="P202" s="120"/>
    </row>
    <row r="203" spans="1:18" ht="14.5" x14ac:dyDescent="0.25">
      <c r="A203" s="6">
        <v>202</v>
      </c>
      <c r="B203" s="24" t="s">
        <v>2946</v>
      </c>
      <c r="C203" s="6" t="s">
        <v>24</v>
      </c>
      <c r="D203" s="125" t="str">
        <f t="shared" si="9"/>
        <v>MARDİN BÜYÜKŞEHİR / MARDİN</v>
      </c>
      <c r="E203" s="125">
        <v>192683.2</v>
      </c>
      <c r="F203" s="125">
        <v>82649.700000000012</v>
      </c>
      <c r="G203" s="125">
        <v>9481.3000000000011</v>
      </c>
      <c r="H203" s="125">
        <v>10637.7</v>
      </c>
      <c r="I203" s="122">
        <v>255213.90000000002</v>
      </c>
      <c r="J203" s="122">
        <v>25521.39</v>
      </c>
      <c r="K203" s="120">
        <f>VLOOKUP(D203,Excel6!A:H,8,0)</f>
        <v>25521.39</v>
      </c>
      <c r="L203" s="120" t="str">
        <f t="shared" si="10"/>
        <v>MARDİN BÜYÜKŞEHİR / MARDİN</v>
      </c>
      <c r="M203" s="124">
        <f t="shared" si="11"/>
        <v>0</v>
      </c>
      <c r="N203" s="120"/>
      <c r="O203" s="120"/>
      <c r="P203" s="120"/>
    </row>
    <row r="204" spans="1:18" ht="14.5" x14ac:dyDescent="0.25">
      <c r="A204" s="6">
        <v>203</v>
      </c>
      <c r="B204" s="6" t="s">
        <v>1880</v>
      </c>
      <c r="C204" s="24" t="s">
        <v>122</v>
      </c>
      <c r="D204" s="125" t="str">
        <f t="shared" si="9"/>
        <v>MERSİN BÜYÜKŞEHİR / MERSİN</v>
      </c>
      <c r="E204" s="125">
        <v>231096.39000000004</v>
      </c>
      <c r="F204" s="125">
        <v>315034.23999999993</v>
      </c>
      <c r="G204" s="125">
        <v>5926.8899999999994</v>
      </c>
      <c r="H204" s="125">
        <v>13750.39</v>
      </c>
      <c r="I204" s="125">
        <v>526453.35000000009</v>
      </c>
      <c r="J204" s="125">
        <v>52645.360000000008</v>
      </c>
      <c r="K204" s="120">
        <f>VLOOKUP(D204,Excel6!A:H,8,0)</f>
        <v>52645.360000000008</v>
      </c>
      <c r="L204" s="120" t="str">
        <f t="shared" si="10"/>
        <v>MERSİN BÜYÜKŞEHİR / MERSİN</v>
      </c>
      <c r="M204" s="124">
        <f t="shared" si="11"/>
        <v>0</v>
      </c>
      <c r="N204" s="120"/>
      <c r="O204" s="120"/>
      <c r="P204" s="120"/>
    </row>
    <row r="205" spans="1:18" ht="14.5" x14ac:dyDescent="0.25">
      <c r="A205" s="6">
        <v>204</v>
      </c>
      <c r="B205" s="6" t="s">
        <v>2022</v>
      </c>
      <c r="C205" s="6" t="s">
        <v>124</v>
      </c>
      <c r="D205" s="125" t="str">
        <f t="shared" si="9"/>
        <v>MUĞLA BÜYÜKŞEHİR / MUĞLA</v>
      </c>
      <c r="E205" s="126">
        <v>697592.05999999994</v>
      </c>
      <c r="F205" s="126">
        <v>448123.0799999999</v>
      </c>
      <c r="G205" s="126">
        <v>45249.840000000004</v>
      </c>
      <c r="H205" s="126">
        <v>47757.810000000012</v>
      </c>
      <c r="I205" s="122">
        <v>1052707.49</v>
      </c>
      <c r="J205" s="122">
        <v>105270.8</v>
      </c>
      <c r="K205" s="120">
        <f>VLOOKUP(D205,Excel6!A:H,8,0)</f>
        <v>105270.8</v>
      </c>
      <c r="L205" s="120" t="str">
        <f t="shared" si="10"/>
        <v>MUĞLA BÜYÜKŞEHİR / MUĞLA</v>
      </c>
      <c r="M205" s="124">
        <f t="shared" si="11"/>
        <v>0</v>
      </c>
      <c r="N205" s="120"/>
      <c r="O205" s="120"/>
      <c r="P205" s="120"/>
    </row>
    <row r="206" spans="1:18" ht="14.5" x14ac:dyDescent="0.25">
      <c r="A206" s="6">
        <v>205</v>
      </c>
      <c r="B206" s="6" t="s">
        <v>34</v>
      </c>
      <c r="C206" s="6" t="s">
        <v>221</v>
      </c>
      <c r="D206" s="125" t="str">
        <f t="shared" si="9"/>
        <v>MERKEZ / MUŞ</v>
      </c>
      <c r="E206" s="125">
        <v>947.00000000000011</v>
      </c>
      <c r="F206" s="125">
        <v>913.8</v>
      </c>
      <c r="G206" s="125">
        <v>331.9</v>
      </c>
      <c r="H206" s="125">
        <v>180.9</v>
      </c>
      <c r="I206" s="122">
        <v>1348</v>
      </c>
      <c r="J206" s="122">
        <v>134.79999999999998</v>
      </c>
      <c r="K206" s="120">
        <f>VLOOKUP(D206,Excel6!A:H,8,0)</f>
        <v>134.79999999999998</v>
      </c>
      <c r="L206" s="120" t="str">
        <f t="shared" si="10"/>
        <v>MERKEZ / MUŞ</v>
      </c>
      <c r="M206" s="124">
        <f t="shared" si="11"/>
        <v>0</v>
      </c>
      <c r="N206" s="120"/>
      <c r="O206" s="120"/>
      <c r="P206" s="120"/>
    </row>
    <row r="207" spans="1:18" ht="14.5" x14ac:dyDescent="0.25">
      <c r="A207" s="6">
        <v>206</v>
      </c>
      <c r="B207" s="6" t="s">
        <v>2326</v>
      </c>
      <c r="C207" s="6" t="s">
        <v>221</v>
      </c>
      <c r="D207" s="125" t="str">
        <f t="shared" si="9"/>
        <v>MALAZGİRT / MUŞ</v>
      </c>
      <c r="E207" s="123">
        <v>199.5</v>
      </c>
      <c r="F207" s="123"/>
      <c r="G207" s="123">
        <v>0</v>
      </c>
      <c r="H207" s="123"/>
      <c r="I207" s="121">
        <v>199.5</v>
      </c>
      <c r="J207" s="121">
        <v>19.95</v>
      </c>
      <c r="K207" s="120">
        <f>VLOOKUP(D207,Excel6!A:H,8,0)</f>
        <v>19.95</v>
      </c>
      <c r="L207" s="120" t="str">
        <f t="shared" si="10"/>
        <v>MALAZGİRT / MUŞ</v>
      </c>
      <c r="M207" s="124">
        <f t="shared" si="11"/>
        <v>0</v>
      </c>
      <c r="N207" s="120"/>
      <c r="O207" s="120"/>
      <c r="P207" s="120"/>
      <c r="Q207" s="120"/>
      <c r="R207" s="120"/>
    </row>
    <row r="208" spans="1:18" ht="14.5" x14ac:dyDescent="0.25">
      <c r="A208" s="6">
        <v>207</v>
      </c>
      <c r="B208" s="6" t="s">
        <v>668</v>
      </c>
      <c r="C208" s="6" t="s">
        <v>191</v>
      </c>
      <c r="D208" s="125" t="str">
        <f t="shared" si="9"/>
        <v>AVANOS / NEVŞEHİR</v>
      </c>
      <c r="E208" s="125">
        <v>7595.2000000000007</v>
      </c>
      <c r="F208" s="125">
        <v>30926.3</v>
      </c>
      <c r="G208" s="125">
        <v>531.69999999999993</v>
      </c>
      <c r="H208" s="125">
        <v>751.40000000000009</v>
      </c>
      <c r="I208" s="122">
        <v>37238.400000000001</v>
      </c>
      <c r="J208" s="122">
        <v>3723.84</v>
      </c>
      <c r="K208" s="120">
        <f>VLOOKUP(D208,Excel6!A:H,8,0)</f>
        <v>3723.84</v>
      </c>
      <c r="L208" s="120" t="str">
        <f t="shared" si="10"/>
        <v>AVANOS / NEVŞEHİR</v>
      </c>
      <c r="M208" s="124">
        <f t="shared" si="11"/>
        <v>0</v>
      </c>
      <c r="N208" s="120"/>
      <c r="O208" s="120"/>
      <c r="P208" s="120"/>
    </row>
    <row r="209" spans="1:17" ht="14.5" x14ac:dyDescent="0.25">
      <c r="A209" s="6">
        <v>208</v>
      </c>
      <c r="B209" s="6" t="s">
        <v>34</v>
      </c>
      <c r="C209" s="6" t="s">
        <v>191</v>
      </c>
      <c r="D209" s="125" t="str">
        <f t="shared" si="9"/>
        <v>MERKEZ / NEVŞEHİR</v>
      </c>
      <c r="E209" s="125">
        <v>15111.920000000002</v>
      </c>
      <c r="F209" s="125">
        <v>21703.27</v>
      </c>
      <c r="G209" s="125">
        <v>159.79999999999998</v>
      </c>
      <c r="H209" s="125">
        <v>903.2</v>
      </c>
      <c r="I209" s="122">
        <v>35752.19</v>
      </c>
      <c r="J209" s="122">
        <v>3575.2300000000005</v>
      </c>
      <c r="K209" s="120">
        <f>VLOOKUP(D209,Excel6!A:H,8,0)</f>
        <v>3575.2300000000005</v>
      </c>
      <c r="L209" s="120" t="str">
        <f t="shared" si="10"/>
        <v>MERKEZ / NEVŞEHİR</v>
      </c>
      <c r="M209" s="124">
        <f t="shared" si="11"/>
        <v>0</v>
      </c>
      <c r="N209" s="120"/>
      <c r="O209" s="120"/>
      <c r="P209" s="120"/>
    </row>
    <row r="210" spans="1:17" ht="14.5" x14ac:dyDescent="0.25">
      <c r="A210" s="6">
        <v>209</v>
      </c>
      <c r="B210" s="6" t="s">
        <v>309</v>
      </c>
      <c r="C210" s="6" t="s">
        <v>191</v>
      </c>
      <c r="D210" s="125" t="str">
        <f t="shared" si="9"/>
        <v>ÜRGÜP / NEVŞEHİR</v>
      </c>
      <c r="E210" s="125">
        <v>2502.9</v>
      </c>
      <c r="F210" s="125">
        <v>4624.9000000000005</v>
      </c>
      <c r="G210" s="125">
        <v>9.3000000000000007</v>
      </c>
      <c r="H210" s="125">
        <v>156.1</v>
      </c>
      <c r="I210" s="122">
        <v>6962.4</v>
      </c>
      <c r="J210" s="126">
        <v>696.24</v>
      </c>
      <c r="K210" s="120">
        <f>VLOOKUP(D210,Excel6!A:H,8,0)</f>
        <v>696.24</v>
      </c>
      <c r="L210" s="120" t="str">
        <f t="shared" si="10"/>
        <v>ÜRGÜP / NEVŞEHİR</v>
      </c>
      <c r="M210" s="124">
        <f t="shared" si="11"/>
        <v>0</v>
      </c>
      <c r="N210" s="120"/>
      <c r="O210" s="120"/>
      <c r="P210" s="120"/>
    </row>
    <row r="211" spans="1:17" ht="14.5" x14ac:dyDescent="0.3">
      <c r="A211" s="6">
        <v>210</v>
      </c>
      <c r="B211" s="6" t="s">
        <v>670</v>
      </c>
      <c r="C211" s="6" t="s">
        <v>191</v>
      </c>
      <c r="D211" s="125" t="str">
        <f t="shared" si="9"/>
        <v>GÜLŞEHİR / NEVŞEHİR</v>
      </c>
      <c r="E211" s="125">
        <v>1440.8000000000002</v>
      </c>
      <c r="F211" s="125">
        <v>660.90000000000009</v>
      </c>
      <c r="G211" s="125">
        <v>0</v>
      </c>
      <c r="H211" s="125">
        <v>0</v>
      </c>
      <c r="I211" s="122">
        <v>2101.7000000000003</v>
      </c>
      <c r="J211" s="122">
        <v>210.17000000000002</v>
      </c>
      <c r="K211" s="120">
        <f>VLOOKUP(D211,Excel6!A:H,8,0)</f>
        <v>210.17000000000002</v>
      </c>
      <c r="L211" s="120" t="str">
        <f t="shared" si="10"/>
        <v>GÜLŞEHİR / NEVŞEHİR</v>
      </c>
      <c r="M211" s="124">
        <f t="shared" si="11"/>
        <v>0</v>
      </c>
      <c r="N211" s="120"/>
      <c r="O211" s="120"/>
      <c r="P211" s="120"/>
      <c r="Q211" s="16"/>
    </row>
    <row r="212" spans="1:17" ht="14.5" x14ac:dyDescent="0.25">
      <c r="A212" s="6">
        <v>211</v>
      </c>
      <c r="B212" s="24" t="s">
        <v>2402</v>
      </c>
      <c r="C212" s="24" t="s">
        <v>191</v>
      </c>
      <c r="D212" s="125" t="str">
        <f t="shared" si="9"/>
        <v>ACIGÖL / NEVŞEHİR</v>
      </c>
      <c r="E212" s="125">
        <v>231.5</v>
      </c>
      <c r="F212" s="125">
        <v>491.20000000000005</v>
      </c>
      <c r="G212" s="125">
        <v>0</v>
      </c>
      <c r="H212" s="125">
        <v>0</v>
      </c>
      <c r="I212" s="125">
        <v>722.7</v>
      </c>
      <c r="J212" s="125">
        <v>72.27000000000001</v>
      </c>
      <c r="K212" s="120">
        <f>VLOOKUP(D212,Excel6!A:H,8,0)</f>
        <v>72.27000000000001</v>
      </c>
      <c r="L212" s="120" t="str">
        <f t="shared" si="10"/>
        <v>ACIGÖL / NEVŞEHİR</v>
      </c>
      <c r="M212" s="124">
        <f t="shared" si="11"/>
        <v>0</v>
      </c>
      <c r="N212" s="120"/>
      <c r="O212" s="120"/>
      <c r="P212" s="120"/>
    </row>
    <row r="213" spans="1:17" ht="14.5" x14ac:dyDescent="0.25">
      <c r="A213" s="6">
        <v>212</v>
      </c>
      <c r="B213" s="24" t="s">
        <v>669</v>
      </c>
      <c r="C213" s="6" t="s">
        <v>191</v>
      </c>
      <c r="D213" s="125" t="str">
        <f t="shared" si="9"/>
        <v>DERİNKUYU / NEVŞEHİR</v>
      </c>
      <c r="E213" s="125">
        <v>45</v>
      </c>
      <c r="F213" s="125">
        <v>402.8</v>
      </c>
      <c r="G213" s="125">
        <v>0</v>
      </c>
      <c r="H213" s="125">
        <v>0</v>
      </c>
      <c r="I213" s="122">
        <v>447.8</v>
      </c>
      <c r="J213" s="122">
        <v>44.78</v>
      </c>
      <c r="K213" s="120">
        <f>VLOOKUP(D213,Excel6!A:H,8,0)</f>
        <v>44.78</v>
      </c>
      <c r="L213" s="120" t="str">
        <f t="shared" si="10"/>
        <v>DERİNKUYU / NEVŞEHİR</v>
      </c>
      <c r="M213" s="124">
        <f t="shared" si="11"/>
        <v>0</v>
      </c>
      <c r="N213" s="120"/>
      <c r="O213" s="120"/>
      <c r="P213" s="120"/>
    </row>
    <row r="214" spans="1:17" ht="14.5" x14ac:dyDescent="0.25">
      <c r="A214" s="6">
        <v>213</v>
      </c>
      <c r="B214" s="6" t="s">
        <v>34</v>
      </c>
      <c r="C214" s="6" t="s">
        <v>192</v>
      </c>
      <c r="D214" s="125" t="str">
        <f t="shared" si="9"/>
        <v>MERKEZ / NİĞDE</v>
      </c>
      <c r="E214" s="125">
        <v>15363.8</v>
      </c>
      <c r="F214" s="125">
        <v>50877.8</v>
      </c>
      <c r="G214" s="125">
        <v>212.6</v>
      </c>
      <c r="H214" s="125">
        <v>4373.8</v>
      </c>
      <c r="I214" s="122">
        <v>61655.19999999999</v>
      </c>
      <c r="J214" s="122">
        <v>6165.52</v>
      </c>
      <c r="K214" s="120">
        <f>VLOOKUP(D214,Excel6!A:H,8,0)</f>
        <v>6165.52</v>
      </c>
      <c r="L214" s="120" t="str">
        <f t="shared" si="10"/>
        <v>MERKEZ / NİĞDE</v>
      </c>
      <c r="M214" s="124">
        <f t="shared" si="11"/>
        <v>0</v>
      </c>
      <c r="N214" s="120"/>
      <c r="O214" s="120"/>
      <c r="P214" s="120"/>
    </row>
    <row r="215" spans="1:17" ht="14.5" x14ac:dyDescent="0.25">
      <c r="A215" s="6">
        <v>214</v>
      </c>
      <c r="B215" s="6" t="s">
        <v>334</v>
      </c>
      <c r="C215" s="6" t="s">
        <v>192</v>
      </c>
      <c r="D215" s="125" t="str">
        <f t="shared" si="9"/>
        <v>BOR / NİĞDE</v>
      </c>
      <c r="E215" s="125">
        <v>32071.8</v>
      </c>
      <c r="F215" s="125">
        <v>3039.5</v>
      </c>
      <c r="G215" s="125">
        <v>4.2</v>
      </c>
      <c r="H215" s="125">
        <v>79.2</v>
      </c>
      <c r="I215" s="122">
        <v>35027.9</v>
      </c>
      <c r="J215" s="122">
        <v>3502.79</v>
      </c>
      <c r="K215" s="120">
        <f>VLOOKUP(D215,Excel6!A:H,8,0)</f>
        <v>3502.79</v>
      </c>
      <c r="L215" s="120" t="str">
        <f t="shared" si="10"/>
        <v>BOR / NİĞDE</v>
      </c>
      <c r="M215" s="124">
        <f t="shared" si="11"/>
        <v>0</v>
      </c>
      <c r="N215" s="120"/>
      <c r="O215" s="120"/>
      <c r="P215" s="120"/>
    </row>
    <row r="216" spans="1:17" ht="14.5" x14ac:dyDescent="0.25">
      <c r="A216" s="6">
        <v>215</v>
      </c>
      <c r="B216" s="6" t="s">
        <v>466</v>
      </c>
      <c r="C216" s="6" t="s">
        <v>192</v>
      </c>
      <c r="D216" s="125" t="str">
        <f t="shared" si="9"/>
        <v>ULUKIŞLA / NİĞDE</v>
      </c>
      <c r="E216" s="125">
        <v>2274.1</v>
      </c>
      <c r="F216" s="125">
        <v>153.1</v>
      </c>
      <c r="G216" s="125">
        <v>0</v>
      </c>
      <c r="H216" s="125">
        <v>0</v>
      </c>
      <c r="I216" s="122">
        <v>2427.1999999999998</v>
      </c>
      <c r="J216" s="122">
        <v>242.72</v>
      </c>
      <c r="K216" s="120">
        <f>VLOOKUP(D216,Excel6!A:H,8,0)</f>
        <v>242.72</v>
      </c>
      <c r="L216" s="120" t="str">
        <f t="shared" si="10"/>
        <v>ULUKIŞLA / NİĞDE</v>
      </c>
      <c r="M216" s="124">
        <f t="shared" si="11"/>
        <v>0</v>
      </c>
      <c r="N216" s="120"/>
      <c r="O216" s="120"/>
      <c r="P216" s="120"/>
    </row>
    <row r="217" spans="1:17" ht="14.5" x14ac:dyDescent="0.25">
      <c r="A217" s="6">
        <v>216</v>
      </c>
      <c r="B217" s="6" t="s">
        <v>2309</v>
      </c>
      <c r="C217" s="6" t="s">
        <v>192</v>
      </c>
      <c r="D217" s="125" t="str">
        <f t="shared" si="9"/>
        <v>ALTUNHİSAR / NİĞDE</v>
      </c>
      <c r="E217" s="125">
        <v>247.2</v>
      </c>
      <c r="F217" s="125">
        <v>1226.2</v>
      </c>
      <c r="G217" s="125">
        <v>0</v>
      </c>
      <c r="H217" s="125">
        <v>0</v>
      </c>
      <c r="I217" s="122">
        <v>1473.4</v>
      </c>
      <c r="J217" s="122">
        <v>147.34</v>
      </c>
      <c r="K217" s="120">
        <f>VLOOKUP(D217,Excel6!A:H,8,0)</f>
        <v>147.34</v>
      </c>
      <c r="L217" s="120" t="str">
        <f t="shared" si="10"/>
        <v>ALTUNHİSAR / NİĞDE</v>
      </c>
      <c r="M217" s="124">
        <f t="shared" si="11"/>
        <v>0</v>
      </c>
      <c r="N217" s="120"/>
      <c r="O217" s="120"/>
      <c r="P217" s="120"/>
    </row>
    <row r="218" spans="1:17" ht="14.5" x14ac:dyDescent="0.25">
      <c r="A218" s="6">
        <v>217</v>
      </c>
      <c r="B218" s="6" t="s">
        <v>465</v>
      </c>
      <c r="C218" s="6" t="s">
        <v>192</v>
      </c>
      <c r="D218" s="125" t="str">
        <f t="shared" si="9"/>
        <v>ÇİFTLİK / NİĞDE</v>
      </c>
      <c r="E218" s="125">
        <v>140.5</v>
      </c>
      <c r="F218" s="125">
        <v>587.1</v>
      </c>
      <c r="G218" s="125">
        <v>0</v>
      </c>
      <c r="H218" s="125">
        <v>0</v>
      </c>
      <c r="I218" s="122">
        <v>727.6</v>
      </c>
      <c r="J218" s="122">
        <v>72.760000000000005</v>
      </c>
      <c r="K218" s="120">
        <f>VLOOKUP(D218,Excel6!A:H,8,0)</f>
        <v>72.760000000000005</v>
      </c>
      <c r="L218" s="120" t="str">
        <f t="shared" si="10"/>
        <v>ÇİFTLİK / NİĞDE</v>
      </c>
      <c r="M218" s="124">
        <f t="shared" si="11"/>
        <v>0</v>
      </c>
      <c r="N218" s="120"/>
      <c r="O218" s="120"/>
      <c r="P218" s="120"/>
    </row>
    <row r="219" spans="1:17" ht="14.5" x14ac:dyDescent="0.25">
      <c r="A219" s="6">
        <v>218</v>
      </c>
      <c r="B219" s="6" t="s">
        <v>2036</v>
      </c>
      <c r="C219" s="6" t="s">
        <v>130</v>
      </c>
      <c r="D219" s="125" t="str">
        <f t="shared" si="9"/>
        <v>ORDU BÜYÜKŞEHİR / ORDU</v>
      </c>
      <c r="E219" s="125">
        <v>36684.25</v>
      </c>
      <c r="F219" s="125">
        <v>37189.01</v>
      </c>
      <c r="G219" s="125">
        <v>1439.8999999999999</v>
      </c>
      <c r="H219" s="125">
        <v>3340.3</v>
      </c>
      <c r="I219" s="122">
        <v>69093.06</v>
      </c>
      <c r="J219" s="122">
        <v>6909.3</v>
      </c>
      <c r="K219" s="120">
        <f>VLOOKUP(D219,Excel6!A:H,8,0)</f>
        <v>6909.3</v>
      </c>
      <c r="L219" s="120" t="str">
        <f t="shared" si="10"/>
        <v>ORDU BÜYÜKŞEHİR / ORDU</v>
      </c>
      <c r="M219" s="124">
        <f t="shared" si="11"/>
        <v>0</v>
      </c>
      <c r="N219" s="120"/>
      <c r="O219" s="120"/>
      <c r="P219" s="120"/>
    </row>
    <row r="220" spans="1:17" ht="14.5" x14ac:dyDescent="0.25">
      <c r="A220" s="6">
        <v>219</v>
      </c>
      <c r="B220" s="6" t="s">
        <v>34</v>
      </c>
      <c r="C220" s="24" t="s">
        <v>35</v>
      </c>
      <c r="D220" s="125" t="str">
        <f t="shared" si="9"/>
        <v>MERKEZ / OSMANİYE</v>
      </c>
      <c r="E220" s="125">
        <v>15504.5</v>
      </c>
      <c r="F220" s="125">
        <v>13954</v>
      </c>
      <c r="G220" s="125">
        <v>720.2</v>
      </c>
      <c r="H220" s="125">
        <v>1078.5999999999999</v>
      </c>
      <c r="I220" s="125">
        <v>27659.699999999997</v>
      </c>
      <c r="J220" s="125">
        <v>2765.97</v>
      </c>
      <c r="K220" s="120">
        <f>VLOOKUP(D220,Excel6!A:H,8,0)</f>
        <v>2765.97</v>
      </c>
      <c r="L220" s="120" t="str">
        <f t="shared" si="10"/>
        <v>MERKEZ / OSMANİYE</v>
      </c>
      <c r="M220" s="124">
        <f t="shared" si="11"/>
        <v>0</v>
      </c>
      <c r="N220" s="120"/>
      <c r="O220" s="120"/>
      <c r="P220" s="120"/>
      <c r="Q220" s="120"/>
    </row>
    <row r="221" spans="1:17" ht="14.5" x14ac:dyDescent="0.25">
      <c r="A221" s="6">
        <v>220</v>
      </c>
      <c r="B221" s="6" t="s">
        <v>325</v>
      </c>
      <c r="C221" s="6" t="s">
        <v>35</v>
      </c>
      <c r="D221" s="125" t="str">
        <f t="shared" si="9"/>
        <v>KADİRLİ / OSMANİYE</v>
      </c>
      <c r="E221" s="125">
        <v>1964.6</v>
      </c>
      <c r="F221" s="125">
        <v>4626.8</v>
      </c>
      <c r="G221" s="125">
        <v>0</v>
      </c>
      <c r="H221" s="125">
        <v>0</v>
      </c>
      <c r="I221" s="122">
        <v>6591.4</v>
      </c>
      <c r="J221" s="122">
        <v>659.14</v>
      </c>
      <c r="K221" s="120">
        <f>VLOOKUP(D221,Excel6!A:H,8,0)</f>
        <v>659.14</v>
      </c>
      <c r="L221" s="120" t="str">
        <f t="shared" si="10"/>
        <v>KADİRLİ / OSMANİYE</v>
      </c>
      <c r="M221" s="124">
        <f t="shared" si="11"/>
        <v>0</v>
      </c>
      <c r="N221" s="120"/>
      <c r="O221" s="120"/>
      <c r="P221" s="120"/>
    </row>
    <row r="222" spans="1:17" ht="14.5" x14ac:dyDescent="0.25">
      <c r="A222" s="6">
        <v>221</v>
      </c>
      <c r="B222" s="6" t="s">
        <v>2059</v>
      </c>
      <c r="C222" s="24" t="s">
        <v>35</v>
      </c>
      <c r="D222" s="125" t="str">
        <f t="shared" si="9"/>
        <v>TOPRAKKALE / OSMANİYE</v>
      </c>
      <c r="E222" s="125">
        <v>2754</v>
      </c>
      <c r="F222" s="125">
        <v>2737.5</v>
      </c>
      <c r="G222" s="125">
        <v>0</v>
      </c>
      <c r="H222" s="125">
        <v>0</v>
      </c>
      <c r="I222" s="125">
        <v>5491.5</v>
      </c>
      <c r="J222" s="125">
        <v>549.15</v>
      </c>
      <c r="K222" s="120">
        <f>VLOOKUP(D222,Excel6!A:H,8,0)</f>
        <v>549.15</v>
      </c>
      <c r="L222" s="120" t="str">
        <f t="shared" si="10"/>
        <v>TOPRAKKALE / OSMANİYE</v>
      </c>
      <c r="M222" s="124">
        <f t="shared" si="11"/>
        <v>0</v>
      </c>
      <c r="N222" s="120"/>
      <c r="O222" s="120"/>
      <c r="P222" s="120"/>
    </row>
    <row r="223" spans="1:17" ht="14.5" x14ac:dyDescent="0.25">
      <c r="A223" s="6">
        <v>222</v>
      </c>
      <c r="B223" s="6" t="s">
        <v>217</v>
      </c>
      <c r="C223" s="6" t="s">
        <v>35</v>
      </c>
      <c r="D223" s="125" t="str">
        <f t="shared" si="9"/>
        <v>DÜZİÇİ / OSMANİYE</v>
      </c>
      <c r="E223" s="125">
        <v>2079.9</v>
      </c>
      <c r="F223" s="125">
        <v>995.3</v>
      </c>
      <c r="G223" s="125">
        <v>0</v>
      </c>
      <c r="H223" s="125">
        <v>0</v>
      </c>
      <c r="I223" s="122">
        <v>3075.2</v>
      </c>
      <c r="J223" s="122">
        <v>307.52</v>
      </c>
      <c r="K223" s="120">
        <f>VLOOKUP(D223,Excel6!A:H,8,0)</f>
        <v>307.52</v>
      </c>
      <c r="L223" s="120" t="str">
        <f t="shared" si="10"/>
        <v>DÜZİÇİ / OSMANİYE</v>
      </c>
      <c r="M223" s="124">
        <f t="shared" si="11"/>
        <v>0</v>
      </c>
      <c r="N223" s="120"/>
      <c r="O223" s="120"/>
      <c r="P223" s="120"/>
    </row>
    <row r="224" spans="1:17" ht="14.5" x14ac:dyDescent="0.25">
      <c r="A224" s="6">
        <v>223</v>
      </c>
      <c r="B224" s="6" t="s">
        <v>4232</v>
      </c>
      <c r="C224" s="6" t="s">
        <v>35</v>
      </c>
      <c r="D224" s="125" t="str">
        <f t="shared" si="9"/>
        <v>SUMBAŞ / OSMANİYE</v>
      </c>
      <c r="E224" s="125">
        <v>10.8</v>
      </c>
      <c r="F224" s="125">
        <v>206.6</v>
      </c>
      <c r="G224" s="125">
        <v>0</v>
      </c>
      <c r="H224" s="125">
        <v>0</v>
      </c>
      <c r="I224" s="122">
        <v>217.4</v>
      </c>
      <c r="J224" s="122">
        <v>21.740000000000002</v>
      </c>
      <c r="K224" s="120">
        <f>VLOOKUP(D224,Excel6!A:H,8,0)</f>
        <v>21.740000000000002</v>
      </c>
      <c r="L224" s="120" t="str">
        <f t="shared" si="10"/>
        <v>SUMBAŞ / OSMANİYE</v>
      </c>
      <c r="M224" s="124">
        <f t="shared" si="11"/>
        <v>0</v>
      </c>
      <c r="N224" s="120"/>
      <c r="O224" s="120"/>
      <c r="P224" s="120"/>
    </row>
    <row r="225" spans="1:16" ht="14.5" x14ac:dyDescent="0.25">
      <c r="A225" s="6">
        <v>224</v>
      </c>
      <c r="B225" s="6" t="s">
        <v>34</v>
      </c>
      <c r="C225" s="6" t="s">
        <v>131</v>
      </c>
      <c r="D225" s="125" t="str">
        <f t="shared" si="9"/>
        <v>MERKEZ / RİZE</v>
      </c>
      <c r="E225" s="125">
        <v>80620.490000000005</v>
      </c>
      <c r="F225" s="125">
        <v>49533.799999999996</v>
      </c>
      <c r="G225" s="125">
        <v>1312.3</v>
      </c>
      <c r="H225" s="125">
        <v>4622.7</v>
      </c>
      <c r="I225" s="122">
        <v>124219.28999999998</v>
      </c>
      <c r="J225" s="122">
        <v>12421.93</v>
      </c>
      <c r="K225" s="120">
        <f>VLOOKUP(D225,Excel6!A:H,8,0)</f>
        <v>12421.93</v>
      </c>
      <c r="L225" s="120" t="str">
        <f t="shared" si="10"/>
        <v>MERKEZ / RİZE</v>
      </c>
      <c r="M225" s="124">
        <f t="shared" si="11"/>
        <v>0</v>
      </c>
      <c r="N225" s="120"/>
      <c r="O225" s="120"/>
      <c r="P225" s="120"/>
    </row>
    <row r="226" spans="1:16" ht="14.5" x14ac:dyDescent="0.25">
      <c r="A226" s="6">
        <v>225</v>
      </c>
      <c r="B226" s="6" t="s">
        <v>87</v>
      </c>
      <c r="C226" s="6" t="s">
        <v>131</v>
      </c>
      <c r="D226" s="125" t="str">
        <f t="shared" si="9"/>
        <v>ARDEŞEN / RİZE</v>
      </c>
      <c r="E226" s="125">
        <v>7359.4</v>
      </c>
      <c r="F226" s="125">
        <v>10222.900000000001</v>
      </c>
      <c r="G226" s="125">
        <v>429.7</v>
      </c>
      <c r="H226" s="125">
        <v>543.29999999999995</v>
      </c>
      <c r="I226" s="125">
        <v>16609.3</v>
      </c>
      <c r="J226" s="125">
        <v>1660.93</v>
      </c>
      <c r="K226" s="120">
        <f>VLOOKUP(D226,Excel6!A:H,8,0)</f>
        <v>1660.93</v>
      </c>
      <c r="L226" s="120" t="str">
        <f t="shared" si="10"/>
        <v>ARDEŞEN / RİZE</v>
      </c>
      <c r="M226" s="124">
        <f t="shared" si="11"/>
        <v>0</v>
      </c>
      <c r="N226" s="120"/>
      <c r="O226" s="120"/>
      <c r="P226" s="120"/>
    </row>
    <row r="227" spans="1:16" ht="14.5" x14ac:dyDescent="0.25">
      <c r="A227" s="6">
        <v>226</v>
      </c>
      <c r="B227" s="6" t="s">
        <v>2130</v>
      </c>
      <c r="C227" s="24" t="s">
        <v>131</v>
      </c>
      <c r="D227" s="125" t="str">
        <f t="shared" si="9"/>
        <v>DEREPAZARI / RİZE</v>
      </c>
      <c r="E227" s="125">
        <v>154.1</v>
      </c>
      <c r="F227" s="125">
        <v>1086.7</v>
      </c>
      <c r="G227" s="125">
        <v>0</v>
      </c>
      <c r="H227" s="125">
        <v>0</v>
      </c>
      <c r="I227" s="125">
        <v>1240.8</v>
      </c>
      <c r="J227" s="125">
        <v>124.08</v>
      </c>
      <c r="K227" s="120">
        <f>VLOOKUP(D227,Excel6!A:H,8,0)</f>
        <v>124.08</v>
      </c>
      <c r="L227" s="120" t="str">
        <f t="shared" si="10"/>
        <v>DEREPAZARI / RİZE</v>
      </c>
      <c r="M227" s="124">
        <f t="shared" si="11"/>
        <v>0</v>
      </c>
      <c r="N227" s="120"/>
      <c r="O227" s="120"/>
      <c r="P227" s="120"/>
    </row>
    <row r="228" spans="1:16" ht="14.5" x14ac:dyDescent="0.25">
      <c r="A228" s="6">
        <v>227</v>
      </c>
      <c r="B228" s="6" t="s">
        <v>680</v>
      </c>
      <c r="C228" s="6" t="s">
        <v>131</v>
      </c>
      <c r="D228" s="125" t="str">
        <f t="shared" si="9"/>
        <v>İYİDERE / RİZE</v>
      </c>
      <c r="E228" s="125">
        <v>663.6</v>
      </c>
      <c r="F228" s="125">
        <v>543.79999999999995</v>
      </c>
      <c r="G228" s="125">
        <v>5.4</v>
      </c>
      <c r="H228" s="125">
        <v>103.3</v>
      </c>
      <c r="I228" s="122">
        <v>1098.7</v>
      </c>
      <c r="J228" s="122">
        <v>109.86999999999999</v>
      </c>
      <c r="K228" s="120">
        <f>VLOOKUP(D228,Excel6!A:H,8,0)</f>
        <v>109.86999999999999</v>
      </c>
      <c r="L228" s="120" t="str">
        <f t="shared" si="10"/>
        <v>İYİDERE / RİZE</v>
      </c>
      <c r="M228" s="124">
        <f t="shared" si="11"/>
        <v>0</v>
      </c>
      <c r="N228" s="120"/>
      <c r="O228" s="120"/>
      <c r="P228" s="120"/>
    </row>
    <row r="229" spans="1:16" ht="14.5" x14ac:dyDescent="0.25">
      <c r="A229" s="6">
        <v>228</v>
      </c>
      <c r="B229" s="6" t="s">
        <v>679</v>
      </c>
      <c r="C229" s="6" t="s">
        <v>131</v>
      </c>
      <c r="D229" s="125" t="str">
        <f t="shared" si="9"/>
        <v>GÜNEYSU / RİZE</v>
      </c>
      <c r="E229" s="125">
        <v>0.5</v>
      </c>
      <c r="F229" s="125">
        <v>859.3</v>
      </c>
      <c r="G229" s="125">
        <v>0</v>
      </c>
      <c r="H229" s="125">
        <v>0</v>
      </c>
      <c r="I229" s="122">
        <v>859.8</v>
      </c>
      <c r="J229" s="122">
        <v>85.98</v>
      </c>
      <c r="K229" s="120">
        <f>VLOOKUP(D229,Excel6!A:H,8,0)</f>
        <v>85.98</v>
      </c>
      <c r="L229" s="120" t="str">
        <f t="shared" si="10"/>
        <v>GÜNEYSU / RİZE</v>
      </c>
      <c r="M229" s="124">
        <f t="shared" si="11"/>
        <v>0</v>
      </c>
      <c r="N229" s="120"/>
      <c r="O229" s="120"/>
      <c r="P229" s="120"/>
    </row>
    <row r="230" spans="1:16" ht="14.5" x14ac:dyDescent="0.25">
      <c r="A230" s="6">
        <v>229</v>
      </c>
      <c r="B230" s="6" t="s">
        <v>2211</v>
      </c>
      <c r="C230" s="6" t="s">
        <v>131</v>
      </c>
      <c r="D230" s="125" t="str">
        <f t="shared" si="9"/>
        <v>KALKANDERE / RİZE</v>
      </c>
      <c r="E230" s="125">
        <v>0.4</v>
      </c>
      <c r="F230" s="125">
        <v>740.8</v>
      </c>
      <c r="G230" s="125">
        <v>0</v>
      </c>
      <c r="H230" s="125">
        <v>0</v>
      </c>
      <c r="I230" s="122">
        <v>741.19999999999993</v>
      </c>
      <c r="J230" s="122">
        <v>74.12</v>
      </c>
      <c r="K230" s="120">
        <f>VLOOKUP(D230,Excel6!A:H,8,0)</f>
        <v>74.12</v>
      </c>
      <c r="L230" s="120" t="str">
        <f t="shared" si="10"/>
        <v>KALKANDERE / RİZE</v>
      </c>
      <c r="M230" s="124">
        <f t="shared" si="11"/>
        <v>0</v>
      </c>
      <c r="N230" s="120"/>
      <c r="O230" s="120"/>
      <c r="P230" s="120"/>
    </row>
    <row r="231" spans="1:16" ht="14.5" x14ac:dyDescent="0.25">
      <c r="A231" s="6">
        <v>230</v>
      </c>
      <c r="B231" s="6" t="s">
        <v>380</v>
      </c>
      <c r="C231" s="6" t="s">
        <v>131</v>
      </c>
      <c r="D231" s="125" t="str">
        <f t="shared" si="9"/>
        <v>FINDIKLI / RİZE</v>
      </c>
      <c r="E231" s="125">
        <v>408.3</v>
      </c>
      <c r="F231" s="125">
        <v>171.1</v>
      </c>
      <c r="G231" s="125">
        <v>0</v>
      </c>
      <c r="H231" s="125">
        <v>0</v>
      </c>
      <c r="I231" s="122">
        <v>579.4</v>
      </c>
      <c r="J231" s="122">
        <v>57.94</v>
      </c>
      <c r="K231" s="120">
        <f>VLOOKUP(D231,Excel6!A:H,8,0)</f>
        <v>57.94</v>
      </c>
      <c r="L231" s="120" t="str">
        <f t="shared" si="10"/>
        <v>FINDIKLI / RİZE</v>
      </c>
      <c r="M231" s="124">
        <f t="shared" si="11"/>
        <v>0</v>
      </c>
      <c r="N231" s="120"/>
      <c r="O231" s="120"/>
      <c r="P231" s="120"/>
    </row>
    <row r="232" spans="1:16" ht="14.5" x14ac:dyDescent="0.25">
      <c r="A232" s="6">
        <v>231</v>
      </c>
      <c r="B232" s="24" t="s">
        <v>678</v>
      </c>
      <c r="C232" s="6" t="s">
        <v>131</v>
      </c>
      <c r="D232" s="125" t="str">
        <f t="shared" si="9"/>
        <v>ÇAYELİ / RİZE</v>
      </c>
      <c r="E232" s="125">
        <v>5.4</v>
      </c>
      <c r="F232" s="125">
        <v>103.3</v>
      </c>
      <c r="G232" s="125">
        <v>0</v>
      </c>
      <c r="H232" s="125">
        <v>0</v>
      </c>
      <c r="I232" s="122">
        <v>108.7</v>
      </c>
      <c r="J232" s="122">
        <v>10.870000000000001</v>
      </c>
      <c r="K232" s="120">
        <f>VLOOKUP(D232,Excel6!A:H,8,0)</f>
        <v>10.870000000000001</v>
      </c>
      <c r="L232" s="120" t="str">
        <f t="shared" si="10"/>
        <v>ÇAYELİ / RİZE</v>
      </c>
      <c r="M232" s="124">
        <f t="shared" si="11"/>
        <v>0</v>
      </c>
      <c r="N232" s="120"/>
      <c r="O232" s="120"/>
      <c r="P232" s="120"/>
    </row>
    <row r="233" spans="1:16" ht="14.5" x14ac:dyDescent="0.25">
      <c r="A233" s="6">
        <v>232</v>
      </c>
      <c r="B233" s="6" t="s">
        <v>1883</v>
      </c>
      <c r="C233" s="6" t="s">
        <v>132</v>
      </c>
      <c r="D233" s="125" t="str">
        <f t="shared" si="9"/>
        <v>SAKARYA BÜYÜKŞEHİR / SAKARYA</v>
      </c>
      <c r="E233" s="125">
        <v>200602.25999999998</v>
      </c>
      <c r="F233" s="125">
        <v>247879.19</v>
      </c>
      <c r="G233" s="125">
        <v>15985.859999999997</v>
      </c>
      <c r="H233" s="125">
        <v>14730.080000000002</v>
      </c>
      <c r="I233" s="122">
        <v>417765.51</v>
      </c>
      <c r="J233" s="122">
        <v>41776.589999999997</v>
      </c>
      <c r="K233" s="120">
        <f>VLOOKUP(D233,Excel6!A:H,8,0)</f>
        <v>41776.589999999997</v>
      </c>
      <c r="L233" s="120" t="str">
        <f t="shared" si="10"/>
        <v>SAKARYA BÜYÜKŞEHİR / SAKARYA</v>
      </c>
      <c r="M233" s="124">
        <f t="shared" si="11"/>
        <v>0</v>
      </c>
      <c r="N233" s="120"/>
      <c r="O233" s="120"/>
      <c r="P233" s="120"/>
    </row>
    <row r="234" spans="1:16" ht="14.5" x14ac:dyDescent="0.25">
      <c r="A234" s="6">
        <v>233</v>
      </c>
      <c r="B234" s="6" t="s">
        <v>1885</v>
      </c>
      <c r="C234" s="6" t="s">
        <v>134</v>
      </c>
      <c r="D234" s="125" t="str">
        <f t="shared" si="9"/>
        <v>SAMSUN BÜYÜKŞEHİR / SAMSUN</v>
      </c>
      <c r="E234" s="125">
        <v>60748.939999999995</v>
      </c>
      <c r="F234" s="125">
        <v>81040.10000000002</v>
      </c>
      <c r="G234" s="125">
        <v>6407.9</v>
      </c>
      <c r="H234" s="125">
        <v>15618.499999999998</v>
      </c>
      <c r="I234" s="122">
        <v>119762.64</v>
      </c>
      <c r="J234" s="122">
        <v>11976.25</v>
      </c>
      <c r="K234" s="120">
        <f>VLOOKUP(D234,Excel6!A:H,8,0)</f>
        <v>11976.25</v>
      </c>
      <c r="L234" s="120" t="str">
        <f t="shared" si="10"/>
        <v>SAMSUN BÜYÜKŞEHİR / SAMSUN</v>
      </c>
      <c r="M234" s="124">
        <f t="shared" si="11"/>
        <v>0</v>
      </c>
      <c r="N234" s="120"/>
      <c r="O234" s="120"/>
      <c r="P234" s="120"/>
    </row>
    <row r="235" spans="1:16" ht="14.5" x14ac:dyDescent="0.25">
      <c r="A235" s="6">
        <v>234</v>
      </c>
      <c r="B235" s="6" t="s">
        <v>34</v>
      </c>
      <c r="C235" s="6" t="s">
        <v>88</v>
      </c>
      <c r="D235" s="125" t="str">
        <f t="shared" si="9"/>
        <v>MERKEZ / SİİRT</v>
      </c>
      <c r="E235" s="125">
        <v>2743.8</v>
      </c>
      <c r="F235" s="125">
        <v>6164.2</v>
      </c>
      <c r="G235" s="125">
        <v>0</v>
      </c>
      <c r="H235" s="125">
        <v>0</v>
      </c>
      <c r="I235" s="122">
        <v>8908</v>
      </c>
      <c r="J235" s="122">
        <v>890.80000000000007</v>
      </c>
      <c r="K235" s="120">
        <f>VLOOKUP(D235,Excel6!A:H,8,0)</f>
        <v>890.80000000000007</v>
      </c>
      <c r="L235" s="120" t="str">
        <f t="shared" si="10"/>
        <v>MERKEZ / SİİRT</v>
      </c>
      <c r="M235" s="124">
        <f t="shared" si="11"/>
        <v>0</v>
      </c>
      <c r="N235" s="120"/>
      <c r="O235" s="120"/>
      <c r="P235" s="120"/>
    </row>
    <row r="236" spans="1:16" ht="14.5" x14ac:dyDescent="0.25">
      <c r="A236" s="6">
        <v>235</v>
      </c>
      <c r="B236" s="6" t="s">
        <v>1887</v>
      </c>
      <c r="C236" s="24" t="s">
        <v>88</v>
      </c>
      <c r="D236" s="125" t="str">
        <f t="shared" si="9"/>
        <v>KURTALAN / SİİRT</v>
      </c>
      <c r="E236" s="125">
        <v>207.6</v>
      </c>
      <c r="F236" s="125"/>
      <c r="G236" s="125">
        <v>0</v>
      </c>
      <c r="H236" s="125"/>
      <c r="I236" s="125">
        <v>207.6</v>
      </c>
      <c r="J236" s="125">
        <v>20.759999999999998</v>
      </c>
      <c r="K236" s="120">
        <f>VLOOKUP(D236,Excel6!A:H,8,0)</f>
        <v>20.759999999999998</v>
      </c>
      <c r="L236" s="120" t="str">
        <f t="shared" si="10"/>
        <v>KURTALAN / SİİRT</v>
      </c>
      <c r="M236" s="124">
        <f t="shared" si="11"/>
        <v>0</v>
      </c>
      <c r="N236" s="120"/>
      <c r="O236" s="120"/>
      <c r="P236" s="120"/>
    </row>
    <row r="237" spans="1:16" ht="14.5" x14ac:dyDescent="0.25">
      <c r="A237" s="6">
        <v>236</v>
      </c>
      <c r="B237" s="6" t="s">
        <v>34</v>
      </c>
      <c r="C237" s="6" t="s">
        <v>141</v>
      </c>
      <c r="D237" s="125" t="str">
        <f t="shared" si="9"/>
        <v>MERKEZ / SİNOP</v>
      </c>
      <c r="E237" s="125">
        <v>11693</v>
      </c>
      <c r="F237" s="125">
        <v>25453.5</v>
      </c>
      <c r="G237" s="125">
        <v>1040</v>
      </c>
      <c r="H237" s="125">
        <v>1814.7</v>
      </c>
      <c r="I237" s="122">
        <v>34291.800000000003</v>
      </c>
      <c r="J237" s="122">
        <v>3429.1800000000003</v>
      </c>
      <c r="K237" s="120">
        <f>VLOOKUP(D237,Excel6!A:H,8,0)</f>
        <v>3429.1800000000003</v>
      </c>
      <c r="L237" s="120" t="str">
        <f t="shared" si="10"/>
        <v>MERKEZ / SİNOP</v>
      </c>
      <c r="M237" s="124">
        <f t="shared" si="11"/>
        <v>0</v>
      </c>
      <c r="N237" s="120"/>
      <c r="O237" s="120"/>
      <c r="P237" s="120"/>
    </row>
    <row r="238" spans="1:16" ht="14.5" x14ac:dyDescent="0.25">
      <c r="A238" s="6">
        <v>237</v>
      </c>
      <c r="B238" s="6" t="s">
        <v>2239</v>
      </c>
      <c r="C238" s="6" t="s">
        <v>141</v>
      </c>
      <c r="D238" s="125" t="str">
        <f t="shared" si="9"/>
        <v>ERFELEK / SİNOP</v>
      </c>
      <c r="E238" s="125">
        <v>859.9</v>
      </c>
      <c r="F238" s="125">
        <v>1609.9</v>
      </c>
      <c r="G238" s="125">
        <v>699.3</v>
      </c>
      <c r="H238" s="125">
        <v>516.70000000000005</v>
      </c>
      <c r="I238" s="122">
        <v>1253.8</v>
      </c>
      <c r="J238" s="122">
        <v>125.38</v>
      </c>
      <c r="K238" s="120">
        <f>VLOOKUP(D238,Excel6!A:H,8,0)</f>
        <v>125.38</v>
      </c>
      <c r="L238" s="120" t="str">
        <f t="shared" si="10"/>
        <v>ERFELEK / SİNOP</v>
      </c>
      <c r="M238" s="124">
        <f t="shared" si="11"/>
        <v>0</v>
      </c>
      <c r="N238" s="120"/>
      <c r="O238" s="120"/>
      <c r="P238" s="120"/>
    </row>
    <row r="239" spans="1:16" ht="14.5" x14ac:dyDescent="0.25">
      <c r="A239" s="6">
        <v>238</v>
      </c>
      <c r="B239" s="24" t="s">
        <v>470</v>
      </c>
      <c r="C239" s="6" t="s">
        <v>141</v>
      </c>
      <c r="D239" s="125" t="str">
        <f t="shared" si="9"/>
        <v>BOYABAT / SİNOP</v>
      </c>
      <c r="E239" s="123">
        <v>118.7</v>
      </c>
      <c r="F239" s="123">
        <v>415.6</v>
      </c>
      <c r="G239" s="123">
        <v>39</v>
      </c>
      <c r="H239" s="123">
        <v>0</v>
      </c>
      <c r="I239" s="121">
        <v>495.3</v>
      </c>
      <c r="J239" s="121">
        <v>49.53</v>
      </c>
      <c r="K239" s="120">
        <f>VLOOKUP(D239,Excel6!A:H,8,0)</f>
        <v>49.53</v>
      </c>
      <c r="L239" s="120" t="str">
        <f t="shared" si="10"/>
        <v>BOYABAT / SİNOP</v>
      </c>
      <c r="M239" s="124">
        <f t="shared" si="11"/>
        <v>0</v>
      </c>
      <c r="N239" s="120"/>
      <c r="O239" s="120"/>
      <c r="P239" s="120"/>
    </row>
    <row r="240" spans="1:16" ht="14.5" x14ac:dyDescent="0.25">
      <c r="A240" s="6">
        <v>239</v>
      </c>
      <c r="B240" s="6" t="s">
        <v>2244</v>
      </c>
      <c r="C240" s="6" t="s">
        <v>141</v>
      </c>
      <c r="D240" s="125" t="str">
        <f t="shared" si="9"/>
        <v>GERZE / SİNOP</v>
      </c>
      <c r="E240" s="125">
        <v>236.7</v>
      </c>
      <c r="F240" s="125">
        <v>58.300000000000004</v>
      </c>
      <c r="G240" s="125">
        <v>0.8</v>
      </c>
      <c r="H240" s="125">
        <v>9.6</v>
      </c>
      <c r="I240" s="122">
        <v>284.60000000000002</v>
      </c>
      <c r="J240" s="122">
        <v>28.46</v>
      </c>
      <c r="K240" s="120">
        <f>VLOOKUP(D240,Excel6!A:H,8,0)</f>
        <v>28.46</v>
      </c>
      <c r="L240" s="120" t="str">
        <f t="shared" si="10"/>
        <v>GERZE / SİNOP</v>
      </c>
      <c r="M240" s="124">
        <f t="shared" si="11"/>
        <v>0</v>
      </c>
      <c r="N240" s="120"/>
      <c r="O240" s="120"/>
      <c r="P240" s="120"/>
    </row>
    <row r="241" spans="1:16" ht="14.5" x14ac:dyDescent="0.25">
      <c r="A241" s="6">
        <v>240</v>
      </c>
      <c r="B241" s="6" t="s">
        <v>2002</v>
      </c>
      <c r="C241" s="24" t="s">
        <v>135</v>
      </c>
      <c r="D241" s="125" t="str">
        <f t="shared" si="9"/>
        <v>SUŞEHRİ / SİVAS</v>
      </c>
      <c r="E241" s="125">
        <v>55824</v>
      </c>
      <c r="F241" s="123">
        <v>53326.400000000001</v>
      </c>
      <c r="G241" s="123">
        <v>0</v>
      </c>
      <c r="H241" s="123">
        <v>0</v>
      </c>
      <c r="I241" s="123">
        <v>109150.39999999999</v>
      </c>
      <c r="J241" s="123">
        <v>10915.04</v>
      </c>
      <c r="K241" s="120">
        <f>VLOOKUP(D241,Excel6!A:H,8,0)</f>
        <v>10915.04</v>
      </c>
      <c r="L241" s="120" t="str">
        <f t="shared" si="10"/>
        <v>SUŞEHRİ / SİVAS</v>
      </c>
      <c r="M241" s="124">
        <f t="shared" si="11"/>
        <v>0</v>
      </c>
      <c r="N241" s="120"/>
      <c r="O241" s="120"/>
      <c r="P241" s="120"/>
    </row>
    <row r="242" spans="1:16" ht="14.5" x14ac:dyDescent="0.25">
      <c r="A242" s="6">
        <v>241</v>
      </c>
      <c r="B242" s="6" t="s">
        <v>34</v>
      </c>
      <c r="C242" s="6" t="s">
        <v>135</v>
      </c>
      <c r="D242" s="125" t="str">
        <f t="shared" si="9"/>
        <v>MERKEZ / SİVAS</v>
      </c>
      <c r="E242" s="125">
        <v>8080.5</v>
      </c>
      <c r="F242" s="125">
        <v>13098</v>
      </c>
      <c r="G242" s="125">
        <v>1457.1000000000001</v>
      </c>
      <c r="H242" s="125">
        <v>6857.8</v>
      </c>
      <c r="I242" s="122">
        <v>12863.6</v>
      </c>
      <c r="J242" s="122">
        <v>1286.3499999999999</v>
      </c>
      <c r="K242" s="120">
        <f>VLOOKUP(D242,Excel6!A:H,8,0)</f>
        <v>1286.3499999999999</v>
      </c>
      <c r="L242" s="120" t="str">
        <f t="shared" si="10"/>
        <v>MERKEZ / SİVAS</v>
      </c>
      <c r="M242" s="124">
        <f t="shared" si="11"/>
        <v>0</v>
      </c>
      <c r="N242" s="120"/>
      <c r="O242" s="120"/>
      <c r="P242" s="120"/>
    </row>
    <row r="243" spans="1:16" ht="14.5" x14ac:dyDescent="0.25">
      <c r="A243" s="6">
        <v>242</v>
      </c>
      <c r="B243" s="6" t="s">
        <v>2213</v>
      </c>
      <c r="C243" s="6" t="s">
        <v>135</v>
      </c>
      <c r="D243" s="125" t="str">
        <f t="shared" si="9"/>
        <v>ŞARKIŞLA / SİVAS</v>
      </c>
      <c r="E243" s="125">
        <v>2041.1</v>
      </c>
      <c r="F243" s="125">
        <v>1849.6</v>
      </c>
      <c r="G243" s="125">
        <v>0</v>
      </c>
      <c r="H243" s="125">
        <v>0</v>
      </c>
      <c r="I243" s="122">
        <v>3890.7</v>
      </c>
      <c r="J243" s="122">
        <v>389.06999999999994</v>
      </c>
      <c r="K243" s="120">
        <f>VLOOKUP(D243,Excel6!A:H,8,0)</f>
        <v>389.06999999999994</v>
      </c>
      <c r="L243" s="120" t="str">
        <f t="shared" si="10"/>
        <v>ŞARKIŞLA / SİVAS</v>
      </c>
      <c r="M243" s="124">
        <f t="shared" si="11"/>
        <v>0</v>
      </c>
      <c r="N243" s="120"/>
      <c r="O243" s="120"/>
      <c r="P243" s="120"/>
    </row>
    <row r="244" spans="1:16" ht="14.5" x14ac:dyDescent="0.25">
      <c r="A244" s="6">
        <v>243</v>
      </c>
      <c r="B244" s="6" t="s">
        <v>683</v>
      </c>
      <c r="C244" s="6" t="s">
        <v>135</v>
      </c>
      <c r="D244" s="125" t="str">
        <f t="shared" si="9"/>
        <v>KANGAL / SİVAS</v>
      </c>
      <c r="E244" s="125">
        <v>249.2</v>
      </c>
      <c r="F244" s="125">
        <v>454.8</v>
      </c>
      <c r="G244" s="125">
        <v>0</v>
      </c>
      <c r="H244" s="125">
        <v>0</v>
      </c>
      <c r="I244" s="122">
        <v>704</v>
      </c>
      <c r="J244" s="122">
        <v>70.400000000000006</v>
      </c>
      <c r="K244" s="120">
        <f>VLOOKUP(D244,Excel6!A:H,8,0)</f>
        <v>70.400000000000006</v>
      </c>
      <c r="L244" s="120" t="str">
        <f t="shared" si="10"/>
        <v>KANGAL / SİVAS</v>
      </c>
      <c r="M244" s="124">
        <f t="shared" si="11"/>
        <v>0</v>
      </c>
      <c r="N244" s="120"/>
      <c r="O244" s="120"/>
      <c r="P244" s="120"/>
    </row>
    <row r="245" spans="1:16" ht="14.5" x14ac:dyDescent="0.25">
      <c r="A245" s="6">
        <v>244</v>
      </c>
      <c r="B245" s="6" t="s">
        <v>2318</v>
      </c>
      <c r="C245" s="6" t="s">
        <v>135</v>
      </c>
      <c r="D245" s="125" t="str">
        <f t="shared" si="9"/>
        <v>GEMEREK / SİVAS</v>
      </c>
      <c r="E245" s="125">
        <v>45</v>
      </c>
      <c r="F245" s="125">
        <v>402.8</v>
      </c>
      <c r="G245" s="125">
        <v>0</v>
      </c>
      <c r="H245" s="125">
        <v>0</v>
      </c>
      <c r="I245" s="122">
        <v>447.8</v>
      </c>
      <c r="J245" s="122">
        <v>44.78</v>
      </c>
      <c r="K245" s="120">
        <f>VLOOKUP(D245,Excel6!A:H,8,0)</f>
        <v>44.78</v>
      </c>
      <c r="L245" s="120" t="str">
        <f t="shared" si="10"/>
        <v>GEMEREK / SİVAS</v>
      </c>
      <c r="M245" s="124">
        <f t="shared" si="11"/>
        <v>0</v>
      </c>
      <c r="N245" s="120"/>
      <c r="O245" s="120"/>
      <c r="P245" s="120"/>
    </row>
    <row r="246" spans="1:16" ht="14.5" x14ac:dyDescent="0.25">
      <c r="A246" s="6">
        <v>245</v>
      </c>
      <c r="B246" s="6" t="s">
        <v>2396</v>
      </c>
      <c r="C246" s="6" t="s">
        <v>135</v>
      </c>
      <c r="D246" s="125" t="str">
        <f t="shared" si="9"/>
        <v>YILDIZELİ / SİVAS</v>
      </c>
      <c r="E246" s="125">
        <v>45</v>
      </c>
      <c r="F246" s="125">
        <v>402.8</v>
      </c>
      <c r="G246" s="125">
        <v>0</v>
      </c>
      <c r="H246" s="125">
        <v>0</v>
      </c>
      <c r="I246" s="122">
        <v>447.8</v>
      </c>
      <c r="J246" s="122">
        <v>44.78</v>
      </c>
      <c r="K246" s="120">
        <f>VLOOKUP(D246,Excel6!A:H,8,0)</f>
        <v>44.78</v>
      </c>
      <c r="L246" s="120" t="str">
        <f t="shared" si="10"/>
        <v>YILDIZELİ / SİVAS</v>
      </c>
      <c r="M246" s="124">
        <f t="shared" si="11"/>
        <v>0</v>
      </c>
      <c r="N246" s="120"/>
      <c r="O246" s="120"/>
      <c r="P246" s="120"/>
    </row>
    <row r="247" spans="1:16" ht="14.5" x14ac:dyDescent="0.25">
      <c r="A247" s="6">
        <v>246</v>
      </c>
      <c r="B247" s="6" t="s">
        <v>2783</v>
      </c>
      <c r="C247" s="6" t="s">
        <v>135</v>
      </c>
      <c r="D247" s="125" t="str">
        <f t="shared" si="9"/>
        <v>DOĞANŞAR / SİVAS</v>
      </c>
      <c r="E247" s="125">
        <v>9.4</v>
      </c>
      <c r="F247" s="125">
        <v>203.3</v>
      </c>
      <c r="G247" s="125">
        <v>0</v>
      </c>
      <c r="H247" s="125">
        <v>0</v>
      </c>
      <c r="I247" s="122">
        <v>212.70000000000002</v>
      </c>
      <c r="J247" s="122">
        <v>21.27</v>
      </c>
      <c r="K247" s="120">
        <f>VLOOKUP(D247,Excel6!A:H,8,0)</f>
        <v>21.27</v>
      </c>
      <c r="L247" s="120" t="str">
        <f t="shared" si="10"/>
        <v>DOĞANŞAR / SİVAS</v>
      </c>
      <c r="M247" s="124">
        <f t="shared" si="11"/>
        <v>0</v>
      </c>
      <c r="N247" s="120"/>
      <c r="O247" s="120"/>
      <c r="P247" s="120"/>
    </row>
    <row r="248" spans="1:16" ht="14.5" x14ac:dyDescent="0.25">
      <c r="A248" s="6">
        <v>247</v>
      </c>
      <c r="B248" s="6" t="s">
        <v>2597</v>
      </c>
      <c r="C248" s="6" t="s">
        <v>135</v>
      </c>
      <c r="D248" s="125" t="str">
        <f t="shared" si="9"/>
        <v>HAFİK / SİVAS</v>
      </c>
      <c r="E248" s="125">
        <v>46.2</v>
      </c>
      <c r="F248" s="125">
        <v>103.3</v>
      </c>
      <c r="G248" s="125">
        <v>0</v>
      </c>
      <c r="H248" s="125">
        <v>0</v>
      </c>
      <c r="I248" s="122">
        <v>149.5</v>
      </c>
      <c r="J248" s="122">
        <v>14.95</v>
      </c>
      <c r="K248" s="120">
        <f>VLOOKUP(D248,Excel6!A:H,8,0)</f>
        <v>14.95</v>
      </c>
      <c r="L248" s="120" t="str">
        <f t="shared" si="10"/>
        <v>HAFİK / SİVAS</v>
      </c>
      <c r="M248" s="124">
        <f t="shared" si="11"/>
        <v>0</v>
      </c>
      <c r="N248" s="120"/>
      <c r="O248" s="120"/>
      <c r="P248" s="120"/>
    </row>
    <row r="249" spans="1:16" ht="14.5" x14ac:dyDescent="0.25">
      <c r="A249" s="6">
        <v>248</v>
      </c>
      <c r="B249" s="6" t="s">
        <v>2024</v>
      </c>
      <c r="C249" s="6" t="s">
        <v>136</v>
      </c>
      <c r="D249" s="125" t="str">
        <f t="shared" si="9"/>
        <v>ŞANLIURFA BÜYÜKŞEHİR / ŞANLIURFA</v>
      </c>
      <c r="E249" s="125">
        <v>91708.69</v>
      </c>
      <c r="F249" s="125">
        <v>86019.280000000028</v>
      </c>
      <c r="G249" s="125">
        <v>1476.6000000000001</v>
      </c>
      <c r="H249" s="125">
        <v>4266.3999999999996</v>
      </c>
      <c r="I249" s="122">
        <v>171984.97000000003</v>
      </c>
      <c r="J249" s="122">
        <v>17198.5</v>
      </c>
      <c r="K249" s="120">
        <f>VLOOKUP(D249,Excel6!A:H,8,0)</f>
        <v>17198.5</v>
      </c>
      <c r="L249" s="120" t="str">
        <f t="shared" si="10"/>
        <v>ŞANLIURFA BÜYÜKŞEHİR / ŞANLIURFA</v>
      </c>
      <c r="M249" s="124">
        <f t="shared" si="11"/>
        <v>0</v>
      </c>
      <c r="N249" s="120"/>
      <c r="O249" s="120"/>
      <c r="P249" s="120"/>
    </row>
    <row r="250" spans="1:16" ht="14.5" x14ac:dyDescent="0.25">
      <c r="A250" s="6">
        <v>249</v>
      </c>
      <c r="B250" s="6" t="s">
        <v>338</v>
      </c>
      <c r="C250" s="6" t="s">
        <v>222</v>
      </c>
      <c r="D250" s="125" t="str">
        <f t="shared" si="9"/>
        <v>SİLOPİ / ŞIRNAK</v>
      </c>
      <c r="E250" s="125">
        <v>1566.6</v>
      </c>
      <c r="F250" s="125">
        <v>1860</v>
      </c>
      <c r="G250" s="125">
        <v>0</v>
      </c>
      <c r="H250" s="125">
        <v>0</v>
      </c>
      <c r="I250" s="122">
        <v>3426.6</v>
      </c>
      <c r="J250" s="122">
        <v>342.65999999999997</v>
      </c>
      <c r="K250" s="120">
        <f>VLOOKUP(D250,Excel6!A:H,8,0)</f>
        <v>342.65999999999997</v>
      </c>
      <c r="L250" s="120" t="str">
        <f t="shared" si="10"/>
        <v>SİLOPİ / ŞIRNAK</v>
      </c>
      <c r="M250" s="124">
        <f t="shared" si="11"/>
        <v>0</v>
      </c>
      <c r="N250" s="120"/>
      <c r="O250" s="120"/>
      <c r="P250" s="120"/>
    </row>
    <row r="251" spans="1:16" ht="14.5" x14ac:dyDescent="0.25">
      <c r="A251" s="6">
        <v>250</v>
      </c>
      <c r="B251" s="6" t="s">
        <v>2797</v>
      </c>
      <c r="C251" s="6" t="s">
        <v>137</v>
      </c>
      <c r="D251" s="125" t="str">
        <f t="shared" si="9"/>
        <v>TEKİRDAĞ BÜYÜKŞEHİR / TEKİRDAĞ</v>
      </c>
      <c r="E251" s="125">
        <v>216020.67000000004</v>
      </c>
      <c r="F251" s="125">
        <v>207358.85000000003</v>
      </c>
      <c r="G251" s="125">
        <v>7856.3999999999987</v>
      </c>
      <c r="H251" s="125">
        <v>5267.24</v>
      </c>
      <c r="I251" s="122">
        <v>410255.88</v>
      </c>
      <c r="J251" s="122">
        <v>41025.579999999994</v>
      </c>
      <c r="K251" s="120">
        <f>VLOOKUP(D251,Excel6!A:H,8,0)</f>
        <v>41025.579999999994</v>
      </c>
      <c r="L251" s="120" t="str">
        <f t="shared" si="10"/>
        <v>TEKİRDAĞ BÜYÜKŞEHİR / TEKİRDAĞ</v>
      </c>
      <c r="M251" s="124">
        <f t="shared" si="11"/>
        <v>0</v>
      </c>
      <c r="N251" s="120"/>
      <c r="O251" s="120"/>
      <c r="P251" s="120"/>
    </row>
    <row r="252" spans="1:16" ht="14.5" x14ac:dyDescent="0.25">
      <c r="A252" s="6">
        <v>251</v>
      </c>
      <c r="B252" s="6" t="s">
        <v>229</v>
      </c>
      <c r="C252" s="6" t="s">
        <v>188</v>
      </c>
      <c r="D252" s="125" t="str">
        <f t="shared" si="9"/>
        <v>NİKSAR / TOKAT</v>
      </c>
      <c r="E252" s="125">
        <v>33217.99</v>
      </c>
      <c r="F252" s="125">
        <v>40681.869999999995</v>
      </c>
      <c r="G252" s="125">
        <v>1632.7</v>
      </c>
      <c r="H252" s="125">
        <v>0</v>
      </c>
      <c r="I252" s="122">
        <v>72267.16</v>
      </c>
      <c r="J252" s="122">
        <v>7226.7199999999993</v>
      </c>
      <c r="K252" s="120">
        <f>VLOOKUP(D252,Excel6!A:H,8,0)</f>
        <v>7226.7199999999993</v>
      </c>
      <c r="L252" s="120" t="str">
        <f t="shared" si="10"/>
        <v>NİKSAR / TOKAT</v>
      </c>
      <c r="M252" s="124">
        <f t="shared" si="11"/>
        <v>0</v>
      </c>
      <c r="N252" s="120"/>
      <c r="O252" s="120"/>
      <c r="P252" s="120"/>
    </row>
    <row r="253" spans="1:16" ht="14.5" x14ac:dyDescent="0.25">
      <c r="A253" s="6">
        <v>252</v>
      </c>
      <c r="B253" s="6" t="s">
        <v>34</v>
      </c>
      <c r="C253" s="6" t="s">
        <v>188</v>
      </c>
      <c r="D253" s="125" t="str">
        <f t="shared" si="9"/>
        <v>MERKEZ / TOKAT</v>
      </c>
      <c r="E253" s="125">
        <v>8676.1000000000022</v>
      </c>
      <c r="F253" s="125">
        <v>17436.400000000001</v>
      </c>
      <c r="G253" s="125">
        <v>22.6</v>
      </c>
      <c r="H253" s="125">
        <v>1014.2</v>
      </c>
      <c r="I253" s="122">
        <v>25075.700000000004</v>
      </c>
      <c r="J253" s="122">
        <v>2507.5700000000002</v>
      </c>
      <c r="K253" s="120">
        <f>VLOOKUP(D253,Excel6!A:H,8,0)</f>
        <v>2507.5700000000002</v>
      </c>
      <c r="L253" s="120" t="str">
        <f t="shared" si="10"/>
        <v>MERKEZ / TOKAT</v>
      </c>
      <c r="M253" s="124">
        <f t="shared" si="11"/>
        <v>0</v>
      </c>
      <c r="N253" s="120"/>
      <c r="O253" s="120"/>
      <c r="P253" s="120"/>
    </row>
    <row r="254" spans="1:16" ht="14.5" x14ac:dyDescent="0.25">
      <c r="A254" s="6">
        <v>253</v>
      </c>
      <c r="B254" s="6" t="s">
        <v>2160</v>
      </c>
      <c r="C254" s="6" t="s">
        <v>188</v>
      </c>
      <c r="D254" s="125" t="str">
        <f t="shared" si="9"/>
        <v>REŞADİYE / TOKAT</v>
      </c>
      <c r="E254" s="125">
        <v>5790.9</v>
      </c>
      <c r="F254" s="125">
        <v>5866.1</v>
      </c>
      <c r="G254" s="125">
        <v>191</v>
      </c>
      <c r="H254" s="125">
        <v>109.4</v>
      </c>
      <c r="I254" s="122">
        <v>11356.599999999999</v>
      </c>
      <c r="J254" s="122">
        <v>1135.6600000000001</v>
      </c>
      <c r="K254" s="120">
        <f>VLOOKUP(D254,Excel6!A:H,8,0)</f>
        <v>1135.6600000000001</v>
      </c>
      <c r="L254" s="120" t="str">
        <f t="shared" si="10"/>
        <v>REŞADİYE / TOKAT</v>
      </c>
      <c r="M254" s="124">
        <f t="shared" si="11"/>
        <v>0</v>
      </c>
      <c r="N254" s="120"/>
      <c r="O254" s="120"/>
      <c r="P254" s="120"/>
    </row>
    <row r="255" spans="1:16" ht="14.5" x14ac:dyDescent="0.25">
      <c r="A255" s="6">
        <v>254</v>
      </c>
      <c r="B255" s="6" t="s">
        <v>383</v>
      </c>
      <c r="C255" s="6" t="s">
        <v>188</v>
      </c>
      <c r="D255" s="125" t="str">
        <f t="shared" si="9"/>
        <v>TURHAL / TOKAT</v>
      </c>
      <c r="E255" s="125">
        <v>2501.6000000000004</v>
      </c>
      <c r="F255" s="125">
        <v>3640.5999999999995</v>
      </c>
      <c r="G255" s="125">
        <v>0</v>
      </c>
      <c r="H255" s="125">
        <v>0</v>
      </c>
      <c r="I255" s="122">
        <v>6142.2</v>
      </c>
      <c r="J255" s="122">
        <v>614.22</v>
      </c>
      <c r="K255" s="120">
        <f>VLOOKUP(D255,Excel6!A:H,8,0)</f>
        <v>614.22</v>
      </c>
      <c r="L255" s="120" t="str">
        <f t="shared" si="10"/>
        <v>TURHAL / TOKAT</v>
      </c>
      <c r="M255" s="124">
        <f t="shared" si="11"/>
        <v>0</v>
      </c>
      <c r="N255" s="120"/>
      <c r="O255" s="120"/>
      <c r="P255" s="120"/>
    </row>
    <row r="256" spans="1:16" ht="14.5" x14ac:dyDescent="0.25">
      <c r="A256" s="6">
        <v>255</v>
      </c>
      <c r="B256" s="24" t="s">
        <v>384</v>
      </c>
      <c r="C256" s="6" t="s">
        <v>188</v>
      </c>
      <c r="D256" s="125" t="str">
        <f t="shared" si="9"/>
        <v>ZİLE / TOKAT</v>
      </c>
      <c r="E256" s="125">
        <v>974.09999999999991</v>
      </c>
      <c r="F256" s="125">
        <v>5007.7</v>
      </c>
      <c r="G256" s="125">
        <v>4.4000000000000004</v>
      </c>
      <c r="H256" s="125">
        <v>0</v>
      </c>
      <c r="I256" s="122">
        <v>5977.4</v>
      </c>
      <c r="J256" s="122">
        <v>597.74</v>
      </c>
      <c r="K256" s="120">
        <f>VLOOKUP(D256,Excel6!A:H,8,0)</f>
        <v>597.74</v>
      </c>
      <c r="L256" s="120" t="str">
        <f t="shared" si="10"/>
        <v>ZİLE / TOKAT</v>
      </c>
      <c r="M256" s="124">
        <f t="shared" si="11"/>
        <v>0</v>
      </c>
      <c r="N256" s="120"/>
      <c r="O256" s="120"/>
      <c r="P256" s="120"/>
    </row>
    <row r="257" spans="1:16" ht="14.5" x14ac:dyDescent="0.25">
      <c r="A257" s="6">
        <v>256</v>
      </c>
      <c r="B257" s="6" t="s">
        <v>85</v>
      </c>
      <c r="C257" s="6" t="s">
        <v>188</v>
      </c>
      <c r="D257" s="125" t="str">
        <f t="shared" si="9"/>
        <v>ERBAA / TOKAT</v>
      </c>
      <c r="E257" s="125">
        <v>1327.8</v>
      </c>
      <c r="F257" s="125">
        <v>1846.1999999999998</v>
      </c>
      <c r="G257" s="125">
        <v>24.4</v>
      </c>
      <c r="H257" s="125">
        <v>123.7</v>
      </c>
      <c r="I257" s="122">
        <v>3025.8999999999996</v>
      </c>
      <c r="J257" s="122">
        <v>302.59000000000003</v>
      </c>
      <c r="K257" s="120">
        <f>VLOOKUP(D257,Excel6!A:H,8,0)</f>
        <v>302.59000000000003</v>
      </c>
      <c r="L257" s="120" t="str">
        <f t="shared" si="10"/>
        <v>ERBAA / TOKAT</v>
      </c>
      <c r="M257" s="124">
        <f t="shared" si="11"/>
        <v>0</v>
      </c>
      <c r="N257" s="120"/>
      <c r="O257" s="120"/>
      <c r="P257" s="120"/>
    </row>
    <row r="258" spans="1:16" ht="14.5" x14ac:dyDescent="0.25">
      <c r="A258" s="6">
        <v>257</v>
      </c>
      <c r="B258" s="6" t="s">
        <v>2599</v>
      </c>
      <c r="C258" s="6" t="s">
        <v>188</v>
      </c>
      <c r="D258" s="125" t="str">
        <f t="shared" ref="D258:D290" si="12">L258</f>
        <v>ARTOVA / TOKAT</v>
      </c>
      <c r="E258" s="125">
        <v>289.5</v>
      </c>
      <c r="F258" s="125">
        <v>200.3</v>
      </c>
      <c r="G258" s="125">
        <v>0</v>
      </c>
      <c r="H258" s="125">
        <v>0</v>
      </c>
      <c r="I258" s="122">
        <v>489.8</v>
      </c>
      <c r="J258" s="122">
        <v>48.980000000000004</v>
      </c>
      <c r="K258" s="120">
        <f>VLOOKUP(D258,Excel6!A:H,8,0)</f>
        <v>48.980000000000004</v>
      </c>
      <c r="L258" s="120" t="str">
        <f t="shared" ref="L258:L290" si="13">CONCATENATE(B258&amp; " / " &amp;C258)</f>
        <v>ARTOVA / TOKAT</v>
      </c>
      <c r="M258" s="124">
        <f t="shared" ref="M258:M290" si="14">J258-K258</f>
        <v>0</v>
      </c>
      <c r="N258" s="120"/>
      <c r="O258" s="120"/>
      <c r="P258" s="120"/>
    </row>
    <row r="259" spans="1:16" ht="14.5" x14ac:dyDescent="0.25">
      <c r="A259" s="6">
        <v>258</v>
      </c>
      <c r="B259" s="6" t="s">
        <v>336</v>
      </c>
      <c r="C259" s="6" t="s">
        <v>188</v>
      </c>
      <c r="D259" s="125" t="str">
        <f t="shared" si="12"/>
        <v>PAZAR / TOKAT</v>
      </c>
      <c r="E259" s="125">
        <v>5.4</v>
      </c>
      <c r="F259" s="125">
        <v>103.3</v>
      </c>
      <c r="G259" s="125">
        <v>0</v>
      </c>
      <c r="H259" s="125">
        <v>0</v>
      </c>
      <c r="I259" s="122">
        <v>108.7</v>
      </c>
      <c r="J259" s="122">
        <v>10.870000000000001</v>
      </c>
      <c r="K259" s="120">
        <f>VLOOKUP(D259,Excel6!A:H,8,0)</f>
        <v>10.870000000000001</v>
      </c>
      <c r="L259" s="120" t="str">
        <f t="shared" si="13"/>
        <v>PAZAR / TOKAT</v>
      </c>
      <c r="M259" s="124">
        <f t="shared" si="14"/>
        <v>0</v>
      </c>
      <c r="N259" s="120"/>
      <c r="O259" s="120"/>
      <c r="P259" s="120"/>
    </row>
    <row r="260" spans="1:16" ht="14.5" x14ac:dyDescent="0.25">
      <c r="A260" s="6">
        <v>259</v>
      </c>
      <c r="B260" s="6" t="s">
        <v>2023</v>
      </c>
      <c r="C260" s="6" t="s">
        <v>147</v>
      </c>
      <c r="D260" s="125" t="str">
        <f t="shared" si="12"/>
        <v>TRABZON BÜYÜKŞEHİR / TRABZON</v>
      </c>
      <c r="E260" s="125">
        <v>42562.09</v>
      </c>
      <c r="F260" s="125">
        <v>81054.729999999981</v>
      </c>
      <c r="G260" s="125">
        <v>2875.9</v>
      </c>
      <c r="H260" s="125">
        <v>5070.1000000000004</v>
      </c>
      <c r="I260" s="122">
        <v>115670.81999999998</v>
      </c>
      <c r="J260" s="122">
        <v>11567.08</v>
      </c>
      <c r="K260" s="120">
        <f>VLOOKUP(D260,Excel6!A:H,8,0)</f>
        <v>11567.08</v>
      </c>
      <c r="L260" s="120" t="str">
        <f t="shared" si="13"/>
        <v>TRABZON BÜYÜKŞEHİR / TRABZON</v>
      </c>
      <c r="M260" s="124">
        <f t="shared" si="14"/>
        <v>0</v>
      </c>
      <c r="N260" s="120"/>
      <c r="O260" s="120"/>
      <c r="P260" s="120"/>
    </row>
    <row r="261" spans="1:16" ht="14.5" x14ac:dyDescent="0.25">
      <c r="A261" s="6">
        <v>260</v>
      </c>
      <c r="B261" s="24" t="s">
        <v>34</v>
      </c>
      <c r="C261" s="24" t="s">
        <v>311</v>
      </c>
      <c r="D261" s="125" t="str">
        <f t="shared" si="12"/>
        <v>MERKEZ / TUNCELİ</v>
      </c>
      <c r="E261" s="125">
        <v>2763.7</v>
      </c>
      <c r="F261" s="125">
        <v>1676.6</v>
      </c>
      <c r="G261" s="125">
        <v>0</v>
      </c>
      <c r="H261" s="125">
        <v>0</v>
      </c>
      <c r="I261" s="125">
        <v>4440.2999999999993</v>
      </c>
      <c r="J261" s="125">
        <v>444.03</v>
      </c>
      <c r="K261" s="120">
        <f>VLOOKUP(D261,Excel6!A:H,8,0)</f>
        <v>444.03</v>
      </c>
      <c r="L261" s="120" t="str">
        <f t="shared" si="13"/>
        <v>MERKEZ / TUNCELİ</v>
      </c>
      <c r="M261" s="124">
        <f t="shared" si="14"/>
        <v>0</v>
      </c>
      <c r="N261" s="120"/>
      <c r="O261" s="120"/>
      <c r="P261" s="120"/>
    </row>
    <row r="262" spans="1:16" ht="14.5" x14ac:dyDescent="0.25">
      <c r="A262" s="6">
        <v>261</v>
      </c>
      <c r="B262" s="6" t="s">
        <v>2310</v>
      </c>
      <c r="C262" s="6" t="s">
        <v>311</v>
      </c>
      <c r="D262" s="125" t="str">
        <f t="shared" si="12"/>
        <v>ÇEMİŞGEZEK / TUNCELİ</v>
      </c>
      <c r="E262" s="125">
        <v>61.2</v>
      </c>
      <c r="F262" s="125">
        <v>712.7</v>
      </c>
      <c r="G262" s="125">
        <v>0</v>
      </c>
      <c r="H262" s="125">
        <v>0</v>
      </c>
      <c r="I262" s="122">
        <v>773.90000000000009</v>
      </c>
      <c r="J262" s="122">
        <v>77.39</v>
      </c>
      <c r="K262" s="120">
        <f>VLOOKUP(D262,Excel6!A:H,8,0)</f>
        <v>77.39</v>
      </c>
      <c r="L262" s="120" t="str">
        <f t="shared" si="13"/>
        <v>ÇEMİŞGEZEK / TUNCELİ</v>
      </c>
      <c r="M262" s="124">
        <f t="shared" si="14"/>
        <v>0</v>
      </c>
      <c r="N262" s="120"/>
      <c r="O262" s="120"/>
      <c r="P262" s="120"/>
    </row>
    <row r="263" spans="1:16" ht="14.5" x14ac:dyDescent="0.25">
      <c r="A263" s="6">
        <v>262</v>
      </c>
      <c r="B263" s="6" t="s">
        <v>34</v>
      </c>
      <c r="C263" s="6" t="s">
        <v>13</v>
      </c>
      <c r="D263" s="125" t="str">
        <f t="shared" si="12"/>
        <v>MERKEZ / UŞAK</v>
      </c>
      <c r="E263" s="125">
        <v>20625.199999999997</v>
      </c>
      <c r="F263" s="125">
        <v>20430.7</v>
      </c>
      <c r="G263" s="125">
        <v>633.29999999999995</v>
      </c>
      <c r="H263" s="125">
        <v>364.8</v>
      </c>
      <c r="I263" s="122">
        <v>40057.800000000003</v>
      </c>
      <c r="J263" s="122">
        <v>4005.78</v>
      </c>
      <c r="K263" s="120">
        <f>VLOOKUP(D263,Excel6!A:H,8,0)</f>
        <v>4005.78</v>
      </c>
      <c r="L263" s="120" t="str">
        <f t="shared" si="13"/>
        <v>MERKEZ / UŞAK</v>
      </c>
      <c r="M263" s="124">
        <f t="shared" si="14"/>
        <v>0</v>
      </c>
      <c r="N263" s="120"/>
      <c r="O263" s="120"/>
      <c r="P263" s="120"/>
    </row>
    <row r="264" spans="1:16" ht="14.5" x14ac:dyDescent="0.25">
      <c r="A264" s="6">
        <v>263</v>
      </c>
      <c r="B264" s="6" t="s">
        <v>2241</v>
      </c>
      <c r="C264" s="6" t="s">
        <v>13</v>
      </c>
      <c r="D264" s="125" t="str">
        <f t="shared" si="12"/>
        <v>EŞME / UŞAK</v>
      </c>
      <c r="E264" s="125">
        <v>3390.4</v>
      </c>
      <c r="F264" s="125">
        <v>3624.1000000000004</v>
      </c>
      <c r="G264" s="125">
        <v>0</v>
      </c>
      <c r="H264" s="125">
        <v>0</v>
      </c>
      <c r="I264" s="122">
        <v>7014.5</v>
      </c>
      <c r="J264" s="122">
        <v>701.44999999999993</v>
      </c>
      <c r="K264" s="120">
        <f>VLOOKUP(D264,Excel6!A:H,8,0)</f>
        <v>701.44999999999993</v>
      </c>
      <c r="L264" s="120" t="str">
        <f t="shared" si="13"/>
        <v>EŞME / UŞAK</v>
      </c>
      <c r="M264" s="124">
        <f t="shared" si="14"/>
        <v>0</v>
      </c>
    </row>
    <row r="265" spans="1:16" ht="14.5" x14ac:dyDescent="0.25">
      <c r="A265" s="6">
        <v>264</v>
      </c>
      <c r="B265" s="6" t="s">
        <v>2003</v>
      </c>
      <c r="C265" s="24" t="s">
        <v>13</v>
      </c>
      <c r="D265" s="125" t="str">
        <f t="shared" si="12"/>
        <v>SİVASLI / UŞAK</v>
      </c>
      <c r="E265" s="125">
        <v>779.9</v>
      </c>
      <c r="F265" s="125">
        <v>1199.5999999999999</v>
      </c>
      <c r="G265" s="125">
        <v>0</v>
      </c>
      <c r="H265" s="125">
        <v>0</v>
      </c>
      <c r="I265" s="125">
        <v>1979.5</v>
      </c>
      <c r="J265" s="125">
        <v>197.95000000000002</v>
      </c>
      <c r="K265" s="120">
        <f>VLOOKUP(D265,Excel6!A:H,8,0)</f>
        <v>197.95000000000002</v>
      </c>
      <c r="L265" s="120" t="str">
        <f t="shared" si="13"/>
        <v>SİVASLI / UŞAK</v>
      </c>
      <c r="M265" s="124">
        <f t="shared" si="14"/>
        <v>0</v>
      </c>
      <c r="N265" s="120"/>
      <c r="O265" s="120"/>
      <c r="P265" s="120"/>
    </row>
    <row r="266" spans="1:16" ht="14.5" x14ac:dyDescent="0.25">
      <c r="A266" s="6">
        <v>265</v>
      </c>
      <c r="B266" s="6" t="s">
        <v>345</v>
      </c>
      <c r="C266" s="6" t="s">
        <v>13</v>
      </c>
      <c r="D266" s="125" t="str">
        <f t="shared" si="12"/>
        <v>BANAZ / UŞAK</v>
      </c>
      <c r="E266" s="125">
        <v>891.2</v>
      </c>
      <c r="F266" s="125">
        <v>989.9</v>
      </c>
      <c r="G266" s="125">
        <v>45</v>
      </c>
      <c r="H266" s="125">
        <v>402.8</v>
      </c>
      <c r="I266" s="122">
        <v>1433.3000000000002</v>
      </c>
      <c r="J266" s="122">
        <v>143.32999999999998</v>
      </c>
      <c r="K266" s="120">
        <f>VLOOKUP(D266,Excel6!A:H,8,0)</f>
        <v>143.32999999999998</v>
      </c>
      <c r="L266" s="120" t="str">
        <f t="shared" si="13"/>
        <v>BANAZ / UŞAK</v>
      </c>
      <c r="M266" s="124">
        <f t="shared" si="14"/>
        <v>0</v>
      </c>
      <c r="N266" s="120"/>
      <c r="O266" s="120"/>
      <c r="P266" s="120"/>
    </row>
    <row r="267" spans="1:16" ht="14.5" x14ac:dyDescent="0.25">
      <c r="A267" s="6">
        <v>266</v>
      </c>
      <c r="B267" s="6" t="s">
        <v>2418</v>
      </c>
      <c r="C267" s="6" t="s">
        <v>13</v>
      </c>
      <c r="D267" s="125" t="str">
        <f t="shared" si="12"/>
        <v>ULUBEY / UŞAK</v>
      </c>
      <c r="E267" s="125">
        <v>404.9</v>
      </c>
      <c r="F267" s="125">
        <v>300.5</v>
      </c>
      <c r="G267" s="125">
        <v>0</v>
      </c>
      <c r="H267" s="125">
        <v>0</v>
      </c>
      <c r="I267" s="122">
        <v>705.4</v>
      </c>
      <c r="J267" s="122">
        <v>70.540000000000006</v>
      </c>
      <c r="K267" s="120">
        <f>VLOOKUP(D267,Excel6!A:H,8,0)</f>
        <v>70.540000000000006</v>
      </c>
      <c r="L267" s="120" t="str">
        <f t="shared" si="13"/>
        <v>ULUBEY / UŞAK</v>
      </c>
      <c r="M267" s="124">
        <f t="shared" si="14"/>
        <v>0</v>
      </c>
      <c r="N267" s="120"/>
      <c r="O267" s="120"/>
      <c r="P267" s="120"/>
    </row>
    <row r="268" spans="1:16" ht="14.5" x14ac:dyDescent="0.25">
      <c r="A268" s="6">
        <v>267</v>
      </c>
      <c r="B268" s="6" t="s">
        <v>2214</v>
      </c>
      <c r="C268" s="6" t="s">
        <v>13</v>
      </c>
      <c r="D268" s="125" t="str">
        <f t="shared" si="12"/>
        <v>KARAHALLI / UŞAK</v>
      </c>
      <c r="E268" s="125">
        <v>112.2</v>
      </c>
      <c r="F268" s="125">
        <v>81</v>
      </c>
      <c r="G268" s="125">
        <v>0</v>
      </c>
      <c r="H268" s="125">
        <v>0</v>
      </c>
      <c r="I268" s="122">
        <v>193.2</v>
      </c>
      <c r="J268" s="122">
        <v>19.32</v>
      </c>
      <c r="K268" s="120">
        <f>VLOOKUP(D268,Excel6!A:H,8,0)</f>
        <v>19.32</v>
      </c>
      <c r="L268" s="120" t="str">
        <f t="shared" si="13"/>
        <v>KARAHALLI / UŞAK</v>
      </c>
      <c r="M268" s="124">
        <f t="shared" si="14"/>
        <v>0</v>
      </c>
      <c r="N268" s="120"/>
      <c r="O268" s="120"/>
      <c r="P268" s="120"/>
    </row>
    <row r="269" spans="1:16" ht="14.5" x14ac:dyDescent="0.25">
      <c r="A269" s="6">
        <v>268</v>
      </c>
      <c r="B269" s="6" t="s">
        <v>2947</v>
      </c>
      <c r="C269" s="6" t="s">
        <v>181</v>
      </c>
      <c r="D269" s="125" t="str">
        <f t="shared" si="12"/>
        <v>VAN BÜYÜKŞEHİR / VAN</v>
      </c>
      <c r="E269" s="125">
        <v>25951</v>
      </c>
      <c r="F269" s="125">
        <v>15943.73</v>
      </c>
      <c r="G269" s="125">
        <v>873.2</v>
      </c>
      <c r="H269" s="125">
        <v>1149.8000000000002</v>
      </c>
      <c r="I269" s="122">
        <v>39871.729999999996</v>
      </c>
      <c r="J269" s="122">
        <v>3987.1699999999996</v>
      </c>
      <c r="K269" s="120">
        <f>VLOOKUP(D269,Excel6!A:H,8,0)</f>
        <v>3987.1699999999996</v>
      </c>
      <c r="L269" s="120" t="str">
        <f t="shared" si="13"/>
        <v>VAN BÜYÜKŞEHİR / VAN</v>
      </c>
      <c r="M269" s="124">
        <f t="shared" si="14"/>
        <v>0</v>
      </c>
      <c r="N269" s="120"/>
      <c r="O269" s="120"/>
      <c r="P269" s="120"/>
    </row>
    <row r="270" spans="1:16" ht="14.5" x14ac:dyDescent="0.25">
      <c r="A270" s="6">
        <v>269</v>
      </c>
      <c r="B270" s="6" t="s">
        <v>34</v>
      </c>
      <c r="C270" s="6" t="s">
        <v>148</v>
      </c>
      <c r="D270" s="125" t="str">
        <f t="shared" si="12"/>
        <v>MERKEZ / YALOVA</v>
      </c>
      <c r="E270" s="125">
        <v>43814.87</v>
      </c>
      <c r="F270" s="125">
        <v>32001.8</v>
      </c>
      <c r="G270" s="125">
        <v>2728.7</v>
      </c>
      <c r="H270" s="125">
        <v>1998.6</v>
      </c>
      <c r="I270" s="122">
        <v>71089.37</v>
      </c>
      <c r="J270" s="122">
        <v>7108.93</v>
      </c>
      <c r="K270" s="120">
        <f>VLOOKUP(D270,Excel6!A:H,8,0)</f>
        <v>7108.93</v>
      </c>
      <c r="L270" s="120" t="str">
        <f t="shared" si="13"/>
        <v>MERKEZ / YALOVA</v>
      </c>
      <c r="M270" s="124">
        <f t="shared" si="14"/>
        <v>0</v>
      </c>
      <c r="N270" s="120"/>
      <c r="O270" s="120"/>
      <c r="P270" s="120"/>
    </row>
    <row r="271" spans="1:16" ht="14.5" x14ac:dyDescent="0.25">
      <c r="A271" s="6">
        <v>270</v>
      </c>
      <c r="B271" s="6" t="s">
        <v>207</v>
      </c>
      <c r="C271" s="6" t="s">
        <v>148</v>
      </c>
      <c r="D271" s="125" t="str">
        <f t="shared" si="12"/>
        <v>ÇİFTLİKKÖY / YALOVA</v>
      </c>
      <c r="E271" s="125">
        <v>29695.100000000002</v>
      </c>
      <c r="F271" s="125">
        <v>11780.5</v>
      </c>
      <c r="G271" s="125">
        <v>2833.7</v>
      </c>
      <c r="H271" s="125">
        <v>947</v>
      </c>
      <c r="I271" s="122">
        <v>37694.9</v>
      </c>
      <c r="J271" s="122">
        <v>3769.49</v>
      </c>
      <c r="K271" s="120">
        <f>VLOOKUP(D271,Excel6!A:H,8,0)</f>
        <v>3769.49</v>
      </c>
      <c r="L271" s="120" t="str">
        <f t="shared" si="13"/>
        <v>ÇİFTLİKKÖY / YALOVA</v>
      </c>
      <c r="M271" s="124">
        <f t="shared" si="14"/>
        <v>0</v>
      </c>
      <c r="N271" s="120"/>
      <c r="O271" s="120"/>
      <c r="P271" s="120"/>
    </row>
    <row r="272" spans="1:16" ht="14.5" x14ac:dyDescent="0.25">
      <c r="A272" s="6">
        <v>271</v>
      </c>
      <c r="B272" s="6" t="s">
        <v>182</v>
      </c>
      <c r="C272" s="24" t="s">
        <v>148</v>
      </c>
      <c r="D272" s="125" t="str">
        <f t="shared" si="12"/>
        <v>ÇINARCIK / YALOVA</v>
      </c>
      <c r="E272" s="125">
        <v>30586.100000000002</v>
      </c>
      <c r="F272" s="125">
        <v>5327.4</v>
      </c>
      <c r="G272" s="125">
        <v>5043.3</v>
      </c>
      <c r="H272" s="125">
        <v>690</v>
      </c>
      <c r="I272" s="125">
        <v>30180.200000000004</v>
      </c>
      <c r="J272" s="125">
        <v>3018.0199999999995</v>
      </c>
      <c r="K272" s="120">
        <f>VLOOKUP(D272,Excel6!A:H,8,0)</f>
        <v>3018.0199999999995</v>
      </c>
      <c r="L272" s="120" t="str">
        <f t="shared" si="13"/>
        <v>ÇINARCIK / YALOVA</v>
      </c>
      <c r="M272" s="124">
        <f t="shared" si="14"/>
        <v>0</v>
      </c>
    </row>
    <row r="273" spans="1:13" ht="14.5" x14ac:dyDescent="0.25">
      <c r="A273" s="6">
        <v>272</v>
      </c>
      <c r="B273" s="6" t="s">
        <v>2063</v>
      </c>
      <c r="C273" s="24" t="s">
        <v>148</v>
      </c>
      <c r="D273" s="125" t="str">
        <f t="shared" si="12"/>
        <v>TERMAL / YALOVA</v>
      </c>
      <c r="E273" s="125">
        <v>1495</v>
      </c>
      <c r="F273" s="125">
        <v>929.6</v>
      </c>
      <c r="G273" s="125">
        <v>0</v>
      </c>
      <c r="H273" s="125">
        <v>0</v>
      </c>
      <c r="I273" s="125">
        <v>2424.6</v>
      </c>
      <c r="J273" s="125">
        <v>242.45999999999998</v>
      </c>
      <c r="K273" s="120">
        <f>VLOOKUP(D273,Excel6!A:H,8,0)</f>
        <v>242.45999999999998</v>
      </c>
      <c r="L273" s="120" t="str">
        <f t="shared" si="13"/>
        <v>TERMAL / YALOVA</v>
      </c>
      <c r="M273" s="124">
        <f t="shared" si="14"/>
        <v>0</v>
      </c>
    </row>
    <row r="274" spans="1:13" ht="14.5" x14ac:dyDescent="0.25">
      <c r="A274" s="6">
        <v>273</v>
      </c>
      <c r="B274" s="6" t="s">
        <v>183</v>
      </c>
      <c r="C274" s="6" t="s">
        <v>148</v>
      </c>
      <c r="D274" s="125" t="str">
        <f t="shared" si="12"/>
        <v>ALTINOVA / YALOVA</v>
      </c>
      <c r="E274" s="125">
        <v>558</v>
      </c>
      <c r="F274" s="125">
        <v>160.1</v>
      </c>
      <c r="G274" s="125">
        <v>0</v>
      </c>
      <c r="H274" s="125">
        <v>0</v>
      </c>
      <c r="I274" s="122">
        <v>718.1</v>
      </c>
      <c r="J274" s="122">
        <v>71.81</v>
      </c>
      <c r="K274" s="120">
        <f>VLOOKUP(D274,Excel6!A:H,8,0)</f>
        <v>71.81</v>
      </c>
      <c r="L274" s="120" t="str">
        <f t="shared" si="13"/>
        <v>ALTINOVA / YALOVA</v>
      </c>
      <c r="M274" s="124">
        <f t="shared" si="14"/>
        <v>0</v>
      </c>
    </row>
    <row r="275" spans="1:13" ht="14.5" x14ac:dyDescent="0.25">
      <c r="A275" s="6">
        <v>274</v>
      </c>
      <c r="B275" s="6" t="s">
        <v>480</v>
      </c>
      <c r="C275" s="6" t="s">
        <v>284</v>
      </c>
      <c r="D275" s="125" t="str">
        <f t="shared" si="12"/>
        <v>SORGUN / YOZGAT</v>
      </c>
      <c r="E275" s="125">
        <v>858.4</v>
      </c>
      <c r="F275" s="125">
        <v>5745.5</v>
      </c>
      <c r="G275" s="125">
        <v>0</v>
      </c>
      <c r="H275" s="125">
        <v>0</v>
      </c>
      <c r="I275" s="122">
        <v>6603.9</v>
      </c>
      <c r="J275" s="122">
        <v>660.39</v>
      </c>
      <c r="K275" s="120">
        <f>VLOOKUP(D275,Excel6!A:H,8,0)</f>
        <v>660.39</v>
      </c>
      <c r="L275" s="120" t="str">
        <f t="shared" si="13"/>
        <v>SORGUN / YOZGAT</v>
      </c>
      <c r="M275" s="124">
        <f t="shared" si="14"/>
        <v>0</v>
      </c>
    </row>
    <row r="276" spans="1:13" ht="14.5" x14ac:dyDescent="0.25">
      <c r="A276" s="6">
        <v>275</v>
      </c>
      <c r="B276" s="6" t="s">
        <v>34</v>
      </c>
      <c r="C276" s="6" t="s">
        <v>284</v>
      </c>
      <c r="D276" s="125" t="str">
        <f t="shared" si="12"/>
        <v>MERKEZ / YOZGAT</v>
      </c>
      <c r="E276" s="123">
        <v>1794.8</v>
      </c>
      <c r="F276" s="123">
        <v>3764.6</v>
      </c>
      <c r="G276" s="123">
        <v>17.7</v>
      </c>
      <c r="H276" s="123">
        <v>314</v>
      </c>
      <c r="I276" s="121">
        <v>5227.7</v>
      </c>
      <c r="J276" s="121">
        <v>522.77</v>
      </c>
      <c r="K276" s="120">
        <f>VLOOKUP(D276,Excel6!A:H,8,0)</f>
        <v>522.77</v>
      </c>
      <c r="L276" s="120" t="str">
        <f t="shared" si="13"/>
        <v>MERKEZ / YOZGAT</v>
      </c>
      <c r="M276" s="124">
        <f t="shared" si="14"/>
        <v>0</v>
      </c>
    </row>
    <row r="277" spans="1:13" ht="14.5" x14ac:dyDescent="0.25">
      <c r="A277" s="6">
        <v>276</v>
      </c>
      <c r="B277" s="6" t="s">
        <v>2262</v>
      </c>
      <c r="C277" s="6" t="s">
        <v>284</v>
      </c>
      <c r="D277" s="125" t="str">
        <f t="shared" si="12"/>
        <v>YENİFAKILI / YOZGAT</v>
      </c>
      <c r="E277" s="125">
        <v>415.5</v>
      </c>
      <c r="F277" s="125">
        <v>299.60000000000002</v>
      </c>
      <c r="G277" s="125">
        <v>0</v>
      </c>
      <c r="H277" s="125">
        <v>0</v>
      </c>
      <c r="I277" s="122">
        <v>715.1</v>
      </c>
      <c r="J277" s="122">
        <v>71.509999999999991</v>
      </c>
      <c r="K277" s="120">
        <f>VLOOKUP(D277,Excel6!A:H,8,0)</f>
        <v>71.509999999999991</v>
      </c>
      <c r="L277" s="120" t="str">
        <f t="shared" si="13"/>
        <v>YENİFAKILI / YOZGAT</v>
      </c>
      <c r="M277" s="124">
        <f t="shared" si="14"/>
        <v>0</v>
      </c>
    </row>
    <row r="278" spans="1:13" ht="14.5" x14ac:dyDescent="0.25">
      <c r="A278" s="6">
        <v>277</v>
      </c>
      <c r="B278" s="24" t="s">
        <v>2181</v>
      </c>
      <c r="C278" s="24" t="s">
        <v>284</v>
      </c>
      <c r="D278" s="125" t="str">
        <f t="shared" si="12"/>
        <v>AKDAĞMADENİ / YOZGAT</v>
      </c>
      <c r="E278" s="125">
        <v>402.8</v>
      </c>
      <c r="F278" s="125">
        <v>142.1</v>
      </c>
      <c r="G278" s="125">
        <v>0</v>
      </c>
      <c r="H278" s="125">
        <v>0</v>
      </c>
      <c r="I278" s="125">
        <v>544.9</v>
      </c>
      <c r="J278" s="125">
        <v>54.49</v>
      </c>
      <c r="K278" s="120">
        <f>VLOOKUP(D278,Excel6!A:H,8,0)</f>
        <v>54.49</v>
      </c>
      <c r="L278" s="120" t="str">
        <f t="shared" si="13"/>
        <v>AKDAĞMADENİ / YOZGAT</v>
      </c>
      <c r="M278" s="124">
        <f t="shared" si="14"/>
        <v>0</v>
      </c>
    </row>
    <row r="279" spans="1:13" ht="14.5" x14ac:dyDescent="0.25">
      <c r="A279" s="6">
        <v>278</v>
      </c>
      <c r="B279" s="6" t="s">
        <v>692</v>
      </c>
      <c r="C279" s="6" t="s">
        <v>284</v>
      </c>
      <c r="D279" s="125" t="str">
        <f t="shared" si="12"/>
        <v>YERKÖY / YOZGAT</v>
      </c>
      <c r="E279" s="125">
        <v>365.2</v>
      </c>
      <c r="F279" s="125">
        <v>100.1</v>
      </c>
      <c r="G279" s="125">
        <v>0</v>
      </c>
      <c r="H279" s="125">
        <v>0</v>
      </c>
      <c r="I279" s="122">
        <v>465.29999999999995</v>
      </c>
      <c r="J279" s="122">
        <v>46.53</v>
      </c>
      <c r="K279" s="120">
        <f>VLOOKUP(D279,Excel6!A:H,8,0)</f>
        <v>46.53</v>
      </c>
      <c r="L279" s="120" t="str">
        <f t="shared" si="13"/>
        <v>YERKÖY / YOZGAT</v>
      </c>
      <c r="M279" s="124">
        <f t="shared" si="14"/>
        <v>0</v>
      </c>
    </row>
    <row r="280" spans="1:13" ht="14.5" x14ac:dyDescent="0.25">
      <c r="A280" s="6">
        <v>279</v>
      </c>
      <c r="B280" s="6" t="s">
        <v>2259</v>
      </c>
      <c r="C280" s="6" t="s">
        <v>284</v>
      </c>
      <c r="D280" s="125" t="str">
        <f t="shared" si="12"/>
        <v>ŞEFAATLİ / YOZGAT</v>
      </c>
      <c r="E280" s="125">
        <v>45</v>
      </c>
      <c r="F280" s="125">
        <v>402.8</v>
      </c>
      <c r="G280" s="125">
        <v>0</v>
      </c>
      <c r="H280" s="125">
        <v>0</v>
      </c>
      <c r="I280" s="122">
        <v>447.8</v>
      </c>
      <c r="J280" s="122">
        <v>44.78</v>
      </c>
      <c r="K280" s="120">
        <f>VLOOKUP(D280,Excel6!A:H,8,0)</f>
        <v>44.78</v>
      </c>
      <c r="L280" s="120" t="str">
        <f t="shared" si="13"/>
        <v>ŞEFAATLİ / YOZGAT</v>
      </c>
      <c r="M280" s="124">
        <f t="shared" si="14"/>
        <v>0</v>
      </c>
    </row>
    <row r="281" spans="1:13" ht="14.5" x14ac:dyDescent="0.25">
      <c r="A281" s="6">
        <v>280</v>
      </c>
      <c r="B281" s="6" t="s">
        <v>2237</v>
      </c>
      <c r="C281" s="6" t="s">
        <v>284</v>
      </c>
      <c r="D281" s="125" t="str">
        <f t="shared" si="12"/>
        <v>ÇEKEREK / YOZGAT</v>
      </c>
      <c r="E281" s="125">
        <v>0.3</v>
      </c>
      <c r="F281" s="125">
        <v>2017.4</v>
      </c>
      <c r="G281" s="125">
        <v>146.19999999999999</v>
      </c>
      <c r="H281" s="125">
        <v>1448.7</v>
      </c>
      <c r="I281" s="122">
        <v>422.80000000000007</v>
      </c>
      <c r="J281" s="122">
        <v>42.28</v>
      </c>
      <c r="K281" s="120">
        <f>VLOOKUP(D281,Excel6!A:H,8,0)</f>
        <v>42.28</v>
      </c>
      <c r="L281" s="120" t="str">
        <f t="shared" si="13"/>
        <v>ÇEKEREK / YOZGAT</v>
      </c>
      <c r="M281" s="124">
        <f t="shared" si="14"/>
        <v>0</v>
      </c>
    </row>
    <row r="282" spans="1:13" ht="14.5" x14ac:dyDescent="0.25">
      <c r="A282" s="6">
        <v>281</v>
      </c>
      <c r="B282" s="6" t="s">
        <v>387</v>
      </c>
      <c r="C282" s="6" t="s">
        <v>284</v>
      </c>
      <c r="D282" s="125" t="str">
        <f t="shared" si="12"/>
        <v>BOĞAZLIYAN / YOZGAT</v>
      </c>
      <c r="E282" s="125">
        <v>241.9</v>
      </c>
      <c r="F282" s="125">
        <v>169.8</v>
      </c>
      <c r="G282" s="125">
        <v>0</v>
      </c>
      <c r="H282" s="125">
        <v>0</v>
      </c>
      <c r="I282" s="121">
        <v>411.70000000000005</v>
      </c>
      <c r="J282" s="121">
        <v>41.17</v>
      </c>
      <c r="K282" s="120">
        <f>VLOOKUP(D282,Excel6!A:H,8,0)</f>
        <v>41.17</v>
      </c>
      <c r="L282" s="120" t="str">
        <f t="shared" si="13"/>
        <v>BOĞAZLIYAN / YOZGAT</v>
      </c>
      <c r="M282" s="124">
        <f t="shared" si="14"/>
        <v>0</v>
      </c>
    </row>
    <row r="283" spans="1:13" ht="14.5" x14ac:dyDescent="0.25">
      <c r="A283" s="6">
        <v>282</v>
      </c>
      <c r="B283" s="24" t="s">
        <v>119</v>
      </c>
      <c r="C283" s="6" t="s">
        <v>149</v>
      </c>
      <c r="D283" s="125" t="str">
        <f t="shared" si="12"/>
        <v>EREĞLİ / ZONGULDAK</v>
      </c>
      <c r="E283" s="125">
        <v>6545.41</v>
      </c>
      <c r="F283" s="125">
        <v>12614.669999999998</v>
      </c>
      <c r="G283" s="125">
        <v>207.99999999999997</v>
      </c>
      <c r="H283" s="125">
        <v>2087.8399999999997</v>
      </c>
      <c r="I283" s="122">
        <v>16864.240000000002</v>
      </c>
      <c r="J283" s="122">
        <v>1686.42</v>
      </c>
      <c r="K283" s="120">
        <f>VLOOKUP(D283,Excel6!A:H,8,0)</f>
        <v>1686.42</v>
      </c>
      <c r="L283" s="120" t="str">
        <f t="shared" si="13"/>
        <v>EREĞLİ / ZONGULDAK</v>
      </c>
      <c r="M283" s="124">
        <f t="shared" si="14"/>
        <v>0</v>
      </c>
    </row>
    <row r="284" spans="1:13" ht="14.5" x14ac:dyDescent="0.25">
      <c r="A284" s="6">
        <v>283</v>
      </c>
      <c r="B284" s="6" t="s">
        <v>34</v>
      </c>
      <c r="C284" s="6" t="s">
        <v>149</v>
      </c>
      <c r="D284" s="125" t="str">
        <f t="shared" si="12"/>
        <v>MERKEZ / ZONGULDAK</v>
      </c>
      <c r="E284" s="125">
        <v>3627.73</v>
      </c>
      <c r="F284" s="125">
        <v>11585.02</v>
      </c>
      <c r="G284" s="125">
        <v>24.799999999999997</v>
      </c>
      <c r="H284" s="125">
        <v>1934.2</v>
      </c>
      <c r="I284" s="122">
        <v>13253.75</v>
      </c>
      <c r="J284" s="122">
        <v>1325.37</v>
      </c>
      <c r="K284" s="120">
        <f>VLOOKUP(D284,Excel6!A:H,8,0)</f>
        <v>1325.37</v>
      </c>
      <c r="L284" s="120" t="str">
        <f t="shared" si="13"/>
        <v>MERKEZ / ZONGULDAK</v>
      </c>
      <c r="M284" s="124">
        <f t="shared" si="14"/>
        <v>0</v>
      </c>
    </row>
    <row r="285" spans="1:13" ht="14.5" x14ac:dyDescent="0.25">
      <c r="A285" s="6">
        <v>284</v>
      </c>
      <c r="B285" s="24" t="s">
        <v>346</v>
      </c>
      <c r="C285" s="6" t="s">
        <v>149</v>
      </c>
      <c r="D285" s="125" t="str">
        <f t="shared" si="12"/>
        <v>KOZLU / ZONGULDAK</v>
      </c>
      <c r="E285" s="125">
        <v>1378.6000000000001</v>
      </c>
      <c r="F285" s="125">
        <v>1927.9</v>
      </c>
      <c r="G285" s="125">
        <v>0</v>
      </c>
      <c r="H285" s="125">
        <v>0</v>
      </c>
      <c r="I285" s="122">
        <v>3306.5</v>
      </c>
      <c r="J285" s="122">
        <v>330.65</v>
      </c>
      <c r="K285" s="120">
        <f>VLOOKUP(D285,Excel6!A:H,8,0)</f>
        <v>330.65</v>
      </c>
      <c r="L285" s="120" t="str">
        <f t="shared" si="13"/>
        <v>KOZLU / ZONGULDAK</v>
      </c>
      <c r="M285" s="124">
        <f t="shared" si="14"/>
        <v>0</v>
      </c>
    </row>
    <row r="286" spans="1:13" ht="14.5" x14ac:dyDescent="0.25">
      <c r="A286" s="6">
        <v>285</v>
      </c>
      <c r="B286" s="24" t="s">
        <v>2253</v>
      </c>
      <c r="C286" s="6" t="s">
        <v>149</v>
      </c>
      <c r="D286" s="125" t="str">
        <f t="shared" si="12"/>
        <v>KİLİMLİ / ZONGULDAK</v>
      </c>
      <c r="E286" s="125">
        <v>1265.3</v>
      </c>
      <c r="F286" s="125">
        <v>1860.6</v>
      </c>
      <c r="G286" s="125">
        <v>0</v>
      </c>
      <c r="H286" s="125">
        <v>0</v>
      </c>
      <c r="I286" s="122">
        <v>3125.8999999999996</v>
      </c>
      <c r="J286" s="122">
        <v>312.58999999999997</v>
      </c>
      <c r="K286" s="120">
        <f>VLOOKUP(D286,Excel6!A:H,8,0)</f>
        <v>312.58999999999997</v>
      </c>
      <c r="L286" s="120" t="str">
        <f t="shared" si="13"/>
        <v>KİLİMLİ / ZONGULDAK</v>
      </c>
      <c r="M286" s="124">
        <f t="shared" si="14"/>
        <v>0</v>
      </c>
    </row>
    <row r="287" spans="1:13" ht="14.5" x14ac:dyDescent="0.25">
      <c r="A287" s="6">
        <v>286</v>
      </c>
      <c r="B287" s="6" t="s">
        <v>693</v>
      </c>
      <c r="C287" s="6" t="s">
        <v>149</v>
      </c>
      <c r="D287" s="125" t="str">
        <f t="shared" si="12"/>
        <v>ALAPLI / ZONGULDAK</v>
      </c>
      <c r="E287" s="125">
        <v>834.5</v>
      </c>
      <c r="F287" s="125">
        <v>1471.7</v>
      </c>
      <c r="G287" s="125">
        <v>3.1</v>
      </c>
      <c r="H287" s="125">
        <v>0</v>
      </c>
      <c r="I287" s="122">
        <v>2303.1</v>
      </c>
      <c r="J287" s="122">
        <v>230.31</v>
      </c>
      <c r="K287" s="120">
        <f>VLOOKUP(D287,Excel6!A:H,8,0)</f>
        <v>230.31</v>
      </c>
      <c r="L287" s="120" t="str">
        <f t="shared" si="13"/>
        <v>ALAPLI / ZONGULDAK</v>
      </c>
      <c r="M287" s="124">
        <f t="shared" si="14"/>
        <v>0</v>
      </c>
    </row>
    <row r="288" spans="1:13" ht="14.5" x14ac:dyDescent="0.25">
      <c r="A288" s="6">
        <v>287</v>
      </c>
      <c r="B288" s="24" t="s">
        <v>255</v>
      </c>
      <c r="C288" s="6" t="s">
        <v>149</v>
      </c>
      <c r="D288" s="125" t="str">
        <f t="shared" si="12"/>
        <v>DEVREK / ZONGULDAK</v>
      </c>
      <c r="E288" s="125">
        <v>738.1</v>
      </c>
      <c r="F288" s="125">
        <v>1276.2</v>
      </c>
      <c r="G288" s="125">
        <v>5.4</v>
      </c>
      <c r="H288" s="125">
        <v>103.3</v>
      </c>
      <c r="I288" s="122">
        <v>1905.6000000000001</v>
      </c>
      <c r="J288" s="122">
        <v>190.56</v>
      </c>
      <c r="K288" s="120">
        <f>VLOOKUP(D288,Excel6!A:H,8,0)</f>
        <v>190.56</v>
      </c>
      <c r="L288" s="120" t="str">
        <f t="shared" si="13"/>
        <v>DEVREK / ZONGULDAK</v>
      </c>
      <c r="M288" s="124">
        <f t="shared" si="14"/>
        <v>0</v>
      </c>
    </row>
    <row r="289" spans="1:13" ht="14.5" x14ac:dyDescent="0.25">
      <c r="A289" s="6">
        <v>288</v>
      </c>
      <c r="B289" s="6" t="s">
        <v>285</v>
      </c>
      <c r="C289" s="24" t="s">
        <v>149</v>
      </c>
      <c r="D289" s="125" t="str">
        <f t="shared" si="12"/>
        <v>ÇAYCUMA / ZONGULDAK</v>
      </c>
      <c r="E289" s="125">
        <v>305.39999999999998</v>
      </c>
      <c r="F289" s="125">
        <v>1613.4</v>
      </c>
      <c r="G289" s="125">
        <v>45</v>
      </c>
      <c r="H289" s="125">
        <v>0</v>
      </c>
      <c r="I289" s="125">
        <v>1873.8000000000002</v>
      </c>
      <c r="J289" s="125">
        <v>187.38</v>
      </c>
      <c r="K289" s="120">
        <f>VLOOKUP(D289,Excel6!A:H,8,0)</f>
        <v>187.38</v>
      </c>
      <c r="L289" s="120" t="str">
        <f t="shared" si="13"/>
        <v>ÇAYCUMA / ZONGULDAK</v>
      </c>
      <c r="M289" s="124">
        <f t="shared" si="14"/>
        <v>0</v>
      </c>
    </row>
    <row r="290" spans="1:13" ht="14.5" x14ac:dyDescent="0.25">
      <c r="A290" s="6">
        <v>289</v>
      </c>
      <c r="B290" s="6" t="s">
        <v>694</v>
      </c>
      <c r="C290" s="6" t="s">
        <v>149</v>
      </c>
      <c r="D290" s="125" t="str">
        <f t="shared" si="12"/>
        <v>GÖKÇEBEY / ZONGULDAK</v>
      </c>
      <c r="E290" s="125">
        <v>209</v>
      </c>
      <c r="F290" s="125">
        <v>792.9</v>
      </c>
      <c r="G290" s="125">
        <v>0</v>
      </c>
      <c r="H290" s="125">
        <v>0</v>
      </c>
      <c r="I290" s="122">
        <v>1001.9</v>
      </c>
      <c r="J290" s="122">
        <v>100.19</v>
      </c>
      <c r="K290" s="120">
        <f>VLOOKUP(D290,Excel6!A:H,8,0)</f>
        <v>100.19</v>
      </c>
      <c r="L290" s="120" t="str">
        <f t="shared" si="13"/>
        <v>GÖKÇEBEY / ZONGULDAK</v>
      </c>
      <c r="M290" s="124">
        <f t="shared" si="14"/>
        <v>0</v>
      </c>
    </row>
    <row r="291" spans="1:13" ht="13" x14ac:dyDescent="0.3">
      <c r="J291" s="16">
        <f>SUM(J2:J290)</f>
        <v>1964347.1900000002</v>
      </c>
    </row>
  </sheetData>
  <sortState xmlns:xlrd2="http://schemas.microsoft.com/office/spreadsheetml/2017/richdata2" ref="A2:M280">
    <sortCondition ref="C2:C280"/>
    <sortCondition ref="B2:B280"/>
  </sortState>
  <pageMargins left="0.35433070866141736" right="0.31496062992125984" top="0.43307086614173229" bottom="0.31496062992125984" header="0.31496062992125984" footer="0.31496062992125984"/>
  <pageSetup paperSize="9" scale="60" orientation="portrait" r:id="rId1"/>
  <headerFooter differentOddEven="1" differentFirst="1">
    <oddFooter>&amp;L
_x000D_&amp;1#&amp;"Calibri"&amp;10&amp;K008000 Internal&amp;C&amp;"tahoma,Bold"&amp;8&amp;KFFCC00¯¯¯¯¯¯¯¯¯¯¯¯¯¯¯¯¯¯¯¯¯¯¯¯¯¯¯¯¯¯¯¯¯¯¯¯¯
Gizli / Confidential  -
 Genel Nitelikli Kişisel Veri
&amp;10_____________________________________</oddFooter>
    <evenFooter>&amp;L
_x000D_&amp;1#&amp;"Calibri"&amp;10&amp;K008000 Internal&amp;C&amp;"tahoma,Bold"&amp;8&amp;KFFCC00¯¯¯¯¯¯¯¯¯¯¯¯¯¯¯¯¯¯¯¯¯¯¯¯¯¯¯¯¯¯¯¯¯¯¯¯¯
Gizli / Confidential  -
 Genel Nitelikli Kişisel Veri
&amp;10_____________________________________</evenFooter>
    <firstFooter>&amp;L
_x000D_&amp;1#&amp;"Calibri"&amp;10&amp;K008000 Internal&amp;C&amp;"tahoma,Bold"&amp;8&amp;KFFCC00¯¯¯¯¯¯¯¯¯¯¯¯¯¯¯¯¯¯¯¯¯¯¯¯¯¯¯¯¯¯¯¯¯¯¯¯¯
Gizli / Confidential  -
 Genel Nitelikli Kişisel Veri
&amp;10_____________________________________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8"/>
  <dimension ref="A1:P747"/>
  <sheetViews>
    <sheetView topLeftCell="A142" zoomScale="70" zoomScaleNormal="70" workbookViewId="0">
      <selection activeCell="G19" sqref="G19"/>
    </sheetView>
  </sheetViews>
  <sheetFormatPr defaultColWidth="9.26953125" defaultRowHeight="12.5" x14ac:dyDescent="0.25"/>
  <cols>
    <col min="1" max="1" width="25.26953125" style="19" bestFit="1" customWidth="1"/>
    <col min="2" max="2" width="18.453125" style="19" customWidth="1"/>
    <col min="3" max="3" width="37.26953125" style="19" bestFit="1" customWidth="1"/>
    <col min="4" max="4" width="21.7265625" style="9" bestFit="1" customWidth="1"/>
    <col min="5" max="6" width="19.7265625" style="9" bestFit="1" customWidth="1"/>
    <col min="7" max="7" width="21.26953125" style="9" bestFit="1" customWidth="1"/>
    <col min="8" max="8" width="18.54296875" style="9" customWidth="1"/>
    <col min="9" max="9" width="13.54296875" style="9" customWidth="1"/>
    <col min="10" max="10" width="27.26953125" bestFit="1" customWidth="1"/>
    <col min="11" max="11" width="21.453125" customWidth="1"/>
    <col min="13" max="13" width="16.7265625" bestFit="1" customWidth="1"/>
    <col min="14" max="14" width="14.54296875" bestFit="1" customWidth="1"/>
    <col min="15" max="15" width="15.54296875" bestFit="1" customWidth="1"/>
    <col min="16" max="16" width="14.54296875" bestFit="1" customWidth="1"/>
  </cols>
  <sheetData>
    <row r="1" spans="1:16" s="13" customFormat="1" ht="13" x14ac:dyDescent="0.3">
      <c r="A1" s="13" t="s">
        <v>3058</v>
      </c>
      <c r="B1" s="13" t="s">
        <v>100</v>
      </c>
      <c r="C1" s="13" t="s">
        <v>3059</v>
      </c>
      <c r="D1" s="16" t="s">
        <v>272</v>
      </c>
      <c r="E1" s="16" t="s">
        <v>273</v>
      </c>
      <c r="F1" s="16" t="s">
        <v>274</v>
      </c>
      <c r="G1" s="16" t="s">
        <v>275</v>
      </c>
      <c r="H1" s="117" t="s">
        <v>22</v>
      </c>
      <c r="I1" s="16" t="s">
        <v>23</v>
      </c>
      <c r="J1" s="13" t="s">
        <v>3711</v>
      </c>
    </row>
    <row r="2" spans="1:16" ht="12.75" customHeight="1" x14ac:dyDescent="0.25">
      <c r="A2" t="s">
        <v>1849</v>
      </c>
      <c r="B2" t="s">
        <v>33</v>
      </c>
      <c r="C2" t="s">
        <v>4237</v>
      </c>
      <c r="D2" s="9">
        <v>174202.41</v>
      </c>
      <c r="E2" s="9">
        <v>154813.21999999994</v>
      </c>
      <c r="F2" s="9">
        <v>10663.699999999999</v>
      </c>
      <c r="G2" s="9">
        <v>13590.900000000001</v>
      </c>
      <c r="H2" s="77">
        <v>304761.02999999991</v>
      </c>
      <c r="I2" s="77">
        <v>30476.100000000006</v>
      </c>
      <c r="M2" s="64">
        <f t="shared" ref="M2:M32" si="0">D2+E2-F2-G2</f>
        <v>304761.02999999991</v>
      </c>
      <c r="N2" s="64">
        <f t="shared" ref="N2:N32" si="1">H2-M2</f>
        <v>0</v>
      </c>
      <c r="O2" s="64">
        <f t="shared" ref="O2:O32" si="2">M2*0.1</f>
        <v>30476.102999999992</v>
      </c>
      <c r="P2" s="64">
        <f t="shared" ref="P2:P32" si="3">I2-O2</f>
        <v>-2.9999999860592652E-3</v>
      </c>
    </row>
    <row r="3" spans="1:16" ht="12.75" customHeight="1" x14ac:dyDescent="0.25">
      <c r="A3" t="s">
        <v>34</v>
      </c>
      <c r="B3" t="s">
        <v>190</v>
      </c>
      <c r="C3" t="s">
        <v>4137</v>
      </c>
      <c r="D3" s="9">
        <v>12248.300000000001</v>
      </c>
      <c r="E3" s="9">
        <v>15964.6</v>
      </c>
      <c r="F3" s="9">
        <v>802.39999999999986</v>
      </c>
      <c r="G3" s="9">
        <v>1371.1</v>
      </c>
      <c r="H3" s="77">
        <v>26039.4</v>
      </c>
      <c r="I3" s="77">
        <v>2603.9400000000005</v>
      </c>
      <c r="M3" s="64">
        <f t="shared" si="0"/>
        <v>26039.4</v>
      </c>
      <c r="N3" s="64">
        <f t="shared" si="1"/>
        <v>0</v>
      </c>
      <c r="O3" s="64">
        <f t="shared" si="2"/>
        <v>2603.9400000000005</v>
      </c>
      <c r="P3" s="64">
        <f t="shared" si="3"/>
        <v>0</v>
      </c>
    </row>
    <row r="4" spans="1:16" ht="12.75" customHeight="1" x14ac:dyDescent="0.25">
      <c r="A4" t="s">
        <v>424</v>
      </c>
      <c r="B4" t="s">
        <v>190</v>
      </c>
      <c r="C4" t="s">
        <v>4125</v>
      </c>
      <c r="D4" s="9">
        <v>1905.1</v>
      </c>
      <c r="E4" s="9">
        <v>3151.8</v>
      </c>
      <c r="F4" s="9">
        <v>0</v>
      </c>
      <c r="G4" s="9">
        <v>0</v>
      </c>
      <c r="H4" s="77">
        <v>5056.8999999999996</v>
      </c>
      <c r="I4" s="77">
        <v>505.69</v>
      </c>
      <c r="M4" s="64">
        <f t="shared" si="0"/>
        <v>5056.8999999999996</v>
      </c>
      <c r="N4" s="64">
        <f t="shared" si="1"/>
        <v>0</v>
      </c>
      <c r="O4" s="64">
        <f t="shared" si="2"/>
        <v>505.69</v>
      </c>
      <c r="P4" s="64">
        <f t="shared" si="3"/>
        <v>0</v>
      </c>
    </row>
    <row r="5" spans="1:16" ht="12.75" customHeight="1" x14ac:dyDescent="0.25">
      <c r="A5" t="s">
        <v>340</v>
      </c>
      <c r="B5" t="s">
        <v>190</v>
      </c>
      <c r="C5" t="s">
        <v>4069</v>
      </c>
      <c r="D5" s="9">
        <v>261.10000000000002</v>
      </c>
      <c r="E5" s="9">
        <v>449.6</v>
      </c>
      <c r="F5" s="9">
        <v>0</v>
      </c>
      <c r="G5" s="9">
        <v>0</v>
      </c>
      <c r="H5" s="77">
        <v>710.7</v>
      </c>
      <c r="I5" s="77">
        <v>71.069999999999993</v>
      </c>
      <c r="M5" s="64">
        <f t="shared" si="0"/>
        <v>710.7</v>
      </c>
      <c r="N5" s="64">
        <f t="shared" si="1"/>
        <v>0</v>
      </c>
      <c r="O5" s="64">
        <f t="shared" si="2"/>
        <v>71.070000000000007</v>
      </c>
      <c r="P5" s="64">
        <f t="shared" si="3"/>
        <v>0</v>
      </c>
    </row>
    <row r="6" spans="1:16" ht="12.75" customHeight="1" x14ac:dyDescent="0.25">
      <c r="A6" t="s">
        <v>3515</v>
      </c>
      <c r="B6" t="s">
        <v>190</v>
      </c>
      <c r="C6" t="s">
        <v>4549</v>
      </c>
      <c r="D6" s="9">
        <v>307.39999999999998</v>
      </c>
      <c r="E6" s="9">
        <v>118</v>
      </c>
      <c r="F6" s="9">
        <v>0</v>
      </c>
      <c r="G6" s="9">
        <v>0</v>
      </c>
      <c r="H6" s="77">
        <v>425.4</v>
      </c>
      <c r="I6" s="77">
        <v>42.54</v>
      </c>
      <c r="M6" s="64">
        <f t="shared" si="0"/>
        <v>425.4</v>
      </c>
      <c r="N6" s="64">
        <f t="shared" si="1"/>
        <v>0</v>
      </c>
      <c r="O6" s="64">
        <f t="shared" si="2"/>
        <v>42.54</v>
      </c>
      <c r="P6" s="64">
        <f t="shared" si="3"/>
        <v>0</v>
      </c>
    </row>
    <row r="7" spans="1:16" ht="12.75" customHeight="1" x14ac:dyDescent="0.25">
      <c r="A7" t="s">
        <v>150</v>
      </c>
      <c r="B7" t="s">
        <v>190</v>
      </c>
      <c r="C7" t="s">
        <v>4110</v>
      </c>
      <c r="D7" s="9">
        <v>88.6</v>
      </c>
      <c r="E7" s="9">
        <v>134.29999999999998</v>
      </c>
      <c r="F7" s="9">
        <v>0</v>
      </c>
      <c r="G7" s="9">
        <v>0</v>
      </c>
      <c r="H7" s="77">
        <v>222.89999999999998</v>
      </c>
      <c r="I7" s="77">
        <v>22.29</v>
      </c>
      <c r="M7" s="64">
        <f t="shared" si="0"/>
        <v>222.89999999999998</v>
      </c>
      <c r="N7" s="64">
        <f t="shared" si="1"/>
        <v>0</v>
      </c>
      <c r="O7" s="64">
        <f t="shared" si="2"/>
        <v>22.29</v>
      </c>
      <c r="P7" s="64">
        <f t="shared" si="3"/>
        <v>0</v>
      </c>
    </row>
    <row r="8" spans="1:16" ht="12.75" customHeight="1" x14ac:dyDescent="0.25">
      <c r="A8" t="s">
        <v>34</v>
      </c>
      <c r="B8" t="s">
        <v>2143</v>
      </c>
      <c r="C8" t="s">
        <v>4138</v>
      </c>
      <c r="D8" s="9">
        <v>30076.5</v>
      </c>
      <c r="E8" s="9">
        <v>55308.7</v>
      </c>
      <c r="F8" s="9">
        <v>344</v>
      </c>
      <c r="G8" s="9">
        <v>282.89999999999998</v>
      </c>
      <c r="H8" s="77">
        <v>84758.3</v>
      </c>
      <c r="I8" s="77">
        <v>8475.83</v>
      </c>
      <c r="M8" s="64">
        <f t="shared" si="0"/>
        <v>84758.3</v>
      </c>
      <c r="N8" s="64">
        <f t="shared" si="1"/>
        <v>0</v>
      </c>
      <c r="O8" s="64">
        <f t="shared" si="2"/>
        <v>8475.83</v>
      </c>
      <c r="P8" s="64">
        <f t="shared" si="3"/>
        <v>0</v>
      </c>
    </row>
    <row r="9" spans="1:16" ht="12.75" customHeight="1" x14ac:dyDescent="0.25">
      <c r="A9" t="s">
        <v>497</v>
      </c>
      <c r="B9" t="s">
        <v>2143</v>
      </c>
      <c r="C9" t="s">
        <v>4548</v>
      </c>
      <c r="D9" s="9">
        <v>51763.5</v>
      </c>
      <c r="F9" s="9">
        <v>0</v>
      </c>
      <c r="H9" s="77">
        <v>51763.5</v>
      </c>
      <c r="I9" s="77">
        <v>5176.3500000000004</v>
      </c>
      <c r="M9" s="64">
        <f t="shared" si="0"/>
        <v>51763.5</v>
      </c>
      <c r="N9" s="64">
        <f t="shared" si="1"/>
        <v>0</v>
      </c>
      <c r="O9" s="64">
        <f t="shared" si="2"/>
        <v>5176.3500000000004</v>
      </c>
      <c r="P9" s="64">
        <f t="shared" si="3"/>
        <v>0</v>
      </c>
    </row>
    <row r="10" spans="1:16" ht="12.75" customHeight="1" x14ac:dyDescent="0.25">
      <c r="A10" t="s">
        <v>2260</v>
      </c>
      <c r="B10" t="s">
        <v>2143</v>
      </c>
      <c r="C10" t="s">
        <v>4269</v>
      </c>
      <c r="D10" s="9">
        <v>4256.9999999999991</v>
      </c>
      <c r="E10" s="9">
        <v>1005.5</v>
      </c>
      <c r="F10" s="9">
        <v>0</v>
      </c>
      <c r="G10" s="9">
        <v>0</v>
      </c>
      <c r="H10" s="77">
        <v>5262.4999999999991</v>
      </c>
      <c r="I10" s="77">
        <v>526.25</v>
      </c>
      <c r="M10" s="64">
        <f t="shared" si="0"/>
        <v>5262.4999999999991</v>
      </c>
      <c r="N10" s="64">
        <f t="shared" si="1"/>
        <v>0</v>
      </c>
      <c r="O10" s="64">
        <f t="shared" si="2"/>
        <v>526.24999999999989</v>
      </c>
      <c r="P10" s="64">
        <f t="shared" si="3"/>
        <v>0</v>
      </c>
    </row>
    <row r="11" spans="1:16" ht="12.75" customHeight="1" x14ac:dyDescent="0.25">
      <c r="A11" t="s">
        <v>502</v>
      </c>
      <c r="B11" t="s">
        <v>2143</v>
      </c>
      <c r="C11" t="s">
        <v>4329</v>
      </c>
      <c r="D11" s="9">
        <v>2151.9</v>
      </c>
      <c r="E11" s="9">
        <v>199.1</v>
      </c>
      <c r="F11" s="9">
        <v>0</v>
      </c>
      <c r="G11" s="9">
        <v>0</v>
      </c>
      <c r="H11" s="77">
        <v>2351</v>
      </c>
      <c r="I11" s="77">
        <v>235.1</v>
      </c>
      <c r="M11" s="64">
        <f t="shared" si="0"/>
        <v>2351</v>
      </c>
      <c r="N11" s="64">
        <f t="shared" si="1"/>
        <v>0</v>
      </c>
      <c r="O11" s="64">
        <f t="shared" si="2"/>
        <v>235.10000000000002</v>
      </c>
      <c r="P11" s="64">
        <f t="shared" si="3"/>
        <v>0</v>
      </c>
    </row>
    <row r="12" spans="1:16" ht="12.75" customHeight="1" x14ac:dyDescent="0.25">
      <c r="A12" s="19" t="s">
        <v>348</v>
      </c>
      <c r="B12" s="19" t="s">
        <v>2143</v>
      </c>
      <c r="C12" s="19" t="s">
        <v>4091</v>
      </c>
      <c r="D12" s="9">
        <v>890.40000000000009</v>
      </c>
      <c r="E12" s="9">
        <v>1468.3999999999999</v>
      </c>
      <c r="F12" s="9">
        <v>21.7</v>
      </c>
      <c r="G12" s="9">
        <v>12.1</v>
      </c>
      <c r="H12" s="77">
        <v>2325</v>
      </c>
      <c r="I12" s="77">
        <v>232.5</v>
      </c>
      <c r="M12" s="64">
        <f t="shared" si="0"/>
        <v>2325.0000000000005</v>
      </c>
      <c r="N12" s="64">
        <f t="shared" si="1"/>
        <v>0</v>
      </c>
      <c r="O12" s="64">
        <f t="shared" si="2"/>
        <v>232.50000000000006</v>
      </c>
      <c r="P12" s="64">
        <f t="shared" si="3"/>
        <v>0</v>
      </c>
    </row>
    <row r="13" spans="1:16" ht="12.75" customHeight="1" x14ac:dyDescent="0.25">
      <c r="A13" t="s">
        <v>266</v>
      </c>
      <c r="B13" t="s">
        <v>2143</v>
      </c>
      <c r="C13" t="s">
        <v>4245</v>
      </c>
      <c r="D13" s="120">
        <v>0.2</v>
      </c>
      <c r="E13" s="120">
        <v>2049.3000000000002</v>
      </c>
      <c r="F13" s="120">
        <v>0</v>
      </c>
      <c r="G13" s="120">
        <v>0</v>
      </c>
      <c r="H13" s="77">
        <v>2049.5</v>
      </c>
      <c r="I13" s="77">
        <v>204.95000000000002</v>
      </c>
      <c r="M13" s="64">
        <f t="shared" si="0"/>
        <v>2049.5</v>
      </c>
      <c r="N13" s="64">
        <f t="shared" si="1"/>
        <v>0</v>
      </c>
      <c r="O13" s="64">
        <f t="shared" si="2"/>
        <v>204.95000000000002</v>
      </c>
      <c r="P13" s="64">
        <f t="shared" si="3"/>
        <v>0</v>
      </c>
    </row>
    <row r="14" spans="1:16" ht="12.75" customHeight="1" x14ac:dyDescent="0.25">
      <c r="A14" t="s">
        <v>501</v>
      </c>
      <c r="B14" t="s">
        <v>2143</v>
      </c>
      <c r="C14" t="s">
        <v>4121</v>
      </c>
      <c r="D14" s="9">
        <v>0.1</v>
      </c>
      <c r="E14" s="9">
        <v>1335.8</v>
      </c>
      <c r="F14" s="9">
        <v>0</v>
      </c>
      <c r="G14" s="9">
        <v>0</v>
      </c>
      <c r="H14" s="77">
        <v>1335.8999999999999</v>
      </c>
      <c r="I14" s="77">
        <v>133.59</v>
      </c>
      <c r="M14" s="64">
        <f t="shared" si="0"/>
        <v>1335.8999999999999</v>
      </c>
      <c r="N14" s="64">
        <f t="shared" si="1"/>
        <v>0</v>
      </c>
      <c r="O14" s="64">
        <f t="shared" si="2"/>
        <v>133.59</v>
      </c>
      <c r="P14" s="64">
        <f t="shared" si="3"/>
        <v>0</v>
      </c>
    </row>
    <row r="15" spans="1:16" ht="12.75" customHeight="1" x14ac:dyDescent="0.25">
      <c r="A15" t="s">
        <v>2258</v>
      </c>
      <c r="B15" t="s">
        <v>2143</v>
      </c>
      <c r="C15" t="s">
        <v>4584</v>
      </c>
      <c r="D15" s="9">
        <v>688.6</v>
      </c>
      <c r="E15" s="9">
        <v>478.1</v>
      </c>
      <c r="F15" s="9">
        <v>0</v>
      </c>
      <c r="G15" s="9">
        <v>0</v>
      </c>
      <c r="H15" s="77">
        <v>1166.7</v>
      </c>
      <c r="I15" s="77">
        <v>116.67</v>
      </c>
      <c r="M15" s="64">
        <f t="shared" si="0"/>
        <v>1166.7</v>
      </c>
      <c r="N15" s="64">
        <f t="shared" si="1"/>
        <v>0</v>
      </c>
      <c r="O15" s="64">
        <f t="shared" si="2"/>
        <v>116.67000000000002</v>
      </c>
      <c r="P15" s="64">
        <f t="shared" si="3"/>
        <v>0</v>
      </c>
    </row>
    <row r="16" spans="1:16" ht="12.75" customHeight="1" x14ac:dyDescent="0.25">
      <c r="A16" t="s">
        <v>292</v>
      </c>
      <c r="B16" t="s">
        <v>2143</v>
      </c>
      <c r="C16" t="s">
        <v>4096</v>
      </c>
      <c r="D16" s="9">
        <v>909.3</v>
      </c>
      <c r="E16" s="9">
        <v>256.5</v>
      </c>
      <c r="F16" s="9">
        <v>23.3</v>
      </c>
      <c r="G16" s="9">
        <v>0</v>
      </c>
      <c r="H16" s="77">
        <v>1142.5</v>
      </c>
      <c r="I16" s="77">
        <v>114.25</v>
      </c>
      <c r="M16" s="64">
        <f t="shared" si="0"/>
        <v>1142.5</v>
      </c>
      <c r="N16" s="64">
        <f t="shared" si="1"/>
        <v>0</v>
      </c>
      <c r="O16" s="64">
        <f t="shared" si="2"/>
        <v>114.25</v>
      </c>
      <c r="P16" s="64">
        <f t="shared" si="3"/>
        <v>0</v>
      </c>
    </row>
    <row r="17" spans="1:16" ht="12.75" customHeight="1" x14ac:dyDescent="0.25">
      <c r="A17" t="s">
        <v>2721</v>
      </c>
      <c r="B17" t="s">
        <v>2143</v>
      </c>
      <c r="C17" t="s">
        <v>4267</v>
      </c>
      <c r="D17" s="9">
        <v>188.1</v>
      </c>
      <c r="E17" s="9">
        <v>793.69999999999993</v>
      </c>
      <c r="F17" s="9">
        <v>0</v>
      </c>
      <c r="G17" s="9">
        <v>0</v>
      </c>
      <c r="H17" s="77">
        <v>981.8</v>
      </c>
      <c r="I17" s="77">
        <v>98.18</v>
      </c>
      <c r="M17" s="64">
        <f t="shared" si="0"/>
        <v>981.8</v>
      </c>
      <c r="N17" s="64">
        <f t="shared" si="1"/>
        <v>0</v>
      </c>
      <c r="O17" s="64">
        <f t="shared" si="2"/>
        <v>98.18</v>
      </c>
      <c r="P17" s="64">
        <f t="shared" si="3"/>
        <v>0</v>
      </c>
    </row>
    <row r="18" spans="1:16" ht="12.75" customHeight="1" x14ac:dyDescent="0.25">
      <c r="A18" t="s">
        <v>93</v>
      </c>
      <c r="B18" t="s">
        <v>2143</v>
      </c>
      <c r="C18" t="s">
        <v>4194</v>
      </c>
      <c r="D18" s="9">
        <v>207.2</v>
      </c>
      <c r="E18" s="9">
        <v>569.40000000000009</v>
      </c>
      <c r="F18" s="9">
        <v>0</v>
      </c>
      <c r="G18" s="9">
        <v>0</v>
      </c>
      <c r="H18" s="77">
        <v>776.60000000000014</v>
      </c>
      <c r="I18" s="77">
        <v>77.66</v>
      </c>
      <c r="M18" s="64">
        <f t="shared" si="0"/>
        <v>776.60000000000014</v>
      </c>
      <c r="N18" s="64">
        <f t="shared" si="1"/>
        <v>0</v>
      </c>
      <c r="O18" s="64">
        <f t="shared" si="2"/>
        <v>77.660000000000025</v>
      </c>
      <c r="P18" s="64">
        <f t="shared" si="3"/>
        <v>0</v>
      </c>
    </row>
    <row r="19" spans="1:16" ht="12.75" customHeight="1" x14ac:dyDescent="0.25">
      <c r="A19" t="s">
        <v>347</v>
      </c>
      <c r="B19" t="s">
        <v>2143</v>
      </c>
      <c r="C19" t="s">
        <v>4073</v>
      </c>
      <c r="D19" s="9">
        <v>258.40000000000003</v>
      </c>
      <c r="E19" s="9">
        <v>411</v>
      </c>
      <c r="F19" s="9">
        <v>0</v>
      </c>
      <c r="G19" s="9">
        <v>0</v>
      </c>
      <c r="H19" s="77">
        <v>669.40000000000009</v>
      </c>
      <c r="I19" s="77">
        <v>66.94</v>
      </c>
      <c r="M19" s="64">
        <f t="shared" si="0"/>
        <v>669.40000000000009</v>
      </c>
      <c r="N19" s="64">
        <f t="shared" si="1"/>
        <v>0</v>
      </c>
      <c r="O19" s="64">
        <f t="shared" si="2"/>
        <v>66.940000000000012</v>
      </c>
      <c r="P19" s="64">
        <f t="shared" si="3"/>
        <v>0</v>
      </c>
    </row>
    <row r="20" spans="1:16" ht="12.75" customHeight="1" x14ac:dyDescent="0.25">
      <c r="A20" t="s">
        <v>2305</v>
      </c>
      <c r="B20" t="s">
        <v>2143</v>
      </c>
      <c r="C20" t="s">
        <v>4294</v>
      </c>
      <c r="D20" s="9">
        <v>299.8</v>
      </c>
      <c r="E20" s="9">
        <v>281.8</v>
      </c>
      <c r="F20" s="9">
        <v>0</v>
      </c>
      <c r="G20" s="9">
        <v>0</v>
      </c>
      <c r="H20" s="77">
        <v>581.6</v>
      </c>
      <c r="I20" s="77">
        <v>58.16</v>
      </c>
      <c r="M20" s="64">
        <f t="shared" si="0"/>
        <v>581.6</v>
      </c>
      <c r="N20" s="64">
        <f t="shared" si="1"/>
        <v>0</v>
      </c>
      <c r="O20" s="64">
        <f t="shared" si="2"/>
        <v>58.160000000000004</v>
      </c>
      <c r="P20" s="64">
        <f t="shared" si="3"/>
        <v>0</v>
      </c>
    </row>
    <row r="21" spans="1:16" ht="12.75" customHeight="1" x14ac:dyDescent="0.25">
      <c r="A21" s="19" t="s">
        <v>500</v>
      </c>
      <c r="B21" s="19" t="s">
        <v>2143</v>
      </c>
      <c r="C21" s="19" t="s">
        <v>4119</v>
      </c>
      <c r="D21" s="9">
        <v>246.6</v>
      </c>
      <c r="E21" s="9">
        <v>129.80000000000001</v>
      </c>
      <c r="F21" s="9">
        <v>4.2</v>
      </c>
      <c r="G21" s="9">
        <v>57.2</v>
      </c>
      <c r="H21" s="77">
        <v>315</v>
      </c>
      <c r="I21" s="77">
        <v>31.5</v>
      </c>
      <c r="M21" s="64">
        <f t="shared" si="0"/>
        <v>315</v>
      </c>
      <c r="N21" s="64">
        <f t="shared" si="1"/>
        <v>0</v>
      </c>
      <c r="O21" s="64">
        <f t="shared" si="2"/>
        <v>31.5</v>
      </c>
      <c r="P21" s="64">
        <f t="shared" si="3"/>
        <v>0</v>
      </c>
    </row>
    <row r="22" spans="1:16" ht="12.75" customHeight="1" x14ac:dyDescent="0.25">
      <c r="A22" t="s">
        <v>34</v>
      </c>
      <c r="B22" t="s">
        <v>175</v>
      </c>
      <c r="C22" t="s">
        <v>4139</v>
      </c>
      <c r="D22" s="9">
        <v>11599.699999999999</v>
      </c>
      <c r="E22" s="9">
        <v>2700.7</v>
      </c>
      <c r="F22" s="9">
        <v>122.3</v>
      </c>
      <c r="G22" s="9">
        <v>546.9</v>
      </c>
      <c r="H22" s="77">
        <v>13631.2</v>
      </c>
      <c r="I22" s="77">
        <v>1363.12</v>
      </c>
      <c r="M22" s="64">
        <f t="shared" si="0"/>
        <v>13631.199999999999</v>
      </c>
      <c r="N22" s="64">
        <f t="shared" si="1"/>
        <v>0</v>
      </c>
      <c r="O22" s="64">
        <f t="shared" si="2"/>
        <v>1363.12</v>
      </c>
      <c r="P22" s="64">
        <f t="shared" si="3"/>
        <v>0</v>
      </c>
    </row>
    <row r="23" spans="1:16" ht="12.75" customHeight="1" x14ac:dyDescent="0.25">
      <c r="A23" t="s">
        <v>426</v>
      </c>
      <c r="B23" t="s">
        <v>175</v>
      </c>
      <c r="C23" t="s">
        <v>4190</v>
      </c>
      <c r="D23" s="9">
        <v>6155.3</v>
      </c>
      <c r="E23" s="9">
        <v>221</v>
      </c>
      <c r="F23" s="9">
        <v>255.7</v>
      </c>
      <c r="G23" s="9">
        <v>570.1</v>
      </c>
      <c r="H23" s="77">
        <v>5550.5</v>
      </c>
      <c r="I23" s="77">
        <v>555.05000000000007</v>
      </c>
      <c r="M23" s="64">
        <f t="shared" si="0"/>
        <v>5550.5</v>
      </c>
      <c r="N23" s="64">
        <f t="shared" si="1"/>
        <v>0</v>
      </c>
      <c r="O23" s="64">
        <f t="shared" si="2"/>
        <v>555.05000000000007</v>
      </c>
      <c r="P23" s="64">
        <f t="shared" si="3"/>
        <v>0</v>
      </c>
    </row>
    <row r="24" spans="1:16" ht="12.75" customHeight="1" x14ac:dyDescent="0.25">
      <c r="A24" t="s">
        <v>425</v>
      </c>
      <c r="B24" t="s">
        <v>175</v>
      </c>
      <c r="C24" t="s">
        <v>4092</v>
      </c>
      <c r="D24" s="9">
        <v>369</v>
      </c>
      <c r="E24" s="9">
        <v>483.9</v>
      </c>
      <c r="F24" s="9">
        <v>25.2</v>
      </c>
      <c r="G24" s="9">
        <v>325</v>
      </c>
      <c r="H24" s="77">
        <v>502.70000000000005</v>
      </c>
      <c r="I24" s="77">
        <v>50.27</v>
      </c>
      <c r="M24" s="64">
        <f t="shared" si="0"/>
        <v>502.69999999999993</v>
      </c>
      <c r="N24" s="64">
        <f t="shared" si="1"/>
        <v>0</v>
      </c>
      <c r="O24" s="64">
        <f t="shared" si="2"/>
        <v>50.269999999999996</v>
      </c>
      <c r="P24" s="64">
        <f t="shared" si="3"/>
        <v>0</v>
      </c>
    </row>
    <row r="25" spans="1:16" ht="12.75" customHeight="1" x14ac:dyDescent="0.25">
      <c r="A25" t="s">
        <v>34</v>
      </c>
      <c r="B25" t="s">
        <v>194</v>
      </c>
      <c r="C25" t="s">
        <v>4140</v>
      </c>
      <c r="D25" s="9">
        <v>38513.799999999996</v>
      </c>
      <c r="E25" s="9">
        <v>50050.5</v>
      </c>
      <c r="F25" s="9">
        <v>861.1</v>
      </c>
      <c r="G25" s="9">
        <v>0.4</v>
      </c>
      <c r="H25" s="77">
        <v>87702.799999999988</v>
      </c>
      <c r="I25" s="77">
        <v>8770.2800000000007</v>
      </c>
      <c r="M25" s="64">
        <f t="shared" si="0"/>
        <v>87702.799999999988</v>
      </c>
      <c r="N25" s="64">
        <f t="shared" si="1"/>
        <v>0</v>
      </c>
      <c r="O25" s="64">
        <f t="shared" si="2"/>
        <v>8770.2799999999988</v>
      </c>
      <c r="P25" s="64">
        <f t="shared" si="3"/>
        <v>0</v>
      </c>
    </row>
    <row r="26" spans="1:16" ht="12.75" customHeight="1" x14ac:dyDescent="0.25">
      <c r="A26" t="s">
        <v>2124</v>
      </c>
      <c r="B26" t="s">
        <v>194</v>
      </c>
      <c r="C26" t="s">
        <v>4334</v>
      </c>
      <c r="D26" s="9">
        <v>15822.4</v>
      </c>
      <c r="E26" s="9">
        <v>10439.700000000001</v>
      </c>
      <c r="F26" s="9">
        <v>7826.9</v>
      </c>
      <c r="G26" s="9">
        <v>6006.3</v>
      </c>
      <c r="H26" s="77">
        <v>12428.9</v>
      </c>
      <c r="I26" s="77">
        <v>1242.8899999999999</v>
      </c>
      <c r="M26" s="64">
        <f t="shared" si="0"/>
        <v>12428.899999999998</v>
      </c>
      <c r="N26" s="64">
        <f t="shared" si="1"/>
        <v>0</v>
      </c>
      <c r="O26" s="64">
        <f t="shared" si="2"/>
        <v>1242.8899999999999</v>
      </c>
      <c r="P26" s="64">
        <f t="shared" si="3"/>
        <v>0</v>
      </c>
    </row>
    <row r="27" spans="1:16" ht="12.75" customHeight="1" x14ac:dyDescent="0.25">
      <c r="A27" t="s">
        <v>1993</v>
      </c>
      <c r="B27" t="s">
        <v>194</v>
      </c>
      <c r="C27" t="s">
        <v>4409</v>
      </c>
      <c r="E27" s="9">
        <v>4362.3</v>
      </c>
      <c r="G27" s="9">
        <v>0</v>
      </c>
      <c r="H27" s="77">
        <v>4362.3</v>
      </c>
      <c r="I27" s="77">
        <v>436.23</v>
      </c>
      <c r="M27" s="64">
        <f t="shared" si="0"/>
        <v>4362.3</v>
      </c>
      <c r="N27" s="64">
        <f t="shared" si="1"/>
        <v>0</v>
      </c>
      <c r="O27" s="64">
        <f t="shared" si="2"/>
        <v>436.23</v>
      </c>
      <c r="P27" s="64">
        <f t="shared" si="3"/>
        <v>0</v>
      </c>
    </row>
    <row r="28" spans="1:16" x14ac:dyDescent="0.25">
      <c r="A28" t="s">
        <v>2200</v>
      </c>
      <c r="B28" t="s">
        <v>194</v>
      </c>
      <c r="C28" t="s">
        <v>4101</v>
      </c>
      <c r="D28" s="9">
        <v>551</v>
      </c>
      <c r="E28" s="9">
        <v>2947.3</v>
      </c>
      <c r="F28" s="9">
        <v>110.2</v>
      </c>
      <c r="G28" s="9">
        <v>587.1</v>
      </c>
      <c r="H28" s="77">
        <v>2801.0000000000005</v>
      </c>
      <c r="I28" s="77">
        <v>280.10000000000002</v>
      </c>
      <c r="M28" s="64">
        <f t="shared" si="0"/>
        <v>2801.0000000000005</v>
      </c>
      <c r="N28" s="64">
        <f t="shared" si="1"/>
        <v>0</v>
      </c>
      <c r="O28" s="64">
        <f t="shared" si="2"/>
        <v>280.10000000000008</v>
      </c>
      <c r="P28" s="64">
        <f t="shared" si="3"/>
        <v>0</v>
      </c>
    </row>
    <row r="29" spans="1:16" x14ac:dyDescent="0.25">
      <c r="A29" t="s">
        <v>349</v>
      </c>
      <c r="B29" t="s">
        <v>194</v>
      </c>
      <c r="C29" t="s">
        <v>4187</v>
      </c>
      <c r="D29" s="9">
        <v>310.39999999999998</v>
      </c>
      <c r="E29" s="9">
        <v>401.2</v>
      </c>
      <c r="F29" s="9">
        <v>0</v>
      </c>
      <c r="G29" s="9">
        <v>0</v>
      </c>
      <c r="H29" s="77">
        <v>711.59999999999991</v>
      </c>
      <c r="I29" s="77">
        <v>71.16</v>
      </c>
      <c r="M29" s="64">
        <f t="shared" si="0"/>
        <v>711.59999999999991</v>
      </c>
      <c r="N29" s="64">
        <f t="shared" si="1"/>
        <v>0</v>
      </c>
      <c r="O29" s="64">
        <f t="shared" si="2"/>
        <v>71.16</v>
      </c>
      <c r="P29" s="64">
        <f t="shared" si="3"/>
        <v>0</v>
      </c>
    </row>
    <row r="30" spans="1:16" s="13" customFormat="1" ht="13" x14ac:dyDescent="0.3">
      <c r="A30" t="s">
        <v>2395</v>
      </c>
      <c r="B30" t="s">
        <v>194</v>
      </c>
      <c r="C30" t="s">
        <v>4563</v>
      </c>
      <c r="D30" s="9">
        <v>85.8</v>
      </c>
      <c r="E30" s="9">
        <v>51.9</v>
      </c>
      <c r="F30" s="9">
        <v>0.1</v>
      </c>
      <c r="G30" s="9">
        <v>0</v>
      </c>
      <c r="H30" s="77">
        <v>137.6</v>
      </c>
      <c r="I30" s="77">
        <v>13.760000000000002</v>
      </c>
      <c r="J30"/>
      <c r="K30"/>
      <c r="L30"/>
      <c r="M30" s="64">
        <f t="shared" si="0"/>
        <v>137.6</v>
      </c>
      <c r="N30" s="64">
        <f t="shared" si="1"/>
        <v>0</v>
      </c>
      <c r="O30" s="64">
        <f t="shared" si="2"/>
        <v>13.76</v>
      </c>
      <c r="P30" s="64">
        <f t="shared" si="3"/>
        <v>0</v>
      </c>
    </row>
    <row r="31" spans="1:16" x14ac:dyDescent="0.25">
      <c r="A31" t="s">
        <v>34</v>
      </c>
      <c r="B31" t="s">
        <v>38</v>
      </c>
      <c r="C31" t="s">
        <v>4141</v>
      </c>
      <c r="D31" s="9">
        <v>18996.399999999998</v>
      </c>
      <c r="E31" s="9">
        <v>45496</v>
      </c>
      <c r="F31" s="9">
        <v>173.69999999999996</v>
      </c>
      <c r="G31" s="9">
        <v>602.29999999999995</v>
      </c>
      <c r="H31" s="77">
        <v>63716.4</v>
      </c>
      <c r="I31" s="77">
        <v>6371.64</v>
      </c>
      <c r="M31" s="64">
        <f t="shared" si="0"/>
        <v>63716.399999999994</v>
      </c>
      <c r="N31" s="64">
        <f t="shared" si="1"/>
        <v>0</v>
      </c>
      <c r="O31" s="64">
        <f t="shared" si="2"/>
        <v>6371.6399999999994</v>
      </c>
      <c r="P31" s="64">
        <f t="shared" si="3"/>
        <v>0</v>
      </c>
    </row>
    <row r="32" spans="1:16" x14ac:dyDescent="0.25">
      <c r="A32" t="s">
        <v>230</v>
      </c>
      <c r="B32" t="s">
        <v>38</v>
      </c>
      <c r="C32" t="s">
        <v>4184</v>
      </c>
      <c r="D32" s="9">
        <v>5248.4</v>
      </c>
      <c r="E32" s="9">
        <v>2442.3000000000002</v>
      </c>
      <c r="F32" s="9">
        <v>45</v>
      </c>
      <c r="G32" s="9">
        <v>402.8</v>
      </c>
      <c r="H32" s="77">
        <v>7242.9</v>
      </c>
      <c r="I32" s="77">
        <v>724.29000000000008</v>
      </c>
      <c r="M32" s="64">
        <f t="shared" si="0"/>
        <v>7242.9</v>
      </c>
      <c r="N32" s="64">
        <f t="shared" si="1"/>
        <v>0</v>
      </c>
      <c r="O32" s="64">
        <f t="shared" si="2"/>
        <v>724.29</v>
      </c>
      <c r="P32" s="64">
        <f t="shared" si="3"/>
        <v>0</v>
      </c>
    </row>
    <row r="33" spans="1:16" x14ac:dyDescent="0.25">
      <c r="A33" t="s">
        <v>427</v>
      </c>
      <c r="B33" t="s">
        <v>38</v>
      </c>
      <c r="C33" t="s">
        <v>4116</v>
      </c>
      <c r="D33" s="9">
        <v>377.1</v>
      </c>
      <c r="E33" s="9">
        <v>313.3</v>
      </c>
      <c r="F33" s="9">
        <v>0</v>
      </c>
      <c r="G33" s="9">
        <v>0</v>
      </c>
      <c r="H33" s="77">
        <v>690.40000000000009</v>
      </c>
      <c r="I33" s="77">
        <v>69.039999999999992</v>
      </c>
      <c r="M33" s="64">
        <f t="shared" ref="M33:M64" si="4">D33+E33-F33-G33</f>
        <v>690.40000000000009</v>
      </c>
      <c r="N33" s="64">
        <f t="shared" ref="N33:N64" si="5">H33-M33</f>
        <v>0</v>
      </c>
      <c r="O33" s="64">
        <f t="shared" ref="O33:O64" si="6">M33*0.1</f>
        <v>69.040000000000006</v>
      </c>
      <c r="P33" s="64">
        <f t="shared" ref="P33:P64" si="7">I33-O33</f>
        <v>0</v>
      </c>
    </row>
    <row r="34" spans="1:16" x14ac:dyDescent="0.25">
      <c r="A34" t="s">
        <v>2624</v>
      </c>
      <c r="B34" t="s">
        <v>38</v>
      </c>
      <c r="C34" t="s">
        <v>4559</v>
      </c>
      <c r="D34" s="9">
        <v>5.4</v>
      </c>
      <c r="E34" s="9">
        <v>103.3</v>
      </c>
      <c r="F34" s="9">
        <v>0</v>
      </c>
      <c r="G34" s="9">
        <v>0</v>
      </c>
      <c r="H34" s="77">
        <v>108.7</v>
      </c>
      <c r="I34" s="77">
        <v>10.870000000000001</v>
      </c>
      <c r="M34" s="64">
        <f t="shared" si="4"/>
        <v>108.7</v>
      </c>
      <c r="N34" s="64">
        <f t="shared" si="5"/>
        <v>0</v>
      </c>
      <c r="O34" s="64">
        <f t="shared" si="6"/>
        <v>10.870000000000001</v>
      </c>
      <c r="P34" s="64">
        <f t="shared" si="7"/>
        <v>0</v>
      </c>
    </row>
    <row r="35" spans="1:16" x14ac:dyDescent="0.25">
      <c r="A35" t="s">
        <v>328</v>
      </c>
      <c r="B35" t="s">
        <v>38</v>
      </c>
      <c r="C35" t="s">
        <v>4206</v>
      </c>
      <c r="D35" s="9">
        <v>5.4</v>
      </c>
      <c r="E35" s="9">
        <v>103.3</v>
      </c>
      <c r="F35" s="9">
        <v>0</v>
      </c>
      <c r="G35" s="9">
        <v>0</v>
      </c>
      <c r="H35" s="77">
        <v>108.7</v>
      </c>
      <c r="I35" s="77">
        <v>10.870000000000001</v>
      </c>
      <c r="M35" s="64">
        <f t="shared" si="4"/>
        <v>108.7</v>
      </c>
      <c r="N35" s="64">
        <f t="shared" si="5"/>
        <v>0</v>
      </c>
      <c r="O35" s="64">
        <f t="shared" si="6"/>
        <v>10.870000000000001</v>
      </c>
      <c r="P35" s="64">
        <f t="shared" si="7"/>
        <v>0</v>
      </c>
    </row>
    <row r="36" spans="1:16" x14ac:dyDescent="0.25">
      <c r="A36" t="s">
        <v>428</v>
      </c>
      <c r="B36" t="s">
        <v>38</v>
      </c>
      <c r="C36" t="s">
        <v>4199</v>
      </c>
      <c r="D36" s="9">
        <v>207</v>
      </c>
      <c r="F36" s="9">
        <v>126.4</v>
      </c>
      <c r="H36" s="77">
        <v>80.599999999999994</v>
      </c>
      <c r="I36" s="77">
        <v>8.0599999999999987</v>
      </c>
      <c r="M36" s="64">
        <f t="shared" si="4"/>
        <v>80.599999999999994</v>
      </c>
      <c r="N36" s="64">
        <f t="shared" si="5"/>
        <v>0</v>
      </c>
      <c r="O36" s="64">
        <f t="shared" si="6"/>
        <v>8.06</v>
      </c>
      <c r="P36" s="64">
        <f t="shared" si="7"/>
        <v>0</v>
      </c>
    </row>
    <row r="37" spans="1:16" x14ac:dyDescent="0.25">
      <c r="A37" t="s">
        <v>1851</v>
      </c>
      <c r="B37" t="s">
        <v>31</v>
      </c>
      <c r="C37" t="s">
        <v>4239</v>
      </c>
      <c r="D37" s="9">
        <v>1011237.3000000003</v>
      </c>
      <c r="E37" s="9">
        <v>1497153.79</v>
      </c>
      <c r="F37" s="9">
        <v>51577.409999999996</v>
      </c>
      <c r="G37" s="9">
        <v>107930.45999999999</v>
      </c>
      <c r="H37" s="77">
        <v>2348883.2200000002</v>
      </c>
      <c r="I37" s="77">
        <v>234888.37000000002</v>
      </c>
      <c r="M37" s="64">
        <f t="shared" si="4"/>
        <v>2348883.2200000002</v>
      </c>
      <c r="N37" s="64">
        <f t="shared" si="5"/>
        <v>0</v>
      </c>
      <c r="O37" s="64">
        <f t="shared" si="6"/>
        <v>234888.32200000004</v>
      </c>
      <c r="P37" s="64">
        <f t="shared" si="7"/>
        <v>4.7999999980675057E-2</v>
      </c>
    </row>
    <row r="38" spans="1:16" x14ac:dyDescent="0.25">
      <c r="A38" t="s">
        <v>1852</v>
      </c>
      <c r="B38" t="s">
        <v>40</v>
      </c>
      <c r="C38" t="s">
        <v>4240</v>
      </c>
      <c r="D38" s="9">
        <v>656158.68000000017</v>
      </c>
      <c r="E38" s="9">
        <v>1043094.9499999997</v>
      </c>
      <c r="F38" s="9">
        <v>66212.219999999987</v>
      </c>
      <c r="G38" s="9">
        <v>73315.48000000001</v>
      </c>
      <c r="H38" s="77">
        <v>1559725.93</v>
      </c>
      <c r="I38" s="77">
        <v>155972.60999999999</v>
      </c>
      <c r="M38" s="64">
        <f t="shared" si="4"/>
        <v>1559725.93</v>
      </c>
      <c r="N38" s="64">
        <f t="shared" si="5"/>
        <v>0</v>
      </c>
      <c r="O38" s="64">
        <f t="shared" si="6"/>
        <v>155972.59299999999</v>
      </c>
      <c r="P38" s="64">
        <f t="shared" si="7"/>
        <v>1.6999999992549419E-2</v>
      </c>
    </row>
    <row r="39" spans="1:16" x14ac:dyDescent="0.25">
      <c r="A39" t="s">
        <v>34</v>
      </c>
      <c r="B39" t="s">
        <v>313</v>
      </c>
      <c r="C39" t="s">
        <v>4142</v>
      </c>
      <c r="D39" s="9">
        <v>4355</v>
      </c>
      <c r="E39" s="9">
        <v>2429.3000000000002</v>
      </c>
      <c r="F39" s="9">
        <v>1738.6</v>
      </c>
      <c r="G39" s="9">
        <v>28.3</v>
      </c>
      <c r="H39" s="77">
        <v>5017.3999999999996</v>
      </c>
      <c r="I39" s="77">
        <v>501.74</v>
      </c>
      <c r="M39" s="64">
        <f t="shared" si="4"/>
        <v>5017.4000000000005</v>
      </c>
      <c r="N39" s="64">
        <f t="shared" si="5"/>
        <v>0</v>
      </c>
      <c r="O39" s="64">
        <f t="shared" si="6"/>
        <v>501.74000000000007</v>
      </c>
      <c r="P39" s="64">
        <f t="shared" si="7"/>
        <v>0</v>
      </c>
    </row>
    <row r="40" spans="1:16" x14ac:dyDescent="0.25">
      <c r="A40" t="s">
        <v>514</v>
      </c>
      <c r="B40" t="s">
        <v>313</v>
      </c>
      <c r="C40" t="s">
        <v>4111</v>
      </c>
      <c r="D40" s="9">
        <v>1702.7</v>
      </c>
      <c r="E40" s="9">
        <v>502.7</v>
      </c>
      <c r="F40" s="9">
        <v>0</v>
      </c>
      <c r="G40" s="9">
        <v>0</v>
      </c>
      <c r="H40" s="77">
        <v>2205.4</v>
      </c>
      <c r="I40" s="77">
        <v>220.54000000000002</v>
      </c>
      <c r="M40" s="64">
        <f t="shared" si="4"/>
        <v>2205.4</v>
      </c>
      <c r="N40" s="64">
        <f t="shared" si="5"/>
        <v>0</v>
      </c>
      <c r="O40" s="64">
        <f t="shared" si="6"/>
        <v>220.54000000000002</v>
      </c>
      <c r="P40" s="64">
        <f t="shared" si="7"/>
        <v>0</v>
      </c>
    </row>
    <row r="41" spans="1:16" x14ac:dyDescent="0.25">
      <c r="A41" t="s">
        <v>2849</v>
      </c>
      <c r="B41" t="s">
        <v>313</v>
      </c>
      <c r="C41" t="s">
        <v>4421</v>
      </c>
      <c r="D41" s="9">
        <v>455.8</v>
      </c>
      <c r="E41" s="9">
        <v>45.8</v>
      </c>
      <c r="F41" s="9">
        <v>0</v>
      </c>
      <c r="G41" s="9">
        <v>0</v>
      </c>
      <c r="H41" s="77">
        <v>501.6</v>
      </c>
      <c r="I41" s="77">
        <v>50.16</v>
      </c>
      <c r="M41" s="64">
        <f t="shared" si="4"/>
        <v>501.6</v>
      </c>
      <c r="N41" s="64">
        <f t="shared" si="5"/>
        <v>0</v>
      </c>
      <c r="O41" s="64">
        <f t="shared" si="6"/>
        <v>50.160000000000004</v>
      </c>
      <c r="P41" s="64">
        <f t="shared" si="7"/>
        <v>0</v>
      </c>
    </row>
    <row r="42" spans="1:16" x14ac:dyDescent="0.25">
      <c r="A42" t="s">
        <v>433</v>
      </c>
      <c r="B42" t="s">
        <v>313</v>
      </c>
      <c r="C42" t="s">
        <v>4430</v>
      </c>
      <c r="D42" s="9">
        <v>4.5999999999999996</v>
      </c>
      <c r="E42" s="9">
        <v>478.5</v>
      </c>
      <c r="F42" s="9">
        <v>0</v>
      </c>
      <c r="G42" s="9">
        <v>0</v>
      </c>
      <c r="H42" s="77">
        <v>483.1</v>
      </c>
      <c r="I42" s="77">
        <v>48.31</v>
      </c>
      <c r="M42" s="64">
        <f t="shared" si="4"/>
        <v>483.1</v>
      </c>
      <c r="N42" s="64">
        <f t="shared" si="5"/>
        <v>0</v>
      </c>
      <c r="O42" s="64">
        <f t="shared" si="6"/>
        <v>48.31</v>
      </c>
      <c r="P42" s="64">
        <f t="shared" si="7"/>
        <v>0</v>
      </c>
    </row>
    <row r="43" spans="1:16" x14ac:dyDescent="0.25">
      <c r="A43" t="s">
        <v>2885</v>
      </c>
      <c r="B43" t="s">
        <v>313</v>
      </c>
      <c r="C43" t="s">
        <v>4552</v>
      </c>
      <c r="D43" s="9">
        <v>288.7</v>
      </c>
      <c r="E43" s="9">
        <v>186.4</v>
      </c>
      <c r="F43" s="9">
        <v>0</v>
      </c>
      <c r="G43" s="9">
        <v>0</v>
      </c>
      <c r="H43" s="77">
        <v>475.1</v>
      </c>
      <c r="I43" s="77">
        <v>47.510000000000005</v>
      </c>
      <c r="M43" s="64">
        <f t="shared" si="4"/>
        <v>475.1</v>
      </c>
      <c r="N43" s="64">
        <f t="shared" si="5"/>
        <v>0</v>
      </c>
      <c r="O43" s="64">
        <f t="shared" si="6"/>
        <v>47.510000000000005</v>
      </c>
      <c r="P43" s="64">
        <f t="shared" si="7"/>
        <v>0</v>
      </c>
    </row>
    <row r="44" spans="1:16" x14ac:dyDescent="0.25">
      <c r="A44" t="s">
        <v>515</v>
      </c>
      <c r="B44" t="s">
        <v>2</v>
      </c>
      <c r="C44" t="s">
        <v>4120</v>
      </c>
      <c r="D44" s="9">
        <v>2585.6999999999998</v>
      </c>
      <c r="E44" s="9">
        <v>1052.9000000000001</v>
      </c>
      <c r="F44" s="9">
        <v>998.5</v>
      </c>
      <c r="G44" s="9">
        <v>0</v>
      </c>
      <c r="H44" s="77">
        <v>2640.1000000000004</v>
      </c>
      <c r="I44" s="77">
        <v>264.01</v>
      </c>
      <c r="M44" s="64">
        <f t="shared" si="4"/>
        <v>2640.1</v>
      </c>
      <c r="N44" s="64">
        <f t="shared" si="5"/>
        <v>0</v>
      </c>
      <c r="O44" s="64">
        <f t="shared" si="6"/>
        <v>264.01</v>
      </c>
      <c r="P44" s="64">
        <f t="shared" si="7"/>
        <v>0</v>
      </c>
    </row>
    <row r="45" spans="1:16" x14ac:dyDescent="0.25">
      <c r="A45" t="s">
        <v>34</v>
      </c>
      <c r="B45" t="s">
        <v>2</v>
      </c>
      <c r="C45" t="s">
        <v>4143</v>
      </c>
      <c r="D45" s="9">
        <v>1202.2</v>
      </c>
      <c r="E45" s="9">
        <v>2736.7</v>
      </c>
      <c r="F45" s="9">
        <v>714.6</v>
      </c>
      <c r="G45" s="9">
        <v>2192.6</v>
      </c>
      <c r="H45" s="77">
        <v>1031.7</v>
      </c>
      <c r="I45" s="77">
        <v>103.16999999999999</v>
      </c>
      <c r="M45" s="64">
        <f t="shared" si="4"/>
        <v>1031.6999999999998</v>
      </c>
      <c r="N45" s="64">
        <f t="shared" si="5"/>
        <v>0</v>
      </c>
      <c r="O45" s="64">
        <f t="shared" si="6"/>
        <v>103.16999999999999</v>
      </c>
      <c r="P45" s="64">
        <f t="shared" si="7"/>
        <v>0</v>
      </c>
    </row>
    <row r="46" spans="1:16" x14ac:dyDescent="0.25">
      <c r="A46" t="s">
        <v>2264</v>
      </c>
      <c r="B46" t="s">
        <v>2</v>
      </c>
      <c r="C46" t="s">
        <v>4275</v>
      </c>
      <c r="D46" s="9">
        <v>507.2</v>
      </c>
      <c r="E46" s="9">
        <v>240.3</v>
      </c>
      <c r="F46" s="9">
        <v>0</v>
      </c>
      <c r="G46" s="9">
        <v>0</v>
      </c>
      <c r="H46" s="77">
        <v>747.5</v>
      </c>
      <c r="I46" s="77">
        <v>74.75</v>
      </c>
      <c r="M46" s="64">
        <f t="shared" si="4"/>
        <v>747.5</v>
      </c>
      <c r="N46" s="64">
        <f t="shared" si="5"/>
        <v>0</v>
      </c>
      <c r="O46" s="64">
        <f t="shared" si="6"/>
        <v>74.75</v>
      </c>
      <c r="P46" s="64">
        <f t="shared" si="7"/>
        <v>0</v>
      </c>
    </row>
    <row r="47" spans="1:16" x14ac:dyDescent="0.25">
      <c r="A47" t="s">
        <v>2108</v>
      </c>
      <c r="B47" t="s">
        <v>2</v>
      </c>
      <c r="C47" t="s">
        <v>4063</v>
      </c>
      <c r="D47" s="9">
        <v>178.6</v>
      </c>
      <c r="E47" s="9">
        <v>433.3</v>
      </c>
      <c r="F47" s="9">
        <v>0</v>
      </c>
      <c r="G47" s="9">
        <v>0</v>
      </c>
      <c r="H47" s="77">
        <v>611.9</v>
      </c>
      <c r="I47" s="77">
        <v>61.19</v>
      </c>
      <c r="M47" s="64">
        <f t="shared" si="4"/>
        <v>611.9</v>
      </c>
      <c r="N47" s="64">
        <f t="shared" si="5"/>
        <v>0</v>
      </c>
      <c r="O47" s="64">
        <f t="shared" si="6"/>
        <v>61.19</v>
      </c>
      <c r="P47" s="64">
        <f t="shared" si="7"/>
        <v>0</v>
      </c>
    </row>
    <row r="48" spans="1:16" x14ac:dyDescent="0.25">
      <c r="A48" t="s">
        <v>2016</v>
      </c>
      <c r="B48" t="s">
        <v>42</v>
      </c>
      <c r="C48" t="s">
        <v>4241</v>
      </c>
      <c r="D48" s="9">
        <v>99432.099999999991</v>
      </c>
      <c r="E48" s="9">
        <v>122188.51000000005</v>
      </c>
      <c r="F48" s="9">
        <v>11764.01</v>
      </c>
      <c r="G48" s="9">
        <v>16220.01</v>
      </c>
      <c r="H48" s="77">
        <v>193636.59000000003</v>
      </c>
      <c r="I48" s="77">
        <v>19363.680000000004</v>
      </c>
      <c r="M48" s="64">
        <f t="shared" si="4"/>
        <v>193636.59000000003</v>
      </c>
      <c r="N48" s="64">
        <f t="shared" si="5"/>
        <v>0</v>
      </c>
      <c r="O48" s="64">
        <f t="shared" si="6"/>
        <v>19363.659000000003</v>
      </c>
      <c r="P48" s="64">
        <f t="shared" si="7"/>
        <v>2.1000000000640284E-2</v>
      </c>
    </row>
    <row r="49" spans="1:16" x14ac:dyDescent="0.25">
      <c r="A49" t="s">
        <v>2017</v>
      </c>
      <c r="B49" t="s">
        <v>44</v>
      </c>
      <c r="C49" t="s">
        <v>4242</v>
      </c>
      <c r="D49" s="9">
        <v>153308.38</v>
      </c>
      <c r="E49" s="9">
        <v>170715.19999999998</v>
      </c>
      <c r="F49" s="9">
        <v>20562.05</v>
      </c>
      <c r="G49" s="9">
        <v>24789.640000000003</v>
      </c>
      <c r="H49" s="77">
        <v>278671.89</v>
      </c>
      <c r="I49" s="77">
        <v>27867.180000000004</v>
      </c>
      <c r="M49" s="64">
        <f t="shared" si="4"/>
        <v>278671.88999999996</v>
      </c>
      <c r="N49" s="64">
        <f t="shared" si="5"/>
        <v>0</v>
      </c>
      <c r="O49" s="64">
        <f t="shared" si="6"/>
        <v>27867.188999999998</v>
      </c>
      <c r="P49" s="64">
        <f t="shared" si="7"/>
        <v>-8.9999999945575837E-3</v>
      </c>
    </row>
    <row r="50" spans="1:16" x14ac:dyDescent="0.25">
      <c r="A50" t="s">
        <v>1816</v>
      </c>
      <c r="B50" t="s">
        <v>67</v>
      </c>
      <c r="C50" t="s">
        <v>4272</v>
      </c>
      <c r="D50" s="9">
        <v>3079.4</v>
      </c>
      <c r="E50" s="9">
        <v>5614.4</v>
      </c>
      <c r="F50" s="9">
        <v>0</v>
      </c>
      <c r="G50" s="9">
        <v>0</v>
      </c>
      <c r="H50" s="77">
        <v>8693.7999999999993</v>
      </c>
      <c r="I50" s="77">
        <v>869.37999999999988</v>
      </c>
      <c r="M50" s="64">
        <f t="shared" si="4"/>
        <v>8693.7999999999993</v>
      </c>
      <c r="N50" s="64">
        <f t="shared" si="5"/>
        <v>0</v>
      </c>
      <c r="O50" s="64">
        <f t="shared" si="6"/>
        <v>869.38</v>
      </c>
      <c r="P50" s="64">
        <f t="shared" si="7"/>
        <v>0</v>
      </c>
    </row>
    <row r="51" spans="1:16" x14ac:dyDescent="0.25">
      <c r="A51" t="s">
        <v>34</v>
      </c>
      <c r="B51" t="s">
        <v>67</v>
      </c>
      <c r="C51" t="s">
        <v>4144</v>
      </c>
      <c r="D51" s="9">
        <v>4742.4000000000005</v>
      </c>
      <c r="E51" s="9">
        <v>8669.9</v>
      </c>
      <c r="F51" s="9">
        <v>2660.5</v>
      </c>
      <c r="G51" s="9">
        <v>6140</v>
      </c>
      <c r="H51" s="77">
        <v>4611.7999999999993</v>
      </c>
      <c r="I51" s="77">
        <v>461.18999999999994</v>
      </c>
      <c r="M51" s="64">
        <f t="shared" si="4"/>
        <v>4611.7999999999993</v>
      </c>
      <c r="N51" s="64">
        <f t="shared" si="5"/>
        <v>0</v>
      </c>
      <c r="O51" s="64">
        <f t="shared" si="6"/>
        <v>461.17999999999995</v>
      </c>
      <c r="P51" s="64">
        <f t="shared" si="7"/>
        <v>9.9999999999909051E-3</v>
      </c>
    </row>
    <row r="52" spans="1:16" x14ac:dyDescent="0.25">
      <c r="A52" t="s">
        <v>2317</v>
      </c>
      <c r="B52" t="s">
        <v>67</v>
      </c>
      <c r="C52" t="s">
        <v>4574</v>
      </c>
      <c r="D52" s="9">
        <v>84.7</v>
      </c>
      <c r="E52" s="9">
        <v>34</v>
      </c>
      <c r="F52" s="9">
        <v>0</v>
      </c>
      <c r="G52" s="9">
        <v>0</v>
      </c>
      <c r="H52" s="77">
        <v>118.7</v>
      </c>
      <c r="I52" s="77">
        <v>11.870000000000001</v>
      </c>
      <c r="M52" s="64">
        <f t="shared" si="4"/>
        <v>118.7</v>
      </c>
      <c r="N52" s="64">
        <f t="shared" si="5"/>
        <v>0</v>
      </c>
      <c r="O52" s="64">
        <f t="shared" si="6"/>
        <v>11.870000000000001</v>
      </c>
      <c r="P52" s="64">
        <f t="shared" si="7"/>
        <v>0</v>
      </c>
    </row>
    <row r="53" spans="1:16" x14ac:dyDescent="0.25">
      <c r="A53" t="s">
        <v>2315</v>
      </c>
      <c r="B53" t="s">
        <v>67</v>
      </c>
      <c r="C53" t="s">
        <v>4060</v>
      </c>
      <c r="D53" s="9">
        <v>73.3</v>
      </c>
      <c r="E53" s="9">
        <v>21.2</v>
      </c>
      <c r="F53" s="9">
        <v>1.3</v>
      </c>
      <c r="G53" s="9">
        <v>0</v>
      </c>
      <c r="H53" s="77">
        <v>93.2</v>
      </c>
      <c r="I53" s="77">
        <v>9.32</v>
      </c>
      <c r="M53" s="64">
        <f t="shared" si="4"/>
        <v>93.2</v>
      </c>
      <c r="N53" s="64">
        <f t="shared" si="5"/>
        <v>0</v>
      </c>
      <c r="O53" s="64">
        <f t="shared" si="6"/>
        <v>9.32</v>
      </c>
      <c r="P53" s="64">
        <f t="shared" si="7"/>
        <v>0</v>
      </c>
    </row>
    <row r="54" spans="1:16" x14ac:dyDescent="0.25">
      <c r="A54" t="s">
        <v>527</v>
      </c>
      <c r="B54" t="s">
        <v>49</v>
      </c>
      <c r="C54" t="s">
        <v>4070</v>
      </c>
      <c r="D54" s="9">
        <v>7693</v>
      </c>
      <c r="E54" s="9">
        <v>4700.6000000000004</v>
      </c>
      <c r="F54" s="9">
        <v>0</v>
      </c>
      <c r="G54" s="9">
        <v>0</v>
      </c>
      <c r="H54" s="77">
        <v>12393.6</v>
      </c>
      <c r="I54" s="77">
        <v>1239.3599999999999</v>
      </c>
      <c r="M54" s="64">
        <f t="shared" si="4"/>
        <v>12393.6</v>
      </c>
      <c r="N54" s="64">
        <f t="shared" si="5"/>
        <v>0</v>
      </c>
      <c r="O54" s="64">
        <f t="shared" si="6"/>
        <v>1239.3600000000001</v>
      </c>
      <c r="P54" s="64">
        <f t="shared" si="7"/>
        <v>0</v>
      </c>
    </row>
    <row r="55" spans="1:16" x14ac:dyDescent="0.25">
      <c r="A55" t="s">
        <v>34</v>
      </c>
      <c r="B55" t="s">
        <v>49</v>
      </c>
      <c r="C55" t="s">
        <v>4145</v>
      </c>
      <c r="D55" s="9">
        <v>11720.9</v>
      </c>
      <c r="E55" s="9">
        <v>14569.2</v>
      </c>
      <c r="F55" s="9">
        <v>5629.2</v>
      </c>
      <c r="G55" s="9">
        <v>8621.2999999999993</v>
      </c>
      <c r="H55" s="77">
        <v>12039.599999999999</v>
      </c>
      <c r="I55" s="77">
        <v>1203.96</v>
      </c>
      <c r="M55" s="64">
        <f t="shared" si="4"/>
        <v>12039.599999999999</v>
      </c>
      <c r="N55" s="64">
        <f t="shared" si="5"/>
        <v>0</v>
      </c>
      <c r="O55" s="64">
        <f t="shared" si="6"/>
        <v>1203.9599999999998</v>
      </c>
      <c r="P55" s="64">
        <f t="shared" si="7"/>
        <v>0</v>
      </c>
    </row>
    <row r="56" spans="1:16" x14ac:dyDescent="0.25">
      <c r="A56" t="s">
        <v>2243</v>
      </c>
      <c r="B56" t="s">
        <v>49</v>
      </c>
      <c r="C56" t="s">
        <v>4419</v>
      </c>
      <c r="D56" s="9">
        <v>6.1</v>
      </c>
      <c r="E56" s="9">
        <v>957.8</v>
      </c>
      <c r="F56" s="9">
        <v>0</v>
      </c>
      <c r="G56" s="9">
        <v>0</v>
      </c>
      <c r="H56" s="77">
        <v>963.9</v>
      </c>
      <c r="I56" s="77">
        <v>96.39</v>
      </c>
      <c r="M56" s="64">
        <f t="shared" si="4"/>
        <v>963.9</v>
      </c>
      <c r="N56" s="64">
        <f t="shared" si="5"/>
        <v>0</v>
      </c>
      <c r="O56" s="64">
        <f t="shared" si="6"/>
        <v>96.39</v>
      </c>
      <c r="P56" s="64">
        <f t="shared" si="7"/>
        <v>0</v>
      </c>
    </row>
    <row r="57" spans="1:16" x14ac:dyDescent="0.25">
      <c r="A57" t="s">
        <v>34</v>
      </c>
      <c r="B57" t="s">
        <v>529</v>
      </c>
      <c r="C57" t="s">
        <v>4428</v>
      </c>
      <c r="D57" s="9">
        <v>15.6</v>
      </c>
      <c r="E57" s="9">
        <v>94.4</v>
      </c>
      <c r="F57" s="9">
        <v>0</v>
      </c>
      <c r="G57" s="9">
        <v>0</v>
      </c>
      <c r="H57" s="77">
        <v>110</v>
      </c>
      <c r="I57" s="77">
        <v>11</v>
      </c>
      <c r="M57" s="64">
        <f t="shared" si="4"/>
        <v>110</v>
      </c>
      <c r="N57" s="64">
        <f t="shared" si="5"/>
        <v>0</v>
      </c>
      <c r="O57" s="64">
        <f t="shared" si="6"/>
        <v>11</v>
      </c>
      <c r="P57" s="64">
        <f t="shared" si="7"/>
        <v>0</v>
      </c>
    </row>
    <row r="58" spans="1:16" x14ac:dyDescent="0.25">
      <c r="A58" t="s">
        <v>167</v>
      </c>
      <c r="B58" t="s">
        <v>50</v>
      </c>
      <c r="C58" t="s">
        <v>4077</v>
      </c>
      <c r="D58" s="9">
        <v>1798.3000000000002</v>
      </c>
      <c r="E58" s="9">
        <v>4877.1000000000004</v>
      </c>
      <c r="F58" s="9">
        <v>192.60000000000002</v>
      </c>
      <c r="G58" s="9">
        <v>1497.6000000000001</v>
      </c>
      <c r="H58" s="77">
        <v>4985.2</v>
      </c>
      <c r="I58" s="77">
        <v>498.52000000000004</v>
      </c>
      <c r="M58" s="64">
        <f t="shared" si="4"/>
        <v>4985.2</v>
      </c>
      <c r="N58" s="64">
        <f t="shared" si="5"/>
        <v>0</v>
      </c>
      <c r="O58" s="64">
        <f t="shared" si="6"/>
        <v>498.52</v>
      </c>
      <c r="P58" s="64">
        <f t="shared" si="7"/>
        <v>0</v>
      </c>
    </row>
    <row r="59" spans="1:16" x14ac:dyDescent="0.25">
      <c r="A59" t="s">
        <v>532</v>
      </c>
      <c r="B59" t="s">
        <v>50</v>
      </c>
      <c r="C59" t="s">
        <v>4198</v>
      </c>
      <c r="D59" s="9">
        <v>298.60000000000002</v>
      </c>
      <c r="E59" s="9">
        <v>2281.6</v>
      </c>
      <c r="F59" s="9">
        <v>0</v>
      </c>
      <c r="G59" s="9">
        <v>0</v>
      </c>
      <c r="H59" s="77">
        <v>2580.1999999999998</v>
      </c>
      <c r="I59" s="77">
        <v>258.02000000000004</v>
      </c>
      <c r="M59" s="64">
        <f t="shared" si="4"/>
        <v>2580.1999999999998</v>
      </c>
      <c r="N59" s="64">
        <f t="shared" si="5"/>
        <v>0</v>
      </c>
      <c r="O59" s="64">
        <f t="shared" si="6"/>
        <v>258.02</v>
      </c>
      <c r="P59" s="64">
        <f t="shared" si="7"/>
        <v>0</v>
      </c>
    </row>
    <row r="60" spans="1:16" x14ac:dyDescent="0.25">
      <c r="A60" t="s">
        <v>34</v>
      </c>
      <c r="B60" s="19" t="s">
        <v>50</v>
      </c>
      <c r="C60" s="19" t="s">
        <v>4146</v>
      </c>
      <c r="D60" s="9">
        <v>812.40000000000009</v>
      </c>
      <c r="E60" s="9">
        <v>2389.5</v>
      </c>
      <c r="F60" s="9">
        <v>78.8</v>
      </c>
      <c r="G60" s="9">
        <v>704.90000000000009</v>
      </c>
      <c r="H60" s="77">
        <v>2418.1999999999998</v>
      </c>
      <c r="I60" s="77">
        <v>241.82</v>
      </c>
      <c r="M60" s="64">
        <f t="shared" si="4"/>
        <v>2418.1999999999998</v>
      </c>
      <c r="N60" s="64">
        <f t="shared" si="5"/>
        <v>0</v>
      </c>
      <c r="O60" s="64">
        <f t="shared" si="6"/>
        <v>241.82</v>
      </c>
      <c r="P60" s="64">
        <f t="shared" si="7"/>
        <v>0</v>
      </c>
    </row>
    <row r="61" spans="1:16" x14ac:dyDescent="0.25">
      <c r="A61" t="s">
        <v>531</v>
      </c>
      <c r="B61" t="s">
        <v>50</v>
      </c>
      <c r="C61" t="s">
        <v>4189</v>
      </c>
      <c r="D61" s="9">
        <v>788.1</v>
      </c>
      <c r="E61" s="9">
        <v>714</v>
      </c>
      <c r="F61" s="9">
        <v>0</v>
      </c>
      <c r="G61" s="9">
        <v>0</v>
      </c>
      <c r="H61" s="77">
        <v>1502.1</v>
      </c>
      <c r="I61" s="77">
        <v>150.21</v>
      </c>
      <c r="M61" s="64">
        <f t="shared" si="4"/>
        <v>1502.1</v>
      </c>
      <c r="N61" s="64">
        <f t="shared" si="5"/>
        <v>0</v>
      </c>
      <c r="O61" s="64">
        <f t="shared" si="6"/>
        <v>150.21</v>
      </c>
      <c r="P61" s="64">
        <f t="shared" si="7"/>
        <v>0</v>
      </c>
    </row>
    <row r="62" spans="1:16" x14ac:dyDescent="0.25">
      <c r="A62" t="s">
        <v>279</v>
      </c>
      <c r="B62" t="s">
        <v>50</v>
      </c>
      <c r="C62" t="s">
        <v>4420</v>
      </c>
      <c r="D62" s="9">
        <v>162.4</v>
      </c>
      <c r="E62" s="9">
        <v>508.2</v>
      </c>
      <c r="F62" s="9">
        <v>0</v>
      </c>
      <c r="G62" s="9">
        <v>0</v>
      </c>
      <c r="H62" s="77">
        <v>670.6</v>
      </c>
      <c r="I62" s="77">
        <v>67.06</v>
      </c>
      <c r="M62" s="64">
        <f t="shared" si="4"/>
        <v>670.6</v>
      </c>
      <c r="N62" s="64">
        <f t="shared" si="5"/>
        <v>0</v>
      </c>
      <c r="O62" s="64">
        <f t="shared" si="6"/>
        <v>67.06</v>
      </c>
      <c r="P62" s="64">
        <f t="shared" si="7"/>
        <v>0</v>
      </c>
    </row>
    <row r="63" spans="1:16" x14ac:dyDescent="0.25">
      <c r="A63" t="s">
        <v>34</v>
      </c>
      <c r="B63" s="19" t="s">
        <v>199</v>
      </c>
      <c r="C63" s="19" t="s">
        <v>4147</v>
      </c>
      <c r="D63" s="9">
        <v>15455.5</v>
      </c>
      <c r="E63" s="9">
        <v>5983.9</v>
      </c>
      <c r="F63" s="9">
        <v>5522.1</v>
      </c>
      <c r="G63" s="9">
        <v>1636.1000000000001</v>
      </c>
      <c r="H63" s="77">
        <v>14281.2</v>
      </c>
      <c r="I63" s="77">
        <v>1428.12</v>
      </c>
      <c r="M63" s="64">
        <f t="shared" si="4"/>
        <v>14281.2</v>
      </c>
      <c r="N63" s="64">
        <f t="shared" si="5"/>
        <v>0</v>
      </c>
      <c r="O63" s="64">
        <f t="shared" si="6"/>
        <v>1428.1200000000001</v>
      </c>
      <c r="P63" s="64">
        <f t="shared" si="7"/>
        <v>0</v>
      </c>
    </row>
    <row r="64" spans="1:16" x14ac:dyDescent="0.25">
      <c r="A64" t="s">
        <v>258</v>
      </c>
      <c r="B64" t="s">
        <v>199</v>
      </c>
      <c r="C64" t="s">
        <v>4571</v>
      </c>
      <c r="D64" s="9">
        <v>917.5</v>
      </c>
      <c r="F64" s="9">
        <v>0</v>
      </c>
      <c r="H64" s="77">
        <v>917.5</v>
      </c>
      <c r="I64" s="77">
        <v>91.75</v>
      </c>
      <c r="M64" s="64">
        <f t="shared" si="4"/>
        <v>917.5</v>
      </c>
      <c r="N64" s="64">
        <f t="shared" si="5"/>
        <v>0</v>
      </c>
      <c r="O64" s="64">
        <f t="shared" si="6"/>
        <v>91.75</v>
      </c>
      <c r="P64" s="64">
        <f t="shared" si="7"/>
        <v>0</v>
      </c>
    </row>
    <row r="65" spans="1:16" x14ac:dyDescent="0.25">
      <c r="A65" t="s">
        <v>34</v>
      </c>
      <c r="B65" t="s">
        <v>358</v>
      </c>
      <c r="C65" t="s">
        <v>4148</v>
      </c>
      <c r="D65" s="9">
        <v>1315.8999999999999</v>
      </c>
      <c r="E65" s="9">
        <v>13052.199999999999</v>
      </c>
      <c r="F65" s="9">
        <v>439.2</v>
      </c>
      <c r="G65" s="9">
        <v>8164.9</v>
      </c>
      <c r="H65" s="77">
        <v>5764</v>
      </c>
      <c r="I65" s="77">
        <v>576.4</v>
      </c>
      <c r="M65" s="64">
        <f t="shared" ref="M65:M96" si="8">D65+E65-F65-G65</f>
        <v>5763.9999999999982</v>
      </c>
      <c r="N65" s="64">
        <f t="shared" ref="N65:N96" si="9">H65-M65</f>
        <v>0</v>
      </c>
      <c r="O65" s="64">
        <f t="shared" ref="O65:O96" si="10">M65*0.1</f>
        <v>576.39999999999986</v>
      </c>
      <c r="P65" s="64">
        <f t="shared" ref="P65:P96" si="11">I65-O65</f>
        <v>0</v>
      </c>
    </row>
    <row r="66" spans="1:16" x14ac:dyDescent="0.25">
      <c r="A66" t="s">
        <v>359</v>
      </c>
      <c r="B66" t="s">
        <v>358</v>
      </c>
      <c r="C66" t="s">
        <v>4207</v>
      </c>
      <c r="D66" s="9">
        <v>902.6</v>
      </c>
      <c r="E66" s="9">
        <v>249.7</v>
      </c>
      <c r="F66" s="9">
        <v>317.60000000000002</v>
      </c>
      <c r="G66" s="9">
        <v>196</v>
      </c>
      <c r="H66" s="77">
        <v>638.70000000000005</v>
      </c>
      <c r="I66" s="77">
        <v>63.87</v>
      </c>
      <c r="M66" s="64">
        <f t="shared" si="8"/>
        <v>638.69999999999993</v>
      </c>
      <c r="N66" s="64">
        <f t="shared" si="9"/>
        <v>0</v>
      </c>
      <c r="O66" s="64">
        <f t="shared" si="10"/>
        <v>63.87</v>
      </c>
      <c r="P66" s="64">
        <f t="shared" si="11"/>
        <v>0</v>
      </c>
    </row>
    <row r="67" spans="1:16" x14ac:dyDescent="0.25">
      <c r="A67" t="s">
        <v>2307</v>
      </c>
      <c r="B67" t="s">
        <v>358</v>
      </c>
      <c r="C67" t="s">
        <v>4410</v>
      </c>
      <c r="D67" s="9">
        <v>273.5</v>
      </c>
      <c r="E67" s="9">
        <v>247.8</v>
      </c>
      <c r="F67" s="9">
        <v>0</v>
      </c>
      <c r="G67" s="9">
        <v>0</v>
      </c>
      <c r="H67" s="77">
        <v>521.29999999999995</v>
      </c>
      <c r="I67" s="77">
        <v>52.13</v>
      </c>
      <c r="M67" s="64">
        <f t="shared" si="8"/>
        <v>521.29999999999995</v>
      </c>
      <c r="N67" s="64">
        <f t="shared" si="9"/>
        <v>0</v>
      </c>
      <c r="O67" s="64">
        <f t="shared" si="10"/>
        <v>52.129999999999995</v>
      </c>
      <c r="P67" s="64">
        <f t="shared" si="11"/>
        <v>0</v>
      </c>
    </row>
    <row r="68" spans="1:16" x14ac:dyDescent="0.25">
      <c r="A68" t="s">
        <v>34</v>
      </c>
      <c r="B68" t="s">
        <v>51</v>
      </c>
      <c r="C68" t="s">
        <v>4149</v>
      </c>
      <c r="D68" s="9">
        <v>51898.36</v>
      </c>
      <c r="E68" s="9">
        <v>69887.789999999994</v>
      </c>
      <c r="F68" s="9">
        <v>590.6</v>
      </c>
      <c r="G68" s="9">
        <v>697.1</v>
      </c>
      <c r="H68" s="77">
        <v>120498.45</v>
      </c>
      <c r="I68" s="77">
        <v>12049.82</v>
      </c>
      <c r="M68" s="64">
        <f t="shared" si="8"/>
        <v>120498.44999999998</v>
      </c>
      <c r="N68" s="64">
        <f t="shared" si="9"/>
        <v>0</v>
      </c>
      <c r="O68" s="64">
        <f t="shared" si="10"/>
        <v>12049.844999999999</v>
      </c>
      <c r="P68" s="64">
        <f t="shared" si="11"/>
        <v>-2.4999999999636202E-2</v>
      </c>
    </row>
    <row r="69" spans="1:16" x14ac:dyDescent="0.25">
      <c r="A69" s="19" t="s">
        <v>316</v>
      </c>
      <c r="B69" s="19" t="s">
        <v>51</v>
      </c>
      <c r="C69" s="19" t="s">
        <v>4106</v>
      </c>
      <c r="D69" s="9">
        <v>166.6</v>
      </c>
      <c r="E69" s="9">
        <v>3.4</v>
      </c>
      <c r="F69" s="9">
        <v>0</v>
      </c>
      <c r="G69" s="9">
        <v>0</v>
      </c>
      <c r="H69" s="77">
        <v>170</v>
      </c>
      <c r="I69" s="77">
        <v>17</v>
      </c>
      <c r="M69" s="64">
        <f t="shared" si="8"/>
        <v>170</v>
      </c>
      <c r="N69" s="64">
        <f t="shared" si="9"/>
        <v>0</v>
      </c>
      <c r="O69" s="64">
        <f t="shared" si="10"/>
        <v>17</v>
      </c>
      <c r="P69" s="64">
        <f t="shared" si="11"/>
        <v>0</v>
      </c>
    </row>
    <row r="70" spans="1:16" x14ac:dyDescent="0.25">
      <c r="A70" t="s">
        <v>317</v>
      </c>
      <c r="B70" t="s">
        <v>51</v>
      </c>
      <c r="C70" t="s">
        <v>4560</v>
      </c>
      <c r="D70" s="9">
        <v>5.4</v>
      </c>
      <c r="E70" s="9">
        <v>103.3</v>
      </c>
      <c r="F70" s="9">
        <v>0</v>
      </c>
      <c r="G70" s="9">
        <v>0</v>
      </c>
      <c r="H70" s="77">
        <v>108.7</v>
      </c>
      <c r="I70" s="77">
        <v>10.870000000000001</v>
      </c>
      <c r="M70" s="64">
        <f t="shared" si="8"/>
        <v>108.7</v>
      </c>
      <c r="N70" s="64">
        <f t="shared" si="9"/>
        <v>0</v>
      </c>
      <c r="O70" s="64">
        <f t="shared" si="10"/>
        <v>10.870000000000001</v>
      </c>
      <c r="P70" s="64">
        <f t="shared" si="11"/>
        <v>0</v>
      </c>
    </row>
    <row r="71" spans="1:16" x14ac:dyDescent="0.25">
      <c r="A71" t="s">
        <v>535</v>
      </c>
      <c r="B71" t="s">
        <v>51</v>
      </c>
      <c r="C71" t="s">
        <v>4337</v>
      </c>
      <c r="D71" s="9">
        <v>5.4</v>
      </c>
      <c r="E71" s="9">
        <v>103.3</v>
      </c>
      <c r="F71" s="9">
        <v>0</v>
      </c>
      <c r="G71" s="9">
        <v>0</v>
      </c>
      <c r="H71" s="77">
        <v>108.7</v>
      </c>
      <c r="I71" s="77">
        <v>10.870000000000001</v>
      </c>
      <c r="M71" s="64">
        <f t="shared" si="8"/>
        <v>108.7</v>
      </c>
      <c r="N71" s="64">
        <f t="shared" si="9"/>
        <v>0</v>
      </c>
      <c r="O71" s="64">
        <f t="shared" si="10"/>
        <v>10.870000000000001</v>
      </c>
      <c r="P71" s="64">
        <f t="shared" si="11"/>
        <v>0</v>
      </c>
    </row>
    <row r="72" spans="1:16" ht="12.75" customHeight="1" x14ac:dyDescent="0.25">
      <c r="A72" t="s">
        <v>34</v>
      </c>
      <c r="B72" t="s">
        <v>69</v>
      </c>
      <c r="C72" t="s">
        <v>4150</v>
      </c>
      <c r="D72" s="9">
        <v>5204.7000000000007</v>
      </c>
      <c r="E72" s="9">
        <v>10965.5</v>
      </c>
      <c r="F72" s="9">
        <v>169.6</v>
      </c>
      <c r="G72" s="9">
        <v>865</v>
      </c>
      <c r="H72" s="77">
        <v>15135.6</v>
      </c>
      <c r="I72" s="77">
        <v>1513.56</v>
      </c>
      <c r="M72" s="64">
        <f t="shared" si="8"/>
        <v>15135.6</v>
      </c>
      <c r="N72" s="64">
        <f t="shared" si="9"/>
        <v>0</v>
      </c>
      <c r="O72" s="64">
        <f t="shared" si="10"/>
        <v>1513.5600000000002</v>
      </c>
      <c r="P72" s="64">
        <f t="shared" si="11"/>
        <v>0</v>
      </c>
    </row>
    <row r="73" spans="1:16" x14ac:dyDescent="0.25">
      <c r="A73" t="s">
        <v>2053</v>
      </c>
      <c r="B73" t="s">
        <v>69</v>
      </c>
      <c r="C73" t="s">
        <v>4083</v>
      </c>
      <c r="D73" s="9">
        <v>738.3</v>
      </c>
      <c r="E73" s="9">
        <v>549.70000000000005</v>
      </c>
      <c r="F73" s="9">
        <v>0</v>
      </c>
      <c r="G73" s="9">
        <v>0</v>
      </c>
      <c r="H73" s="77">
        <v>1288</v>
      </c>
      <c r="I73" s="77">
        <v>128.80000000000001</v>
      </c>
      <c r="M73" s="64">
        <f t="shared" si="8"/>
        <v>1288</v>
      </c>
      <c r="N73" s="64">
        <f t="shared" si="9"/>
        <v>0</v>
      </c>
      <c r="O73" s="64">
        <f t="shared" si="10"/>
        <v>128.80000000000001</v>
      </c>
      <c r="P73" s="64">
        <f t="shared" si="11"/>
        <v>0</v>
      </c>
    </row>
    <row r="74" spans="1:16" ht="12.75" customHeight="1" x14ac:dyDescent="0.25">
      <c r="A74" t="s">
        <v>2155</v>
      </c>
      <c r="B74" t="s">
        <v>69</v>
      </c>
      <c r="C74" t="s">
        <v>4112</v>
      </c>
      <c r="D74" s="9">
        <v>3.3</v>
      </c>
      <c r="E74" s="9">
        <v>121.3</v>
      </c>
      <c r="F74" s="9">
        <v>0</v>
      </c>
      <c r="G74" s="9">
        <v>0</v>
      </c>
      <c r="H74" s="77">
        <v>124.6</v>
      </c>
      <c r="I74" s="77">
        <v>12.46</v>
      </c>
      <c r="M74" s="64">
        <f t="shared" si="8"/>
        <v>124.6</v>
      </c>
      <c r="N74" s="64">
        <f t="shared" si="9"/>
        <v>0</v>
      </c>
      <c r="O74" s="64">
        <f t="shared" si="10"/>
        <v>12.46</v>
      </c>
      <c r="P74" s="64">
        <f t="shared" si="11"/>
        <v>0</v>
      </c>
    </row>
    <row r="75" spans="1:16" x14ac:dyDescent="0.25">
      <c r="A75" t="s">
        <v>302</v>
      </c>
      <c r="B75" t="s">
        <v>69</v>
      </c>
      <c r="C75" t="s">
        <v>4293</v>
      </c>
      <c r="D75" s="9">
        <v>0.5</v>
      </c>
      <c r="E75" s="9">
        <v>76.400000000000006</v>
      </c>
      <c r="F75" s="9">
        <v>0</v>
      </c>
      <c r="G75" s="9">
        <v>0</v>
      </c>
      <c r="H75" s="77">
        <v>76.900000000000006</v>
      </c>
      <c r="I75" s="77">
        <v>7.6899999999999995</v>
      </c>
      <c r="M75" s="64">
        <f t="shared" si="8"/>
        <v>76.900000000000006</v>
      </c>
      <c r="N75" s="64">
        <f t="shared" si="9"/>
        <v>0</v>
      </c>
      <c r="O75" s="64">
        <f t="shared" si="10"/>
        <v>7.6900000000000013</v>
      </c>
      <c r="P75" s="64">
        <f t="shared" si="11"/>
        <v>0</v>
      </c>
    </row>
    <row r="76" spans="1:16" x14ac:dyDescent="0.25">
      <c r="A76" t="s">
        <v>1859</v>
      </c>
      <c r="B76" t="s">
        <v>52</v>
      </c>
      <c r="C76" t="s">
        <v>4243</v>
      </c>
      <c r="D76" s="9">
        <v>429731.52000000008</v>
      </c>
      <c r="E76" s="9">
        <v>844865.6399999999</v>
      </c>
      <c r="F76" s="9">
        <v>114887.64</v>
      </c>
      <c r="G76" s="9">
        <v>127353.21</v>
      </c>
      <c r="H76" s="77">
        <v>1032356.31</v>
      </c>
      <c r="I76" s="77">
        <v>103235.70000000001</v>
      </c>
      <c r="M76" s="64">
        <f t="shared" si="8"/>
        <v>1032356.31</v>
      </c>
      <c r="N76" s="64">
        <f t="shared" si="9"/>
        <v>0</v>
      </c>
      <c r="O76" s="64">
        <f t="shared" si="10"/>
        <v>103235.63100000001</v>
      </c>
      <c r="P76" s="64">
        <f t="shared" si="11"/>
        <v>6.9000000003143214E-2</v>
      </c>
    </row>
    <row r="77" spans="1:16" ht="12.75" customHeight="1" x14ac:dyDescent="0.25">
      <c r="A77" t="s">
        <v>4</v>
      </c>
      <c r="B77" t="s">
        <v>55</v>
      </c>
      <c r="C77" t="s">
        <v>4067</v>
      </c>
      <c r="D77" s="9">
        <v>12338.400000000001</v>
      </c>
      <c r="E77" s="9">
        <v>5262.2</v>
      </c>
      <c r="F77" s="9">
        <v>217.89999999999998</v>
      </c>
      <c r="G77" s="9">
        <v>441.5</v>
      </c>
      <c r="H77" s="77">
        <v>16941.2</v>
      </c>
      <c r="I77" s="77">
        <v>1694.1200000000001</v>
      </c>
      <c r="J77" s="9"/>
      <c r="M77" s="64">
        <f t="shared" si="8"/>
        <v>16941.2</v>
      </c>
      <c r="N77" s="64">
        <f t="shared" si="9"/>
        <v>0</v>
      </c>
      <c r="O77" s="64">
        <f t="shared" si="10"/>
        <v>1694.1200000000001</v>
      </c>
      <c r="P77" s="64">
        <f t="shared" si="11"/>
        <v>0</v>
      </c>
    </row>
    <row r="78" spans="1:16" x14ac:dyDescent="0.25">
      <c r="A78" t="s">
        <v>34</v>
      </c>
      <c r="B78" t="s">
        <v>55</v>
      </c>
      <c r="C78" t="s">
        <v>4151</v>
      </c>
      <c r="D78" s="9">
        <v>26822.52</v>
      </c>
      <c r="E78" s="9">
        <v>38942.94</v>
      </c>
      <c r="F78" s="9">
        <v>12749.5</v>
      </c>
      <c r="G78" s="9">
        <v>40170.300000000003</v>
      </c>
      <c r="H78" s="77">
        <v>12845.660000000002</v>
      </c>
      <c r="I78" s="77">
        <v>1284.56</v>
      </c>
      <c r="M78" s="64">
        <f t="shared" si="8"/>
        <v>12845.660000000003</v>
      </c>
      <c r="N78" s="64">
        <f t="shared" si="9"/>
        <v>0</v>
      </c>
      <c r="O78" s="64">
        <f t="shared" si="10"/>
        <v>1284.5660000000005</v>
      </c>
      <c r="P78" s="64">
        <f t="shared" si="11"/>
        <v>-6.0000000005402399E-3</v>
      </c>
    </row>
    <row r="79" spans="1:16" ht="12.75" customHeight="1" x14ac:dyDescent="0.25">
      <c r="A79" t="s">
        <v>153</v>
      </c>
      <c r="B79" t="s">
        <v>55</v>
      </c>
      <c r="C79" t="s">
        <v>4071</v>
      </c>
      <c r="D79" s="9">
        <v>2629.3</v>
      </c>
      <c r="E79" s="9">
        <v>7437.2999999999993</v>
      </c>
      <c r="F79" s="9">
        <v>116.9</v>
      </c>
      <c r="G79" s="9">
        <v>771.40000000000009</v>
      </c>
      <c r="H79" s="77">
        <v>9178.2999999999993</v>
      </c>
      <c r="I79" s="77">
        <v>917.82999999999993</v>
      </c>
      <c r="M79" s="64">
        <f t="shared" si="8"/>
        <v>9178.2999999999993</v>
      </c>
      <c r="N79" s="64">
        <f t="shared" si="9"/>
        <v>0</v>
      </c>
      <c r="O79" s="64">
        <f t="shared" si="10"/>
        <v>917.82999999999993</v>
      </c>
      <c r="P79" s="64">
        <f t="shared" si="11"/>
        <v>0</v>
      </c>
    </row>
    <row r="80" spans="1:16" ht="12.75" customHeight="1" x14ac:dyDescent="0.25">
      <c r="A80" t="s">
        <v>541</v>
      </c>
      <c r="B80" t="s">
        <v>55</v>
      </c>
      <c r="C80" t="s">
        <v>4135</v>
      </c>
      <c r="D80" s="9">
        <v>2358.3000000000002</v>
      </c>
      <c r="E80" s="9">
        <v>6289</v>
      </c>
      <c r="F80" s="9">
        <v>0</v>
      </c>
      <c r="G80" s="9">
        <v>0</v>
      </c>
      <c r="H80" s="77">
        <v>8647.2999999999993</v>
      </c>
      <c r="I80" s="77">
        <v>864.72999999999979</v>
      </c>
      <c r="M80" s="64">
        <f t="shared" si="8"/>
        <v>8647.2999999999993</v>
      </c>
      <c r="N80" s="64">
        <f t="shared" si="9"/>
        <v>0</v>
      </c>
      <c r="O80" s="64">
        <f t="shared" si="10"/>
        <v>864.73</v>
      </c>
      <c r="P80" s="64">
        <f t="shared" si="11"/>
        <v>0</v>
      </c>
    </row>
    <row r="81" spans="1:16" ht="12.75" customHeight="1" x14ac:dyDescent="0.25">
      <c r="A81" t="s">
        <v>68</v>
      </c>
      <c r="B81" t="s">
        <v>55</v>
      </c>
      <c r="C81" t="s">
        <v>4076</v>
      </c>
      <c r="D81" s="9">
        <v>3451.5</v>
      </c>
      <c r="E81" s="9">
        <v>5728.3</v>
      </c>
      <c r="F81" s="9">
        <v>171.8</v>
      </c>
      <c r="G81" s="9">
        <v>1389.1</v>
      </c>
      <c r="H81" s="77">
        <v>7618.9</v>
      </c>
      <c r="I81" s="77">
        <v>761.8900000000001</v>
      </c>
      <c r="M81" s="64">
        <f t="shared" si="8"/>
        <v>7618.9</v>
      </c>
      <c r="N81" s="64">
        <f t="shared" si="9"/>
        <v>0</v>
      </c>
      <c r="O81" s="64">
        <f t="shared" si="10"/>
        <v>761.89</v>
      </c>
      <c r="P81" s="64">
        <f t="shared" si="11"/>
        <v>0</v>
      </c>
    </row>
    <row r="82" spans="1:16" ht="12.75" customHeight="1" x14ac:dyDescent="0.25">
      <c r="A82" s="19" t="s">
        <v>97</v>
      </c>
      <c r="B82" s="19" t="s">
        <v>55</v>
      </c>
      <c r="C82" s="19" t="s">
        <v>4094</v>
      </c>
      <c r="D82" s="9">
        <v>2889.3</v>
      </c>
      <c r="E82" s="9">
        <v>2239.6</v>
      </c>
      <c r="F82" s="9">
        <v>45</v>
      </c>
      <c r="G82" s="9">
        <v>402.8</v>
      </c>
      <c r="H82" s="77">
        <v>4681.1000000000004</v>
      </c>
      <c r="I82" s="77">
        <v>468.11</v>
      </c>
      <c r="M82" s="64">
        <f t="shared" si="8"/>
        <v>4681.0999999999995</v>
      </c>
      <c r="N82" s="64">
        <f t="shared" si="9"/>
        <v>0</v>
      </c>
      <c r="O82" s="64">
        <f t="shared" si="10"/>
        <v>468.10999999999996</v>
      </c>
      <c r="P82" s="64">
        <f t="shared" si="11"/>
        <v>0</v>
      </c>
    </row>
    <row r="83" spans="1:16" x14ac:dyDescent="0.25">
      <c r="A83" t="s">
        <v>218</v>
      </c>
      <c r="B83" t="s">
        <v>55</v>
      </c>
      <c r="C83" t="s">
        <v>4103</v>
      </c>
      <c r="D83" s="9">
        <v>1955.3000000000002</v>
      </c>
      <c r="E83" s="9">
        <v>3694.2999999999997</v>
      </c>
      <c r="F83" s="9">
        <v>370.5</v>
      </c>
      <c r="G83" s="9">
        <v>1231.3</v>
      </c>
      <c r="H83" s="77">
        <v>4047.8</v>
      </c>
      <c r="I83" s="77">
        <v>404.78000000000003</v>
      </c>
      <c r="M83" s="64">
        <f t="shared" si="8"/>
        <v>4047.8</v>
      </c>
      <c r="N83" s="64">
        <f t="shared" si="9"/>
        <v>0</v>
      </c>
      <c r="O83" s="64">
        <f t="shared" si="10"/>
        <v>404.78000000000003</v>
      </c>
      <c r="P83" s="64">
        <f t="shared" si="11"/>
        <v>0</v>
      </c>
    </row>
    <row r="84" spans="1:16" x14ac:dyDescent="0.25">
      <c r="A84" s="19" t="s">
        <v>341</v>
      </c>
      <c r="B84" s="19" t="s">
        <v>55</v>
      </c>
      <c r="C84" s="19" t="s">
        <v>4082</v>
      </c>
      <c r="D84" s="9">
        <v>872.19999999999993</v>
      </c>
      <c r="E84" s="9">
        <v>3420.5</v>
      </c>
      <c r="F84" s="9">
        <v>45</v>
      </c>
      <c r="G84" s="9">
        <v>402.8</v>
      </c>
      <c r="H84" s="77">
        <v>3844.9</v>
      </c>
      <c r="I84" s="77">
        <v>384.49</v>
      </c>
      <c r="M84" s="64">
        <f t="shared" si="8"/>
        <v>3844.8999999999996</v>
      </c>
      <c r="N84" s="64">
        <f t="shared" si="9"/>
        <v>0</v>
      </c>
      <c r="O84" s="64">
        <f t="shared" si="10"/>
        <v>384.49</v>
      </c>
      <c r="P84" s="64">
        <f t="shared" si="11"/>
        <v>0</v>
      </c>
    </row>
    <row r="85" spans="1:16" x14ac:dyDescent="0.25">
      <c r="A85" t="s">
        <v>540</v>
      </c>
      <c r="B85" t="s">
        <v>55</v>
      </c>
      <c r="C85" t="s">
        <v>4108</v>
      </c>
      <c r="D85" s="9">
        <v>1980.4</v>
      </c>
      <c r="E85" s="9">
        <v>1011.5</v>
      </c>
      <c r="F85" s="9">
        <v>143.19999999999999</v>
      </c>
      <c r="G85" s="9">
        <v>97.5</v>
      </c>
      <c r="H85" s="77">
        <v>2751.2</v>
      </c>
      <c r="I85" s="77">
        <v>275.12</v>
      </c>
      <c r="M85" s="64">
        <f t="shared" si="8"/>
        <v>2751.2000000000003</v>
      </c>
      <c r="N85" s="64">
        <f t="shared" si="9"/>
        <v>0</v>
      </c>
      <c r="O85" s="64">
        <f t="shared" si="10"/>
        <v>275.12000000000006</v>
      </c>
      <c r="P85" s="64">
        <f t="shared" si="11"/>
        <v>0</v>
      </c>
    </row>
    <row r="86" spans="1:16" ht="12.75" customHeight="1" x14ac:dyDescent="0.25">
      <c r="A86" t="s">
        <v>200</v>
      </c>
      <c r="B86" t="s">
        <v>55</v>
      </c>
      <c r="C86" t="s">
        <v>4105</v>
      </c>
      <c r="D86" s="9">
        <v>6949.6</v>
      </c>
      <c r="E86" s="9">
        <v>5471.6</v>
      </c>
      <c r="F86" s="9">
        <v>9012.6999999999989</v>
      </c>
      <c r="G86" s="9">
        <v>2601.2000000000003</v>
      </c>
      <c r="H86" s="77">
        <v>807.30000000000018</v>
      </c>
      <c r="I86" s="77">
        <v>80.72999999999999</v>
      </c>
      <c r="M86" s="64">
        <f t="shared" si="8"/>
        <v>807.30000000000155</v>
      </c>
      <c r="N86" s="64">
        <f t="shared" si="9"/>
        <v>-1.3642420526593924E-12</v>
      </c>
      <c r="O86" s="64">
        <f t="shared" si="10"/>
        <v>80.73000000000016</v>
      </c>
      <c r="P86" s="64">
        <f t="shared" si="11"/>
        <v>-1.7053025658242404E-13</v>
      </c>
    </row>
    <row r="87" spans="1:16" x14ac:dyDescent="0.25">
      <c r="A87" t="s">
        <v>90</v>
      </c>
      <c r="B87" t="s">
        <v>55</v>
      </c>
      <c r="C87" t="s">
        <v>4274</v>
      </c>
      <c r="D87" s="9">
        <v>555.20000000000005</v>
      </c>
      <c r="E87" s="9">
        <v>224.7</v>
      </c>
      <c r="F87" s="9">
        <v>0</v>
      </c>
      <c r="G87" s="9">
        <v>0</v>
      </c>
      <c r="H87" s="77">
        <v>779.90000000000009</v>
      </c>
      <c r="I87" s="77">
        <v>77.990000000000009</v>
      </c>
      <c r="M87" s="64">
        <f t="shared" si="8"/>
        <v>779.90000000000009</v>
      </c>
      <c r="N87" s="64">
        <f t="shared" si="9"/>
        <v>0</v>
      </c>
      <c r="O87" s="64">
        <f t="shared" si="10"/>
        <v>77.990000000000009</v>
      </c>
      <c r="P87" s="64">
        <f t="shared" si="11"/>
        <v>0</v>
      </c>
    </row>
    <row r="88" spans="1:16" x14ac:dyDescent="0.25">
      <c r="A88" t="s">
        <v>439</v>
      </c>
      <c r="B88" t="s">
        <v>55</v>
      </c>
      <c r="C88" t="s">
        <v>4323</v>
      </c>
      <c r="D88" s="9">
        <v>20</v>
      </c>
      <c r="E88" s="9">
        <v>209.3</v>
      </c>
      <c r="F88" s="9">
        <v>0</v>
      </c>
      <c r="G88" s="9">
        <v>0</v>
      </c>
      <c r="H88" s="77">
        <v>229.3</v>
      </c>
      <c r="I88" s="77">
        <v>22.93</v>
      </c>
      <c r="K88" s="19"/>
      <c r="L88" s="19"/>
      <c r="M88" s="64">
        <f t="shared" si="8"/>
        <v>229.3</v>
      </c>
      <c r="N88" s="64">
        <f t="shared" si="9"/>
        <v>0</v>
      </c>
      <c r="O88" s="64">
        <f t="shared" si="10"/>
        <v>22.930000000000003</v>
      </c>
      <c r="P88" s="64">
        <f t="shared" si="11"/>
        <v>0</v>
      </c>
    </row>
    <row r="89" spans="1:16" x14ac:dyDescent="0.25">
      <c r="A89" t="s">
        <v>34</v>
      </c>
      <c r="B89" t="s">
        <v>184</v>
      </c>
      <c r="C89" t="s">
        <v>4152</v>
      </c>
      <c r="D89" s="9">
        <v>1151</v>
      </c>
      <c r="E89" s="9">
        <v>11323.2</v>
      </c>
      <c r="F89" s="9">
        <v>8.9</v>
      </c>
      <c r="G89" s="9">
        <v>169.5</v>
      </c>
      <c r="H89" s="77">
        <v>12295.800000000001</v>
      </c>
      <c r="I89" s="77">
        <v>1229.58</v>
      </c>
      <c r="M89" s="64">
        <f t="shared" si="8"/>
        <v>12295.800000000001</v>
      </c>
      <c r="N89" s="64">
        <f t="shared" si="9"/>
        <v>0</v>
      </c>
      <c r="O89" s="64">
        <f t="shared" si="10"/>
        <v>1229.5800000000002</v>
      </c>
      <c r="P89" s="64">
        <f t="shared" si="11"/>
        <v>0</v>
      </c>
    </row>
    <row r="90" spans="1:16" x14ac:dyDescent="0.25">
      <c r="A90" t="s">
        <v>219</v>
      </c>
      <c r="B90" t="s">
        <v>184</v>
      </c>
      <c r="C90" t="s">
        <v>4086</v>
      </c>
      <c r="D90" s="9">
        <v>1191</v>
      </c>
      <c r="E90" s="9">
        <v>1181.2</v>
      </c>
      <c r="F90" s="9">
        <v>0</v>
      </c>
      <c r="G90" s="9">
        <v>0</v>
      </c>
      <c r="H90" s="77">
        <v>2372.1999999999998</v>
      </c>
      <c r="I90" s="77">
        <v>237.22</v>
      </c>
      <c r="M90" s="64">
        <f t="shared" si="8"/>
        <v>2372.1999999999998</v>
      </c>
      <c r="N90" s="64">
        <f t="shared" si="9"/>
        <v>0</v>
      </c>
      <c r="O90" s="64">
        <f t="shared" si="10"/>
        <v>237.22</v>
      </c>
      <c r="P90" s="64">
        <f t="shared" si="11"/>
        <v>0</v>
      </c>
    </row>
    <row r="91" spans="1:16" ht="12.75" customHeight="1" x14ac:dyDescent="0.25">
      <c r="A91" t="s">
        <v>544</v>
      </c>
      <c r="B91" t="s">
        <v>184</v>
      </c>
      <c r="C91" t="s">
        <v>4579</v>
      </c>
      <c r="D91" s="9">
        <v>514.1</v>
      </c>
      <c r="E91" s="9">
        <v>386.2</v>
      </c>
      <c r="F91" s="9">
        <v>0</v>
      </c>
      <c r="G91" s="9">
        <v>0</v>
      </c>
      <c r="H91" s="77">
        <v>900.3</v>
      </c>
      <c r="I91" s="77">
        <v>90.03</v>
      </c>
      <c r="M91" s="64">
        <f t="shared" si="8"/>
        <v>900.3</v>
      </c>
      <c r="N91" s="64">
        <f t="shared" si="9"/>
        <v>0</v>
      </c>
      <c r="O91" s="64">
        <f t="shared" si="10"/>
        <v>90.03</v>
      </c>
      <c r="P91" s="64">
        <f t="shared" si="11"/>
        <v>0</v>
      </c>
    </row>
    <row r="92" spans="1:16" x14ac:dyDescent="0.25">
      <c r="A92" t="s">
        <v>2311</v>
      </c>
      <c r="B92" t="s">
        <v>184</v>
      </c>
      <c r="C92" t="s">
        <v>4292</v>
      </c>
      <c r="D92" s="9">
        <v>122.8</v>
      </c>
      <c r="E92" s="9">
        <v>208.7</v>
      </c>
      <c r="F92" s="9">
        <v>0</v>
      </c>
      <c r="G92" s="9">
        <v>0</v>
      </c>
      <c r="H92" s="77">
        <v>331.5</v>
      </c>
      <c r="I92" s="77">
        <v>33.15</v>
      </c>
      <c r="M92" s="64">
        <f t="shared" si="8"/>
        <v>331.5</v>
      </c>
      <c r="N92" s="64">
        <f t="shared" si="9"/>
        <v>0</v>
      </c>
      <c r="O92" s="64">
        <f t="shared" si="10"/>
        <v>33.15</v>
      </c>
      <c r="P92" s="64">
        <f t="shared" si="11"/>
        <v>0</v>
      </c>
    </row>
    <row r="93" spans="1:16" ht="12.75" customHeight="1" x14ac:dyDescent="0.25">
      <c r="A93" t="s">
        <v>545</v>
      </c>
      <c r="B93" t="s">
        <v>184</v>
      </c>
      <c r="C93" t="s">
        <v>4202</v>
      </c>
      <c r="D93" s="9">
        <v>5.4</v>
      </c>
      <c r="E93" s="9">
        <v>103.3</v>
      </c>
      <c r="F93" s="9">
        <v>0</v>
      </c>
      <c r="G93" s="9">
        <v>0</v>
      </c>
      <c r="H93" s="77">
        <v>108.7</v>
      </c>
      <c r="I93" s="77">
        <v>10.870000000000001</v>
      </c>
      <c r="M93" s="64">
        <f t="shared" si="8"/>
        <v>108.7</v>
      </c>
      <c r="N93" s="64">
        <f t="shared" si="9"/>
        <v>0</v>
      </c>
      <c r="O93" s="64">
        <f t="shared" si="10"/>
        <v>10.870000000000001</v>
      </c>
      <c r="P93" s="64">
        <f t="shared" si="11"/>
        <v>0</v>
      </c>
    </row>
    <row r="94" spans="1:16" ht="13" x14ac:dyDescent="0.3">
      <c r="A94" t="s">
        <v>440</v>
      </c>
      <c r="B94" t="s">
        <v>184</v>
      </c>
      <c r="C94" t="s">
        <v>4328</v>
      </c>
      <c r="D94" s="9">
        <v>58.9</v>
      </c>
      <c r="E94" s="9">
        <v>35.4</v>
      </c>
      <c r="F94" s="9">
        <v>0</v>
      </c>
      <c r="G94" s="9">
        <v>0</v>
      </c>
      <c r="H94" s="77">
        <v>94.3</v>
      </c>
      <c r="I94" s="77">
        <v>9.43</v>
      </c>
      <c r="K94" s="13"/>
      <c r="L94" s="13"/>
      <c r="M94" s="64">
        <f t="shared" si="8"/>
        <v>94.3</v>
      </c>
      <c r="N94" s="64">
        <f t="shared" si="9"/>
        <v>0</v>
      </c>
      <c r="O94" s="64">
        <f t="shared" si="10"/>
        <v>9.43</v>
      </c>
      <c r="P94" s="64">
        <f t="shared" si="11"/>
        <v>0</v>
      </c>
    </row>
    <row r="95" spans="1:16" ht="12.75" customHeight="1" x14ac:dyDescent="0.25">
      <c r="A95" t="s">
        <v>34</v>
      </c>
      <c r="B95" t="s">
        <v>170</v>
      </c>
      <c r="C95" t="s">
        <v>4261</v>
      </c>
      <c r="D95" s="9">
        <v>28746.260000000002</v>
      </c>
      <c r="E95" s="9">
        <v>29335.279999999999</v>
      </c>
      <c r="F95" s="9">
        <v>8990.9</v>
      </c>
      <c r="G95" s="9">
        <v>5963.4</v>
      </c>
      <c r="H95" s="77">
        <v>43127.24</v>
      </c>
      <c r="I95" s="77">
        <v>4312.7299999999996</v>
      </c>
      <c r="M95" s="64">
        <f t="shared" si="8"/>
        <v>43127.24</v>
      </c>
      <c r="N95" s="64">
        <f t="shared" si="9"/>
        <v>0</v>
      </c>
      <c r="O95" s="64">
        <f t="shared" si="10"/>
        <v>4312.7240000000002</v>
      </c>
      <c r="P95" s="64">
        <f t="shared" si="11"/>
        <v>5.9999999994033715E-3</v>
      </c>
    </row>
    <row r="96" spans="1:16" x14ac:dyDescent="0.25">
      <c r="A96" t="s">
        <v>363</v>
      </c>
      <c r="B96" t="s">
        <v>170</v>
      </c>
      <c r="C96" t="s">
        <v>4200</v>
      </c>
      <c r="D96" s="9">
        <v>5033</v>
      </c>
      <c r="E96" s="9">
        <v>10137.6</v>
      </c>
      <c r="F96" s="9">
        <v>0</v>
      </c>
      <c r="G96" s="9">
        <v>0</v>
      </c>
      <c r="H96" s="77">
        <v>15170.6</v>
      </c>
      <c r="I96" s="77">
        <v>1517.06</v>
      </c>
      <c r="M96" s="64">
        <f t="shared" si="8"/>
        <v>15170.6</v>
      </c>
      <c r="N96" s="64">
        <f t="shared" si="9"/>
        <v>0</v>
      </c>
      <c r="O96" s="64">
        <f t="shared" si="10"/>
        <v>1517.0600000000002</v>
      </c>
      <c r="P96" s="64">
        <f t="shared" si="11"/>
        <v>0</v>
      </c>
    </row>
    <row r="97" spans="1:16" x14ac:dyDescent="0.25">
      <c r="A97" t="s">
        <v>549</v>
      </c>
      <c r="B97" t="s">
        <v>170</v>
      </c>
      <c r="C97" t="s">
        <v>4188</v>
      </c>
      <c r="D97" s="9">
        <v>461.4</v>
      </c>
      <c r="E97" s="9">
        <v>2383.2000000000003</v>
      </c>
      <c r="F97" s="9">
        <v>279</v>
      </c>
      <c r="G97" s="9">
        <v>524.4</v>
      </c>
      <c r="H97" s="77">
        <v>2041.2000000000003</v>
      </c>
      <c r="I97" s="77">
        <v>204.12</v>
      </c>
      <c r="M97" s="64">
        <f t="shared" ref="M97:M128" si="12">D97+E97-F97-G97</f>
        <v>2041.2000000000003</v>
      </c>
      <c r="N97" s="64">
        <f t="shared" ref="N97:N128" si="13">H97-M97</f>
        <v>0</v>
      </c>
      <c r="O97" s="64">
        <f t="shared" ref="O97:O128" si="14">M97*0.1</f>
        <v>204.12000000000003</v>
      </c>
      <c r="P97" s="64">
        <f t="shared" ref="P97:P128" si="15">I97-O97</f>
        <v>0</v>
      </c>
    </row>
    <row r="98" spans="1:16" x14ac:dyDescent="0.25">
      <c r="A98" t="s">
        <v>3264</v>
      </c>
      <c r="B98" t="s">
        <v>170</v>
      </c>
      <c r="C98" t="s">
        <v>4555</v>
      </c>
      <c r="D98" s="9">
        <v>110.2</v>
      </c>
      <c r="E98" s="9">
        <v>587.1</v>
      </c>
      <c r="F98" s="9">
        <v>0</v>
      </c>
      <c r="G98" s="9">
        <v>0</v>
      </c>
      <c r="H98" s="77">
        <v>697.30000000000007</v>
      </c>
      <c r="I98" s="77">
        <v>69.73</v>
      </c>
      <c r="M98" s="64">
        <f t="shared" si="12"/>
        <v>697.30000000000007</v>
      </c>
      <c r="N98" s="64">
        <f t="shared" si="13"/>
        <v>0</v>
      </c>
      <c r="O98" s="64">
        <f t="shared" si="14"/>
        <v>69.73</v>
      </c>
      <c r="P98" s="64">
        <f t="shared" si="15"/>
        <v>0</v>
      </c>
    </row>
    <row r="99" spans="1:16" ht="12.75" customHeight="1" x14ac:dyDescent="0.25">
      <c r="A99" s="19" t="s">
        <v>2821</v>
      </c>
      <c r="B99" s="19" t="s">
        <v>170</v>
      </c>
      <c r="C99" s="19" t="s">
        <v>4578</v>
      </c>
      <c r="D99" s="9">
        <v>50.4</v>
      </c>
      <c r="E99" s="9">
        <v>506.1</v>
      </c>
      <c r="F99" s="9">
        <v>0</v>
      </c>
      <c r="G99" s="9">
        <v>0</v>
      </c>
      <c r="H99" s="77">
        <v>556.5</v>
      </c>
      <c r="I99" s="77">
        <v>55.65</v>
      </c>
      <c r="M99" s="64">
        <f t="shared" si="12"/>
        <v>556.5</v>
      </c>
      <c r="N99" s="64">
        <f t="shared" si="13"/>
        <v>0</v>
      </c>
      <c r="O99" s="64">
        <f t="shared" si="14"/>
        <v>55.650000000000006</v>
      </c>
      <c r="P99" s="64">
        <f t="shared" si="15"/>
        <v>0</v>
      </c>
    </row>
    <row r="100" spans="1:16" ht="12.75" customHeight="1" x14ac:dyDescent="0.25">
      <c r="A100" s="19" t="s">
        <v>546</v>
      </c>
      <c r="B100" s="19" t="s">
        <v>170</v>
      </c>
      <c r="C100" s="19" t="s">
        <v>4123</v>
      </c>
      <c r="D100" s="9">
        <v>45</v>
      </c>
      <c r="E100" s="9">
        <v>402.8</v>
      </c>
      <c r="F100" s="9">
        <v>0</v>
      </c>
      <c r="G100" s="9">
        <v>0</v>
      </c>
      <c r="H100" s="77">
        <v>447.8</v>
      </c>
      <c r="I100" s="77">
        <v>44.78</v>
      </c>
      <c r="M100" s="64">
        <f t="shared" si="12"/>
        <v>447.8</v>
      </c>
      <c r="N100" s="64">
        <f t="shared" si="13"/>
        <v>0</v>
      </c>
      <c r="O100" s="64">
        <f t="shared" si="14"/>
        <v>44.78</v>
      </c>
      <c r="P100" s="64">
        <f t="shared" si="15"/>
        <v>0</v>
      </c>
    </row>
    <row r="101" spans="1:16" ht="12.75" customHeight="1" x14ac:dyDescent="0.25">
      <c r="A101" t="s">
        <v>548</v>
      </c>
      <c r="B101" t="s">
        <v>170</v>
      </c>
      <c r="C101" t="s">
        <v>4577</v>
      </c>
      <c r="D101" s="9">
        <v>45</v>
      </c>
      <c r="E101" s="9">
        <v>402.8</v>
      </c>
      <c r="F101" s="9">
        <v>0</v>
      </c>
      <c r="G101" s="9">
        <v>0</v>
      </c>
      <c r="H101" s="77">
        <v>447.8</v>
      </c>
      <c r="I101" s="77">
        <v>44.78</v>
      </c>
      <c r="M101" s="64">
        <f t="shared" si="12"/>
        <v>447.8</v>
      </c>
      <c r="N101" s="64">
        <f t="shared" si="13"/>
        <v>0</v>
      </c>
      <c r="O101" s="64">
        <f t="shared" si="14"/>
        <v>44.78</v>
      </c>
      <c r="P101" s="64">
        <f t="shared" si="15"/>
        <v>0</v>
      </c>
    </row>
    <row r="102" spans="1:16" x14ac:dyDescent="0.25">
      <c r="A102" t="s">
        <v>547</v>
      </c>
      <c r="B102" t="s">
        <v>170</v>
      </c>
      <c r="C102" t="s">
        <v>4127</v>
      </c>
      <c r="D102" s="9">
        <v>130.80000000000001</v>
      </c>
      <c r="E102" s="9">
        <v>69.7</v>
      </c>
      <c r="F102" s="9">
        <v>0</v>
      </c>
      <c r="G102" s="9">
        <v>0</v>
      </c>
      <c r="H102" s="77">
        <v>200.5</v>
      </c>
      <c r="I102" s="77">
        <v>20.05</v>
      </c>
      <c r="M102" s="64">
        <f t="shared" si="12"/>
        <v>200.5</v>
      </c>
      <c r="N102" s="64">
        <f t="shared" si="13"/>
        <v>0</v>
      </c>
      <c r="O102" s="64">
        <f t="shared" si="14"/>
        <v>20.05</v>
      </c>
      <c r="P102" s="64">
        <f t="shared" si="15"/>
        <v>0</v>
      </c>
    </row>
    <row r="103" spans="1:16" x14ac:dyDescent="0.25">
      <c r="A103" t="s">
        <v>2018</v>
      </c>
      <c r="B103" t="s">
        <v>57</v>
      </c>
      <c r="C103" t="s">
        <v>4246</v>
      </c>
      <c r="D103" s="9">
        <v>330968.69999999995</v>
      </c>
      <c r="E103" s="9">
        <v>293063.99</v>
      </c>
      <c r="F103" s="9">
        <v>17007.3</v>
      </c>
      <c r="G103" s="9">
        <v>10234.370000000001</v>
      </c>
      <c r="H103" s="77">
        <v>596791.02</v>
      </c>
      <c r="I103" s="77">
        <v>59679.079999999994</v>
      </c>
      <c r="M103" s="64">
        <f t="shared" si="12"/>
        <v>596791.0199999999</v>
      </c>
      <c r="N103" s="64">
        <f t="shared" si="13"/>
        <v>0</v>
      </c>
      <c r="O103" s="64">
        <f t="shared" si="14"/>
        <v>59679.101999999992</v>
      </c>
      <c r="P103" s="64">
        <f t="shared" si="15"/>
        <v>-2.1999999997206032E-2</v>
      </c>
    </row>
    <row r="104" spans="1:16" ht="12.75" customHeight="1" x14ac:dyDescent="0.25">
      <c r="A104" s="19" t="s">
        <v>1862</v>
      </c>
      <c r="B104" s="19" t="s">
        <v>58</v>
      </c>
      <c r="C104" s="19" t="s">
        <v>4247</v>
      </c>
      <c r="D104" s="9">
        <v>48815.8</v>
      </c>
      <c r="E104" s="9">
        <v>62136.800000000003</v>
      </c>
      <c r="F104" s="9">
        <v>436.8</v>
      </c>
      <c r="G104" s="9">
        <v>1211.5</v>
      </c>
      <c r="H104" s="77">
        <v>109304.3</v>
      </c>
      <c r="I104" s="77">
        <v>10930.43</v>
      </c>
      <c r="M104" s="64">
        <f t="shared" si="12"/>
        <v>109304.3</v>
      </c>
      <c r="N104" s="64">
        <f t="shared" si="13"/>
        <v>0</v>
      </c>
      <c r="O104" s="64">
        <f t="shared" si="14"/>
        <v>10930.43</v>
      </c>
      <c r="P104" s="64">
        <f t="shared" si="15"/>
        <v>0</v>
      </c>
    </row>
    <row r="105" spans="1:16" ht="12.75" customHeight="1" x14ac:dyDescent="0.25">
      <c r="A105" t="s">
        <v>34</v>
      </c>
      <c r="B105" t="s">
        <v>201</v>
      </c>
      <c r="C105" t="s">
        <v>4153</v>
      </c>
      <c r="D105" s="9">
        <v>90729.47</v>
      </c>
      <c r="E105" s="9">
        <v>98188.84</v>
      </c>
      <c r="F105" s="9">
        <v>20340.060000000001</v>
      </c>
      <c r="G105" s="9">
        <v>1604.63</v>
      </c>
      <c r="H105" s="77">
        <v>166973.62</v>
      </c>
      <c r="I105" s="77">
        <v>16697.37</v>
      </c>
      <c r="J105" s="9"/>
      <c r="M105" s="64">
        <f t="shared" si="12"/>
        <v>166973.62</v>
      </c>
      <c r="N105" s="64">
        <f t="shared" si="13"/>
        <v>0</v>
      </c>
      <c r="O105" s="64">
        <f t="shared" si="14"/>
        <v>16697.362000000001</v>
      </c>
      <c r="P105" s="64">
        <f t="shared" si="15"/>
        <v>7.9999999979918357E-3</v>
      </c>
    </row>
    <row r="106" spans="1:16" x14ac:dyDescent="0.25">
      <c r="A106" t="s">
        <v>21</v>
      </c>
      <c r="B106" t="s">
        <v>201</v>
      </c>
      <c r="C106" t="s">
        <v>4056</v>
      </c>
      <c r="D106" s="9">
        <v>12405.7</v>
      </c>
      <c r="E106" s="9">
        <v>2765.4</v>
      </c>
      <c r="F106" s="9">
        <v>413.2</v>
      </c>
      <c r="G106" s="9">
        <v>4076.7</v>
      </c>
      <c r="H106" s="77">
        <v>10681.2</v>
      </c>
      <c r="I106" s="77">
        <v>1068.1199999999999</v>
      </c>
      <c r="M106" s="64">
        <f t="shared" si="12"/>
        <v>10681.2</v>
      </c>
      <c r="N106" s="64">
        <f t="shared" si="13"/>
        <v>0</v>
      </c>
      <c r="O106" s="64">
        <f t="shared" si="14"/>
        <v>1068.1200000000001</v>
      </c>
      <c r="P106" s="64">
        <f t="shared" si="15"/>
        <v>0</v>
      </c>
    </row>
    <row r="107" spans="1:16" ht="12.75" customHeight="1" x14ac:dyDescent="0.25">
      <c r="A107" s="19" t="s">
        <v>560</v>
      </c>
      <c r="B107" s="19" t="s">
        <v>201</v>
      </c>
      <c r="C107" s="19" t="s">
        <v>4081</v>
      </c>
      <c r="D107" s="9">
        <v>5504.8</v>
      </c>
      <c r="E107" s="9">
        <v>115.6</v>
      </c>
      <c r="F107" s="9">
        <v>0</v>
      </c>
      <c r="G107" s="9">
        <v>0</v>
      </c>
      <c r="H107" s="77">
        <v>5620.4000000000005</v>
      </c>
      <c r="I107" s="77">
        <v>562.04</v>
      </c>
      <c r="M107" s="64">
        <f t="shared" si="12"/>
        <v>5620.4000000000005</v>
      </c>
      <c r="N107" s="64">
        <f t="shared" si="13"/>
        <v>0</v>
      </c>
      <c r="O107" s="64">
        <f t="shared" si="14"/>
        <v>562.04000000000008</v>
      </c>
      <c r="P107" s="64">
        <f t="shared" si="15"/>
        <v>0</v>
      </c>
    </row>
    <row r="108" spans="1:16" ht="12.75" customHeight="1" x14ac:dyDescent="0.25">
      <c r="A108" t="s">
        <v>561</v>
      </c>
      <c r="B108" t="s">
        <v>201</v>
      </c>
      <c r="C108" t="s">
        <v>4326</v>
      </c>
      <c r="D108" s="9">
        <v>243.4</v>
      </c>
      <c r="E108" s="9">
        <v>223.7</v>
      </c>
      <c r="F108" s="9">
        <v>0</v>
      </c>
      <c r="G108" s="9">
        <v>0</v>
      </c>
      <c r="H108" s="77">
        <v>467.1</v>
      </c>
      <c r="I108" s="77">
        <v>46.71</v>
      </c>
      <c r="M108" s="64">
        <f t="shared" si="12"/>
        <v>467.1</v>
      </c>
      <c r="N108" s="64">
        <f t="shared" si="13"/>
        <v>0</v>
      </c>
      <c r="O108" s="64">
        <f t="shared" si="14"/>
        <v>46.710000000000008</v>
      </c>
      <c r="P108" s="64">
        <f t="shared" si="15"/>
        <v>0</v>
      </c>
    </row>
    <row r="109" spans="1:16" ht="12.75" customHeight="1" x14ac:dyDescent="0.25">
      <c r="A109" t="s">
        <v>2127</v>
      </c>
      <c r="B109" t="s">
        <v>201</v>
      </c>
      <c r="C109" t="s">
        <v>4117</v>
      </c>
      <c r="D109" s="9">
        <v>167.6</v>
      </c>
      <c r="E109" s="9">
        <v>83.7</v>
      </c>
      <c r="F109" s="9">
        <v>0</v>
      </c>
      <c r="G109" s="9">
        <v>0</v>
      </c>
      <c r="H109" s="77">
        <v>251.3</v>
      </c>
      <c r="I109" s="77">
        <v>25.130000000000003</v>
      </c>
      <c r="M109" s="64">
        <f t="shared" si="12"/>
        <v>251.3</v>
      </c>
      <c r="N109" s="64">
        <f t="shared" si="13"/>
        <v>0</v>
      </c>
      <c r="O109" s="64">
        <f t="shared" si="14"/>
        <v>25.130000000000003</v>
      </c>
      <c r="P109" s="64">
        <f t="shared" si="15"/>
        <v>0</v>
      </c>
    </row>
    <row r="110" spans="1:16" ht="12.75" customHeight="1" x14ac:dyDescent="0.25">
      <c r="A110" t="s">
        <v>443</v>
      </c>
      <c r="B110" t="s">
        <v>201</v>
      </c>
      <c r="C110" t="s">
        <v>4128</v>
      </c>
      <c r="D110" s="9">
        <v>23148.400000000001</v>
      </c>
      <c r="E110" s="9">
        <v>3533.9</v>
      </c>
      <c r="F110" s="9">
        <v>23071.7</v>
      </c>
      <c r="G110" s="9">
        <v>3430.4</v>
      </c>
      <c r="H110" s="77">
        <v>180.2</v>
      </c>
      <c r="I110" s="77">
        <v>18.02</v>
      </c>
      <c r="M110" s="64">
        <f t="shared" si="12"/>
        <v>180.20000000000209</v>
      </c>
      <c r="N110" s="64">
        <f t="shared" si="13"/>
        <v>-2.1032064978498966E-12</v>
      </c>
      <c r="O110" s="64">
        <f t="shared" si="14"/>
        <v>18.020000000000209</v>
      </c>
      <c r="P110" s="64">
        <f t="shared" si="15"/>
        <v>-2.0961010704922955E-13</v>
      </c>
    </row>
    <row r="111" spans="1:16" x14ac:dyDescent="0.25">
      <c r="A111" t="s">
        <v>2126</v>
      </c>
      <c r="B111" t="s">
        <v>201</v>
      </c>
      <c r="C111" t="s">
        <v>4113</v>
      </c>
      <c r="D111" s="9">
        <v>52.4</v>
      </c>
      <c r="E111" s="9">
        <v>27</v>
      </c>
      <c r="F111" s="9">
        <v>0</v>
      </c>
      <c r="G111" s="9">
        <v>0</v>
      </c>
      <c r="H111" s="77">
        <v>79.400000000000006</v>
      </c>
      <c r="I111" s="77">
        <v>7.94</v>
      </c>
      <c r="M111" s="64">
        <f t="shared" si="12"/>
        <v>79.400000000000006</v>
      </c>
      <c r="N111" s="64">
        <f t="shared" si="13"/>
        <v>0</v>
      </c>
      <c r="O111" s="64">
        <f t="shared" si="14"/>
        <v>7.9400000000000013</v>
      </c>
      <c r="P111" s="64">
        <f t="shared" si="15"/>
        <v>0</v>
      </c>
    </row>
    <row r="112" spans="1:16" x14ac:dyDescent="0.25">
      <c r="A112" t="s">
        <v>34</v>
      </c>
      <c r="B112" t="s">
        <v>59</v>
      </c>
      <c r="C112" t="s">
        <v>4154</v>
      </c>
      <c r="D112" s="9">
        <v>64769.2</v>
      </c>
      <c r="E112" s="9">
        <v>83564.3</v>
      </c>
      <c r="F112" s="9">
        <v>38901</v>
      </c>
      <c r="G112" s="9">
        <v>1744.6</v>
      </c>
      <c r="H112" s="77">
        <v>107687.9</v>
      </c>
      <c r="I112" s="77">
        <v>10768.79</v>
      </c>
      <c r="M112" s="64">
        <f t="shared" si="12"/>
        <v>107687.9</v>
      </c>
      <c r="N112" s="64">
        <f t="shared" si="13"/>
        <v>0</v>
      </c>
      <c r="O112" s="64">
        <f t="shared" si="14"/>
        <v>10768.79</v>
      </c>
      <c r="P112" s="64">
        <f t="shared" si="15"/>
        <v>0</v>
      </c>
    </row>
    <row r="113" spans="1:16" x14ac:dyDescent="0.25">
      <c r="A113" t="s">
        <v>563</v>
      </c>
      <c r="B113" t="s">
        <v>59</v>
      </c>
      <c r="C113" t="s">
        <v>4422</v>
      </c>
      <c r="D113" s="9">
        <v>11191.6</v>
      </c>
      <c r="E113" s="9">
        <v>11825.1</v>
      </c>
      <c r="F113" s="9">
        <v>0</v>
      </c>
      <c r="G113" s="9">
        <v>0</v>
      </c>
      <c r="H113" s="77">
        <v>23016.7</v>
      </c>
      <c r="I113" s="77">
        <v>2301.67</v>
      </c>
      <c r="M113" s="64">
        <f t="shared" si="12"/>
        <v>23016.7</v>
      </c>
      <c r="N113" s="64">
        <f t="shared" si="13"/>
        <v>0</v>
      </c>
      <c r="O113" s="64">
        <f t="shared" si="14"/>
        <v>2301.67</v>
      </c>
      <c r="P113" s="64">
        <f t="shared" si="15"/>
        <v>0</v>
      </c>
    </row>
    <row r="114" spans="1:16" x14ac:dyDescent="0.25">
      <c r="A114" t="s">
        <v>176</v>
      </c>
      <c r="B114" t="s">
        <v>59</v>
      </c>
      <c r="C114" t="s">
        <v>4130</v>
      </c>
      <c r="D114" s="9">
        <v>9524</v>
      </c>
      <c r="E114" s="9">
        <v>12555.499999999998</v>
      </c>
      <c r="F114" s="9">
        <v>151.89999999999998</v>
      </c>
      <c r="G114" s="9">
        <v>1023.2</v>
      </c>
      <c r="H114" s="77">
        <v>20904.399999999998</v>
      </c>
      <c r="I114" s="77">
        <v>2090.44</v>
      </c>
      <c r="M114" s="64">
        <f t="shared" si="12"/>
        <v>20904.399999999998</v>
      </c>
      <c r="N114" s="64">
        <f t="shared" si="13"/>
        <v>0</v>
      </c>
      <c r="O114" s="64">
        <f t="shared" si="14"/>
        <v>2090.44</v>
      </c>
      <c r="P114" s="64">
        <f t="shared" si="15"/>
        <v>0</v>
      </c>
    </row>
    <row r="115" spans="1:16" x14ac:dyDescent="0.25">
      <c r="A115" s="19" t="s">
        <v>294</v>
      </c>
      <c r="B115" s="19" t="s">
        <v>59</v>
      </c>
      <c r="C115" s="19" t="s">
        <v>4214</v>
      </c>
      <c r="D115" s="9">
        <v>3407.1</v>
      </c>
      <c r="E115" s="9">
        <v>12530.6</v>
      </c>
      <c r="F115" s="9">
        <v>23</v>
      </c>
      <c r="G115" s="9">
        <v>6.7</v>
      </c>
      <c r="H115" s="77">
        <v>15908</v>
      </c>
      <c r="I115" s="77">
        <v>1590.8000000000002</v>
      </c>
      <c r="M115" s="64">
        <f t="shared" si="12"/>
        <v>15908</v>
      </c>
      <c r="N115" s="64">
        <f t="shared" si="13"/>
        <v>0</v>
      </c>
      <c r="O115" s="64">
        <f t="shared" si="14"/>
        <v>1590.8000000000002</v>
      </c>
      <c r="P115" s="64">
        <f t="shared" si="15"/>
        <v>0</v>
      </c>
    </row>
    <row r="116" spans="1:16" x14ac:dyDescent="0.25">
      <c r="A116" t="s">
        <v>74</v>
      </c>
      <c r="B116" t="s">
        <v>59</v>
      </c>
      <c r="C116" t="s">
        <v>4097</v>
      </c>
      <c r="D116" s="9">
        <v>735.7</v>
      </c>
      <c r="E116" s="9">
        <v>571.29999999999995</v>
      </c>
      <c r="F116" s="9">
        <v>22.4</v>
      </c>
      <c r="G116" s="9">
        <v>14.4</v>
      </c>
      <c r="H116" s="77">
        <v>1270.1999999999998</v>
      </c>
      <c r="I116" s="77">
        <v>127.02</v>
      </c>
      <c r="M116" s="64">
        <f t="shared" si="12"/>
        <v>1270.1999999999998</v>
      </c>
      <c r="N116" s="64">
        <f t="shared" si="13"/>
        <v>0</v>
      </c>
      <c r="O116" s="64">
        <f t="shared" si="14"/>
        <v>127.01999999999998</v>
      </c>
      <c r="P116" s="64">
        <f t="shared" si="15"/>
        <v>0</v>
      </c>
    </row>
    <row r="117" spans="1:16" x14ac:dyDescent="0.25">
      <c r="A117" t="s">
        <v>34</v>
      </c>
      <c r="B117" s="19" t="s">
        <v>161</v>
      </c>
      <c r="C117" s="19" t="s">
        <v>4155</v>
      </c>
      <c r="D117" s="9">
        <v>20320.299999999996</v>
      </c>
      <c r="E117" s="9">
        <v>32437.399999999998</v>
      </c>
      <c r="F117" s="9">
        <v>3512.5</v>
      </c>
      <c r="G117" s="9">
        <v>3779.4000000000005</v>
      </c>
      <c r="H117" s="77">
        <v>45465.8</v>
      </c>
      <c r="I117" s="77">
        <v>4546.58</v>
      </c>
      <c r="M117" s="64">
        <f t="shared" si="12"/>
        <v>45465.799999999996</v>
      </c>
      <c r="N117" s="64">
        <f t="shared" si="13"/>
        <v>0</v>
      </c>
      <c r="O117" s="64">
        <f t="shared" si="14"/>
        <v>4546.58</v>
      </c>
      <c r="P117" s="64">
        <f t="shared" si="15"/>
        <v>0</v>
      </c>
    </row>
    <row r="118" spans="1:16" x14ac:dyDescent="0.25">
      <c r="A118" t="s">
        <v>2420</v>
      </c>
      <c r="B118" t="s">
        <v>161</v>
      </c>
      <c r="C118" t="s">
        <v>4583</v>
      </c>
      <c r="D118" s="9">
        <v>708.3</v>
      </c>
      <c r="E118" s="9">
        <v>3.6</v>
      </c>
      <c r="F118" s="9">
        <v>0</v>
      </c>
      <c r="G118" s="9">
        <v>0</v>
      </c>
      <c r="H118" s="77">
        <v>711.9</v>
      </c>
      <c r="I118" s="77">
        <v>71.19</v>
      </c>
      <c r="M118" s="64">
        <f t="shared" si="12"/>
        <v>711.9</v>
      </c>
      <c r="N118" s="64">
        <f t="shared" si="13"/>
        <v>0</v>
      </c>
      <c r="O118" s="64">
        <f t="shared" si="14"/>
        <v>71.19</v>
      </c>
      <c r="P118" s="64">
        <f t="shared" si="15"/>
        <v>0</v>
      </c>
    </row>
    <row r="119" spans="1:16" x14ac:dyDescent="0.25">
      <c r="A119" t="s">
        <v>2055</v>
      </c>
      <c r="B119" t="s">
        <v>161</v>
      </c>
      <c r="C119" t="s">
        <v>4425</v>
      </c>
      <c r="D119" s="9">
        <v>214.7</v>
      </c>
      <c r="E119" s="9">
        <v>141.19999999999999</v>
      </c>
      <c r="F119" s="9">
        <v>0</v>
      </c>
      <c r="G119" s="9">
        <v>0</v>
      </c>
      <c r="H119" s="77">
        <v>355.9</v>
      </c>
      <c r="I119" s="77">
        <v>35.589999999999996</v>
      </c>
      <c r="M119" s="64">
        <f t="shared" si="12"/>
        <v>355.9</v>
      </c>
      <c r="N119" s="64">
        <f t="shared" si="13"/>
        <v>0</v>
      </c>
      <c r="O119" s="64">
        <f t="shared" si="14"/>
        <v>35.589999999999996</v>
      </c>
      <c r="P119" s="64">
        <f t="shared" si="15"/>
        <v>0</v>
      </c>
    </row>
    <row r="120" spans="1:16" x14ac:dyDescent="0.25">
      <c r="A120" t="s">
        <v>567</v>
      </c>
      <c r="B120" t="s">
        <v>161</v>
      </c>
      <c r="C120" t="s">
        <v>4573</v>
      </c>
      <c r="D120" s="9">
        <v>4.7</v>
      </c>
      <c r="E120" s="9">
        <v>184.7</v>
      </c>
      <c r="F120" s="9">
        <v>0</v>
      </c>
      <c r="G120" s="9">
        <v>0</v>
      </c>
      <c r="H120" s="77">
        <v>189.39999999999998</v>
      </c>
      <c r="I120" s="77">
        <v>18.939999999999998</v>
      </c>
      <c r="M120" s="64">
        <f t="shared" si="12"/>
        <v>189.39999999999998</v>
      </c>
      <c r="N120" s="64">
        <f t="shared" si="13"/>
        <v>0</v>
      </c>
      <c r="O120" s="64">
        <f t="shared" si="14"/>
        <v>18.939999999999998</v>
      </c>
      <c r="P120" s="64">
        <f t="shared" si="15"/>
        <v>0</v>
      </c>
    </row>
    <row r="121" spans="1:16" x14ac:dyDescent="0.25">
      <c r="A121" t="s">
        <v>34</v>
      </c>
      <c r="B121" t="s">
        <v>173</v>
      </c>
      <c r="C121" t="s">
        <v>4156</v>
      </c>
      <c r="D121" s="9">
        <v>7797.5</v>
      </c>
      <c r="E121" s="9">
        <v>4826.7</v>
      </c>
      <c r="F121" s="9">
        <v>3380</v>
      </c>
      <c r="G121" s="9">
        <v>237</v>
      </c>
      <c r="H121" s="77">
        <v>9007.2000000000007</v>
      </c>
      <c r="I121" s="77">
        <v>900.72</v>
      </c>
      <c r="M121" s="64">
        <f t="shared" si="12"/>
        <v>9007.2000000000007</v>
      </c>
      <c r="N121" s="64">
        <f t="shared" si="13"/>
        <v>0</v>
      </c>
      <c r="O121" s="64">
        <f t="shared" si="14"/>
        <v>900.72000000000014</v>
      </c>
      <c r="P121" s="64">
        <f t="shared" si="15"/>
        <v>0</v>
      </c>
    </row>
    <row r="122" spans="1:16" x14ac:dyDescent="0.25">
      <c r="A122" t="s">
        <v>2312</v>
      </c>
      <c r="B122" t="s">
        <v>173</v>
      </c>
      <c r="C122" t="s">
        <v>4567</v>
      </c>
      <c r="E122" s="9">
        <v>2031.1</v>
      </c>
      <c r="G122" s="9">
        <v>0</v>
      </c>
      <c r="H122" s="77">
        <v>2031.1</v>
      </c>
      <c r="I122" s="77">
        <v>203.11</v>
      </c>
      <c r="M122" s="64">
        <f t="shared" si="12"/>
        <v>2031.1</v>
      </c>
      <c r="N122" s="64">
        <f t="shared" si="13"/>
        <v>0</v>
      </c>
      <c r="O122" s="64">
        <f t="shared" si="14"/>
        <v>203.11</v>
      </c>
      <c r="P122" s="64">
        <f t="shared" si="15"/>
        <v>0</v>
      </c>
    </row>
    <row r="123" spans="1:16" x14ac:dyDescent="0.25">
      <c r="A123" t="s">
        <v>2949</v>
      </c>
      <c r="B123" t="s">
        <v>173</v>
      </c>
      <c r="C123" t="s">
        <v>4572</v>
      </c>
      <c r="D123" s="9">
        <v>111.1</v>
      </c>
      <c r="E123" s="9">
        <v>565.9</v>
      </c>
      <c r="F123" s="9">
        <v>0</v>
      </c>
      <c r="G123" s="9">
        <v>0</v>
      </c>
      <c r="H123" s="77">
        <v>677</v>
      </c>
      <c r="I123" s="77">
        <v>67.7</v>
      </c>
      <c r="M123" s="64">
        <f t="shared" si="12"/>
        <v>677</v>
      </c>
      <c r="N123" s="64">
        <f t="shared" si="13"/>
        <v>0</v>
      </c>
      <c r="O123" s="64">
        <f t="shared" si="14"/>
        <v>67.7</v>
      </c>
      <c r="P123" s="64">
        <f t="shared" si="15"/>
        <v>0</v>
      </c>
    </row>
    <row r="124" spans="1:16" x14ac:dyDescent="0.25">
      <c r="A124" s="19" t="s">
        <v>444</v>
      </c>
      <c r="B124" s="19" t="s">
        <v>173</v>
      </c>
      <c r="C124" s="19" t="s">
        <v>4589</v>
      </c>
      <c r="D124" s="9">
        <v>328.5</v>
      </c>
      <c r="E124" s="9">
        <v>229.1</v>
      </c>
      <c r="F124" s="9">
        <v>0</v>
      </c>
      <c r="G124" s="9">
        <v>0</v>
      </c>
      <c r="H124" s="77">
        <v>557.6</v>
      </c>
      <c r="I124" s="77">
        <v>55.760000000000005</v>
      </c>
      <c r="M124" s="64">
        <f t="shared" si="12"/>
        <v>557.6</v>
      </c>
      <c r="N124" s="64">
        <f t="shared" si="13"/>
        <v>0</v>
      </c>
      <c r="O124" s="64">
        <f t="shared" si="14"/>
        <v>55.760000000000005</v>
      </c>
      <c r="P124" s="64">
        <f t="shared" si="15"/>
        <v>0</v>
      </c>
    </row>
    <row r="125" spans="1:16" x14ac:dyDescent="0.25">
      <c r="A125" t="s">
        <v>572</v>
      </c>
      <c r="B125" t="s">
        <v>173</v>
      </c>
      <c r="C125" t="s">
        <v>4427</v>
      </c>
      <c r="D125" s="9">
        <v>286.8</v>
      </c>
      <c r="E125" s="9">
        <v>97.7</v>
      </c>
      <c r="F125" s="9">
        <v>0</v>
      </c>
      <c r="G125" s="9">
        <v>0</v>
      </c>
      <c r="H125" s="77">
        <v>384.5</v>
      </c>
      <c r="I125" s="77">
        <v>38.450000000000003</v>
      </c>
      <c r="M125" s="64">
        <f t="shared" si="12"/>
        <v>384.5</v>
      </c>
      <c r="N125" s="64">
        <f t="shared" si="13"/>
        <v>0</v>
      </c>
      <c r="O125" s="64">
        <f t="shared" si="14"/>
        <v>38.450000000000003</v>
      </c>
      <c r="P125" s="64">
        <f t="shared" si="15"/>
        <v>0</v>
      </c>
    </row>
    <row r="126" spans="1:16" x14ac:dyDescent="0.25">
      <c r="A126" t="s">
        <v>1864</v>
      </c>
      <c r="B126" t="s">
        <v>60</v>
      </c>
      <c r="C126" t="s">
        <v>4248</v>
      </c>
      <c r="D126" s="9">
        <v>117921.40000000001</v>
      </c>
      <c r="E126" s="9">
        <v>1301826.8</v>
      </c>
      <c r="F126" s="9">
        <v>705.6</v>
      </c>
      <c r="G126" s="9">
        <v>1949.2</v>
      </c>
      <c r="H126" s="77">
        <v>1417093.4000000001</v>
      </c>
      <c r="I126" s="77">
        <v>141709.34000000003</v>
      </c>
      <c r="M126" s="64">
        <f t="shared" si="12"/>
        <v>1417093.4</v>
      </c>
      <c r="N126" s="64">
        <f t="shared" si="13"/>
        <v>0</v>
      </c>
      <c r="O126" s="64">
        <f t="shared" si="14"/>
        <v>141709.34</v>
      </c>
      <c r="P126" s="64">
        <f t="shared" si="15"/>
        <v>0</v>
      </c>
    </row>
    <row r="127" spans="1:16" x14ac:dyDescent="0.25">
      <c r="A127" t="s">
        <v>1865</v>
      </c>
      <c r="B127" t="s">
        <v>61</v>
      </c>
      <c r="C127" t="s">
        <v>4249</v>
      </c>
      <c r="D127" s="9">
        <v>45046.130000000005</v>
      </c>
      <c r="E127" s="9">
        <v>108566.84</v>
      </c>
      <c r="F127" s="9">
        <v>2075.3000000000002</v>
      </c>
      <c r="G127" s="9">
        <v>3319.2999999999997</v>
      </c>
      <c r="H127" s="77">
        <v>148218.37</v>
      </c>
      <c r="I127" s="77">
        <v>14821.83</v>
      </c>
      <c r="M127" s="64">
        <f t="shared" si="12"/>
        <v>148218.37000000002</v>
      </c>
      <c r="N127" s="64">
        <f t="shared" si="13"/>
        <v>0</v>
      </c>
      <c r="O127" s="64">
        <f t="shared" si="14"/>
        <v>14821.837000000003</v>
      </c>
      <c r="P127" s="64">
        <f t="shared" si="15"/>
        <v>-7.0000000032450771E-3</v>
      </c>
    </row>
    <row r="128" spans="1:16" x14ac:dyDescent="0.25">
      <c r="A128" t="s">
        <v>1867</v>
      </c>
      <c r="B128" t="s">
        <v>62</v>
      </c>
      <c r="C128" t="s">
        <v>4250</v>
      </c>
      <c r="D128" s="9">
        <v>102994.87000000001</v>
      </c>
      <c r="E128" s="9">
        <v>177831.94000000003</v>
      </c>
      <c r="F128" s="9">
        <v>8092.3</v>
      </c>
      <c r="G128" s="9">
        <v>49116.800000000003</v>
      </c>
      <c r="H128" s="77">
        <v>223617.71000000002</v>
      </c>
      <c r="I128" s="77">
        <v>22361.759999999998</v>
      </c>
      <c r="M128" s="64">
        <f t="shared" si="12"/>
        <v>223617.71000000008</v>
      </c>
      <c r="N128" s="64">
        <f t="shared" si="13"/>
        <v>0</v>
      </c>
      <c r="O128" s="64">
        <f t="shared" si="14"/>
        <v>22361.771000000008</v>
      </c>
      <c r="P128" s="64">
        <f t="shared" si="15"/>
        <v>-1.1000000009516953E-2</v>
      </c>
    </row>
    <row r="129" spans="1:16" x14ac:dyDescent="0.25">
      <c r="A129" t="s">
        <v>450</v>
      </c>
      <c r="B129" t="s">
        <v>163</v>
      </c>
      <c r="C129" t="s">
        <v>4131</v>
      </c>
      <c r="D129" s="9">
        <v>37455.4</v>
      </c>
      <c r="E129" s="9">
        <v>46764.7</v>
      </c>
      <c r="F129" s="9">
        <v>64.400000000000006</v>
      </c>
      <c r="G129" s="9">
        <v>131.30000000000001</v>
      </c>
      <c r="H129" s="77">
        <v>84024.4</v>
      </c>
      <c r="I129" s="77">
        <v>8402.44</v>
      </c>
      <c r="M129" s="64">
        <f t="shared" ref="M129:M160" si="16">D129+E129-F129-G129</f>
        <v>84024.400000000009</v>
      </c>
      <c r="N129" s="64">
        <f t="shared" ref="N129:N160" si="17">H129-M129</f>
        <v>0</v>
      </c>
      <c r="O129" s="64">
        <f t="shared" ref="O129:O160" si="18">M129*0.1</f>
        <v>8402.44</v>
      </c>
      <c r="P129" s="64">
        <f t="shared" ref="P129:P160" si="19">I129-O129</f>
        <v>0</v>
      </c>
    </row>
    <row r="130" spans="1:16" x14ac:dyDescent="0.25">
      <c r="A130" t="s">
        <v>34</v>
      </c>
      <c r="B130" t="s">
        <v>163</v>
      </c>
      <c r="C130" t="s">
        <v>4157</v>
      </c>
      <c r="D130" s="9">
        <v>28130.94</v>
      </c>
      <c r="E130" s="9">
        <v>15194.25</v>
      </c>
      <c r="F130" s="9">
        <v>1079.5999999999999</v>
      </c>
      <c r="G130" s="9">
        <v>4059.1</v>
      </c>
      <c r="H130" s="77">
        <v>38186.490000000005</v>
      </c>
      <c r="I130" s="77">
        <v>3818.6400000000003</v>
      </c>
      <c r="M130" s="64">
        <f t="shared" si="16"/>
        <v>38186.490000000005</v>
      </c>
      <c r="N130" s="64">
        <f t="shared" si="17"/>
        <v>0</v>
      </c>
      <c r="O130" s="64">
        <f t="shared" si="18"/>
        <v>3818.6490000000008</v>
      </c>
      <c r="P130" s="64">
        <f t="shared" si="19"/>
        <v>-9.0000000004692993E-3</v>
      </c>
    </row>
    <row r="131" spans="1:16" x14ac:dyDescent="0.25">
      <c r="A131" s="19" t="s">
        <v>2204</v>
      </c>
      <c r="B131" s="19" t="s">
        <v>163</v>
      </c>
      <c r="C131" s="19" t="s">
        <v>4102</v>
      </c>
      <c r="D131" s="9">
        <v>6059.6</v>
      </c>
      <c r="E131" s="9">
        <v>6816.5999999999995</v>
      </c>
      <c r="F131" s="9">
        <v>4.5</v>
      </c>
      <c r="G131" s="9">
        <v>85.7</v>
      </c>
      <c r="H131" s="77">
        <v>12786</v>
      </c>
      <c r="I131" s="77">
        <v>1278.5999999999999</v>
      </c>
      <c r="M131" s="64">
        <f t="shared" si="16"/>
        <v>12786</v>
      </c>
      <c r="N131" s="64">
        <f t="shared" si="17"/>
        <v>0</v>
      </c>
      <c r="O131" s="64">
        <f t="shared" si="18"/>
        <v>1278.6000000000001</v>
      </c>
      <c r="P131" s="64">
        <f t="shared" si="19"/>
        <v>0</v>
      </c>
    </row>
    <row r="132" spans="1:16" x14ac:dyDescent="0.25">
      <c r="A132" t="s">
        <v>95</v>
      </c>
      <c r="B132" t="s">
        <v>163</v>
      </c>
      <c r="C132" t="s">
        <v>4079</v>
      </c>
      <c r="D132" s="9">
        <v>2510.4</v>
      </c>
      <c r="E132" s="9">
        <v>2217.6999999999998</v>
      </c>
      <c r="F132" s="9">
        <v>45</v>
      </c>
      <c r="G132" s="9">
        <v>402.8</v>
      </c>
      <c r="H132" s="77">
        <v>4280.3</v>
      </c>
      <c r="I132" s="77">
        <v>428.03000000000003</v>
      </c>
      <c r="M132" s="64">
        <f t="shared" si="16"/>
        <v>4280.3</v>
      </c>
      <c r="N132" s="64">
        <f t="shared" si="17"/>
        <v>0</v>
      </c>
      <c r="O132" s="64">
        <f t="shared" si="18"/>
        <v>428.03000000000003</v>
      </c>
      <c r="P132" s="64">
        <f t="shared" si="19"/>
        <v>0</v>
      </c>
    </row>
    <row r="133" spans="1:16" x14ac:dyDescent="0.25">
      <c r="A133" t="s">
        <v>587</v>
      </c>
      <c r="B133" t="s">
        <v>163</v>
      </c>
      <c r="C133" t="s">
        <v>4363</v>
      </c>
      <c r="D133" s="9">
        <v>298.3</v>
      </c>
      <c r="E133" s="9">
        <v>699</v>
      </c>
      <c r="F133" s="9">
        <v>0</v>
      </c>
      <c r="G133" s="9">
        <v>0</v>
      </c>
      <c r="H133" s="77">
        <v>997.3</v>
      </c>
      <c r="I133" s="77">
        <v>99.73</v>
      </c>
      <c r="M133" s="64">
        <f t="shared" si="16"/>
        <v>997.3</v>
      </c>
      <c r="N133" s="64">
        <f t="shared" si="17"/>
        <v>0</v>
      </c>
      <c r="O133" s="64">
        <f t="shared" si="18"/>
        <v>99.73</v>
      </c>
      <c r="P133" s="64">
        <f t="shared" si="19"/>
        <v>0</v>
      </c>
    </row>
    <row r="134" spans="1:16" x14ac:dyDescent="0.25">
      <c r="A134" t="s">
        <v>1998</v>
      </c>
      <c r="B134" t="s">
        <v>163</v>
      </c>
      <c r="C134" t="s">
        <v>4335</v>
      </c>
      <c r="D134" s="9">
        <v>528.79999999999995</v>
      </c>
      <c r="E134" s="9">
        <v>296.7</v>
      </c>
      <c r="F134" s="9">
        <v>0</v>
      </c>
      <c r="G134" s="9">
        <v>0</v>
      </c>
      <c r="H134" s="77">
        <v>825.5</v>
      </c>
      <c r="I134" s="77">
        <v>82.550000000000011</v>
      </c>
      <c r="M134" s="64">
        <f t="shared" si="16"/>
        <v>825.5</v>
      </c>
      <c r="N134" s="64">
        <f t="shared" si="17"/>
        <v>0</v>
      </c>
      <c r="O134" s="64">
        <f t="shared" si="18"/>
        <v>82.550000000000011</v>
      </c>
      <c r="P134" s="64">
        <f t="shared" si="19"/>
        <v>0</v>
      </c>
    </row>
    <row r="135" spans="1:16" x14ac:dyDescent="0.25">
      <c r="A135" s="19" t="s">
        <v>318</v>
      </c>
      <c r="B135" s="19" t="s">
        <v>163</v>
      </c>
      <c r="C135" s="19" t="s">
        <v>4327</v>
      </c>
      <c r="D135" s="9">
        <v>607.79999999999995</v>
      </c>
      <c r="F135" s="9">
        <v>0</v>
      </c>
      <c r="H135" s="77">
        <v>607.79999999999995</v>
      </c>
      <c r="I135" s="77">
        <v>60.78</v>
      </c>
      <c r="M135" s="64">
        <f t="shared" si="16"/>
        <v>607.79999999999995</v>
      </c>
      <c r="N135" s="64">
        <f t="shared" si="17"/>
        <v>0</v>
      </c>
      <c r="O135" s="64">
        <f t="shared" si="18"/>
        <v>60.78</v>
      </c>
      <c r="P135" s="64">
        <f t="shared" si="19"/>
        <v>0</v>
      </c>
    </row>
    <row r="136" spans="1:16" x14ac:dyDescent="0.25">
      <c r="A136" t="s">
        <v>2398</v>
      </c>
      <c r="B136" t="s">
        <v>163</v>
      </c>
      <c r="C136" t="s">
        <v>4561</v>
      </c>
      <c r="D136" s="9">
        <v>86.4</v>
      </c>
      <c r="E136" s="9">
        <v>428.1</v>
      </c>
      <c r="F136" s="9">
        <v>0</v>
      </c>
      <c r="G136" s="9">
        <v>0</v>
      </c>
      <c r="H136" s="77">
        <v>514.5</v>
      </c>
      <c r="I136" s="77">
        <v>51.45</v>
      </c>
      <c r="M136" s="64">
        <f t="shared" si="16"/>
        <v>514.5</v>
      </c>
      <c r="N136" s="64">
        <f t="shared" si="17"/>
        <v>0</v>
      </c>
      <c r="O136" s="64">
        <f t="shared" si="18"/>
        <v>51.45</v>
      </c>
      <c r="P136" s="64">
        <f t="shared" si="19"/>
        <v>0</v>
      </c>
    </row>
    <row r="137" spans="1:16" x14ac:dyDescent="0.25">
      <c r="A137" t="s">
        <v>34</v>
      </c>
      <c r="B137" s="19" t="s">
        <v>247</v>
      </c>
      <c r="C137" s="19" t="s">
        <v>4158</v>
      </c>
      <c r="D137" s="120">
        <v>84.4</v>
      </c>
      <c r="E137" s="120">
        <v>2135.6999999999998</v>
      </c>
      <c r="F137" s="120">
        <v>0</v>
      </c>
      <c r="G137" s="120">
        <v>0</v>
      </c>
      <c r="H137" s="77">
        <v>2220.1</v>
      </c>
      <c r="I137" s="77">
        <v>222.01</v>
      </c>
      <c r="M137" s="64">
        <f t="shared" si="16"/>
        <v>2220.1</v>
      </c>
      <c r="N137" s="64">
        <f t="shared" si="17"/>
        <v>0</v>
      </c>
      <c r="O137" s="64">
        <f t="shared" si="18"/>
        <v>222.01</v>
      </c>
      <c r="P137" s="64">
        <f t="shared" si="19"/>
        <v>0</v>
      </c>
    </row>
    <row r="138" spans="1:16" x14ac:dyDescent="0.25">
      <c r="A138" t="s">
        <v>2250</v>
      </c>
      <c r="B138" t="s">
        <v>247</v>
      </c>
      <c r="C138" t="s">
        <v>4331</v>
      </c>
      <c r="D138" s="9">
        <v>188.9</v>
      </c>
      <c r="E138" s="9">
        <v>1124.5</v>
      </c>
      <c r="F138" s="9">
        <v>0</v>
      </c>
      <c r="G138" s="9">
        <v>0</v>
      </c>
      <c r="H138" s="77">
        <v>1313.4</v>
      </c>
      <c r="I138" s="77">
        <v>131.34</v>
      </c>
      <c r="M138" s="64">
        <f t="shared" si="16"/>
        <v>1313.4</v>
      </c>
      <c r="N138" s="64">
        <f t="shared" si="17"/>
        <v>0</v>
      </c>
      <c r="O138" s="64">
        <f t="shared" si="18"/>
        <v>131.34</v>
      </c>
      <c r="P138" s="64">
        <f t="shared" si="19"/>
        <v>0</v>
      </c>
    </row>
    <row r="139" spans="1:16" x14ac:dyDescent="0.25">
      <c r="A139" t="s">
        <v>2019</v>
      </c>
      <c r="B139" t="s">
        <v>65</v>
      </c>
      <c r="C139" t="s">
        <v>4252</v>
      </c>
      <c r="D139" s="9">
        <v>74526.700000000012</v>
      </c>
      <c r="E139" s="9">
        <v>106294.64000000003</v>
      </c>
      <c r="F139" s="9">
        <v>2676.0000000000005</v>
      </c>
      <c r="G139" s="9">
        <v>7947.0999999999995</v>
      </c>
      <c r="H139" s="77">
        <v>170198.24000000002</v>
      </c>
      <c r="I139" s="77">
        <v>17019.819999999996</v>
      </c>
      <c r="M139" s="64">
        <f t="shared" si="16"/>
        <v>170198.24000000002</v>
      </c>
      <c r="N139" s="64">
        <f t="shared" si="17"/>
        <v>0</v>
      </c>
      <c r="O139" s="64">
        <f t="shared" si="18"/>
        <v>17019.824000000004</v>
      </c>
      <c r="P139" s="64">
        <f t="shared" si="19"/>
        <v>-4.0000000080908649E-3</v>
      </c>
    </row>
    <row r="140" spans="1:16" x14ac:dyDescent="0.25">
      <c r="A140" t="s">
        <v>34</v>
      </c>
      <c r="B140" t="s">
        <v>239</v>
      </c>
      <c r="C140" t="s">
        <v>4159</v>
      </c>
      <c r="D140" s="9">
        <v>1789.8000000000002</v>
      </c>
      <c r="E140" s="9">
        <v>8631.1</v>
      </c>
      <c r="F140" s="9">
        <v>25</v>
      </c>
      <c r="G140" s="9">
        <v>326.7</v>
      </c>
      <c r="H140" s="77">
        <v>10069.200000000001</v>
      </c>
      <c r="I140" s="77">
        <v>1006.9200000000001</v>
      </c>
      <c r="M140" s="64">
        <f t="shared" si="16"/>
        <v>10069.200000000001</v>
      </c>
      <c r="N140" s="64">
        <f t="shared" si="17"/>
        <v>0</v>
      </c>
      <c r="O140" s="64">
        <f t="shared" si="18"/>
        <v>1006.9200000000001</v>
      </c>
      <c r="P140" s="64">
        <f t="shared" si="19"/>
        <v>0</v>
      </c>
    </row>
    <row r="141" spans="1:16" x14ac:dyDescent="0.25">
      <c r="A141" t="s">
        <v>34</v>
      </c>
      <c r="B141" s="19" t="s">
        <v>66</v>
      </c>
      <c r="C141" s="19" t="s">
        <v>4160</v>
      </c>
      <c r="D141" s="9">
        <v>10749.199999999999</v>
      </c>
      <c r="E141" s="9">
        <v>18393.399999999998</v>
      </c>
      <c r="F141" s="9">
        <v>700.2</v>
      </c>
      <c r="G141" s="9">
        <v>5435.6</v>
      </c>
      <c r="H141" s="77">
        <v>23006.799999999999</v>
      </c>
      <c r="I141" s="77">
        <v>2300.6799999999998</v>
      </c>
      <c r="M141" s="64">
        <f t="shared" si="16"/>
        <v>23006.799999999996</v>
      </c>
      <c r="N141" s="64">
        <f t="shared" si="17"/>
        <v>0</v>
      </c>
      <c r="O141" s="64">
        <f t="shared" si="18"/>
        <v>2300.6799999999998</v>
      </c>
      <c r="P141" s="64">
        <f t="shared" si="19"/>
        <v>0</v>
      </c>
    </row>
    <row r="142" spans="1:16" x14ac:dyDescent="0.25">
      <c r="A142" t="s">
        <v>202</v>
      </c>
      <c r="B142" t="s">
        <v>66</v>
      </c>
      <c r="C142" t="s">
        <v>4218</v>
      </c>
      <c r="D142" s="9">
        <v>6085.0999999999995</v>
      </c>
      <c r="E142" s="9">
        <v>6658.4</v>
      </c>
      <c r="F142" s="9">
        <v>0</v>
      </c>
      <c r="G142" s="9">
        <v>0</v>
      </c>
      <c r="H142" s="77">
        <v>12743.5</v>
      </c>
      <c r="I142" s="77">
        <v>1274.3500000000001</v>
      </c>
      <c r="M142" s="64">
        <f t="shared" si="16"/>
        <v>12743.5</v>
      </c>
      <c r="N142" s="64">
        <f t="shared" si="17"/>
        <v>0</v>
      </c>
      <c r="O142" s="64">
        <f t="shared" si="18"/>
        <v>1274.3500000000001</v>
      </c>
      <c r="P142" s="64">
        <f t="shared" si="19"/>
        <v>0</v>
      </c>
    </row>
    <row r="143" spans="1:16" x14ac:dyDescent="0.25">
      <c r="A143" t="s">
        <v>2231</v>
      </c>
      <c r="B143" t="s">
        <v>66</v>
      </c>
      <c r="C143" t="s">
        <v>4064</v>
      </c>
      <c r="D143" s="9">
        <v>1300.7</v>
      </c>
      <c r="E143" s="9">
        <v>1347</v>
      </c>
      <c r="F143" s="9">
        <v>0</v>
      </c>
      <c r="G143" s="9">
        <v>0</v>
      </c>
      <c r="H143" s="77">
        <v>2647.7</v>
      </c>
      <c r="I143" s="77">
        <v>264.77</v>
      </c>
      <c r="M143" s="64">
        <f t="shared" si="16"/>
        <v>2647.7</v>
      </c>
      <c r="N143" s="64">
        <f t="shared" si="17"/>
        <v>0</v>
      </c>
      <c r="O143" s="64">
        <f t="shared" si="18"/>
        <v>264.77</v>
      </c>
      <c r="P143" s="64">
        <f t="shared" si="19"/>
        <v>0</v>
      </c>
    </row>
    <row r="144" spans="1:16" x14ac:dyDescent="0.25">
      <c r="A144" s="19" t="s">
        <v>598</v>
      </c>
      <c r="B144" s="19" t="s">
        <v>66</v>
      </c>
      <c r="C144" s="19" t="s">
        <v>4129</v>
      </c>
      <c r="D144" s="9">
        <v>971.59999999999991</v>
      </c>
      <c r="E144" s="9">
        <v>1522.3</v>
      </c>
      <c r="F144" s="9">
        <v>0</v>
      </c>
      <c r="G144" s="9">
        <v>0</v>
      </c>
      <c r="H144" s="77">
        <v>2493.8999999999996</v>
      </c>
      <c r="I144" s="77">
        <v>249.39</v>
      </c>
      <c r="M144" s="64">
        <f t="shared" si="16"/>
        <v>2493.8999999999996</v>
      </c>
      <c r="N144" s="64">
        <f t="shared" si="17"/>
        <v>0</v>
      </c>
      <c r="O144" s="64">
        <f t="shared" si="18"/>
        <v>249.39</v>
      </c>
      <c r="P144" s="64">
        <f t="shared" si="19"/>
        <v>0</v>
      </c>
    </row>
    <row r="145" spans="1:16" x14ac:dyDescent="0.25">
      <c r="A145" s="19" t="s">
        <v>257</v>
      </c>
      <c r="B145" s="19" t="s">
        <v>66</v>
      </c>
      <c r="C145" s="19" t="s">
        <v>4114</v>
      </c>
      <c r="D145" s="9">
        <v>539.5</v>
      </c>
      <c r="E145" s="9">
        <v>1008.2</v>
      </c>
      <c r="F145" s="9">
        <v>32.1</v>
      </c>
      <c r="G145" s="9">
        <v>51.7</v>
      </c>
      <c r="H145" s="77">
        <v>1463.9</v>
      </c>
      <c r="I145" s="77">
        <v>146.38999999999999</v>
      </c>
      <c r="M145" s="64">
        <f t="shared" si="16"/>
        <v>1463.9</v>
      </c>
      <c r="N145" s="64">
        <f t="shared" si="17"/>
        <v>0</v>
      </c>
      <c r="O145" s="64">
        <f t="shared" si="18"/>
        <v>146.39000000000001</v>
      </c>
      <c r="P145" s="64">
        <f t="shared" si="19"/>
        <v>0</v>
      </c>
    </row>
    <row r="146" spans="1:16" x14ac:dyDescent="0.25">
      <c r="A146" t="s">
        <v>260</v>
      </c>
      <c r="B146" t="s">
        <v>66</v>
      </c>
      <c r="C146" t="s">
        <v>4204</v>
      </c>
      <c r="D146" s="9">
        <v>740.5</v>
      </c>
      <c r="E146" s="9">
        <v>675.9</v>
      </c>
      <c r="F146" s="9">
        <v>0</v>
      </c>
      <c r="G146" s="9">
        <v>0</v>
      </c>
      <c r="H146" s="77">
        <v>1416.4</v>
      </c>
      <c r="I146" s="77">
        <v>141.63999999999999</v>
      </c>
      <c r="M146" s="64">
        <f t="shared" si="16"/>
        <v>1416.4</v>
      </c>
      <c r="N146" s="64">
        <f t="shared" si="17"/>
        <v>0</v>
      </c>
      <c r="O146" s="64">
        <f t="shared" si="18"/>
        <v>141.64000000000001</v>
      </c>
      <c r="P146" s="64">
        <f t="shared" si="19"/>
        <v>0</v>
      </c>
    </row>
    <row r="147" spans="1:16" s="19" customFormat="1" x14ac:dyDescent="0.25">
      <c r="A147" t="s">
        <v>596</v>
      </c>
      <c r="B147" t="s">
        <v>66</v>
      </c>
      <c r="C147" t="s">
        <v>4095</v>
      </c>
      <c r="D147" s="9">
        <v>285.2</v>
      </c>
      <c r="E147" s="9">
        <v>205.7</v>
      </c>
      <c r="F147" s="9">
        <v>0</v>
      </c>
      <c r="G147" s="9">
        <v>0</v>
      </c>
      <c r="H147" s="77">
        <v>490.9</v>
      </c>
      <c r="I147" s="77">
        <v>49.09</v>
      </c>
      <c r="K147"/>
      <c r="L147"/>
      <c r="M147" s="64">
        <f t="shared" si="16"/>
        <v>490.9</v>
      </c>
      <c r="N147" s="64">
        <f t="shared" si="17"/>
        <v>0</v>
      </c>
      <c r="O147" s="64">
        <f t="shared" si="18"/>
        <v>49.09</v>
      </c>
      <c r="P147" s="64">
        <f t="shared" si="19"/>
        <v>0</v>
      </c>
    </row>
    <row r="148" spans="1:16" x14ac:dyDescent="0.25">
      <c r="A148" t="s">
        <v>597</v>
      </c>
      <c r="B148" t="s">
        <v>66</v>
      </c>
      <c r="C148" t="s">
        <v>4364</v>
      </c>
      <c r="D148" s="9">
        <v>50.4</v>
      </c>
      <c r="E148" s="9">
        <v>506.1</v>
      </c>
      <c r="F148" s="9">
        <v>5.4</v>
      </c>
      <c r="G148" s="9">
        <v>103.3</v>
      </c>
      <c r="H148" s="77">
        <v>447.8</v>
      </c>
      <c r="I148" s="77">
        <v>44.78</v>
      </c>
      <c r="M148" s="64">
        <f t="shared" si="16"/>
        <v>447.8</v>
      </c>
      <c r="N148" s="64">
        <f t="shared" si="17"/>
        <v>0</v>
      </c>
      <c r="O148" s="64">
        <f t="shared" si="18"/>
        <v>44.78</v>
      </c>
      <c r="P148" s="64">
        <f t="shared" si="19"/>
        <v>0</v>
      </c>
    </row>
    <row r="149" spans="1:16" x14ac:dyDescent="0.25">
      <c r="A149" t="s">
        <v>331</v>
      </c>
      <c r="B149" t="s">
        <v>66</v>
      </c>
      <c r="C149" t="s">
        <v>4434</v>
      </c>
      <c r="D149" s="9">
        <v>53.9</v>
      </c>
      <c r="E149" s="9">
        <v>206.6</v>
      </c>
      <c r="F149" s="9">
        <v>0</v>
      </c>
      <c r="G149" s="9">
        <v>0</v>
      </c>
      <c r="H149" s="77">
        <v>260.5</v>
      </c>
      <c r="I149" s="77">
        <v>26.05</v>
      </c>
      <c r="M149" s="64">
        <f t="shared" si="16"/>
        <v>260.5</v>
      </c>
      <c r="N149" s="64">
        <f t="shared" si="17"/>
        <v>0</v>
      </c>
      <c r="O149" s="64">
        <f t="shared" si="18"/>
        <v>26.05</v>
      </c>
      <c r="P149" s="64">
        <f t="shared" si="19"/>
        <v>0</v>
      </c>
    </row>
    <row r="150" spans="1:16" x14ac:dyDescent="0.25">
      <c r="A150" t="s">
        <v>267</v>
      </c>
      <c r="B150" t="s">
        <v>66</v>
      </c>
      <c r="C150" t="s">
        <v>4542</v>
      </c>
      <c r="D150" s="9">
        <v>117.4</v>
      </c>
      <c r="E150" s="9">
        <v>105.4</v>
      </c>
      <c r="F150" s="9">
        <v>0</v>
      </c>
      <c r="G150" s="9">
        <v>0</v>
      </c>
      <c r="H150" s="77">
        <v>222.8</v>
      </c>
      <c r="I150" s="77">
        <v>22.28</v>
      </c>
      <c r="M150" s="64">
        <f t="shared" si="16"/>
        <v>222.8</v>
      </c>
      <c r="N150" s="64">
        <f t="shared" si="17"/>
        <v>0</v>
      </c>
      <c r="O150" s="64">
        <f t="shared" si="18"/>
        <v>22.28</v>
      </c>
      <c r="P150" s="64">
        <f t="shared" si="19"/>
        <v>0</v>
      </c>
    </row>
    <row r="151" spans="1:16" x14ac:dyDescent="0.25">
      <c r="A151" t="s">
        <v>2256</v>
      </c>
      <c r="B151" t="s">
        <v>66</v>
      </c>
      <c r="C151" t="s">
        <v>4333</v>
      </c>
      <c r="D151" s="9">
        <v>126.7</v>
      </c>
      <c r="E151" s="9">
        <v>84.5</v>
      </c>
      <c r="F151" s="9">
        <v>0</v>
      </c>
      <c r="G151" s="9">
        <v>0</v>
      </c>
      <c r="H151" s="77">
        <v>211.2</v>
      </c>
      <c r="I151" s="77">
        <v>21.119999999999997</v>
      </c>
      <c r="M151" s="64">
        <f t="shared" si="16"/>
        <v>211.2</v>
      </c>
      <c r="N151" s="64">
        <f t="shared" si="17"/>
        <v>0</v>
      </c>
      <c r="O151" s="64">
        <f t="shared" si="18"/>
        <v>21.12</v>
      </c>
      <c r="P151" s="64">
        <f t="shared" si="19"/>
        <v>0</v>
      </c>
    </row>
    <row r="152" spans="1:16" x14ac:dyDescent="0.25">
      <c r="A152" s="128" t="s">
        <v>1871</v>
      </c>
      <c r="B152" s="128" t="s">
        <v>29</v>
      </c>
      <c r="C152" s="128" t="s">
        <v>4253</v>
      </c>
      <c r="D152" s="129">
        <v>6678126.1700000009</v>
      </c>
      <c r="E152" s="129">
        <v>6153449.0899999999</v>
      </c>
      <c r="F152" s="129">
        <v>673873.81</v>
      </c>
      <c r="G152" s="129">
        <v>1023646.6</v>
      </c>
      <c r="H152" s="130">
        <v>11134054.849999998</v>
      </c>
      <c r="I152" s="130">
        <v>1113405.6000000001</v>
      </c>
      <c r="J152" t="s">
        <v>4443</v>
      </c>
      <c r="M152" s="64">
        <f t="shared" si="16"/>
        <v>11134054.850000001</v>
      </c>
      <c r="N152" s="64">
        <f t="shared" si="17"/>
        <v>0</v>
      </c>
      <c r="O152" s="64">
        <f t="shared" si="18"/>
        <v>1113405.4850000001</v>
      </c>
      <c r="P152" s="64">
        <f t="shared" si="19"/>
        <v>0.11499999999068677</v>
      </c>
    </row>
    <row r="153" spans="1:16" x14ac:dyDescent="0.25">
      <c r="A153" s="128" t="s">
        <v>1872</v>
      </c>
      <c r="B153" s="128" t="s">
        <v>112</v>
      </c>
      <c r="C153" s="128" t="s">
        <v>4254</v>
      </c>
      <c r="D153" s="129">
        <v>1316993.8399999999</v>
      </c>
      <c r="E153" s="129">
        <v>1821661.03</v>
      </c>
      <c r="F153" s="129">
        <v>133376.95000000001</v>
      </c>
      <c r="G153" s="129">
        <v>150030.17000000001</v>
      </c>
      <c r="H153" s="130">
        <v>2855247.75</v>
      </c>
      <c r="I153" s="130">
        <v>285524.80999999994</v>
      </c>
      <c r="J153" t="s">
        <v>4443</v>
      </c>
      <c r="M153" s="64">
        <f t="shared" si="16"/>
        <v>2855247.75</v>
      </c>
      <c r="N153" s="64">
        <f t="shared" si="17"/>
        <v>0</v>
      </c>
      <c r="O153" s="64">
        <f t="shared" si="18"/>
        <v>285524.77500000002</v>
      </c>
      <c r="P153" s="64">
        <f t="shared" si="19"/>
        <v>3.4999999916180968E-2</v>
      </c>
    </row>
    <row r="154" spans="1:16" x14ac:dyDescent="0.25">
      <c r="A154" t="s">
        <v>3607</v>
      </c>
      <c r="B154" t="s">
        <v>3596</v>
      </c>
      <c r="C154" t="s">
        <v>4255</v>
      </c>
      <c r="D154" s="9">
        <v>14445.499999999998</v>
      </c>
      <c r="E154" s="9">
        <v>29996</v>
      </c>
      <c r="F154" s="9">
        <v>415.91</v>
      </c>
      <c r="G154" s="9">
        <v>8959.3700000000008</v>
      </c>
      <c r="H154" s="77">
        <v>35066.219999999994</v>
      </c>
      <c r="I154" s="77">
        <v>3506.6099999999997</v>
      </c>
      <c r="M154" s="64">
        <f t="shared" si="16"/>
        <v>35066.219999999994</v>
      </c>
      <c r="N154" s="64">
        <f t="shared" si="17"/>
        <v>0</v>
      </c>
      <c r="O154" s="64">
        <f t="shared" si="18"/>
        <v>3506.6219999999994</v>
      </c>
      <c r="P154" s="64">
        <f t="shared" si="19"/>
        <v>-1.1999999999716238E-2</v>
      </c>
    </row>
    <row r="155" spans="1:16" x14ac:dyDescent="0.25">
      <c r="A155" t="s">
        <v>7</v>
      </c>
      <c r="B155" t="s">
        <v>6</v>
      </c>
      <c r="C155" t="s">
        <v>4193</v>
      </c>
      <c r="D155" s="9">
        <v>8201.2000000000007</v>
      </c>
      <c r="E155" s="9">
        <v>18066.5</v>
      </c>
      <c r="F155" s="9">
        <v>0</v>
      </c>
      <c r="G155" s="9">
        <v>0</v>
      </c>
      <c r="H155" s="77">
        <v>26267.7</v>
      </c>
      <c r="I155" s="77">
        <v>2626.77</v>
      </c>
      <c r="M155" s="64">
        <f t="shared" si="16"/>
        <v>26267.7</v>
      </c>
      <c r="N155" s="64">
        <f t="shared" si="17"/>
        <v>0</v>
      </c>
      <c r="O155" s="64">
        <f t="shared" si="18"/>
        <v>2626.7700000000004</v>
      </c>
      <c r="P155" s="64">
        <f t="shared" si="19"/>
        <v>0</v>
      </c>
    </row>
    <row r="156" spans="1:16" x14ac:dyDescent="0.25">
      <c r="A156" t="s">
        <v>34</v>
      </c>
      <c r="B156" t="s">
        <v>6</v>
      </c>
      <c r="C156" t="s">
        <v>4161</v>
      </c>
      <c r="D156" s="9">
        <v>7705</v>
      </c>
      <c r="E156" s="9">
        <v>8772.4599999999991</v>
      </c>
      <c r="F156" s="9">
        <v>159.9</v>
      </c>
      <c r="G156" s="9">
        <v>34.5</v>
      </c>
      <c r="H156" s="77">
        <v>16283.06</v>
      </c>
      <c r="I156" s="77">
        <v>1628.31</v>
      </c>
      <c r="M156" s="64">
        <f t="shared" si="16"/>
        <v>16283.06</v>
      </c>
      <c r="N156" s="64">
        <f t="shared" si="17"/>
        <v>0</v>
      </c>
      <c r="O156" s="64">
        <f t="shared" si="18"/>
        <v>1628.306</v>
      </c>
      <c r="P156" s="64">
        <f t="shared" si="19"/>
        <v>3.9999999999054126E-3</v>
      </c>
    </row>
    <row r="157" spans="1:16" x14ac:dyDescent="0.25">
      <c r="A157" t="s">
        <v>2206</v>
      </c>
      <c r="B157" t="s">
        <v>6</v>
      </c>
      <c r="C157" t="s">
        <v>4416</v>
      </c>
      <c r="D157" s="9">
        <v>1322.8</v>
      </c>
      <c r="E157" s="9">
        <v>1185.2</v>
      </c>
      <c r="F157" s="9">
        <v>0</v>
      </c>
      <c r="G157" s="9">
        <v>0</v>
      </c>
      <c r="H157" s="77">
        <v>2508</v>
      </c>
      <c r="I157" s="77">
        <v>250.8</v>
      </c>
      <c r="M157" s="64">
        <f t="shared" si="16"/>
        <v>2508</v>
      </c>
      <c r="N157" s="64">
        <f t="shared" si="17"/>
        <v>0</v>
      </c>
      <c r="O157" s="64">
        <f t="shared" si="18"/>
        <v>250.8</v>
      </c>
      <c r="P157" s="64">
        <f t="shared" si="19"/>
        <v>0</v>
      </c>
    </row>
    <row r="158" spans="1:16" x14ac:dyDescent="0.25">
      <c r="A158" t="s">
        <v>34</v>
      </c>
      <c r="B158" t="s">
        <v>81</v>
      </c>
      <c r="C158" t="s">
        <v>4162</v>
      </c>
      <c r="D158" s="9">
        <v>24641.299999999996</v>
      </c>
      <c r="E158" s="9">
        <v>27128.199999999997</v>
      </c>
      <c r="F158" s="9">
        <v>719</v>
      </c>
      <c r="G158" s="9">
        <v>4621.5</v>
      </c>
      <c r="H158" s="77">
        <v>46429</v>
      </c>
      <c r="I158" s="77">
        <v>4642.8999999999996</v>
      </c>
      <c r="M158" s="64">
        <f t="shared" si="16"/>
        <v>46428.999999999993</v>
      </c>
      <c r="N158" s="64">
        <f t="shared" si="17"/>
        <v>0</v>
      </c>
      <c r="O158" s="64">
        <f t="shared" si="18"/>
        <v>4642.8999999999996</v>
      </c>
      <c r="P158" s="64">
        <f t="shared" si="19"/>
        <v>0</v>
      </c>
    </row>
    <row r="159" spans="1:16" x14ac:dyDescent="0.25">
      <c r="A159" t="s">
        <v>602</v>
      </c>
      <c r="B159" t="s">
        <v>81</v>
      </c>
      <c r="C159" t="s">
        <v>4558</v>
      </c>
      <c r="D159" s="9">
        <v>254.7</v>
      </c>
      <c r="E159" s="9">
        <v>23.2</v>
      </c>
      <c r="F159" s="9">
        <v>0</v>
      </c>
      <c r="G159" s="9">
        <v>0</v>
      </c>
      <c r="H159" s="77">
        <v>277.89999999999998</v>
      </c>
      <c r="I159" s="77">
        <v>27.79</v>
      </c>
      <c r="M159" s="64">
        <f t="shared" si="16"/>
        <v>277.89999999999998</v>
      </c>
      <c r="N159" s="64">
        <f t="shared" si="17"/>
        <v>0</v>
      </c>
      <c r="O159" s="64">
        <f t="shared" si="18"/>
        <v>27.79</v>
      </c>
      <c r="P159" s="64">
        <f t="shared" si="19"/>
        <v>0</v>
      </c>
    </row>
    <row r="160" spans="1:16" x14ac:dyDescent="0.25">
      <c r="A160" t="s">
        <v>2838</v>
      </c>
      <c r="B160" t="s">
        <v>81</v>
      </c>
      <c r="C160" t="s">
        <v>4332</v>
      </c>
      <c r="D160" s="9">
        <v>207.1</v>
      </c>
      <c r="F160" s="9">
        <v>0</v>
      </c>
      <c r="H160" s="77">
        <v>207.1</v>
      </c>
      <c r="I160" s="77">
        <v>20.71</v>
      </c>
      <c r="M160" s="64">
        <f t="shared" si="16"/>
        <v>207.1</v>
      </c>
      <c r="N160" s="64">
        <f t="shared" si="17"/>
        <v>0</v>
      </c>
      <c r="O160" s="64">
        <f t="shared" si="18"/>
        <v>20.71</v>
      </c>
      <c r="P160" s="64">
        <f t="shared" si="19"/>
        <v>0</v>
      </c>
    </row>
    <row r="161" spans="1:16" x14ac:dyDescent="0.25">
      <c r="A161" t="s">
        <v>34</v>
      </c>
      <c r="B161" s="19" t="s">
        <v>77</v>
      </c>
      <c r="C161" s="19" t="s">
        <v>4163</v>
      </c>
      <c r="D161" s="9">
        <v>5810.6</v>
      </c>
      <c r="E161" s="9">
        <v>4149</v>
      </c>
      <c r="F161" s="9">
        <v>1366.5</v>
      </c>
      <c r="G161" s="9">
        <v>918.9</v>
      </c>
      <c r="H161" s="77">
        <v>7674.2000000000007</v>
      </c>
      <c r="I161" s="77">
        <v>767.42000000000007</v>
      </c>
      <c r="M161" s="64">
        <f t="shared" ref="M161:M192" si="20">D161+E161-F161-G161</f>
        <v>7674.2000000000007</v>
      </c>
      <c r="N161" s="64">
        <f t="shared" ref="N161:N192" si="21">H161-M161</f>
        <v>0</v>
      </c>
      <c r="O161" s="64">
        <f t="shared" ref="O161:O192" si="22">M161*0.1</f>
        <v>767.42000000000007</v>
      </c>
      <c r="P161" s="64">
        <f t="shared" ref="P161:P192" si="23">I161-O161</f>
        <v>0</v>
      </c>
    </row>
    <row r="162" spans="1:16" x14ac:dyDescent="0.25">
      <c r="A162" t="s">
        <v>34</v>
      </c>
      <c r="B162" t="s">
        <v>204</v>
      </c>
      <c r="C162" t="s">
        <v>4164</v>
      </c>
      <c r="D162" s="9">
        <v>23299.95</v>
      </c>
      <c r="E162" s="9">
        <v>63756.07</v>
      </c>
      <c r="F162" s="9">
        <v>93.8</v>
      </c>
      <c r="G162" s="9">
        <v>402.8</v>
      </c>
      <c r="H162" s="77">
        <v>86559.42</v>
      </c>
      <c r="I162" s="77">
        <v>8655.9500000000007</v>
      </c>
      <c r="M162" s="64">
        <f t="shared" si="20"/>
        <v>86559.42</v>
      </c>
      <c r="N162" s="64">
        <f t="shared" si="21"/>
        <v>0</v>
      </c>
      <c r="O162" s="64">
        <f t="shared" si="22"/>
        <v>8655.9420000000009</v>
      </c>
      <c r="P162" s="64">
        <f t="shared" si="23"/>
        <v>7.9999999998108251E-3</v>
      </c>
    </row>
    <row r="163" spans="1:16" x14ac:dyDescent="0.25">
      <c r="A163" t="s">
        <v>2529</v>
      </c>
      <c r="B163" t="s">
        <v>204</v>
      </c>
      <c r="C163" t="s">
        <v>4587</v>
      </c>
      <c r="D163" s="9">
        <v>3330.8</v>
      </c>
      <c r="E163" s="9">
        <v>3426.5</v>
      </c>
      <c r="F163" s="9">
        <v>0</v>
      </c>
      <c r="G163" s="9">
        <v>0</v>
      </c>
      <c r="H163" s="77">
        <v>6757.3</v>
      </c>
      <c r="I163" s="77">
        <v>675.73</v>
      </c>
      <c r="M163" s="64">
        <f t="shared" si="20"/>
        <v>6757.3</v>
      </c>
      <c r="N163" s="64">
        <f t="shared" si="21"/>
        <v>0</v>
      </c>
      <c r="O163" s="64">
        <f t="shared" si="22"/>
        <v>675.73</v>
      </c>
      <c r="P163" s="64">
        <f t="shared" si="23"/>
        <v>0</v>
      </c>
    </row>
    <row r="164" spans="1:16" x14ac:dyDescent="0.25">
      <c r="A164" t="s">
        <v>305</v>
      </c>
      <c r="B164" t="s">
        <v>204</v>
      </c>
      <c r="C164" t="s">
        <v>4061</v>
      </c>
      <c r="D164" s="9">
        <v>4545.6000000000004</v>
      </c>
      <c r="E164" s="9">
        <v>280.3</v>
      </c>
      <c r="F164" s="9">
        <v>0</v>
      </c>
      <c r="G164" s="9">
        <v>0</v>
      </c>
      <c r="H164" s="77">
        <v>4825.9000000000005</v>
      </c>
      <c r="I164" s="77">
        <v>482.59000000000003</v>
      </c>
      <c r="M164" s="64">
        <f t="shared" si="20"/>
        <v>4825.9000000000005</v>
      </c>
      <c r="N164" s="64">
        <f t="shared" si="21"/>
        <v>0</v>
      </c>
      <c r="O164" s="64">
        <f t="shared" si="22"/>
        <v>482.59000000000009</v>
      </c>
      <c r="P164" s="64">
        <f t="shared" si="23"/>
        <v>0</v>
      </c>
    </row>
    <row r="165" spans="1:16" x14ac:dyDescent="0.25">
      <c r="A165" t="s">
        <v>552</v>
      </c>
      <c r="B165" t="s">
        <v>204</v>
      </c>
      <c r="C165" t="s">
        <v>4362</v>
      </c>
      <c r="D165" s="9">
        <v>302.5</v>
      </c>
      <c r="E165" s="9">
        <v>1668.2</v>
      </c>
      <c r="F165" s="9">
        <v>0</v>
      </c>
      <c r="G165" s="9">
        <v>0</v>
      </c>
      <c r="H165" s="77">
        <v>1970.7</v>
      </c>
      <c r="I165" s="77">
        <v>197.07</v>
      </c>
      <c r="M165" s="64">
        <f t="shared" si="20"/>
        <v>1970.7</v>
      </c>
      <c r="N165" s="64">
        <f t="shared" si="21"/>
        <v>0</v>
      </c>
      <c r="O165" s="64">
        <f t="shared" si="22"/>
        <v>197.07000000000002</v>
      </c>
      <c r="P165" s="64">
        <f t="shared" si="23"/>
        <v>0</v>
      </c>
    </row>
    <row r="166" spans="1:16" x14ac:dyDescent="0.25">
      <c r="A166" s="19" t="s">
        <v>270</v>
      </c>
      <c r="B166" s="19" t="s">
        <v>204</v>
      </c>
      <c r="C166" s="19" t="s">
        <v>4211</v>
      </c>
      <c r="D166" s="9">
        <v>625</v>
      </c>
      <c r="E166" s="9">
        <v>919.6</v>
      </c>
      <c r="F166" s="9">
        <v>0</v>
      </c>
      <c r="G166" s="9">
        <v>0</v>
      </c>
      <c r="H166" s="77">
        <v>1544.6</v>
      </c>
      <c r="I166" s="77">
        <v>154.46</v>
      </c>
      <c r="M166" s="64">
        <f t="shared" si="20"/>
        <v>1544.6</v>
      </c>
      <c r="N166" s="64">
        <f t="shared" si="21"/>
        <v>0</v>
      </c>
      <c r="O166" s="64">
        <f t="shared" si="22"/>
        <v>154.46</v>
      </c>
      <c r="P166" s="64">
        <f t="shared" si="23"/>
        <v>0</v>
      </c>
    </row>
    <row r="167" spans="1:16" x14ac:dyDescent="0.25">
      <c r="A167" t="s">
        <v>608</v>
      </c>
      <c r="B167" t="s">
        <v>204</v>
      </c>
      <c r="C167" t="s">
        <v>4415</v>
      </c>
      <c r="D167" s="9">
        <v>93.6</v>
      </c>
      <c r="E167" s="9">
        <v>402.8</v>
      </c>
      <c r="F167" s="9">
        <v>0</v>
      </c>
      <c r="G167" s="9">
        <v>0</v>
      </c>
      <c r="H167" s="77">
        <v>496.4</v>
      </c>
      <c r="I167" s="77">
        <v>49.64</v>
      </c>
      <c r="M167" s="64">
        <f t="shared" si="20"/>
        <v>496.4</v>
      </c>
      <c r="N167" s="64">
        <f t="shared" si="21"/>
        <v>0</v>
      </c>
      <c r="O167" s="64">
        <f t="shared" si="22"/>
        <v>49.64</v>
      </c>
      <c r="P167" s="64">
        <f t="shared" si="23"/>
        <v>0</v>
      </c>
    </row>
    <row r="168" spans="1:16" x14ac:dyDescent="0.25">
      <c r="A168" t="s">
        <v>243</v>
      </c>
      <c r="B168" t="s">
        <v>204</v>
      </c>
      <c r="C168" t="s">
        <v>4588</v>
      </c>
      <c r="D168" s="9">
        <v>45</v>
      </c>
      <c r="E168" s="9">
        <v>402.8</v>
      </c>
      <c r="F168" s="9">
        <v>0</v>
      </c>
      <c r="G168" s="9">
        <v>0</v>
      </c>
      <c r="H168" s="77">
        <v>447.8</v>
      </c>
      <c r="I168" s="77">
        <v>44.78</v>
      </c>
      <c r="J168" s="19"/>
      <c r="M168" s="64">
        <f t="shared" si="20"/>
        <v>447.8</v>
      </c>
      <c r="N168" s="64">
        <f t="shared" si="21"/>
        <v>0</v>
      </c>
      <c r="O168" s="64">
        <f t="shared" si="22"/>
        <v>44.78</v>
      </c>
      <c r="P168" s="64">
        <f t="shared" si="23"/>
        <v>0</v>
      </c>
    </row>
    <row r="169" spans="1:16" x14ac:dyDescent="0.25">
      <c r="A169" s="19" t="s">
        <v>2232</v>
      </c>
      <c r="B169" s="19" t="s">
        <v>204</v>
      </c>
      <c r="C169" s="19" t="s">
        <v>4544</v>
      </c>
      <c r="D169" s="9">
        <v>234.8</v>
      </c>
      <c r="E169" s="9">
        <v>106.9</v>
      </c>
      <c r="F169" s="9">
        <v>0</v>
      </c>
      <c r="G169" s="9">
        <v>0</v>
      </c>
      <c r="H169" s="77">
        <v>341.70000000000005</v>
      </c>
      <c r="I169" s="77">
        <v>34.17</v>
      </c>
      <c r="M169" s="64">
        <f t="shared" si="20"/>
        <v>341.70000000000005</v>
      </c>
      <c r="N169" s="64">
        <f t="shared" si="21"/>
        <v>0</v>
      </c>
      <c r="O169" s="64">
        <f t="shared" si="22"/>
        <v>34.170000000000009</v>
      </c>
      <c r="P169" s="64">
        <f t="shared" si="23"/>
        <v>0</v>
      </c>
    </row>
    <row r="170" spans="1:16" x14ac:dyDescent="0.25">
      <c r="A170" s="19" t="s">
        <v>2392</v>
      </c>
      <c r="B170" s="19" t="s">
        <v>204</v>
      </c>
      <c r="C170" s="19" t="s">
        <v>4575</v>
      </c>
      <c r="D170" s="9">
        <v>136.19999999999999</v>
      </c>
      <c r="E170" s="9">
        <v>89.5</v>
      </c>
      <c r="F170" s="9">
        <v>0</v>
      </c>
      <c r="G170" s="9">
        <v>0</v>
      </c>
      <c r="H170" s="77">
        <v>225.7</v>
      </c>
      <c r="I170" s="77">
        <v>22.57</v>
      </c>
      <c r="M170" s="64">
        <f t="shared" si="20"/>
        <v>225.7</v>
      </c>
      <c r="N170" s="64">
        <f t="shared" si="21"/>
        <v>0</v>
      </c>
      <c r="O170" s="64">
        <f t="shared" si="22"/>
        <v>22.57</v>
      </c>
      <c r="P170" s="64">
        <f t="shared" si="23"/>
        <v>0</v>
      </c>
    </row>
    <row r="171" spans="1:16" x14ac:dyDescent="0.25">
      <c r="A171" t="s">
        <v>2308</v>
      </c>
      <c r="B171" t="s">
        <v>204</v>
      </c>
      <c r="C171" t="s">
        <v>4408</v>
      </c>
      <c r="D171" s="9">
        <v>137.5</v>
      </c>
      <c r="E171" s="9">
        <v>29.4</v>
      </c>
      <c r="F171" s="9">
        <v>0</v>
      </c>
      <c r="G171" s="9">
        <v>0</v>
      </c>
      <c r="H171" s="77">
        <v>166.9</v>
      </c>
      <c r="I171" s="77">
        <v>16.690000000000001</v>
      </c>
      <c r="M171" s="64">
        <f t="shared" si="20"/>
        <v>166.9</v>
      </c>
      <c r="N171" s="64">
        <f t="shared" si="21"/>
        <v>0</v>
      </c>
      <c r="O171" s="64">
        <f t="shared" si="22"/>
        <v>16.690000000000001</v>
      </c>
      <c r="P171" s="64">
        <f t="shared" si="23"/>
        <v>0</v>
      </c>
    </row>
    <row r="172" spans="1:16" x14ac:dyDescent="0.25">
      <c r="A172" t="s">
        <v>306</v>
      </c>
      <c r="B172" t="s">
        <v>204</v>
      </c>
      <c r="C172" t="s">
        <v>4568</v>
      </c>
      <c r="D172" s="9">
        <v>113.3</v>
      </c>
      <c r="E172" s="9">
        <v>36.4</v>
      </c>
      <c r="F172" s="9">
        <v>38.5</v>
      </c>
      <c r="G172" s="9">
        <v>0</v>
      </c>
      <c r="H172" s="77">
        <v>111.19999999999999</v>
      </c>
      <c r="I172" s="77">
        <v>11.120000000000001</v>
      </c>
      <c r="M172" s="64">
        <f t="shared" si="20"/>
        <v>111.19999999999999</v>
      </c>
      <c r="N172" s="64">
        <f t="shared" si="21"/>
        <v>0</v>
      </c>
      <c r="O172" s="64">
        <f t="shared" si="22"/>
        <v>11.12</v>
      </c>
      <c r="P172" s="64">
        <f t="shared" si="23"/>
        <v>0</v>
      </c>
    </row>
    <row r="173" spans="1:16" x14ac:dyDescent="0.25">
      <c r="A173" t="s">
        <v>606</v>
      </c>
      <c r="B173" t="s">
        <v>204</v>
      </c>
      <c r="C173" t="s">
        <v>4080</v>
      </c>
      <c r="D173" s="9">
        <v>105.1</v>
      </c>
      <c r="F173" s="9">
        <v>0</v>
      </c>
      <c r="H173" s="77">
        <v>105.1</v>
      </c>
      <c r="I173" s="77">
        <v>10.51</v>
      </c>
      <c r="M173" s="64">
        <f t="shared" si="20"/>
        <v>105.1</v>
      </c>
      <c r="N173" s="64">
        <f t="shared" si="21"/>
        <v>0</v>
      </c>
      <c r="O173" s="64">
        <f t="shared" si="22"/>
        <v>10.51</v>
      </c>
      <c r="P173" s="64">
        <f t="shared" si="23"/>
        <v>0</v>
      </c>
    </row>
    <row r="174" spans="1:16" x14ac:dyDescent="0.25">
      <c r="A174" t="s">
        <v>611</v>
      </c>
      <c r="B174" t="s">
        <v>204</v>
      </c>
      <c r="C174" t="s">
        <v>4195</v>
      </c>
      <c r="D174" s="9">
        <v>115.2</v>
      </c>
      <c r="E174" s="9">
        <v>43.8</v>
      </c>
      <c r="F174" s="9">
        <v>69.900000000000006</v>
      </c>
      <c r="G174" s="9">
        <v>0</v>
      </c>
      <c r="H174" s="77">
        <v>89.1</v>
      </c>
      <c r="I174" s="77">
        <v>8.91</v>
      </c>
      <c r="M174" s="64">
        <f t="shared" si="20"/>
        <v>89.1</v>
      </c>
      <c r="N174" s="64">
        <f t="shared" si="21"/>
        <v>0</v>
      </c>
      <c r="O174" s="64">
        <f t="shared" si="22"/>
        <v>8.91</v>
      </c>
      <c r="P174" s="64">
        <f t="shared" si="23"/>
        <v>0</v>
      </c>
    </row>
    <row r="175" spans="1:16" x14ac:dyDescent="0.25">
      <c r="A175" t="s">
        <v>1876</v>
      </c>
      <c r="B175" t="s">
        <v>116</v>
      </c>
      <c r="C175" t="s">
        <v>4256</v>
      </c>
      <c r="D175" s="9">
        <v>93453.48000000001</v>
      </c>
      <c r="E175" s="9">
        <v>139971.43000000002</v>
      </c>
      <c r="F175" s="9">
        <v>13096.7</v>
      </c>
      <c r="G175" s="9">
        <v>28018.500000000004</v>
      </c>
      <c r="H175" s="77">
        <v>192309.71000000002</v>
      </c>
      <c r="I175" s="77">
        <v>19230.950000000004</v>
      </c>
      <c r="M175" s="64">
        <f t="shared" si="20"/>
        <v>192309.71000000002</v>
      </c>
      <c r="N175" s="64">
        <f t="shared" si="21"/>
        <v>0</v>
      </c>
      <c r="O175" s="64">
        <f t="shared" si="22"/>
        <v>19230.971000000001</v>
      </c>
      <c r="P175" s="64">
        <f t="shared" si="23"/>
        <v>-2.0999999997002305E-2</v>
      </c>
    </row>
    <row r="176" spans="1:16" x14ac:dyDescent="0.25">
      <c r="A176" t="s">
        <v>34</v>
      </c>
      <c r="B176" t="s">
        <v>8</v>
      </c>
      <c r="C176" t="s">
        <v>4165</v>
      </c>
      <c r="D176" s="9">
        <v>11891.8</v>
      </c>
      <c r="E176" s="9">
        <v>12264.8</v>
      </c>
      <c r="F176" s="9">
        <v>753.7</v>
      </c>
      <c r="G176" s="9">
        <v>4274.1000000000004</v>
      </c>
      <c r="H176" s="77">
        <v>19128.8</v>
      </c>
      <c r="I176" s="77">
        <v>1912.88</v>
      </c>
      <c r="M176" s="64">
        <f t="shared" si="20"/>
        <v>19128.799999999996</v>
      </c>
      <c r="N176" s="64">
        <f t="shared" si="21"/>
        <v>0</v>
      </c>
      <c r="O176" s="64">
        <f t="shared" si="22"/>
        <v>1912.8799999999997</v>
      </c>
      <c r="P176" s="64">
        <f t="shared" si="23"/>
        <v>0</v>
      </c>
    </row>
    <row r="177" spans="1:16" x14ac:dyDescent="0.25">
      <c r="A177" t="s">
        <v>369</v>
      </c>
      <c r="B177" t="s">
        <v>8</v>
      </c>
      <c r="C177" t="s">
        <v>4217</v>
      </c>
      <c r="D177" s="9">
        <v>5853.3099999999995</v>
      </c>
      <c r="E177" s="9">
        <v>3491.85</v>
      </c>
      <c r="F177" s="9">
        <v>310.89999999999998</v>
      </c>
      <c r="G177" s="9">
        <v>540.20000000000005</v>
      </c>
      <c r="H177" s="77">
        <v>8494.06</v>
      </c>
      <c r="I177" s="77">
        <v>849.4</v>
      </c>
      <c r="M177" s="64">
        <f t="shared" si="20"/>
        <v>8494.06</v>
      </c>
      <c r="N177" s="64">
        <f t="shared" si="21"/>
        <v>0</v>
      </c>
      <c r="O177" s="64">
        <f t="shared" si="22"/>
        <v>849.40599999999995</v>
      </c>
      <c r="P177" s="64">
        <f t="shared" si="23"/>
        <v>-5.9999999999718057E-3</v>
      </c>
    </row>
    <row r="178" spans="1:16" x14ac:dyDescent="0.25">
      <c r="A178" t="s">
        <v>2325</v>
      </c>
      <c r="B178" t="s">
        <v>8</v>
      </c>
      <c r="C178" t="s">
        <v>4365</v>
      </c>
      <c r="D178" s="9">
        <v>2213.3000000000002</v>
      </c>
      <c r="F178" s="9">
        <v>0</v>
      </c>
      <c r="H178" s="77">
        <v>2213.3000000000002</v>
      </c>
      <c r="I178" s="77">
        <v>221.33</v>
      </c>
      <c r="M178" s="64">
        <f t="shared" si="20"/>
        <v>2213.3000000000002</v>
      </c>
      <c r="N178" s="64">
        <f t="shared" si="21"/>
        <v>0</v>
      </c>
      <c r="O178" s="64">
        <f t="shared" si="22"/>
        <v>221.33000000000004</v>
      </c>
      <c r="P178" s="64">
        <f t="shared" si="23"/>
        <v>0</v>
      </c>
    </row>
    <row r="179" spans="1:16" x14ac:dyDescent="0.25">
      <c r="A179" t="s">
        <v>2323</v>
      </c>
      <c r="B179" t="s">
        <v>8</v>
      </c>
      <c r="C179" t="s">
        <v>4553</v>
      </c>
      <c r="D179" s="9">
        <v>45</v>
      </c>
      <c r="E179" s="9">
        <v>402.8</v>
      </c>
      <c r="F179" s="9">
        <v>0</v>
      </c>
      <c r="G179" s="9">
        <v>0</v>
      </c>
      <c r="H179" s="77">
        <v>447.8</v>
      </c>
      <c r="I179" s="77">
        <v>44.78</v>
      </c>
      <c r="M179" s="64">
        <f t="shared" si="20"/>
        <v>447.8</v>
      </c>
      <c r="N179" s="64">
        <f t="shared" si="21"/>
        <v>0</v>
      </c>
      <c r="O179" s="64">
        <f t="shared" si="22"/>
        <v>44.78</v>
      </c>
      <c r="P179" s="64">
        <f t="shared" si="23"/>
        <v>0</v>
      </c>
    </row>
    <row r="180" spans="1:16" x14ac:dyDescent="0.25">
      <c r="A180" t="s">
        <v>2257</v>
      </c>
      <c r="B180" t="s">
        <v>8</v>
      </c>
      <c r="C180" t="s">
        <v>4432</v>
      </c>
      <c r="D180" s="9">
        <v>5.4</v>
      </c>
      <c r="E180" s="9">
        <v>103.3</v>
      </c>
      <c r="F180" s="9">
        <v>0</v>
      </c>
      <c r="G180" s="9">
        <v>0</v>
      </c>
      <c r="H180" s="77">
        <v>108.7</v>
      </c>
      <c r="I180" s="77">
        <v>10.870000000000001</v>
      </c>
      <c r="M180" s="64">
        <f t="shared" si="20"/>
        <v>108.7</v>
      </c>
      <c r="N180" s="64">
        <f t="shared" si="21"/>
        <v>0</v>
      </c>
      <c r="O180" s="64">
        <f t="shared" si="22"/>
        <v>10.870000000000001</v>
      </c>
      <c r="P180" s="64">
        <f t="shared" si="23"/>
        <v>0</v>
      </c>
    </row>
    <row r="181" spans="1:16" x14ac:dyDescent="0.25">
      <c r="A181" t="s">
        <v>34</v>
      </c>
      <c r="B181" t="s">
        <v>155</v>
      </c>
      <c r="C181" t="s">
        <v>4166</v>
      </c>
      <c r="D181" s="9">
        <v>76896.599999999991</v>
      </c>
      <c r="E181" s="9">
        <v>95209.4</v>
      </c>
      <c r="F181" s="9">
        <v>151.6</v>
      </c>
      <c r="G181" s="9">
        <v>0.5</v>
      </c>
      <c r="H181" s="77">
        <v>171953.9</v>
      </c>
      <c r="I181" s="77">
        <v>17195.390000000003</v>
      </c>
      <c r="M181" s="64">
        <f t="shared" si="20"/>
        <v>171953.9</v>
      </c>
      <c r="N181" s="64">
        <f t="shared" si="21"/>
        <v>0</v>
      </c>
      <c r="O181" s="64">
        <f t="shared" si="22"/>
        <v>17195.39</v>
      </c>
      <c r="P181" s="64">
        <f t="shared" si="23"/>
        <v>0</v>
      </c>
    </row>
    <row r="182" spans="1:16" x14ac:dyDescent="0.25">
      <c r="A182" t="s">
        <v>156</v>
      </c>
      <c r="B182" t="s">
        <v>155</v>
      </c>
      <c r="C182" t="s">
        <v>4136</v>
      </c>
      <c r="D182" s="9">
        <v>15599.44</v>
      </c>
      <c r="E182" s="9">
        <v>20160.55</v>
      </c>
      <c r="F182" s="9">
        <v>418.4</v>
      </c>
      <c r="G182" s="9">
        <v>9864.7000000000007</v>
      </c>
      <c r="H182" s="77">
        <v>25476.89</v>
      </c>
      <c r="I182" s="77">
        <v>2547.6899999999996</v>
      </c>
      <c r="M182" s="64">
        <f t="shared" si="20"/>
        <v>25476.889999999996</v>
      </c>
      <c r="N182" s="64">
        <f t="shared" si="21"/>
        <v>0</v>
      </c>
      <c r="O182" s="64">
        <f t="shared" si="22"/>
        <v>2547.6889999999999</v>
      </c>
      <c r="P182" s="64">
        <f t="shared" si="23"/>
        <v>9.9999999974897946E-4</v>
      </c>
    </row>
    <row r="183" spans="1:16" x14ac:dyDescent="0.25">
      <c r="A183" s="19" t="s">
        <v>370</v>
      </c>
      <c r="B183" s="19" t="s">
        <v>155</v>
      </c>
      <c r="C183" s="19" t="s">
        <v>4089</v>
      </c>
      <c r="D183" s="9">
        <v>938.59999999999991</v>
      </c>
      <c r="E183" s="9">
        <v>870.4</v>
      </c>
      <c r="F183" s="9">
        <v>0</v>
      </c>
      <c r="G183" s="9">
        <v>0</v>
      </c>
      <c r="H183" s="77">
        <v>1809</v>
      </c>
      <c r="I183" s="77">
        <v>180.9</v>
      </c>
      <c r="M183" s="64">
        <f t="shared" si="20"/>
        <v>1809</v>
      </c>
      <c r="N183" s="64">
        <f t="shared" si="21"/>
        <v>0</v>
      </c>
      <c r="O183" s="64">
        <f t="shared" si="22"/>
        <v>180.9</v>
      </c>
      <c r="P183" s="64">
        <f t="shared" si="23"/>
        <v>0</v>
      </c>
    </row>
    <row r="184" spans="1:16" x14ac:dyDescent="0.25">
      <c r="A184" t="s">
        <v>295</v>
      </c>
      <c r="B184" t="s">
        <v>155</v>
      </c>
      <c r="C184" t="s">
        <v>4068</v>
      </c>
      <c r="D184" s="9">
        <v>443.29999999999995</v>
      </c>
      <c r="E184" s="9">
        <v>584.30000000000007</v>
      </c>
      <c r="F184" s="9">
        <v>61.3</v>
      </c>
      <c r="G184" s="9">
        <v>0</v>
      </c>
      <c r="H184" s="77">
        <v>966.30000000000007</v>
      </c>
      <c r="I184" s="77">
        <v>96.63000000000001</v>
      </c>
      <c r="M184" s="64">
        <f t="shared" si="20"/>
        <v>966.3</v>
      </c>
      <c r="N184" s="64">
        <f t="shared" si="21"/>
        <v>0</v>
      </c>
      <c r="O184" s="64">
        <f t="shared" si="22"/>
        <v>96.63</v>
      </c>
      <c r="P184" s="64">
        <f t="shared" si="23"/>
        <v>0</v>
      </c>
    </row>
    <row r="185" spans="1:16" x14ac:dyDescent="0.25">
      <c r="A185" t="s">
        <v>18</v>
      </c>
      <c r="B185" t="s">
        <v>155</v>
      </c>
      <c r="C185" t="s">
        <v>4216</v>
      </c>
      <c r="D185" s="9">
        <v>43</v>
      </c>
      <c r="E185" s="9">
        <v>434.6</v>
      </c>
      <c r="F185" s="9">
        <v>0</v>
      </c>
      <c r="G185" s="9">
        <v>0</v>
      </c>
      <c r="H185" s="77">
        <v>477.6</v>
      </c>
      <c r="I185" s="77">
        <v>47.76</v>
      </c>
      <c r="M185" s="64">
        <f t="shared" si="20"/>
        <v>477.6</v>
      </c>
      <c r="N185" s="64">
        <f t="shared" si="21"/>
        <v>0</v>
      </c>
      <c r="O185" s="64">
        <f t="shared" si="22"/>
        <v>47.760000000000005</v>
      </c>
      <c r="P185" s="64">
        <f t="shared" si="23"/>
        <v>0</v>
      </c>
    </row>
    <row r="186" spans="1:16" x14ac:dyDescent="0.25">
      <c r="A186" t="s">
        <v>2910</v>
      </c>
      <c r="B186" t="s">
        <v>155</v>
      </c>
      <c r="C186" t="s">
        <v>4581</v>
      </c>
      <c r="D186" s="9">
        <v>185.3</v>
      </c>
      <c r="E186" s="9">
        <v>154.69999999999999</v>
      </c>
      <c r="F186" s="9">
        <v>0</v>
      </c>
      <c r="G186" s="9">
        <v>0</v>
      </c>
      <c r="H186" s="77">
        <v>340</v>
      </c>
      <c r="I186" s="77">
        <v>34</v>
      </c>
      <c r="M186" s="64">
        <f t="shared" si="20"/>
        <v>340</v>
      </c>
      <c r="N186" s="64">
        <f t="shared" si="21"/>
        <v>0</v>
      </c>
      <c r="O186" s="64">
        <f t="shared" si="22"/>
        <v>34</v>
      </c>
      <c r="P186" s="64">
        <f t="shared" si="23"/>
        <v>0</v>
      </c>
    </row>
    <row r="187" spans="1:16" x14ac:dyDescent="0.25">
      <c r="A187" t="s">
        <v>34</v>
      </c>
      <c r="B187" t="s">
        <v>144</v>
      </c>
      <c r="C187" t="s">
        <v>4167</v>
      </c>
      <c r="D187" s="9">
        <v>15027.300000000001</v>
      </c>
      <c r="E187" s="9">
        <v>7091.8</v>
      </c>
      <c r="F187" s="9">
        <v>0</v>
      </c>
      <c r="G187" s="9">
        <v>0</v>
      </c>
      <c r="H187" s="77">
        <v>22119.100000000002</v>
      </c>
      <c r="I187" s="77">
        <v>2211.91</v>
      </c>
      <c r="M187" s="64">
        <f t="shared" si="20"/>
        <v>22119.100000000002</v>
      </c>
      <c r="N187" s="64">
        <f t="shared" si="21"/>
        <v>0</v>
      </c>
      <c r="O187" s="64">
        <f t="shared" si="22"/>
        <v>2211.9100000000003</v>
      </c>
      <c r="P187" s="64">
        <f t="shared" si="23"/>
        <v>0</v>
      </c>
    </row>
    <row r="188" spans="1:16" x14ac:dyDescent="0.25">
      <c r="A188" t="s">
        <v>321</v>
      </c>
      <c r="B188" t="s">
        <v>144</v>
      </c>
      <c r="C188" t="s">
        <v>4126</v>
      </c>
      <c r="D188" s="9">
        <v>3515.5</v>
      </c>
      <c r="E188" s="9">
        <v>4160.2</v>
      </c>
      <c r="F188" s="9">
        <v>0</v>
      </c>
      <c r="G188" s="9">
        <v>0</v>
      </c>
      <c r="H188" s="77">
        <v>7675.7</v>
      </c>
      <c r="I188" s="77">
        <v>767.56999999999994</v>
      </c>
      <c r="M188" s="64">
        <f t="shared" si="20"/>
        <v>7675.7</v>
      </c>
      <c r="N188" s="64">
        <f t="shared" si="21"/>
        <v>0</v>
      </c>
      <c r="O188" s="64">
        <f t="shared" si="22"/>
        <v>767.57</v>
      </c>
      <c r="P188" s="64">
        <f t="shared" si="23"/>
        <v>0</v>
      </c>
    </row>
    <row r="189" spans="1:16" x14ac:dyDescent="0.25">
      <c r="A189" t="s">
        <v>2057</v>
      </c>
      <c r="B189" t="s">
        <v>144</v>
      </c>
      <c r="C189" t="s">
        <v>4238</v>
      </c>
      <c r="D189" s="9">
        <v>110.2</v>
      </c>
      <c r="E189" s="9">
        <v>587.1</v>
      </c>
      <c r="F189" s="9">
        <v>0</v>
      </c>
      <c r="G189" s="9">
        <v>0</v>
      </c>
      <c r="H189" s="77">
        <v>697.30000000000007</v>
      </c>
      <c r="I189" s="77">
        <v>69.73</v>
      </c>
      <c r="M189" s="64">
        <f t="shared" si="20"/>
        <v>697.30000000000007</v>
      </c>
      <c r="N189" s="64">
        <f t="shared" si="21"/>
        <v>0</v>
      </c>
      <c r="O189" s="64">
        <f t="shared" si="22"/>
        <v>69.73</v>
      </c>
      <c r="P189" s="64">
        <f t="shared" si="23"/>
        <v>0</v>
      </c>
    </row>
    <row r="190" spans="1:16" x14ac:dyDescent="0.25">
      <c r="A190" t="s">
        <v>296</v>
      </c>
      <c r="B190" t="s">
        <v>144</v>
      </c>
      <c r="C190" t="s">
        <v>4366</v>
      </c>
      <c r="D190" s="9">
        <v>325</v>
      </c>
      <c r="E190" s="9">
        <v>179.2</v>
      </c>
      <c r="F190" s="9">
        <v>0</v>
      </c>
      <c r="G190" s="9">
        <v>0</v>
      </c>
      <c r="H190" s="77">
        <v>504.2</v>
      </c>
      <c r="I190" s="77">
        <v>50.42</v>
      </c>
      <c r="M190" s="64">
        <f t="shared" si="20"/>
        <v>504.2</v>
      </c>
      <c r="N190" s="64">
        <f t="shared" si="21"/>
        <v>0</v>
      </c>
      <c r="O190" s="64">
        <f t="shared" si="22"/>
        <v>50.42</v>
      </c>
      <c r="P190" s="64">
        <f t="shared" si="23"/>
        <v>0</v>
      </c>
    </row>
    <row r="191" spans="1:16" x14ac:dyDescent="0.25">
      <c r="A191" t="s">
        <v>622</v>
      </c>
      <c r="B191" t="s">
        <v>144</v>
      </c>
      <c r="C191" t="s">
        <v>4551</v>
      </c>
      <c r="D191" s="9">
        <v>45</v>
      </c>
      <c r="E191" s="9">
        <v>402.8</v>
      </c>
      <c r="F191" s="9">
        <v>0</v>
      </c>
      <c r="G191" s="9">
        <v>0</v>
      </c>
      <c r="H191" s="77">
        <v>447.8</v>
      </c>
      <c r="I191" s="77">
        <v>44.78</v>
      </c>
      <c r="M191" s="64">
        <f t="shared" si="20"/>
        <v>447.8</v>
      </c>
      <c r="N191" s="64">
        <f t="shared" si="21"/>
        <v>0</v>
      </c>
      <c r="O191" s="64">
        <f t="shared" si="22"/>
        <v>44.78</v>
      </c>
      <c r="P191" s="64">
        <f t="shared" si="23"/>
        <v>0</v>
      </c>
    </row>
    <row r="192" spans="1:16" x14ac:dyDescent="0.25">
      <c r="A192" t="s">
        <v>34</v>
      </c>
      <c r="B192" t="s">
        <v>262</v>
      </c>
      <c r="C192" t="s">
        <v>4168</v>
      </c>
      <c r="D192" s="9">
        <v>1345.8000000000002</v>
      </c>
      <c r="E192" s="9">
        <v>1083.7</v>
      </c>
      <c r="F192" s="9">
        <v>0</v>
      </c>
      <c r="G192" s="9">
        <v>0</v>
      </c>
      <c r="H192" s="77">
        <v>2429.5</v>
      </c>
      <c r="I192" s="77">
        <v>242.95</v>
      </c>
      <c r="M192" s="64">
        <f t="shared" si="20"/>
        <v>2429.5</v>
      </c>
      <c r="N192" s="64">
        <f t="shared" si="21"/>
        <v>0</v>
      </c>
      <c r="O192" s="64">
        <f t="shared" si="22"/>
        <v>242.95000000000002</v>
      </c>
      <c r="P192" s="64">
        <f t="shared" si="23"/>
        <v>0</v>
      </c>
    </row>
    <row r="193" spans="1:16" x14ac:dyDescent="0.25">
      <c r="A193" s="128" t="s">
        <v>1878</v>
      </c>
      <c r="B193" s="128" t="s">
        <v>117</v>
      </c>
      <c r="C193" s="128" t="s">
        <v>4257</v>
      </c>
      <c r="D193" s="129">
        <v>882938.97</v>
      </c>
      <c r="E193" s="129">
        <v>1513160.37</v>
      </c>
      <c r="F193" s="129">
        <v>667841.48</v>
      </c>
      <c r="G193" s="129">
        <v>690705.04</v>
      </c>
      <c r="H193" s="130">
        <v>1037552.82</v>
      </c>
      <c r="I193" s="130">
        <v>103755.26999999999</v>
      </c>
      <c r="J193" t="s">
        <v>4443</v>
      </c>
      <c r="M193" s="64">
        <f t="shared" ref="M193:M198" si="24">D193+E193-F193-G193</f>
        <v>1037552.8199999998</v>
      </c>
      <c r="N193" s="64">
        <f t="shared" ref="N193:N198" si="25">H193-M193</f>
        <v>0</v>
      </c>
      <c r="O193" s="64">
        <f t="shared" ref="O193:O198" si="26">M193*0.1</f>
        <v>103755.28199999999</v>
      </c>
      <c r="P193" s="64">
        <f t="shared" ref="P193:P198" si="27">I193-O193</f>
        <v>-1.2000000002444722E-2</v>
      </c>
    </row>
    <row r="194" spans="1:16" x14ac:dyDescent="0.25">
      <c r="A194" t="s">
        <v>1879</v>
      </c>
      <c r="B194" t="s">
        <v>118</v>
      </c>
      <c r="C194" t="s">
        <v>4258</v>
      </c>
      <c r="D194" s="9">
        <v>313287.67999999999</v>
      </c>
      <c r="E194" s="9">
        <v>399261.03000000009</v>
      </c>
      <c r="F194" s="9">
        <v>19416.600000000002</v>
      </c>
      <c r="G194" s="9">
        <v>49585.000000000007</v>
      </c>
      <c r="H194" s="77">
        <v>643547.1100000001</v>
      </c>
      <c r="I194" s="77">
        <v>64354.719999999987</v>
      </c>
      <c r="M194" s="64">
        <f t="shared" si="24"/>
        <v>643547.1100000001</v>
      </c>
      <c r="N194" s="64">
        <f t="shared" si="25"/>
        <v>0</v>
      </c>
      <c r="O194" s="64">
        <f t="shared" si="26"/>
        <v>64354.71100000001</v>
      </c>
      <c r="P194" s="64">
        <f t="shared" si="27"/>
        <v>8.9999999763676897E-3</v>
      </c>
    </row>
    <row r="195" spans="1:16" x14ac:dyDescent="0.25">
      <c r="A195" t="s">
        <v>34</v>
      </c>
      <c r="B195" t="s">
        <v>76</v>
      </c>
      <c r="C195" t="s">
        <v>4169</v>
      </c>
      <c r="D195" s="9">
        <v>7748.3</v>
      </c>
      <c r="E195" s="9">
        <v>30483.759999999998</v>
      </c>
      <c r="F195" s="9">
        <v>60.2</v>
      </c>
      <c r="G195" s="9">
        <v>617.1</v>
      </c>
      <c r="H195" s="77">
        <v>37554.76</v>
      </c>
      <c r="I195" s="77">
        <v>3755.47</v>
      </c>
      <c r="M195" s="64">
        <f t="shared" si="24"/>
        <v>37554.76</v>
      </c>
      <c r="N195" s="64">
        <f t="shared" si="25"/>
        <v>0</v>
      </c>
      <c r="O195" s="64">
        <f t="shared" si="26"/>
        <v>3755.4760000000006</v>
      </c>
      <c r="P195" s="64">
        <f t="shared" si="27"/>
        <v>-6.0000000007676135E-3</v>
      </c>
    </row>
    <row r="196" spans="1:16" x14ac:dyDescent="0.25">
      <c r="A196" t="s">
        <v>4355</v>
      </c>
      <c r="B196" t="s">
        <v>76</v>
      </c>
      <c r="C196" t="s">
        <v>4580</v>
      </c>
      <c r="D196" s="9">
        <v>394.8</v>
      </c>
      <c r="E196" s="9">
        <v>7046.4</v>
      </c>
      <c r="F196" s="9">
        <v>0</v>
      </c>
      <c r="G196" s="9">
        <v>0</v>
      </c>
      <c r="H196" s="77">
        <v>7441.2</v>
      </c>
      <c r="I196" s="77">
        <v>744.12</v>
      </c>
      <c r="M196" s="64">
        <f t="shared" si="24"/>
        <v>7441.2</v>
      </c>
      <c r="N196" s="64">
        <f t="shared" si="25"/>
        <v>0</v>
      </c>
      <c r="O196" s="64">
        <f t="shared" si="26"/>
        <v>744.12</v>
      </c>
      <c r="P196" s="64">
        <f t="shared" si="27"/>
        <v>0</v>
      </c>
    </row>
    <row r="197" spans="1:16" x14ac:dyDescent="0.25">
      <c r="A197" t="s">
        <v>374</v>
      </c>
      <c r="B197" t="s">
        <v>76</v>
      </c>
      <c r="C197" t="s">
        <v>4208</v>
      </c>
      <c r="D197" s="9">
        <v>1611</v>
      </c>
      <c r="E197" s="9">
        <v>3013.5</v>
      </c>
      <c r="F197" s="9">
        <v>5.4</v>
      </c>
      <c r="G197" s="9">
        <v>103.3</v>
      </c>
      <c r="H197" s="77">
        <v>4515.7999999999993</v>
      </c>
      <c r="I197" s="77">
        <v>451.57999999999993</v>
      </c>
      <c r="M197" s="64">
        <f t="shared" si="24"/>
        <v>4515.8</v>
      </c>
      <c r="N197" s="64">
        <f t="shared" si="25"/>
        <v>0</v>
      </c>
      <c r="O197" s="64">
        <f t="shared" si="26"/>
        <v>451.58000000000004</v>
      </c>
      <c r="P197" s="64">
        <f t="shared" si="27"/>
        <v>0</v>
      </c>
    </row>
    <row r="198" spans="1:16" x14ac:dyDescent="0.25">
      <c r="A198" t="s">
        <v>458</v>
      </c>
      <c r="B198" t="s">
        <v>76</v>
      </c>
      <c r="C198" t="s">
        <v>4196</v>
      </c>
      <c r="D198" s="9">
        <v>639.6</v>
      </c>
      <c r="E198" s="9">
        <v>1321.2</v>
      </c>
      <c r="F198" s="9">
        <v>0</v>
      </c>
      <c r="G198" s="9">
        <v>0</v>
      </c>
      <c r="H198" s="77">
        <v>1960.8000000000002</v>
      </c>
      <c r="I198" s="77">
        <v>196.08000000000004</v>
      </c>
      <c r="M198" s="64">
        <f t="shared" si="24"/>
        <v>1960.8000000000002</v>
      </c>
      <c r="N198" s="64">
        <f t="shared" si="25"/>
        <v>0</v>
      </c>
      <c r="O198" s="64">
        <f t="shared" si="26"/>
        <v>196.08000000000004</v>
      </c>
      <c r="P198" s="64">
        <f t="shared" si="27"/>
        <v>0</v>
      </c>
    </row>
    <row r="199" spans="1:16" x14ac:dyDescent="0.25">
      <c r="A199" t="s">
        <v>307</v>
      </c>
      <c r="B199" t="s">
        <v>76</v>
      </c>
      <c r="C199" t="s">
        <v>4251</v>
      </c>
      <c r="D199" s="9">
        <v>136.30000000000001</v>
      </c>
      <c r="E199" s="9">
        <v>269.2</v>
      </c>
      <c r="F199" s="9">
        <v>0</v>
      </c>
      <c r="G199" s="9">
        <v>0</v>
      </c>
      <c r="H199" s="77">
        <v>405.5</v>
      </c>
      <c r="I199" s="77">
        <v>40.549999999999997</v>
      </c>
      <c r="M199" s="64"/>
      <c r="N199" s="64"/>
      <c r="O199" s="64"/>
      <c r="P199" s="64"/>
    </row>
    <row r="200" spans="1:16" x14ac:dyDescent="0.25">
      <c r="A200" t="s">
        <v>643</v>
      </c>
      <c r="B200" t="s">
        <v>76</v>
      </c>
      <c r="C200" t="s">
        <v>4586</v>
      </c>
      <c r="D200" s="9">
        <v>155.6</v>
      </c>
      <c r="E200" s="9">
        <v>107.3</v>
      </c>
      <c r="F200" s="9">
        <v>0</v>
      </c>
      <c r="G200" s="9">
        <v>0</v>
      </c>
      <c r="H200" s="77">
        <v>262.89999999999998</v>
      </c>
      <c r="I200" s="77">
        <v>26.29</v>
      </c>
      <c r="M200" s="64">
        <f t="shared" ref="M200:M237" si="28">D200+E200-F200-G200</f>
        <v>262.89999999999998</v>
      </c>
      <c r="N200" s="64">
        <f t="shared" ref="N200:N237" si="29">H200-M200</f>
        <v>0</v>
      </c>
      <c r="O200" s="64">
        <f t="shared" ref="O200:O237" si="30">M200*0.1</f>
        <v>26.29</v>
      </c>
      <c r="P200" s="64">
        <f t="shared" ref="P200:P237" si="31">I200-O200</f>
        <v>0</v>
      </c>
    </row>
    <row r="201" spans="1:16" x14ac:dyDescent="0.25">
      <c r="A201" t="s">
        <v>2393</v>
      </c>
      <c r="B201" t="s">
        <v>76</v>
      </c>
      <c r="C201" t="s">
        <v>4566</v>
      </c>
      <c r="D201" s="9">
        <v>5.4</v>
      </c>
      <c r="E201" s="9">
        <v>103.3</v>
      </c>
      <c r="F201" s="9">
        <v>0</v>
      </c>
      <c r="G201" s="9">
        <v>0</v>
      </c>
      <c r="H201" s="77">
        <v>108.7</v>
      </c>
      <c r="I201" s="77">
        <v>10.870000000000001</v>
      </c>
      <c r="M201" s="64">
        <f t="shared" si="28"/>
        <v>108.7</v>
      </c>
      <c r="N201" s="64">
        <f t="shared" si="29"/>
        <v>0</v>
      </c>
      <c r="O201" s="64">
        <f t="shared" si="30"/>
        <v>10.870000000000001</v>
      </c>
      <c r="P201" s="64">
        <f t="shared" si="31"/>
        <v>0</v>
      </c>
    </row>
    <row r="202" spans="1:16" x14ac:dyDescent="0.25">
      <c r="A202" s="19" t="s">
        <v>2020</v>
      </c>
      <c r="B202" s="19" t="s">
        <v>120</v>
      </c>
      <c r="C202" s="19" t="s">
        <v>4259</v>
      </c>
      <c r="D202" s="9">
        <v>37980.54</v>
      </c>
      <c r="E202" s="9">
        <v>31718.93</v>
      </c>
      <c r="F202" s="9">
        <v>2116.5999999999995</v>
      </c>
      <c r="G202" s="9">
        <v>2293.1</v>
      </c>
      <c r="H202" s="77">
        <v>65289.770000000004</v>
      </c>
      <c r="I202" s="77">
        <v>6528.9599999999991</v>
      </c>
      <c r="M202" s="64">
        <f t="shared" si="28"/>
        <v>65289.77</v>
      </c>
      <c r="N202" s="64">
        <f t="shared" si="29"/>
        <v>0</v>
      </c>
      <c r="O202" s="64">
        <f t="shared" si="30"/>
        <v>6528.9769999999999</v>
      </c>
      <c r="P202" s="64">
        <f t="shared" si="31"/>
        <v>-1.7000000000734872E-2</v>
      </c>
    </row>
    <row r="203" spans="1:16" x14ac:dyDescent="0.25">
      <c r="A203" t="s">
        <v>2021</v>
      </c>
      <c r="B203" t="s">
        <v>121</v>
      </c>
      <c r="C203" t="s">
        <v>4260</v>
      </c>
      <c r="D203" s="9">
        <v>156841.02000000002</v>
      </c>
      <c r="E203" s="9">
        <v>278846.26000000007</v>
      </c>
      <c r="F203" s="9">
        <v>5907</v>
      </c>
      <c r="G203" s="9">
        <v>8177.1</v>
      </c>
      <c r="H203" s="77">
        <v>421603.17999999993</v>
      </c>
      <c r="I203" s="77">
        <v>42160.32</v>
      </c>
      <c r="M203" s="64">
        <f t="shared" si="28"/>
        <v>421603.18000000011</v>
      </c>
      <c r="N203" s="64">
        <f t="shared" si="29"/>
        <v>0</v>
      </c>
      <c r="O203" s="64">
        <f t="shared" si="30"/>
        <v>42160.318000000014</v>
      </c>
      <c r="P203" s="64">
        <f t="shared" si="31"/>
        <v>1.9999999858555384E-3</v>
      </c>
    </row>
    <row r="204" spans="1:16" x14ac:dyDescent="0.25">
      <c r="A204" s="19" t="s">
        <v>2946</v>
      </c>
      <c r="B204" s="19" t="s">
        <v>24</v>
      </c>
      <c r="C204" s="19" t="s">
        <v>4367</v>
      </c>
      <c r="D204" s="9">
        <v>192683.2</v>
      </c>
      <c r="E204" s="9">
        <v>82649.700000000012</v>
      </c>
      <c r="F204" s="9">
        <v>9481.3000000000011</v>
      </c>
      <c r="G204" s="9">
        <v>10637.7</v>
      </c>
      <c r="H204" s="77">
        <v>255213.90000000002</v>
      </c>
      <c r="I204" s="77">
        <v>25521.39</v>
      </c>
      <c r="M204" s="64">
        <f t="shared" si="28"/>
        <v>255213.90000000002</v>
      </c>
      <c r="N204" s="64">
        <f t="shared" si="29"/>
        <v>0</v>
      </c>
      <c r="O204" s="64">
        <f t="shared" si="30"/>
        <v>25521.390000000003</v>
      </c>
      <c r="P204" s="64">
        <f t="shared" si="31"/>
        <v>0</v>
      </c>
    </row>
    <row r="205" spans="1:16" x14ac:dyDescent="0.25">
      <c r="A205" t="s">
        <v>1880</v>
      </c>
      <c r="B205" t="s">
        <v>122</v>
      </c>
      <c r="C205" t="s">
        <v>4262</v>
      </c>
      <c r="D205" s="9">
        <v>231096.39000000004</v>
      </c>
      <c r="E205" s="9">
        <v>315034.23999999993</v>
      </c>
      <c r="F205" s="9">
        <v>5926.8899999999994</v>
      </c>
      <c r="G205" s="9">
        <v>13750.39</v>
      </c>
      <c r="H205" s="77">
        <v>526453.35000000009</v>
      </c>
      <c r="I205" s="77">
        <v>52645.360000000008</v>
      </c>
      <c r="M205" s="64">
        <f t="shared" si="28"/>
        <v>526453.35</v>
      </c>
      <c r="N205" s="64">
        <f t="shared" si="29"/>
        <v>0</v>
      </c>
      <c r="O205" s="64">
        <f t="shared" si="30"/>
        <v>52645.334999999999</v>
      </c>
      <c r="P205" s="64">
        <f t="shared" si="31"/>
        <v>2.5000000008731149E-2</v>
      </c>
    </row>
    <row r="206" spans="1:16" x14ac:dyDescent="0.25">
      <c r="A206" t="s">
        <v>2022</v>
      </c>
      <c r="B206" t="s">
        <v>124</v>
      </c>
      <c r="C206" t="s">
        <v>4263</v>
      </c>
      <c r="D206" s="9">
        <v>697592.05999999994</v>
      </c>
      <c r="E206" s="9">
        <v>448123.0799999999</v>
      </c>
      <c r="F206" s="9">
        <v>45249.840000000004</v>
      </c>
      <c r="G206" s="9">
        <v>47757.810000000012</v>
      </c>
      <c r="H206" s="77">
        <v>1052707.49</v>
      </c>
      <c r="I206" s="77">
        <v>105270.8</v>
      </c>
      <c r="M206" s="64">
        <f t="shared" si="28"/>
        <v>1052707.4899999998</v>
      </c>
      <c r="N206" s="64">
        <f t="shared" si="29"/>
        <v>0</v>
      </c>
      <c r="O206" s="64">
        <f t="shared" si="30"/>
        <v>105270.74899999998</v>
      </c>
      <c r="P206" s="64">
        <f t="shared" si="31"/>
        <v>5.1000000021304004E-2</v>
      </c>
    </row>
    <row r="207" spans="1:16" x14ac:dyDescent="0.25">
      <c r="A207" t="s">
        <v>34</v>
      </c>
      <c r="B207" t="s">
        <v>221</v>
      </c>
      <c r="C207" t="s">
        <v>4170</v>
      </c>
      <c r="D207" s="9">
        <v>947.00000000000011</v>
      </c>
      <c r="E207" s="9">
        <v>913.8</v>
      </c>
      <c r="F207" s="9">
        <v>331.9</v>
      </c>
      <c r="G207" s="9">
        <v>180.9</v>
      </c>
      <c r="H207" s="77">
        <v>1348</v>
      </c>
      <c r="I207" s="77">
        <v>134.79999999999998</v>
      </c>
      <c r="M207" s="64">
        <f t="shared" si="28"/>
        <v>1348</v>
      </c>
      <c r="N207" s="64">
        <f t="shared" si="29"/>
        <v>0</v>
      </c>
      <c r="O207" s="64">
        <f t="shared" si="30"/>
        <v>134.80000000000001</v>
      </c>
      <c r="P207" s="64">
        <f t="shared" si="31"/>
        <v>0</v>
      </c>
    </row>
    <row r="208" spans="1:16" x14ac:dyDescent="0.25">
      <c r="A208" t="s">
        <v>2326</v>
      </c>
      <c r="B208" t="s">
        <v>221</v>
      </c>
      <c r="C208" t="s">
        <v>4576</v>
      </c>
      <c r="D208" s="9">
        <v>199.5</v>
      </c>
      <c r="F208" s="9">
        <v>0</v>
      </c>
      <c r="H208" s="77">
        <v>199.5</v>
      </c>
      <c r="I208" s="77">
        <v>19.95</v>
      </c>
      <c r="M208" s="64">
        <f t="shared" si="28"/>
        <v>199.5</v>
      </c>
      <c r="N208" s="64">
        <f t="shared" si="29"/>
        <v>0</v>
      </c>
      <c r="O208" s="64">
        <f t="shared" si="30"/>
        <v>19.950000000000003</v>
      </c>
      <c r="P208" s="64">
        <f t="shared" si="31"/>
        <v>0</v>
      </c>
    </row>
    <row r="209" spans="1:16" x14ac:dyDescent="0.25">
      <c r="A209" t="s">
        <v>668</v>
      </c>
      <c r="B209" t="s">
        <v>191</v>
      </c>
      <c r="C209" t="s">
        <v>4065</v>
      </c>
      <c r="D209" s="9">
        <v>7595.2000000000007</v>
      </c>
      <c r="E209" s="9">
        <v>30926.3</v>
      </c>
      <c r="F209" s="9">
        <v>531.69999999999993</v>
      </c>
      <c r="G209" s="9">
        <v>751.40000000000009</v>
      </c>
      <c r="H209" s="77">
        <v>37238.400000000001</v>
      </c>
      <c r="I209" s="77">
        <v>3723.84</v>
      </c>
      <c r="M209" s="64">
        <f t="shared" si="28"/>
        <v>37238.400000000001</v>
      </c>
      <c r="N209" s="64">
        <f t="shared" si="29"/>
        <v>0</v>
      </c>
      <c r="O209" s="64">
        <f t="shared" si="30"/>
        <v>3723.84</v>
      </c>
      <c r="P209" s="64">
        <f t="shared" si="31"/>
        <v>0</v>
      </c>
    </row>
    <row r="210" spans="1:16" x14ac:dyDescent="0.25">
      <c r="A210" t="s">
        <v>34</v>
      </c>
      <c r="B210" t="s">
        <v>191</v>
      </c>
      <c r="C210" t="s">
        <v>4171</v>
      </c>
      <c r="D210" s="9">
        <v>15111.920000000002</v>
      </c>
      <c r="E210" s="9">
        <v>21703.27</v>
      </c>
      <c r="F210" s="9">
        <v>159.79999999999998</v>
      </c>
      <c r="G210" s="9">
        <v>903.2</v>
      </c>
      <c r="H210" s="77">
        <v>35752.19</v>
      </c>
      <c r="I210" s="77">
        <v>3575.2300000000005</v>
      </c>
      <c r="M210" s="64">
        <f t="shared" si="28"/>
        <v>35752.19</v>
      </c>
      <c r="N210" s="64">
        <f t="shared" si="29"/>
        <v>0</v>
      </c>
      <c r="O210" s="64">
        <f t="shared" si="30"/>
        <v>3575.2190000000005</v>
      </c>
      <c r="P210" s="64">
        <f t="shared" si="31"/>
        <v>1.0999999999967258E-2</v>
      </c>
    </row>
    <row r="211" spans="1:16" x14ac:dyDescent="0.25">
      <c r="A211" t="s">
        <v>309</v>
      </c>
      <c r="B211" t="s">
        <v>191</v>
      </c>
      <c r="C211" t="s">
        <v>4215</v>
      </c>
      <c r="D211" s="9">
        <v>2502.9</v>
      </c>
      <c r="E211" s="9">
        <v>4624.9000000000005</v>
      </c>
      <c r="F211" s="9">
        <v>9.3000000000000007</v>
      </c>
      <c r="G211" s="9">
        <v>156.1</v>
      </c>
      <c r="H211" s="77">
        <v>6962.4</v>
      </c>
      <c r="I211" s="77">
        <v>696.24</v>
      </c>
      <c r="M211" s="64">
        <f t="shared" si="28"/>
        <v>6962.4000000000005</v>
      </c>
      <c r="N211" s="64">
        <f t="shared" si="29"/>
        <v>0</v>
      </c>
      <c r="O211" s="64">
        <f t="shared" si="30"/>
        <v>696.24000000000012</v>
      </c>
      <c r="P211" s="64">
        <f t="shared" si="31"/>
        <v>0</v>
      </c>
    </row>
    <row r="212" spans="1:16" x14ac:dyDescent="0.25">
      <c r="A212" t="s">
        <v>670</v>
      </c>
      <c r="B212" t="s">
        <v>191</v>
      </c>
      <c r="C212" t="s">
        <v>4115</v>
      </c>
      <c r="D212" s="9">
        <v>1440.8000000000002</v>
      </c>
      <c r="E212" s="9">
        <v>660.90000000000009</v>
      </c>
      <c r="F212" s="9">
        <v>0</v>
      </c>
      <c r="G212" s="9">
        <v>0</v>
      </c>
      <c r="H212" s="77">
        <v>2101.7000000000003</v>
      </c>
      <c r="I212" s="77">
        <v>210.17000000000002</v>
      </c>
      <c r="M212" s="64">
        <f t="shared" si="28"/>
        <v>2101.7000000000003</v>
      </c>
      <c r="N212" s="64">
        <f t="shared" si="29"/>
        <v>0</v>
      </c>
      <c r="O212" s="64">
        <f t="shared" si="30"/>
        <v>210.17000000000004</v>
      </c>
      <c r="P212" s="64">
        <f t="shared" si="31"/>
        <v>0</v>
      </c>
    </row>
    <row r="213" spans="1:16" x14ac:dyDescent="0.25">
      <c r="A213" t="s">
        <v>2402</v>
      </c>
      <c r="B213" t="s">
        <v>191</v>
      </c>
      <c r="C213" t="s">
        <v>4320</v>
      </c>
      <c r="D213" s="9">
        <v>231.5</v>
      </c>
      <c r="E213" s="9">
        <v>491.20000000000005</v>
      </c>
      <c r="F213" s="9">
        <v>0</v>
      </c>
      <c r="G213" s="9">
        <v>0</v>
      </c>
      <c r="H213" s="77">
        <v>722.7</v>
      </c>
      <c r="I213" s="77">
        <v>72.27000000000001</v>
      </c>
      <c r="M213" s="64">
        <f t="shared" si="28"/>
        <v>722.7</v>
      </c>
      <c r="N213" s="64">
        <f t="shared" si="29"/>
        <v>0</v>
      </c>
      <c r="O213" s="64">
        <f t="shared" si="30"/>
        <v>72.27000000000001</v>
      </c>
      <c r="P213" s="64">
        <f t="shared" si="31"/>
        <v>0</v>
      </c>
    </row>
    <row r="214" spans="1:16" x14ac:dyDescent="0.25">
      <c r="A214" t="s">
        <v>669</v>
      </c>
      <c r="B214" t="s">
        <v>191</v>
      </c>
      <c r="C214" t="s">
        <v>4414</v>
      </c>
      <c r="D214" s="9">
        <v>45</v>
      </c>
      <c r="E214" s="9">
        <v>402.8</v>
      </c>
      <c r="F214" s="9">
        <v>0</v>
      </c>
      <c r="G214" s="9">
        <v>0</v>
      </c>
      <c r="H214" s="77">
        <v>447.8</v>
      </c>
      <c r="I214" s="77">
        <v>44.78</v>
      </c>
      <c r="M214" s="64">
        <f t="shared" si="28"/>
        <v>447.8</v>
      </c>
      <c r="N214" s="64">
        <f t="shared" si="29"/>
        <v>0</v>
      </c>
      <c r="O214" s="64">
        <f t="shared" si="30"/>
        <v>44.78</v>
      </c>
      <c r="P214" s="64">
        <f t="shared" si="31"/>
        <v>0</v>
      </c>
    </row>
    <row r="215" spans="1:16" x14ac:dyDescent="0.25">
      <c r="A215" t="s">
        <v>34</v>
      </c>
      <c r="B215" t="s">
        <v>192</v>
      </c>
      <c r="C215" t="s">
        <v>4172</v>
      </c>
      <c r="D215" s="9">
        <v>15363.8</v>
      </c>
      <c r="E215" s="9">
        <v>50877.8</v>
      </c>
      <c r="F215" s="9">
        <v>212.6</v>
      </c>
      <c r="G215" s="9">
        <v>4373.8</v>
      </c>
      <c r="H215" s="77">
        <v>61655.19999999999</v>
      </c>
      <c r="I215" s="77">
        <v>6165.52</v>
      </c>
      <c r="M215" s="64">
        <f t="shared" si="28"/>
        <v>61655.199999999997</v>
      </c>
      <c r="N215" s="64">
        <f t="shared" si="29"/>
        <v>0</v>
      </c>
      <c r="O215" s="64">
        <f t="shared" si="30"/>
        <v>6165.52</v>
      </c>
      <c r="P215" s="64">
        <f t="shared" si="31"/>
        <v>0</v>
      </c>
    </row>
    <row r="216" spans="1:16" x14ac:dyDescent="0.25">
      <c r="A216" t="s">
        <v>334</v>
      </c>
      <c r="B216" t="s">
        <v>192</v>
      </c>
      <c r="C216" t="s">
        <v>4074</v>
      </c>
      <c r="D216" s="9">
        <v>32071.8</v>
      </c>
      <c r="E216" s="9">
        <v>3039.5</v>
      </c>
      <c r="F216" s="9">
        <v>4.2</v>
      </c>
      <c r="G216" s="9">
        <v>79.2</v>
      </c>
      <c r="H216" s="77">
        <v>35027.9</v>
      </c>
      <c r="I216" s="77">
        <v>3502.79</v>
      </c>
      <c r="M216" s="64">
        <f t="shared" si="28"/>
        <v>35027.900000000009</v>
      </c>
      <c r="N216" s="64">
        <f t="shared" si="29"/>
        <v>0</v>
      </c>
      <c r="O216" s="64">
        <f t="shared" si="30"/>
        <v>3502.7900000000009</v>
      </c>
      <c r="P216" s="64">
        <f t="shared" si="31"/>
        <v>0</v>
      </c>
    </row>
    <row r="217" spans="1:16" x14ac:dyDescent="0.25">
      <c r="A217" s="19" t="s">
        <v>466</v>
      </c>
      <c r="B217" s="19" t="s">
        <v>192</v>
      </c>
      <c r="C217" s="19" t="s">
        <v>4435</v>
      </c>
      <c r="D217" s="9">
        <v>2274.1</v>
      </c>
      <c r="E217" s="9">
        <v>153.1</v>
      </c>
      <c r="F217" s="9">
        <v>0</v>
      </c>
      <c r="G217" s="9">
        <v>0</v>
      </c>
      <c r="H217" s="77">
        <v>2427.1999999999998</v>
      </c>
      <c r="I217" s="77">
        <v>242.72</v>
      </c>
      <c r="M217" s="64">
        <f t="shared" si="28"/>
        <v>2427.1999999999998</v>
      </c>
      <c r="N217" s="64">
        <f t="shared" si="29"/>
        <v>0</v>
      </c>
      <c r="O217" s="64">
        <f t="shared" si="30"/>
        <v>242.72</v>
      </c>
      <c r="P217" s="64">
        <f t="shared" si="31"/>
        <v>0</v>
      </c>
    </row>
    <row r="218" spans="1:16" x14ac:dyDescent="0.25">
      <c r="A218" t="s">
        <v>2309</v>
      </c>
      <c r="B218" t="s">
        <v>192</v>
      </c>
      <c r="C218" t="s">
        <v>4412</v>
      </c>
      <c r="D218" s="9">
        <v>247.2</v>
      </c>
      <c r="E218" s="9">
        <v>1226.2</v>
      </c>
      <c r="F218" s="9">
        <v>0</v>
      </c>
      <c r="G218" s="9">
        <v>0</v>
      </c>
      <c r="H218" s="77">
        <v>1473.4</v>
      </c>
      <c r="I218" s="77">
        <v>147.34</v>
      </c>
      <c r="M218" s="64">
        <f t="shared" si="28"/>
        <v>1473.4</v>
      </c>
      <c r="N218" s="64">
        <f t="shared" si="29"/>
        <v>0</v>
      </c>
      <c r="O218" s="64">
        <f t="shared" si="30"/>
        <v>147.34</v>
      </c>
      <c r="P218" s="64">
        <f t="shared" si="31"/>
        <v>0</v>
      </c>
    </row>
    <row r="219" spans="1:16" x14ac:dyDescent="0.25">
      <c r="A219" s="19" t="s">
        <v>465</v>
      </c>
      <c r="B219" s="19" t="s">
        <v>192</v>
      </c>
      <c r="C219" s="19" t="s">
        <v>4325</v>
      </c>
      <c r="D219" s="9">
        <v>140.5</v>
      </c>
      <c r="E219" s="9">
        <v>587.1</v>
      </c>
      <c r="F219" s="9">
        <v>0</v>
      </c>
      <c r="G219" s="9">
        <v>0</v>
      </c>
      <c r="H219" s="77">
        <v>727.6</v>
      </c>
      <c r="I219" s="77">
        <v>72.760000000000005</v>
      </c>
      <c r="M219" s="64">
        <f t="shared" si="28"/>
        <v>727.6</v>
      </c>
      <c r="N219" s="64">
        <f t="shared" si="29"/>
        <v>0</v>
      </c>
      <c r="O219" s="64">
        <f t="shared" si="30"/>
        <v>72.760000000000005</v>
      </c>
      <c r="P219" s="64">
        <f t="shared" si="31"/>
        <v>0</v>
      </c>
    </row>
    <row r="220" spans="1:16" x14ac:dyDescent="0.25">
      <c r="A220" s="19" t="s">
        <v>2036</v>
      </c>
      <c r="B220" s="19" t="s">
        <v>130</v>
      </c>
      <c r="C220" s="19" t="s">
        <v>4264</v>
      </c>
      <c r="D220" s="9">
        <v>36684.25</v>
      </c>
      <c r="E220" s="9">
        <v>37189.01</v>
      </c>
      <c r="F220" s="9">
        <v>1439.8999999999999</v>
      </c>
      <c r="G220" s="9">
        <v>3340.3</v>
      </c>
      <c r="H220" s="77">
        <v>69093.06</v>
      </c>
      <c r="I220" s="77">
        <v>6909.3</v>
      </c>
      <c r="M220" s="64">
        <f t="shared" si="28"/>
        <v>69093.060000000012</v>
      </c>
      <c r="N220" s="64">
        <f t="shared" si="29"/>
        <v>0</v>
      </c>
      <c r="O220" s="64">
        <f t="shared" si="30"/>
        <v>6909.3060000000014</v>
      </c>
      <c r="P220" s="64">
        <f t="shared" si="31"/>
        <v>-6.0000000012223609E-3</v>
      </c>
    </row>
    <row r="221" spans="1:16" x14ac:dyDescent="0.25">
      <c r="A221" t="s">
        <v>34</v>
      </c>
      <c r="B221" t="s">
        <v>35</v>
      </c>
      <c r="C221" t="s">
        <v>4173</v>
      </c>
      <c r="D221" s="9">
        <v>15504.5</v>
      </c>
      <c r="E221" s="9">
        <v>13954</v>
      </c>
      <c r="F221" s="9">
        <v>720.2</v>
      </c>
      <c r="G221" s="9">
        <v>1078.5999999999999</v>
      </c>
      <c r="H221" s="77">
        <v>27659.699999999997</v>
      </c>
      <c r="I221" s="77">
        <v>2765.97</v>
      </c>
      <c r="M221" s="64">
        <f t="shared" si="28"/>
        <v>27659.7</v>
      </c>
      <c r="N221" s="64">
        <f t="shared" si="29"/>
        <v>0</v>
      </c>
      <c r="O221" s="64">
        <f t="shared" si="30"/>
        <v>2765.9700000000003</v>
      </c>
      <c r="P221" s="64">
        <f t="shared" si="31"/>
        <v>0</v>
      </c>
    </row>
    <row r="222" spans="1:16" x14ac:dyDescent="0.25">
      <c r="A222" t="s">
        <v>325</v>
      </c>
      <c r="B222" t="s">
        <v>35</v>
      </c>
      <c r="C222" t="s">
        <v>4124</v>
      </c>
      <c r="D222" s="9">
        <v>1964.6</v>
      </c>
      <c r="E222" s="9">
        <v>4626.8</v>
      </c>
      <c r="F222" s="9">
        <v>0</v>
      </c>
      <c r="G222" s="9">
        <v>0</v>
      </c>
      <c r="H222" s="77">
        <v>6591.4</v>
      </c>
      <c r="I222" s="77">
        <v>659.14</v>
      </c>
      <c r="M222" s="64">
        <f t="shared" si="28"/>
        <v>6591.4</v>
      </c>
      <c r="N222" s="64">
        <f t="shared" si="29"/>
        <v>0</v>
      </c>
      <c r="O222" s="64">
        <f t="shared" si="30"/>
        <v>659.14</v>
      </c>
      <c r="P222" s="64">
        <f t="shared" si="31"/>
        <v>0</v>
      </c>
    </row>
    <row r="223" spans="1:16" x14ac:dyDescent="0.25">
      <c r="A223" s="19" t="s">
        <v>2059</v>
      </c>
      <c r="B223" s="19" t="s">
        <v>35</v>
      </c>
      <c r="C223" s="19" t="s">
        <v>4210</v>
      </c>
      <c r="D223" s="9">
        <v>2754</v>
      </c>
      <c r="E223" s="9">
        <v>2737.5</v>
      </c>
      <c r="F223" s="9">
        <v>0</v>
      </c>
      <c r="G223" s="9">
        <v>0</v>
      </c>
      <c r="H223" s="77">
        <v>5491.5</v>
      </c>
      <c r="I223" s="77">
        <v>549.15</v>
      </c>
      <c r="M223" s="64">
        <f t="shared" si="28"/>
        <v>5491.5</v>
      </c>
      <c r="N223" s="64">
        <f t="shared" si="29"/>
        <v>0</v>
      </c>
      <c r="O223" s="64">
        <f t="shared" si="30"/>
        <v>549.15</v>
      </c>
      <c r="P223" s="64">
        <f t="shared" si="31"/>
        <v>0</v>
      </c>
    </row>
    <row r="224" spans="1:16" x14ac:dyDescent="0.25">
      <c r="A224" t="s">
        <v>217</v>
      </c>
      <c r="B224" t="s">
        <v>35</v>
      </c>
      <c r="C224" t="s">
        <v>4093</v>
      </c>
      <c r="D224" s="9">
        <v>2079.9</v>
      </c>
      <c r="E224" s="9">
        <v>995.3</v>
      </c>
      <c r="F224" s="9">
        <v>0</v>
      </c>
      <c r="G224" s="9">
        <v>0</v>
      </c>
      <c r="H224" s="77">
        <v>3075.2</v>
      </c>
      <c r="I224" s="77">
        <v>307.52</v>
      </c>
      <c r="M224" s="64">
        <f t="shared" si="28"/>
        <v>3075.2</v>
      </c>
      <c r="N224" s="64">
        <f t="shared" si="29"/>
        <v>0</v>
      </c>
      <c r="O224" s="64">
        <f t="shared" si="30"/>
        <v>307.52</v>
      </c>
      <c r="P224" s="64">
        <f t="shared" si="31"/>
        <v>0</v>
      </c>
    </row>
    <row r="225" spans="1:16" x14ac:dyDescent="0.25">
      <c r="A225" t="s">
        <v>4232</v>
      </c>
      <c r="B225" t="s">
        <v>35</v>
      </c>
      <c r="C225" t="s">
        <v>4585</v>
      </c>
      <c r="D225" s="9">
        <v>10.8</v>
      </c>
      <c r="E225" s="9">
        <v>206.6</v>
      </c>
      <c r="F225" s="9">
        <v>0</v>
      </c>
      <c r="G225" s="9">
        <v>0</v>
      </c>
      <c r="H225" s="77">
        <v>217.4</v>
      </c>
      <c r="I225" s="77">
        <v>21.740000000000002</v>
      </c>
      <c r="M225" s="64">
        <f t="shared" si="28"/>
        <v>217.4</v>
      </c>
      <c r="N225" s="64">
        <f t="shared" si="29"/>
        <v>0</v>
      </c>
      <c r="O225" s="64">
        <f t="shared" si="30"/>
        <v>21.740000000000002</v>
      </c>
      <c r="P225" s="64">
        <f t="shared" si="31"/>
        <v>0</v>
      </c>
    </row>
    <row r="226" spans="1:16" x14ac:dyDescent="0.25">
      <c r="A226" t="s">
        <v>34</v>
      </c>
      <c r="B226" t="s">
        <v>131</v>
      </c>
      <c r="C226" t="s">
        <v>4174</v>
      </c>
      <c r="D226" s="9">
        <v>80620.490000000005</v>
      </c>
      <c r="E226" s="9">
        <v>49533.799999999996</v>
      </c>
      <c r="F226" s="9">
        <v>1312.3</v>
      </c>
      <c r="G226" s="9">
        <v>4622.7</v>
      </c>
      <c r="H226" s="77">
        <v>124219.28999999998</v>
      </c>
      <c r="I226" s="77">
        <v>12421.93</v>
      </c>
      <c r="M226" s="64">
        <f t="shared" si="28"/>
        <v>124219.29000000001</v>
      </c>
      <c r="N226" s="64">
        <f t="shared" si="29"/>
        <v>0</v>
      </c>
      <c r="O226" s="64">
        <f t="shared" si="30"/>
        <v>12421.929000000002</v>
      </c>
      <c r="P226" s="64">
        <f t="shared" si="31"/>
        <v>9.9999999838473741E-4</v>
      </c>
    </row>
    <row r="227" spans="1:16" x14ac:dyDescent="0.25">
      <c r="A227" t="s">
        <v>87</v>
      </c>
      <c r="B227" t="s">
        <v>131</v>
      </c>
      <c r="C227" t="s">
        <v>4062</v>
      </c>
      <c r="D227" s="9">
        <v>7359.4</v>
      </c>
      <c r="E227" s="9">
        <v>10222.900000000001</v>
      </c>
      <c r="F227" s="9">
        <v>429.7</v>
      </c>
      <c r="G227" s="9">
        <v>543.29999999999995</v>
      </c>
      <c r="H227" s="77">
        <v>16609.3</v>
      </c>
      <c r="I227" s="77">
        <v>1660.93</v>
      </c>
      <c r="M227" s="64">
        <f t="shared" si="28"/>
        <v>16609.300000000003</v>
      </c>
      <c r="N227" s="64">
        <f t="shared" si="29"/>
        <v>0</v>
      </c>
      <c r="O227" s="64">
        <f t="shared" si="30"/>
        <v>1660.9300000000003</v>
      </c>
      <c r="P227" s="64">
        <f t="shared" si="31"/>
        <v>0</v>
      </c>
    </row>
    <row r="228" spans="1:16" x14ac:dyDescent="0.25">
      <c r="A228" t="s">
        <v>2130</v>
      </c>
      <c r="B228" t="s">
        <v>131</v>
      </c>
      <c r="C228" t="s">
        <v>4554</v>
      </c>
      <c r="D228" s="9">
        <v>154.1</v>
      </c>
      <c r="E228" s="9">
        <v>1086.7</v>
      </c>
      <c r="F228" s="9">
        <v>0</v>
      </c>
      <c r="G228" s="9">
        <v>0</v>
      </c>
      <c r="H228" s="77">
        <v>1240.8</v>
      </c>
      <c r="I228" s="77">
        <v>124.08</v>
      </c>
      <c r="M228" s="64">
        <f t="shared" si="28"/>
        <v>1240.8</v>
      </c>
      <c r="N228" s="64">
        <f t="shared" si="29"/>
        <v>0</v>
      </c>
      <c r="O228" s="64">
        <f t="shared" si="30"/>
        <v>124.08</v>
      </c>
      <c r="P228" s="64">
        <f t="shared" si="31"/>
        <v>0</v>
      </c>
    </row>
    <row r="229" spans="1:16" x14ac:dyDescent="0.25">
      <c r="A229" t="s">
        <v>680</v>
      </c>
      <c r="B229" t="s">
        <v>131</v>
      </c>
      <c r="C229" t="s">
        <v>4423</v>
      </c>
      <c r="D229" s="9">
        <v>663.6</v>
      </c>
      <c r="E229" s="9">
        <v>543.79999999999995</v>
      </c>
      <c r="F229" s="9">
        <v>5.4</v>
      </c>
      <c r="G229" s="9">
        <v>103.3</v>
      </c>
      <c r="H229" s="77">
        <v>1098.7</v>
      </c>
      <c r="I229" s="77">
        <v>109.86999999999999</v>
      </c>
      <c r="M229" s="64">
        <f t="shared" si="28"/>
        <v>1098.7</v>
      </c>
      <c r="N229" s="64">
        <f t="shared" si="29"/>
        <v>0</v>
      </c>
      <c r="O229" s="64">
        <f t="shared" si="30"/>
        <v>109.87</v>
      </c>
      <c r="P229" s="64">
        <f t="shared" si="31"/>
        <v>0</v>
      </c>
    </row>
    <row r="230" spans="1:16" x14ac:dyDescent="0.25">
      <c r="A230" t="s">
        <v>679</v>
      </c>
      <c r="B230" t="s">
        <v>131</v>
      </c>
      <c r="C230" t="s">
        <v>4562</v>
      </c>
      <c r="D230" s="9">
        <v>0.5</v>
      </c>
      <c r="E230" s="9">
        <v>859.3</v>
      </c>
      <c r="F230" s="9">
        <v>0</v>
      </c>
      <c r="G230" s="9">
        <v>0</v>
      </c>
      <c r="H230" s="77">
        <v>859.8</v>
      </c>
      <c r="I230" s="77">
        <v>85.98</v>
      </c>
      <c r="M230" s="64">
        <f t="shared" si="28"/>
        <v>859.8</v>
      </c>
      <c r="N230" s="64">
        <f t="shared" si="29"/>
        <v>0</v>
      </c>
      <c r="O230" s="64">
        <f t="shared" si="30"/>
        <v>85.98</v>
      </c>
      <c r="P230" s="64">
        <f t="shared" si="31"/>
        <v>0</v>
      </c>
    </row>
    <row r="231" spans="1:16" x14ac:dyDescent="0.25">
      <c r="A231" t="s">
        <v>2211</v>
      </c>
      <c r="B231" t="s">
        <v>131</v>
      </c>
      <c r="C231" t="s">
        <v>4424</v>
      </c>
      <c r="D231" s="9">
        <v>0.4</v>
      </c>
      <c r="E231" s="9">
        <v>740.8</v>
      </c>
      <c r="F231" s="9">
        <v>0</v>
      </c>
      <c r="G231" s="9">
        <v>0</v>
      </c>
      <c r="H231" s="77">
        <v>741.19999999999993</v>
      </c>
      <c r="I231" s="77">
        <v>74.12</v>
      </c>
      <c r="M231" s="64">
        <f t="shared" si="28"/>
        <v>741.19999999999993</v>
      </c>
      <c r="N231" s="64">
        <f t="shared" si="29"/>
        <v>0</v>
      </c>
      <c r="O231" s="64">
        <f t="shared" si="30"/>
        <v>74.11999999999999</v>
      </c>
      <c r="P231" s="64">
        <f t="shared" si="31"/>
        <v>0</v>
      </c>
    </row>
    <row r="232" spans="1:16" x14ac:dyDescent="0.25">
      <c r="A232" s="19" t="s">
        <v>380</v>
      </c>
      <c r="B232" s="19" t="s">
        <v>131</v>
      </c>
      <c r="C232" s="19" t="s">
        <v>4104</v>
      </c>
      <c r="D232" s="9">
        <v>408.3</v>
      </c>
      <c r="E232" s="9">
        <v>171.1</v>
      </c>
      <c r="F232" s="9">
        <v>0</v>
      </c>
      <c r="G232" s="9">
        <v>0</v>
      </c>
      <c r="H232" s="77">
        <v>579.4</v>
      </c>
      <c r="I232" s="77">
        <v>57.94</v>
      </c>
      <c r="M232" s="64">
        <f t="shared" si="28"/>
        <v>579.4</v>
      </c>
      <c r="N232" s="64">
        <f t="shared" si="29"/>
        <v>0</v>
      </c>
      <c r="O232" s="64">
        <f t="shared" si="30"/>
        <v>57.94</v>
      </c>
      <c r="P232" s="64">
        <f t="shared" si="31"/>
        <v>0</v>
      </c>
    </row>
    <row r="233" spans="1:16" x14ac:dyDescent="0.25">
      <c r="A233" t="s">
        <v>678</v>
      </c>
      <c r="B233" t="s">
        <v>131</v>
      </c>
      <c r="C233" t="s">
        <v>4085</v>
      </c>
      <c r="D233" s="9">
        <v>5.4</v>
      </c>
      <c r="E233" s="9">
        <v>103.3</v>
      </c>
      <c r="F233" s="9">
        <v>0</v>
      </c>
      <c r="G233" s="9">
        <v>0</v>
      </c>
      <c r="H233" s="77">
        <v>108.7</v>
      </c>
      <c r="I233" s="77">
        <v>10.870000000000001</v>
      </c>
      <c r="M233" s="64">
        <f t="shared" si="28"/>
        <v>108.7</v>
      </c>
      <c r="N233" s="64">
        <f t="shared" si="29"/>
        <v>0</v>
      </c>
      <c r="O233" s="64">
        <f t="shared" si="30"/>
        <v>10.870000000000001</v>
      </c>
      <c r="P233" s="64">
        <f t="shared" si="31"/>
        <v>0</v>
      </c>
    </row>
    <row r="234" spans="1:16" x14ac:dyDescent="0.25">
      <c r="A234" s="128" t="s">
        <v>1883</v>
      </c>
      <c r="B234" s="128" t="s">
        <v>132</v>
      </c>
      <c r="C234" s="128" t="s">
        <v>4265</v>
      </c>
      <c r="D234" s="129">
        <v>200602.26</v>
      </c>
      <c r="E234" s="129">
        <v>247879.19</v>
      </c>
      <c r="F234" s="129">
        <v>15985.859999999997</v>
      </c>
      <c r="G234" s="129">
        <v>14730.080000000002</v>
      </c>
      <c r="H234" s="130">
        <v>417765.51</v>
      </c>
      <c r="I234" s="130">
        <v>41776.589999999997</v>
      </c>
      <c r="J234" t="s">
        <v>4443</v>
      </c>
      <c r="K234" s="9"/>
      <c r="M234" s="64">
        <f t="shared" si="28"/>
        <v>417765.51</v>
      </c>
      <c r="N234" s="64">
        <f t="shared" si="29"/>
        <v>0</v>
      </c>
      <c r="O234" s="64">
        <f t="shared" si="30"/>
        <v>41776.551000000007</v>
      </c>
      <c r="P234" s="64">
        <f t="shared" si="31"/>
        <v>3.8999999989755452E-2</v>
      </c>
    </row>
    <row r="235" spans="1:16" x14ac:dyDescent="0.25">
      <c r="A235" t="s">
        <v>1885</v>
      </c>
      <c r="B235" t="s">
        <v>134</v>
      </c>
      <c r="C235" t="s">
        <v>4266</v>
      </c>
      <c r="D235" s="9">
        <v>60748.939999999995</v>
      </c>
      <c r="E235" s="9">
        <v>81040.10000000002</v>
      </c>
      <c r="F235" s="9">
        <v>6407.9</v>
      </c>
      <c r="G235" s="9">
        <v>15618.499999999998</v>
      </c>
      <c r="H235" s="77">
        <v>119762.64</v>
      </c>
      <c r="I235" s="77">
        <v>11976.25</v>
      </c>
      <c r="M235" s="64">
        <f t="shared" si="28"/>
        <v>119762.64000000001</v>
      </c>
      <c r="N235" s="64">
        <f t="shared" si="29"/>
        <v>0</v>
      </c>
      <c r="O235" s="64">
        <f t="shared" si="30"/>
        <v>11976.264000000003</v>
      </c>
      <c r="P235" s="64">
        <f t="shared" si="31"/>
        <v>-1.4000000002852175E-2</v>
      </c>
    </row>
    <row r="236" spans="1:16" x14ac:dyDescent="0.25">
      <c r="A236" t="s">
        <v>34</v>
      </c>
      <c r="B236" t="s">
        <v>88</v>
      </c>
      <c r="C236" t="s">
        <v>4175</v>
      </c>
      <c r="D236" s="9">
        <v>2743.8</v>
      </c>
      <c r="E236" s="9">
        <v>6164.2</v>
      </c>
      <c r="F236" s="9">
        <v>0</v>
      </c>
      <c r="G236" s="9">
        <v>0</v>
      </c>
      <c r="H236" s="77">
        <v>8908</v>
      </c>
      <c r="I236" s="77">
        <v>890.80000000000007</v>
      </c>
      <c r="M236" s="64">
        <f t="shared" si="28"/>
        <v>8908</v>
      </c>
      <c r="N236" s="64">
        <f t="shared" si="29"/>
        <v>0</v>
      </c>
      <c r="O236" s="64">
        <f t="shared" si="30"/>
        <v>890.80000000000007</v>
      </c>
      <c r="P236" s="64">
        <f t="shared" si="31"/>
        <v>0</v>
      </c>
    </row>
    <row r="237" spans="1:16" x14ac:dyDescent="0.25">
      <c r="A237" t="s">
        <v>1887</v>
      </c>
      <c r="B237" t="s">
        <v>88</v>
      </c>
      <c r="C237" t="s">
        <v>4134</v>
      </c>
      <c r="D237" s="9">
        <v>207.6</v>
      </c>
      <c r="F237" s="9">
        <v>0</v>
      </c>
      <c r="H237" s="77">
        <v>207.6</v>
      </c>
      <c r="I237" s="77">
        <v>20.759999999999998</v>
      </c>
      <c r="M237" s="64">
        <f t="shared" si="28"/>
        <v>207.6</v>
      </c>
      <c r="N237" s="64">
        <f t="shared" si="29"/>
        <v>0</v>
      </c>
      <c r="O237" s="64">
        <f t="shared" si="30"/>
        <v>20.76</v>
      </c>
      <c r="P237" s="64">
        <f t="shared" si="31"/>
        <v>0</v>
      </c>
    </row>
    <row r="238" spans="1:16" x14ac:dyDescent="0.25">
      <c r="A238" t="s">
        <v>34</v>
      </c>
      <c r="B238" t="s">
        <v>141</v>
      </c>
      <c r="C238" t="s">
        <v>4176</v>
      </c>
      <c r="D238" s="9">
        <v>11693</v>
      </c>
      <c r="E238" s="9">
        <v>25453.5</v>
      </c>
      <c r="F238" s="9">
        <v>1040</v>
      </c>
      <c r="G238" s="9">
        <v>1814.7</v>
      </c>
      <c r="H238" s="77">
        <v>34291.800000000003</v>
      </c>
      <c r="I238" s="77">
        <v>3429.1800000000003</v>
      </c>
      <c r="M238" s="64"/>
      <c r="N238" s="64"/>
      <c r="O238" s="64"/>
      <c r="P238" s="64"/>
    </row>
    <row r="239" spans="1:16" x14ac:dyDescent="0.25">
      <c r="A239" t="s">
        <v>2239</v>
      </c>
      <c r="B239" t="s">
        <v>141</v>
      </c>
      <c r="C239" t="s">
        <v>4100</v>
      </c>
      <c r="D239" s="9">
        <v>859.9</v>
      </c>
      <c r="E239" s="9">
        <v>1609.9</v>
      </c>
      <c r="F239" s="9">
        <v>699.3</v>
      </c>
      <c r="G239" s="9">
        <v>516.70000000000005</v>
      </c>
      <c r="H239" s="77">
        <v>1253.8</v>
      </c>
      <c r="I239" s="77">
        <v>125.38</v>
      </c>
      <c r="M239" s="64">
        <f t="shared" ref="M239:M270" si="32">D239+E239-F239-G239</f>
        <v>1253.8000000000002</v>
      </c>
      <c r="N239" s="64">
        <f t="shared" ref="N239:N270" si="33">H239-M239</f>
        <v>0</v>
      </c>
      <c r="O239" s="64">
        <f t="shared" ref="O239:O270" si="34">M239*0.1</f>
        <v>125.38000000000002</v>
      </c>
      <c r="P239" s="64">
        <f t="shared" ref="P239:P270" si="35">I239-O239</f>
        <v>0</v>
      </c>
    </row>
    <row r="240" spans="1:16" x14ac:dyDescent="0.25">
      <c r="A240" t="s">
        <v>470</v>
      </c>
      <c r="B240" t="s">
        <v>141</v>
      </c>
      <c r="C240" t="s">
        <v>4075</v>
      </c>
      <c r="D240" s="9">
        <v>118.7</v>
      </c>
      <c r="E240" s="9">
        <v>415.6</v>
      </c>
      <c r="F240" s="9">
        <v>39</v>
      </c>
      <c r="G240" s="9">
        <v>0</v>
      </c>
      <c r="H240" s="77">
        <v>495.3</v>
      </c>
      <c r="I240" s="77">
        <v>49.53</v>
      </c>
      <c r="M240" s="64">
        <f t="shared" si="32"/>
        <v>495.30000000000007</v>
      </c>
      <c r="N240" s="64">
        <f t="shared" si="33"/>
        <v>0</v>
      </c>
      <c r="O240" s="64">
        <f t="shared" si="34"/>
        <v>49.530000000000008</v>
      </c>
      <c r="P240" s="64">
        <f t="shared" si="35"/>
        <v>0</v>
      </c>
    </row>
    <row r="241" spans="1:16" x14ac:dyDescent="0.25">
      <c r="A241" t="s">
        <v>2244</v>
      </c>
      <c r="B241" t="s">
        <v>141</v>
      </c>
      <c r="C241" t="s">
        <v>4107</v>
      </c>
      <c r="D241" s="9">
        <v>236.7</v>
      </c>
      <c r="E241" s="9">
        <v>58.300000000000004</v>
      </c>
      <c r="F241" s="9">
        <v>0.8</v>
      </c>
      <c r="G241" s="9">
        <v>9.6</v>
      </c>
      <c r="H241" s="77">
        <v>284.60000000000002</v>
      </c>
      <c r="I241" s="77">
        <v>28.46</v>
      </c>
      <c r="M241" s="64">
        <f t="shared" si="32"/>
        <v>284.59999999999997</v>
      </c>
      <c r="N241" s="64">
        <f t="shared" si="33"/>
        <v>0</v>
      </c>
      <c r="O241" s="64">
        <f t="shared" si="34"/>
        <v>28.459999999999997</v>
      </c>
      <c r="P241" s="64">
        <f t="shared" si="35"/>
        <v>0</v>
      </c>
    </row>
    <row r="242" spans="1:16" x14ac:dyDescent="0.25">
      <c r="A242" t="s">
        <v>2002</v>
      </c>
      <c r="B242" t="s">
        <v>135</v>
      </c>
      <c r="C242" t="s">
        <v>4201</v>
      </c>
      <c r="D242" s="9">
        <v>55824</v>
      </c>
      <c r="E242" s="9">
        <v>53326.400000000001</v>
      </c>
      <c r="F242" s="9">
        <v>0</v>
      </c>
      <c r="G242" s="9">
        <v>0</v>
      </c>
      <c r="H242" s="77">
        <v>109150.39999999999</v>
      </c>
      <c r="I242" s="77">
        <v>10915.04</v>
      </c>
      <c r="M242" s="64">
        <f t="shared" si="32"/>
        <v>109150.39999999999</v>
      </c>
      <c r="N242" s="64">
        <f t="shared" si="33"/>
        <v>0</v>
      </c>
      <c r="O242" s="64">
        <f t="shared" si="34"/>
        <v>10915.04</v>
      </c>
      <c r="P242" s="64">
        <f t="shared" si="35"/>
        <v>0</v>
      </c>
    </row>
    <row r="243" spans="1:16" x14ac:dyDescent="0.25">
      <c r="A243" t="s">
        <v>34</v>
      </c>
      <c r="B243" t="s">
        <v>135</v>
      </c>
      <c r="C243" t="s">
        <v>4177</v>
      </c>
      <c r="D243" s="9">
        <v>8080.5</v>
      </c>
      <c r="E243" s="9">
        <v>13098</v>
      </c>
      <c r="F243" s="9">
        <v>1457.1000000000001</v>
      </c>
      <c r="G243" s="9">
        <v>6857.8</v>
      </c>
      <c r="H243" s="77">
        <v>12863.6</v>
      </c>
      <c r="I243" s="77">
        <v>1286.3499999999999</v>
      </c>
      <c r="M243" s="64">
        <f t="shared" si="32"/>
        <v>12863.600000000002</v>
      </c>
      <c r="N243" s="64">
        <f t="shared" si="33"/>
        <v>0</v>
      </c>
      <c r="O243" s="64">
        <f t="shared" si="34"/>
        <v>1286.3600000000004</v>
      </c>
      <c r="P243" s="64">
        <f t="shared" si="35"/>
        <v>-1.0000000000445652E-2</v>
      </c>
    </row>
    <row r="244" spans="1:16" x14ac:dyDescent="0.25">
      <c r="A244" s="19" t="s">
        <v>2213</v>
      </c>
      <c r="B244" s="19" t="s">
        <v>135</v>
      </c>
      <c r="C244" s="19" t="s">
        <v>4203</v>
      </c>
      <c r="D244" s="9">
        <v>2041.1</v>
      </c>
      <c r="E244" s="9">
        <v>1849.6</v>
      </c>
      <c r="F244" s="9">
        <v>0</v>
      </c>
      <c r="G244" s="9">
        <v>0</v>
      </c>
      <c r="H244" s="77">
        <v>3890.7</v>
      </c>
      <c r="I244" s="77">
        <v>389.06999999999994</v>
      </c>
      <c r="M244" s="64">
        <f t="shared" si="32"/>
        <v>3890.7</v>
      </c>
      <c r="N244" s="64">
        <f t="shared" si="33"/>
        <v>0</v>
      </c>
      <c r="O244" s="64">
        <f t="shared" si="34"/>
        <v>389.07</v>
      </c>
      <c r="P244" s="64">
        <f t="shared" si="35"/>
        <v>0</v>
      </c>
    </row>
    <row r="245" spans="1:16" x14ac:dyDescent="0.25">
      <c r="A245" t="s">
        <v>683</v>
      </c>
      <c r="B245" t="s">
        <v>135</v>
      </c>
      <c r="C245" t="s">
        <v>4570</v>
      </c>
      <c r="D245" s="9">
        <v>249.2</v>
      </c>
      <c r="E245" s="9">
        <v>454.8</v>
      </c>
      <c r="F245" s="9">
        <v>0</v>
      </c>
      <c r="G245" s="9">
        <v>0</v>
      </c>
      <c r="H245" s="77">
        <v>704</v>
      </c>
      <c r="I245" s="77">
        <v>70.400000000000006</v>
      </c>
      <c r="M245" s="64">
        <f t="shared" si="32"/>
        <v>704</v>
      </c>
      <c r="N245" s="64">
        <f t="shared" si="33"/>
        <v>0</v>
      </c>
      <c r="O245" s="64">
        <f t="shared" si="34"/>
        <v>70.400000000000006</v>
      </c>
      <c r="P245" s="64">
        <f t="shared" si="35"/>
        <v>0</v>
      </c>
    </row>
    <row r="246" spans="1:16" x14ac:dyDescent="0.25">
      <c r="A246" t="s">
        <v>2318</v>
      </c>
      <c r="B246" t="s">
        <v>135</v>
      </c>
      <c r="C246" t="s">
        <v>4418</v>
      </c>
      <c r="D246" s="9">
        <v>45</v>
      </c>
      <c r="E246" s="9">
        <v>402.8</v>
      </c>
      <c r="F246" s="9">
        <v>0</v>
      </c>
      <c r="G246" s="9">
        <v>0</v>
      </c>
      <c r="H246" s="77">
        <v>447.8</v>
      </c>
      <c r="I246" s="77">
        <v>44.78</v>
      </c>
      <c r="M246" s="64">
        <f t="shared" si="32"/>
        <v>447.8</v>
      </c>
      <c r="N246" s="64">
        <f t="shared" si="33"/>
        <v>0</v>
      </c>
      <c r="O246" s="64">
        <f t="shared" si="34"/>
        <v>44.78</v>
      </c>
      <c r="P246" s="64">
        <f t="shared" si="35"/>
        <v>0</v>
      </c>
    </row>
    <row r="247" spans="1:16" x14ac:dyDescent="0.25">
      <c r="A247" s="19" t="s">
        <v>2396</v>
      </c>
      <c r="B247" s="19" t="s">
        <v>135</v>
      </c>
      <c r="C247" s="19" t="s">
        <v>4438</v>
      </c>
      <c r="D247" s="9">
        <v>45</v>
      </c>
      <c r="E247" s="9">
        <v>402.8</v>
      </c>
      <c r="F247" s="9">
        <v>0</v>
      </c>
      <c r="G247" s="9">
        <v>0</v>
      </c>
      <c r="H247" s="77">
        <v>447.8</v>
      </c>
      <c r="I247" s="77">
        <v>44.78</v>
      </c>
      <c r="M247" s="64">
        <f t="shared" si="32"/>
        <v>447.8</v>
      </c>
      <c r="N247" s="64">
        <f t="shared" si="33"/>
        <v>0</v>
      </c>
      <c r="O247" s="64">
        <f t="shared" si="34"/>
        <v>44.78</v>
      </c>
      <c r="P247" s="64">
        <f t="shared" si="35"/>
        <v>0</v>
      </c>
    </row>
    <row r="248" spans="1:16" x14ac:dyDescent="0.25">
      <c r="A248" t="s">
        <v>2783</v>
      </c>
      <c r="B248" t="s">
        <v>135</v>
      </c>
      <c r="C248" t="s">
        <v>4556</v>
      </c>
      <c r="D248" s="9">
        <v>9.4</v>
      </c>
      <c r="E248" s="9">
        <v>203.3</v>
      </c>
      <c r="F248" s="9">
        <v>0</v>
      </c>
      <c r="G248" s="9">
        <v>0</v>
      </c>
      <c r="H248" s="77">
        <v>212.70000000000002</v>
      </c>
      <c r="I248" s="77">
        <v>21.27</v>
      </c>
      <c r="M248" s="64">
        <f t="shared" si="32"/>
        <v>212.70000000000002</v>
      </c>
      <c r="N248" s="64">
        <f t="shared" si="33"/>
        <v>0</v>
      </c>
      <c r="O248" s="64">
        <f t="shared" si="34"/>
        <v>21.270000000000003</v>
      </c>
      <c r="P248" s="64">
        <f t="shared" si="35"/>
        <v>0</v>
      </c>
    </row>
    <row r="249" spans="1:16" x14ac:dyDescent="0.25">
      <c r="A249" t="s">
        <v>2597</v>
      </c>
      <c r="B249" t="s">
        <v>135</v>
      </c>
      <c r="C249" t="s">
        <v>4564</v>
      </c>
      <c r="D249" s="9">
        <v>46.2</v>
      </c>
      <c r="E249" s="9">
        <v>103.3</v>
      </c>
      <c r="F249" s="9">
        <v>0</v>
      </c>
      <c r="G249" s="9">
        <v>0</v>
      </c>
      <c r="H249" s="77">
        <v>149.5</v>
      </c>
      <c r="I249" s="77">
        <v>14.95</v>
      </c>
      <c r="M249" s="64">
        <f t="shared" si="32"/>
        <v>149.5</v>
      </c>
      <c r="N249" s="64">
        <f t="shared" si="33"/>
        <v>0</v>
      </c>
      <c r="O249" s="64">
        <f t="shared" si="34"/>
        <v>14.950000000000001</v>
      </c>
      <c r="P249" s="64">
        <f t="shared" si="35"/>
        <v>0</v>
      </c>
    </row>
    <row r="250" spans="1:16" x14ac:dyDescent="0.25">
      <c r="A250" t="s">
        <v>2024</v>
      </c>
      <c r="B250" t="s">
        <v>136</v>
      </c>
      <c r="C250" t="s">
        <v>4268</v>
      </c>
      <c r="D250" s="9">
        <v>91708.69</v>
      </c>
      <c r="E250" s="9">
        <v>86019.280000000028</v>
      </c>
      <c r="F250" s="9">
        <v>1476.6000000000001</v>
      </c>
      <c r="G250" s="9">
        <v>4266.3999999999996</v>
      </c>
      <c r="H250" s="77">
        <v>171984.97000000003</v>
      </c>
      <c r="I250" s="77">
        <v>17198.5</v>
      </c>
      <c r="M250" s="64">
        <f t="shared" si="32"/>
        <v>171984.97000000003</v>
      </c>
      <c r="N250" s="64">
        <f t="shared" si="33"/>
        <v>0</v>
      </c>
      <c r="O250" s="64">
        <f t="shared" si="34"/>
        <v>17198.497000000003</v>
      </c>
      <c r="P250" s="64">
        <f t="shared" si="35"/>
        <v>2.9999999969732016E-3</v>
      </c>
    </row>
    <row r="251" spans="1:16" x14ac:dyDescent="0.25">
      <c r="A251" t="s">
        <v>338</v>
      </c>
      <c r="B251" t="s">
        <v>222</v>
      </c>
      <c r="C251" t="s">
        <v>4546</v>
      </c>
      <c r="D251" s="9">
        <v>1566.6</v>
      </c>
      <c r="E251" s="9">
        <v>1860</v>
      </c>
      <c r="F251" s="9">
        <v>0</v>
      </c>
      <c r="G251" s="9">
        <v>0</v>
      </c>
      <c r="H251" s="77">
        <v>3426.6</v>
      </c>
      <c r="I251" s="77">
        <v>342.65999999999997</v>
      </c>
      <c r="M251" s="64">
        <f t="shared" si="32"/>
        <v>3426.6</v>
      </c>
      <c r="N251" s="64">
        <f t="shared" si="33"/>
        <v>0</v>
      </c>
      <c r="O251" s="64">
        <f t="shared" si="34"/>
        <v>342.66</v>
      </c>
      <c r="P251" s="64">
        <f t="shared" si="35"/>
        <v>0</v>
      </c>
    </row>
    <row r="252" spans="1:16" x14ac:dyDescent="0.25">
      <c r="A252" t="s">
        <v>2797</v>
      </c>
      <c r="B252" t="s">
        <v>137</v>
      </c>
      <c r="C252" t="s">
        <v>4270</v>
      </c>
      <c r="D252" s="9">
        <v>216020.67000000004</v>
      </c>
      <c r="E252" s="9">
        <v>207358.85000000003</v>
      </c>
      <c r="F252" s="9">
        <v>7856.3999999999987</v>
      </c>
      <c r="G252" s="9">
        <v>5267.24</v>
      </c>
      <c r="H252" s="77">
        <v>410255.88</v>
      </c>
      <c r="I252" s="77">
        <v>41025.579999999994</v>
      </c>
      <c r="M252" s="64">
        <f t="shared" si="32"/>
        <v>410255.88000000006</v>
      </c>
      <c r="N252" s="64">
        <f t="shared" si="33"/>
        <v>0</v>
      </c>
      <c r="O252" s="64">
        <f t="shared" si="34"/>
        <v>41025.588000000011</v>
      </c>
      <c r="P252" s="64">
        <f t="shared" si="35"/>
        <v>-8.0000000161817297E-3</v>
      </c>
    </row>
    <row r="253" spans="1:16" x14ac:dyDescent="0.25">
      <c r="A253" t="s">
        <v>229</v>
      </c>
      <c r="B253" t="s">
        <v>188</v>
      </c>
      <c r="C253" t="s">
        <v>4186</v>
      </c>
      <c r="D253" s="9">
        <v>33217.99</v>
      </c>
      <c r="E253" s="9">
        <v>40681.869999999995</v>
      </c>
      <c r="F253" s="9">
        <v>1632.7</v>
      </c>
      <c r="G253" s="9">
        <v>0</v>
      </c>
      <c r="H253" s="77">
        <v>72267.16</v>
      </c>
      <c r="I253" s="77">
        <v>7226.7199999999993</v>
      </c>
      <c r="M253" s="64">
        <f t="shared" si="32"/>
        <v>72267.159999999989</v>
      </c>
      <c r="N253" s="64">
        <f t="shared" si="33"/>
        <v>0</v>
      </c>
      <c r="O253" s="64">
        <f t="shared" si="34"/>
        <v>7226.7159999999994</v>
      </c>
      <c r="P253" s="64">
        <f t="shared" si="35"/>
        <v>3.9999999999054126E-3</v>
      </c>
    </row>
    <row r="254" spans="1:16" x14ac:dyDescent="0.25">
      <c r="A254" t="s">
        <v>34</v>
      </c>
      <c r="B254" t="s">
        <v>188</v>
      </c>
      <c r="C254" t="s">
        <v>4178</v>
      </c>
      <c r="D254" s="9">
        <v>8676.1000000000022</v>
      </c>
      <c r="E254" s="9">
        <v>17436.400000000001</v>
      </c>
      <c r="F254" s="9">
        <v>22.6</v>
      </c>
      <c r="G254" s="9">
        <v>1014.2</v>
      </c>
      <c r="H254" s="77">
        <v>25075.700000000004</v>
      </c>
      <c r="I254" s="77">
        <v>2507.5700000000002</v>
      </c>
      <c r="M254" s="64">
        <f t="shared" si="32"/>
        <v>25075.700000000004</v>
      </c>
      <c r="N254" s="64">
        <f t="shared" si="33"/>
        <v>0</v>
      </c>
      <c r="O254" s="64">
        <f t="shared" si="34"/>
        <v>2507.5700000000006</v>
      </c>
      <c r="P254" s="64">
        <f t="shared" si="35"/>
        <v>0</v>
      </c>
    </row>
    <row r="255" spans="1:16" x14ac:dyDescent="0.25">
      <c r="A255" s="19" t="s">
        <v>2160</v>
      </c>
      <c r="B255" s="19" t="s">
        <v>188</v>
      </c>
      <c r="C255" s="19" t="s">
        <v>4192</v>
      </c>
      <c r="D255" s="9">
        <v>5790.9</v>
      </c>
      <c r="E255" s="9">
        <v>5866.1</v>
      </c>
      <c r="F255" s="9">
        <v>191</v>
      </c>
      <c r="G255" s="9">
        <v>109.4</v>
      </c>
      <c r="H255" s="77">
        <v>11356.599999999999</v>
      </c>
      <c r="I255" s="77">
        <v>1135.6600000000001</v>
      </c>
      <c r="M255" s="64">
        <f t="shared" si="32"/>
        <v>11356.6</v>
      </c>
      <c r="N255" s="64">
        <f t="shared" si="33"/>
        <v>0</v>
      </c>
      <c r="O255" s="64">
        <f t="shared" si="34"/>
        <v>1135.6600000000001</v>
      </c>
      <c r="P255" s="64">
        <f t="shared" si="35"/>
        <v>0</v>
      </c>
    </row>
    <row r="256" spans="1:16" x14ac:dyDescent="0.25">
      <c r="A256" t="s">
        <v>383</v>
      </c>
      <c r="B256" t="s">
        <v>188</v>
      </c>
      <c r="C256" t="s">
        <v>4212</v>
      </c>
      <c r="D256" s="9">
        <v>2501.6000000000004</v>
      </c>
      <c r="E256" s="9">
        <v>3640.5999999999995</v>
      </c>
      <c r="F256" s="9">
        <v>0</v>
      </c>
      <c r="G256" s="9">
        <v>0</v>
      </c>
      <c r="H256" s="77">
        <v>6142.2</v>
      </c>
      <c r="I256" s="77">
        <v>614.22</v>
      </c>
      <c r="M256" s="64">
        <f t="shared" si="32"/>
        <v>6142.2</v>
      </c>
      <c r="N256" s="64">
        <f t="shared" si="33"/>
        <v>0</v>
      </c>
      <c r="O256" s="64">
        <f t="shared" si="34"/>
        <v>614.22</v>
      </c>
      <c r="P256" s="64">
        <f t="shared" si="35"/>
        <v>0</v>
      </c>
    </row>
    <row r="257" spans="1:16" x14ac:dyDescent="0.25">
      <c r="A257" t="s">
        <v>384</v>
      </c>
      <c r="B257" t="s">
        <v>188</v>
      </c>
      <c r="C257" t="s">
        <v>4220</v>
      </c>
      <c r="D257" s="9">
        <v>974.09999999999991</v>
      </c>
      <c r="E257" s="9">
        <v>5007.7</v>
      </c>
      <c r="F257" s="9">
        <v>4.4000000000000004</v>
      </c>
      <c r="G257" s="9">
        <v>0</v>
      </c>
      <c r="H257" s="77">
        <v>5977.4</v>
      </c>
      <c r="I257" s="77">
        <v>597.74</v>
      </c>
      <c r="M257" s="64">
        <f t="shared" si="32"/>
        <v>5977.4</v>
      </c>
      <c r="N257" s="64">
        <f t="shared" si="33"/>
        <v>0</v>
      </c>
      <c r="O257" s="64">
        <f t="shared" si="34"/>
        <v>597.74</v>
      </c>
      <c r="P257" s="64">
        <f t="shared" si="35"/>
        <v>0</v>
      </c>
    </row>
    <row r="258" spans="1:16" x14ac:dyDescent="0.25">
      <c r="A258" t="s">
        <v>85</v>
      </c>
      <c r="B258" t="s">
        <v>188</v>
      </c>
      <c r="C258" t="s">
        <v>4098</v>
      </c>
      <c r="D258" s="9">
        <v>1327.8</v>
      </c>
      <c r="E258" s="9">
        <v>1846.1999999999998</v>
      </c>
      <c r="F258" s="9">
        <v>24.4</v>
      </c>
      <c r="G258" s="9">
        <v>123.7</v>
      </c>
      <c r="H258" s="77">
        <v>3025.8999999999996</v>
      </c>
      <c r="I258" s="77">
        <v>302.59000000000003</v>
      </c>
      <c r="M258" s="64">
        <f t="shared" si="32"/>
        <v>3025.9</v>
      </c>
      <c r="N258" s="64">
        <f t="shared" si="33"/>
        <v>0</v>
      </c>
      <c r="O258" s="64">
        <f t="shared" si="34"/>
        <v>302.59000000000003</v>
      </c>
      <c r="P258" s="64">
        <f t="shared" si="35"/>
        <v>0</v>
      </c>
    </row>
    <row r="259" spans="1:16" x14ac:dyDescent="0.25">
      <c r="A259" t="s">
        <v>2599</v>
      </c>
      <c r="B259" t="s">
        <v>188</v>
      </c>
      <c r="C259" t="s">
        <v>4413</v>
      </c>
      <c r="D259" s="9">
        <v>289.5</v>
      </c>
      <c r="E259" s="9">
        <v>200.3</v>
      </c>
      <c r="F259" s="9">
        <v>0</v>
      </c>
      <c r="G259" s="9">
        <v>0</v>
      </c>
      <c r="H259" s="77">
        <v>489.8</v>
      </c>
      <c r="I259" s="77">
        <v>48.980000000000004</v>
      </c>
      <c r="M259" s="64">
        <f t="shared" si="32"/>
        <v>489.8</v>
      </c>
      <c r="N259" s="64">
        <f t="shared" si="33"/>
        <v>0</v>
      </c>
      <c r="O259" s="64">
        <f t="shared" si="34"/>
        <v>48.980000000000004</v>
      </c>
      <c r="P259" s="64">
        <f t="shared" si="35"/>
        <v>0</v>
      </c>
    </row>
    <row r="260" spans="1:16" ht="13" x14ac:dyDescent="0.3">
      <c r="A260" t="s">
        <v>336</v>
      </c>
      <c r="B260" t="s">
        <v>188</v>
      </c>
      <c r="C260" t="s">
        <v>4055</v>
      </c>
      <c r="D260" s="9">
        <v>5.4</v>
      </c>
      <c r="E260" s="9">
        <v>103.3</v>
      </c>
      <c r="F260" s="9">
        <v>0</v>
      </c>
      <c r="G260" s="9">
        <v>0</v>
      </c>
      <c r="H260" s="77">
        <v>108.7</v>
      </c>
      <c r="I260" s="77">
        <v>10.870000000000001</v>
      </c>
      <c r="J260" s="13"/>
      <c r="M260" s="64">
        <f t="shared" si="32"/>
        <v>108.7</v>
      </c>
      <c r="N260" s="64">
        <f t="shared" si="33"/>
        <v>0</v>
      </c>
      <c r="O260" s="64">
        <f t="shared" si="34"/>
        <v>10.870000000000001</v>
      </c>
      <c r="P260" s="64">
        <f t="shared" si="35"/>
        <v>0</v>
      </c>
    </row>
    <row r="261" spans="1:16" x14ac:dyDescent="0.25">
      <c r="A261" t="s">
        <v>2023</v>
      </c>
      <c r="B261" t="s">
        <v>147</v>
      </c>
      <c r="C261" t="s">
        <v>4271</v>
      </c>
      <c r="D261" s="9">
        <v>42562.09</v>
      </c>
      <c r="E261" s="9">
        <v>81054.729999999981</v>
      </c>
      <c r="F261" s="9">
        <v>2875.9</v>
      </c>
      <c r="G261" s="9">
        <v>5070.1000000000004</v>
      </c>
      <c r="H261" s="77">
        <v>115670.81999999998</v>
      </c>
      <c r="I261" s="77">
        <v>11567.08</v>
      </c>
      <c r="M261" s="64">
        <f t="shared" si="32"/>
        <v>115670.81999999998</v>
      </c>
      <c r="N261" s="64">
        <f t="shared" si="33"/>
        <v>0</v>
      </c>
      <c r="O261" s="64">
        <f t="shared" si="34"/>
        <v>11567.081999999999</v>
      </c>
      <c r="P261" s="64">
        <f t="shared" si="35"/>
        <v>-1.9999999985884642E-3</v>
      </c>
    </row>
    <row r="262" spans="1:16" x14ac:dyDescent="0.25">
      <c r="A262" t="s">
        <v>34</v>
      </c>
      <c r="B262" t="s">
        <v>311</v>
      </c>
      <c r="C262" t="s">
        <v>4179</v>
      </c>
      <c r="D262" s="9">
        <v>2763.7</v>
      </c>
      <c r="E262" s="9">
        <v>1676.6</v>
      </c>
      <c r="F262" s="9">
        <v>0</v>
      </c>
      <c r="G262" s="9">
        <v>0</v>
      </c>
      <c r="H262" s="77">
        <v>4440.2999999999993</v>
      </c>
      <c r="I262" s="77">
        <v>444.03</v>
      </c>
      <c r="M262" s="64">
        <f t="shared" si="32"/>
        <v>4440.2999999999993</v>
      </c>
      <c r="N262" s="64">
        <f t="shared" si="33"/>
        <v>0</v>
      </c>
      <c r="O262" s="64">
        <f t="shared" si="34"/>
        <v>444.03</v>
      </c>
      <c r="P262" s="64">
        <f t="shared" si="35"/>
        <v>0</v>
      </c>
    </row>
    <row r="263" spans="1:16" x14ac:dyDescent="0.25">
      <c r="A263" t="s">
        <v>2310</v>
      </c>
      <c r="B263" t="s">
        <v>311</v>
      </c>
      <c r="C263" t="s">
        <v>4550</v>
      </c>
      <c r="D263" s="9">
        <v>61.2</v>
      </c>
      <c r="E263" s="9">
        <v>712.7</v>
      </c>
      <c r="F263" s="9">
        <v>0</v>
      </c>
      <c r="G263" s="9">
        <v>0</v>
      </c>
      <c r="H263" s="77">
        <v>773.90000000000009</v>
      </c>
      <c r="I263" s="77">
        <v>77.39</v>
      </c>
      <c r="M263" s="64">
        <f t="shared" si="32"/>
        <v>773.90000000000009</v>
      </c>
      <c r="N263" s="64">
        <f t="shared" si="33"/>
        <v>0</v>
      </c>
      <c r="O263" s="64">
        <f t="shared" si="34"/>
        <v>77.390000000000015</v>
      </c>
      <c r="P263" s="64">
        <f t="shared" si="35"/>
        <v>0</v>
      </c>
    </row>
    <row r="264" spans="1:16" x14ac:dyDescent="0.25">
      <c r="A264" t="s">
        <v>34</v>
      </c>
      <c r="B264" t="s">
        <v>13</v>
      </c>
      <c r="C264" t="s">
        <v>4180</v>
      </c>
      <c r="D264" s="9">
        <v>20625.199999999997</v>
      </c>
      <c r="E264" s="9">
        <v>20430.7</v>
      </c>
      <c r="F264" s="9">
        <v>633.29999999999995</v>
      </c>
      <c r="G264" s="9">
        <v>364.8</v>
      </c>
      <c r="H264" s="77">
        <v>40057.800000000003</v>
      </c>
      <c r="I264" s="77">
        <v>4005.78</v>
      </c>
      <c r="M264" s="64">
        <f t="shared" si="32"/>
        <v>40057.799999999988</v>
      </c>
      <c r="N264" s="64">
        <f t="shared" si="33"/>
        <v>0</v>
      </c>
      <c r="O264" s="64">
        <f t="shared" si="34"/>
        <v>4005.7799999999988</v>
      </c>
      <c r="P264" s="64">
        <f t="shared" si="35"/>
        <v>0</v>
      </c>
    </row>
    <row r="265" spans="1:16" x14ac:dyDescent="0.25">
      <c r="A265" s="19" t="s">
        <v>2241</v>
      </c>
      <c r="B265" s="19" t="s">
        <v>13</v>
      </c>
      <c r="C265" s="19" t="s">
        <v>4417</v>
      </c>
      <c r="D265" s="9">
        <v>3390.4</v>
      </c>
      <c r="E265" s="9">
        <v>3624.1000000000004</v>
      </c>
      <c r="F265" s="9">
        <v>0</v>
      </c>
      <c r="G265" s="9">
        <v>0</v>
      </c>
      <c r="H265" s="77">
        <v>7014.5</v>
      </c>
      <c r="I265" s="77">
        <v>701.44999999999993</v>
      </c>
      <c r="M265" s="64">
        <f t="shared" si="32"/>
        <v>7014.5</v>
      </c>
      <c r="N265" s="64">
        <f t="shared" si="33"/>
        <v>0</v>
      </c>
      <c r="O265" s="64">
        <f t="shared" si="34"/>
        <v>701.45</v>
      </c>
      <c r="P265" s="64">
        <f t="shared" si="35"/>
        <v>0</v>
      </c>
    </row>
    <row r="266" spans="1:16" x14ac:dyDescent="0.25">
      <c r="A266" t="s">
        <v>2003</v>
      </c>
      <c r="B266" t="s">
        <v>13</v>
      </c>
      <c r="C266" t="s">
        <v>4582</v>
      </c>
      <c r="D266" s="9">
        <v>779.9</v>
      </c>
      <c r="E266" s="9">
        <v>1199.5999999999999</v>
      </c>
      <c r="F266" s="9">
        <v>0</v>
      </c>
      <c r="G266" s="9">
        <v>0</v>
      </c>
      <c r="H266" s="77">
        <v>1979.5</v>
      </c>
      <c r="I266" s="77">
        <v>197.95000000000002</v>
      </c>
      <c r="M266" s="64">
        <f t="shared" si="32"/>
        <v>1979.5</v>
      </c>
      <c r="N266" s="64">
        <f t="shared" si="33"/>
        <v>0</v>
      </c>
      <c r="O266" s="64">
        <f t="shared" si="34"/>
        <v>197.95000000000002</v>
      </c>
      <c r="P266" s="64">
        <f t="shared" si="35"/>
        <v>0</v>
      </c>
    </row>
    <row r="267" spans="1:16" x14ac:dyDescent="0.25">
      <c r="A267" t="s">
        <v>345</v>
      </c>
      <c r="B267" t="s">
        <v>13</v>
      </c>
      <c r="C267" t="s">
        <v>4322</v>
      </c>
      <c r="D267" s="9">
        <v>891.2</v>
      </c>
      <c r="E267" s="9">
        <v>989.9</v>
      </c>
      <c r="F267" s="9">
        <v>45</v>
      </c>
      <c r="G267" s="9">
        <v>402.8</v>
      </c>
      <c r="H267" s="77">
        <v>1433.3000000000002</v>
      </c>
      <c r="I267" s="77">
        <v>143.32999999999998</v>
      </c>
      <c r="M267" s="64">
        <f t="shared" si="32"/>
        <v>1433.3</v>
      </c>
      <c r="N267" s="64">
        <f t="shared" si="33"/>
        <v>0</v>
      </c>
      <c r="O267" s="64">
        <f t="shared" si="34"/>
        <v>143.33000000000001</v>
      </c>
      <c r="P267" s="64">
        <f t="shared" si="35"/>
        <v>0</v>
      </c>
    </row>
    <row r="268" spans="1:16" x14ac:dyDescent="0.25">
      <c r="A268" t="s">
        <v>2418</v>
      </c>
      <c r="B268" t="s">
        <v>13</v>
      </c>
      <c r="C268" t="s">
        <v>4213</v>
      </c>
      <c r="D268" s="9">
        <v>404.9</v>
      </c>
      <c r="E268" s="9">
        <v>300.5</v>
      </c>
      <c r="F268" s="9">
        <v>0</v>
      </c>
      <c r="G268" s="9">
        <v>0</v>
      </c>
      <c r="H268" s="77">
        <v>705.4</v>
      </c>
      <c r="I268" s="77">
        <v>70.540000000000006</v>
      </c>
      <c r="M268" s="64">
        <f t="shared" si="32"/>
        <v>705.4</v>
      </c>
      <c r="N268" s="64">
        <f t="shared" si="33"/>
        <v>0</v>
      </c>
      <c r="O268" s="64">
        <f t="shared" si="34"/>
        <v>70.540000000000006</v>
      </c>
      <c r="P268" s="64">
        <f t="shared" si="35"/>
        <v>0</v>
      </c>
    </row>
    <row r="269" spans="1:16" x14ac:dyDescent="0.25">
      <c r="A269" t="s">
        <v>2214</v>
      </c>
      <c r="B269" t="s">
        <v>13</v>
      </c>
      <c r="C269" t="s">
        <v>4330</v>
      </c>
      <c r="D269" s="9">
        <v>112.2</v>
      </c>
      <c r="E269" s="9">
        <v>81</v>
      </c>
      <c r="F269" s="9">
        <v>0</v>
      </c>
      <c r="G269" s="9">
        <v>0</v>
      </c>
      <c r="H269" s="77">
        <v>193.2</v>
      </c>
      <c r="I269" s="77">
        <v>19.32</v>
      </c>
      <c r="M269" s="64">
        <f t="shared" si="32"/>
        <v>193.2</v>
      </c>
      <c r="N269" s="64">
        <f t="shared" si="33"/>
        <v>0</v>
      </c>
      <c r="O269" s="64">
        <f t="shared" si="34"/>
        <v>19.32</v>
      </c>
      <c r="P269" s="64">
        <f t="shared" si="35"/>
        <v>0</v>
      </c>
    </row>
    <row r="270" spans="1:16" x14ac:dyDescent="0.25">
      <c r="A270" s="19" t="s">
        <v>2947</v>
      </c>
      <c r="B270" s="19" t="s">
        <v>181</v>
      </c>
      <c r="C270" s="19" t="s">
        <v>4273</v>
      </c>
      <c r="D270" s="9">
        <v>25951</v>
      </c>
      <c r="E270" s="9">
        <v>15943.73</v>
      </c>
      <c r="F270" s="9">
        <v>873.2</v>
      </c>
      <c r="G270" s="9">
        <v>1149.8000000000002</v>
      </c>
      <c r="H270" s="77">
        <v>39871.729999999996</v>
      </c>
      <c r="I270" s="77">
        <v>3987.1699999999996</v>
      </c>
      <c r="M270" s="64">
        <f t="shared" si="32"/>
        <v>39871.729999999996</v>
      </c>
      <c r="N270" s="64">
        <f t="shared" si="33"/>
        <v>0</v>
      </c>
      <c r="O270" s="64">
        <f t="shared" si="34"/>
        <v>3987.1729999999998</v>
      </c>
      <c r="P270" s="64">
        <f t="shared" si="35"/>
        <v>-3.0000000001564331E-3</v>
      </c>
    </row>
    <row r="271" spans="1:16" x14ac:dyDescent="0.25">
      <c r="A271" t="s">
        <v>34</v>
      </c>
      <c r="B271" t="s">
        <v>148</v>
      </c>
      <c r="C271" t="s">
        <v>4181</v>
      </c>
      <c r="D271" s="9">
        <v>43814.87</v>
      </c>
      <c r="E271" s="9">
        <v>32001.8</v>
      </c>
      <c r="F271" s="9">
        <v>2728.7</v>
      </c>
      <c r="G271" s="9">
        <v>1998.6</v>
      </c>
      <c r="H271" s="77">
        <v>71089.37</v>
      </c>
      <c r="I271" s="77">
        <v>7108.93</v>
      </c>
      <c r="M271" s="64">
        <f t="shared" ref="M271:M291" si="36">D271+E271-F271-G271</f>
        <v>71089.37</v>
      </c>
      <c r="N271" s="64">
        <f t="shared" ref="N271:N291" si="37">H271-M271</f>
        <v>0</v>
      </c>
      <c r="O271" s="64">
        <f t="shared" ref="O271:O291" si="38">M271*0.1</f>
        <v>7108.9369999999999</v>
      </c>
      <c r="P271" s="64">
        <f t="shared" ref="P271:P291" si="39">I271-O271</f>
        <v>-6.9999999996070983E-3</v>
      </c>
    </row>
    <row r="272" spans="1:16" x14ac:dyDescent="0.25">
      <c r="A272" t="s">
        <v>207</v>
      </c>
      <c r="B272" t="s">
        <v>148</v>
      </c>
      <c r="C272" t="s">
        <v>4088</v>
      </c>
      <c r="D272" s="9">
        <v>29695.100000000002</v>
      </c>
      <c r="E272" s="9">
        <v>11780.5</v>
      </c>
      <c r="F272" s="9">
        <v>2833.7</v>
      </c>
      <c r="G272" s="9">
        <v>947</v>
      </c>
      <c r="H272" s="77">
        <v>37694.9</v>
      </c>
      <c r="I272" s="77">
        <v>3769.49</v>
      </c>
      <c r="K272" s="9"/>
      <c r="M272" s="64">
        <f t="shared" si="36"/>
        <v>37694.900000000009</v>
      </c>
      <c r="N272" s="64">
        <f t="shared" si="37"/>
        <v>0</v>
      </c>
      <c r="O272" s="64">
        <f t="shared" si="38"/>
        <v>3769.4900000000011</v>
      </c>
      <c r="P272" s="64">
        <f t="shared" si="39"/>
        <v>0</v>
      </c>
    </row>
    <row r="273" spans="1:16" x14ac:dyDescent="0.25">
      <c r="A273" t="s">
        <v>182</v>
      </c>
      <c r="B273" t="s">
        <v>148</v>
      </c>
      <c r="C273" t="s">
        <v>4087</v>
      </c>
      <c r="D273" s="9">
        <v>30586.100000000002</v>
      </c>
      <c r="E273" s="9">
        <v>5327.4</v>
      </c>
      <c r="F273" s="9">
        <v>5043.3</v>
      </c>
      <c r="G273" s="9">
        <v>690</v>
      </c>
      <c r="H273" s="77">
        <v>30180.200000000004</v>
      </c>
      <c r="I273" s="77">
        <v>3018.0199999999995</v>
      </c>
      <c r="M273" s="64">
        <f t="shared" si="36"/>
        <v>30180.2</v>
      </c>
      <c r="N273" s="64">
        <f t="shared" si="37"/>
        <v>0</v>
      </c>
      <c r="O273" s="64">
        <f t="shared" si="38"/>
        <v>3018.0200000000004</v>
      </c>
      <c r="P273" s="64">
        <f t="shared" si="39"/>
        <v>0</v>
      </c>
    </row>
    <row r="274" spans="1:16" x14ac:dyDescent="0.25">
      <c r="A274" t="s">
        <v>2063</v>
      </c>
      <c r="B274" t="s">
        <v>148</v>
      </c>
      <c r="C274" t="s">
        <v>4433</v>
      </c>
      <c r="D274" s="9">
        <v>1495</v>
      </c>
      <c r="E274" s="9">
        <v>929.6</v>
      </c>
      <c r="F274" s="9">
        <v>0</v>
      </c>
      <c r="G274" s="9">
        <v>0</v>
      </c>
      <c r="H274" s="77">
        <v>2424.6</v>
      </c>
      <c r="I274" s="77">
        <v>242.45999999999998</v>
      </c>
      <c r="M274" s="64">
        <f t="shared" si="36"/>
        <v>2424.6</v>
      </c>
      <c r="N274" s="64">
        <f t="shared" si="37"/>
        <v>0</v>
      </c>
      <c r="O274" s="64">
        <f t="shared" si="38"/>
        <v>242.46</v>
      </c>
      <c r="P274" s="64">
        <f t="shared" si="39"/>
        <v>0</v>
      </c>
    </row>
    <row r="275" spans="1:16" x14ac:dyDescent="0.25">
      <c r="A275" t="s">
        <v>183</v>
      </c>
      <c r="B275" t="s">
        <v>148</v>
      </c>
      <c r="C275" t="s">
        <v>4059</v>
      </c>
      <c r="D275" s="9">
        <v>558</v>
      </c>
      <c r="E275" s="9">
        <v>160.1</v>
      </c>
      <c r="F275" s="9">
        <v>0</v>
      </c>
      <c r="G275" s="9">
        <v>0</v>
      </c>
      <c r="H275" s="77">
        <v>718.1</v>
      </c>
      <c r="I275" s="77">
        <v>71.81</v>
      </c>
      <c r="M275" s="64">
        <f t="shared" si="36"/>
        <v>718.1</v>
      </c>
      <c r="N275" s="64">
        <f t="shared" si="37"/>
        <v>0</v>
      </c>
      <c r="O275" s="64">
        <f t="shared" si="38"/>
        <v>71.81</v>
      </c>
      <c r="P275" s="64">
        <f t="shared" si="39"/>
        <v>0</v>
      </c>
    </row>
    <row r="276" spans="1:16" x14ac:dyDescent="0.25">
      <c r="A276" t="s">
        <v>480</v>
      </c>
      <c r="B276" t="s">
        <v>284</v>
      </c>
      <c r="C276" t="s">
        <v>4197</v>
      </c>
      <c r="D276" s="9">
        <v>858.4</v>
      </c>
      <c r="E276" s="9">
        <v>5745.5</v>
      </c>
      <c r="F276" s="9">
        <v>0</v>
      </c>
      <c r="G276" s="9">
        <v>0</v>
      </c>
      <c r="H276" s="77">
        <v>6603.9</v>
      </c>
      <c r="I276" s="77">
        <v>660.39</v>
      </c>
      <c r="M276" s="64">
        <f t="shared" si="36"/>
        <v>6603.9</v>
      </c>
      <c r="N276" s="64">
        <f t="shared" si="37"/>
        <v>0</v>
      </c>
      <c r="O276" s="64">
        <f t="shared" si="38"/>
        <v>660.39</v>
      </c>
      <c r="P276" s="64">
        <f t="shared" si="39"/>
        <v>0</v>
      </c>
    </row>
    <row r="277" spans="1:16" x14ac:dyDescent="0.25">
      <c r="A277" t="s">
        <v>34</v>
      </c>
      <c r="B277" t="s">
        <v>284</v>
      </c>
      <c r="C277" t="s">
        <v>4182</v>
      </c>
      <c r="D277" s="9">
        <v>1794.8</v>
      </c>
      <c r="E277" s="9">
        <v>3764.6</v>
      </c>
      <c r="F277" s="9">
        <v>17.7</v>
      </c>
      <c r="G277" s="9">
        <v>314</v>
      </c>
      <c r="H277" s="77">
        <v>5227.7</v>
      </c>
      <c r="I277" s="77">
        <v>522.77</v>
      </c>
      <c r="M277" s="64">
        <f t="shared" si="36"/>
        <v>5227.7</v>
      </c>
      <c r="N277" s="64">
        <f t="shared" si="37"/>
        <v>0</v>
      </c>
      <c r="O277" s="64">
        <f t="shared" si="38"/>
        <v>522.77</v>
      </c>
      <c r="P277" s="64">
        <f t="shared" si="39"/>
        <v>0</v>
      </c>
    </row>
    <row r="278" spans="1:16" x14ac:dyDescent="0.25">
      <c r="A278" t="s">
        <v>2262</v>
      </c>
      <c r="B278" t="s">
        <v>284</v>
      </c>
      <c r="C278" t="s">
        <v>4338</v>
      </c>
      <c r="D278" s="9">
        <v>415.5</v>
      </c>
      <c r="E278" s="9">
        <v>299.60000000000002</v>
      </c>
      <c r="F278" s="9">
        <v>0</v>
      </c>
      <c r="G278" s="9">
        <v>0</v>
      </c>
      <c r="H278" s="77">
        <v>715.1</v>
      </c>
      <c r="I278" s="77">
        <v>71.509999999999991</v>
      </c>
      <c r="M278" s="64">
        <f t="shared" si="36"/>
        <v>715.1</v>
      </c>
      <c r="N278" s="64">
        <f t="shared" si="37"/>
        <v>0</v>
      </c>
      <c r="O278" s="64">
        <f t="shared" si="38"/>
        <v>71.510000000000005</v>
      </c>
      <c r="P278" s="64">
        <f t="shared" si="39"/>
        <v>0</v>
      </c>
    </row>
    <row r="279" spans="1:16" x14ac:dyDescent="0.25">
      <c r="A279" t="s">
        <v>2181</v>
      </c>
      <c r="B279" t="s">
        <v>284</v>
      </c>
      <c r="C279" t="s">
        <v>4361</v>
      </c>
      <c r="D279" s="9">
        <v>402.8</v>
      </c>
      <c r="E279" s="9">
        <v>142.1</v>
      </c>
      <c r="F279" s="9">
        <v>0</v>
      </c>
      <c r="G279" s="9">
        <v>0</v>
      </c>
      <c r="H279" s="77">
        <v>544.9</v>
      </c>
      <c r="I279" s="77">
        <v>54.49</v>
      </c>
      <c r="M279" s="64">
        <f t="shared" si="36"/>
        <v>544.9</v>
      </c>
      <c r="N279" s="64">
        <f t="shared" si="37"/>
        <v>0</v>
      </c>
      <c r="O279" s="64">
        <f t="shared" si="38"/>
        <v>54.49</v>
      </c>
      <c r="P279" s="64">
        <f t="shared" si="39"/>
        <v>0</v>
      </c>
    </row>
    <row r="280" spans="1:16" x14ac:dyDescent="0.25">
      <c r="A280" t="s">
        <v>692</v>
      </c>
      <c r="B280" t="s">
        <v>284</v>
      </c>
      <c r="C280" s="19" t="s">
        <v>4219</v>
      </c>
      <c r="D280" s="120">
        <v>365.2</v>
      </c>
      <c r="E280" s="120">
        <v>100.1</v>
      </c>
      <c r="F280" s="120">
        <v>0</v>
      </c>
      <c r="G280" s="120">
        <v>0</v>
      </c>
      <c r="H280" s="77">
        <v>465.29999999999995</v>
      </c>
      <c r="I280" s="77">
        <v>46.53</v>
      </c>
      <c r="M280" s="64">
        <f t="shared" si="36"/>
        <v>465.29999999999995</v>
      </c>
      <c r="N280" s="64">
        <f t="shared" si="37"/>
        <v>0</v>
      </c>
      <c r="O280" s="64">
        <f t="shared" si="38"/>
        <v>46.53</v>
      </c>
      <c r="P280" s="64">
        <f t="shared" si="39"/>
        <v>0</v>
      </c>
    </row>
    <row r="281" spans="1:16" x14ac:dyDescent="0.25">
      <c r="A281" t="s">
        <v>2259</v>
      </c>
      <c r="B281" t="s">
        <v>284</v>
      </c>
      <c r="C281" t="s">
        <v>4205</v>
      </c>
      <c r="D281" s="9">
        <v>45</v>
      </c>
      <c r="E281" s="9">
        <v>402.8</v>
      </c>
      <c r="F281" s="9">
        <v>0</v>
      </c>
      <c r="G281" s="9">
        <v>0</v>
      </c>
      <c r="H281" s="77">
        <v>447.8</v>
      </c>
      <c r="I281" s="77">
        <v>44.78</v>
      </c>
      <c r="M281" s="64">
        <f t="shared" si="36"/>
        <v>447.8</v>
      </c>
      <c r="N281" s="64">
        <f t="shared" si="37"/>
        <v>0</v>
      </c>
      <c r="O281" s="64">
        <f t="shared" si="38"/>
        <v>44.78</v>
      </c>
      <c r="P281" s="64">
        <f t="shared" si="39"/>
        <v>0</v>
      </c>
    </row>
    <row r="282" spans="1:16" x14ac:dyDescent="0.25">
      <c r="A282" t="s">
        <v>2237</v>
      </c>
      <c r="B282" t="s">
        <v>284</v>
      </c>
      <c r="C282" t="s">
        <v>4324</v>
      </c>
      <c r="D282" s="9">
        <v>0.3</v>
      </c>
      <c r="E282" s="9">
        <v>2017.4</v>
      </c>
      <c r="F282" s="9">
        <v>146.19999999999999</v>
      </c>
      <c r="G282" s="9">
        <v>1448.7</v>
      </c>
      <c r="H282" s="77">
        <v>422.80000000000007</v>
      </c>
      <c r="I282" s="77">
        <v>42.28</v>
      </c>
      <c r="M282" s="64">
        <f t="shared" si="36"/>
        <v>422.79999999999995</v>
      </c>
      <c r="N282" s="64">
        <f t="shared" si="37"/>
        <v>0</v>
      </c>
      <c r="O282" s="64">
        <f t="shared" si="38"/>
        <v>42.28</v>
      </c>
      <c r="P282" s="64">
        <f t="shared" si="39"/>
        <v>0</v>
      </c>
    </row>
    <row r="283" spans="1:16" x14ac:dyDescent="0.25">
      <c r="A283" t="s">
        <v>387</v>
      </c>
      <c r="B283" t="s">
        <v>284</v>
      </c>
      <c r="C283" t="s">
        <v>4072</v>
      </c>
      <c r="D283" s="9">
        <v>241.9</v>
      </c>
      <c r="E283" s="9">
        <v>169.8</v>
      </c>
      <c r="F283" s="9">
        <v>0</v>
      </c>
      <c r="G283" s="9">
        <v>0</v>
      </c>
      <c r="H283" s="77">
        <v>411.70000000000005</v>
      </c>
      <c r="I283" s="77">
        <v>41.17</v>
      </c>
      <c r="M283" s="64">
        <f t="shared" si="36"/>
        <v>411.70000000000005</v>
      </c>
      <c r="N283" s="64">
        <f t="shared" si="37"/>
        <v>0</v>
      </c>
      <c r="O283" s="64">
        <f t="shared" si="38"/>
        <v>41.170000000000009</v>
      </c>
      <c r="P283" s="64">
        <f t="shared" si="39"/>
        <v>0</v>
      </c>
    </row>
    <row r="284" spans="1:16" x14ac:dyDescent="0.25">
      <c r="A284" t="s">
        <v>119</v>
      </c>
      <c r="B284" t="s">
        <v>149</v>
      </c>
      <c r="C284" t="s">
        <v>4099</v>
      </c>
      <c r="D284" s="9">
        <v>6545.41</v>
      </c>
      <c r="E284" s="9">
        <v>12614.669999999998</v>
      </c>
      <c r="F284" s="9">
        <v>207.99999999999997</v>
      </c>
      <c r="G284" s="9">
        <v>2087.8399999999997</v>
      </c>
      <c r="H284" s="77">
        <v>16864.240000000002</v>
      </c>
      <c r="I284" s="77">
        <v>1686.42</v>
      </c>
      <c r="M284" s="64">
        <f t="shared" si="36"/>
        <v>16864.239999999998</v>
      </c>
      <c r="N284" s="64">
        <f t="shared" si="37"/>
        <v>0</v>
      </c>
      <c r="O284" s="64">
        <f t="shared" si="38"/>
        <v>1686.424</v>
      </c>
      <c r="P284" s="64">
        <f t="shared" si="39"/>
        <v>-3.9999999999054126E-3</v>
      </c>
    </row>
    <row r="285" spans="1:16" x14ac:dyDescent="0.25">
      <c r="A285" t="s">
        <v>34</v>
      </c>
      <c r="B285" t="s">
        <v>149</v>
      </c>
      <c r="C285" t="s">
        <v>4183</v>
      </c>
      <c r="D285" s="9">
        <v>3627.73</v>
      </c>
      <c r="E285" s="9">
        <v>11585.02</v>
      </c>
      <c r="F285" s="9">
        <v>24.799999999999997</v>
      </c>
      <c r="G285" s="9">
        <v>1934.2</v>
      </c>
      <c r="H285" s="77">
        <v>13253.75</v>
      </c>
      <c r="I285" s="77">
        <v>1325.37</v>
      </c>
      <c r="M285" s="64">
        <f t="shared" si="36"/>
        <v>13253.75</v>
      </c>
      <c r="N285" s="64">
        <f t="shared" si="37"/>
        <v>0</v>
      </c>
      <c r="O285" s="64">
        <f t="shared" si="38"/>
        <v>1325.375</v>
      </c>
      <c r="P285" s="64">
        <f t="shared" si="39"/>
        <v>-5.0000000001091394E-3</v>
      </c>
    </row>
    <row r="286" spans="1:16" x14ac:dyDescent="0.25">
      <c r="A286" t="s">
        <v>346</v>
      </c>
      <c r="B286" t="s">
        <v>149</v>
      </c>
      <c r="C286" t="s">
        <v>4133</v>
      </c>
      <c r="D286" s="9">
        <v>1378.6000000000001</v>
      </c>
      <c r="E286" s="9">
        <v>1927.9</v>
      </c>
      <c r="F286" s="9">
        <v>0</v>
      </c>
      <c r="G286" s="9">
        <v>0</v>
      </c>
      <c r="H286" s="77">
        <v>3306.5</v>
      </c>
      <c r="I286" s="77">
        <v>330.65</v>
      </c>
      <c r="K286" s="9"/>
      <c r="M286" s="64">
        <f t="shared" si="36"/>
        <v>3306.5</v>
      </c>
      <c r="N286" s="64">
        <f t="shared" si="37"/>
        <v>0</v>
      </c>
      <c r="O286" s="64">
        <f t="shared" si="38"/>
        <v>330.65000000000003</v>
      </c>
      <c r="P286" s="64">
        <f t="shared" si="39"/>
        <v>0</v>
      </c>
    </row>
    <row r="287" spans="1:16" x14ac:dyDescent="0.25">
      <c r="A287" t="s">
        <v>2253</v>
      </c>
      <c r="B287" t="s">
        <v>149</v>
      </c>
      <c r="C287" t="s">
        <v>4132</v>
      </c>
      <c r="D287" s="9">
        <v>1265.3</v>
      </c>
      <c r="E287" s="9">
        <v>1860.6</v>
      </c>
      <c r="F287" s="9">
        <v>0</v>
      </c>
      <c r="G287" s="9">
        <v>0</v>
      </c>
      <c r="H287" s="77">
        <v>3125.8999999999996</v>
      </c>
      <c r="I287" s="77">
        <v>312.58999999999997</v>
      </c>
      <c r="M287" s="64">
        <f t="shared" si="36"/>
        <v>3125.8999999999996</v>
      </c>
      <c r="N287" s="64">
        <f t="shared" si="37"/>
        <v>0</v>
      </c>
      <c r="O287" s="64">
        <f t="shared" si="38"/>
        <v>312.58999999999997</v>
      </c>
      <c r="P287" s="64">
        <f t="shared" si="39"/>
        <v>0</v>
      </c>
    </row>
    <row r="288" spans="1:16" x14ac:dyDescent="0.25">
      <c r="A288" t="s">
        <v>693</v>
      </c>
      <c r="B288" t="s">
        <v>149</v>
      </c>
      <c r="C288" t="s">
        <v>4057</v>
      </c>
      <c r="D288" s="9">
        <v>834.5</v>
      </c>
      <c r="E288" s="9">
        <v>1471.7</v>
      </c>
      <c r="F288" s="9">
        <v>3.1</v>
      </c>
      <c r="G288" s="9">
        <v>0</v>
      </c>
      <c r="H288" s="77">
        <v>2303.1</v>
      </c>
      <c r="I288" s="77">
        <v>230.31</v>
      </c>
      <c r="M288" s="64">
        <f t="shared" si="36"/>
        <v>2303.1</v>
      </c>
      <c r="N288" s="64">
        <f t="shared" si="37"/>
        <v>0</v>
      </c>
      <c r="O288" s="64">
        <f t="shared" si="38"/>
        <v>230.31</v>
      </c>
      <c r="P288" s="64">
        <f t="shared" si="39"/>
        <v>0</v>
      </c>
    </row>
    <row r="289" spans="1:16" x14ac:dyDescent="0.25">
      <c r="A289" t="s">
        <v>255</v>
      </c>
      <c r="B289" t="s">
        <v>149</v>
      </c>
      <c r="C289" t="s">
        <v>4090</v>
      </c>
      <c r="D289" s="9">
        <v>738.1</v>
      </c>
      <c r="E289" s="9">
        <v>1276.2</v>
      </c>
      <c r="F289" s="9">
        <v>5.4</v>
      </c>
      <c r="G289" s="9">
        <v>103.3</v>
      </c>
      <c r="H289" s="77">
        <v>1905.6000000000001</v>
      </c>
      <c r="I289" s="77">
        <v>190.56</v>
      </c>
      <c r="M289" s="64">
        <f t="shared" si="36"/>
        <v>1905.6000000000001</v>
      </c>
      <c r="N289" s="64">
        <f t="shared" si="37"/>
        <v>0</v>
      </c>
      <c r="O289" s="64">
        <f t="shared" si="38"/>
        <v>190.56000000000003</v>
      </c>
      <c r="P289" s="64">
        <f t="shared" si="39"/>
        <v>0</v>
      </c>
    </row>
    <row r="290" spans="1:16" x14ac:dyDescent="0.25">
      <c r="A290" t="s">
        <v>285</v>
      </c>
      <c r="B290" t="s">
        <v>149</v>
      </c>
      <c r="C290" t="s">
        <v>4084</v>
      </c>
      <c r="D290" s="9">
        <v>305.39999999999998</v>
      </c>
      <c r="E290" s="9">
        <v>1613.4</v>
      </c>
      <c r="F290" s="9">
        <v>45</v>
      </c>
      <c r="G290" s="9">
        <v>0</v>
      </c>
      <c r="H290" s="77">
        <v>1873.8000000000002</v>
      </c>
      <c r="I290" s="77">
        <v>187.38</v>
      </c>
      <c r="M290" s="64">
        <f t="shared" si="36"/>
        <v>1873.8000000000002</v>
      </c>
      <c r="N290" s="64">
        <f t="shared" si="37"/>
        <v>0</v>
      </c>
      <c r="O290" s="64">
        <f t="shared" si="38"/>
        <v>187.38000000000002</v>
      </c>
      <c r="P290" s="64">
        <f t="shared" si="39"/>
        <v>0</v>
      </c>
    </row>
    <row r="291" spans="1:16" x14ac:dyDescent="0.25">
      <c r="A291" t="s">
        <v>694</v>
      </c>
      <c r="B291" t="s">
        <v>149</v>
      </c>
      <c r="C291" t="s">
        <v>4109</v>
      </c>
      <c r="D291" s="9">
        <v>209</v>
      </c>
      <c r="E291" s="9">
        <v>792.9</v>
      </c>
      <c r="F291" s="9">
        <v>0</v>
      </c>
      <c r="G291" s="9">
        <v>0</v>
      </c>
      <c r="H291" s="77">
        <v>1001.9</v>
      </c>
      <c r="I291" s="77">
        <v>100.19</v>
      </c>
      <c r="M291" s="64">
        <f t="shared" si="36"/>
        <v>1001.9</v>
      </c>
      <c r="N291" s="64">
        <f t="shared" si="37"/>
        <v>0</v>
      </c>
      <c r="O291" s="64">
        <f t="shared" si="38"/>
        <v>100.19</v>
      </c>
      <c r="P291" s="64">
        <f t="shared" si="39"/>
        <v>0</v>
      </c>
    </row>
    <row r="292" spans="1:16" x14ac:dyDescent="0.25">
      <c r="A292"/>
      <c r="B292"/>
      <c r="C292"/>
      <c r="H292" s="77"/>
      <c r="I292" s="77"/>
      <c r="M292" s="64"/>
      <c r="N292" s="64"/>
      <c r="O292" s="64"/>
      <c r="P292" s="64"/>
    </row>
    <row r="293" spans="1:16" x14ac:dyDescent="0.25">
      <c r="A293"/>
      <c r="B293"/>
      <c r="C293"/>
      <c r="H293" s="77"/>
      <c r="I293" s="77"/>
      <c r="M293" s="64"/>
      <c r="N293" s="64"/>
      <c r="O293" s="64"/>
      <c r="P293" s="64"/>
    </row>
    <row r="294" spans="1:16" x14ac:dyDescent="0.25">
      <c r="A294"/>
      <c r="B294"/>
      <c r="C294"/>
      <c r="H294" s="77"/>
      <c r="I294" s="77"/>
      <c r="M294" s="64"/>
      <c r="N294" s="64"/>
      <c r="O294" s="64"/>
      <c r="P294" s="64"/>
    </row>
    <row r="295" spans="1:16" x14ac:dyDescent="0.25">
      <c r="A295"/>
      <c r="B295"/>
      <c r="C295"/>
      <c r="H295" s="77"/>
      <c r="I295" s="77"/>
      <c r="M295" s="64"/>
      <c r="N295" s="64"/>
      <c r="O295" s="64"/>
      <c r="P295" s="64"/>
    </row>
    <row r="296" spans="1:16" x14ac:dyDescent="0.25">
      <c r="A296"/>
      <c r="B296"/>
      <c r="C296"/>
      <c r="H296" s="77"/>
      <c r="I296" s="77"/>
      <c r="M296" s="64"/>
      <c r="N296" s="64"/>
      <c r="O296" s="64"/>
      <c r="P296" s="64"/>
    </row>
    <row r="297" spans="1:16" x14ac:dyDescent="0.25">
      <c r="A297"/>
      <c r="B297"/>
      <c r="C297"/>
      <c r="H297" s="77"/>
      <c r="I297" s="77"/>
      <c r="M297" s="64"/>
      <c r="N297" s="64"/>
      <c r="O297" s="64"/>
      <c r="P297" s="64"/>
    </row>
    <row r="298" spans="1:16" x14ac:dyDescent="0.25">
      <c r="A298"/>
      <c r="B298"/>
      <c r="C298"/>
      <c r="H298" s="77"/>
      <c r="I298" s="77"/>
      <c r="M298" s="64"/>
      <c r="N298" s="64"/>
      <c r="O298" s="64"/>
      <c r="P298" s="64"/>
    </row>
    <row r="299" spans="1:16" x14ac:dyDescent="0.25">
      <c r="A299"/>
      <c r="B299"/>
      <c r="C299"/>
      <c r="H299" s="77"/>
      <c r="I299" s="77"/>
      <c r="M299" s="64"/>
      <c r="N299" s="64"/>
      <c r="O299" s="64"/>
      <c r="P299" s="64"/>
    </row>
    <row r="300" spans="1:16" x14ac:dyDescent="0.25">
      <c r="A300" t="s">
        <v>2625</v>
      </c>
      <c r="B300" t="s">
        <v>313</v>
      </c>
      <c r="C300" t="s">
        <v>4244</v>
      </c>
      <c r="D300" s="120">
        <v>70.7</v>
      </c>
      <c r="E300" s="120"/>
      <c r="F300" s="120">
        <v>0</v>
      </c>
      <c r="G300" s="120"/>
      <c r="H300" s="77">
        <v>70.7</v>
      </c>
      <c r="I300" s="77">
        <v>7.07</v>
      </c>
      <c r="M300" s="64">
        <f t="shared" ref="M300:M324" si="40">D300+E300-F300-G300</f>
        <v>70.7</v>
      </c>
      <c r="N300" s="64">
        <f t="shared" ref="N300:N324" si="41">H300-M300</f>
        <v>0</v>
      </c>
      <c r="O300" s="64">
        <f t="shared" ref="O300:O324" si="42">M300*0.1</f>
        <v>7.07</v>
      </c>
      <c r="P300" s="64">
        <f t="shared" ref="P300:P324" si="43">I300-O300</f>
        <v>0</v>
      </c>
    </row>
    <row r="301" spans="1:16" x14ac:dyDescent="0.25">
      <c r="A301" t="s">
        <v>2001</v>
      </c>
      <c r="B301" t="s">
        <v>35</v>
      </c>
      <c r="C301" t="s">
        <v>4545</v>
      </c>
      <c r="D301" s="9">
        <v>66.8</v>
      </c>
      <c r="F301" s="9">
        <v>0</v>
      </c>
      <c r="H301" s="77">
        <v>66.8</v>
      </c>
      <c r="I301" s="77">
        <v>6.68</v>
      </c>
      <c r="M301" s="64">
        <f t="shared" si="40"/>
        <v>66.8</v>
      </c>
      <c r="N301" s="64">
        <f t="shared" si="41"/>
        <v>0</v>
      </c>
      <c r="O301" s="64">
        <f t="shared" si="42"/>
        <v>6.68</v>
      </c>
      <c r="P301" s="64">
        <f t="shared" si="43"/>
        <v>0</v>
      </c>
    </row>
    <row r="302" spans="1:16" x14ac:dyDescent="0.25">
      <c r="A302" s="19" t="s">
        <v>604</v>
      </c>
      <c r="B302" s="19" t="s">
        <v>77</v>
      </c>
      <c r="C302" s="19" t="s">
        <v>4569</v>
      </c>
      <c r="D302" s="9">
        <v>34.299999999999997</v>
      </c>
      <c r="E302" s="9">
        <v>32.299999999999997</v>
      </c>
      <c r="F302" s="9">
        <v>0</v>
      </c>
      <c r="G302" s="9">
        <v>0</v>
      </c>
      <c r="H302" s="77">
        <v>66.599999999999994</v>
      </c>
      <c r="I302" s="77">
        <v>6.66</v>
      </c>
      <c r="M302" s="64">
        <f t="shared" si="40"/>
        <v>66.599999999999994</v>
      </c>
      <c r="N302" s="64">
        <f t="shared" si="41"/>
        <v>0</v>
      </c>
      <c r="O302" s="64">
        <f t="shared" si="42"/>
        <v>6.66</v>
      </c>
      <c r="P302" s="64">
        <f t="shared" si="43"/>
        <v>0</v>
      </c>
    </row>
    <row r="303" spans="1:16" x14ac:dyDescent="0.25">
      <c r="A303" t="s">
        <v>2855</v>
      </c>
      <c r="B303" t="s">
        <v>141</v>
      </c>
      <c r="C303" t="s">
        <v>4557</v>
      </c>
      <c r="D303" s="9">
        <v>51.7</v>
      </c>
      <c r="E303" s="9">
        <v>14.5</v>
      </c>
      <c r="F303" s="9">
        <v>0</v>
      </c>
      <c r="G303" s="9">
        <v>0</v>
      </c>
      <c r="H303" s="77">
        <v>66.2</v>
      </c>
      <c r="I303" s="77">
        <v>6.62</v>
      </c>
      <c r="M303" s="64">
        <f t="shared" si="40"/>
        <v>66.2</v>
      </c>
      <c r="N303" s="64">
        <f t="shared" si="41"/>
        <v>0</v>
      </c>
      <c r="O303" s="64">
        <f t="shared" si="42"/>
        <v>6.620000000000001</v>
      </c>
      <c r="P303" s="64">
        <f t="shared" si="43"/>
        <v>0</v>
      </c>
    </row>
    <row r="304" spans="1:16" x14ac:dyDescent="0.25">
      <c r="A304" t="s">
        <v>245</v>
      </c>
      <c r="B304" t="s">
        <v>141</v>
      </c>
      <c r="C304" t="s">
        <v>4336</v>
      </c>
      <c r="D304" s="9">
        <v>78.2</v>
      </c>
      <c r="E304" s="9">
        <v>423.3</v>
      </c>
      <c r="F304" s="9">
        <v>45</v>
      </c>
      <c r="G304" s="9">
        <v>402.8</v>
      </c>
      <c r="H304" s="77">
        <v>53.7</v>
      </c>
      <c r="I304" s="77">
        <v>5.3699999999999992</v>
      </c>
      <c r="M304" s="64">
        <f t="shared" si="40"/>
        <v>53.699999999999989</v>
      </c>
      <c r="N304" s="64">
        <f t="shared" si="41"/>
        <v>0</v>
      </c>
      <c r="O304" s="64">
        <f t="shared" si="42"/>
        <v>5.3699999999999992</v>
      </c>
      <c r="P304" s="64">
        <f t="shared" si="43"/>
        <v>0</v>
      </c>
    </row>
    <row r="305" spans="1:16" x14ac:dyDescent="0.25">
      <c r="A305" t="s">
        <v>640</v>
      </c>
      <c r="B305" t="s">
        <v>76</v>
      </c>
      <c r="C305" t="s">
        <v>4547</v>
      </c>
      <c r="D305" s="9">
        <v>2.8</v>
      </c>
      <c r="E305" s="9">
        <v>46.9</v>
      </c>
      <c r="F305" s="9">
        <v>0</v>
      </c>
      <c r="G305" s="9">
        <v>0</v>
      </c>
      <c r="H305" s="77">
        <v>49.699999999999996</v>
      </c>
      <c r="I305" s="77">
        <v>4.9700000000000006</v>
      </c>
      <c r="M305" s="64">
        <f t="shared" si="40"/>
        <v>49.699999999999996</v>
      </c>
      <c r="N305" s="64">
        <f t="shared" si="41"/>
        <v>0</v>
      </c>
      <c r="O305" s="64">
        <f t="shared" si="42"/>
        <v>4.97</v>
      </c>
      <c r="P305" s="64">
        <f t="shared" si="43"/>
        <v>0</v>
      </c>
    </row>
    <row r="306" spans="1:16" x14ac:dyDescent="0.25">
      <c r="A306" t="s">
        <v>330</v>
      </c>
      <c r="B306" t="s">
        <v>59</v>
      </c>
      <c r="C306" t="s">
        <v>4122</v>
      </c>
      <c r="D306" s="9">
        <v>5.4</v>
      </c>
      <c r="E306" s="9">
        <v>103.3</v>
      </c>
      <c r="F306" s="9">
        <v>62.8</v>
      </c>
      <c r="G306" s="9">
        <v>0</v>
      </c>
      <c r="H306" s="77">
        <v>45.9</v>
      </c>
      <c r="I306" s="77">
        <v>4.59</v>
      </c>
      <c r="M306" s="64">
        <f t="shared" si="40"/>
        <v>45.900000000000006</v>
      </c>
      <c r="N306" s="64">
        <f t="shared" si="41"/>
        <v>0</v>
      </c>
      <c r="O306" s="64">
        <f t="shared" si="42"/>
        <v>4.5900000000000007</v>
      </c>
      <c r="P306" s="64">
        <f t="shared" si="43"/>
        <v>0</v>
      </c>
    </row>
    <row r="307" spans="1:16" x14ac:dyDescent="0.25">
      <c r="A307" t="s">
        <v>371</v>
      </c>
      <c r="B307" t="s">
        <v>155</v>
      </c>
      <c r="C307" t="s">
        <v>4191</v>
      </c>
      <c r="D307" s="9">
        <v>25.3</v>
      </c>
      <c r="E307" s="9">
        <v>10.7</v>
      </c>
      <c r="F307" s="9">
        <v>0</v>
      </c>
      <c r="G307" s="9">
        <v>0</v>
      </c>
      <c r="H307" s="77">
        <v>36</v>
      </c>
      <c r="I307" s="77">
        <v>3.6000000000000005</v>
      </c>
      <c r="M307" s="64">
        <f t="shared" si="40"/>
        <v>36</v>
      </c>
      <c r="N307" s="64">
        <f t="shared" si="41"/>
        <v>0</v>
      </c>
      <c r="O307" s="64">
        <f t="shared" si="42"/>
        <v>3.6</v>
      </c>
      <c r="P307" s="64">
        <f t="shared" si="43"/>
        <v>0</v>
      </c>
    </row>
    <row r="308" spans="1:16" x14ac:dyDescent="0.25">
      <c r="A308" t="s">
        <v>469</v>
      </c>
      <c r="B308" t="s">
        <v>141</v>
      </c>
      <c r="C308" t="s">
        <v>4066</v>
      </c>
      <c r="D308" s="9">
        <v>30.6</v>
      </c>
      <c r="F308" s="9">
        <v>0</v>
      </c>
      <c r="H308" s="77">
        <v>30.6</v>
      </c>
      <c r="I308" s="77">
        <v>3.06</v>
      </c>
      <c r="M308" s="64">
        <f t="shared" si="40"/>
        <v>30.6</v>
      </c>
      <c r="N308" s="64">
        <f t="shared" si="41"/>
        <v>0</v>
      </c>
      <c r="O308" s="64">
        <f t="shared" si="42"/>
        <v>3.0600000000000005</v>
      </c>
      <c r="P308" s="64">
        <f t="shared" si="43"/>
        <v>0</v>
      </c>
    </row>
    <row r="309" spans="1:16" x14ac:dyDescent="0.25">
      <c r="A309" t="s">
        <v>2212</v>
      </c>
      <c r="B309" t="s">
        <v>135</v>
      </c>
      <c r="C309" t="s">
        <v>4118</v>
      </c>
      <c r="D309" s="9">
        <v>13.4</v>
      </c>
      <c r="E309" s="9">
        <v>16.3</v>
      </c>
      <c r="F309" s="9">
        <v>0</v>
      </c>
      <c r="G309" s="9">
        <v>0</v>
      </c>
      <c r="H309" s="77">
        <v>29.700000000000003</v>
      </c>
      <c r="I309" s="77">
        <v>2.9699999999999998</v>
      </c>
      <c r="M309" s="64">
        <f t="shared" si="40"/>
        <v>29.700000000000003</v>
      </c>
      <c r="N309" s="64">
        <f t="shared" si="41"/>
        <v>0</v>
      </c>
      <c r="O309" s="64">
        <f t="shared" si="42"/>
        <v>2.9700000000000006</v>
      </c>
      <c r="P309" s="64">
        <f t="shared" si="43"/>
        <v>0</v>
      </c>
    </row>
    <row r="310" spans="1:16" x14ac:dyDescent="0.25">
      <c r="A310" t="s">
        <v>360</v>
      </c>
      <c r="B310" t="s">
        <v>69</v>
      </c>
      <c r="C310" t="s">
        <v>4411</v>
      </c>
      <c r="D310" s="9">
        <v>15</v>
      </c>
      <c r="E310" s="9">
        <v>8.3000000000000007</v>
      </c>
      <c r="F310" s="9">
        <v>0</v>
      </c>
      <c r="G310" s="9">
        <v>0</v>
      </c>
      <c r="H310" s="77">
        <v>23.3</v>
      </c>
      <c r="I310" s="77">
        <v>2.33</v>
      </c>
      <c r="M310" s="64">
        <f t="shared" si="40"/>
        <v>23.3</v>
      </c>
      <c r="N310" s="64">
        <f t="shared" si="41"/>
        <v>0</v>
      </c>
      <c r="O310" s="64">
        <f t="shared" si="42"/>
        <v>2.33</v>
      </c>
      <c r="P310" s="64">
        <f t="shared" si="43"/>
        <v>0</v>
      </c>
    </row>
    <row r="311" spans="1:16" x14ac:dyDescent="0.25">
      <c r="A311" t="s">
        <v>437</v>
      </c>
      <c r="B311" t="s">
        <v>51</v>
      </c>
      <c r="C311" t="s">
        <v>4185</v>
      </c>
      <c r="D311" s="9">
        <v>1.3</v>
      </c>
      <c r="E311" s="9">
        <v>7</v>
      </c>
      <c r="F311" s="9">
        <v>0</v>
      </c>
      <c r="G311" s="9">
        <v>0</v>
      </c>
      <c r="H311" s="77">
        <v>8.3000000000000007</v>
      </c>
      <c r="I311" s="77">
        <v>0.83</v>
      </c>
      <c r="M311" s="64">
        <f t="shared" si="40"/>
        <v>8.3000000000000007</v>
      </c>
      <c r="N311" s="64">
        <f t="shared" si="41"/>
        <v>0</v>
      </c>
      <c r="O311" s="64">
        <f t="shared" si="42"/>
        <v>0.83000000000000007</v>
      </c>
      <c r="P311" s="64">
        <f t="shared" si="43"/>
        <v>0</v>
      </c>
    </row>
    <row r="312" spans="1:16" x14ac:dyDescent="0.25">
      <c r="A312" t="s">
        <v>495</v>
      </c>
      <c r="B312" t="s">
        <v>190</v>
      </c>
      <c r="C312" t="s">
        <v>4431</v>
      </c>
      <c r="D312" s="9">
        <v>5.4</v>
      </c>
      <c r="F312" s="9">
        <v>0</v>
      </c>
      <c r="H312" s="77">
        <v>5.4</v>
      </c>
      <c r="I312" s="77">
        <v>0.54</v>
      </c>
      <c r="M312" s="64">
        <f t="shared" si="40"/>
        <v>5.4</v>
      </c>
      <c r="N312" s="64">
        <f t="shared" si="41"/>
        <v>0</v>
      </c>
      <c r="O312" s="64">
        <f t="shared" si="42"/>
        <v>0.54</v>
      </c>
      <c r="P312" s="64">
        <f t="shared" si="43"/>
        <v>0</v>
      </c>
    </row>
    <row r="313" spans="1:16" x14ac:dyDescent="0.25">
      <c r="A313" t="s">
        <v>603</v>
      </c>
      <c r="B313" t="s">
        <v>81</v>
      </c>
      <c r="C313" t="s">
        <v>4426</v>
      </c>
      <c r="D313" s="9">
        <v>65.3</v>
      </c>
      <c r="F313" s="9">
        <v>65.2</v>
      </c>
      <c r="H313" s="77">
        <v>0.1</v>
      </c>
      <c r="I313" s="77">
        <v>0.01</v>
      </c>
      <c r="M313" s="64">
        <f t="shared" si="40"/>
        <v>9.9999999999994316E-2</v>
      </c>
      <c r="N313" s="64">
        <f t="shared" si="41"/>
        <v>5.6898930012039273E-15</v>
      </c>
      <c r="O313" s="64">
        <f t="shared" si="42"/>
        <v>9.999999999999433E-3</v>
      </c>
      <c r="P313" s="64">
        <f t="shared" si="43"/>
        <v>5.6725457664441592E-16</v>
      </c>
    </row>
    <row r="314" spans="1:16" x14ac:dyDescent="0.25">
      <c r="A314" t="s">
        <v>2159</v>
      </c>
      <c r="B314" t="s">
        <v>188</v>
      </c>
      <c r="C314" t="s">
        <v>4058</v>
      </c>
      <c r="D314" s="9">
        <v>5.4</v>
      </c>
      <c r="E314" s="9">
        <v>103.3</v>
      </c>
      <c r="F314" s="9">
        <v>11.2</v>
      </c>
      <c r="G314" s="9">
        <v>223.39999999999998</v>
      </c>
      <c r="H314" s="77">
        <v>-125.89999999999999</v>
      </c>
      <c r="I314" s="77">
        <v>-12.59</v>
      </c>
      <c r="M314" s="64">
        <f t="shared" si="40"/>
        <v>-125.89999999999998</v>
      </c>
      <c r="N314" s="64">
        <f t="shared" si="41"/>
        <v>0</v>
      </c>
      <c r="O314" s="64">
        <f t="shared" si="42"/>
        <v>-12.589999999999998</v>
      </c>
      <c r="P314" s="64">
        <f t="shared" si="43"/>
        <v>0</v>
      </c>
    </row>
    <row r="315" spans="1:16" x14ac:dyDescent="0.25">
      <c r="A315" t="s">
        <v>90</v>
      </c>
      <c r="B315" s="19" t="s">
        <v>6</v>
      </c>
      <c r="C315" s="19" t="s">
        <v>4436</v>
      </c>
      <c r="D315" s="120">
        <v>294.8</v>
      </c>
      <c r="E315" s="120">
        <v>0</v>
      </c>
      <c r="F315" s="120">
        <v>408.2</v>
      </c>
      <c r="G315" s="120">
        <v>61.6</v>
      </c>
      <c r="H315" s="77">
        <v>-174.99999999999997</v>
      </c>
      <c r="I315" s="77">
        <v>-17.500000000000004</v>
      </c>
      <c r="J315" s="19"/>
      <c r="M315" s="64">
        <f t="shared" si="40"/>
        <v>-174.99999999999997</v>
      </c>
      <c r="N315" s="64">
        <f t="shared" si="41"/>
        <v>0</v>
      </c>
      <c r="O315" s="64">
        <f t="shared" si="42"/>
        <v>-17.499999999999996</v>
      </c>
      <c r="P315" s="64">
        <f t="shared" si="43"/>
        <v>0</v>
      </c>
    </row>
    <row r="316" spans="1:16" x14ac:dyDescent="0.25">
      <c r="A316" t="s">
        <v>677</v>
      </c>
      <c r="B316" t="s">
        <v>131</v>
      </c>
      <c r="C316" t="s">
        <v>4291</v>
      </c>
      <c r="D316" s="9">
        <v>0</v>
      </c>
      <c r="E316" s="9">
        <v>0</v>
      </c>
      <c r="F316" s="9">
        <v>112.7</v>
      </c>
      <c r="G316" s="9">
        <v>82.8</v>
      </c>
      <c r="H316" s="77">
        <v>-195.5</v>
      </c>
      <c r="I316" s="77">
        <v>-19.549999999999997</v>
      </c>
      <c r="M316" s="64">
        <f t="shared" si="40"/>
        <v>-195.5</v>
      </c>
      <c r="N316" s="64">
        <f t="shared" si="41"/>
        <v>0</v>
      </c>
      <c r="O316" s="64">
        <f t="shared" si="42"/>
        <v>-19.55</v>
      </c>
      <c r="P316" s="64">
        <f t="shared" si="43"/>
        <v>0</v>
      </c>
    </row>
    <row r="317" spans="1:16" x14ac:dyDescent="0.25">
      <c r="A317" t="s">
        <v>2058</v>
      </c>
      <c r="B317" t="s">
        <v>221</v>
      </c>
      <c r="C317" t="s">
        <v>4565</v>
      </c>
      <c r="D317" s="9">
        <v>0</v>
      </c>
      <c r="F317" s="9">
        <v>333.1</v>
      </c>
      <c r="H317" s="77">
        <v>-333.1</v>
      </c>
      <c r="I317" s="77">
        <v>-33.31</v>
      </c>
      <c r="M317" s="64">
        <f t="shared" si="40"/>
        <v>-333.1</v>
      </c>
      <c r="N317" s="64">
        <f t="shared" si="41"/>
        <v>0</v>
      </c>
      <c r="O317" s="64">
        <f t="shared" si="42"/>
        <v>-33.31</v>
      </c>
      <c r="P317" s="64">
        <f t="shared" si="43"/>
        <v>0</v>
      </c>
    </row>
    <row r="318" spans="1:16" x14ac:dyDescent="0.25">
      <c r="A318" s="19" t="s">
        <v>562</v>
      </c>
      <c r="B318" s="19" t="s">
        <v>201</v>
      </c>
      <c r="C318" s="19" t="s">
        <v>4437</v>
      </c>
      <c r="D318" s="9">
        <v>0</v>
      </c>
      <c r="E318" s="9">
        <v>0</v>
      </c>
      <c r="F318" s="9">
        <v>248.4</v>
      </c>
      <c r="G318" s="9">
        <v>178.9</v>
      </c>
      <c r="H318" s="77">
        <v>-427.3</v>
      </c>
      <c r="I318" s="77">
        <v>-42.730000000000004</v>
      </c>
      <c r="M318" s="64">
        <f t="shared" si="40"/>
        <v>-427.3</v>
      </c>
      <c r="N318" s="64">
        <f t="shared" si="41"/>
        <v>0</v>
      </c>
      <c r="O318" s="64">
        <f t="shared" si="42"/>
        <v>-42.730000000000004</v>
      </c>
      <c r="P318" s="64">
        <f t="shared" si="43"/>
        <v>0</v>
      </c>
    </row>
    <row r="319" spans="1:16" x14ac:dyDescent="0.25">
      <c r="A319" s="19" t="s">
        <v>342</v>
      </c>
      <c r="B319" s="19" t="s">
        <v>163</v>
      </c>
      <c r="C319" s="19" t="s">
        <v>4543</v>
      </c>
      <c r="D319" s="9">
        <v>851.4</v>
      </c>
      <c r="E319" s="9">
        <v>7.8</v>
      </c>
      <c r="F319" s="9">
        <v>0.1</v>
      </c>
      <c r="G319" s="9">
        <v>1410.3</v>
      </c>
      <c r="H319" s="77">
        <v>-551.20000000000005</v>
      </c>
      <c r="I319" s="77">
        <v>-55.120000000000005</v>
      </c>
      <c r="M319" s="64">
        <f t="shared" si="40"/>
        <v>-551.20000000000005</v>
      </c>
      <c r="N319" s="64">
        <f t="shared" si="41"/>
        <v>0</v>
      </c>
      <c r="O319" s="64">
        <f t="shared" si="42"/>
        <v>-55.120000000000005</v>
      </c>
      <c r="P319" s="64">
        <f t="shared" si="43"/>
        <v>0</v>
      </c>
    </row>
    <row r="320" spans="1:16" x14ac:dyDescent="0.25">
      <c r="A320" t="s">
        <v>365</v>
      </c>
      <c r="B320" t="s">
        <v>163</v>
      </c>
      <c r="C320" t="s">
        <v>4429</v>
      </c>
      <c r="D320" s="9">
        <v>0</v>
      </c>
      <c r="E320" s="9">
        <v>0</v>
      </c>
      <c r="F320" s="9">
        <v>591.4</v>
      </c>
      <c r="G320" s="9">
        <v>191.2</v>
      </c>
      <c r="H320" s="77">
        <v>-782.59999999999991</v>
      </c>
      <c r="I320" s="77">
        <v>-78.260000000000005</v>
      </c>
      <c r="M320" s="64">
        <f t="shared" si="40"/>
        <v>-782.59999999999991</v>
      </c>
      <c r="N320" s="64">
        <f t="shared" si="41"/>
        <v>0</v>
      </c>
      <c r="O320" s="64">
        <f t="shared" si="42"/>
        <v>-78.259999999999991</v>
      </c>
      <c r="P320" s="64">
        <f t="shared" si="43"/>
        <v>0</v>
      </c>
    </row>
    <row r="321" spans="1:16" x14ac:dyDescent="0.25">
      <c r="A321" t="s">
        <v>336</v>
      </c>
      <c r="B321" t="s">
        <v>131</v>
      </c>
      <c r="C321" t="s">
        <v>4054</v>
      </c>
      <c r="D321" s="9">
        <v>159</v>
      </c>
      <c r="E321" s="9">
        <v>49.7</v>
      </c>
      <c r="F321" s="9">
        <v>106.2</v>
      </c>
      <c r="G321" s="9">
        <v>1040.4000000000001</v>
      </c>
      <c r="H321" s="77">
        <v>-937.90000000000009</v>
      </c>
      <c r="I321" s="77">
        <v>-93.789999999999992</v>
      </c>
      <c r="K321" s="19"/>
      <c r="L321" s="19"/>
      <c r="M321" s="64">
        <f t="shared" si="40"/>
        <v>-937.90000000000009</v>
      </c>
      <c r="N321" s="64">
        <f t="shared" si="41"/>
        <v>0</v>
      </c>
      <c r="O321" s="64">
        <f t="shared" si="42"/>
        <v>-93.79000000000002</v>
      </c>
      <c r="P321" s="64">
        <f t="shared" si="43"/>
        <v>0</v>
      </c>
    </row>
    <row r="322" spans="1:16" x14ac:dyDescent="0.25">
      <c r="A322" t="s">
        <v>639</v>
      </c>
      <c r="B322" t="s">
        <v>76</v>
      </c>
      <c r="C322" t="s">
        <v>4321</v>
      </c>
      <c r="D322" s="9">
        <v>688.9</v>
      </c>
      <c r="E322" s="9">
        <v>1528.7</v>
      </c>
      <c r="F322" s="9">
        <v>4431</v>
      </c>
      <c r="G322" s="9">
        <v>723.09999999999991</v>
      </c>
      <c r="H322" s="77">
        <v>-2936.5</v>
      </c>
      <c r="I322" s="77">
        <v>-293.64999999999998</v>
      </c>
      <c r="M322" s="64">
        <f t="shared" si="40"/>
        <v>-2936.5</v>
      </c>
      <c r="N322" s="64">
        <f t="shared" si="41"/>
        <v>0</v>
      </c>
      <c r="O322" s="64">
        <f t="shared" si="42"/>
        <v>-293.65000000000003</v>
      </c>
      <c r="P322" s="64">
        <f t="shared" si="43"/>
        <v>0</v>
      </c>
    </row>
    <row r="323" spans="1:16" x14ac:dyDescent="0.25">
      <c r="A323" t="s">
        <v>268</v>
      </c>
      <c r="B323" t="s">
        <v>69</v>
      </c>
      <c r="C323" t="s">
        <v>4078</v>
      </c>
      <c r="D323" s="9">
        <v>1988.5</v>
      </c>
      <c r="E323" s="9">
        <v>3902.5</v>
      </c>
      <c r="F323" s="9">
        <v>446</v>
      </c>
      <c r="G323" s="9">
        <v>8468.9</v>
      </c>
      <c r="H323" s="77">
        <v>-3023.8999999999996</v>
      </c>
      <c r="I323" s="77">
        <v>-302.39</v>
      </c>
      <c r="M323" s="64">
        <f t="shared" si="40"/>
        <v>-3023.8999999999996</v>
      </c>
      <c r="N323" s="64">
        <f t="shared" si="41"/>
        <v>0</v>
      </c>
      <c r="O323" s="64">
        <f t="shared" si="42"/>
        <v>-302.39</v>
      </c>
      <c r="P323" s="64">
        <f t="shared" si="43"/>
        <v>0</v>
      </c>
    </row>
    <row r="324" spans="1:16" x14ac:dyDescent="0.25">
      <c r="A324" t="s">
        <v>319</v>
      </c>
      <c r="B324" t="s">
        <v>163</v>
      </c>
      <c r="C324" t="s">
        <v>4209</v>
      </c>
      <c r="D324" s="9">
        <v>855.3</v>
      </c>
      <c r="E324" s="9">
        <v>255.3</v>
      </c>
      <c r="F324" s="9">
        <v>7227.1</v>
      </c>
      <c r="G324" s="9">
        <v>3401</v>
      </c>
      <c r="H324" s="77">
        <v>-9517.5</v>
      </c>
      <c r="I324" s="77">
        <v>-951.75</v>
      </c>
      <c r="M324" s="64">
        <f t="shared" si="40"/>
        <v>-9517.5</v>
      </c>
      <c r="N324" s="64">
        <f t="shared" si="41"/>
        <v>0</v>
      </c>
      <c r="O324" s="64">
        <f t="shared" si="42"/>
        <v>-951.75</v>
      </c>
      <c r="P324" s="64">
        <f t="shared" si="43"/>
        <v>0</v>
      </c>
    </row>
    <row r="325" spans="1:16" ht="13" x14ac:dyDescent="0.3">
      <c r="A325"/>
      <c r="B325"/>
      <c r="C325"/>
      <c r="D325" s="16">
        <f>SUM(D2:D324)</f>
        <v>16021563.300000006</v>
      </c>
      <c r="E325" s="16">
        <f t="shared" ref="E325:I325" si="44">SUM(E2:E324)</f>
        <v>19563625.990000032</v>
      </c>
      <c r="F325" s="16">
        <f t="shared" si="44"/>
        <v>2112857.9300000006</v>
      </c>
      <c r="G325" s="16">
        <f t="shared" si="44"/>
        <v>2713259.4400000004</v>
      </c>
      <c r="H325" s="16">
        <f t="shared" si="44"/>
        <v>30759071.919999991</v>
      </c>
      <c r="I325" s="16">
        <f t="shared" si="44"/>
        <v>3075907.45</v>
      </c>
      <c r="M325" s="64">
        <f t="shared" ref="M325:M328" si="45">D325+E325-F325-G325</f>
        <v>30759071.920000035</v>
      </c>
      <c r="N325" s="64">
        <f t="shared" ref="N325:N328" si="46">H325-M325</f>
        <v>-4.4703483581542969E-8</v>
      </c>
      <c r="O325" s="64">
        <f t="shared" ref="O325:O328" si="47">M325*0.1</f>
        <v>3075907.1920000035</v>
      </c>
      <c r="P325" s="64">
        <f t="shared" ref="P325:P328" si="48">I325-O325</f>
        <v>0.25799999665468931</v>
      </c>
    </row>
    <row r="326" spans="1:16" x14ac:dyDescent="0.25">
      <c r="A326"/>
      <c r="B326"/>
      <c r="C326"/>
      <c r="H326" s="77"/>
      <c r="I326" s="77"/>
      <c r="M326" s="64">
        <f t="shared" si="45"/>
        <v>0</v>
      </c>
      <c r="N326" s="64">
        <f t="shared" si="46"/>
        <v>0</v>
      </c>
      <c r="O326" s="64">
        <f t="shared" si="47"/>
        <v>0</v>
      </c>
      <c r="P326" s="64">
        <f t="shared" si="48"/>
        <v>0</v>
      </c>
    </row>
    <row r="327" spans="1:16" x14ac:dyDescent="0.25">
      <c r="A327"/>
      <c r="B327"/>
      <c r="C327"/>
      <c r="H327" s="77"/>
      <c r="I327" s="77"/>
      <c r="M327" s="64">
        <f t="shared" si="45"/>
        <v>0</v>
      </c>
      <c r="N327" s="64">
        <f t="shared" si="46"/>
        <v>0</v>
      </c>
      <c r="O327" s="64">
        <f t="shared" si="47"/>
        <v>0</v>
      </c>
      <c r="P327" s="64">
        <f t="shared" si="48"/>
        <v>0</v>
      </c>
    </row>
    <row r="328" spans="1:16" x14ac:dyDescent="0.25">
      <c r="A328"/>
      <c r="B328"/>
      <c r="C328"/>
      <c r="H328" s="77"/>
      <c r="I328" s="77"/>
      <c r="M328" s="64">
        <f t="shared" si="45"/>
        <v>0</v>
      </c>
      <c r="N328" s="64">
        <f t="shared" si="46"/>
        <v>0</v>
      </c>
      <c r="O328" s="64">
        <f t="shared" si="47"/>
        <v>0</v>
      </c>
      <c r="P328" s="64">
        <f t="shared" si="48"/>
        <v>0</v>
      </c>
    </row>
    <row r="329" spans="1:16" x14ac:dyDescent="0.25">
      <c r="A329"/>
      <c r="B329"/>
      <c r="C329"/>
      <c r="H329" s="77"/>
      <c r="I329" s="77"/>
      <c r="M329" s="64"/>
      <c r="N329" s="64"/>
      <c r="O329" s="64"/>
      <c r="P329" s="64"/>
    </row>
    <row r="330" spans="1:16" ht="13" x14ac:dyDescent="0.3">
      <c r="A330"/>
      <c r="B330"/>
      <c r="C330"/>
      <c r="D330" s="16"/>
      <c r="E330" s="16"/>
      <c r="F330" s="16"/>
      <c r="G330" s="16"/>
      <c r="H330" s="16"/>
      <c r="I330" s="16"/>
      <c r="M330" s="64">
        <f>D330+E330-F330-G330</f>
        <v>0</v>
      </c>
      <c r="N330" s="64">
        <f>H330-M330</f>
        <v>0</v>
      </c>
      <c r="O330" s="64">
        <f>M330*0.1</f>
        <v>0</v>
      </c>
      <c r="P330" s="64">
        <f>I330-O330</f>
        <v>0</v>
      </c>
    </row>
    <row r="331" spans="1:16" x14ac:dyDescent="0.25">
      <c r="A331"/>
      <c r="B331"/>
      <c r="C331"/>
      <c r="H331" s="109"/>
      <c r="I331" s="109"/>
      <c r="M331" s="64"/>
      <c r="N331" s="64"/>
      <c r="O331" s="64"/>
      <c r="P331" s="64"/>
    </row>
    <row r="332" spans="1:16" x14ac:dyDescent="0.25">
      <c r="A332"/>
      <c r="B332"/>
      <c r="C332"/>
      <c r="H332" s="109"/>
      <c r="I332" s="109"/>
      <c r="M332" s="64">
        <f>D332+E332-F332-G332</f>
        <v>0</v>
      </c>
      <c r="N332" s="64">
        <f>H332-M332</f>
        <v>0</v>
      </c>
      <c r="O332" s="64">
        <f>M332*0.1</f>
        <v>0</v>
      </c>
      <c r="P332" s="64">
        <f>I332-O332</f>
        <v>0</v>
      </c>
    </row>
    <row r="333" spans="1:16" x14ac:dyDescent="0.25">
      <c r="A333"/>
      <c r="B333"/>
      <c r="C333"/>
      <c r="H333" s="109"/>
      <c r="I333" s="109"/>
      <c r="M333" s="64">
        <f>D333+E333-F333-G333</f>
        <v>0</v>
      </c>
      <c r="N333" s="64">
        <f>H333-M333</f>
        <v>0</v>
      </c>
      <c r="O333" s="64">
        <f>M333*0.1</f>
        <v>0</v>
      </c>
      <c r="P333" s="64">
        <f>I333-O333</f>
        <v>0</v>
      </c>
    </row>
    <row r="334" spans="1:16" x14ac:dyDescent="0.25">
      <c r="A334"/>
      <c r="B334"/>
      <c r="C334"/>
      <c r="H334" s="109"/>
      <c r="I334" s="109"/>
      <c r="M334" s="64"/>
      <c r="N334" s="64"/>
      <c r="O334" s="64"/>
      <c r="P334" s="64"/>
    </row>
    <row r="335" spans="1:16" x14ac:dyDescent="0.25">
      <c r="A335"/>
      <c r="B335"/>
      <c r="C335"/>
      <c r="H335" s="109"/>
      <c r="I335" s="109"/>
      <c r="M335" s="64"/>
      <c r="N335" s="64"/>
      <c r="O335" s="64"/>
      <c r="P335" s="64"/>
    </row>
    <row r="336" spans="1:16" s="13" customFormat="1" ht="12.75" customHeight="1" x14ac:dyDescent="0.3">
      <c r="A336"/>
      <c r="B336"/>
      <c r="C336"/>
      <c r="D336" s="9"/>
      <c r="E336" s="9"/>
      <c r="F336" s="9"/>
      <c r="G336" s="9"/>
      <c r="H336" s="109"/>
      <c r="I336" s="109"/>
      <c r="J336"/>
      <c r="K336"/>
      <c r="L336"/>
      <c r="M336" s="64">
        <f t="shared" ref="M336:M341" si="49">D336+E336-F336-G336</f>
        <v>0</v>
      </c>
      <c r="N336" s="64">
        <f t="shared" ref="N336:N341" si="50">H336-M336</f>
        <v>0</v>
      </c>
      <c r="O336" s="64">
        <f t="shared" ref="O336:O341" si="51">M336*0.1</f>
        <v>0</v>
      </c>
      <c r="P336" s="64">
        <f t="shared" ref="P336:P341" si="52">I336-O336</f>
        <v>0</v>
      </c>
    </row>
    <row r="337" spans="1:16" s="13" customFormat="1" ht="12.75" customHeight="1" x14ac:dyDescent="0.3">
      <c r="A337"/>
      <c r="B337"/>
      <c r="C337"/>
      <c r="D337" s="9"/>
      <c r="E337" s="9"/>
      <c r="F337" s="9"/>
      <c r="G337" s="9"/>
      <c r="H337" s="109"/>
      <c r="I337" s="109"/>
      <c r="J337"/>
      <c r="K337"/>
      <c r="L337"/>
      <c r="M337" s="64">
        <f t="shared" si="49"/>
        <v>0</v>
      </c>
      <c r="N337" s="64">
        <f t="shared" si="50"/>
        <v>0</v>
      </c>
      <c r="O337" s="64">
        <f t="shared" si="51"/>
        <v>0</v>
      </c>
      <c r="P337" s="64">
        <f t="shared" si="52"/>
        <v>0</v>
      </c>
    </row>
    <row r="338" spans="1:16" s="13" customFormat="1" ht="12.75" customHeight="1" x14ac:dyDescent="0.3">
      <c r="A338"/>
      <c r="B338"/>
      <c r="C338"/>
      <c r="D338" s="9"/>
      <c r="E338" s="9"/>
      <c r="F338" s="9"/>
      <c r="G338" s="9"/>
      <c r="H338" s="109"/>
      <c r="I338" s="109"/>
      <c r="J338"/>
      <c r="K338"/>
      <c r="L338"/>
      <c r="M338" s="64">
        <f t="shared" si="49"/>
        <v>0</v>
      </c>
      <c r="N338" s="64">
        <f t="shared" si="50"/>
        <v>0</v>
      </c>
      <c r="O338" s="64">
        <f t="shared" si="51"/>
        <v>0</v>
      </c>
      <c r="P338" s="64">
        <f t="shared" si="52"/>
        <v>0</v>
      </c>
    </row>
    <row r="339" spans="1:16" s="13" customFormat="1" ht="12.75" customHeight="1" x14ac:dyDescent="0.3">
      <c r="A339"/>
      <c r="B339"/>
      <c r="C339"/>
      <c r="D339" s="9"/>
      <c r="E339" s="9"/>
      <c r="F339" s="9"/>
      <c r="G339" s="9"/>
      <c r="H339" s="109"/>
      <c r="I339" s="109"/>
      <c r="J339"/>
      <c r="K339"/>
      <c r="L339"/>
      <c r="M339" s="64">
        <f t="shared" si="49"/>
        <v>0</v>
      </c>
      <c r="N339" s="64">
        <f t="shared" si="50"/>
        <v>0</v>
      </c>
      <c r="O339" s="64">
        <f t="shared" si="51"/>
        <v>0</v>
      </c>
      <c r="P339" s="64">
        <f t="shared" si="52"/>
        <v>0</v>
      </c>
    </row>
    <row r="340" spans="1:16" s="13" customFormat="1" ht="12.75" customHeight="1" x14ac:dyDescent="0.3">
      <c r="A340"/>
      <c r="B340"/>
      <c r="C340"/>
      <c r="D340" s="9"/>
      <c r="E340" s="9"/>
      <c r="F340" s="9"/>
      <c r="G340" s="9"/>
      <c r="H340" s="109"/>
      <c r="I340" s="109"/>
      <c r="J340"/>
      <c r="K340"/>
      <c r="L340"/>
      <c r="M340" s="64">
        <f t="shared" si="49"/>
        <v>0</v>
      </c>
      <c r="N340" s="64">
        <f t="shared" si="50"/>
        <v>0</v>
      </c>
      <c r="O340" s="64">
        <f t="shared" si="51"/>
        <v>0</v>
      </c>
      <c r="P340" s="64">
        <f t="shared" si="52"/>
        <v>0</v>
      </c>
    </row>
    <row r="341" spans="1:16" s="13" customFormat="1" ht="12.75" customHeight="1" x14ac:dyDescent="0.3">
      <c r="A341"/>
      <c r="B341"/>
      <c r="C341"/>
      <c r="D341" s="9"/>
      <c r="E341" s="9"/>
      <c r="F341" s="9"/>
      <c r="G341" s="9"/>
      <c r="H341" s="109"/>
      <c r="I341" s="109"/>
      <c r="J341"/>
      <c r="K341"/>
      <c r="L341"/>
      <c r="M341" s="64">
        <f t="shared" si="49"/>
        <v>0</v>
      </c>
      <c r="N341" s="64">
        <f t="shared" si="50"/>
        <v>0</v>
      </c>
      <c r="O341" s="64">
        <f t="shared" si="51"/>
        <v>0</v>
      </c>
      <c r="P341" s="64">
        <f t="shared" si="52"/>
        <v>0</v>
      </c>
    </row>
    <row r="342" spans="1:16" s="13" customFormat="1" ht="12.75" customHeight="1" x14ac:dyDescent="0.3">
      <c r="A342"/>
      <c r="B342"/>
      <c r="C342"/>
      <c r="D342" s="9"/>
      <c r="E342" s="9"/>
      <c r="F342" s="9"/>
      <c r="G342" s="9"/>
      <c r="H342" s="109"/>
      <c r="I342" s="109"/>
      <c r="J342"/>
      <c r="K342"/>
      <c r="L342"/>
      <c r="M342" s="64"/>
      <c r="N342" s="64"/>
      <c r="O342" s="64"/>
      <c r="P342" s="64"/>
    </row>
    <row r="343" spans="1:16" x14ac:dyDescent="0.25">
      <c r="A343"/>
      <c r="B343"/>
      <c r="C343"/>
      <c r="H343" s="109"/>
      <c r="I343" s="109"/>
      <c r="M343" s="64"/>
      <c r="N343" s="64"/>
      <c r="O343" s="64"/>
      <c r="P343" s="64"/>
    </row>
    <row r="344" spans="1:16" s="19" customFormat="1" x14ac:dyDescent="0.25">
      <c r="A344"/>
      <c r="B344"/>
      <c r="C344"/>
      <c r="D344" s="9"/>
      <c r="E344" s="9"/>
      <c r="F344" s="9"/>
      <c r="G344" s="9"/>
      <c r="H344" s="109"/>
      <c r="I344" s="109"/>
      <c r="J344"/>
      <c r="K344"/>
      <c r="L344"/>
      <c r="M344" s="64">
        <f>D344+E344-F344-G344</f>
        <v>0</v>
      </c>
      <c r="N344" s="64">
        <f>H344-M344</f>
        <v>0</v>
      </c>
      <c r="O344" s="64">
        <f>M344*0.1</f>
        <v>0</v>
      </c>
      <c r="P344" s="64">
        <f>I344-O344</f>
        <v>0</v>
      </c>
    </row>
    <row r="345" spans="1:16" x14ac:dyDescent="0.25">
      <c r="A345"/>
      <c r="B345"/>
      <c r="C345"/>
      <c r="H345" s="109"/>
      <c r="I345" s="109"/>
      <c r="M345" s="64"/>
      <c r="N345" s="64"/>
      <c r="O345" s="64"/>
      <c r="P345" s="64"/>
    </row>
    <row r="346" spans="1:16" x14ac:dyDescent="0.25">
      <c r="A346"/>
      <c r="B346"/>
      <c r="C346"/>
      <c r="H346" s="109"/>
      <c r="I346" s="109"/>
      <c r="M346" s="64">
        <f>D346+E346-F346-G346</f>
        <v>0</v>
      </c>
      <c r="N346" s="64">
        <f>H346-M346</f>
        <v>0</v>
      </c>
      <c r="O346" s="64">
        <f>M346*0.1</f>
        <v>0</v>
      </c>
      <c r="P346" s="64">
        <f>I346-O346</f>
        <v>0</v>
      </c>
    </row>
    <row r="347" spans="1:16" x14ac:dyDescent="0.25">
      <c r="A347"/>
      <c r="B347"/>
      <c r="C347"/>
      <c r="H347" s="109"/>
      <c r="I347" s="109"/>
      <c r="M347" s="64">
        <f>D347+E347-F347-G347</f>
        <v>0</v>
      </c>
      <c r="N347" s="64">
        <f>H347-M347</f>
        <v>0</v>
      </c>
      <c r="O347" s="64">
        <f>M347*0.1</f>
        <v>0</v>
      </c>
      <c r="P347" s="64">
        <f>I347-O347</f>
        <v>0</v>
      </c>
    </row>
    <row r="348" spans="1:16" x14ac:dyDescent="0.25">
      <c r="A348"/>
      <c r="B348"/>
      <c r="C348"/>
      <c r="H348" s="109"/>
      <c r="I348" s="109"/>
      <c r="M348" s="64">
        <f>D348+E348-F348-G348</f>
        <v>0</v>
      </c>
      <c r="N348" s="64">
        <f>H348-M348</f>
        <v>0</v>
      </c>
      <c r="O348" s="64">
        <f>M348*0.1</f>
        <v>0</v>
      </c>
      <c r="P348" s="64">
        <f>I348-O348</f>
        <v>0</v>
      </c>
    </row>
    <row r="349" spans="1:16" x14ac:dyDescent="0.25">
      <c r="A349"/>
      <c r="B349"/>
      <c r="C349"/>
      <c r="H349" s="109"/>
      <c r="I349" s="109"/>
      <c r="M349" s="64">
        <f>D349+E349-F349-G349</f>
        <v>0</v>
      </c>
      <c r="N349" s="64">
        <f>H349-M349</f>
        <v>0</v>
      </c>
      <c r="O349" s="64">
        <f>M349*0.1</f>
        <v>0</v>
      </c>
      <c r="P349" s="64">
        <f>I349-O349</f>
        <v>0</v>
      </c>
    </row>
    <row r="350" spans="1:16" x14ac:dyDescent="0.25">
      <c r="A350"/>
      <c r="B350"/>
      <c r="C350"/>
      <c r="H350" s="109"/>
      <c r="I350" s="109"/>
      <c r="M350" s="64"/>
      <c r="N350" s="64"/>
      <c r="O350" s="64"/>
      <c r="P350" s="64"/>
    </row>
    <row r="351" spans="1:16" x14ac:dyDescent="0.25">
      <c r="A351"/>
      <c r="B351"/>
      <c r="C351"/>
      <c r="H351" s="109"/>
      <c r="I351" s="109"/>
      <c r="M351" s="64">
        <f>D351+E351-F351-G351</f>
        <v>0</v>
      </c>
      <c r="N351" s="64">
        <f>H351-M351</f>
        <v>0</v>
      </c>
      <c r="O351" s="64">
        <f>M351*0.1</f>
        <v>0</v>
      </c>
      <c r="P351" s="64">
        <f>I351-O351</f>
        <v>0</v>
      </c>
    </row>
    <row r="352" spans="1:16" x14ac:dyDescent="0.25">
      <c r="M352" s="64">
        <f>D352+E352-F352-G352</f>
        <v>0</v>
      </c>
      <c r="N352" s="64">
        <f>H352-M352</f>
        <v>0</v>
      </c>
      <c r="O352" s="64">
        <f>M352*0.1</f>
        <v>0</v>
      </c>
      <c r="P352" s="64">
        <f>I352-O352</f>
        <v>0</v>
      </c>
    </row>
    <row r="353" spans="1:16" x14ac:dyDescent="0.25">
      <c r="A353"/>
      <c r="B353"/>
      <c r="C353"/>
      <c r="H353" s="109"/>
      <c r="I353" s="109"/>
      <c r="M353" s="64"/>
      <c r="N353" s="64"/>
      <c r="O353" s="64"/>
      <c r="P353" s="64"/>
    </row>
    <row r="354" spans="1:16" x14ac:dyDescent="0.25">
      <c r="A354"/>
      <c r="B354"/>
      <c r="C354"/>
      <c r="H354" s="109"/>
      <c r="I354" s="109"/>
      <c r="M354" s="64"/>
      <c r="N354" s="64"/>
      <c r="O354" s="64"/>
      <c r="P354" s="64"/>
    </row>
    <row r="355" spans="1:16" ht="13" x14ac:dyDescent="0.3">
      <c r="A355"/>
      <c r="B355"/>
      <c r="C355"/>
      <c r="H355" s="109"/>
      <c r="I355" s="109"/>
      <c r="K355" s="13"/>
      <c r="L355" s="13"/>
      <c r="M355" s="64">
        <f>D355+E355-F355-G355</f>
        <v>0</v>
      </c>
      <c r="N355" s="64">
        <f>H355-M355</f>
        <v>0</v>
      </c>
      <c r="O355" s="64">
        <f>M355*0.1</f>
        <v>0</v>
      </c>
      <c r="P355" s="64">
        <f>I355-O355</f>
        <v>0</v>
      </c>
    </row>
    <row r="356" spans="1:16" x14ac:dyDescent="0.25">
      <c r="M356" s="64"/>
      <c r="N356" s="64"/>
      <c r="O356" s="64"/>
      <c r="P356" s="64"/>
    </row>
    <row r="357" spans="1:16" x14ac:dyDescent="0.25">
      <c r="A357"/>
      <c r="B357"/>
      <c r="C357"/>
      <c r="H357" s="109"/>
      <c r="I357" s="109"/>
      <c r="M357" s="64"/>
      <c r="N357" s="64"/>
      <c r="O357" s="64"/>
      <c r="P357" s="64"/>
    </row>
    <row r="358" spans="1:16" x14ac:dyDescent="0.25">
      <c r="A358"/>
      <c r="B358"/>
      <c r="C358"/>
      <c r="H358" s="109"/>
      <c r="I358" s="109"/>
      <c r="M358" s="64"/>
      <c r="N358" s="64"/>
      <c r="O358" s="64"/>
      <c r="P358" s="64"/>
    </row>
    <row r="359" spans="1:16" x14ac:dyDescent="0.25">
      <c r="A359"/>
      <c r="B359"/>
      <c r="C359"/>
      <c r="H359" s="109"/>
      <c r="I359" s="109"/>
      <c r="M359" s="64"/>
      <c r="N359" s="64"/>
      <c r="O359" s="64"/>
      <c r="P359" s="64"/>
    </row>
    <row r="360" spans="1:16" x14ac:dyDescent="0.25">
      <c r="M360" s="64">
        <f>D360+E360-F360-G360</f>
        <v>0</v>
      </c>
      <c r="N360" s="64">
        <f>H360-M360</f>
        <v>0</v>
      </c>
      <c r="O360" s="64">
        <f>M360*0.1</f>
        <v>0</v>
      </c>
      <c r="P360" s="64">
        <f>I360-O360</f>
        <v>0</v>
      </c>
    </row>
    <row r="361" spans="1:16" x14ac:dyDescent="0.25">
      <c r="A361"/>
      <c r="B361"/>
      <c r="C361"/>
      <c r="H361" s="109"/>
      <c r="I361" s="109"/>
      <c r="M361" s="64">
        <f>D361+E361-F361-G361</f>
        <v>0</v>
      </c>
      <c r="N361" s="64">
        <f>H361-M361</f>
        <v>0</v>
      </c>
      <c r="O361" s="64">
        <f>M361*0.1</f>
        <v>0</v>
      </c>
      <c r="P361" s="64">
        <f>I361-O361</f>
        <v>0</v>
      </c>
    </row>
    <row r="362" spans="1:16" x14ac:dyDescent="0.25">
      <c r="A362"/>
      <c r="B362"/>
      <c r="C362"/>
      <c r="H362" s="109"/>
      <c r="I362" s="109"/>
      <c r="M362" s="64">
        <f>D362+E362-F362-G362</f>
        <v>0</v>
      </c>
      <c r="N362" s="64">
        <f>H362-M362</f>
        <v>0</v>
      </c>
      <c r="O362" s="64">
        <f>M362*0.1</f>
        <v>0</v>
      </c>
      <c r="P362" s="64">
        <f>I362-O362</f>
        <v>0</v>
      </c>
    </row>
    <row r="363" spans="1:16" x14ac:dyDescent="0.25">
      <c r="A363"/>
      <c r="B363"/>
      <c r="C363"/>
      <c r="H363" s="109"/>
      <c r="I363" s="109"/>
      <c r="M363" s="64"/>
      <c r="N363" s="64"/>
      <c r="O363" s="64"/>
      <c r="P363" s="64"/>
    </row>
    <row r="364" spans="1:16" x14ac:dyDescent="0.25">
      <c r="A364"/>
      <c r="B364"/>
      <c r="C364"/>
      <c r="H364" s="109"/>
      <c r="I364" s="109"/>
      <c r="M364" s="64"/>
      <c r="N364" s="64"/>
      <c r="O364" s="64"/>
      <c r="P364" s="64"/>
    </row>
    <row r="365" spans="1:16" x14ac:dyDescent="0.25">
      <c r="A365"/>
      <c r="B365"/>
      <c r="C365"/>
      <c r="H365" s="109"/>
      <c r="I365" s="109"/>
      <c r="M365" s="64">
        <f>D365+E365-F365-G365</f>
        <v>0</v>
      </c>
      <c r="N365" s="64">
        <f>H365-M365</f>
        <v>0</v>
      </c>
      <c r="O365" s="64">
        <f>M365*0.1</f>
        <v>0</v>
      </c>
      <c r="P365" s="64">
        <f>I365-O365</f>
        <v>0</v>
      </c>
    </row>
    <row r="366" spans="1:16" x14ac:dyDescent="0.25">
      <c r="A366"/>
      <c r="B366"/>
      <c r="C366"/>
      <c r="H366" s="109"/>
      <c r="I366" s="109"/>
      <c r="M366" s="64"/>
      <c r="N366" s="64"/>
      <c r="O366" s="64"/>
      <c r="P366" s="64"/>
    </row>
    <row r="367" spans="1:16" x14ac:dyDescent="0.25">
      <c r="A367"/>
      <c r="B367"/>
      <c r="C367"/>
      <c r="H367" s="109"/>
      <c r="I367" s="109"/>
      <c r="M367" s="64"/>
      <c r="N367" s="64"/>
      <c r="O367" s="64"/>
      <c r="P367" s="64"/>
    </row>
    <row r="368" spans="1:16" x14ac:dyDescent="0.25">
      <c r="M368" s="64">
        <f>D368+E368-F368-G368</f>
        <v>0</v>
      </c>
      <c r="N368" s="64">
        <f>H368-M368</f>
        <v>0</v>
      </c>
      <c r="O368" s="64">
        <f>M368*0.1</f>
        <v>0</v>
      </c>
      <c r="P368" s="64">
        <f>I368-O368</f>
        <v>0</v>
      </c>
    </row>
    <row r="369" spans="1:16" x14ac:dyDescent="0.25">
      <c r="A369"/>
      <c r="B369"/>
      <c r="C369"/>
      <c r="H369" s="109"/>
      <c r="I369" s="109"/>
      <c r="M369" s="64"/>
      <c r="N369" s="64"/>
      <c r="O369" s="64"/>
      <c r="P369" s="64"/>
    </row>
    <row r="370" spans="1:16" x14ac:dyDescent="0.25">
      <c r="A370"/>
      <c r="B370"/>
      <c r="C370"/>
      <c r="H370" s="109"/>
      <c r="I370" s="109"/>
      <c r="M370" s="64">
        <f>D370+E370-F370-G370</f>
        <v>0</v>
      </c>
      <c r="N370" s="64">
        <f>H370-M370</f>
        <v>0</v>
      </c>
      <c r="O370" s="64">
        <f>M370*0.1</f>
        <v>0</v>
      </c>
      <c r="P370" s="64">
        <f>I370-O370</f>
        <v>0</v>
      </c>
    </row>
    <row r="371" spans="1:16" x14ac:dyDescent="0.25">
      <c r="A371"/>
      <c r="B371"/>
      <c r="C371"/>
      <c r="H371" s="109"/>
      <c r="I371" s="109"/>
      <c r="M371" s="64">
        <f>D371+E371-F371-G371</f>
        <v>0</v>
      </c>
      <c r="N371" s="64">
        <f>H371-M371</f>
        <v>0</v>
      </c>
      <c r="O371" s="64">
        <f>M371*0.1</f>
        <v>0</v>
      </c>
      <c r="P371" s="64">
        <f>I371-O371</f>
        <v>0</v>
      </c>
    </row>
    <row r="372" spans="1:16" x14ac:dyDescent="0.25">
      <c r="A372"/>
      <c r="B372"/>
      <c r="C372"/>
      <c r="H372" s="109"/>
      <c r="I372" s="109"/>
      <c r="M372" s="64"/>
      <c r="N372" s="64"/>
      <c r="O372" s="64"/>
      <c r="P372" s="64"/>
    </row>
    <row r="373" spans="1:16" x14ac:dyDescent="0.25">
      <c r="A373"/>
      <c r="B373"/>
      <c r="C373"/>
      <c r="H373" s="109"/>
      <c r="I373" s="109"/>
      <c r="M373" s="64">
        <f>D373+E373-F373-G373</f>
        <v>0</v>
      </c>
      <c r="N373" s="64">
        <f>H373-M373</f>
        <v>0</v>
      </c>
      <c r="O373" s="64">
        <f>M373*0.1</f>
        <v>0</v>
      </c>
      <c r="P373" s="64">
        <f>I373-O373</f>
        <v>0</v>
      </c>
    </row>
    <row r="374" spans="1:16" x14ac:dyDescent="0.25">
      <c r="A374"/>
      <c r="B374"/>
      <c r="C374"/>
      <c r="H374" s="109"/>
      <c r="I374" s="109"/>
      <c r="M374" s="64"/>
      <c r="N374" s="64"/>
      <c r="O374" s="64"/>
      <c r="P374" s="64"/>
    </row>
    <row r="375" spans="1:16" x14ac:dyDescent="0.25">
      <c r="M375" s="64"/>
      <c r="N375" s="64"/>
      <c r="O375" s="64"/>
      <c r="P375" s="64"/>
    </row>
    <row r="376" spans="1:16" x14ac:dyDescent="0.25">
      <c r="A376"/>
      <c r="B376"/>
      <c r="C376"/>
      <c r="H376" s="109"/>
      <c r="I376" s="109"/>
      <c r="M376" s="64">
        <f>D376+E376-F376-G376</f>
        <v>0</v>
      </c>
      <c r="N376" s="64">
        <f>H376-M376</f>
        <v>0</v>
      </c>
      <c r="O376" s="64">
        <f>M376*0.1</f>
        <v>0</v>
      </c>
      <c r="P376" s="64">
        <f>I376-O376</f>
        <v>0</v>
      </c>
    </row>
    <row r="377" spans="1:16" x14ac:dyDescent="0.25">
      <c r="A377"/>
      <c r="B377"/>
      <c r="C377"/>
      <c r="H377" s="109"/>
      <c r="I377" s="109"/>
      <c r="M377" s="64">
        <f>D377+E377-F377-G377</f>
        <v>0</v>
      </c>
      <c r="N377" s="64">
        <f>H377-M377</f>
        <v>0</v>
      </c>
      <c r="O377" s="64">
        <f>M377*0.1</f>
        <v>0</v>
      </c>
      <c r="P377" s="64">
        <f>I377-O377</f>
        <v>0</v>
      </c>
    </row>
    <row r="378" spans="1:16" x14ac:dyDescent="0.25">
      <c r="A378"/>
      <c r="B378"/>
      <c r="C378"/>
      <c r="H378" s="109"/>
      <c r="I378" s="109"/>
      <c r="M378" s="64"/>
      <c r="N378" s="64"/>
      <c r="O378" s="64"/>
      <c r="P378" s="64"/>
    </row>
    <row r="379" spans="1:16" x14ac:dyDescent="0.25">
      <c r="A379"/>
      <c r="B379"/>
      <c r="C379"/>
      <c r="H379" s="109"/>
      <c r="I379" s="109"/>
      <c r="M379" s="64">
        <f>D379+E379-F379-G379</f>
        <v>0</v>
      </c>
      <c r="N379" s="64">
        <f>H379-M379</f>
        <v>0</v>
      </c>
      <c r="O379" s="64">
        <f>M379*0.1</f>
        <v>0</v>
      </c>
      <c r="P379" s="64">
        <f>I379-O379</f>
        <v>0</v>
      </c>
    </row>
    <row r="380" spans="1:16" x14ac:dyDescent="0.25">
      <c r="A380"/>
      <c r="B380"/>
      <c r="C380"/>
      <c r="H380" s="109"/>
      <c r="I380" s="109"/>
      <c r="M380" s="64"/>
      <c r="N380" s="64"/>
      <c r="O380" s="64"/>
      <c r="P380" s="64"/>
    </row>
    <row r="381" spans="1:16" x14ac:dyDescent="0.25">
      <c r="A381"/>
      <c r="B381"/>
      <c r="C381"/>
      <c r="H381" s="109"/>
      <c r="I381" s="109"/>
      <c r="M381" s="64">
        <f>D381+E381-F381-G381</f>
        <v>0</v>
      </c>
      <c r="N381" s="64">
        <f>H381-M381</f>
        <v>0</v>
      </c>
      <c r="O381" s="64">
        <f>M381*0.1</f>
        <v>0</v>
      </c>
      <c r="P381" s="64">
        <f>I381-O381</f>
        <v>0</v>
      </c>
    </row>
    <row r="382" spans="1:16" x14ac:dyDescent="0.25">
      <c r="A382"/>
      <c r="B382"/>
      <c r="C382"/>
      <c r="H382" s="109"/>
      <c r="I382" s="109"/>
      <c r="M382" s="64">
        <f>D382+E382-F382-G382</f>
        <v>0</v>
      </c>
      <c r="N382" s="64">
        <f>H382-M382</f>
        <v>0</v>
      </c>
      <c r="O382" s="64">
        <f>M382*0.1</f>
        <v>0</v>
      </c>
      <c r="P382" s="64">
        <f>I382-O382</f>
        <v>0</v>
      </c>
    </row>
    <row r="383" spans="1:16" x14ac:dyDescent="0.25">
      <c r="M383" s="64">
        <f>D383+E383-F383-G383</f>
        <v>0</v>
      </c>
      <c r="N383" s="64">
        <f>H383-M383</f>
        <v>0</v>
      </c>
      <c r="O383" s="64">
        <f>M383*0.1</f>
        <v>0</v>
      </c>
      <c r="P383" s="64">
        <f>I383-O383</f>
        <v>0</v>
      </c>
    </row>
    <row r="384" spans="1:16" x14ac:dyDescent="0.25">
      <c r="A384"/>
      <c r="B384"/>
      <c r="C384"/>
      <c r="H384" s="109"/>
      <c r="I384" s="109"/>
      <c r="M384" s="64">
        <f>D384+E384-F384-G384</f>
        <v>0</v>
      </c>
      <c r="N384" s="64">
        <f>H384-M384</f>
        <v>0</v>
      </c>
      <c r="O384" s="64">
        <f>M384*0.1</f>
        <v>0</v>
      </c>
      <c r="P384" s="64">
        <f>I384-O384</f>
        <v>0</v>
      </c>
    </row>
    <row r="385" spans="1:16" x14ac:dyDescent="0.25">
      <c r="A385"/>
      <c r="B385"/>
      <c r="C385"/>
      <c r="H385" s="109"/>
      <c r="I385" s="109"/>
      <c r="M385" s="64">
        <f>D385+E385-F385-G385</f>
        <v>0</v>
      </c>
      <c r="N385" s="64">
        <f>H385-M385</f>
        <v>0</v>
      </c>
      <c r="O385" s="64">
        <f>M385*0.1</f>
        <v>0</v>
      </c>
      <c r="P385" s="64">
        <f>I385-O385</f>
        <v>0</v>
      </c>
    </row>
    <row r="386" spans="1:16" x14ac:dyDescent="0.25">
      <c r="A386"/>
      <c r="B386"/>
      <c r="C386"/>
      <c r="H386" s="109"/>
      <c r="I386" s="109"/>
      <c r="M386" s="64"/>
      <c r="N386" s="64"/>
      <c r="O386" s="64"/>
      <c r="P386" s="64"/>
    </row>
    <row r="387" spans="1:16" x14ac:dyDescent="0.25">
      <c r="A387"/>
      <c r="B387"/>
      <c r="C387"/>
      <c r="H387" s="109"/>
      <c r="I387" s="109"/>
      <c r="M387" s="64">
        <f>D387+E387-F387-G387</f>
        <v>0</v>
      </c>
      <c r="N387" s="64">
        <f>H387-M387</f>
        <v>0</v>
      </c>
      <c r="O387" s="64">
        <f>M387*0.1</f>
        <v>0</v>
      </c>
      <c r="P387" s="64">
        <f>I387-O387</f>
        <v>0</v>
      </c>
    </row>
    <row r="388" spans="1:16" x14ac:dyDescent="0.25">
      <c r="A388"/>
      <c r="B388"/>
      <c r="C388"/>
      <c r="H388" s="109"/>
      <c r="I388" s="109"/>
      <c r="M388" s="64"/>
      <c r="N388" s="64"/>
      <c r="O388" s="64"/>
      <c r="P388" s="64"/>
    </row>
    <row r="389" spans="1:16" x14ac:dyDescent="0.25">
      <c r="M389" s="64"/>
      <c r="N389" s="64"/>
      <c r="O389" s="64"/>
      <c r="P389" s="64"/>
    </row>
    <row r="390" spans="1:16" x14ac:dyDescent="0.25">
      <c r="A390"/>
      <c r="B390"/>
      <c r="C390"/>
      <c r="H390" s="109"/>
      <c r="I390" s="109"/>
      <c r="M390" s="64"/>
      <c r="N390" s="64"/>
      <c r="O390" s="64"/>
      <c r="P390" s="64"/>
    </row>
    <row r="391" spans="1:16" x14ac:dyDescent="0.25">
      <c r="A391"/>
      <c r="B391"/>
      <c r="C391"/>
      <c r="H391" s="109"/>
      <c r="I391" s="109"/>
      <c r="M391" s="64">
        <f>D391+E391-F391-G391</f>
        <v>0</v>
      </c>
      <c r="N391" s="64">
        <f>H391-M391</f>
        <v>0</v>
      </c>
      <c r="O391" s="64">
        <f>M391*0.1</f>
        <v>0</v>
      </c>
      <c r="P391" s="64">
        <f>I391-O391</f>
        <v>0</v>
      </c>
    </row>
    <row r="392" spans="1:16" x14ac:dyDescent="0.25">
      <c r="A392"/>
      <c r="B392"/>
      <c r="C392"/>
      <c r="H392" s="109"/>
      <c r="I392" s="109"/>
      <c r="M392" s="64">
        <f>D392+E392-F392-G392</f>
        <v>0</v>
      </c>
      <c r="N392" s="64">
        <f>H392-M392</f>
        <v>0</v>
      </c>
      <c r="O392" s="64">
        <f>M392*0.1</f>
        <v>0</v>
      </c>
      <c r="P392" s="64">
        <f>I392-O392</f>
        <v>0</v>
      </c>
    </row>
    <row r="393" spans="1:16" x14ac:dyDescent="0.25">
      <c r="A393"/>
      <c r="B393"/>
      <c r="C393"/>
      <c r="H393" s="109"/>
      <c r="I393" s="109"/>
      <c r="M393" s="64">
        <f>D393+E393-F393-G393</f>
        <v>0</v>
      </c>
      <c r="N393" s="64">
        <f>H393-M393</f>
        <v>0</v>
      </c>
      <c r="O393" s="64">
        <f>M393*0.1</f>
        <v>0</v>
      </c>
      <c r="P393" s="64">
        <f>I393-O393</f>
        <v>0</v>
      </c>
    </row>
    <row r="394" spans="1:16" x14ac:dyDescent="0.25">
      <c r="M394" s="64">
        <f>D394+E394-F394-G394</f>
        <v>0</v>
      </c>
      <c r="N394" s="64">
        <f>H394-M394</f>
        <v>0</v>
      </c>
      <c r="O394" s="64">
        <f>M394*0.1</f>
        <v>0</v>
      </c>
      <c r="P394" s="64">
        <f>I394-O394</f>
        <v>0</v>
      </c>
    </row>
    <row r="395" spans="1:16" x14ac:dyDescent="0.25">
      <c r="A395"/>
      <c r="B395"/>
      <c r="C395"/>
      <c r="H395" s="109"/>
      <c r="I395" s="109"/>
      <c r="M395" s="64"/>
      <c r="N395" s="64"/>
      <c r="O395" s="64"/>
      <c r="P395" s="64"/>
    </row>
    <row r="396" spans="1:16" x14ac:dyDescent="0.25">
      <c r="A396"/>
      <c r="B396"/>
      <c r="C396"/>
      <c r="H396" s="109"/>
      <c r="I396" s="109"/>
      <c r="M396" s="64">
        <f>D396+E396-F396-G396</f>
        <v>0</v>
      </c>
      <c r="N396" s="64">
        <f>H396-M396</f>
        <v>0</v>
      </c>
      <c r="O396" s="64">
        <f>M396*0.1</f>
        <v>0</v>
      </c>
      <c r="P396" s="64">
        <f>I396-O396</f>
        <v>0</v>
      </c>
    </row>
    <row r="397" spans="1:16" x14ac:dyDescent="0.25">
      <c r="A397"/>
      <c r="B397"/>
      <c r="C397"/>
      <c r="H397" s="109"/>
      <c r="I397" s="109"/>
      <c r="M397" s="64">
        <f>D397+E397-F397-G397</f>
        <v>0</v>
      </c>
      <c r="N397" s="64">
        <f>H397-M397</f>
        <v>0</v>
      </c>
      <c r="O397" s="64">
        <f>M397*0.1</f>
        <v>0</v>
      </c>
      <c r="P397" s="64">
        <f>I397-O397</f>
        <v>0</v>
      </c>
    </row>
    <row r="398" spans="1:16" x14ac:dyDescent="0.25">
      <c r="A398"/>
      <c r="B398"/>
      <c r="C398"/>
      <c r="H398" s="109"/>
      <c r="I398" s="109"/>
      <c r="M398" s="64"/>
      <c r="N398" s="64"/>
      <c r="O398" s="64"/>
      <c r="P398" s="64"/>
    </row>
    <row r="399" spans="1:16" x14ac:dyDescent="0.25">
      <c r="A399"/>
      <c r="B399"/>
      <c r="C399"/>
      <c r="H399" s="109"/>
      <c r="I399" s="109"/>
      <c r="M399" s="64">
        <f>D399+E399-F399-G399</f>
        <v>0</v>
      </c>
      <c r="N399" s="64">
        <f>H399-M399</f>
        <v>0</v>
      </c>
      <c r="O399" s="64">
        <f>M399*0.1</f>
        <v>0</v>
      </c>
      <c r="P399" s="64">
        <f>I399-O399</f>
        <v>0</v>
      </c>
    </row>
    <row r="400" spans="1:16" x14ac:dyDescent="0.25">
      <c r="A400"/>
      <c r="B400"/>
      <c r="C400"/>
      <c r="H400" s="109"/>
      <c r="I400" s="109"/>
      <c r="M400" s="64"/>
      <c r="N400" s="64"/>
      <c r="O400" s="64"/>
      <c r="P400" s="64"/>
    </row>
    <row r="401" spans="1:16" x14ac:dyDescent="0.25">
      <c r="A401"/>
      <c r="B401"/>
      <c r="C401"/>
      <c r="H401" s="109"/>
      <c r="I401" s="109"/>
      <c r="M401" s="64"/>
      <c r="N401" s="64"/>
      <c r="O401" s="64"/>
      <c r="P401" s="64"/>
    </row>
    <row r="402" spans="1:16" x14ac:dyDescent="0.25">
      <c r="A402"/>
      <c r="B402"/>
      <c r="C402"/>
      <c r="H402" s="109"/>
      <c r="I402" s="109"/>
      <c r="M402" s="64">
        <f>D402+E402-F402-G402</f>
        <v>0</v>
      </c>
      <c r="N402" s="64">
        <f>H402-M402</f>
        <v>0</v>
      </c>
      <c r="O402" s="64">
        <f>M402*0.1</f>
        <v>0</v>
      </c>
      <c r="P402" s="64">
        <f>I402-O402</f>
        <v>0</v>
      </c>
    </row>
    <row r="403" spans="1:16" x14ac:dyDescent="0.25">
      <c r="M403" s="64">
        <f>D403+E403-F403-G403</f>
        <v>0</v>
      </c>
      <c r="N403" s="64">
        <f>H403-M403</f>
        <v>0</v>
      </c>
      <c r="O403" s="64">
        <f>M403*0.1</f>
        <v>0</v>
      </c>
      <c r="P403" s="64">
        <f>I403-O403</f>
        <v>0</v>
      </c>
    </row>
    <row r="404" spans="1:16" x14ac:dyDescent="0.25">
      <c r="A404"/>
      <c r="B404"/>
      <c r="C404"/>
      <c r="H404" s="109"/>
      <c r="I404" s="109"/>
      <c r="M404" s="64">
        <f>D404+E404-F404-G404</f>
        <v>0</v>
      </c>
      <c r="N404" s="64">
        <f>H404-M404</f>
        <v>0</v>
      </c>
      <c r="O404" s="64">
        <f>M404*0.1</f>
        <v>0</v>
      </c>
      <c r="P404" s="64">
        <f>I404-O404</f>
        <v>0</v>
      </c>
    </row>
    <row r="405" spans="1:16" x14ac:dyDescent="0.25">
      <c r="A405"/>
      <c r="B405"/>
      <c r="C405"/>
      <c r="H405" s="109"/>
      <c r="I405" s="109"/>
      <c r="M405" s="64">
        <f>D405+E405-F405-G405</f>
        <v>0</v>
      </c>
      <c r="N405" s="64">
        <f>H405-M405</f>
        <v>0</v>
      </c>
      <c r="O405" s="64">
        <f>M405*0.1</f>
        <v>0</v>
      </c>
      <c r="P405" s="64">
        <f>I405-O405</f>
        <v>0</v>
      </c>
    </row>
    <row r="406" spans="1:16" x14ac:dyDescent="0.25">
      <c r="A406"/>
      <c r="B406"/>
      <c r="C406"/>
      <c r="H406" s="109"/>
      <c r="I406" s="109"/>
      <c r="M406" s="64"/>
      <c r="N406" s="64"/>
      <c r="O406" s="64"/>
      <c r="P406" s="64"/>
    </row>
    <row r="407" spans="1:16" x14ac:dyDescent="0.25">
      <c r="A407"/>
      <c r="B407"/>
      <c r="C407"/>
      <c r="H407" s="109"/>
      <c r="I407" s="109"/>
      <c r="M407" s="64">
        <f t="shared" ref="M407:M413" si="53">D407+E407-F407-G407</f>
        <v>0</v>
      </c>
      <c r="N407" s="64">
        <f t="shared" ref="N407:N413" si="54">H407-M407</f>
        <v>0</v>
      </c>
      <c r="O407" s="64">
        <f t="shared" ref="O407:O413" si="55">M407*0.1</f>
        <v>0</v>
      </c>
      <c r="P407" s="64">
        <f t="shared" ref="P407:P413" si="56">I407-O407</f>
        <v>0</v>
      </c>
    </row>
    <row r="408" spans="1:16" x14ac:dyDescent="0.25">
      <c r="A408"/>
      <c r="B408"/>
      <c r="C408"/>
      <c r="H408" s="109"/>
      <c r="I408" s="109"/>
      <c r="M408" s="64">
        <f t="shared" si="53"/>
        <v>0</v>
      </c>
      <c r="N408" s="64">
        <f t="shared" si="54"/>
        <v>0</v>
      </c>
      <c r="O408" s="64">
        <f t="shared" si="55"/>
        <v>0</v>
      </c>
      <c r="P408" s="64">
        <f t="shared" si="56"/>
        <v>0</v>
      </c>
    </row>
    <row r="409" spans="1:16" x14ac:dyDescent="0.25">
      <c r="A409"/>
      <c r="B409"/>
      <c r="C409"/>
      <c r="H409" s="109"/>
      <c r="I409" s="109"/>
      <c r="M409" s="64">
        <f t="shared" si="53"/>
        <v>0</v>
      </c>
      <c r="N409" s="64">
        <f t="shared" si="54"/>
        <v>0</v>
      </c>
      <c r="O409" s="64">
        <f t="shared" si="55"/>
        <v>0</v>
      </c>
      <c r="P409" s="64">
        <f t="shared" si="56"/>
        <v>0</v>
      </c>
    </row>
    <row r="410" spans="1:16" x14ac:dyDescent="0.25">
      <c r="A410"/>
      <c r="B410"/>
      <c r="C410"/>
      <c r="H410" s="109"/>
      <c r="I410" s="109"/>
      <c r="M410" s="64">
        <f t="shared" si="53"/>
        <v>0</v>
      </c>
      <c r="N410" s="64">
        <f t="shared" si="54"/>
        <v>0</v>
      </c>
      <c r="O410" s="64">
        <f t="shared" si="55"/>
        <v>0</v>
      </c>
      <c r="P410" s="64">
        <f t="shared" si="56"/>
        <v>0</v>
      </c>
    </row>
    <row r="411" spans="1:16" x14ac:dyDescent="0.25">
      <c r="A411"/>
      <c r="B411"/>
      <c r="C411"/>
      <c r="H411" s="109"/>
      <c r="I411" s="109"/>
      <c r="M411" s="64">
        <f t="shared" si="53"/>
        <v>0</v>
      </c>
      <c r="N411" s="64">
        <f t="shared" si="54"/>
        <v>0</v>
      </c>
      <c r="O411" s="64">
        <f t="shared" si="55"/>
        <v>0</v>
      </c>
      <c r="P411" s="64">
        <f t="shared" si="56"/>
        <v>0</v>
      </c>
    </row>
    <row r="412" spans="1:16" x14ac:dyDescent="0.25">
      <c r="A412"/>
      <c r="B412"/>
      <c r="C412"/>
      <c r="H412" s="109"/>
      <c r="I412" s="109"/>
      <c r="M412" s="64">
        <f t="shared" si="53"/>
        <v>0</v>
      </c>
      <c r="N412" s="64">
        <f t="shared" si="54"/>
        <v>0</v>
      </c>
      <c r="O412" s="64">
        <f t="shared" si="55"/>
        <v>0</v>
      </c>
      <c r="P412" s="64">
        <f t="shared" si="56"/>
        <v>0</v>
      </c>
    </row>
    <row r="413" spans="1:16" x14ac:dyDescent="0.25">
      <c r="A413"/>
      <c r="B413"/>
      <c r="C413"/>
      <c r="D413" s="120"/>
      <c r="E413" s="120"/>
      <c r="F413" s="120"/>
      <c r="G413" s="120"/>
      <c r="H413" s="109"/>
      <c r="I413" s="109"/>
      <c r="M413" s="64">
        <f t="shared" si="53"/>
        <v>0</v>
      </c>
      <c r="N413" s="64">
        <f t="shared" si="54"/>
        <v>0</v>
      </c>
      <c r="O413" s="64">
        <f t="shared" si="55"/>
        <v>0</v>
      </c>
      <c r="P413" s="64">
        <f t="shared" si="56"/>
        <v>0</v>
      </c>
    </row>
    <row r="414" spans="1:16" x14ac:dyDescent="0.25">
      <c r="A414"/>
      <c r="B414"/>
      <c r="C414"/>
      <c r="H414" s="109"/>
      <c r="I414" s="109"/>
      <c r="M414" s="64"/>
      <c r="N414" s="64"/>
      <c r="O414" s="64"/>
      <c r="P414" s="64"/>
    </row>
    <row r="415" spans="1:16" x14ac:dyDescent="0.25">
      <c r="A415"/>
      <c r="B415"/>
      <c r="C415"/>
      <c r="H415" s="109"/>
      <c r="I415" s="109"/>
      <c r="M415" s="64">
        <f>D415+E415-F415-G415</f>
        <v>0</v>
      </c>
      <c r="N415" s="64">
        <f>H415-M415</f>
        <v>0</v>
      </c>
      <c r="O415" s="64">
        <f>M415*0.1</f>
        <v>0</v>
      </c>
      <c r="P415" s="64">
        <f>I415-O415</f>
        <v>0</v>
      </c>
    </row>
    <row r="416" spans="1:16" x14ac:dyDescent="0.25">
      <c r="A416"/>
      <c r="B416"/>
      <c r="C416"/>
      <c r="H416" s="109"/>
      <c r="I416" s="109"/>
      <c r="M416" s="64"/>
      <c r="N416" s="64"/>
      <c r="O416" s="64"/>
      <c r="P416" s="64"/>
    </row>
    <row r="417" spans="1:16" x14ac:dyDescent="0.25">
      <c r="A417"/>
      <c r="B417"/>
      <c r="C417"/>
      <c r="H417" s="109"/>
      <c r="I417" s="109"/>
      <c r="M417" s="64">
        <f>D417+E417-F417-G417</f>
        <v>0</v>
      </c>
      <c r="N417" s="64">
        <f>H417-M417</f>
        <v>0</v>
      </c>
      <c r="O417" s="64">
        <f>M417*0.1</f>
        <v>0</v>
      </c>
      <c r="P417" s="64">
        <f>I417-O417</f>
        <v>0</v>
      </c>
    </row>
    <row r="418" spans="1:16" x14ac:dyDescent="0.25">
      <c r="M418" s="64">
        <f>D418+E418-F418-G418</f>
        <v>0</v>
      </c>
      <c r="N418" s="64">
        <f>H418-M418</f>
        <v>0</v>
      </c>
      <c r="O418" s="64">
        <f>M418*0.1</f>
        <v>0</v>
      </c>
      <c r="P418" s="64">
        <f>I418-O418</f>
        <v>0</v>
      </c>
    </row>
    <row r="419" spans="1:16" x14ac:dyDescent="0.25">
      <c r="A419"/>
      <c r="B419"/>
      <c r="C419"/>
      <c r="H419" s="109"/>
      <c r="I419" s="109"/>
      <c r="M419" s="64"/>
      <c r="N419" s="64"/>
      <c r="O419" s="64"/>
      <c r="P419" s="64"/>
    </row>
    <row r="420" spans="1:16" x14ac:dyDescent="0.25">
      <c r="A420"/>
      <c r="B420"/>
      <c r="C420"/>
      <c r="H420" s="109"/>
      <c r="I420" s="109"/>
      <c r="M420" s="64">
        <f>D420+E420-F420-G420</f>
        <v>0</v>
      </c>
      <c r="N420" s="64">
        <f>H420-M420</f>
        <v>0</v>
      </c>
      <c r="O420" s="64">
        <f>M420*0.1</f>
        <v>0</v>
      </c>
      <c r="P420" s="64">
        <f>I420-O420</f>
        <v>0</v>
      </c>
    </row>
    <row r="421" spans="1:16" x14ac:dyDescent="0.25">
      <c r="A421"/>
      <c r="B421"/>
      <c r="C421"/>
      <c r="H421" s="109"/>
      <c r="I421" s="109"/>
      <c r="M421" s="64"/>
      <c r="N421" s="64"/>
      <c r="O421" s="64"/>
      <c r="P421" s="64"/>
    </row>
    <row r="422" spans="1:16" x14ac:dyDescent="0.25">
      <c r="A422"/>
      <c r="B422"/>
      <c r="C422"/>
      <c r="H422" s="109"/>
      <c r="I422" s="109"/>
      <c r="M422" s="64"/>
      <c r="N422" s="64"/>
      <c r="O422" s="64"/>
      <c r="P422" s="64"/>
    </row>
    <row r="423" spans="1:16" x14ac:dyDescent="0.25">
      <c r="A423"/>
      <c r="B423"/>
      <c r="C423"/>
      <c r="H423" s="109"/>
      <c r="I423" s="109"/>
      <c r="M423" s="64">
        <f>D423+E423-F423-G423</f>
        <v>0</v>
      </c>
      <c r="N423" s="64">
        <f>H423-M423</f>
        <v>0</v>
      </c>
      <c r="O423" s="64">
        <f>M423*0.1</f>
        <v>0</v>
      </c>
      <c r="P423" s="64">
        <f>I423-O423</f>
        <v>0</v>
      </c>
    </row>
    <row r="424" spans="1:16" x14ac:dyDescent="0.25">
      <c r="M424" s="64">
        <f>D424+E424-F424-G424</f>
        <v>0</v>
      </c>
      <c r="N424" s="64">
        <f>H424-M424</f>
        <v>0</v>
      </c>
      <c r="O424" s="64">
        <f>M424*0.1</f>
        <v>0</v>
      </c>
      <c r="P424" s="64">
        <f>I424-O424</f>
        <v>0</v>
      </c>
    </row>
    <row r="425" spans="1:16" x14ac:dyDescent="0.25">
      <c r="A425"/>
      <c r="B425"/>
      <c r="C425"/>
      <c r="H425" s="109"/>
      <c r="I425" s="109"/>
      <c r="M425" s="64">
        <f>D425+E425-F425-G425</f>
        <v>0</v>
      </c>
      <c r="N425" s="64">
        <f>H425-M425</f>
        <v>0</v>
      </c>
      <c r="O425" s="64">
        <f>M425*0.1</f>
        <v>0</v>
      </c>
      <c r="P425" s="64">
        <f>I425-O425</f>
        <v>0</v>
      </c>
    </row>
    <row r="426" spans="1:16" x14ac:dyDescent="0.25">
      <c r="A426"/>
      <c r="B426"/>
      <c r="C426"/>
      <c r="H426" s="109"/>
      <c r="I426" s="109"/>
      <c r="M426" s="64"/>
      <c r="N426" s="64"/>
      <c r="O426" s="64"/>
      <c r="P426" s="64"/>
    </row>
    <row r="427" spans="1:16" x14ac:dyDescent="0.25">
      <c r="A427"/>
      <c r="B427"/>
      <c r="C427"/>
      <c r="H427" s="109"/>
      <c r="I427" s="109"/>
      <c r="M427" s="64"/>
      <c r="N427" s="64"/>
      <c r="O427" s="64"/>
      <c r="P427" s="64"/>
    </row>
    <row r="428" spans="1:16" x14ac:dyDescent="0.25">
      <c r="A428"/>
      <c r="B428"/>
      <c r="C428"/>
      <c r="H428" s="109"/>
      <c r="I428" s="109"/>
      <c r="M428" s="64">
        <f>D428+E428-F428-G428</f>
        <v>0</v>
      </c>
      <c r="N428" s="64">
        <f>H428-M428</f>
        <v>0</v>
      </c>
      <c r="O428" s="64">
        <f>M428*0.1</f>
        <v>0</v>
      </c>
      <c r="P428" s="64">
        <f>I428-O428</f>
        <v>0</v>
      </c>
    </row>
    <row r="429" spans="1:16" x14ac:dyDescent="0.25">
      <c r="A429"/>
      <c r="B429"/>
      <c r="C429"/>
      <c r="H429" s="109"/>
      <c r="I429" s="109"/>
      <c r="M429" s="64"/>
      <c r="N429" s="64"/>
      <c r="O429" s="64"/>
      <c r="P429" s="64"/>
    </row>
    <row r="430" spans="1:16" x14ac:dyDescent="0.25">
      <c r="A430"/>
      <c r="B430"/>
      <c r="C430"/>
      <c r="H430" s="109"/>
      <c r="I430" s="109"/>
      <c r="M430" s="64"/>
      <c r="N430" s="64"/>
      <c r="O430" s="64"/>
      <c r="P430" s="64"/>
    </row>
    <row r="431" spans="1:16" x14ac:dyDescent="0.25">
      <c r="A431"/>
      <c r="B431"/>
      <c r="C431"/>
      <c r="H431" s="109"/>
      <c r="I431" s="109"/>
      <c r="M431" s="64"/>
      <c r="N431" s="64"/>
      <c r="O431" s="64"/>
      <c r="P431" s="64"/>
    </row>
    <row r="432" spans="1:16" x14ac:dyDescent="0.25">
      <c r="A432"/>
      <c r="B432"/>
      <c r="C432"/>
      <c r="H432" s="109"/>
      <c r="I432" s="109"/>
      <c r="M432" s="64">
        <f>D432+E432-F432-G432</f>
        <v>0</v>
      </c>
      <c r="N432" s="64">
        <f>H432-M432</f>
        <v>0</v>
      </c>
      <c r="O432" s="64">
        <f>M432*0.1</f>
        <v>0</v>
      </c>
      <c r="P432" s="64">
        <f>I432-O432</f>
        <v>0</v>
      </c>
    </row>
    <row r="433" spans="1:16" x14ac:dyDescent="0.25">
      <c r="A433"/>
      <c r="B433"/>
      <c r="C433"/>
      <c r="H433" s="109"/>
      <c r="I433" s="109"/>
      <c r="M433" s="64">
        <f>D433+E433-F433-G433</f>
        <v>0</v>
      </c>
      <c r="N433" s="64">
        <f>H433-M433</f>
        <v>0</v>
      </c>
      <c r="O433" s="64">
        <f>M433*0.1</f>
        <v>0</v>
      </c>
      <c r="P433" s="64">
        <f>I433-O433</f>
        <v>0</v>
      </c>
    </row>
    <row r="434" spans="1:16" x14ac:dyDescent="0.25">
      <c r="A434"/>
      <c r="B434"/>
      <c r="C434"/>
      <c r="H434" s="109"/>
      <c r="I434" s="109"/>
      <c r="M434" s="64">
        <f>D434+E434-F434-G434</f>
        <v>0</v>
      </c>
      <c r="N434" s="64">
        <f>H434-M434</f>
        <v>0</v>
      </c>
      <c r="O434" s="64">
        <f>M434*0.1</f>
        <v>0</v>
      </c>
      <c r="P434" s="64">
        <f>I434-O434</f>
        <v>0</v>
      </c>
    </row>
    <row r="435" spans="1:16" x14ac:dyDescent="0.25">
      <c r="A435"/>
      <c r="B435"/>
      <c r="C435"/>
      <c r="H435" s="109"/>
      <c r="I435" s="109"/>
      <c r="M435" s="64"/>
      <c r="N435" s="64"/>
      <c r="O435" s="64"/>
      <c r="P435" s="64"/>
    </row>
    <row r="436" spans="1:16" x14ac:dyDescent="0.25">
      <c r="A436"/>
      <c r="B436"/>
      <c r="C436"/>
      <c r="H436" s="109"/>
      <c r="I436" s="109"/>
      <c r="M436" s="64">
        <f>D436+E436-F436-G436</f>
        <v>0</v>
      </c>
      <c r="N436" s="64">
        <f>H436-M436</f>
        <v>0</v>
      </c>
      <c r="O436" s="64">
        <f>M436*0.1</f>
        <v>0</v>
      </c>
      <c r="P436" s="64">
        <f>I436-O436</f>
        <v>0</v>
      </c>
    </row>
    <row r="437" spans="1:16" x14ac:dyDescent="0.25">
      <c r="A437"/>
      <c r="B437"/>
      <c r="C437"/>
      <c r="H437" s="109"/>
      <c r="I437" s="109"/>
      <c r="M437" s="64">
        <f>D437+E437-F437-G437</f>
        <v>0</v>
      </c>
      <c r="N437" s="64">
        <f>H437-M437</f>
        <v>0</v>
      </c>
      <c r="O437" s="64">
        <f>M437*0.1</f>
        <v>0</v>
      </c>
      <c r="P437" s="64">
        <f>I437-O437</f>
        <v>0</v>
      </c>
    </row>
    <row r="438" spans="1:16" x14ac:dyDescent="0.25">
      <c r="A438"/>
      <c r="B438"/>
      <c r="C438"/>
      <c r="H438" s="109"/>
      <c r="I438" s="109"/>
      <c r="M438" s="64">
        <f>D438+E438-F438-G438</f>
        <v>0</v>
      </c>
      <c r="N438" s="64">
        <f>H438-M438</f>
        <v>0</v>
      </c>
      <c r="O438" s="64">
        <f>M438*0.1</f>
        <v>0</v>
      </c>
      <c r="P438" s="64">
        <f>I438-O438</f>
        <v>0</v>
      </c>
    </row>
    <row r="439" spans="1:16" x14ac:dyDescent="0.25">
      <c r="A439"/>
      <c r="B439"/>
      <c r="C439"/>
      <c r="H439" s="109"/>
      <c r="I439" s="109"/>
      <c r="M439" s="64">
        <f>D439+E439-F439-G439</f>
        <v>0</v>
      </c>
      <c r="N439" s="64">
        <f>H439-M439</f>
        <v>0</v>
      </c>
      <c r="O439" s="64">
        <f>M439*0.1</f>
        <v>0</v>
      </c>
      <c r="P439" s="64">
        <f>I439-O439</f>
        <v>0</v>
      </c>
    </row>
    <row r="440" spans="1:16" x14ac:dyDescent="0.25">
      <c r="A440"/>
      <c r="B440"/>
      <c r="C440"/>
      <c r="H440" s="109"/>
      <c r="I440" s="109"/>
      <c r="M440" s="64"/>
      <c r="N440" s="64"/>
      <c r="O440" s="64"/>
      <c r="P440" s="64"/>
    </row>
    <row r="441" spans="1:16" x14ac:dyDescent="0.25">
      <c r="A441"/>
      <c r="B441"/>
      <c r="C441"/>
      <c r="H441" s="109"/>
      <c r="I441" s="109"/>
      <c r="M441" s="64"/>
      <c r="N441" s="64"/>
      <c r="O441" s="64"/>
      <c r="P441" s="64"/>
    </row>
    <row r="442" spans="1:16" x14ac:dyDescent="0.25">
      <c r="M442" s="64">
        <f t="shared" ref="M442:M453" si="57">D442+E442-F442-G442</f>
        <v>0</v>
      </c>
      <c r="N442" s="64">
        <f t="shared" ref="N442:N453" si="58">H442-M442</f>
        <v>0</v>
      </c>
      <c r="O442" s="64">
        <f t="shared" ref="O442:O453" si="59">M442*0.1</f>
        <v>0</v>
      </c>
      <c r="P442" s="64">
        <f t="shared" ref="P442:P453" si="60">I442-O442</f>
        <v>0</v>
      </c>
    </row>
    <row r="443" spans="1:16" x14ac:dyDescent="0.25">
      <c r="A443"/>
      <c r="B443"/>
      <c r="C443"/>
      <c r="H443" s="109"/>
      <c r="I443" s="109"/>
      <c r="M443" s="64">
        <f t="shared" si="57"/>
        <v>0</v>
      </c>
      <c r="N443" s="64">
        <f t="shared" si="58"/>
        <v>0</v>
      </c>
      <c r="O443" s="64">
        <f t="shared" si="59"/>
        <v>0</v>
      </c>
      <c r="P443" s="64">
        <f t="shared" si="60"/>
        <v>0</v>
      </c>
    </row>
    <row r="444" spans="1:16" x14ac:dyDescent="0.25">
      <c r="A444"/>
      <c r="B444"/>
      <c r="C444"/>
      <c r="H444" s="109"/>
      <c r="I444" s="109"/>
      <c r="M444" s="64">
        <f t="shared" si="57"/>
        <v>0</v>
      </c>
      <c r="N444" s="64">
        <f t="shared" si="58"/>
        <v>0</v>
      </c>
      <c r="O444" s="64">
        <f t="shared" si="59"/>
        <v>0</v>
      </c>
      <c r="P444" s="64">
        <f t="shared" si="60"/>
        <v>0</v>
      </c>
    </row>
    <row r="445" spans="1:16" x14ac:dyDescent="0.25">
      <c r="M445" s="64">
        <f t="shared" si="57"/>
        <v>0</v>
      </c>
      <c r="N445" s="64">
        <f t="shared" si="58"/>
        <v>0</v>
      </c>
      <c r="O445" s="64">
        <f t="shared" si="59"/>
        <v>0</v>
      </c>
      <c r="P445" s="64">
        <f t="shared" si="60"/>
        <v>0</v>
      </c>
    </row>
    <row r="446" spans="1:16" x14ac:dyDescent="0.25">
      <c r="A446"/>
      <c r="B446"/>
      <c r="C446"/>
      <c r="H446" s="109"/>
      <c r="I446" s="109"/>
      <c r="M446" s="64">
        <f t="shared" si="57"/>
        <v>0</v>
      </c>
      <c r="N446" s="64">
        <f t="shared" si="58"/>
        <v>0</v>
      </c>
      <c r="O446" s="64">
        <f t="shared" si="59"/>
        <v>0</v>
      </c>
      <c r="P446" s="64">
        <f t="shared" si="60"/>
        <v>0</v>
      </c>
    </row>
    <row r="447" spans="1:16" x14ac:dyDescent="0.25">
      <c r="A447"/>
      <c r="B447"/>
      <c r="C447"/>
      <c r="H447" s="109"/>
      <c r="I447" s="109"/>
      <c r="M447" s="64">
        <f t="shared" si="57"/>
        <v>0</v>
      </c>
      <c r="N447" s="64">
        <f t="shared" si="58"/>
        <v>0</v>
      </c>
      <c r="O447" s="64">
        <f t="shared" si="59"/>
        <v>0</v>
      </c>
      <c r="P447" s="64">
        <f t="shared" si="60"/>
        <v>0</v>
      </c>
    </row>
    <row r="448" spans="1:16" x14ac:dyDescent="0.25">
      <c r="A448"/>
      <c r="B448"/>
      <c r="C448"/>
      <c r="H448" s="109"/>
      <c r="I448" s="109"/>
      <c r="M448" s="64">
        <f t="shared" si="57"/>
        <v>0</v>
      </c>
      <c r="N448" s="64">
        <f t="shared" si="58"/>
        <v>0</v>
      </c>
      <c r="O448" s="64">
        <f t="shared" si="59"/>
        <v>0</v>
      </c>
      <c r="P448" s="64">
        <f t="shared" si="60"/>
        <v>0</v>
      </c>
    </row>
    <row r="449" spans="1:16" x14ac:dyDescent="0.25">
      <c r="A449"/>
      <c r="B449"/>
      <c r="C449"/>
      <c r="H449" s="109"/>
      <c r="I449" s="109"/>
      <c r="M449" s="64">
        <f t="shared" si="57"/>
        <v>0</v>
      </c>
      <c r="N449" s="64">
        <f t="shared" si="58"/>
        <v>0</v>
      </c>
      <c r="O449" s="64">
        <f t="shared" si="59"/>
        <v>0</v>
      </c>
      <c r="P449" s="64">
        <f t="shared" si="60"/>
        <v>0</v>
      </c>
    </row>
    <row r="450" spans="1:16" x14ac:dyDescent="0.25">
      <c r="A450"/>
      <c r="B450"/>
      <c r="C450"/>
      <c r="H450" s="109"/>
      <c r="I450" s="109"/>
      <c r="J450" s="19"/>
      <c r="M450" s="64">
        <f t="shared" si="57"/>
        <v>0</v>
      </c>
      <c r="N450" s="64">
        <f t="shared" si="58"/>
        <v>0</v>
      </c>
      <c r="O450" s="64">
        <f t="shared" si="59"/>
        <v>0</v>
      </c>
      <c r="P450" s="64">
        <f t="shared" si="60"/>
        <v>0</v>
      </c>
    </row>
    <row r="451" spans="1:16" x14ac:dyDescent="0.25">
      <c r="M451" s="64">
        <f t="shared" si="57"/>
        <v>0</v>
      </c>
      <c r="N451" s="64">
        <f t="shared" si="58"/>
        <v>0</v>
      </c>
      <c r="O451" s="64">
        <f t="shared" si="59"/>
        <v>0</v>
      </c>
      <c r="P451" s="64">
        <f t="shared" si="60"/>
        <v>0</v>
      </c>
    </row>
    <row r="452" spans="1:16" x14ac:dyDescent="0.25">
      <c r="A452"/>
      <c r="B452"/>
      <c r="C452"/>
      <c r="H452" s="109"/>
      <c r="I452" s="109"/>
      <c r="M452" s="64">
        <f t="shared" si="57"/>
        <v>0</v>
      </c>
      <c r="N452" s="64">
        <f t="shared" si="58"/>
        <v>0</v>
      </c>
      <c r="O452" s="64">
        <f t="shared" si="59"/>
        <v>0</v>
      </c>
      <c r="P452" s="64">
        <f t="shared" si="60"/>
        <v>0</v>
      </c>
    </row>
    <row r="453" spans="1:16" x14ac:dyDescent="0.25">
      <c r="M453" s="64">
        <f t="shared" si="57"/>
        <v>0</v>
      </c>
      <c r="N453" s="64">
        <f t="shared" si="58"/>
        <v>0</v>
      </c>
      <c r="O453" s="64">
        <f t="shared" si="59"/>
        <v>0</v>
      </c>
      <c r="P453" s="64">
        <f t="shared" si="60"/>
        <v>0</v>
      </c>
    </row>
    <row r="454" spans="1:16" x14ac:dyDescent="0.25">
      <c r="A454"/>
      <c r="B454"/>
      <c r="C454"/>
      <c r="H454" s="109"/>
      <c r="I454" s="109"/>
      <c r="M454" s="64"/>
      <c r="N454" s="64"/>
      <c r="O454" s="64"/>
      <c r="P454" s="64"/>
    </row>
    <row r="455" spans="1:16" x14ac:dyDescent="0.25">
      <c r="A455"/>
      <c r="B455"/>
      <c r="C455"/>
      <c r="H455" s="109"/>
      <c r="I455" s="109"/>
      <c r="M455" s="64"/>
      <c r="N455" s="64"/>
      <c r="O455" s="64"/>
      <c r="P455" s="64"/>
    </row>
    <row r="456" spans="1:16" x14ac:dyDescent="0.25">
      <c r="A456"/>
      <c r="B456"/>
      <c r="C456"/>
      <c r="H456" s="109"/>
      <c r="I456" s="109"/>
      <c r="M456" s="64"/>
      <c r="N456" s="64"/>
      <c r="O456" s="64"/>
      <c r="P456" s="64"/>
    </row>
    <row r="457" spans="1:16" x14ac:dyDescent="0.25">
      <c r="A457"/>
      <c r="B457"/>
      <c r="C457"/>
      <c r="H457" s="109"/>
      <c r="I457" s="109"/>
      <c r="M457" s="64"/>
      <c r="N457" s="64"/>
      <c r="O457" s="64"/>
      <c r="P457" s="64"/>
    </row>
    <row r="458" spans="1:16" x14ac:dyDescent="0.25">
      <c r="A458"/>
      <c r="B458"/>
      <c r="C458"/>
      <c r="H458" s="109"/>
      <c r="I458" s="109"/>
      <c r="M458" s="64"/>
      <c r="N458" s="64"/>
      <c r="O458" s="64"/>
      <c r="P458" s="64"/>
    </row>
    <row r="459" spans="1:16" x14ac:dyDescent="0.25">
      <c r="M459" s="64"/>
      <c r="N459" s="64"/>
      <c r="O459" s="64"/>
      <c r="P459" s="64"/>
    </row>
    <row r="460" spans="1:16" x14ac:dyDescent="0.25">
      <c r="A460"/>
      <c r="B460"/>
      <c r="C460"/>
      <c r="H460" s="109"/>
      <c r="I460" s="109"/>
      <c r="M460" s="64"/>
      <c r="N460" s="64"/>
      <c r="O460" s="64"/>
      <c r="P460" s="64"/>
    </row>
    <row r="461" spans="1:16" x14ac:dyDescent="0.25">
      <c r="A461"/>
      <c r="B461"/>
      <c r="C461"/>
      <c r="H461" s="109"/>
      <c r="I461" s="109"/>
      <c r="M461" s="64">
        <f t="shared" ref="M461:M469" si="61">D461+E461-F461-G461</f>
        <v>0</v>
      </c>
      <c r="N461" s="64">
        <f t="shared" ref="N461:N469" si="62">H461-M461</f>
        <v>0</v>
      </c>
      <c r="O461" s="64">
        <f t="shared" ref="O461:O469" si="63">M461*0.1</f>
        <v>0</v>
      </c>
      <c r="P461" s="64">
        <f t="shared" ref="P461:P469" si="64">I461-O461</f>
        <v>0</v>
      </c>
    </row>
    <row r="462" spans="1:16" x14ac:dyDescent="0.25">
      <c r="A462"/>
      <c r="B462"/>
      <c r="C462"/>
      <c r="H462" s="109"/>
      <c r="I462" s="109"/>
      <c r="M462" s="64">
        <f t="shared" si="61"/>
        <v>0</v>
      </c>
      <c r="N462" s="64">
        <f t="shared" si="62"/>
        <v>0</v>
      </c>
      <c r="O462" s="64">
        <f t="shared" si="63"/>
        <v>0</v>
      </c>
      <c r="P462" s="64">
        <f t="shared" si="64"/>
        <v>0</v>
      </c>
    </row>
    <row r="463" spans="1:16" x14ac:dyDescent="0.25">
      <c r="A463"/>
      <c r="B463"/>
      <c r="C463"/>
      <c r="H463" s="109"/>
      <c r="I463" s="109"/>
      <c r="J463" s="25"/>
      <c r="M463" s="64">
        <f t="shared" si="61"/>
        <v>0</v>
      </c>
      <c r="N463" s="64">
        <f t="shared" si="62"/>
        <v>0</v>
      </c>
      <c r="O463" s="64">
        <f t="shared" si="63"/>
        <v>0</v>
      </c>
      <c r="P463" s="64">
        <f t="shared" si="64"/>
        <v>0</v>
      </c>
    </row>
    <row r="464" spans="1:16" x14ac:dyDescent="0.25">
      <c r="A464"/>
      <c r="B464"/>
      <c r="C464"/>
      <c r="H464" s="109"/>
      <c r="I464" s="109"/>
      <c r="M464" s="64">
        <f t="shared" si="61"/>
        <v>0</v>
      </c>
      <c r="N464" s="64">
        <f t="shared" si="62"/>
        <v>0</v>
      </c>
      <c r="O464" s="64">
        <f t="shared" si="63"/>
        <v>0</v>
      </c>
      <c r="P464" s="64">
        <f t="shared" si="64"/>
        <v>0</v>
      </c>
    </row>
    <row r="465" spans="1:16" x14ac:dyDescent="0.25">
      <c r="A465"/>
      <c r="B465"/>
      <c r="C465"/>
      <c r="H465" s="109"/>
      <c r="I465" s="109"/>
      <c r="M465" s="64">
        <f t="shared" si="61"/>
        <v>0</v>
      </c>
      <c r="N465" s="64">
        <f t="shared" si="62"/>
        <v>0</v>
      </c>
      <c r="O465" s="64">
        <f t="shared" si="63"/>
        <v>0</v>
      </c>
      <c r="P465" s="64">
        <f t="shared" si="64"/>
        <v>0</v>
      </c>
    </row>
    <row r="466" spans="1:16" x14ac:dyDescent="0.25">
      <c r="A466"/>
      <c r="B466"/>
      <c r="C466"/>
      <c r="H466" s="109"/>
      <c r="I466" s="109"/>
      <c r="M466" s="64">
        <f t="shared" si="61"/>
        <v>0</v>
      </c>
      <c r="N466" s="64">
        <f t="shared" si="62"/>
        <v>0</v>
      </c>
      <c r="O466" s="64">
        <f t="shared" si="63"/>
        <v>0</v>
      </c>
      <c r="P466" s="64">
        <f t="shared" si="64"/>
        <v>0</v>
      </c>
    </row>
    <row r="467" spans="1:16" x14ac:dyDescent="0.25">
      <c r="A467"/>
      <c r="B467"/>
      <c r="C467"/>
      <c r="H467" s="109"/>
      <c r="I467" s="109"/>
      <c r="M467" s="64">
        <f t="shared" si="61"/>
        <v>0</v>
      </c>
      <c r="N467" s="64">
        <f t="shared" si="62"/>
        <v>0</v>
      </c>
      <c r="O467" s="64">
        <f t="shared" si="63"/>
        <v>0</v>
      </c>
      <c r="P467" s="64">
        <f t="shared" si="64"/>
        <v>0</v>
      </c>
    </row>
    <row r="468" spans="1:16" x14ac:dyDescent="0.25">
      <c r="A468"/>
      <c r="B468"/>
      <c r="C468"/>
      <c r="H468" s="109"/>
      <c r="I468" s="109"/>
      <c r="M468" s="64">
        <f t="shared" si="61"/>
        <v>0</v>
      </c>
      <c r="N468" s="64">
        <f t="shared" si="62"/>
        <v>0</v>
      </c>
      <c r="O468" s="64">
        <f t="shared" si="63"/>
        <v>0</v>
      </c>
      <c r="P468" s="64">
        <f t="shared" si="64"/>
        <v>0</v>
      </c>
    </row>
    <row r="469" spans="1:16" x14ac:dyDescent="0.25">
      <c r="M469" s="64">
        <f t="shared" si="61"/>
        <v>0</v>
      </c>
      <c r="N469" s="64">
        <f t="shared" si="62"/>
        <v>0</v>
      </c>
      <c r="O469" s="64">
        <f t="shared" si="63"/>
        <v>0</v>
      </c>
      <c r="P469" s="64">
        <f t="shared" si="64"/>
        <v>0</v>
      </c>
    </row>
    <row r="470" spans="1:16" x14ac:dyDescent="0.25">
      <c r="A470"/>
      <c r="B470"/>
      <c r="C470"/>
      <c r="H470" s="109"/>
      <c r="I470" s="109"/>
      <c r="M470" s="64"/>
      <c r="N470" s="64"/>
      <c r="O470" s="64"/>
      <c r="P470" s="64"/>
    </row>
    <row r="471" spans="1:16" x14ac:dyDescent="0.25">
      <c r="A471"/>
      <c r="B471"/>
      <c r="C471"/>
      <c r="H471" s="109"/>
      <c r="I471" s="109"/>
      <c r="M471" s="64">
        <f>D471+E471-F471-G471</f>
        <v>0</v>
      </c>
      <c r="N471" s="64">
        <f>H471-M471</f>
        <v>0</v>
      </c>
      <c r="O471" s="64">
        <f>M471*0.1</f>
        <v>0</v>
      </c>
      <c r="P471" s="64">
        <f>I471-O471</f>
        <v>0</v>
      </c>
    </row>
    <row r="472" spans="1:16" x14ac:dyDescent="0.25">
      <c r="A472"/>
      <c r="B472"/>
      <c r="C472"/>
      <c r="H472" s="109"/>
      <c r="I472" s="109"/>
      <c r="M472" s="64">
        <f>D472+E472-F472-G472</f>
        <v>0</v>
      </c>
      <c r="N472" s="64">
        <f>H472-M472</f>
        <v>0</v>
      </c>
      <c r="O472" s="64">
        <f>M472*0.1</f>
        <v>0</v>
      </c>
      <c r="P472" s="64">
        <f>I472-O472</f>
        <v>0</v>
      </c>
    </row>
    <row r="473" spans="1:16" x14ac:dyDescent="0.25">
      <c r="A473"/>
      <c r="B473"/>
      <c r="C473"/>
      <c r="H473" s="109"/>
      <c r="I473" s="109"/>
      <c r="M473" s="64"/>
      <c r="N473" s="64"/>
      <c r="O473" s="64"/>
      <c r="P473" s="64"/>
    </row>
    <row r="474" spans="1:16" x14ac:dyDescent="0.25">
      <c r="A474"/>
      <c r="B474"/>
      <c r="C474"/>
      <c r="H474" s="109"/>
      <c r="I474" s="109"/>
      <c r="M474" s="64">
        <f>D474+E474-F474-G474</f>
        <v>0</v>
      </c>
      <c r="N474" s="64">
        <f>H474-M474</f>
        <v>0</v>
      </c>
      <c r="O474" s="64">
        <f>M474*0.1</f>
        <v>0</v>
      </c>
      <c r="P474" s="64">
        <f>I474-O474</f>
        <v>0</v>
      </c>
    </row>
    <row r="475" spans="1:16" x14ac:dyDescent="0.25">
      <c r="A475"/>
      <c r="B475"/>
      <c r="C475"/>
      <c r="H475" s="109"/>
      <c r="I475" s="109"/>
      <c r="M475" s="64"/>
      <c r="N475" s="64"/>
      <c r="O475" s="64"/>
      <c r="P475" s="64"/>
    </row>
    <row r="476" spans="1:16" s="19" customFormat="1" x14ac:dyDescent="0.25">
      <c r="D476" s="120"/>
      <c r="E476" s="120"/>
      <c r="F476" s="120"/>
      <c r="G476" s="120"/>
      <c r="H476" s="120"/>
      <c r="I476" s="120"/>
      <c r="M476" s="127">
        <f>D476+E476-F476-G476</f>
        <v>0</v>
      </c>
      <c r="N476" s="127">
        <f>H476-M476</f>
        <v>0</v>
      </c>
      <c r="O476" s="127">
        <f>M476*0.1</f>
        <v>0</v>
      </c>
      <c r="P476" s="127">
        <f>I476-O476</f>
        <v>0</v>
      </c>
    </row>
    <row r="477" spans="1:16" x14ac:dyDescent="0.25">
      <c r="A477"/>
      <c r="B477"/>
      <c r="C477"/>
      <c r="H477" s="109"/>
      <c r="I477" s="109"/>
      <c r="M477" s="64">
        <f>D477+E477-F477-G477</f>
        <v>0</v>
      </c>
      <c r="N477" s="64">
        <f>H477-M477</f>
        <v>0</v>
      </c>
      <c r="O477" s="64">
        <f>M477*0.1</f>
        <v>0</v>
      </c>
      <c r="P477" s="64">
        <f>I477-O477</f>
        <v>0</v>
      </c>
    </row>
    <row r="478" spans="1:16" x14ac:dyDescent="0.25">
      <c r="A478"/>
      <c r="B478"/>
      <c r="C478"/>
      <c r="H478" s="109"/>
      <c r="I478" s="109"/>
      <c r="M478" s="64">
        <f>D478+E478-F478-G478</f>
        <v>0</v>
      </c>
      <c r="N478" s="64">
        <f>H478-M478</f>
        <v>0</v>
      </c>
      <c r="O478" s="64">
        <f>M478*0.1</f>
        <v>0</v>
      </c>
      <c r="P478" s="64">
        <f>I478-O478</f>
        <v>0</v>
      </c>
    </row>
    <row r="479" spans="1:16" x14ac:dyDescent="0.25">
      <c r="M479" s="64">
        <f>D479+E479-F479-G479</f>
        <v>0</v>
      </c>
      <c r="N479" s="64">
        <f>H479-M479</f>
        <v>0</v>
      </c>
      <c r="O479" s="64">
        <f>M479*0.1</f>
        <v>0</v>
      </c>
      <c r="P479" s="64">
        <f>I479-O479</f>
        <v>0</v>
      </c>
    </row>
    <row r="480" spans="1:16" x14ac:dyDescent="0.25">
      <c r="A480"/>
      <c r="B480"/>
      <c r="C480"/>
      <c r="H480" s="109"/>
      <c r="I480" s="109"/>
      <c r="M480" s="64"/>
      <c r="N480" s="64"/>
      <c r="O480" s="64"/>
      <c r="P480" s="64"/>
    </row>
    <row r="481" spans="1:16" x14ac:dyDescent="0.25">
      <c r="A481"/>
      <c r="B481"/>
      <c r="C481"/>
      <c r="H481" s="109"/>
      <c r="I481" s="109"/>
      <c r="M481" s="64">
        <f>D481+E481-F481-G481</f>
        <v>0</v>
      </c>
      <c r="N481" s="64">
        <f>H481-M481</f>
        <v>0</v>
      </c>
      <c r="O481" s="64">
        <f>M481*0.1</f>
        <v>0</v>
      </c>
      <c r="P481" s="64">
        <f>I481-O481</f>
        <v>0</v>
      </c>
    </row>
    <row r="482" spans="1:16" x14ac:dyDescent="0.25">
      <c r="A482"/>
      <c r="B482"/>
      <c r="C482"/>
      <c r="H482" s="109"/>
      <c r="I482" s="109"/>
      <c r="M482" s="64">
        <f>D482+E482-F482-G482</f>
        <v>0</v>
      </c>
      <c r="N482" s="64">
        <f>H482-M482</f>
        <v>0</v>
      </c>
      <c r="O482" s="64">
        <f>M482*0.1</f>
        <v>0</v>
      </c>
      <c r="P482" s="64">
        <f>I482-O482</f>
        <v>0</v>
      </c>
    </row>
    <row r="483" spans="1:16" x14ac:dyDescent="0.25">
      <c r="A483"/>
      <c r="B483"/>
      <c r="C483"/>
      <c r="H483" s="109"/>
      <c r="I483" s="109"/>
      <c r="M483" s="64">
        <f>D483+E483-F483-G483</f>
        <v>0</v>
      </c>
      <c r="N483" s="64">
        <f>H483-M483</f>
        <v>0</v>
      </c>
      <c r="O483" s="64">
        <f>M483*0.1</f>
        <v>0</v>
      </c>
      <c r="P483" s="64">
        <f>I483-O483</f>
        <v>0</v>
      </c>
    </row>
    <row r="484" spans="1:16" x14ac:dyDescent="0.25">
      <c r="A484"/>
      <c r="B484"/>
      <c r="C484"/>
      <c r="H484" s="109"/>
      <c r="I484" s="109"/>
      <c r="M484" s="64"/>
      <c r="N484" s="64"/>
      <c r="O484" s="64"/>
      <c r="P484" s="64"/>
    </row>
    <row r="485" spans="1:16" x14ac:dyDescent="0.25">
      <c r="A485"/>
      <c r="B485"/>
      <c r="C485"/>
      <c r="H485" s="109"/>
      <c r="I485" s="109"/>
      <c r="M485" s="64">
        <f t="shared" ref="M485:M492" si="65">D485+E485-F485-G485</f>
        <v>0</v>
      </c>
      <c r="N485" s="64">
        <f t="shared" ref="N485:N492" si="66">H485-M485</f>
        <v>0</v>
      </c>
      <c r="O485" s="64">
        <f t="shared" ref="O485:O492" si="67">M485*0.1</f>
        <v>0</v>
      </c>
      <c r="P485" s="64">
        <f t="shared" ref="P485:P492" si="68">I485-O485</f>
        <v>0</v>
      </c>
    </row>
    <row r="486" spans="1:16" ht="13" x14ac:dyDescent="0.3">
      <c r="A486"/>
      <c r="B486"/>
      <c r="C486"/>
      <c r="H486" s="109"/>
      <c r="I486" s="109"/>
      <c r="J486" s="19"/>
      <c r="K486" s="13"/>
      <c r="L486" s="13"/>
      <c r="M486" s="64">
        <f t="shared" si="65"/>
        <v>0</v>
      </c>
      <c r="N486" s="64">
        <f t="shared" si="66"/>
        <v>0</v>
      </c>
      <c r="O486" s="64">
        <f t="shared" si="67"/>
        <v>0</v>
      </c>
      <c r="P486" s="64">
        <f t="shared" si="68"/>
        <v>0</v>
      </c>
    </row>
    <row r="487" spans="1:16" x14ac:dyDescent="0.25">
      <c r="A487"/>
      <c r="B487"/>
      <c r="C487"/>
      <c r="H487" s="109"/>
      <c r="I487" s="109"/>
      <c r="M487" s="64">
        <f t="shared" si="65"/>
        <v>0</v>
      </c>
      <c r="N487" s="64">
        <f t="shared" si="66"/>
        <v>0</v>
      </c>
      <c r="O487" s="64">
        <f t="shared" si="67"/>
        <v>0</v>
      </c>
      <c r="P487" s="64">
        <f t="shared" si="68"/>
        <v>0</v>
      </c>
    </row>
    <row r="488" spans="1:16" x14ac:dyDescent="0.25">
      <c r="A488"/>
      <c r="B488"/>
      <c r="C488"/>
      <c r="H488" s="109"/>
      <c r="I488" s="109"/>
      <c r="M488" s="64">
        <f t="shared" si="65"/>
        <v>0</v>
      </c>
      <c r="N488" s="64">
        <f t="shared" si="66"/>
        <v>0</v>
      </c>
      <c r="O488" s="64">
        <f t="shared" si="67"/>
        <v>0</v>
      </c>
      <c r="P488" s="64">
        <f t="shared" si="68"/>
        <v>0</v>
      </c>
    </row>
    <row r="489" spans="1:16" x14ac:dyDescent="0.25">
      <c r="A489"/>
      <c r="B489"/>
      <c r="C489"/>
      <c r="H489" s="109"/>
      <c r="I489" s="109"/>
      <c r="M489" s="64">
        <f t="shared" si="65"/>
        <v>0</v>
      </c>
      <c r="N489" s="64">
        <f t="shared" si="66"/>
        <v>0</v>
      </c>
      <c r="O489" s="64">
        <f t="shared" si="67"/>
        <v>0</v>
      </c>
      <c r="P489" s="64">
        <f t="shared" si="68"/>
        <v>0</v>
      </c>
    </row>
    <row r="490" spans="1:16" x14ac:dyDescent="0.25">
      <c r="A490"/>
      <c r="B490"/>
      <c r="C490"/>
      <c r="H490" s="109"/>
      <c r="I490" s="109"/>
      <c r="M490" s="64">
        <f t="shared" si="65"/>
        <v>0</v>
      </c>
      <c r="N490" s="64">
        <f t="shared" si="66"/>
        <v>0</v>
      </c>
      <c r="O490" s="64">
        <f t="shared" si="67"/>
        <v>0</v>
      </c>
      <c r="P490" s="64">
        <f t="shared" si="68"/>
        <v>0</v>
      </c>
    </row>
    <row r="491" spans="1:16" x14ac:dyDescent="0.25">
      <c r="M491" s="64">
        <f t="shared" si="65"/>
        <v>0</v>
      </c>
      <c r="N491" s="64">
        <f t="shared" si="66"/>
        <v>0</v>
      </c>
      <c r="O491" s="64">
        <f t="shared" si="67"/>
        <v>0</v>
      </c>
      <c r="P491" s="64">
        <f t="shared" si="68"/>
        <v>0</v>
      </c>
    </row>
    <row r="492" spans="1:16" x14ac:dyDescent="0.25">
      <c r="A492"/>
      <c r="B492"/>
      <c r="C492"/>
      <c r="H492" s="109"/>
      <c r="I492" s="109"/>
      <c r="M492" s="64">
        <f t="shared" si="65"/>
        <v>0</v>
      </c>
      <c r="N492" s="64">
        <f t="shared" si="66"/>
        <v>0</v>
      </c>
      <c r="O492" s="64">
        <f t="shared" si="67"/>
        <v>0</v>
      </c>
      <c r="P492" s="64">
        <f t="shared" si="68"/>
        <v>0</v>
      </c>
    </row>
    <row r="493" spans="1:16" x14ac:dyDescent="0.25">
      <c r="M493" s="64"/>
      <c r="N493" s="64"/>
      <c r="O493" s="64"/>
      <c r="P493" s="64"/>
    </row>
    <row r="494" spans="1:16" x14ac:dyDescent="0.25">
      <c r="A494"/>
      <c r="B494"/>
      <c r="C494"/>
      <c r="H494" s="109"/>
      <c r="I494" s="109"/>
      <c r="M494" s="64"/>
      <c r="N494" s="64"/>
      <c r="O494" s="64"/>
      <c r="P494" s="64"/>
    </row>
    <row r="495" spans="1:16" x14ac:dyDescent="0.25">
      <c r="A495"/>
      <c r="B495"/>
      <c r="C495"/>
      <c r="H495" s="109"/>
      <c r="I495" s="109"/>
      <c r="M495" s="64">
        <f>D495+E495-F495-G495</f>
        <v>0</v>
      </c>
      <c r="N495" s="64">
        <f>H495-M495</f>
        <v>0</v>
      </c>
      <c r="O495" s="64">
        <f>M495*0.1</f>
        <v>0</v>
      </c>
      <c r="P495" s="64">
        <f>I495-O495</f>
        <v>0</v>
      </c>
    </row>
    <row r="496" spans="1:16" x14ac:dyDescent="0.25">
      <c r="A496"/>
      <c r="B496"/>
      <c r="C496"/>
      <c r="H496" s="109"/>
      <c r="I496" s="109"/>
      <c r="M496" s="64"/>
      <c r="N496" s="64"/>
      <c r="O496" s="64"/>
      <c r="P496" s="64"/>
    </row>
    <row r="497" spans="1:16" ht="13" x14ac:dyDescent="0.3">
      <c r="A497"/>
      <c r="B497"/>
      <c r="C497"/>
      <c r="H497" s="109"/>
      <c r="I497" s="109"/>
      <c r="K497" s="13"/>
      <c r="L497" s="13"/>
      <c r="M497" s="64">
        <f>D497+E497-F497-G497</f>
        <v>0</v>
      </c>
      <c r="N497" s="64">
        <f>H497-M497</f>
        <v>0</v>
      </c>
      <c r="O497" s="64">
        <f>M497*0.1</f>
        <v>0</v>
      </c>
      <c r="P497" s="64">
        <f>I497-O497</f>
        <v>0</v>
      </c>
    </row>
    <row r="498" spans="1:16" x14ac:dyDescent="0.25">
      <c r="A498"/>
      <c r="B498"/>
      <c r="C498"/>
      <c r="H498" s="109"/>
      <c r="I498" s="109"/>
      <c r="K498" s="9"/>
      <c r="M498" s="64">
        <f>D498+E498-F498-G498</f>
        <v>0</v>
      </c>
      <c r="N498" s="64">
        <f>H498-M498</f>
        <v>0</v>
      </c>
      <c r="O498" s="64">
        <f>M498*0.1</f>
        <v>0</v>
      </c>
      <c r="P498" s="64">
        <f>I498-O498</f>
        <v>0</v>
      </c>
    </row>
    <row r="499" spans="1:16" x14ac:dyDescent="0.25">
      <c r="A499"/>
      <c r="B499"/>
      <c r="C499"/>
      <c r="H499" s="109"/>
      <c r="I499" s="109"/>
      <c r="M499" s="64"/>
      <c r="N499" s="64"/>
      <c r="O499" s="64"/>
      <c r="P499" s="64"/>
    </row>
    <row r="500" spans="1:16" x14ac:dyDescent="0.25">
      <c r="A500"/>
      <c r="B500"/>
      <c r="C500"/>
      <c r="H500" s="109"/>
      <c r="I500" s="109"/>
      <c r="M500" s="64"/>
      <c r="N500" s="64"/>
      <c r="O500" s="64"/>
      <c r="P500" s="64"/>
    </row>
    <row r="501" spans="1:16" x14ac:dyDescent="0.25">
      <c r="A501"/>
      <c r="B501"/>
      <c r="C501"/>
      <c r="H501" s="109"/>
      <c r="I501" s="109"/>
      <c r="M501" s="64">
        <f>D501+E501-F501-G501</f>
        <v>0</v>
      </c>
      <c r="N501" s="64">
        <f>H501-M501</f>
        <v>0</v>
      </c>
      <c r="O501" s="64">
        <f>M501*0.1</f>
        <v>0</v>
      </c>
      <c r="P501" s="64">
        <f>I501-O501</f>
        <v>0</v>
      </c>
    </row>
    <row r="502" spans="1:16" x14ac:dyDescent="0.25">
      <c r="A502"/>
      <c r="B502"/>
      <c r="C502"/>
      <c r="H502" s="109"/>
      <c r="I502" s="109"/>
      <c r="M502" s="64">
        <f>D502+E502-F502-G502</f>
        <v>0</v>
      </c>
      <c r="N502" s="64">
        <f>H502-M502</f>
        <v>0</v>
      </c>
      <c r="O502" s="64">
        <f>M502*0.1</f>
        <v>0</v>
      </c>
      <c r="P502" s="64">
        <f>I502-O502</f>
        <v>0</v>
      </c>
    </row>
    <row r="503" spans="1:16" x14ac:dyDescent="0.25">
      <c r="A503"/>
      <c r="B503"/>
      <c r="C503"/>
      <c r="H503" s="109"/>
      <c r="I503" s="109"/>
      <c r="M503" s="64"/>
      <c r="N503" s="64"/>
      <c r="O503" s="64"/>
      <c r="P503" s="64"/>
    </row>
    <row r="504" spans="1:16" x14ac:dyDescent="0.25">
      <c r="A504"/>
      <c r="B504"/>
      <c r="C504"/>
      <c r="D504" s="120"/>
      <c r="E504" s="120"/>
      <c r="F504" s="120"/>
      <c r="G504" s="120"/>
      <c r="H504" s="120"/>
      <c r="I504" s="120"/>
      <c r="J504" s="9"/>
      <c r="M504" s="64">
        <f>D504+E504-F504-G504</f>
        <v>0</v>
      </c>
      <c r="N504" s="64">
        <f>H504-M504</f>
        <v>0</v>
      </c>
      <c r="O504" s="64">
        <f>M504*0.1</f>
        <v>0</v>
      </c>
      <c r="P504" s="64">
        <f>I504-O504</f>
        <v>0</v>
      </c>
    </row>
    <row r="505" spans="1:16" x14ac:dyDescent="0.25">
      <c r="A505"/>
      <c r="B505"/>
      <c r="C505"/>
      <c r="H505" s="109"/>
      <c r="I505" s="109"/>
      <c r="M505" s="64">
        <f>D505+E505-F505-G505</f>
        <v>0</v>
      </c>
      <c r="N505" s="64">
        <f>H505-M505</f>
        <v>0</v>
      </c>
      <c r="O505" s="64">
        <f>M505*0.1</f>
        <v>0</v>
      </c>
      <c r="P505" s="64">
        <f>I505-O505</f>
        <v>0</v>
      </c>
    </row>
    <row r="506" spans="1:16" x14ac:dyDescent="0.25">
      <c r="A506"/>
      <c r="B506"/>
      <c r="C506"/>
      <c r="H506" s="109"/>
      <c r="I506" s="109"/>
      <c r="M506" s="64">
        <f>D506+E506-F506-G506</f>
        <v>0</v>
      </c>
      <c r="N506" s="64">
        <f>H506-M506</f>
        <v>0</v>
      </c>
      <c r="O506" s="64">
        <f>M506*0.1</f>
        <v>0</v>
      </c>
      <c r="P506" s="64">
        <f>I506-O506</f>
        <v>0</v>
      </c>
    </row>
    <row r="507" spans="1:16" x14ac:dyDescent="0.25">
      <c r="A507"/>
      <c r="B507"/>
      <c r="C507"/>
      <c r="H507" s="109"/>
      <c r="I507" s="109"/>
      <c r="M507" s="64">
        <f>D507+E507-F507-G507</f>
        <v>0</v>
      </c>
      <c r="N507" s="64">
        <f>H507-M507</f>
        <v>0</v>
      </c>
      <c r="O507" s="64">
        <f>M507*0.1</f>
        <v>0</v>
      </c>
      <c r="P507" s="64">
        <f>I507-O507</f>
        <v>0</v>
      </c>
    </row>
    <row r="508" spans="1:16" x14ac:dyDescent="0.25">
      <c r="A508"/>
      <c r="B508"/>
      <c r="C508"/>
      <c r="H508" s="109"/>
      <c r="I508" s="109"/>
      <c r="M508" s="64"/>
      <c r="N508" s="64"/>
      <c r="O508" s="64"/>
      <c r="P508" s="64"/>
    </row>
    <row r="509" spans="1:16" x14ac:dyDescent="0.25">
      <c r="A509"/>
      <c r="B509"/>
      <c r="C509"/>
      <c r="H509" s="109"/>
      <c r="I509" s="109"/>
      <c r="K509" s="19"/>
      <c r="M509" s="64">
        <f>D509+E509-F509-G509</f>
        <v>0</v>
      </c>
      <c r="N509" s="64">
        <f>H509-M509</f>
        <v>0</v>
      </c>
      <c r="O509" s="64">
        <f>M509*0.1</f>
        <v>0</v>
      </c>
      <c r="P509" s="64">
        <f>I509-O509</f>
        <v>0</v>
      </c>
    </row>
    <row r="510" spans="1:16" x14ac:dyDescent="0.25">
      <c r="A510"/>
      <c r="B510"/>
      <c r="C510"/>
      <c r="H510" s="109"/>
      <c r="I510" s="109"/>
      <c r="M510" s="64"/>
      <c r="N510" s="64"/>
      <c r="O510" s="64"/>
      <c r="P510" s="64"/>
    </row>
    <row r="511" spans="1:16" x14ac:dyDescent="0.25">
      <c r="A511"/>
      <c r="B511"/>
      <c r="C511"/>
      <c r="H511" s="109"/>
      <c r="I511" s="109"/>
      <c r="M511" s="64"/>
      <c r="N511" s="64"/>
      <c r="O511" s="64"/>
      <c r="P511" s="64"/>
    </row>
    <row r="512" spans="1:16" x14ac:dyDescent="0.25">
      <c r="A512"/>
      <c r="B512"/>
      <c r="C512"/>
      <c r="H512" s="109"/>
      <c r="I512" s="109"/>
      <c r="M512" s="64">
        <f>D512+E512-F512-G512</f>
        <v>0</v>
      </c>
      <c r="N512" s="64">
        <f>H512-M512</f>
        <v>0</v>
      </c>
      <c r="O512" s="64">
        <f>M512*0.1</f>
        <v>0</v>
      </c>
      <c r="P512" s="64">
        <f>I512-O512</f>
        <v>0</v>
      </c>
    </row>
    <row r="513" spans="1:16" x14ac:dyDescent="0.25">
      <c r="A513"/>
      <c r="B513"/>
      <c r="C513"/>
      <c r="H513" s="109"/>
      <c r="I513" s="109"/>
      <c r="M513" s="64">
        <f>D513+E513-F513-G513</f>
        <v>0</v>
      </c>
      <c r="N513" s="64">
        <f>H513-M513</f>
        <v>0</v>
      </c>
      <c r="O513" s="64">
        <f>M513*0.1</f>
        <v>0</v>
      </c>
      <c r="P513" s="64">
        <f>I513-O513</f>
        <v>0</v>
      </c>
    </row>
    <row r="514" spans="1:16" x14ac:dyDescent="0.25">
      <c r="A514"/>
      <c r="B514"/>
      <c r="C514"/>
      <c r="H514" s="109"/>
      <c r="I514" s="109"/>
      <c r="M514" s="64"/>
      <c r="N514" s="64"/>
      <c r="O514" s="64"/>
      <c r="P514" s="64"/>
    </row>
    <row r="515" spans="1:16" x14ac:dyDescent="0.25">
      <c r="A515"/>
      <c r="B515"/>
      <c r="C515"/>
      <c r="H515" s="109"/>
      <c r="I515" s="109"/>
      <c r="K515" s="9"/>
      <c r="M515" s="64">
        <f>D515+E515-F515-G515</f>
        <v>0</v>
      </c>
      <c r="N515" s="64">
        <f>H515-M515</f>
        <v>0</v>
      </c>
      <c r="O515" s="64">
        <f>M515*0.1</f>
        <v>0</v>
      </c>
      <c r="P515" s="64">
        <f>I515-O515</f>
        <v>0</v>
      </c>
    </row>
    <row r="516" spans="1:16" x14ac:dyDescent="0.25">
      <c r="A516"/>
      <c r="B516"/>
      <c r="C516"/>
      <c r="H516" s="109"/>
      <c r="I516" s="109"/>
      <c r="M516" s="64">
        <f>D516+E516-F516-G516</f>
        <v>0</v>
      </c>
      <c r="N516" s="64">
        <f>H516-M516</f>
        <v>0</v>
      </c>
      <c r="O516" s="64">
        <f>M516*0.1</f>
        <v>0</v>
      </c>
      <c r="P516" s="64">
        <f>I516-O516</f>
        <v>0</v>
      </c>
    </row>
    <row r="517" spans="1:16" x14ac:dyDescent="0.25">
      <c r="A517"/>
      <c r="B517"/>
      <c r="C517"/>
      <c r="H517" s="109"/>
      <c r="I517" s="109"/>
      <c r="M517" s="64"/>
      <c r="N517" s="64"/>
      <c r="O517" s="64"/>
      <c r="P517" s="64"/>
    </row>
    <row r="518" spans="1:16" x14ac:dyDescent="0.25">
      <c r="A518"/>
      <c r="B518"/>
      <c r="C518"/>
      <c r="H518" s="109"/>
      <c r="I518" s="109"/>
      <c r="M518" s="64">
        <f>D518+E518-F518-G518</f>
        <v>0</v>
      </c>
      <c r="N518" s="64">
        <f>H518-M518</f>
        <v>0</v>
      </c>
      <c r="O518" s="64">
        <f>M518*0.1</f>
        <v>0</v>
      </c>
      <c r="P518" s="64">
        <f>I518-O518</f>
        <v>0</v>
      </c>
    </row>
    <row r="519" spans="1:16" x14ac:dyDescent="0.25">
      <c r="A519"/>
      <c r="B519"/>
      <c r="C519"/>
      <c r="H519" s="109"/>
      <c r="I519" s="109"/>
      <c r="M519" s="64">
        <f>D519+E519-F519-G519</f>
        <v>0</v>
      </c>
      <c r="N519" s="64">
        <f>H519-M519</f>
        <v>0</v>
      </c>
      <c r="O519" s="64">
        <f>M519*0.1</f>
        <v>0</v>
      </c>
      <c r="P519" s="64">
        <f>I519-O519</f>
        <v>0</v>
      </c>
    </row>
    <row r="520" spans="1:16" x14ac:dyDescent="0.25">
      <c r="A520"/>
      <c r="B520"/>
      <c r="C520"/>
      <c r="H520" s="109"/>
      <c r="I520" s="109"/>
      <c r="M520" s="64"/>
      <c r="N520" s="64"/>
      <c r="O520" s="64"/>
      <c r="P520" s="64"/>
    </row>
    <row r="521" spans="1:16" x14ac:dyDescent="0.25">
      <c r="A521"/>
      <c r="B521"/>
      <c r="C521"/>
      <c r="H521" s="109"/>
      <c r="I521" s="109"/>
      <c r="M521" s="64">
        <f>D521+E521-F521-G521</f>
        <v>0</v>
      </c>
      <c r="N521" s="64">
        <f>H521-M521</f>
        <v>0</v>
      </c>
      <c r="O521" s="64">
        <f>M521*0.1</f>
        <v>0</v>
      </c>
      <c r="P521" s="64">
        <f>I521-O521</f>
        <v>0</v>
      </c>
    </row>
    <row r="522" spans="1:16" x14ac:dyDescent="0.25">
      <c r="A522"/>
      <c r="B522"/>
      <c r="C522"/>
      <c r="H522" s="109"/>
      <c r="I522" s="109"/>
      <c r="M522" s="64">
        <f>D522+E522-F522-G522</f>
        <v>0</v>
      </c>
      <c r="N522" s="64">
        <f>H522-M522</f>
        <v>0</v>
      </c>
      <c r="O522" s="64">
        <f>M522*0.1</f>
        <v>0</v>
      </c>
      <c r="P522" s="64">
        <f>I522-O522</f>
        <v>0</v>
      </c>
    </row>
    <row r="523" spans="1:16" x14ac:dyDescent="0.25">
      <c r="M523" s="64"/>
      <c r="N523" s="64"/>
      <c r="O523" s="64"/>
      <c r="P523" s="64"/>
    </row>
    <row r="524" spans="1:16" x14ac:dyDescent="0.25">
      <c r="A524"/>
      <c r="B524"/>
      <c r="C524"/>
      <c r="H524" s="109"/>
      <c r="I524" s="109"/>
      <c r="M524" s="64"/>
      <c r="N524" s="64"/>
      <c r="O524" s="64"/>
      <c r="P524" s="64"/>
    </row>
    <row r="525" spans="1:16" x14ac:dyDescent="0.25">
      <c r="D525" s="120"/>
      <c r="F525" s="120"/>
      <c r="H525" s="120"/>
      <c r="I525" s="120"/>
      <c r="M525" s="64">
        <f>D525+E525-F525-G525</f>
        <v>0</v>
      </c>
      <c r="N525" s="64">
        <f>H525-M525</f>
        <v>0</v>
      </c>
      <c r="O525" s="64">
        <f>M525*0.1</f>
        <v>0</v>
      </c>
      <c r="P525" s="64">
        <f>I525-O525</f>
        <v>0</v>
      </c>
    </row>
    <row r="526" spans="1:16" x14ac:dyDescent="0.25">
      <c r="M526" s="64"/>
      <c r="N526" s="64"/>
      <c r="O526" s="64"/>
      <c r="P526" s="64"/>
    </row>
    <row r="527" spans="1:16" x14ac:dyDescent="0.25">
      <c r="A527"/>
      <c r="B527"/>
      <c r="C527"/>
      <c r="H527" s="109"/>
      <c r="I527" s="109"/>
      <c r="M527" s="64">
        <f>D527+E527-F527-G527</f>
        <v>0</v>
      </c>
      <c r="N527" s="64">
        <f>H527-M527</f>
        <v>0</v>
      </c>
      <c r="O527" s="64">
        <f>M527*0.1</f>
        <v>0</v>
      </c>
      <c r="P527" s="64">
        <f>I527-O527</f>
        <v>0</v>
      </c>
    </row>
    <row r="528" spans="1:16" x14ac:dyDescent="0.25">
      <c r="A528"/>
      <c r="B528"/>
      <c r="C528"/>
      <c r="H528" s="109"/>
      <c r="I528" s="109"/>
      <c r="M528" s="64">
        <f>D528+E528-F528-G528</f>
        <v>0</v>
      </c>
      <c r="N528" s="64">
        <f>H528-M528</f>
        <v>0</v>
      </c>
      <c r="O528" s="64">
        <f>M528*0.1</f>
        <v>0</v>
      </c>
      <c r="P528" s="64">
        <f>I528-O528</f>
        <v>0</v>
      </c>
    </row>
    <row r="529" spans="1:16" x14ac:dyDescent="0.25">
      <c r="A529"/>
      <c r="B529"/>
      <c r="C529"/>
      <c r="H529" s="109"/>
      <c r="I529" s="109"/>
      <c r="M529" s="64"/>
      <c r="N529" s="64"/>
      <c r="O529" s="64"/>
      <c r="P529" s="64"/>
    </row>
    <row r="530" spans="1:16" x14ac:dyDescent="0.25">
      <c r="A530"/>
      <c r="B530"/>
      <c r="C530"/>
      <c r="H530" s="109"/>
      <c r="I530" s="109"/>
      <c r="M530" s="64">
        <f>D530+E530-F530-G530</f>
        <v>0</v>
      </c>
      <c r="N530" s="64">
        <f>H530-M530</f>
        <v>0</v>
      </c>
      <c r="O530" s="64">
        <f>M530*0.1</f>
        <v>0</v>
      </c>
      <c r="P530" s="64">
        <f>I530-O530</f>
        <v>0</v>
      </c>
    </row>
    <row r="531" spans="1:16" x14ac:dyDescent="0.25">
      <c r="A531"/>
      <c r="B531"/>
      <c r="C531"/>
      <c r="H531" s="109"/>
      <c r="I531" s="109"/>
      <c r="M531" s="64"/>
      <c r="N531" s="64"/>
      <c r="O531" s="64"/>
      <c r="P531" s="64"/>
    </row>
    <row r="532" spans="1:16" x14ac:dyDescent="0.25">
      <c r="A532"/>
      <c r="B532"/>
      <c r="C532"/>
      <c r="H532" s="109"/>
      <c r="I532" s="109"/>
      <c r="K532" s="9"/>
      <c r="M532" s="64">
        <f>D532+E532-F532-G532</f>
        <v>0</v>
      </c>
      <c r="N532" s="64">
        <f>H532-M532</f>
        <v>0</v>
      </c>
      <c r="O532" s="64">
        <f>M532*0.1</f>
        <v>0</v>
      </c>
      <c r="P532" s="64">
        <f>I532-O532</f>
        <v>0</v>
      </c>
    </row>
    <row r="533" spans="1:16" x14ac:dyDescent="0.25">
      <c r="M533" s="64"/>
      <c r="N533" s="64"/>
      <c r="O533" s="64"/>
      <c r="P533" s="64"/>
    </row>
    <row r="534" spans="1:16" x14ac:dyDescent="0.25">
      <c r="A534"/>
      <c r="B534"/>
      <c r="C534"/>
      <c r="H534" s="109"/>
      <c r="I534" s="109"/>
      <c r="M534" s="64">
        <f t="shared" ref="M534:M540" si="69">D534+E534-F534-G534</f>
        <v>0</v>
      </c>
      <c r="N534" s="64">
        <f t="shared" ref="N534:N540" si="70">H534-M534</f>
        <v>0</v>
      </c>
      <c r="O534" s="64">
        <f t="shared" ref="O534:O540" si="71">M534*0.1</f>
        <v>0</v>
      </c>
      <c r="P534" s="64">
        <f t="shared" ref="P534:P540" si="72">I534-O534</f>
        <v>0</v>
      </c>
    </row>
    <row r="535" spans="1:16" x14ac:dyDescent="0.25">
      <c r="A535"/>
      <c r="B535"/>
      <c r="C535"/>
      <c r="H535" s="109"/>
      <c r="I535" s="109"/>
      <c r="M535" s="64">
        <f t="shared" si="69"/>
        <v>0</v>
      </c>
      <c r="N535" s="64">
        <f t="shared" si="70"/>
        <v>0</v>
      </c>
      <c r="O535" s="64">
        <f t="shared" si="71"/>
        <v>0</v>
      </c>
      <c r="P535" s="64">
        <f t="shared" si="72"/>
        <v>0</v>
      </c>
    </row>
    <row r="536" spans="1:16" x14ac:dyDescent="0.25">
      <c r="A536"/>
      <c r="B536"/>
      <c r="C536"/>
      <c r="H536" s="109"/>
      <c r="I536" s="109"/>
      <c r="M536" s="64">
        <f t="shared" si="69"/>
        <v>0</v>
      </c>
      <c r="N536" s="64">
        <f t="shared" si="70"/>
        <v>0</v>
      </c>
      <c r="O536" s="64">
        <f t="shared" si="71"/>
        <v>0</v>
      </c>
      <c r="P536" s="64">
        <f t="shared" si="72"/>
        <v>0</v>
      </c>
    </row>
    <row r="537" spans="1:16" x14ac:dyDescent="0.25">
      <c r="A537"/>
      <c r="B537"/>
      <c r="C537"/>
      <c r="H537" s="109"/>
      <c r="I537" s="109"/>
      <c r="M537" s="64">
        <f t="shared" si="69"/>
        <v>0</v>
      </c>
      <c r="N537" s="64">
        <f t="shared" si="70"/>
        <v>0</v>
      </c>
      <c r="O537" s="64">
        <f t="shared" si="71"/>
        <v>0</v>
      </c>
      <c r="P537" s="64">
        <f t="shared" si="72"/>
        <v>0</v>
      </c>
    </row>
    <row r="538" spans="1:16" x14ac:dyDescent="0.25">
      <c r="A538"/>
      <c r="B538"/>
      <c r="C538"/>
      <c r="H538" s="109"/>
      <c r="I538" s="109"/>
      <c r="K538" s="9"/>
      <c r="M538" s="64">
        <f t="shared" si="69"/>
        <v>0</v>
      </c>
      <c r="N538" s="64">
        <f t="shared" si="70"/>
        <v>0</v>
      </c>
      <c r="O538" s="64">
        <f t="shared" si="71"/>
        <v>0</v>
      </c>
      <c r="P538" s="64">
        <f t="shared" si="72"/>
        <v>0</v>
      </c>
    </row>
    <row r="539" spans="1:16" x14ac:dyDescent="0.25">
      <c r="A539"/>
      <c r="B539"/>
      <c r="C539"/>
      <c r="H539" s="109"/>
      <c r="I539" s="109"/>
      <c r="M539" s="64">
        <f t="shared" si="69"/>
        <v>0</v>
      </c>
      <c r="N539" s="64">
        <f t="shared" si="70"/>
        <v>0</v>
      </c>
      <c r="O539" s="64">
        <f t="shared" si="71"/>
        <v>0</v>
      </c>
      <c r="P539" s="64">
        <f t="shared" si="72"/>
        <v>0</v>
      </c>
    </row>
    <row r="540" spans="1:16" x14ac:dyDescent="0.25">
      <c r="M540" s="64">
        <f t="shared" si="69"/>
        <v>0</v>
      </c>
      <c r="N540" s="64">
        <f t="shared" si="70"/>
        <v>0</v>
      </c>
      <c r="O540" s="64">
        <f t="shared" si="71"/>
        <v>0</v>
      </c>
      <c r="P540" s="64">
        <f t="shared" si="72"/>
        <v>0</v>
      </c>
    </row>
    <row r="541" spans="1:16" x14ac:dyDescent="0.25">
      <c r="M541" s="64"/>
      <c r="N541" s="64"/>
      <c r="O541" s="64"/>
      <c r="P541" s="64"/>
    </row>
    <row r="542" spans="1:16" x14ac:dyDescent="0.25">
      <c r="A542"/>
      <c r="B542"/>
      <c r="C542"/>
      <c r="H542" s="109"/>
      <c r="I542" s="109"/>
      <c r="M542" s="64"/>
      <c r="N542" s="64"/>
      <c r="O542" s="64"/>
      <c r="P542" s="64"/>
    </row>
    <row r="543" spans="1:16" x14ac:dyDescent="0.25">
      <c r="M543" s="64"/>
      <c r="N543" s="64"/>
      <c r="O543" s="64"/>
      <c r="P543" s="64"/>
    </row>
    <row r="544" spans="1:16" x14ac:dyDescent="0.25">
      <c r="A544"/>
      <c r="B544"/>
      <c r="C544"/>
      <c r="H544" s="109"/>
      <c r="I544" s="109"/>
      <c r="M544" s="64"/>
      <c r="N544" s="64"/>
      <c r="O544" s="64"/>
      <c r="P544" s="64"/>
    </row>
    <row r="545" spans="1:16" x14ac:dyDescent="0.25">
      <c r="A545"/>
      <c r="B545"/>
      <c r="C545"/>
      <c r="H545" s="109"/>
      <c r="I545" s="109"/>
      <c r="M545" s="64"/>
      <c r="N545" s="64"/>
      <c r="O545" s="64"/>
      <c r="P545" s="64"/>
    </row>
    <row r="546" spans="1:16" x14ac:dyDescent="0.25">
      <c r="A546"/>
      <c r="B546"/>
      <c r="C546"/>
      <c r="H546" s="109"/>
      <c r="I546" s="109"/>
      <c r="M546" s="64"/>
      <c r="N546" s="64"/>
      <c r="O546" s="64"/>
      <c r="P546" s="64"/>
    </row>
    <row r="547" spans="1:16" x14ac:dyDescent="0.25">
      <c r="A547"/>
      <c r="B547"/>
      <c r="C547"/>
      <c r="H547" s="109"/>
      <c r="I547" s="109"/>
      <c r="M547" s="64"/>
      <c r="N547" s="64"/>
      <c r="O547" s="64"/>
      <c r="P547" s="64"/>
    </row>
    <row r="548" spans="1:16" x14ac:dyDescent="0.25">
      <c r="A548"/>
      <c r="B548"/>
      <c r="C548"/>
      <c r="H548" s="109"/>
      <c r="I548" s="109"/>
      <c r="M548" s="64"/>
      <c r="N548" s="64"/>
      <c r="O548" s="64"/>
      <c r="P548" s="64"/>
    </row>
    <row r="549" spans="1:16" x14ac:dyDescent="0.25">
      <c r="A549"/>
      <c r="B549"/>
      <c r="C549"/>
      <c r="H549" s="109"/>
      <c r="I549" s="109"/>
      <c r="M549" s="64"/>
      <c r="N549" s="64"/>
      <c r="O549" s="64"/>
      <c r="P549" s="64"/>
    </row>
    <row r="550" spans="1:16" x14ac:dyDescent="0.25">
      <c r="A550"/>
      <c r="B550"/>
      <c r="C550"/>
      <c r="H550" s="109"/>
      <c r="I550" s="109"/>
      <c r="M550" s="64"/>
      <c r="N550" s="64"/>
      <c r="O550" s="64"/>
      <c r="P550" s="64"/>
    </row>
    <row r="551" spans="1:16" x14ac:dyDescent="0.25">
      <c r="A551"/>
      <c r="B551"/>
      <c r="C551"/>
      <c r="H551" s="109"/>
      <c r="I551" s="109"/>
      <c r="M551" s="64"/>
      <c r="N551" s="64"/>
      <c r="O551" s="64"/>
      <c r="P551" s="64"/>
    </row>
    <row r="552" spans="1:16" x14ac:dyDescent="0.25">
      <c r="A552"/>
      <c r="B552"/>
      <c r="C552"/>
      <c r="H552" s="109"/>
      <c r="I552" s="109"/>
      <c r="M552" s="64"/>
      <c r="N552" s="64"/>
      <c r="O552" s="64"/>
      <c r="P552" s="64"/>
    </row>
    <row r="553" spans="1:16" x14ac:dyDescent="0.25">
      <c r="A553"/>
      <c r="B553"/>
      <c r="C553"/>
      <c r="H553" s="109"/>
      <c r="I553" s="109"/>
      <c r="M553" s="64">
        <f t="shared" ref="M553:M563" si="73">D553+E553-F553-G553</f>
        <v>0</v>
      </c>
      <c r="N553" s="64">
        <f t="shared" ref="N553:N563" si="74">H553-M553</f>
        <v>0</v>
      </c>
      <c r="O553" s="64">
        <f t="shared" ref="O553:O563" si="75">M553*0.1</f>
        <v>0</v>
      </c>
      <c r="P553" s="64">
        <f t="shared" ref="P553:P563" si="76">I553-O553</f>
        <v>0</v>
      </c>
    </row>
    <row r="554" spans="1:16" x14ac:dyDescent="0.25">
      <c r="A554"/>
      <c r="B554"/>
      <c r="C554"/>
      <c r="H554" s="109"/>
      <c r="I554" s="109"/>
      <c r="M554" s="64">
        <f t="shared" si="73"/>
        <v>0</v>
      </c>
      <c r="N554" s="64">
        <f t="shared" si="74"/>
        <v>0</v>
      </c>
      <c r="O554" s="64">
        <f t="shared" si="75"/>
        <v>0</v>
      </c>
      <c r="P554" s="64">
        <f t="shared" si="76"/>
        <v>0</v>
      </c>
    </row>
    <row r="555" spans="1:16" x14ac:dyDescent="0.25">
      <c r="A555"/>
      <c r="B555"/>
      <c r="C555"/>
      <c r="H555" s="109"/>
      <c r="I555" s="109"/>
      <c r="M555" s="64">
        <f t="shared" si="73"/>
        <v>0</v>
      </c>
      <c r="N555" s="64">
        <f t="shared" si="74"/>
        <v>0</v>
      </c>
      <c r="O555" s="64">
        <f t="shared" si="75"/>
        <v>0</v>
      </c>
      <c r="P555" s="64">
        <f t="shared" si="76"/>
        <v>0</v>
      </c>
    </row>
    <row r="556" spans="1:16" x14ac:dyDescent="0.25">
      <c r="A556"/>
      <c r="B556"/>
      <c r="C556"/>
      <c r="H556" s="109"/>
      <c r="I556" s="109"/>
      <c r="M556" s="64">
        <f t="shared" si="73"/>
        <v>0</v>
      </c>
      <c r="N556" s="64">
        <f t="shared" si="74"/>
        <v>0</v>
      </c>
      <c r="O556" s="64">
        <f t="shared" si="75"/>
        <v>0</v>
      </c>
      <c r="P556" s="64">
        <f t="shared" si="76"/>
        <v>0</v>
      </c>
    </row>
    <row r="557" spans="1:16" x14ac:dyDescent="0.25">
      <c r="A557"/>
      <c r="B557"/>
      <c r="C557"/>
      <c r="H557" s="109"/>
      <c r="I557" s="109"/>
      <c r="M557" s="64">
        <f t="shared" si="73"/>
        <v>0</v>
      </c>
      <c r="N557" s="64">
        <f t="shared" si="74"/>
        <v>0</v>
      </c>
      <c r="O557" s="64">
        <f t="shared" si="75"/>
        <v>0</v>
      </c>
      <c r="P557" s="64">
        <f t="shared" si="76"/>
        <v>0</v>
      </c>
    </row>
    <row r="558" spans="1:16" x14ac:dyDescent="0.25">
      <c r="A558"/>
      <c r="B558"/>
      <c r="C558"/>
      <c r="H558" s="109"/>
      <c r="I558" s="109"/>
      <c r="M558" s="64">
        <f t="shared" si="73"/>
        <v>0</v>
      </c>
      <c r="N558" s="64">
        <f t="shared" si="74"/>
        <v>0</v>
      </c>
      <c r="O558" s="64">
        <f t="shared" si="75"/>
        <v>0</v>
      </c>
      <c r="P558" s="64">
        <f t="shared" si="76"/>
        <v>0</v>
      </c>
    </row>
    <row r="559" spans="1:16" x14ac:dyDescent="0.25">
      <c r="M559" s="64">
        <f t="shared" si="73"/>
        <v>0</v>
      </c>
      <c r="N559" s="64">
        <f t="shared" si="74"/>
        <v>0</v>
      </c>
      <c r="O559" s="64">
        <f t="shared" si="75"/>
        <v>0</v>
      </c>
      <c r="P559" s="64">
        <f t="shared" si="76"/>
        <v>0</v>
      </c>
    </row>
    <row r="560" spans="1:16" x14ac:dyDescent="0.25">
      <c r="A560"/>
      <c r="B560"/>
      <c r="C560"/>
      <c r="H560" s="109"/>
      <c r="I560" s="109"/>
      <c r="M560" s="64">
        <f t="shared" si="73"/>
        <v>0</v>
      </c>
      <c r="N560" s="64">
        <f t="shared" si="74"/>
        <v>0</v>
      </c>
      <c r="O560" s="64">
        <f t="shared" si="75"/>
        <v>0</v>
      </c>
      <c r="P560" s="64">
        <f t="shared" si="76"/>
        <v>0</v>
      </c>
    </row>
    <row r="561" spans="1:16" x14ac:dyDescent="0.25">
      <c r="A561"/>
      <c r="B561"/>
      <c r="C561"/>
      <c r="H561" s="109"/>
      <c r="I561" s="109"/>
      <c r="M561" s="64">
        <f t="shared" si="73"/>
        <v>0</v>
      </c>
      <c r="N561" s="64">
        <f t="shared" si="74"/>
        <v>0</v>
      </c>
      <c r="O561" s="64">
        <f t="shared" si="75"/>
        <v>0</v>
      </c>
      <c r="P561" s="64">
        <f t="shared" si="76"/>
        <v>0</v>
      </c>
    </row>
    <row r="562" spans="1:16" x14ac:dyDescent="0.25">
      <c r="A562"/>
      <c r="B562"/>
      <c r="C562"/>
      <c r="M562" s="64">
        <f t="shared" si="73"/>
        <v>0</v>
      </c>
      <c r="N562" s="64">
        <f t="shared" si="74"/>
        <v>0</v>
      </c>
      <c r="O562" s="64">
        <f t="shared" si="75"/>
        <v>0</v>
      </c>
      <c r="P562" s="64">
        <f t="shared" si="76"/>
        <v>0</v>
      </c>
    </row>
    <row r="563" spans="1:16" ht="13" x14ac:dyDescent="0.3">
      <c r="K563" s="13"/>
      <c r="L563" s="13"/>
      <c r="M563" s="64">
        <f t="shared" si="73"/>
        <v>0</v>
      </c>
      <c r="N563" s="64">
        <f t="shared" si="74"/>
        <v>0</v>
      </c>
      <c r="O563" s="64">
        <f t="shared" si="75"/>
        <v>0</v>
      </c>
      <c r="P563" s="64">
        <f t="shared" si="76"/>
        <v>0</v>
      </c>
    </row>
    <row r="564" spans="1:16" x14ac:dyDescent="0.25">
      <c r="A564"/>
      <c r="B564"/>
      <c r="C564"/>
      <c r="H564" s="109"/>
      <c r="I564" s="109"/>
      <c r="M564" s="64"/>
      <c r="N564" s="64"/>
      <c r="O564" s="64"/>
      <c r="P564" s="64"/>
    </row>
    <row r="565" spans="1:16" x14ac:dyDescent="0.25">
      <c r="A565"/>
      <c r="B565"/>
      <c r="C565"/>
      <c r="H565" s="109"/>
      <c r="I565" s="109"/>
      <c r="M565" s="64"/>
      <c r="N565" s="64"/>
      <c r="O565" s="64"/>
      <c r="P565" s="64"/>
    </row>
    <row r="566" spans="1:16" x14ac:dyDescent="0.25">
      <c r="A566"/>
      <c r="B566"/>
      <c r="C566"/>
      <c r="H566" s="109"/>
      <c r="I566" s="109"/>
      <c r="M566" s="64"/>
      <c r="N566" s="64"/>
      <c r="O566" s="64"/>
      <c r="P566" s="64"/>
    </row>
    <row r="567" spans="1:16" x14ac:dyDescent="0.25">
      <c r="A567"/>
      <c r="B567"/>
      <c r="C567"/>
      <c r="H567" s="109"/>
      <c r="I567" s="109"/>
      <c r="M567" s="64"/>
      <c r="N567" s="64"/>
      <c r="O567" s="64"/>
      <c r="P567" s="64"/>
    </row>
    <row r="568" spans="1:16" x14ac:dyDescent="0.25">
      <c r="A568"/>
      <c r="B568"/>
      <c r="C568"/>
      <c r="H568" s="109"/>
      <c r="I568" s="109"/>
      <c r="M568" s="64"/>
      <c r="N568" s="64"/>
      <c r="O568" s="64"/>
      <c r="P568" s="64"/>
    </row>
    <row r="569" spans="1:16" x14ac:dyDescent="0.25">
      <c r="A569"/>
      <c r="B569"/>
      <c r="C569"/>
      <c r="H569" s="109"/>
      <c r="I569" s="109"/>
      <c r="M569" s="64"/>
      <c r="N569" s="64"/>
      <c r="O569" s="64"/>
      <c r="P569" s="64"/>
    </row>
    <row r="570" spans="1:16" x14ac:dyDescent="0.25">
      <c r="A570"/>
      <c r="B570"/>
      <c r="C570"/>
      <c r="H570" s="109"/>
      <c r="I570" s="109"/>
      <c r="M570" s="64"/>
      <c r="N570" s="64"/>
      <c r="O570" s="64"/>
      <c r="P570" s="64"/>
    </row>
    <row r="571" spans="1:16" x14ac:dyDescent="0.25">
      <c r="A571"/>
      <c r="B571"/>
      <c r="C571"/>
      <c r="H571" s="109"/>
      <c r="I571" s="109"/>
      <c r="M571" s="64"/>
      <c r="N571" s="64"/>
      <c r="O571" s="64"/>
      <c r="P571" s="64"/>
    </row>
    <row r="572" spans="1:16" x14ac:dyDescent="0.25">
      <c r="A572"/>
      <c r="B572"/>
      <c r="C572"/>
      <c r="H572" s="109"/>
      <c r="I572" s="109"/>
      <c r="M572" s="64"/>
      <c r="N572" s="64"/>
      <c r="O572" s="64"/>
      <c r="P572" s="64"/>
    </row>
    <row r="573" spans="1:16" x14ac:dyDescent="0.25">
      <c r="A573"/>
      <c r="B573"/>
      <c r="C573"/>
      <c r="H573" s="109"/>
      <c r="I573" s="109"/>
      <c r="M573" s="64">
        <f>D573+E573-F573-G573</f>
        <v>0</v>
      </c>
      <c r="N573" s="64">
        <f>H573-M573</f>
        <v>0</v>
      </c>
      <c r="O573" s="64">
        <f>M573*0.1</f>
        <v>0</v>
      </c>
      <c r="P573" s="64">
        <f>I573-O573</f>
        <v>0</v>
      </c>
    </row>
    <row r="574" spans="1:16" x14ac:dyDescent="0.25">
      <c r="K574" s="9"/>
      <c r="L574" s="19"/>
      <c r="M574" s="64">
        <f>D574+E574-F574-G574</f>
        <v>0</v>
      </c>
      <c r="N574" s="64">
        <f>H574-M574</f>
        <v>0</v>
      </c>
      <c r="O574" s="64">
        <f>M574*0.1</f>
        <v>0</v>
      </c>
      <c r="P574" s="64">
        <f>I574-O574</f>
        <v>0</v>
      </c>
    </row>
    <row r="575" spans="1:16" x14ac:dyDescent="0.25">
      <c r="M575" s="64">
        <f>D575+E575-F575-G575</f>
        <v>0</v>
      </c>
      <c r="N575" s="64">
        <f>H575-M575</f>
        <v>0</v>
      </c>
      <c r="O575" s="64">
        <f>M575*0.1</f>
        <v>0</v>
      </c>
      <c r="P575" s="64">
        <f>I575-O575</f>
        <v>0</v>
      </c>
    </row>
    <row r="576" spans="1:16" x14ac:dyDescent="0.25">
      <c r="A576"/>
      <c r="B576"/>
      <c r="C576"/>
      <c r="H576" s="109"/>
      <c r="I576" s="109"/>
      <c r="M576" s="64"/>
      <c r="N576" s="64"/>
      <c r="O576" s="64"/>
      <c r="P576" s="64"/>
    </row>
    <row r="577" spans="1:16" x14ac:dyDescent="0.25">
      <c r="A577"/>
      <c r="B577"/>
      <c r="C577"/>
      <c r="H577" s="109"/>
      <c r="I577" s="109"/>
      <c r="M577" s="64">
        <f>D577+E577-F577-G577</f>
        <v>0</v>
      </c>
      <c r="N577" s="64">
        <f>H577-M577</f>
        <v>0</v>
      </c>
      <c r="O577" s="64">
        <f>M577*0.1</f>
        <v>0</v>
      </c>
      <c r="P577" s="64">
        <f>I577-O577</f>
        <v>0</v>
      </c>
    </row>
    <row r="578" spans="1:16" x14ac:dyDescent="0.25">
      <c r="A578"/>
      <c r="B578"/>
      <c r="C578"/>
      <c r="H578" s="109"/>
      <c r="I578" s="109"/>
      <c r="M578" s="64">
        <f>D578+E578-F578-G578</f>
        <v>0</v>
      </c>
      <c r="N578" s="64">
        <f>H578-M578</f>
        <v>0</v>
      </c>
      <c r="O578" s="64">
        <f>M578*0.1</f>
        <v>0</v>
      </c>
      <c r="P578" s="64">
        <f>I578-O578</f>
        <v>0</v>
      </c>
    </row>
    <row r="579" spans="1:16" ht="13" x14ac:dyDescent="0.3">
      <c r="A579"/>
      <c r="B579"/>
      <c r="C579"/>
      <c r="H579" s="109"/>
      <c r="I579" s="109"/>
      <c r="K579" s="13"/>
      <c r="L579" s="13"/>
      <c r="M579" s="64">
        <f>D579+E579-F579-G579</f>
        <v>0</v>
      </c>
      <c r="N579" s="64">
        <f>H579-M579</f>
        <v>0</v>
      </c>
      <c r="O579" s="64">
        <f>M579*0.1</f>
        <v>0</v>
      </c>
      <c r="P579" s="64">
        <f>I579-O579</f>
        <v>0</v>
      </c>
    </row>
    <row r="580" spans="1:16" x14ac:dyDescent="0.25">
      <c r="A580"/>
      <c r="B580"/>
      <c r="C580"/>
      <c r="H580" s="109"/>
      <c r="I580" s="109"/>
      <c r="M580" s="64">
        <f>D580+E580-F580-G580</f>
        <v>0</v>
      </c>
      <c r="N580" s="64">
        <f>H580-M580</f>
        <v>0</v>
      </c>
      <c r="O580" s="64">
        <f>M580*0.1</f>
        <v>0</v>
      </c>
      <c r="P580" s="64">
        <f>I580-O580</f>
        <v>0</v>
      </c>
    </row>
    <row r="581" spans="1:16" x14ac:dyDescent="0.25">
      <c r="A581"/>
      <c r="B581"/>
      <c r="C581"/>
      <c r="H581" s="109"/>
      <c r="I581" s="109"/>
      <c r="M581" s="64">
        <f>D581+E581-F581-G581</f>
        <v>0</v>
      </c>
      <c r="N581" s="64">
        <f>H581-M581</f>
        <v>0</v>
      </c>
      <c r="O581" s="64">
        <f>M581*0.1</f>
        <v>0</v>
      </c>
      <c r="P581" s="64">
        <f>I581-O581</f>
        <v>0</v>
      </c>
    </row>
    <row r="582" spans="1:16" x14ac:dyDescent="0.25">
      <c r="A582"/>
      <c r="B582"/>
      <c r="C582"/>
      <c r="H582" s="109"/>
      <c r="I582" s="109"/>
      <c r="M582" s="64"/>
      <c r="N582" s="64"/>
      <c r="O582" s="64"/>
      <c r="P582" s="64"/>
    </row>
    <row r="583" spans="1:16" x14ac:dyDescent="0.25">
      <c r="A583"/>
      <c r="B583"/>
      <c r="C583"/>
      <c r="H583" s="109"/>
      <c r="I583" s="109"/>
      <c r="M583" s="64"/>
      <c r="N583" s="64"/>
      <c r="O583" s="64"/>
      <c r="P583" s="64"/>
    </row>
    <row r="584" spans="1:16" x14ac:dyDescent="0.25">
      <c r="A584"/>
      <c r="B584"/>
      <c r="C584"/>
      <c r="H584" s="109"/>
      <c r="I584" s="109"/>
      <c r="M584" s="64">
        <f>D584+E584-F584-G584</f>
        <v>0</v>
      </c>
      <c r="N584" s="64">
        <f>H584-M584</f>
        <v>0</v>
      </c>
      <c r="O584" s="64">
        <f>M584*0.1</f>
        <v>0</v>
      </c>
      <c r="P584" s="64">
        <f>I584-O584</f>
        <v>0</v>
      </c>
    </row>
    <row r="585" spans="1:16" x14ac:dyDescent="0.25">
      <c r="A585"/>
      <c r="B585"/>
      <c r="C585"/>
      <c r="H585" s="109"/>
      <c r="I585" s="109"/>
      <c r="M585" s="64">
        <f>D585+E585-F585-G585</f>
        <v>0</v>
      </c>
      <c r="N585" s="64">
        <f>H585-M585</f>
        <v>0</v>
      </c>
      <c r="O585" s="64">
        <f>M585*0.1</f>
        <v>0</v>
      </c>
      <c r="P585" s="64">
        <f>I585-O585</f>
        <v>0</v>
      </c>
    </row>
    <row r="586" spans="1:16" x14ac:dyDescent="0.25">
      <c r="A586"/>
      <c r="B586"/>
      <c r="C586"/>
      <c r="H586" s="109"/>
      <c r="I586" s="109"/>
      <c r="M586" s="64"/>
      <c r="N586" s="64"/>
      <c r="O586" s="64"/>
      <c r="P586" s="64"/>
    </row>
    <row r="587" spans="1:16" x14ac:dyDescent="0.25">
      <c r="A587"/>
      <c r="B587"/>
      <c r="C587"/>
      <c r="H587" s="109"/>
      <c r="I587" s="109"/>
      <c r="M587" s="64">
        <f>D587+E587-F587-G587</f>
        <v>0</v>
      </c>
      <c r="N587" s="64">
        <f>H587-M587</f>
        <v>0</v>
      </c>
      <c r="O587" s="64">
        <f>M587*0.1</f>
        <v>0</v>
      </c>
      <c r="P587" s="64">
        <f>I587-O587</f>
        <v>0</v>
      </c>
    </row>
    <row r="588" spans="1:16" x14ac:dyDescent="0.25">
      <c r="A588"/>
      <c r="B588"/>
      <c r="C588"/>
      <c r="H588" s="109"/>
      <c r="I588" s="109"/>
      <c r="M588" s="64"/>
      <c r="N588" s="64"/>
      <c r="O588" s="64"/>
      <c r="P588" s="64"/>
    </row>
    <row r="589" spans="1:16" x14ac:dyDescent="0.25">
      <c r="A589"/>
      <c r="B589"/>
      <c r="C589"/>
      <c r="H589" s="109"/>
      <c r="I589" s="109"/>
      <c r="M589" s="64">
        <f>D589+E589-F589-G589</f>
        <v>0</v>
      </c>
      <c r="N589" s="64">
        <f>H589-M589</f>
        <v>0</v>
      </c>
      <c r="O589" s="64">
        <f>M589*0.1</f>
        <v>0</v>
      </c>
      <c r="P589" s="64">
        <f>I589-O589</f>
        <v>0</v>
      </c>
    </row>
    <row r="590" spans="1:16" x14ac:dyDescent="0.25">
      <c r="A590"/>
      <c r="B590"/>
      <c r="C590"/>
      <c r="H590" s="109"/>
      <c r="I590" s="109"/>
      <c r="K590" s="69"/>
      <c r="M590" s="64">
        <f>D590+E590-F590-G590</f>
        <v>0</v>
      </c>
      <c r="N590" s="64">
        <f>H590-M590</f>
        <v>0</v>
      </c>
      <c r="O590" s="64">
        <f>M590*0.1</f>
        <v>0</v>
      </c>
      <c r="P590" s="64">
        <f>I590-O590</f>
        <v>0</v>
      </c>
    </row>
    <row r="591" spans="1:16" x14ac:dyDescent="0.25">
      <c r="M591" s="64"/>
      <c r="N591" s="64"/>
      <c r="O591" s="64"/>
      <c r="P591" s="64"/>
    </row>
    <row r="592" spans="1:16" x14ac:dyDescent="0.25">
      <c r="A592"/>
      <c r="B592"/>
      <c r="C592"/>
      <c r="H592" s="109"/>
      <c r="I592" s="109"/>
      <c r="M592" s="64">
        <f t="shared" ref="M592:M597" si="77">D592+E592-F592-G592</f>
        <v>0</v>
      </c>
      <c r="N592" s="64">
        <f t="shared" ref="N592:N597" si="78">H592-M592</f>
        <v>0</v>
      </c>
      <c r="O592" s="64">
        <f t="shared" ref="O592:O597" si="79">M592*0.1</f>
        <v>0</v>
      </c>
      <c r="P592" s="64">
        <f t="shared" ref="P592:P597" si="80">I592-O592</f>
        <v>0</v>
      </c>
    </row>
    <row r="593" spans="1:16" x14ac:dyDescent="0.25">
      <c r="A593"/>
      <c r="B593"/>
      <c r="C593"/>
      <c r="H593" s="109"/>
      <c r="I593" s="120"/>
      <c r="K593" s="25"/>
      <c r="M593" s="64">
        <f t="shared" si="77"/>
        <v>0</v>
      </c>
      <c r="N593" s="64">
        <f t="shared" si="78"/>
        <v>0</v>
      </c>
      <c r="O593" s="64">
        <f t="shared" si="79"/>
        <v>0</v>
      </c>
      <c r="P593" s="64">
        <f t="shared" si="80"/>
        <v>0</v>
      </c>
    </row>
    <row r="594" spans="1:16" x14ac:dyDescent="0.25">
      <c r="A594"/>
      <c r="B594"/>
      <c r="C594"/>
      <c r="H594" s="109"/>
      <c r="I594" s="109"/>
      <c r="M594" s="64">
        <f t="shared" si="77"/>
        <v>0</v>
      </c>
      <c r="N594" s="64">
        <f t="shared" si="78"/>
        <v>0</v>
      </c>
      <c r="O594" s="64">
        <f t="shared" si="79"/>
        <v>0</v>
      </c>
      <c r="P594" s="64">
        <f t="shared" si="80"/>
        <v>0</v>
      </c>
    </row>
    <row r="595" spans="1:16" x14ac:dyDescent="0.25">
      <c r="M595" s="64">
        <f t="shared" si="77"/>
        <v>0</v>
      </c>
      <c r="N595" s="64">
        <f t="shared" si="78"/>
        <v>0</v>
      </c>
      <c r="O595" s="64">
        <f t="shared" si="79"/>
        <v>0</v>
      </c>
      <c r="P595" s="64">
        <f t="shared" si="80"/>
        <v>0</v>
      </c>
    </row>
    <row r="596" spans="1:16" x14ac:dyDescent="0.25">
      <c r="M596" s="64">
        <f t="shared" si="77"/>
        <v>0</v>
      </c>
      <c r="N596" s="64">
        <f t="shared" si="78"/>
        <v>0</v>
      </c>
      <c r="O596" s="64">
        <f t="shared" si="79"/>
        <v>0</v>
      </c>
      <c r="P596" s="64">
        <f t="shared" si="80"/>
        <v>0</v>
      </c>
    </row>
    <row r="597" spans="1:16" x14ac:dyDescent="0.25">
      <c r="M597" s="64">
        <f t="shared" si="77"/>
        <v>0</v>
      </c>
      <c r="N597" s="64">
        <f t="shared" si="78"/>
        <v>0</v>
      </c>
      <c r="O597" s="64">
        <f t="shared" si="79"/>
        <v>0</v>
      </c>
      <c r="P597" s="64">
        <f t="shared" si="80"/>
        <v>0</v>
      </c>
    </row>
    <row r="598" spans="1:16" x14ac:dyDescent="0.25">
      <c r="M598" s="64"/>
      <c r="N598" s="64"/>
      <c r="O598" s="64"/>
      <c r="P598" s="64"/>
    </row>
    <row r="599" spans="1:16" x14ac:dyDescent="0.25">
      <c r="A599"/>
      <c r="B599"/>
      <c r="C599"/>
      <c r="H599" s="109"/>
      <c r="I599" s="109"/>
      <c r="M599" s="64"/>
      <c r="N599" s="64"/>
      <c r="O599" s="64"/>
      <c r="P599" s="64"/>
    </row>
    <row r="600" spans="1:16" x14ac:dyDescent="0.25">
      <c r="A600"/>
      <c r="B600"/>
      <c r="C600"/>
      <c r="H600" s="109"/>
      <c r="I600" s="109"/>
      <c r="M600" s="64"/>
      <c r="N600" s="64"/>
      <c r="O600" s="64"/>
      <c r="P600" s="64"/>
    </row>
    <row r="601" spans="1:16" x14ac:dyDescent="0.25">
      <c r="A601"/>
      <c r="B601"/>
      <c r="C601"/>
      <c r="H601" s="109"/>
      <c r="I601" s="109"/>
      <c r="M601" s="64">
        <f t="shared" ref="M601:M607" si="81">D601+E601-F601-G601</f>
        <v>0</v>
      </c>
      <c r="N601" s="64">
        <f t="shared" ref="N601:N607" si="82">H601-M601</f>
        <v>0</v>
      </c>
      <c r="O601" s="64">
        <f t="shared" ref="O601:O607" si="83">M601*0.1</f>
        <v>0</v>
      </c>
      <c r="P601" s="64">
        <f t="shared" ref="P601:P607" si="84">I601-O601</f>
        <v>0</v>
      </c>
    </row>
    <row r="602" spans="1:16" x14ac:dyDescent="0.25">
      <c r="A602"/>
      <c r="B602"/>
      <c r="C602"/>
      <c r="H602" s="109"/>
      <c r="I602" s="109"/>
      <c r="M602" s="64">
        <f t="shared" si="81"/>
        <v>0</v>
      </c>
      <c r="N602" s="64">
        <f t="shared" si="82"/>
        <v>0</v>
      </c>
      <c r="O602" s="64">
        <f t="shared" si="83"/>
        <v>0</v>
      </c>
      <c r="P602" s="64">
        <f t="shared" si="84"/>
        <v>0</v>
      </c>
    </row>
    <row r="603" spans="1:16" x14ac:dyDescent="0.25">
      <c r="A603"/>
      <c r="B603"/>
      <c r="C603"/>
      <c r="H603" s="109"/>
      <c r="I603" s="109"/>
      <c r="M603" s="64">
        <f t="shared" si="81"/>
        <v>0</v>
      </c>
      <c r="N603" s="64">
        <f t="shared" si="82"/>
        <v>0</v>
      </c>
      <c r="O603" s="64">
        <f t="shared" si="83"/>
        <v>0</v>
      </c>
      <c r="P603" s="64">
        <f t="shared" si="84"/>
        <v>0</v>
      </c>
    </row>
    <row r="604" spans="1:16" x14ac:dyDescent="0.25">
      <c r="M604" s="64">
        <f t="shared" si="81"/>
        <v>0</v>
      </c>
      <c r="N604" s="64">
        <f t="shared" si="82"/>
        <v>0</v>
      </c>
      <c r="O604" s="64">
        <f t="shared" si="83"/>
        <v>0</v>
      </c>
      <c r="P604" s="64">
        <f t="shared" si="84"/>
        <v>0</v>
      </c>
    </row>
    <row r="605" spans="1:16" x14ac:dyDescent="0.25">
      <c r="A605"/>
      <c r="B605"/>
      <c r="C605"/>
      <c r="H605" s="109"/>
      <c r="I605" s="109"/>
      <c r="M605" s="64">
        <f t="shared" si="81"/>
        <v>0</v>
      </c>
      <c r="N605" s="64">
        <f t="shared" si="82"/>
        <v>0</v>
      </c>
      <c r="O605" s="64">
        <f t="shared" si="83"/>
        <v>0</v>
      </c>
      <c r="P605" s="64">
        <f t="shared" si="84"/>
        <v>0</v>
      </c>
    </row>
    <row r="606" spans="1:16" x14ac:dyDescent="0.25">
      <c r="A606"/>
      <c r="B606"/>
      <c r="C606"/>
      <c r="H606" s="109"/>
      <c r="I606" s="109"/>
      <c r="M606" s="64">
        <f t="shared" si="81"/>
        <v>0</v>
      </c>
      <c r="N606" s="64">
        <f t="shared" si="82"/>
        <v>0</v>
      </c>
      <c r="O606" s="64">
        <f t="shared" si="83"/>
        <v>0</v>
      </c>
      <c r="P606" s="64">
        <f t="shared" si="84"/>
        <v>0</v>
      </c>
    </row>
    <row r="607" spans="1:16" x14ac:dyDescent="0.25">
      <c r="A607"/>
      <c r="B607"/>
      <c r="C607"/>
      <c r="H607" s="109"/>
      <c r="I607" s="109"/>
      <c r="M607" s="64">
        <f t="shared" si="81"/>
        <v>0</v>
      </c>
      <c r="N607" s="64">
        <f t="shared" si="82"/>
        <v>0</v>
      </c>
      <c r="O607" s="64">
        <f t="shared" si="83"/>
        <v>0</v>
      </c>
      <c r="P607" s="64">
        <f t="shared" si="84"/>
        <v>0</v>
      </c>
    </row>
    <row r="608" spans="1:16" x14ac:dyDescent="0.25">
      <c r="M608" s="64"/>
      <c r="N608" s="64"/>
      <c r="O608" s="64"/>
      <c r="P608" s="64"/>
    </row>
    <row r="609" spans="1:16" ht="13" x14ac:dyDescent="0.3">
      <c r="A609"/>
      <c r="B609"/>
      <c r="C609"/>
      <c r="H609" s="109"/>
      <c r="I609" s="109"/>
      <c r="K609" s="13"/>
      <c r="L609" s="13"/>
      <c r="M609" s="64">
        <f>D609+E609-F609-G609</f>
        <v>0</v>
      </c>
      <c r="N609" s="64">
        <f>H609-M609</f>
        <v>0</v>
      </c>
      <c r="O609" s="64">
        <f>M609*0.1</f>
        <v>0</v>
      </c>
      <c r="P609" s="64">
        <f>I609-O609</f>
        <v>0</v>
      </c>
    </row>
    <row r="610" spans="1:16" x14ac:dyDescent="0.25">
      <c r="A610"/>
      <c r="B610"/>
      <c r="C610"/>
      <c r="H610" s="109"/>
      <c r="I610" s="109"/>
      <c r="M610" s="64">
        <f>D610+E610-F610-G610</f>
        <v>0</v>
      </c>
      <c r="N610" s="64">
        <f>H610-M610</f>
        <v>0</v>
      </c>
      <c r="O610" s="64">
        <f>M610*0.1</f>
        <v>0</v>
      </c>
      <c r="P610" s="64">
        <f>I610-O610</f>
        <v>0</v>
      </c>
    </row>
    <row r="611" spans="1:16" x14ac:dyDescent="0.25">
      <c r="A611"/>
      <c r="B611"/>
      <c r="C611"/>
      <c r="H611" s="109"/>
      <c r="I611" s="109"/>
      <c r="M611" s="64">
        <f>D611+E611-F611-G611</f>
        <v>0</v>
      </c>
      <c r="N611" s="64">
        <f>H611-M611</f>
        <v>0</v>
      </c>
      <c r="O611" s="64">
        <f>M611*0.1</f>
        <v>0</v>
      </c>
      <c r="P611" s="64">
        <f>I611-O611</f>
        <v>0</v>
      </c>
    </row>
    <row r="612" spans="1:16" x14ac:dyDescent="0.25">
      <c r="M612" s="64"/>
      <c r="N612" s="64"/>
      <c r="O612" s="64"/>
      <c r="P612" s="64"/>
    </row>
    <row r="613" spans="1:16" x14ac:dyDescent="0.25">
      <c r="A613"/>
      <c r="B613"/>
      <c r="C613"/>
      <c r="H613" s="109"/>
      <c r="I613" s="109"/>
      <c r="M613" s="64"/>
      <c r="N613" s="64"/>
      <c r="O613" s="64"/>
      <c r="P613" s="64"/>
    </row>
    <row r="614" spans="1:16" x14ac:dyDescent="0.25">
      <c r="A614"/>
      <c r="B614"/>
      <c r="C614"/>
      <c r="H614" s="109"/>
      <c r="I614" s="109"/>
      <c r="M614" s="64"/>
      <c r="N614" s="64"/>
      <c r="O614" s="64"/>
      <c r="P614" s="64"/>
    </row>
    <row r="615" spans="1:16" x14ac:dyDescent="0.25">
      <c r="A615"/>
      <c r="B615"/>
      <c r="C615"/>
      <c r="H615" s="109"/>
      <c r="I615" s="109"/>
      <c r="M615" s="64">
        <f>D615+E615-F615-G615</f>
        <v>0</v>
      </c>
      <c r="N615" s="64">
        <f>H615-M615</f>
        <v>0</v>
      </c>
      <c r="O615" s="64">
        <f>M615*0.1</f>
        <v>0</v>
      </c>
      <c r="P615" s="64">
        <f>I615-O615</f>
        <v>0</v>
      </c>
    </row>
    <row r="616" spans="1:16" x14ac:dyDescent="0.25">
      <c r="A616"/>
      <c r="B616"/>
      <c r="C616"/>
      <c r="H616" s="109"/>
      <c r="I616" s="109"/>
      <c r="M616" s="64"/>
      <c r="N616" s="64"/>
      <c r="O616" s="64"/>
      <c r="P616" s="64"/>
    </row>
    <row r="617" spans="1:16" x14ac:dyDescent="0.25">
      <c r="A617"/>
      <c r="B617"/>
      <c r="C617"/>
      <c r="H617" s="109"/>
      <c r="I617" s="109"/>
      <c r="M617" s="64">
        <f>D617+E617-F617-G617</f>
        <v>0</v>
      </c>
      <c r="N617" s="64">
        <f>H617-M617</f>
        <v>0</v>
      </c>
      <c r="O617" s="64">
        <f>M617*0.1</f>
        <v>0</v>
      </c>
      <c r="P617" s="64">
        <f>I617-O617</f>
        <v>0</v>
      </c>
    </row>
    <row r="618" spans="1:16" x14ac:dyDescent="0.25">
      <c r="M618" s="64"/>
      <c r="N618" s="64"/>
      <c r="O618" s="64"/>
      <c r="P618" s="64"/>
    </row>
    <row r="619" spans="1:16" x14ac:dyDescent="0.25">
      <c r="A619"/>
      <c r="B619"/>
      <c r="C619"/>
      <c r="H619" s="109"/>
      <c r="I619" s="109"/>
      <c r="M619" s="64"/>
      <c r="N619" s="64"/>
      <c r="O619" s="64"/>
      <c r="P619" s="64"/>
    </row>
    <row r="620" spans="1:16" x14ac:dyDescent="0.25">
      <c r="A620"/>
      <c r="B620"/>
      <c r="C620"/>
      <c r="H620" s="109"/>
      <c r="I620" s="109"/>
      <c r="M620" s="64"/>
      <c r="N620" s="64"/>
      <c r="O620" s="64"/>
      <c r="P620" s="64"/>
    </row>
    <row r="621" spans="1:16" x14ac:dyDescent="0.25">
      <c r="A621"/>
      <c r="B621"/>
      <c r="C621"/>
      <c r="H621" s="109"/>
      <c r="I621" s="109"/>
      <c r="M621" s="64"/>
      <c r="N621" s="64"/>
      <c r="O621" s="64"/>
      <c r="P621" s="64"/>
    </row>
    <row r="622" spans="1:16" x14ac:dyDescent="0.25">
      <c r="A622"/>
      <c r="B622"/>
      <c r="C622"/>
      <c r="H622" s="109"/>
      <c r="I622" s="109"/>
      <c r="M622" s="64">
        <f>D622+E622-F622-G622</f>
        <v>0</v>
      </c>
      <c r="N622" s="64">
        <f>H622-M622</f>
        <v>0</v>
      </c>
      <c r="O622" s="64">
        <f>M622*0.1</f>
        <v>0</v>
      </c>
      <c r="P622" s="64">
        <f>I622-O622</f>
        <v>0</v>
      </c>
    </row>
    <row r="623" spans="1:16" x14ac:dyDescent="0.25">
      <c r="A623"/>
      <c r="B623"/>
      <c r="C623"/>
      <c r="H623" s="109"/>
      <c r="I623" s="109"/>
      <c r="M623" s="64">
        <f>D623+E623-F623-G623</f>
        <v>0</v>
      </c>
      <c r="N623" s="64">
        <f>H623-M623</f>
        <v>0</v>
      </c>
      <c r="O623" s="64">
        <f>M623*0.1</f>
        <v>0</v>
      </c>
      <c r="P623" s="64">
        <f>I623-O623</f>
        <v>0</v>
      </c>
    </row>
    <row r="624" spans="1:16" x14ac:dyDescent="0.25">
      <c r="M624" s="64">
        <f>D624+E624-F624-G624</f>
        <v>0</v>
      </c>
      <c r="N624" s="64">
        <f>H624-M624</f>
        <v>0</v>
      </c>
      <c r="O624" s="64">
        <f>M624*0.1</f>
        <v>0</v>
      </c>
      <c r="P624" s="64">
        <f>I624-O624</f>
        <v>0</v>
      </c>
    </row>
    <row r="625" spans="1:16" x14ac:dyDescent="0.25">
      <c r="A625"/>
      <c r="B625"/>
      <c r="C625"/>
      <c r="H625" s="109"/>
      <c r="I625" s="109"/>
      <c r="M625" s="64"/>
      <c r="N625" s="64"/>
      <c r="O625" s="64"/>
      <c r="P625" s="64"/>
    </row>
    <row r="626" spans="1:16" s="13" customFormat="1" ht="13" x14ac:dyDescent="0.3">
      <c r="A626"/>
      <c r="B626"/>
      <c r="C626"/>
      <c r="D626" s="9"/>
      <c r="E626" s="9"/>
      <c r="F626" s="9"/>
      <c r="G626" s="9"/>
      <c r="H626" s="109"/>
      <c r="I626" s="109"/>
      <c r="J626"/>
      <c r="K626"/>
      <c r="L626"/>
      <c r="M626" s="64">
        <f>D626+E626-F626-G626</f>
        <v>0</v>
      </c>
      <c r="N626" s="64">
        <f>H626-M626</f>
        <v>0</v>
      </c>
      <c r="O626" s="64">
        <f>M626*0.1</f>
        <v>0</v>
      </c>
      <c r="P626" s="64">
        <f>I626-O626</f>
        <v>0</v>
      </c>
    </row>
    <row r="627" spans="1:16" x14ac:dyDescent="0.25">
      <c r="A627"/>
      <c r="B627"/>
      <c r="C627"/>
      <c r="H627" s="109"/>
      <c r="I627" s="109"/>
      <c r="M627" s="64"/>
      <c r="N627" s="64"/>
      <c r="O627" s="64"/>
      <c r="P627" s="64"/>
    </row>
    <row r="628" spans="1:16" x14ac:dyDescent="0.25">
      <c r="A628"/>
      <c r="B628"/>
      <c r="C628"/>
      <c r="H628" s="109"/>
      <c r="I628" s="109"/>
      <c r="M628" s="64"/>
      <c r="N628" s="64"/>
      <c r="O628" s="64"/>
      <c r="P628" s="64"/>
    </row>
    <row r="629" spans="1:16" x14ac:dyDescent="0.25">
      <c r="A629"/>
      <c r="B629"/>
      <c r="C629"/>
      <c r="H629" s="109"/>
      <c r="I629" s="109"/>
      <c r="M629" s="64"/>
      <c r="N629" s="64"/>
      <c r="O629" s="64"/>
      <c r="P629" s="64"/>
    </row>
    <row r="630" spans="1:16" x14ac:dyDescent="0.25">
      <c r="A630"/>
      <c r="B630"/>
      <c r="C630"/>
      <c r="H630" s="109"/>
      <c r="I630" s="109"/>
      <c r="M630" s="64"/>
      <c r="N630" s="64"/>
      <c r="O630" s="64"/>
      <c r="P630" s="64"/>
    </row>
    <row r="631" spans="1:16" x14ac:dyDescent="0.25">
      <c r="M631" s="64"/>
      <c r="N631" s="64"/>
      <c r="O631" s="64"/>
      <c r="P631" s="64"/>
    </row>
    <row r="632" spans="1:16" x14ac:dyDescent="0.25">
      <c r="A632"/>
      <c r="B632"/>
      <c r="C632"/>
      <c r="H632" s="109"/>
      <c r="I632" s="109"/>
      <c r="M632" s="64"/>
      <c r="N632" s="64"/>
      <c r="O632" s="64"/>
      <c r="P632" s="64"/>
    </row>
    <row r="633" spans="1:16" x14ac:dyDescent="0.25">
      <c r="A633"/>
      <c r="B633"/>
      <c r="C633"/>
      <c r="H633" s="109"/>
      <c r="I633" s="109"/>
      <c r="M633" s="64"/>
      <c r="N633" s="64"/>
      <c r="O633" s="64"/>
      <c r="P633" s="64"/>
    </row>
    <row r="634" spans="1:16" x14ac:dyDescent="0.25">
      <c r="A634"/>
      <c r="B634"/>
      <c r="C634"/>
      <c r="H634" s="109"/>
      <c r="I634" s="109"/>
      <c r="M634" s="64"/>
      <c r="N634" s="64"/>
      <c r="O634" s="64"/>
      <c r="P634" s="64"/>
    </row>
    <row r="635" spans="1:16" x14ac:dyDescent="0.25">
      <c r="A635"/>
      <c r="B635"/>
      <c r="C635"/>
      <c r="H635" s="109"/>
      <c r="I635" s="109"/>
      <c r="M635" s="64"/>
      <c r="N635" s="64"/>
      <c r="O635" s="64"/>
      <c r="P635" s="64"/>
    </row>
    <row r="636" spans="1:16" x14ac:dyDescent="0.25">
      <c r="A636"/>
      <c r="B636"/>
      <c r="C636"/>
      <c r="H636" s="109"/>
      <c r="I636" s="109"/>
      <c r="M636" s="64"/>
      <c r="N636" s="64"/>
      <c r="O636" s="64"/>
      <c r="P636" s="64"/>
    </row>
    <row r="637" spans="1:16" x14ac:dyDescent="0.25">
      <c r="A637"/>
      <c r="B637"/>
      <c r="C637"/>
      <c r="H637" s="109"/>
      <c r="I637" s="109"/>
      <c r="M637" s="64"/>
      <c r="N637" s="64"/>
      <c r="O637" s="64"/>
      <c r="P637" s="64"/>
    </row>
    <row r="638" spans="1:16" x14ac:dyDescent="0.25">
      <c r="A638"/>
      <c r="B638"/>
      <c r="C638"/>
      <c r="H638" s="109"/>
      <c r="I638" s="109"/>
      <c r="M638" s="64"/>
      <c r="N638" s="64"/>
      <c r="O638" s="64"/>
      <c r="P638" s="64"/>
    </row>
    <row r="639" spans="1:16" x14ac:dyDescent="0.25">
      <c r="A639"/>
      <c r="B639"/>
      <c r="C639"/>
      <c r="H639" s="109"/>
      <c r="I639" s="109"/>
      <c r="M639" s="64"/>
      <c r="N639" s="64"/>
      <c r="O639" s="64"/>
      <c r="P639" s="64"/>
    </row>
    <row r="640" spans="1:16" x14ac:dyDescent="0.25">
      <c r="A640"/>
      <c r="B640"/>
      <c r="C640"/>
      <c r="H640" s="109"/>
      <c r="I640" s="109"/>
      <c r="M640" s="64"/>
      <c r="N640" s="64"/>
      <c r="O640" s="64"/>
      <c r="P640" s="64"/>
    </row>
    <row r="641" spans="1:16" x14ac:dyDescent="0.25">
      <c r="A641"/>
      <c r="B641"/>
      <c r="C641"/>
      <c r="H641" s="109"/>
      <c r="I641" s="109"/>
      <c r="M641" s="64"/>
      <c r="N641" s="64"/>
      <c r="O641" s="64"/>
      <c r="P641" s="64"/>
    </row>
    <row r="642" spans="1:16" x14ac:dyDescent="0.25">
      <c r="A642"/>
      <c r="B642"/>
      <c r="C642"/>
      <c r="H642" s="109"/>
      <c r="I642" s="109"/>
      <c r="M642" s="64"/>
      <c r="N642" s="64"/>
      <c r="O642" s="64"/>
      <c r="P642" s="64"/>
    </row>
    <row r="643" spans="1:16" x14ac:dyDescent="0.25">
      <c r="A643"/>
      <c r="B643"/>
      <c r="C643"/>
      <c r="H643" s="109"/>
      <c r="I643" s="109"/>
      <c r="M643" s="64"/>
      <c r="N643" s="64"/>
      <c r="O643" s="64"/>
      <c r="P643" s="64"/>
    </row>
    <row r="644" spans="1:16" x14ac:dyDescent="0.25">
      <c r="A644"/>
      <c r="B644"/>
      <c r="C644"/>
      <c r="H644" s="109"/>
      <c r="I644" s="109"/>
      <c r="M644" s="64"/>
      <c r="N644" s="64"/>
      <c r="O644" s="64"/>
      <c r="P644" s="64"/>
    </row>
    <row r="645" spans="1:16" x14ac:dyDescent="0.25">
      <c r="A645"/>
      <c r="B645"/>
      <c r="C645"/>
      <c r="H645" s="109"/>
      <c r="I645" s="109"/>
      <c r="M645" s="64"/>
      <c r="N645" s="64"/>
      <c r="O645" s="64"/>
      <c r="P645" s="64"/>
    </row>
    <row r="646" spans="1:16" x14ac:dyDescent="0.25">
      <c r="A646"/>
      <c r="B646"/>
      <c r="C646"/>
      <c r="H646" s="109"/>
      <c r="I646" s="109"/>
      <c r="M646" s="64"/>
      <c r="N646" s="64"/>
      <c r="O646" s="64"/>
      <c r="P646" s="64"/>
    </row>
    <row r="647" spans="1:16" x14ac:dyDescent="0.25">
      <c r="A647"/>
      <c r="B647"/>
      <c r="C647"/>
      <c r="H647" s="109"/>
      <c r="I647" s="109"/>
      <c r="M647" s="64"/>
      <c r="N647" s="64"/>
      <c r="O647" s="64"/>
      <c r="P647" s="64"/>
    </row>
    <row r="648" spans="1:16" x14ac:dyDescent="0.25">
      <c r="A648"/>
      <c r="B648"/>
      <c r="C648"/>
      <c r="H648" s="109"/>
      <c r="I648" s="109"/>
      <c r="M648" s="64"/>
      <c r="N648" s="64"/>
      <c r="O648" s="64"/>
      <c r="P648" s="64"/>
    </row>
    <row r="649" spans="1:16" x14ac:dyDescent="0.25">
      <c r="A649"/>
      <c r="B649"/>
      <c r="C649"/>
      <c r="H649" s="109"/>
      <c r="I649" s="109"/>
      <c r="M649" s="64"/>
      <c r="N649" s="64"/>
      <c r="O649" s="64"/>
      <c r="P649" s="64"/>
    </row>
    <row r="650" spans="1:16" x14ac:dyDescent="0.25">
      <c r="M650" s="64"/>
      <c r="N650" s="64"/>
      <c r="O650" s="64"/>
      <c r="P650" s="64"/>
    </row>
    <row r="651" spans="1:16" x14ac:dyDescent="0.25">
      <c r="A651"/>
      <c r="B651"/>
      <c r="C651"/>
      <c r="H651" s="109"/>
      <c r="I651" s="109"/>
      <c r="M651" s="64"/>
      <c r="N651" s="64"/>
      <c r="O651" s="64"/>
      <c r="P651" s="64"/>
    </row>
    <row r="652" spans="1:16" x14ac:dyDescent="0.25">
      <c r="A652"/>
      <c r="B652"/>
      <c r="C652"/>
      <c r="H652" s="109"/>
      <c r="I652" s="109"/>
      <c r="M652" s="64"/>
      <c r="N652" s="64"/>
      <c r="O652" s="64"/>
      <c r="P652" s="64"/>
    </row>
    <row r="653" spans="1:16" x14ac:dyDescent="0.25">
      <c r="A653"/>
      <c r="B653"/>
      <c r="C653"/>
      <c r="H653" s="109"/>
      <c r="I653" s="109"/>
      <c r="M653" s="64"/>
      <c r="N653" s="64"/>
      <c r="O653" s="64"/>
      <c r="P653" s="64"/>
    </row>
    <row r="654" spans="1:16" x14ac:dyDescent="0.25">
      <c r="A654"/>
      <c r="B654"/>
      <c r="C654"/>
      <c r="H654" s="109"/>
      <c r="I654" s="109"/>
      <c r="M654" s="64"/>
      <c r="N654" s="64"/>
      <c r="O654" s="64"/>
      <c r="P654" s="64"/>
    </row>
    <row r="655" spans="1:16" x14ac:dyDescent="0.25">
      <c r="A655"/>
      <c r="B655"/>
      <c r="C655"/>
      <c r="H655" s="109"/>
      <c r="I655" s="109"/>
      <c r="M655" s="64"/>
      <c r="N655" s="64"/>
      <c r="O655" s="64"/>
      <c r="P655" s="64"/>
    </row>
    <row r="656" spans="1:16" x14ac:dyDescent="0.25">
      <c r="A656"/>
      <c r="B656"/>
      <c r="C656"/>
      <c r="H656" s="109"/>
      <c r="I656" s="109"/>
      <c r="M656" s="64"/>
      <c r="N656" s="64"/>
      <c r="O656" s="64"/>
      <c r="P656" s="64"/>
    </row>
    <row r="657" spans="1:16" x14ac:dyDescent="0.25">
      <c r="A657"/>
      <c r="B657"/>
      <c r="C657"/>
      <c r="H657" s="109"/>
      <c r="I657" s="109"/>
      <c r="M657" s="64"/>
      <c r="N657" s="64"/>
      <c r="O657" s="64"/>
      <c r="P657" s="64"/>
    </row>
    <row r="658" spans="1:16" x14ac:dyDescent="0.25">
      <c r="A658"/>
      <c r="B658"/>
      <c r="C658"/>
      <c r="H658" s="109"/>
      <c r="I658" s="109"/>
      <c r="J658" s="19"/>
      <c r="M658" s="64"/>
      <c r="N658" s="64"/>
      <c r="O658" s="64"/>
      <c r="P658" s="64"/>
    </row>
    <row r="659" spans="1:16" x14ac:dyDescent="0.25">
      <c r="A659"/>
      <c r="B659"/>
      <c r="C659"/>
      <c r="H659" s="109"/>
      <c r="I659" s="109"/>
      <c r="M659" s="64"/>
      <c r="N659" s="64"/>
      <c r="O659" s="64"/>
      <c r="P659" s="64"/>
    </row>
    <row r="660" spans="1:16" x14ac:dyDescent="0.25">
      <c r="A660"/>
      <c r="B660"/>
      <c r="C660"/>
      <c r="H660" s="109"/>
      <c r="I660" s="109"/>
      <c r="M660" s="64"/>
      <c r="N660" s="64"/>
      <c r="O660" s="64"/>
      <c r="P660" s="64"/>
    </row>
    <row r="661" spans="1:16" x14ac:dyDescent="0.25">
      <c r="A661"/>
      <c r="B661"/>
      <c r="C661"/>
      <c r="H661" s="109"/>
      <c r="I661" s="109"/>
      <c r="M661" s="64"/>
      <c r="N661" s="64"/>
      <c r="O661" s="64"/>
      <c r="P661" s="64"/>
    </row>
    <row r="662" spans="1:16" x14ac:dyDescent="0.25">
      <c r="A662"/>
      <c r="B662"/>
      <c r="C662"/>
      <c r="H662" s="109"/>
      <c r="I662" s="109"/>
      <c r="M662" s="64"/>
      <c r="N662" s="64"/>
      <c r="O662" s="64"/>
      <c r="P662" s="64"/>
    </row>
    <row r="663" spans="1:16" x14ac:dyDescent="0.25">
      <c r="A663"/>
      <c r="B663"/>
      <c r="C663"/>
      <c r="H663" s="109"/>
      <c r="I663" s="109"/>
      <c r="M663" s="64"/>
      <c r="N663" s="64"/>
      <c r="O663" s="64"/>
      <c r="P663" s="64"/>
    </row>
    <row r="664" spans="1:16" x14ac:dyDescent="0.25">
      <c r="A664"/>
      <c r="B664"/>
      <c r="C664"/>
      <c r="H664" s="109"/>
      <c r="I664" s="109"/>
      <c r="M664" s="64"/>
      <c r="N664" s="64"/>
      <c r="O664" s="64"/>
      <c r="P664" s="64"/>
    </row>
    <row r="665" spans="1:16" x14ac:dyDescent="0.25">
      <c r="A665"/>
      <c r="B665"/>
      <c r="C665"/>
      <c r="H665" s="109"/>
      <c r="I665" s="109"/>
      <c r="M665" s="64"/>
      <c r="N665" s="64"/>
      <c r="O665" s="64"/>
      <c r="P665" s="64"/>
    </row>
    <row r="666" spans="1:16" x14ac:dyDescent="0.25">
      <c r="A666"/>
      <c r="B666"/>
      <c r="C666"/>
      <c r="H666" s="109"/>
      <c r="I666" s="109"/>
      <c r="M666" s="64"/>
      <c r="N666" s="64"/>
      <c r="O666" s="64"/>
      <c r="P666" s="64"/>
    </row>
    <row r="667" spans="1:16" x14ac:dyDescent="0.25">
      <c r="A667"/>
      <c r="B667"/>
      <c r="C667"/>
      <c r="H667" s="109"/>
      <c r="I667" s="109"/>
      <c r="M667" s="64"/>
      <c r="N667" s="64"/>
      <c r="O667" s="64"/>
      <c r="P667" s="64"/>
    </row>
    <row r="668" spans="1:16" x14ac:dyDescent="0.25">
      <c r="A668"/>
      <c r="B668"/>
      <c r="C668"/>
      <c r="H668" s="109"/>
      <c r="I668" s="109"/>
      <c r="M668" s="64"/>
      <c r="N668" s="64"/>
      <c r="O668" s="64"/>
      <c r="P668" s="64"/>
    </row>
    <row r="669" spans="1:16" x14ac:dyDescent="0.25">
      <c r="A669"/>
      <c r="B669"/>
      <c r="C669"/>
      <c r="H669" s="109"/>
      <c r="I669" s="109"/>
      <c r="M669" s="64"/>
      <c r="N669" s="64"/>
      <c r="O669" s="64"/>
      <c r="P669" s="64"/>
    </row>
    <row r="670" spans="1:16" x14ac:dyDescent="0.25">
      <c r="A670"/>
      <c r="B670"/>
      <c r="C670"/>
      <c r="H670" s="109"/>
      <c r="I670" s="109"/>
      <c r="M670" s="64"/>
      <c r="N670" s="64"/>
      <c r="O670" s="64"/>
      <c r="P670" s="64"/>
    </row>
    <row r="671" spans="1:16" x14ac:dyDescent="0.25">
      <c r="M671" s="64"/>
      <c r="N671" s="64"/>
      <c r="O671" s="64"/>
      <c r="P671" s="64"/>
    </row>
    <row r="672" spans="1:16" x14ac:dyDescent="0.25">
      <c r="M672" s="64"/>
      <c r="N672" s="64"/>
      <c r="O672" s="64"/>
      <c r="P672" s="64"/>
    </row>
    <row r="673" spans="1:16" x14ac:dyDescent="0.25">
      <c r="M673" s="64"/>
      <c r="N673" s="64"/>
      <c r="O673" s="64"/>
      <c r="P673" s="64"/>
    </row>
    <row r="674" spans="1:16" x14ac:dyDescent="0.25">
      <c r="A674"/>
      <c r="B674"/>
      <c r="C674"/>
      <c r="H674" s="109"/>
      <c r="I674" s="109"/>
      <c r="M674" s="64"/>
      <c r="N674" s="64"/>
      <c r="O674" s="64"/>
      <c r="P674" s="64"/>
    </row>
    <row r="675" spans="1:16" x14ac:dyDescent="0.25">
      <c r="A675"/>
      <c r="B675"/>
      <c r="C675"/>
      <c r="H675" s="109"/>
      <c r="I675" s="109"/>
      <c r="M675" s="64"/>
      <c r="N675" s="64"/>
      <c r="O675" s="64"/>
      <c r="P675" s="64"/>
    </row>
    <row r="676" spans="1:16" x14ac:dyDescent="0.25">
      <c r="A676"/>
      <c r="B676"/>
      <c r="C676"/>
      <c r="H676" s="109"/>
      <c r="I676" s="109"/>
      <c r="M676" s="64"/>
      <c r="N676" s="64"/>
      <c r="O676" s="64"/>
      <c r="P676" s="64"/>
    </row>
    <row r="677" spans="1:16" x14ac:dyDescent="0.25">
      <c r="A677"/>
      <c r="B677"/>
      <c r="C677"/>
      <c r="H677" s="109"/>
      <c r="I677" s="109"/>
      <c r="M677" s="64"/>
      <c r="N677" s="64"/>
      <c r="O677" s="64"/>
      <c r="P677" s="64"/>
    </row>
    <row r="678" spans="1:16" x14ac:dyDescent="0.25">
      <c r="A678"/>
      <c r="B678"/>
      <c r="C678"/>
      <c r="H678" s="109"/>
      <c r="I678" s="109"/>
      <c r="M678" s="64"/>
      <c r="N678" s="64"/>
      <c r="O678" s="64"/>
      <c r="P678" s="64"/>
    </row>
    <row r="679" spans="1:16" x14ac:dyDescent="0.25">
      <c r="A679"/>
      <c r="B679"/>
      <c r="C679"/>
      <c r="H679" s="109"/>
      <c r="I679" s="109"/>
      <c r="M679" s="64"/>
      <c r="N679" s="64"/>
      <c r="O679" s="64"/>
      <c r="P679" s="64"/>
    </row>
    <row r="680" spans="1:16" x14ac:dyDescent="0.25">
      <c r="A680"/>
      <c r="B680"/>
      <c r="C680"/>
      <c r="H680" s="109"/>
      <c r="I680" s="109"/>
      <c r="M680" s="64"/>
      <c r="N680" s="64"/>
      <c r="O680" s="64"/>
      <c r="P680" s="64"/>
    </row>
    <row r="681" spans="1:16" x14ac:dyDescent="0.25">
      <c r="A681"/>
      <c r="B681"/>
      <c r="C681"/>
      <c r="H681" s="109"/>
      <c r="I681" s="109"/>
      <c r="M681" s="64"/>
      <c r="N681" s="64"/>
      <c r="O681" s="64"/>
      <c r="P681" s="64"/>
    </row>
    <row r="682" spans="1:16" x14ac:dyDescent="0.25">
      <c r="A682"/>
      <c r="B682"/>
      <c r="C682"/>
      <c r="H682" s="109"/>
      <c r="I682" s="109"/>
      <c r="M682" s="64"/>
      <c r="N682" s="64"/>
      <c r="O682" s="64"/>
      <c r="P682" s="64"/>
    </row>
    <row r="683" spans="1:16" x14ac:dyDescent="0.25">
      <c r="A683"/>
      <c r="B683"/>
      <c r="C683"/>
      <c r="H683" s="109"/>
      <c r="I683" s="109"/>
      <c r="M683" s="64"/>
      <c r="N683" s="64"/>
      <c r="O683" s="64"/>
      <c r="P683" s="64"/>
    </row>
    <row r="684" spans="1:16" x14ac:dyDescent="0.25">
      <c r="A684"/>
      <c r="B684"/>
      <c r="C684"/>
      <c r="H684" s="109"/>
      <c r="I684" s="109"/>
      <c r="M684" s="64"/>
      <c r="N684" s="64"/>
      <c r="O684" s="64"/>
      <c r="P684" s="64"/>
    </row>
    <row r="685" spans="1:16" x14ac:dyDescent="0.25">
      <c r="A685"/>
      <c r="B685"/>
      <c r="C685"/>
      <c r="H685" s="109"/>
      <c r="I685" s="109"/>
      <c r="M685" s="64"/>
      <c r="N685" s="64"/>
      <c r="O685" s="64"/>
      <c r="P685" s="64"/>
    </row>
    <row r="686" spans="1:16" x14ac:dyDescent="0.25">
      <c r="A686"/>
      <c r="B686"/>
      <c r="C686"/>
      <c r="H686" s="109"/>
      <c r="I686" s="109"/>
      <c r="M686" s="64"/>
      <c r="N686" s="64"/>
      <c r="O686" s="64"/>
      <c r="P686" s="64"/>
    </row>
    <row r="687" spans="1:16" x14ac:dyDescent="0.25">
      <c r="A687"/>
      <c r="B687"/>
      <c r="C687"/>
      <c r="H687" s="109"/>
      <c r="I687" s="109"/>
      <c r="M687" s="64"/>
      <c r="N687" s="64"/>
      <c r="O687" s="64"/>
      <c r="P687" s="64"/>
    </row>
    <row r="688" spans="1:16" x14ac:dyDescent="0.25">
      <c r="A688"/>
      <c r="B688"/>
      <c r="C688"/>
      <c r="H688" s="109"/>
      <c r="I688" s="109"/>
      <c r="M688" s="64"/>
      <c r="N688" s="64"/>
      <c r="O688" s="64"/>
      <c r="P688" s="64"/>
    </row>
    <row r="689" spans="1:16" x14ac:dyDescent="0.25">
      <c r="A689"/>
      <c r="B689"/>
      <c r="C689"/>
      <c r="H689" s="109"/>
      <c r="I689" s="109"/>
      <c r="M689" s="64"/>
      <c r="N689" s="64"/>
      <c r="O689" s="64"/>
      <c r="P689" s="64"/>
    </row>
    <row r="690" spans="1:16" x14ac:dyDescent="0.25">
      <c r="A690"/>
      <c r="B690"/>
      <c r="C690"/>
      <c r="H690" s="109"/>
      <c r="I690" s="109"/>
      <c r="M690" s="64"/>
      <c r="N690" s="64"/>
      <c r="O690" s="64"/>
      <c r="P690" s="64"/>
    </row>
    <row r="691" spans="1:16" x14ac:dyDescent="0.25">
      <c r="A691"/>
      <c r="B691"/>
      <c r="C691"/>
      <c r="H691" s="109"/>
      <c r="I691" s="109"/>
      <c r="M691" s="64"/>
      <c r="N691" s="64"/>
      <c r="O691" s="64"/>
      <c r="P691" s="64"/>
    </row>
    <row r="692" spans="1:16" x14ac:dyDescent="0.25">
      <c r="A692"/>
      <c r="B692"/>
      <c r="C692"/>
      <c r="H692" s="109"/>
      <c r="I692" s="109"/>
      <c r="M692" s="64"/>
      <c r="N692" s="64"/>
      <c r="O692" s="64"/>
      <c r="P692" s="64"/>
    </row>
    <row r="693" spans="1:16" x14ac:dyDescent="0.25">
      <c r="A693"/>
      <c r="B693"/>
      <c r="C693"/>
      <c r="H693" s="109"/>
      <c r="I693" s="109"/>
      <c r="M693" s="64"/>
      <c r="N693" s="64"/>
      <c r="O693" s="64"/>
      <c r="P693" s="64"/>
    </row>
    <row r="694" spans="1:16" x14ac:dyDescent="0.25">
      <c r="A694"/>
      <c r="B694"/>
      <c r="C694"/>
      <c r="H694" s="109"/>
      <c r="I694" s="109"/>
      <c r="M694" s="64"/>
      <c r="N694" s="64"/>
      <c r="O694" s="64"/>
      <c r="P694" s="64"/>
    </row>
    <row r="695" spans="1:16" x14ac:dyDescent="0.25">
      <c r="A695"/>
      <c r="B695"/>
      <c r="C695"/>
      <c r="H695" s="109"/>
      <c r="I695" s="109"/>
      <c r="M695" s="64"/>
      <c r="N695" s="64"/>
      <c r="O695" s="64"/>
      <c r="P695" s="64"/>
    </row>
    <row r="696" spans="1:16" x14ac:dyDescent="0.25">
      <c r="A696"/>
      <c r="B696"/>
      <c r="C696"/>
      <c r="H696" s="109"/>
      <c r="I696" s="109"/>
      <c r="M696" s="64"/>
      <c r="N696" s="64"/>
      <c r="O696" s="64"/>
      <c r="P696" s="64"/>
    </row>
    <row r="697" spans="1:16" x14ac:dyDescent="0.25">
      <c r="A697"/>
      <c r="B697"/>
      <c r="C697"/>
      <c r="H697" s="109"/>
      <c r="I697" s="109"/>
      <c r="M697" s="64"/>
      <c r="N697" s="64"/>
      <c r="O697" s="64"/>
      <c r="P697" s="64"/>
    </row>
    <row r="698" spans="1:16" x14ac:dyDescent="0.25">
      <c r="A698"/>
      <c r="B698"/>
      <c r="C698"/>
      <c r="H698" s="109"/>
      <c r="I698" s="109"/>
      <c r="M698" s="64"/>
      <c r="N698" s="64"/>
      <c r="O698" s="64"/>
      <c r="P698" s="64"/>
    </row>
    <row r="699" spans="1:16" x14ac:dyDescent="0.25">
      <c r="A699"/>
      <c r="B699"/>
      <c r="C699"/>
      <c r="H699" s="109"/>
      <c r="I699" s="109"/>
      <c r="M699" s="64"/>
      <c r="N699" s="64"/>
      <c r="O699" s="64"/>
      <c r="P699" s="64"/>
    </row>
    <row r="700" spans="1:16" x14ac:dyDescent="0.25">
      <c r="A700"/>
      <c r="B700"/>
      <c r="C700"/>
      <c r="H700" s="109"/>
      <c r="I700" s="109"/>
      <c r="M700" s="64"/>
      <c r="N700" s="64"/>
      <c r="O700" s="64"/>
      <c r="P700" s="64"/>
    </row>
    <row r="701" spans="1:16" x14ac:dyDescent="0.25">
      <c r="A701"/>
      <c r="B701"/>
      <c r="C701"/>
      <c r="H701" s="109"/>
      <c r="I701" s="109"/>
      <c r="M701" s="64"/>
      <c r="N701" s="64"/>
      <c r="O701" s="64"/>
      <c r="P701" s="64"/>
    </row>
    <row r="702" spans="1:16" x14ac:dyDescent="0.25">
      <c r="A702"/>
      <c r="B702"/>
      <c r="C702"/>
      <c r="H702" s="109"/>
      <c r="I702" s="109"/>
      <c r="M702" s="64"/>
      <c r="N702" s="64"/>
      <c r="O702" s="64"/>
      <c r="P702" s="64"/>
    </row>
    <row r="703" spans="1:16" x14ac:dyDescent="0.25">
      <c r="A703"/>
      <c r="B703"/>
      <c r="C703"/>
      <c r="H703" s="109"/>
      <c r="I703" s="109"/>
      <c r="M703" s="64"/>
      <c r="N703" s="64"/>
      <c r="O703" s="64"/>
      <c r="P703" s="64"/>
    </row>
    <row r="704" spans="1:16" x14ac:dyDescent="0.25">
      <c r="A704"/>
      <c r="B704"/>
      <c r="C704"/>
      <c r="H704" s="109"/>
      <c r="I704" s="109"/>
      <c r="M704" s="64"/>
      <c r="N704" s="64"/>
      <c r="O704" s="64"/>
      <c r="P704" s="64"/>
    </row>
    <row r="705" spans="1:16" x14ac:dyDescent="0.25">
      <c r="M705" s="64"/>
      <c r="N705" s="64"/>
      <c r="O705" s="64"/>
      <c r="P705" s="64"/>
    </row>
    <row r="706" spans="1:16" x14ac:dyDescent="0.25">
      <c r="A706"/>
      <c r="B706"/>
      <c r="C706"/>
      <c r="H706" s="109"/>
      <c r="I706" s="109"/>
      <c r="M706" s="64"/>
      <c r="N706" s="64"/>
      <c r="O706" s="64"/>
      <c r="P706" s="64"/>
    </row>
    <row r="707" spans="1:16" x14ac:dyDescent="0.25">
      <c r="A707"/>
      <c r="B707"/>
      <c r="C707"/>
      <c r="H707" s="109"/>
      <c r="I707" s="109"/>
      <c r="M707" s="64"/>
      <c r="N707" s="64"/>
      <c r="O707" s="64"/>
      <c r="P707" s="64"/>
    </row>
    <row r="708" spans="1:16" x14ac:dyDescent="0.25">
      <c r="A708"/>
      <c r="B708"/>
      <c r="C708"/>
      <c r="H708" s="109"/>
      <c r="I708" s="109"/>
      <c r="M708" s="64"/>
      <c r="N708" s="64"/>
      <c r="O708" s="64"/>
      <c r="P708" s="64"/>
    </row>
    <row r="709" spans="1:16" x14ac:dyDescent="0.25">
      <c r="A709"/>
      <c r="B709"/>
      <c r="C709"/>
      <c r="H709" s="109"/>
      <c r="I709" s="109"/>
      <c r="M709" s="64"/>
      <c r="N709" s="64"/>
      <c r="O709" s="64"/>
      <c r="P709" s="64"/>
    </row>
    <row r="710" spans="1:16" x14ac:dyDescent="0.25">
      <c r="A710"/>
      <c r="B710"/>
      <c r="C710"/>
      <c r="H710" s="109"/>
      <c r="I710" s="109"/>
      <c r="M710" s="64"/>
      <c r="N710" s="64"/>
      <c r="O710" s="64"/>
      <c r="P710" s="64"/>
    </row>
    <row r="711" spans="1:16" x14ac:dyDescent="0.25">
      <c r="M711" s="64"/>
      <c r="N711" s="64"/>
      <c r="O711" s="64"/>
      <c r="P711" s="64"/>
    </row>
    <row r="712" spans="1:16" x14ac:dyDescent="0.25">
      <c r="M712" s="64"/>
      <c r="N712" s="64"/>
      <c r="O712" s="64"/>
      <c r="P712" s="64"/>
    </row>
    <row r="713" spans="1:16" ht="13" x14ac:dyDescent="0.3">
      <c r="A713"/>
      <c r="B713"/>
      <c r="C713"/>
      <c r="D713" s="117"/>
      <c r="E713" s="117"/>
      <c r="F713" s="117"/>
      <c r="G713" s="117"/>
      <c r="H713" s="109"/>
      <c r="I713" s="109"/>
      <c r="M713" s="64"/>
      <c r="N713" s="64"/>
      <c r="O713" s="64"/>
      <c r="P713" s="64"/>
    </row>
    <row r="714" spans="1:16" x14ac:dyDescent="0.25">
      <c r="A714"/>
      <c r="B714"/>
      <c r="C714"/>
      <c r="H714" s="109"/>
      <c r="I714" s="109"/>
      <c r="M714" s="64"/>
      <c r="N714" s="64"/>
      <c r="O714" s="64"/>
      <c r="P714" s="64"/>
    </row>
    <row r="715" spans="1:16" x14ac:dyDescent="0.25">
      <c r="A715"/>
      <c r="B715"/>
      <c r="C715"/>
      <c r="H715" s="109"/>
      <c r="I715" s="109"/>
      <c r="M715" s="64"/>
      <c r="N715" s="64"/>
      <c r="O715" s="64"/>
      <c r="P715" s="64"/>
    </row>
    <row r="716" spans="1:16" x14ac:dyDescent="0.25">
      <c r="A716"/>
      <c r="B716"/>
      <c r="C716"/>
      <c r="H716" s="109"/>
      <c r="I716" s="109"/>
      <c r="M716" s="64"/>
      <c r="N716" s="64"/>
      <c r="O716" s="64"/>
      <c r="P716" s="64"/>
    </row>
    <row r="717" spans="1:16" x14ac:dyDescent="0.25">
      <c r="A717"/>
      <c r="B717"/>
      <c r="C717"/>
      <c r="H717" s="109"/>
      <c r="I717" s="109"/>
      <c r="M717" s="64"/>
      <c r="N717" s="64"/>
      <c r="O717" s="64"/>
      <c r="P717" s="64"/>
    </row>
    <row r="718" spans="1:16" x14ac:dyDescent="0.25">
      <c r="A718"/>
      <c r="B718"/>
      <c r="C718"/>
      <c r="H718" s="109"/>
      <c r="I718" s="109"/>
      <c r="M718" s="64"/>
      <c r="N718" s="64"/>
      <c r="O718" s="64"/>
      <c r="P718" s="64"/>
    </row>
    <row r="719" spans="1:16" x14ac:dyDescent="0.25">
      <c r="A719"/>
      <c r="B719"/>
      <c r="C719"/>
      <c r="H719" s="109"/>
      <c r="I719" s="109"/>
      <c r="M719" s="64"/>
      <c r="N719" s="64"/>
      <c r="O719" s="64"/>
      <c r="P719" s="64"/>
    </row>
    <row r="720" spans="1:16" x14ac:dyDescent="0.25">
      <c r="A720"/>
      <c r="B720"/>
      <c r="C720"/>
      <c r="H720" s="109"/>
      <c r="I720" s="109"/>
      <c r="M720" s="64"/>
      <c r="N720" s="64"/>
      <c r="O720" s="64"/>
      <c r="P720" s="64"/>
    </row>
    <row r="721" spans="1:16" x14ac:dyDescent="0.25">
      <c r="M721" s="64"/>
      <c r="N721" s="64"/>
      <c r="O721" s="64"/>
      <c r="P721" s="64"/>
    </row>
    <row r="722" spans="1:16" x14ac:dyDescent="0.25">
      <c r="A722"/>
      <c r="B722"/>
      <c r="C722"/>
      <c r="H722" s="109"/>
      <c r="I722" s="109"/>
      <c r="M722" s="64"/>
      <c r="N722" s="64"/>
      <c r="O722" s="64"/>
      <c r="P722" s="64"/>
    </row>
    <row r="723" spans="1:16" x14ac:dyDescent="0.25">
      <c r="M723" s="64"/>
      <c r="N723" s="64"/>
      <c r="O723" s="64"/>
      <c r="P723" s="64"/>
    </row>
    <row r="724" spans="1:16" x14ac:dyDescent="0.25">
      <c r="A724"/>
      <c r="B724"/>
      <c r="C724"/>
      <c r="H724" s="109"/>
      <c r="I724" s="109"/>
      <c r="M724" s="64"/>
      <c r="N724" s="64"/>
      <c r="O724" s="64"/>
      <c r="P724" s="64"/>
    </row>
    <row r="725" spans="1:16" x14ac:dyDescent="0.25">
      <c r="A725"/>
      <c r="B725"/>
      <c r="C725"/>
      <c r="H725" s="109"/>
      <c r="I725" s="109"/>
      <c r="M725" s="64"/>
      <c r="N725" s="64"/>
      <c r="O725" s="64"/>
      <c r="P725" s="64"/>
    </row>
    <row r="726" spans="1:16" x14ac:dyDescent="0.25">
      <c r="A726"/>
      <c r="B726"/>
      <c r="C726"/>
      <c r="H726" s="109"/>
      <c r="I726" s="109"/>
      <c r="M726" s="64"/>
      <c r="N726" s="64"/>
      <c r="O726" s="64"/>
      <c r="P726" s="64"/>
    </row>
    <row r="727" spans="1:16" x14ac:dyDescent="0.25">
      <c r="A727"/>
      <c r="B727"/>
      <c r="C727"/>
      <c r="H727" s="109"/>
      <c r="I727" s="109"/>
      <c r="M727" s="64"/>
      <c r="N727" s="64"/>
      <c r="O727" s="64"/>
      <c r="P727" s="64"/>
    </row>
    <row r="728" spans="1:16" x14ac:dyDescent="0.25">
      <c r="A728"/>
      <c r="B728"/>
      <c r="C728"/>
      <c r="H728" s="109"/>
      <c r="I728" s="109"/>
      <c r="M728" s="64"/>
      <c r="N728" s="64"/>
      <c r="O728" s="64"/>
      <c r="P728" s="64"/>
    </row>
    <row r="729" spans="1:16" ht="13" x14ac:dyDescent="0.3">
      <c r="A729"/>
      <c r="B729"/>
      <c r="C729"/>
      <c r="D729" s="16"/>
      <c r="E729" s="16"/>
      <c r="F729" s="16"/>
      <c r="G729" s="16"/>
      <c r="H729" s="109"/>
      <c r="I729" s="109"/>
      <c r="M729" s="64"/>
      <c r="N729" s="64"/>
      <c r="O729" s="64"/>
      <c r="P729" s="64"/>
    </row>
    <row r="730" spans="1:16" x14ac:dyDescent="0.25">
      <c r="A730"/>
      <c r="B730"/>
      <c r="C730"/>
      <c r="H730" s="109"/>
      <c r="I730" s="109"/>
      <c r="M730" s="64"/>
      <c r="N730" s="64"/>
      <c r="O730" s="64"/>
      <c r="P730" s="64"/>
    </row>
    <row r="731" spans="1:16" x14ac:dyDescent="0.25">
      <c r="A731"/>
      <c r="B731"/>
      <c r="C731"/>
      <c r="H731" s="109"/>
      <c r="I731" s="109"/>
      <c r="M731" s="64"/>
      <c r="N731" s="64"/>
      <c r="O731" s="64"/>
      <c r="P731" s="64"/>
    </row>
    <row r="732" spans="1:16" x14ac:dyDescent="0.25">
      <c r="A732"/>
      <c r="B732"/>
      <c r="C732"/>
      <c r="H732" s="109"/>
      <c r="I732" s="109"/>
      <c r="M732" s="64"/>
      <c r="N732" s="64"/>
      <c r="O732" s="64"/>
      <c r="P732" s="64"/>
    </row>
    <row r="733" spans="1:16" x14ac:dyDescent="0.25">
      <c r="A733"/>
      <c r="B733"/>
      <c r="C733"/>
      <c r="H733" s="109"/>
      <c r="I733" s="109"/>
      <c r="M733" s="64"/>
      <c r="N733" s="64"/>
      <c r="O733" s="64"/>
      <c r="P733" s="64"/>
    </row>
    <row r="734" spans="1:16" x14ac:dyDescent="0.25">
      <c r="A734"/>
      <c r="B734"/>
      <c r="C734"/>
      <c r="H734" s="109"/>
      <c r="I734" s="109"/>
      <c r="M734" s="64"/>
      <c r="N734" s="64"/>
      <c r="O734" s="64"/>
      <c r="P734" s="64"/>
    </row>
    <row r="735" spans="1:16" x14ac:dyDescent="0.25">
      <c r="A735"/>
      <c r="B735"/>
      <c r="C735"/>
      <c r="H735" s="109"/>
      <c r="I735" s="109"/>
      <c r="M735" s="64"/>
      <c r="N735" s="64"/>
      <c r="O735" s="64"/>
      <c r="P735" s="64"/>
    </row>
    <row r="736" spans="1:16" x14ac:dyDescent="0.25">
      <c r="A736"/>
      <c r="B736"/>
      <c r="C736"/>
      <c r="H736" s="109"/>
      <c r="I736" s="109"/>
      <c r="M736" s="64"/>
      <c r="N736" s="64"/>
      <c r="O736" s="64"/>
      <c r="P736" s="64"/>
    </row>
    <row r="737" spans="1:16" x14ac:dyDescent="0.25">
      <c r="A737"/>
      <c r="B737"/>
      <c r="C737"/>
      <c r="H737" s="109"/>
      <c r="I737" s="109"/>
      <c r="M737" s="64"/>
      <c r="N737" s="64"/>
      <c r="O737" s="64"/>
      <c r="P737" s="64"/>
    </row>
    <row r="738" spans="1:16" x14ac:dyDescent="0.25">
      <c r="A738"/>
      <c r="B738"/>
      <c r="C738"/>
      <c r="H738" s="109"/>
      <c r="I738" s="109"/>
      <c r="M738" s="64"/>
      <c r="N738" s="64"/>
      <c r="O738" s="64"/>
      <c r="P738" s="64"/>
    </row>
    <row r="739" spans="1:16" x14ac:dyDescent="0.25">
      <c r="A739"/>
      <c r="B739"/>
      <c r="C739"/>
      <c r="H739" s="109"/>
      <c r="I739" s="109"/>
      <c r="M739" s="64"/>
      <c r="N739" s="64"/>
      <c r="O739" s="64"/>
      <c r="P739" s="64"/>
    </row>
    <row r="740" spans="1:16" x14ac:dyDescent="0.25">
      <c r="A740"/>
      <c r="B740"/>
      <c r="C740"/>
      <c r="H740" s="109"/>
      <c r="I740" s="109"/>
      <c r="M740" s="64"/>
      <c r="N740" s="64"/>
      <c r="O740" s="64"/>
      <c r="P740" s="64"/>
    </row>
    <row r="741" spans="1:16" x14ac:dyDescent="0.25">
      <c r="A741"/>
      <c r="B741"/>
      <c r="C741"/>
      <c r="H741" s="109"/>
      <c r="I741" s="109"/>
      <c r="M741" s="64"/>
      <c r="N741" s="64"/>
      <c r="O741" s="64"/>
      <c r="P741" s="64"/>
    </row>
    <row r="742" spans="1:16" x14ac:dyDescent="0.25">
      <c r="M742" s="64"/>
      <c r="N742" s="64"/>
      <c r="O742" s="64"/>
      <c r="P742" s="64"/>
    </row>
    <row r="743" spans="1:16" x14ac:dyDescent="0.25">
      <c r="A743"/>
      <c r="B743"/>
      <c r="C743"/>
      <c r="H743" s="109"/>
      <c r="I743" s="109"/>
      <c r="M743" s="64"/>
      <c r="N743" s="64"/>
      <c r="O743" s="64"/>
      <c r="P743" s="64"/>
    </row>
    <row r="744" spans="1:16" x14ac:dyDescent="0.25">
      <c r="A744"/>
      <c r="B744"/>
      <c r="C744"/>
      <c r="H744" s="109"/>
      <c r="I744" s="109"/>
      <c r="M744" s="64"/>
      <c r="N744" s="64"/>
      <c r="O744" s="64"/>
      <c r="P744" s="64"/>
    </row>
    <row r="745" spans="1:16" x14ac:dyDescent="0.25">
      <c r="A745"/>
      <c r="B745"/>
      <c r="C745"/>
      <c r="H745" s="109"/>
      <c r="I745" s="109"/>
      <c r="M745" s="64"/>
      <c r="N745" s="64"/>
      <c r="O745" s="64"/>
      <c r="P745" s="64"/>
    </row>
    <row r="746" spans="1:16" x14ac:dyDescent="0.25">
      <c r="A746"/>
      <c r="B746"/>
      <c r="C746"/>
      <c r="H746" s="109"/>
      <c r="I746" s="109"/>
      <c r="M746" s="64"/>
      <c r="N746" s="64"/>
      <c r="O746" s="64"/>
      <c r="P746" s="64"/>
    </row>
    <row r="747" spans="1:16" x14ac:dyDescent="0.25">
      <c r="M747" s="64"/>
      <c r="O747" s="64">
        <f t="shared" ref="O747" si="85">M747*0.1</f>
        <v>0</v>
      </c>
    </row>
  </sheetData>
  <autoFilter ref="A1:P747" xr:uid="{00000000-0001-0000-0900-000000000000}"/>
  <sortState xmlns:xlrd2="http://schemas.microsoft.com/office/spreadsheetml/2017/richdata2" ref="A2:I291">
    <sortCondition ref="B2:B291"/>
  </sortState>
  <pageMargins left="0.7" right="0.7" top="0.75" bottom="0.75" header="0.3" footer="0.3"/>
  <pageSetup orientation="portrait" r:id="rId1"/>
  <headerFooter differentOddEven="1" differentFirst="1">
    <oddFooter>&amp;L_x000D_&amp;1#&amp;"Calibri"&amp;10&amp;K008000 Internal&amp;C&amp;"tahoma,Bold"&amp;8&amp;KFFCC00¯¯¯¯¯¯¯¯¯¯¯¯¯¯¯¯¯¯¯¯¯¯¯¯¯¯¯¯¯¯¯¯¯¯¯¯¯
Gizli / Confidential  -
 Genel Nitelikli Kişisel Veri
&amp;10_____________________________________</oddFooter>
    <evenFooter>&amp;L_x000D_&amp;1#&amp;"Calibri"&amp;10&amp;K008000 Internal&amp;C&amp;"tahoma,Bold"&amp;8&amp;KFFCC00¯¯¯¯¯¯¯¯¯¯¯¯¯¯¯¯¯¯¯¯¯¯¯¯¯¯¯¯¯¯¯¯¯¯¯¯¯
Gizli / Confidential  -
 Genel Nitelikli Kişisel Veri
&amp;10_____________________________________</evenFooter>
    <firstFooter>&amp;L_x000D_&amp;1#&amp;"Calibri"&amp;10&amp;K008000 Internal&amp;C&amp;"tahoma,Bold"&amp;8&amp;KFFCC00¯¯¯¯¯¯¯¯¯¯¯¯¯¯¯¯¯¯¯¯¯¯¯¯¯¯¯¯¯¯¯¯¯¯¯¯¯
Gizli / Confidential  -
 Genel Nitelikli Kişisel Veri
&amp;10_____________________________________</first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B36C5-8B09-4A8F-AC37-0C806247349E}">
  <dimension ref="A3:O321"/>
  <sheetViews>
    <sheetView topLeftCell="A20" workbookViewId="0">
      <selection activeCell="A41" sqref="A41"/>
    </sheetView>
  </sheetViews>
  <sheetFormatPr defaultRowHeight="12.5" x14ac:dyDescent="0.25"/>
  <cols>
    <col min="1" max="1" width="31.54296875" bestFit="1" customWidth="1"/>
    <col min="2" max="2" width="18.54296875" bestFit="1" customWidth="1"/>
    <col min="3" max="3" width="50" bestFit="1" customWidth="1"/>
    <col min="4" max="11" width="18.1796875" bestFit="1" customWidth="1"/>
    <col min="12" max="12" width="19.453125" bestFit="1" customWidth="1"/>
    <col min="13" max="13" width="17.453125" bestFit="1" customWidth="1"/>
    <col min="14" max="14" width="20.7265625" bestFit="1" customWidth="1"/>
    <col min="15" max="15" width="23.453125" bestFit="1" customWidth="1"/>
    <col min="16" max="16" width="20.7265625" bestFit="1" customWidth="1"/>
    <col min="17" max="17" width="17.453125" bestFit="1" customWidth="1"/>
    <col min="18" max="18" width="19.453125" bestFit="1" customWidth="1"/>
  </cols>
  <sheetData>
    <row r="3" spans="1:15" x14ac:dyDescent="0.25">
      <c r="D3" s="115" t="s">
        <v>102</v>
      </c>
      <c r="E3" s="115" t="s">
        <v>3920</v>
      </c>
    </row>
    <row r="4" spans="1:15" x14ac:dyDescent="0.25">
      <c r="D4" t="s">
        <v>3367</v>
      </c>
      <c r="H4" t="s">
        <v>3366</v>
      </c>
      <c r="L4" t="s">
        <v>3913</v>
      </c>
      <c r="M4" t="s">
        <v>3914</v>
      </c>
      <c r="N4" t="s">
        <v>3918</v>
      </c>
      <c r="O4" t="s">
        <v>3916</v>
      </c>
    </row>
    <row r="5" spans="1:15" x14ac:dyDescent="0.25">
      <c r="A5" s="115" t="s">
        <v>3058</v>
      </c>
      <c r="B5" s="115" t="s">
        <v>100</v>
      </c>
      <c r="C5" s="115" t="s">
        <v>3059</v>
      </c>
      <c r="D5" t="s">
        <v>3912</v>
      </c>
      <c r="E5" t="s">
        <v>3915</v>
      </c>
      <c r="F5" t="s">
        <v>3919</v>
      </c>
      <c r="G5" t="s">
        <v>3917</v>
      </c>
      <c r="H5" t="s">
        <v>3912</v>
      </c>
      <c r="I5" t="s">
        <v>3915</v>
      </c>
      <c r="J5" t="s">
        <v>3919</v>
      </c>
      <c r="K5" t="s">
        <v>3917</v>
      </c>
    </row>
    <row r="6" spans="1:15" x14ac:dyDescent="0.25">
      <c r="A6" t="s">
        <v>336</v>
      </c>
      <c r="B6" t="s">
        <v>131</v>
      </c>
      <c r="C6" t="s">
        <v>4054</v>
      </c>
      <c r="D6">
        <v>159</v>
      </c>
      <c r="E6">
        <v>106.2</v>
      </c>
      <c r="F6">
        <v>5.28</v>
      </c>
      <c r="G6">
        <v>52.8</v>
      </c>
      <c r="H6">
        <v>49.7</v>
      </c>
      <c r="I6">
        <v>1040.4000000000001</v>
      </c>
      <c r="J6">
        <v>-99.07</v>
      </c>
      <c r="K6">
        <v>-990.7</v>
      </c>
      <c r="L6">
        <v>208.7</v>
      </c>
      <c r="M6">
        <v>1146.6000000000001</v>
      </c>
      <c r="N6">
        <v>-93.789999999999992</v>
      </c>
      <c r="O6">
        <v>-937.90000000000009</v>
      </c>
    </row>
    <row r="7" spans="1:15" x14ac:dyDescent="0.25">
      <c r="B7" t="s">
        <v>188</v>
      </c>
      <c r="C7" t="s">
        <v>4055</v>
      </c>
      <c r="D7">
        <v>5.4</v>
      </c>
      <c r="E7">
        <v>0</v>
      </c>
      <c r="F7">
        <v>0.54</v>
      </c>
      <c r="G7">
        <v>5.4</v>
      </c>
      <c r="H7">
        <v>103.3</v>
      </c>
      <c r="I7">
        <v>0</v>
      </c>
      <c r="J7">
        <v>10.33</v>
      </c>
      <c r="K7">
        <v>103.3</v>
      </c>
      <c r="L7">
        <v>108.7</v>
      </c>
      <c r="M7">
        <v>0</v>
      </c>
      <c r="N7">
        <v>10.870000000000001</v>
      </c>
      <c r="O7">
        <v>108.7</v>
      </c>
    </row>
    <row r="8" spans="1:15" x14ac:dyDescent="0.25">
      <c r="A8" t="s">
        <v>2308</v>
      </c>
      <c r="B8" t="s">
        <v>204</v>
      </c>
      <c r="C8" t="s">
        <v>4408</v>
      </c>
      <c r="D8">
        <v>137.5</v>
      </c>
      <c r="E8">
        <v>0</v>
      </c>
      <c r="F8">
        <v>13.75</v>
      </c>
      <c r="G8">
        <v>137.5</v>
      </c>
      <c r="H8">
        <v>29.4</v>
      </c>
      <c r="I8">
        <v>0</v>
      </c>
      <c r="J8">
        <v>2.94</v>
      </c>
      <c r="K8">
        <v>29.4</v>
      </c>
      <c r="L8">
        <v>166.9</v>
      </c>
      <c r="M8">
        <v>0</v>
      </c>
      <c r="N8">
        <v>16.690000000000001</v>
      </c>
      <c r="O8">
        <v>166.9</v>
      </c>
    </row>
    <row r="9" spans="1:15" x14ac:dyDescent="0.25">
      <c r="A9" t="s">
        <v>2402</v>
      </c>
      <c r="B9" t="s">
        <v>191</v>
      </c>
      <c r="C9" t="s">
        <v>4320</v>
      </c>
      <c r="D9">
        <v>231.5</v>
      </c>
      <c r="E9">
        <v>0</v>
      </c>
      <c r="F9">
        <v>23.15</v>
      </c>
      <c r="G9">
        <v>231.5</v>
      </c>
      <c r="H9">
        <v>491.20000000000005</v>
      </c>
      <c r="I9">
        <v>0</v>
      </c>
      <c r="J9">
        <v>49.120000000000005</v>
      </c>
      <c r="K9">
        <v>491.20000000000005</v>
      </c>
      <c r="L9">
        <v>722.7</v>
      </c>
      <c r="M9">
        <v>0</v>
      </c>
      <c r="N9">
        <v>72.27000000000001</v>
      </c>
      <c r="O9">
        <v>722.7</v>
      </c>
    </row>
    <row r="10" spans="1:15" x14ac:dyDescent="0.25">
      <c r="A10" t="s">
        <v>1849</v>
      </c>
      <c r="B10" t="s">
        <v>33</v>
      </c>
      <c r="C10" t="s">
        <v>4237</v>
      </c>
      <c r="D10">
        <v>174202.41</v>
      </c>
      <c r="E10">
        <v>10663.699999999999</v>
      </c>
      <c r="F10">
        <v>16353.870000000003</v>
      </c>
      <c r="G10">
        <v>163538.71</v>
      </c>
      <c r="H10">
        <v>154813.21999999994</v>
      </c>
      <c r="I10">
        <v>13590.900000000001</v>
      </c>
      <c r="J10">
        <v>14122.230000000001</v>
      </c>
      <c r="K10">
        <v>141222.31999999995</v>
      </c>
      <c r="L10">
        <v>329015.62999999995</v>
      </c>
      <c r="M10">
        <v>24254.6</v>
      </c>
      <c r="N10">
        <v>30476.100000000006</v>
      </c>
      <c r="O10">
        <v>304761.02999999991</v>
      </c>
    </row>
    <row r="11" spans="1:15" x14ac:dyDescent="0.25">
      <c r="A11" t="s">
        <v>1993</v>
      </c>
      <c r="B11" t="s">
        <v>194</v>
      </c>
      <c r="C11" t="s">
        <v>4409</v>
      </c>
      <c r="H11">
        <v>4362.3</v>
      </c>
      <c r="I11">
        <v>0</v>
      </c>
      <c r="J11">
        <v>436.23</v>
      </c>
      <c r="K11">
        <v>4362.3</v>
      </c>
      <c r="L11">
        <v>4362.3</v>
      </c>
      <c r="M11">
        <v>0</v>
      </c>
      <c r="N11">
        <v>436.23</v>
      </c>
      <c r="O11">
        <v>4362.3</v>
      </c>
    </row>
    <row r="12" spans="1:15" x14ac:dyDescent="0.25">
      <c r="A12" t="s">
        <v>2307</v>
      </c>
      <c r="B12" t="s">
        <v>358</v>
      </c>
      <c r="C12" t="s">
        <v>4410</v>
      </c>
      <c r="D12">
        <v>273.5</v>
      </c>
      <c r="E12">
        <v>0</v>
      </c>
      <c r="F12">
        <v>27.35</v>
      </c>
      <c r="G12">
        <v>273.5</v>
      </c>
      <c r="H12">
        <v>247.8</v>
      </c>
      <c r="I12">
        <v>0</v>
      </c>
      <c r="J12">
        <v>24.78</v>
      </c>
      <c r="K12">
        <v>247.8</v>
      </c>
      <c r="L12">
        <v>521.29999999999995</v>
      </c>
      <c r="M12">
        <v>0</v>
      </c>
      <c r="N12">
        <v>52.13</v>
      </c>
      <c r="O12">
        <v>521.29999999999995</v>
      </c>
    </row>
    <row r="13" spans="1:15" x14ac:dyDescent="0.25">
      <c r="A13" t="s">
        <v>21</v>
      </c>
      <c r="B13" t="s">
        <v>201</v>
      </c>
      <c r="C13" t="s">
        <v>4056</v>
      </c>
      <c r="D13">
        <v>12405.7</v>
      </c>
      <c r="E13">
        <v>413.2</v>
      </c>
      <c r="F13">
        <v>1199.25</v>
      </c>
      <c r="G13">
        <v>11992.5</v>
      </c>
      <c r="H13">
        <v>2765.4</v>
      </c>
      <c r="I13">
        <v>4076.7</v>
      </c>
      <c r="J13">
        <v>-131.13</v>
      </c>
      <c r="K13">
        <v>-1311.3</v>
      </c>
      <c r="L13">
        <v>15171.1</v>
      </c>
      <c r="M13">
        <v>4489.8999999999996</v>
      </c>
      <c r="N13">
        <v>1068.1199999999999</v>
      </c>
      <c r="O13">
        <v>10681.2</v>
      </c>
    </row>
    <row r="14" spans="1:15" x14ac:dyDescent="0.25">
      <c r="A14" t="s">
        <v>2181</v>
      </c>
      <c r="B14" t="s">
        <v>284</v>
      </c>
      <c r="C14" t="s">
        <v>4361</v>
      </c>
      <c r="D14">
        <v>402.8</v>
      </c>
      <c r="E14">
        <v>0</v>
      </c>
      <c r="F14">
        <v>40.28</v>
      </c>
      <c r="G14">
        <v>402.8</v>
      </c>
      <c r="H14">
        <v>142.1</v>
      </c>
      <c r="I14">
        <v>0</v>
      </c>
      <c r="J14">
        <v>14.21</v>
      </c>
      <c r="K14">
        <v>142.1</v>
      </c>
      <c r="L14">
        <v>544.9</v>
      </c>
      <c r="M14">
        <v>0</v>
      </c>
      <c r="N14">
        <v>54.49</v>
      </c>
      <c r="O14">
        <v>544.9</v>
      </c>
    </row>
    <row r="15" spans="1:15" x14ac:dyDescent="0.25">
      <c r="A15" t="s">
        <v>2057</v>
      </c>
      <c r="B15" t="s">
        <v>144</v>
      </c>
      <c r="C15" t="s">
        <v>4238</v>
      </c>
      <c r="D15">
        <v>110.2</v>
      </c>
      <c r="E15">
        <v>0</v>
      </c>
      <c r="F15">
        <v>11.02</v>
      </c>
      <c r="G15">
        <v>110.2</v>
      </c>
      <c r="H15">
        <v>587.1</v>
      </c>
      <c r="I15">
        <v>0</v>
      </c>
      <c r="J15">
        <v>58.71</v>
      </c>
      <c r="K15">
        <v>587.1</v>
      </c>
      <c r="L15">
        <v>697.30000000000007</v>
      </c>
      <c r="M15">
        <v>0</v>
      </c>
      <c r="N15">
        <v>69.73</v>
      </c>
      <c r="O15">
        <v>697.30000000000007</v>
      </c>
    </row>
    <row r="16" spans="1:15" x14ac:dyDescent="0.25">
      <c r="A16" t="s">
        <v>267</v>
      </c>
      <c r="B16" t="s">
        <v>66</v>
      </c>
      <c r="C16" t="s">
        <v>4542</v>
      </c>
      <c r="D16">
        <v>117.4</v>
      </c>
      <c r="E16">
        <v>0</v>
      </c>
      <c r="F16">
        <v>11.74</v>
      </c>
      <c r="G16">
        <v>117.4</v>
      </c>
      <c r="H16">
        <v>105.4</v>
      </c>
      <c r="I16">
        <v>0</v>
      </c>
      <c r="J16">
        <v>10.54</v>
      </c>
      <c r="K16">
        <v>105.4</v>
      </c>
      <c r="L16">
        <v>222.8</v>
      </c>
      <c r="M16">
        <v>0</v>
      </c>
      <c r="N16">
        <v>22.28</v>
      </c>
      <c r="O16">
        <v>222.8</v>
      </c>
    </row>
    <row r="17" spans="1:15" x14ac:dyDescent="0.25">
      <c r="A17" t="s">
        <v>693</v>
      </c>
      <c r="B17" t="s">
        <v>149</v>
      </c>
      <c r="C17" t="s">
        <v>4057</v>
      </c>
      <c r="D17">
        <v>834.5</v>
      </c>
      <c r="E17">
        <v>3.1</v>
      </c>
      <c r="F17">
        <v>83.14</v>
      </c>
      <c r="G17">
        <v>831.4</v>
      </c>
      <c r="H17">
        <v>1471.7</v>
      </c>
      <c r="I17">
        <v>0</v>
      </c>
      <c r="J17">
        <v>147.17000000000002</v>
      </c>
      <c r="K17">
        <v>1471.7</v>
      </c>
      <c r="L17">
        <v>2306.1999999999998</v>
      </c>
      <c r="M17">
        <v>3.1</v>
      </c>
      <c r="N17">
        <v>230.31</v>
      </c>
      <c r="O17">
        <v>2303.1</v>
      </c>
    </row>
    <row r="18" spans="1:15" x14ac:dyDescent="0.25">
      <c r="A18" t="s">
        <v>2159</v>
      </c>
      <c r="B18" t="s">
        <v>188</v>
      </c>
      <c r="C18" t="s">
        <v>4058</v>
      </c>
      <c r="D18">
        <v>5.4</v>
      </c>
      <c r="E18">
        <v>11.2</v>
      </c>
      <c r="F18">
        <v>-0.57999999999999996</v>
      </c>
      <c r="G18">
        <v>-5.8</v>
      </c>
      <c r="H18">
        <v>103.3</v>
      </c>
      <c r="I18">
        <v>223.39999999999998</v>
      </c>
      <c r="J18">
        <v>-12.01</v>
      </c>
      <c r="K18">
        <v>-120.1</v>
      </c>
      <c r="L18">
        <v>108.7</v>
      </c>
      <c r="M18">
        <v>234.59999999999997</v>
      </c>
      <c r="N18">
        <v>-12.59</v>
      </c>
      <c r="O18">
        <v>-125.89999999999999</v>
      </c>
    </row>
    <row r="19" spans="1:15" x14ac:dyDescent="0.25">
      <c r="A19" t="s">
        <v>183</v>
      </c>
      <c r="B19" t="s">
        <v>148</v>
      </c>
      <c r="C19" t="s">
        <v>4059</v>
      </c>
      <c r="D19">
        <v>558</v>
      </c>
      <c r="E19">
        <v>0</v>
      </c>
      <c r="F19">
        <v>55.8</v>
      </c>
      <c r="G19">
        <v>558</v>
      </c>
      <c r="H19">
        <v>160.1</v>
      </c>
      <c r="I19">
        <v>0</v>
      </c>
      <c r="J19">
        <v>16.009999999999998</v>
      </c>
      <c r="K19">
        <v>160.1</v>
      </c>
      <c r="L19">
        <v>718.1</v>
      </c>
      <c r="M19">
        <v>0</v>
      </c>
      <c r="N19">
        <v>71.81</v>
      </c>
      <c r="O19">
        <v>718.1</v>
      </c>
    </row>
    <row r="20" spans="1:15" x14ac:dyDescent="0.25">
      <c r="A20" t="s">
        <v>639</v>
      </c>
      <c r="B20" t="s">
        <v>76</v>
      </c>
      <c r="C20" t="s">
        <v>4321</v>
      </c>
      <c r="D20">
        <v>688.9</v>
      </c>
      <c r="E20">
        <v>4431</v>
      </c>
      <c r="F20">
        <v>-374.21</v>
      </c>
      <c r="G20">
        <v>-3742.1</v>
      </c>
      <c r="H20">
        <v>1528.7</v>
      </c>
      <c r="I20">
        <v>723.09999999999991</v>
      </c>
      <c r="J20">
        <v>80.56</v>
      </c>
      <c r="K20">
        <v>805.59999999999991</v>
      </c>
      <c r="L20">
        <v>2217.6</v>
      </c>
      <c r="M20">
        <v>5154.1000000000004</v>
      </c>
      <c r="N20">
        <v>-293.64999999999998</v>
      </c>
      <c r="O20">
        <v>-2936.5</v>
      </c>
    </row>
    <row r="21" spans="1:15" x14ac:dyDescent="0.25">
      <c r="A21" t="s">
        <v>360</v>
      </c>
      <c r="B21" t="s">
        <v>69</v>
      </c>
      <c r="C21" t="s">
        <v>4411</v>
      </c>
      <c r="D21">
        <v>15</v>
      </c>
      <c r="E21">
        <v>0</v>
      </c>
      <c r="F21">
        <v>1.5</v>
      </c>
      <c r="G21">
        <v>15</v>
      </c>
      <c r="H21">
        <v>8.3000000000000007</v>
      </c>
      <c r="I21">
        <v>0</v>
      </c>
      <c r="J21">
        <v>0.83</v>
      </c>
      <c r="K21">
        <v>8.3000000000000007</v>
      </c>
      <c r="L21">
        <v>23.3</v>
      </c>
      <c r="M21">
        <v>0</v>
      </c>
      <c r="N21">
        <v>2.33</v>
      </c>
      <c r="O21">
        <v>23.3</v>
      </c>
    </row>
    <row r="22" spans="1:15" x14ac:dyDescent="0.25">
      <c r="A22" t="s">
        <v>2309</v>
      </c>
      <c r="B22" t="s">
        <v>192</v>
      </c>
      <c r="C22" t="s">
        <v>4412</v>
      </c>
      <c r="D22">
        <v>247.2</v>
      </c>
      <c r="E22">
        <v>0</v>
      </c>
      <c r="F22">
        <v>24.72</v>
      </c>
      <c r="G22">
        <v>247.2</v>
      </c>
      <c r="H22">
        <v>1226.2</v>
      </c>
      <c r="I22">
        <v>0</v>
      </c>
      <c r="J22">
        <v>122.62</v>
      </c>
      <c r="K22">
        <v>1226.2</v>
      </c>
      <c r="L22">
        <v>1473.4</v>
      </c>
      <c r="M22">
        <v>0</v>
      </c>
      <c r="N22">
        <v>147.34</v>
      </c>
      <c r="O22">
        <v>1473.4</v>
      </c>
    </row>
    <row r="23" spans="1:15" x14ac:dyDescent="0.25">
      <c r="A23" t="s">
        <v>342</v>
      </c>
      <c r="B23" t="s">
        <v>163</v>
      </c>
      <c r="C23" t="s">
        <v>4543</v>
      </c>
      <c r="D23">
        <v>851.4</v>
      </c>
      <c r="E23">
        <v>0.1</v>
      </c>
      <c r="F23">
        <v>85.13</v>
      </c>
      <c r="G23">
        <v>851.3</v>
      </c>
      <c r="H23">
        <v>7.8</v>
      </c>
      <c r="I23">
        <v>1410.3</v>
      </c>
      <c r="J23">
        <v>-140.25</v>
      </c>
      <c r="K23">
        <v>-1402.5</v>
      </c>
      <c r="L23">
        <v>859.19999999999993</v>
      </c>
      <c r="M23">
        <v>1410.3999999999999</v>
      </c>
      <c r="N23">
        <v>-55.120000000000005</v>
      </c>
      <c r="O23">
        <v>-551.20000000000005</v>
      </c>
    </row>
    <row r="24" spans="1:15" x14ac:dyDescent="0.25">
      <c r="A24" t="s">
        <v>2315</v>
      </c>
      <c r="B24" t="s">
        <v>67</v>
      </c>
      <c r="C24" t="s">
        <v>4060</v>
      </c>
      <c r="D24">
        <v>73.3</v>
      </c>
      <c r="E24">
        <v>1.3</v>
      </c>
      <c r="F24">
        <v>7.2</v>
      </c>
      <c r="G24">
        <v>72</v>
      </c>
      <c r="H24">
        <v>21.2</v>
      </c>
      <c r="I24">
        <v>0</v>
      </c>
      <c r="J24">
        <v>2.12</v>
      </c>
      <c r="K24">
        <v>21.2</v>
      </c>
      <c r="L24">
        <v>94.5</v>
      </c>
      <c r="M24">
        <v>1.3</v>
      </c>
      <c r="N24">
        <v>9.32</v>
      </c>
      <c r="O24">
        <v>93.2</v>
      </c>
    </row>
    <row r="25" spans="1:15" x14ac:dyDescent="0.25">
      <c r="A25" t="s">
        <v>1851</v>
      </c>
      <c r="B25" t="s">
        <v>31</v>
      </c>
      <c r="C25" t="s">
        <v>4239</v>
      </c>
      <c r="D25">
        <v>1011237.3000000003</v>
      </c>
      <c r="E25">
        <v>51577.409999999996</v>
      </c>
      <c r="F25">
        <v>95966.020000000019</v>
      </c>
      <c r="G25">
        <v>959659.89000000013</v>
      </c>
      <c r="H25">
        <v>1497153.79</v>
      </c>
      <c r="I25">
        <v>107930.45999999999</v>
      </c>
      <c r="J25">
        <v>138922.35</v>
      </c>
      <c r="K25">
        <v>1389223.33</v>
      </c>
      <c r="L25">
        <v>2508391.0900000003</v>
      </c>
      <c r="M25">
        <v>159507.87</v>
      </c>
      <c r="N25">
        <v>234888.37000000002</v>
      </c>
      <c r="O25">
        <v>2348883.2200000002</v>
      </c>
    </row>
    <row r="26" spans="1:15" x14ac:dyDescent="0.25">
      <c r="A26" t="s">
        <v>1852</v>
      </c>
      <c r="B26" t="s">
        <v>40</v>
      </c>
      <c r="C26" t="s">
        <v>4240</v>
      </c>
      <c r="D26">
        <v>656158.68000000017</v>
      </c>
      <c r="E26">
        <v>66212.219999999987</v>
      </c>
      <c r="F26">
        <v>58994.669999999984</v>
      </c>
      <c r="G26">
        <v>589946.4600000002</v>
      </c>
      <c r="H26">
        <v>1043094.9499999997</v>
      </c>
      <c r="I26">
        <v>73315.48000000001</v>
      </c>
      <c r="J26">
        <v>96977.939999999988</v>
      </c>
      <c r="K26">
        <v>969779.46999999974</v>
      </c>
      <c r="L26">
        <v>1699253.63</v>
      </c>
      <c r="M26">
        <v>139527.70000000001</v>
      </c>
      <c r="N26">
        <v>155972.60999999999</v>
      </c>
      <c r="O26">
        <v>1559725.93</v>
      </c>
    </row>
    <row r="27" spans="1:15" x14ac:dyDescent="0.25">
      <c r="A27" t="s">
        <v>305</v>
      </c>
      <c r="B27" t="s">
        <v>204</v>
      </c>
      <c r="C27" t="s">
        <v>4061</v>
      </c>
      <c r="D27">
        <v>4545.6000000000004</v>
      </c>
      <c r="E27">
        <v>0</v>
      </c>
      <c r="F27">
        <v>454.56</v>
      </c>
      <c r="G27">
        <v>4545.6000000000004</v>
      </c>
      <c r="H27">
        <v>280.3</v>
      </c>
      <c r="I27">
        <v>0</v>
      </c>
      <c r="J27">
        <v>28.03</v>
      </c>
      <c r="K27">
        <v>280.3</v>
      </c>
      <c r="L27">
        <v>4825.9000000000005</v>
      </c>
      <c r="M27">
        <v>0</v>
      </c>
      <c r="N27">
        <v>482.59000000000003</v>
      </c>
      <c r="O27">
        <v>4825.9000000000005</v>
      </c>
    </row>
    <row r="28" spans="1:15" x14ac:dyDescent="0.25">
      <c r="A28" t="s">
        <v>87</v>
      </c>
      <c r="B28" t="s">
        <v>131</v>
      </c>
      <c r="C28" t="s">
        <v>4062</v>
      </c>
      <c r="D28">
        <v>7359.4</v>
      </c>
      <c r="E28">
        <v>429.7</v>
      </c>
      <c r="F28">
        <v>692.97</v>
      </c>
      <c r="G28">
        <v>6929.7</v>
      </c>
      <c r="H28">
        <v>10222.900000000001</v>
      </c>
      <c r="I28">
        <v>543.29999999999995</v>
      </c>
      <c r="J28">
        <v>967.96</v>
      </c>
      <c r="K28">
        <v>9679.6</v>
      </c>
      <c r="L28">
        <v>17582.300000000003</v>
      </c>
      <c r="M28">
        <v>973</v>
      </c>
      <c r="N28">
        <v>1660.93</v>
      </c>
      <c r="O28">
        <v>16609.3</v>
      </c>
    </row>
    <row r="29" spans="1:15" x14ac:dyDescent="0.25">
      <c r="A29" t="s">
        <v>2108</v>
      </c>
      <c r="B29" t="s">
        <v>2</v>
      </c>
      <c r="C29" t="s">
        <v>4063</v>
      </c>
      <c r="D29">
        <v>178.6</v>
      </c>
      <c r="E29">
        <v>0</v>
      </c>
      <c r="F29">
        <v>17.86</v>
      </c>
      <c r="G29">
        <v>178.6</v>
      </c>
      <c r="H29">
        <v>433.3</v>
      </c>
      <c r="I29">
        <v>0</v>
      </c>
      <c r="J29">
        <v>43.33</v>
      </c>
      <c r="K29">
        <v>433.3</v>
      </c>
      <c r="L29">
        <v>611.9</v>
      </c>
      <c r="M29">
        <v>0</v>
      </c>
      <c r="N29">
        <v>61.19</v>
      </c>
      <c r="O29">
        <v>611.9</v>
      </c>
    </row>
    <row r="30" spans="1:15" x14ac:dyDescent="0.25">
      <c r="A30" t="s">
        <v>2599</v>
      </c>
      <c r="B30" t="s">
        <v>188</v>
      </c>
      <c r="C30" t="s">
        <v>4413</v>
      </c>
      <c r="D30">
        <v>289.5</v>
      </c>
      <c r="E30">
        <v>0</v>
      </c>
      <c r="F30">
        <v>28.95</v>
      </c>
      <c r="G30">
        <v>289.5</v>
      </c>
      <c r="H30">
        <v>200.3</v>
      </c>
      <c r="I30">
        <v>0</v>
      </c>
      <c r="J30">
        <v>20.03</v>
      </c>
      <c r="K30">
        <v>200.3</v>
      </c>
      <c r="L30">
        <v>489.8</v>
      </c>
      <c r="M30">
        <v>0</v>
      </c>
      <c r="N30">
        <v>48.980000000000004</v>
      </c>
      <c r="O30">
        <v>489.8</v>
      </c>
    </row>
    <row r="31" spans="1:15" x14ac:dyDescent="0.25">
      <c r="A31" t="s">
        <v>2231</v>
      </c>
      <c r="B31" t="s">
        <v>66</v>
      </c>
      <c r="C31" t="s">
        <v>4064</v>
      </c>
      <c r="D31">
        <v>1300.7</v>
      </c>
      <c r="E31">
        <v>0</v>
      </c>
      <c r="F31">
        <v>130.07</v>
      </c>
      <c r="G31">
        <v>1300.7</v>
      </c>
      <c r="H31">
        <v>1347</v>
      </c>
      <c r="I31">
        <v>0</v>
      </c>
      <c r="J31">
        <v>134.69999999999999</v>
      </c>
      <c r="K31">
        <v>1347</v>
      </c>
      <c r="L31">
        <v>2647.7</v>
      </c>
      <c r="M31">
        <v>0</v>
      </c>
      <c r="N31">
        <v>264.77</v>
      </c>
      <c r="O31">
        <v>2647.7</v>
      </c>
    </row>
    <row r="32" spans="1:15" x14ac:dyDescent="0.25">
      <c r="A32" t="s">
        <v>668</v>
      </c>
      <c r="B32" t="s">
        <v>191</v>
      </c>
      <c r="C32" t="s">
        <v>4065</v>
      </c>
      <c r="D32">
        <v>7595.2000000000007</v>
      </c>
      <c r="E32">
        <v>531.69999999999993</v>
      </c>
      <c r="F32">
        <v>706.34999999999991</v>
      </c>
      <c r="G32">
        <v>7063.5000000000009</v>
      </c>
      <c r="H32">
        <v>30926.3</v>
      </c>
      <c r="I32">
        <v>751.40000000000009</v>
      </c>
      <c r="J32">
        <v>3017.4900000000002</v>
      </c>
      <c r="K32">
        <v>30174.9</v>
      </c>
      <c r="L32">
        <v>38521.5</v>
      </c>
      <c r="M32">
        <v>1283.0999999999999</v>
      </c>
      <c r="N32">
        <v>3723.84</v>
      </c>
      <c r="O32">
        <v>37238.400000000001</v>
      </c>
    </row>
    <row r="33" spans="1:15" x14ac:dyDescent="0.25">
      <c r="A33" t="s">
        <v>469</v>
      </c>
      <c r="B33" t="s">
        <v>141</v>
      </c>
      <c r="C33" t="s">
        <v>4066</v>
      </c>
      <c r="D33">
        <v>30.6</v>
      </c>
      <c r="E33">
        <v>0</v>
      </c>
      <c r="F33">
        <v>3.06</v>
      </c>
      <c r="G33">
        <v>30.6</v>
      </c>
      <c r="L33">
        <v>30.6</v>
      </c>
      <c r="M33">
        <v>0</v>
      </c>
      <c r="N33">
        <v>3.06</v>
      </c>
      <c r="O33">
        <v>30.6</v>
      </c>
    </row>
    <row r="34" spans="1:15" x14ac:dyDescent="0.25">
      <c r="A34" t="s">
        <v>2016</v>
      </c>
      <c r="B34" t="s">
        <v>42</v>
      </c>
      <c r="C34" t="s">
        <v>4241</v>
      </c>
      <c r="D34">
        <v>99432.099999999991</v>
      </c>
      <c r="E34">
        <v>11764.01</v>
      </c>
      <c r="F34">
        <v>8766.8200000000015</v>
      </c>
      <c r="G34">
        <v>87668.09</v>
      </c>
      <c r="H34">
        <v>122188.51000000005</v>
      </c>
      <c r="I34">
        <v>16220.01</v>
      </c>
      <c r="J34">
        <v>10596.860000000002</v>
      </c>
      <c r="K34">
        <v>105968.50000000001</v>
      </c>
      <c r="L34">
        <v>221620.61000000004</v>
      </c>
      <c r="M34">
        <v>27984.02</v>
      </c>
      <c r="N34">
        <v>19363.680000000004</v>
      </c>
      <c r="O34">
        <v>193636.59000000003</v>
      </c>
    </row>
    <row r="35" spans="1:15" x14ac:dyDescent="0.25">
      <c r="A35" t="s">
        <v>4</v>
      </c>
      <c r="B35" t="s">
        <v>55</v>
      </c>
      <c r="C35" t="s">
        <v>4067</v>
      </c>
      <c r="D35">
        <v>12338.400000000001</v>
      </c>
      <c r="E35">
        <v>217.89999999999998</v>
      </c>
      <c r="F35">
        <v>1212.0500000000002</v>
      </c>
      <c r="G35">
        <v>12120.5</v>
      </c>
      <c r="H35">
        <v>5262.2</v>
      </c>
      <c r="I35">
        <v>441.5</v>
      </c>
      <c r="J35">
        <v>482.07</v>
      </c>
      <c r="K35">
        <v>4820.7</v>
      </c>
      <c r="L35">
        <v>17600.600000000002</v>
      </c>
      <c r="M35">
        <v>659.4</v>
      </c>
      <c r="N35">
        <v>1694.1200000000001</v>
      </c>
      <c r="O35">
        <v>16941.2</v>
      </c>
    </row>
    <row r="36" spans="1:15" x14ac:dyDescent="0.25">
      <c r="A36" t="s">
        <v>2232</v>
      </c>
      <c r="B36" t="s">
        <v>204</v>
      </c>
      <c r="C36" t="s">
        <v>4544</v>
      </c>
      <c r="D36">
        <v>234.8</v>
      </c>
      <c r="E36">
        <v>0</v>
      </c>
      <c r="F36">
        <v>23.48</v>
      </c>
      <c r="G36">
        <v>234.8</v>
      </c>
      <c r="H36">
        <v>106.9</v>
      </c>
      <c r="I36">
        <v>0</v>
      </c>
      <c r="J36">
        <v>10.69</v>
      </c>
      <c r="K36">
        <v>106.9</v>
      </c>
      <c r="L36">
        <v>341.70000000000005</v>
      </c>
      <c r="M36">
        <v>0</v>
      </c>
      <c r="N36">
        <v>34.17</v>
      </c>
      <c r="O36">
        <v>341.70000000000005</v>
      </c>
    </row>
    <row r="37" spans="1:15" x14ac:dyDescent="0.25">
      <c r="A37" t="s">
        <v>295</v>
      </c>
      <c r="B37" t="s">
        <v>155</v>
      </c>
      <c r="C37" t="s">
        <v>4068</v>
      </c>
      <c r="D37">
        <v>443.29999999999995</v>
      </c>
      <c r="E37">
        <v>61.3</v>
      </c>
      <c r="F37">
        <v>38.200000000000003</v>
      </c>
      <c r="G37">
        <v>382</v>
      </c>
      <c r="H37">
        <v>584.30000000000007</v>
      </c>
      <c r="I37">
        <v>0</v>
      </c>
      <c r="J37">
        <v>58.430000000000007</v>
      </c>
      <c r="K37">
        <v>584.30000000000007</v>
      </c>
      <c r="L37">
        <v>1027.5999999999999</v>
      </c>
      <c r="M37">
        <v>61.3</v>
      </c>
      <c r="N37">
        <v>96.63000000000001</v>
      </c>
      <c r="O37">
        <v>966.30000000000007</v>
      </c>
    </row>
    <row r="38" spans="1:15" x14ac:dyDescent="0.25">
      <c r="A38" t="s">
        <v>2001</v>
      </c>
      <c r="B38" t="s">
        <v>35</v>
      </c>
      <c r="C38" t="s">
        <v>4545</v>
      </c>
      <c r="D38">
        <v>66.8</v>
      </c>
      <c r="E38">
        <v>0</v>
      </c>
      <c r="F38">
        <v>6.68</v>
      </c>
      <c r="G38">
        <v>66.8</v>
      </c>
      <c r="L38">
        <v>66.8</v>
      </c>
      <c r="M38">
        <v>0</v>
      </c>
      <c r="N38">
        <v>6.68</v>
      </c>
      <c r="O38">
        <v>66.8</v>
      </c>
    </row>
    <row r="39" spans="1:15" x14ac:dyDescent="0.25">
      <c r="A39" t="s">
        <v>2017</v>
      </c>
      <c r="B39" t="s">
        <v>44</v>
      </c>
      <c r="C39" t="s">
        <v>4242</v>
      </c>
      <c r="D39">
        <v>153308.38</v>
      </c>
      <c r="E39">
        <v>20562.05</v>
      </c>
      <c r="F39">
        <v>13274.620000000003</v>
      </c>
      <c r="G39">
        <v>132746.32999999999</v>
      </c>
      <c r="H39">
        <v>170715.19999999998</v>
      </c>
      <c r="I39">
        <v>24789.640000000003</v>
      </c>
      <c r="J39">
        <v>14592.560000000001</v>
      </c>
      <c r="K39">
        <v>145925.56000000003</v>
      </c>
      <c r="L39">
        <v>324023.57999999996</v>
      </c>
      <c r="M39">
        <v>45351.69</v>
      </c>
      <c r="N39">
        <v>27867.180000000004</v>
      </c>
      <c r="O39">
        <v>278671.89</v>
      </c>
    </row>
    <row r="40" spans="1:15" x14ac:dyDescent="0.25">
      <c r="A40" t="s">
        <v>345</v>
      </c>
      <c r="B40" t="s">
        <v>13</v>
      </c>
      <c r="C40" t="s">
        <v>4322</v>
      </c>
      <c r="D40">
        <v>891.2</v>
      </c>
      <c r="E40">
        <v>45</v>
      </c>
      <c r="F40">
        <v>84.61999999999999</v>
      </c>
      <c r="G40">
        <v>846.2</v>
      </c>
      <c r="H40">
        <v>989.9</v>
      </c>
      <c r="I40">
        <v>402.8</v>
      </c>
      <c r="J40">
        <v>58.71</v>
      </c>
      <c r="K40">
        <v>587.1</v>
      </c>
      <c r="L40">
        <v>1881.1</v>
      </c>
      <c r="M40">
        <v>447.8</v>
      </c>
      <c r="N40">
        <v>143.32999999999998</v>
      </c>
      <c r="O40">
        <v>1433.3000000000002</v>
      </c>
    </row>
    <row r="41" spans="1:15" x14ac:dyDescent="0.25">
      <c r="A41" t="s">
        <v>2904</v>
      </c>
      <c r="B41" t="s">
        <v>222</v>
      </c>
      <c r="C41" t="s">
        <v>4546</v>
      </c>
      <c r="D41">
        <v>1566.6</v>
      </c>
      <c r="E41">
        <v>0</v>
      </c>
      <c r="F41">
        <v>156.66</v>
      </c>
      <c r="G41">
        <v>1566.6</v>
      </c>
      <c r="H41">
        <v>1860</v>
      </c>
      <c r="I41">
        <v>0</v>
      </c>
      <c r="J41">
        <v>186</v>
      </c>
      <c r="K41">
        <v>1860</v>
      </c>
      <c r="L41">
        <v>3426.6</v>
      </c>
      <c r="M41">
        <v>0</v>
      </c>
      <c r="N41">
        <v>342.65999999999997</v>
      </c>
      <c r="O41">
        <v>3426.6</v>
      </c>
    </row>
    <row r="42" spans="1:15" x14ac:dyDescent="0.25">
      <c r="A42" t="s">
        <v>439</v>
      </c>
      <c r="B42" t="s">
        <v>55</v>
      </c>
      <c r="C42" t="s">
        <v>4323</v>
      </c>
      <c r="D42">
        <v>20</v>
      </c>
      <c r="E42">
        <v>0</v>
      </c>
      <c r="F42">
        <v>2</v>
      </c>
      <c r="G42">
        <v>20</v>
      </c>
      <c r="H42">
        <v>209.3</v>
      </c>
      <c r="I42">
        <v>0</v>
      </c>
      <c r="J42">
        <v>20.93</v>
      </c>
      <c r="K42">
        <v>209.3</v>
      </c>
      <c r="L42">
        <v>229.3</v>
      </c>
      <c r="M42">
        <v>0</v>
      </c>
      <c r="N42">
        <v>22.93</v>
      </c>
      <c r="O42">
        <v>229.3</v>
      </c>
    </row>
    <row r="43" spans="1:15" x14ac:dyDescent="0.25">
      <c r="A43" t="s">
        <v>340</v>
      </c>
      <c r="B43" t="s">
        <v>190</v>
      </c>
      <c r="C43" t="s">
        <v>4069</v>
      </c>
      <c r="D43">
        <v>261.10000000000002</v>
      </c>
      <c r="E43">
        <v>0</v>
      </c>
      <c r="F43">
        <v>26.11</v>
      </c>
      <c r="G43">
        <v>261.10000000000002</v>
      </c>
      <c r="H43">
        <v>449.6</v>
      </c>
      <c r="I43">
        <v>0</v>
      </c>
      <c r="J43">
        <v>44.96</v>
      </c>
      <c r="K43">
        <v>449.6</v>
      </c>
      <c r="L43">
        <v>710.7</v>
      </c>
      <c r="M43">
        <v>0</v>
      </c>
      <c r="N43">
        <v>71.069999999999993</v>
      </c>
      <c r="O43">
        <v>710.7</v>
      </c>
    </row>
    <row r="44" spans="1:15" x14ac:dyDescent="0.25">
      <c r="A44" t="s">
        <v>527</v>
      </c>
      <c r="B44" t="s">
        <v>49</v>
      </c>
      <c r="C44" t="s">
        <v>4070</v>
      </c>
      <c r="D44">
        <v>7693</v>
      </c>
      <c r="E44">
        <v>0</v>
      </c>
      <c r="F44">
        <v>769.3</v>
      </c>
      <c r="G44">
        <v>7693</v>
      </c>
      <c r="H44">
        <v>4700.6000000000004</v>
      </c>
      <c r="I44">
        <v>0</v>
      </c>
      <c r="J44">
        <v>470.06</v>
      </c>
      <c r="K44">
        <v>4700.6000000000004</v>
      </c>
      <c r="L44">
        <v>12393.6</v>
      </c>
      <c r="M44">
        <v>0</v>
      </c>
      <c r="N44">
        <v>1239.3599999999999</v>
      </c>
      <c r="O44">
        <v>12393.6</v>
      </c>
    </row>
    <row r="45" spans="1:15" x14ac:dyDescent="0.25">
      <c r="A45" t="s">
        <v>153</v>
      </c>
      <c r="B45" t="s">
        <v>55</v>
      </c>
      <c r="C45" t="s">
        <v>4071</v>
      </c>
      <c r="D45">
        <v>2629.3</v>
      </c>
      <c r="E45">
        <v>116.9</v>
      </c>
      <c r="F45">
        <v>251.23999999999998</v>
      </c>
      <c r="G45">
        <v>2512.3999999999996</v>
      </c>
      <c r="H45">
        <v>7437.2999999999993</v>
      </c>
      <c r="I45">
        <v>771.40000000000009</v>
      </c>
      <c r="J45">
        <v>666.58999999999992</v>
      </c>
      <c r="K45">
        <v>6665.9</v>
      </c>
      <c r="L45">
        <v>10066.599999999999</v>
      </c>
      <c r="M45">
        <v>888.30000000000007</v>
      </c>
      <c r="N45">
        <v>917.82999999999993</v>
      </c>
      <c r="O45">
        <v>9178.2999999999993</v>
      </c>
    </row>
    <row r="46" spans="1:15" x14ac:dyDescent="0.25">
      <c r="A46" t="s">
        <v>387</v>
      </c>
      <c r="B46" t="s">
        <v>284</v>
      </c>
      <c r="C46" t="s">
        <v>4072</v>
      </c>
      <c r="D46">
        <v>241.9</v>
      </c>
      <c r="E46">
        <v>0</v>
      </c>
      <c r="F46">
        <v>24.189999999999998</v>
      </c>
      <c r="G46">
        <v>241.9</v>
      </c>
      <c r="H46">
        <v>169.8</v>
      </c>
      <c r="I46">
        <v>0</v>
      </c>
      <c r="J46">
        <v>16.98</v>
      </c>
      <c r="K46">
        <v>169.8</v>
      </c>
      <c r="L46">
        <v>411.70000000000005</v>
      </c>
      <c r="M46">
        <v>0</v>
      </c>
      <c r="N46">
        <v>41.17</v>
      </c>
      <c r="O46">
        <v>411.70000000000005</v>
      </c>
    </row>
    <row r="47" spans="1:15" x14ac:dyDescent="0.25">
      <c r="A47" t="s">
        <v>347</v>
      </c>
      <c r="B47" t="s">
        <v>2143</v>
      </c>
      <c r="C47" t="s">
        <v>4073</v>
      </c>
      <c r="D47">
        <v>258.40000000000003</v>
      </c>
      <c r="E47">
        <v>0</v>
      </c>
      <c r="F47">
        <v>25.84</v>
      </c>
      <c r="G47">
        <v>258.40000000000003</v>
      </c>
      <c r="H47">
        <v>411</v>
      </c>
      <c r="I47">
        <v>0</v>
      </c>
      <c r="J47">
        <v>41.1</v>
      </c>
      <c r="K47">
        <v>411</v>
      </c>
      <c r="L47">
        <v>669.40000000000009</v>
      </c>
      <c r="M47">
        <v>0</v>
      </c>
      <c r="N47">
        <v>66.94</v>
      </c>
      <c r="O47">
        <v>669.40000000000009</v>
      </c>
    </row>
    <row r="48" spans="1:15" x14ac:dyDescent="0.25">
      <c r="A48" t="s">
        <v>334</v>
      </c>
      <c r="B48" t="s">
        <v>192</v>
      </c>
      <c r="C48" t="s">
        <v>4074</v>
      </c>
      <c r="D48">
        <v>32071.8</v>
      </c>
      <c r="E48">
        <v>4.2</v>
      </c>
      <c r="F48">
        <v>3206.7599999999998</v>
      </c>
      <c r="G48">
        <v>32067.599999999999</v>
      </c>
      <c r="H48">
        <v>3039.5</v>
      </c>
      <c r="I48">
        <v>79.2</v>
      </c>
      <c r="J48">
        <v>296.02999999999997</v>
      </c>
      <c r="K48">
        <v>2960.3</v>
      </c>
      <c r="L48">
        <v>35111.300000000003</v>
      </c>
      <c r="M48">
        <v>83.4</v>
      </c>
      <c r="N48">
        <v>3502.79</v>
      </c>
      <c r="O48">
        <v>35027.9</v>
      </c>
    </row>
    <row r="49" spans="1:15" x14ac:dyDescent="0.25">
      <c r="A49" t="s">
        <v>470</v>
      </c>
      <c r="B49" t="s">
        <v>141</v>
      </c>
      <c r="C49" t="s">
        <v>4075</v>
      </c>
      <c r="D49">
        <v>118.7</v>
      </c>
      <c r="E49">
        <v>39</v>
      </c>
      <c r="F49">
        <v>7.97</v>
      </c>
      <c r="G49">
        <v>79.7</v>
      </c>
      <c r="H49">
        <v>415.6</v>
      </c>
      <c r="I49">
        <v>0</v>
      </c>
      <c r="J49">
        <v>41.56</v>
      </c>
      <c r="K49">
        <v>415.6</v>
      </c>
      <c r="L49">
        <v>534.30000000000007</v>
      </c>
      <c r="M49">
        <v>39</v>
      </c>
      <c r="N49">
        <v>49.53</v>
      </c>
      <c r="O49">
        <v>495.3</v>
      </c>
    </row>
    <row r="50" spans="1:15" x14ac:dyDescent="0.25">
      <c r="A50" t="s">
        <v>68</v>
      </c>
      <c r="B50" t="s">
        <v>55</v>
      </c>
      <c r="C50" t="s">
        <v>4076</v>
      </c>
      <c r="D50">
        <v>3451.5</v>
      </c>
      <c r="E50">
        <v>171.8</v>
      </c>
      <c r="F50">
        <v>327.97</v>
      </c>
      <c r="G50">
        <v>3279.7</v>
      </c>
      <c r="H50">
        <v>5728.3</v>
      </c>
      <c r="I50">
        <v>1389.1</v>
      </c>
      <c r="J50">
        <v>433.92</v>
      </c>
      <c r="K50">
        <v>4339.2</v>
      </c>
      <c r="L50">
        <v>9179.7999999999993</v>
      </c>
      <c r="M50">
        <v>1560.8999999999999</v>
      </c>
      <c r="N50">
        <v>761.8900000000001</v>
      </c>
      <c r="O50">
        <v>7618.9</v>
      </c>
    </row>
    <row r="51" spans="1:15" x14ac:dyDescent="0.25">
      <c r="A51" t="s">
        <v>552</v>
      </c>
      <c r="B51" t="s">
        <v>204</v>
      </c>
      <c r="C51" t="s">
        <v>4362</v>
      </c>
      <c r="D51">
        <v>302.5</v>
      </c>
      <c r="E51">
        <v>0</v>
      </c>
      <c r="F51">
        <v>30.25</v>
      </c>
      <c r="G51">
        <v>302.5</v>
      </c>
      <c r="H51">
        <v>1668.2</v>
      </c>
      <c r="I51">
        <v>0</v>
      </c>
      <c r="J51">
        <v>166.82</v>
      </c>
      <c r="K51">
        <v>1668.2</v>
      </c>
      <c r="L51">
        <v>1970.7</v>
      </c>
      <c r="M51">
        <v>0</v>
      </c>
      <c r="N51">
        <v>197.07</v>
      </c>
      <c r="O51">
        <v>1970.7</v>
      </c>
    </row>
    <row r="52" spans="1:15" x14ac:dyDescent="0.25">
      <c r="A52" t="s">
        <v>167</v>
      </c>
      <c r="B52" t="s">
        <v>50</v>
      </c>
      <c r="C52" t="s">
        <v>4077</v>
      </c>
      <c r="D52">
        <v>1798.3000000000002</v>
      </c>
      <c r="E52">
        <v>192.60000000000002</v>
      </c>
      <c r="F52">
        <v>160.57</v>
      </c>
      <c r="G52">
        <v>1605.7</v>
      </c>
      <c r="H52">
        <v>4877.1000000000004</v>
      </c>
      <c r="I52">
        <v>1497.6000000000001</v>
      </c>
      <c r="J52">
        <v>337.95000000000005</v>
      </c>
      <c r="K52">
        <v>3379.5</v>
      </c>
      <c r="L52">
        <v>6675.4000000000005</v>
      </c>
      <c r="M52">
        <v>1690.2000000000003</v>
      </c>
      <c r="N52">
        <v>498.52000000000004</v>
      </c>
      <c r="O52">
        <v>4985.2</v>
      </c>
    </row>
    <row r="53" spans="1:15" x14ac:dyDescent="0.25">
      <c r="A53" t="s">
        <v>268</v>
      </c>
      <c r="B53" t="s">
        <v>69</v>
      </c>
      <c r="C53" t="s">
        <v>4078</v>
      </c>
      <c r="D53">
        <v>1988.5</v>
      </c>
      <c r="E53">
        <v>446</v>
      </c>
      <c r="F53">
        <v>154.25</v>
      </c>
      <c r="G53">
        <v>1542.5</v>
      </c>
      <c r="H53">
        <v>3902.5</v>
      </c>
      <c r="I53">
        <v>8468.9</v>
      </c>
      <c r="J53">
        <v>-456.64</v>
      </c>
      <c r="K53">
        <v>-4566.3999999999996</v>
      </c>
      <c r="L53">
        <v>5891</v>
      </c>
      <c r="M53">
        <v>8914.9</v>
      </c>
      <c r="N53">
        <v>-302.39</v>
      </c>
      <c r="O53">
        <v>-3023.8999999999996</v>
      </c>
    </row>
    <row r="54" spans="1:15" x14ac:dyDescent="0.25">
      <c r="A54" t="s">
        <v>95</v>
      </c>
      <c r="B54" t="s">
        <v>163</v>
      </c>
      <c r="C54" t="s">
        <v>4079</v>
      </c>
      <c r="D54">
        <v>2510.4</v>
      </c>
      <c r="E54">
        <v>45</v>
      </c>
      <c r="F54">
        <v>246.54000000000002</v>
      </c>
      <c r="G54">
        <v>2465.4</v>
      </c>
      <c r="H54">
        <v>2217.6999999999998</v>
      </c>
      <c r="I54">
        <v>402.8</v>
      </c>
      <c r="J54">
        <v>181.49</v>
      </c>
      <c r="K54">
        <v>1814.9</v>
      </c>
      <c r="L54">
        <v>4728.1000000000004</v>
      </c>
      <c r="M54">
        <v>447.8</v>
      </c>
      <c r="N54">
        <v>428.03000000000003</v>
      </c>
      <c r="O54">
        <v>4280.3</v>
      </c>
    </row>
    <row r="55" spans="1:15" x14ac:dyDescent="0.25">
      <c r="A55" t="s">
        <v>1859</v>
      </c>
      <c r="B55" t="s">
        <v>52</v>
      </c>
      <c r="C55" t="s">
        <v>4243</v>
      </c>
      <c r="D55">
        <v>429731.52000000008</v>
      </c>
      <c r="E55">
        <v>114887.64</v>
      </c>
      <c r="F55">
        <v>31484.429999999997</v>
      </c>
      <c r="G55">
        <v>314843.88</v>
      </c>
      <c r="H55">
        <v>844865.6399999999</v>
      </c>
      <c r="I55">
        <v>127353.21</v>
      </c>
      <c r="J55">
        <v>71751.270000000019</v>
      </c>
      <c r="K55">
        <v>717512.43</v>
      </c>
      <c r="L55">
        <v>1274597.1599999999</v>
      </c>
      <c r="M55">
        <v>242240.85</v>
      </c>
      <c r="N55">
        <v>103235.70000000001</v>
      </c>
      <c r="O55">
        <v>1032356.31</v>
      </c>
    </row>
    <row r="56" spans="1:15" x14ac:dyDescent="0.25">
      <c r="A56" t="s">
        <v>606</v>
      </c>
      <c r="B56" t="s">
        <v>204</v>
      </c>
      <c r="C56" t="s">
        <v>4080</v>
      </c>
      <c r="D56">
        <v>105.1</v>
      </c>
      <c r="E56">
        <v>0</v>
      </c>
      <c r="F56">
        <v>10.51</v>
      </c>
      <c r="G56">
        <v>105.1</v>
      </c>
      <c r="L56">
        <v>105.1</v>
      </c>
      <c r="M56">
        <v>0</v>
      </c>
      <c r="N56">
        <v>10.51</v>
      </c>
      <c r="O56">
        <v>105.1</v>
      </c>
    </row>
    <row r="57" spans="1:15" x14ac:dyDescent="0.25">
      <c r="A57" t="s">
        <v>560</v>
      </c>
      <c r="B57" t="s">
        <v>201</v>
      </c>
      <c r="C57" t="s">
        <v>4081</v>
      </c>
      <c r="D57">
        <v>5504.8</v>
      </c>
      <c r="E57">
        <v>0</v>
      </c>
      <c r="F57">
        <v>550.48</v>
      </c>
      <c r="G57">
        <v>5504.8</v>
      </c>
      <c r="H57">
        <v>115.6</v>
      </c>
      <c r="I57">
        <v>0</v>
      </c>
      <c r="J57">
        <v>11.56</v>
      </c>
      <c r="K57">
        <v>115.6</v>
      </c>
      <c r="L57">
        <v>5620.4000000000005</v>
      </c>
      <c r="M57">
        <v>0</v>
      </c>
      <c r="N57">
        <v>562.04</v>
      </c>
      <c r="O57">
        <v>5620.4000000000005</v>
      </c>
    </row>
    <row r="58" spans="1:15" x14ac:dyDescent="0.25">
      <c r="A58" t="s">
        <v>677</v>
      </c>
      <c r="B58" t="s">
        <v>131</v>
      </c>
      <c r="C58" t="s">
        <v>4291</v>
      </c>
      <c r="D58">
        <v>0</v>
      </c>
      <c r="E58">
        <v>112.7</v>
      </c>
      <c r="F58">
        <v>-11.27</v>
      </c>
      <c r="G58">
        <v>-112.7</v>
      </c>
      <c r="H58">
        <v>0</v>
      </c>
      <c r="I58">
        <v>82.8</v>
      </c>
      <c r="J58">
        <v>-8.2799999999999994</v>
      </c>
      <c r="K58">
        <v>-82.8</v>
      </c>
      <c r="L58">
        <v>0</v>
      </c>
      <c r="M58">
        <v>195.5</v>
      </c>
      <c r="N58">
        <v>-19.549999999999997</v>
      </c>
      <c r="O58">
        <v>-195.5</v>
      </c>
    </row>
    <row r="59" spans="1:15" x14ac:dyDescent="0.25">
      <c r="A59" t="s">
        <v>341</v>
      </c>
      <c r="B59" t="s">
        <v>55</v>
      </c>
      <c r="C59" t="s">
        <v>4082</v>
      </c>
      <c r="D59">
        <v>872.19999999999993</v>
      </c>
      <c r="E59">
        <v>45</v>
      </c>
      <c r="F59">
        <v>82.72</v>
      </c>
      <c r="G59">
        <v>827.19999999999993</v>
      </c>
      <c r="H59">
        <v>3420.5</v>
      </c>
      <c r="I59">
        <v>402.8</v>
      </c>
      <c r="J59">
        <v>301.77</v>
      </c>
      <c r="K59">
        <v>3017.7000000000003</v>
      </c>
      <c r="L59">
        <v>4292.7</v>
      </c>
      <c r="M59">
        <v>447.8</v>
      </c>
      <c r="N59">
        <v>384.49</v>
      </c>
      <c r="O59">
        <v>3844.9</v>
      </c>
    </row>
    <row r="60" spans="1:15" x14ac:dyDescent="0.25">
      <c r="A60" t="s">
        <v>640</v>
      </c>
      <c r="B60" t="s">
        <v>76</v>
      </c>
      <c r="C60" t="s">
        <v>4547</v>
      </c>
      <c r="D60">
        <v>2.8</v>
      </c>
      <c r="E60">
        <v>0</v>
      </c>
      <c r="F60">
        <v>0.28000000000000003</v>
      </c>
      <c r="G60">
        <v>2.8</v>
      </c>
      <c r="H60">
        <v>46.9</v>
      </c>
      <c r="I60">
        <v>0</v>
      </c>
      <c r="J60">
        <v>4.6900000000000004</v>
      </c>
      <c r="K60">
        <v>46.9</v>
      </c>
      <c r="L60">
        <v>49.699999999999996</v>
      </c>
      <c r="M60">
        <v>0</v>
      </c>
      <c r="N60">
        <v>4.9700000000000006</v>
      </c>
      <c r="O60">
        <v>49.699999999999996</v>
      </c>
    </row>
    <row r="61" spans="1:15" x14ac:dyDescent="0.25">
      <c r="A61" t="s">
        <v>2053</v>
      </c>
      <c r="B61" t="s">
        <v>69</v>
      </c>
      <c r="C61" t="s">
        <v>4083</v>
      </c>
      <c r="D61">
        <v>738.3</v>
      </c>
      <c r="E61">
        <v>0</v>
      </c>
      <c r="F61">
        <v>73.830000000000013</v>
      </c>
      <c r="G61">
        <v>738.3</v>
      </c>
      <c r="H61">
        <v>549.70000000000005</v>
      </c>
      <c r="I61">
        <v>0</v>
      </c>
      <c r="J61">
        <v>54.97</v>
      </c>
      <c r="K61">
        <v>549.70000000000005</v>
      </c>
      <c r="L61">
        <v>1288</v>
      </c>
      <c r="M61">
        <v>0</v>
      </c>
      <c r="N61">
        <v>128.80000000000001</v>
      </c>
      <c r="O61">
        <v>1288</v>
      </c>
    </row>
    <row r="62" spans="1:15" x14ac:dyDescent="0.25">
      <c r="A62" t="s">
        <v>497</v>
      </c>
      <c r="B62" t="s">
        <v>2143</v>
      </c>
      <c r="C62" t="s">
        <v>4548</v>
      </c>
      <c r="D62">
        <v>51763.5</v>
      </c>
      <c r="E62">
        <v>0</v>
      </c>
      <c r="F62">
        <v>5176.3500000000004</v>
      </c>
      <c r="G62">
        <v>51763.5</v>
      </c>
      <c r="L62">
        <v>51763.5</v>
      </c>
      <c r="M62">
        <v>0</v>
      </c>
      <c r="N62">
        <v>5176.3500000000004</v>
      </c>
      <c r="O62">
        <v>51763.5</v>
      </c>
    </row>
    <row r="63" spans="1:15" x14ac:dyDescent="0.25">
      <c r="A63" t="s">
        <v>285</v>
      </c>
      <c r="B63" t="s">
        <v>149</v>
      </c>
      <c r="C63" t="s">
        <v>4084</v>
      </c>
      <c r="D63">
        <v>305.39999999999998</v>
      </c>
      <c r="E63">
        <v>45</v>
      </c>
      <c r="F63">
        <v>26.04</v>
      </c>
      <c r="G63">
        <v>260.39999999999998</v>
      </c>
      <c r="H63">
        <v>1613.4</v>
      </c>
      <c r="I63">
        <v>0</v>
      </c>
      <c r="J63">
        <v>161.34</v>
      </c>
      <c r="K63">
        <v>1613.4</v>
      </c>
      <c r="L63">
        <v>1918.8000000000002</v>
      </c>
      <c r="M63">
        <v>45</v>
      </c>
      <c r="N63">
        <v>187.38</v>
      </c>
      <c r="O63">
        <v>1873.8000000000002</v>
      </c>
    </row>
    <row r="64" spans="1:15" x14ac:dyDescent="0.25">
      <c r="A64" t="s">
        <v>678</v>
      </c>
      <c r="B64" t="s">
        <v>131</v>
      </c>
      <c r="C64" t="s">
        <v>4085</v>
      </c>
      <c r="D64">
        <v>5.4</v>
      </c>
      <c r="E64">
        <v>0</v>
      </c>
      <c r="F64">
        <v>0.54</v>
      </c>
      <c r="G64">
        <v>5.4</v>
      </c>
      <c r="H64">
        <v>103.3</v>
      </c>
      <c r="I64">
        <v>0</v>
      </c>
      <c r="J64">
        <v>10.33</v>
      </c>
      <c r="K64">
        <v>103.3</v>
      </c>
      <c r="L64">
        <v>108.7</v>
      </c>
      <c r="M64">
        <v>0</v>
      </c>
      <c r="N64">
        <v>10.870000000000001</v>
      </c>
      <c r="O64">
        <v>108.7</v>
      </c>
    </row>
    <row r="65" spans="1:15" x14ac:dyDescent="0.25">
      <c r="A65" t="s">
        <v>2237</v>
      </c>
      <c r="B65" t="s">
        <v>284</v>
      </c>
      <c r="C65" t="s">
        <v>4324</v>
      </c>
      <c r="D65">
        <v>0.3</v>
      </c>
      <c r="E65">
        <v>146.19999999999999</v>
      </c>
      <c r="F65">
        <v>-14.59</v>
      </c>
      <c r="G65">
        <v>-145.89999999999998</v>
      </c>
      <c r="H65">
        <v>2017.4</v>
      </c>
      <c r="I65">
        <v>1448.7</v>
      </c>
      <c r="J65">
        <v>56.870000000000005</v>
      </c>
      <c r="K65">
        <v>568.70000000000005</v>
      </c>
      <c r="L65">
        <v>2017.7</v>
      </c>
      <c r="M65">
        <v>1594.9</v>
      </c>
      <c r="N65">
        <v>42.28</v>
      </c>
      <c r="O65">
        <v>422.80000000000007</v>
      </c>
    </row>
    <row r="66" spans="1:15" x14ac:dyDescent="0.25">
      <c r="A66" t="s">
        <v>3515</v>
      </c>
      <c r="B66" t="s">
        <v>190</v>
      </c>
      <c r="C66" t="s">
        <v>4549</v>
      </c>
      <c r="D66">
        <v>307.39999999999998</v>
      </c>
      <c r="E66">
        <v>0</v>
      </c>
      <c r="F66">
        <v>30.74</v>
      </c>
      <c r="G66">
        <v>307.39999999999998</v>
      </c>
      <c r="H66">
        <v>118</v>
      </c>
      <c r="I66">
        <v>0</v>
      </c>
      <c r="J66">
        <v>11.8</v>
      </c>
      <c r="K66">
        <v>118</v>
      </c>
      <c r="L66">
        <v>425.4</v>
      </c>
      <c r="M66">
        <v>0</v>
      </c>
      <c r="N66">
        <v>42.54</v>
      </c>
      <c r="O66">
        <v>425.4</v>
      </c>
    </row>
    <row r="67" spans="1:15" x14ac:dyDescent="0.25">
      <c r="A67" t="s">
        <v>2310</v>
      </c>
      <c r="B67" t="s">
        <v>311</v>
      </c>
      <c r="C67" t="s">
        <v>4550</v>
      </c>
      <c r="D67">
        <v>61.2</v>
      </c>
      <c r="E67">
        <v>0</v>
      </c>
      <c r="F67">
        <v>6.12</v>
      </c>
      <c r="G67">
        <v>61.2</v>
      </c>
      <c r="H67">
        <v>712.7</v>
      </c>
      <c r="I67">
        <v>0</v>
      </c>
      <c r="J67">
        <v>71.27</v>
      </c>
      <c r="K67">
        <v>712.7</v>
      </c>
      <c r="L67">
        <v>773.90000000000009</v>
      </c>
      <c r="M67">
        <v>0</v>
      </c>
      <c r="N67">
        <v>77.39</v>
      </c>
      <c r="O67">
        <v>773.90000000000009</v>
      </c>
    </row>
    <row r="68" spans="1:15" x14ac:dyDescent="0.25">
      <c r="A68" t="s">
        <v>219</v>
      </c>
      <c r="B68" t="s">
        <v>184</v>
      </c>
      <c r="C68" t="s">
        <v>4086</v>
      </c>
      <c r="D68">
        <v>1191</v>
      </c>
      <c r="E68">
        <v>0</v>
      </c>
      <c r="F68">
        <v>119.1</v>
      </c>
      <c r="G68">
        <v>1191</v>
      </c>
      <c r="H68">
        <v>1181.2</v>
      </c>
      <c r="I68">
        <v>0</v>
      </c>
      <c r="J68">
        <v>118.12</v>
      </c>
      <c r="K68">
        <v>1181.2</v>
      </c>
      <c r="L68">
        <v>2372.1999999999998</v>
      </c>
      <c r="M68">
        <v>0</v>
      </c>
      <c r="N68">
        <v>237.22</v>
      </c>
      <c r="O68">
        <v>2372.1999999999998</v>
      </c>
    </row>
    <row r="69" spans="1:15" x14ac:dyDescent="0.25">
      <c r="A69" t="s">
        <v>2625</v>
      </c>
      <c r="B69" t="s">
        <v>313</v>
      </c>
      <c r="C69" t="s">
        <v>4244</v>
      </c>
      <c r="D69">
        <v>70.7</v>
      </c>
      <c r="E69">
        <v>0</v>
      </c>
      <c r="F69">
        <v>7.07</v>
      </c>
      <c r="G69">
        <v>70.7</v>
      </c>
      <c r="L69">
        <v>70.7</v>
      </c>
      <c r="M69">
        <v>0</v>
      </c>
      <c r="N69">
        <v>7.07</v>
      </c>
      <c r="O69">
        <v>70.7</v>
      </c>
    </row>
    <row r="70" spans="1:15" x14ac:dyDescent="0.25">
      <c r="A70" t="s">
        <v>182</v>
      </c>
      <c r="B70" t="s">
        <v>148</v>
      </c>
      <c r="C70" t="s">
        <v>4087</v>
      </c>
      <c r="D70">
        <v>30586.100000000002</v>
      </c>
      <c r="E70">
        <v>5043.3</v>
      </c>
      <c r="F70">
        <v>2554.2799999999997</v>
      </c>
      <c r="G70">
        <v>25542.800000000003</v>
      </c>
      <c r="H70">
        <v>5327.4</v>
      </c>
      <c r="I70">
        <v>690</v>
      </c>
      <c r="J70">
        <v>463.74</v>
      </c>
      <c r="K70">
        <v>4637.3999999999996</v>
      </c>
      <c r="L70">
        <v>35913.5</v>
      </c>
      <c r="M70">
        <v>5733.3</v>
      </c>
      <c r="N70">
        <v>3018.0199999999995</v>
      </c>
      <c r="O70">
        <v>30180.200000000004</v>
      </c>
    </row>
    <row r="71" spans="1:15" x14ac:dyDescent="0.25">
      <c r="A71" t="s">
        <v>622</v>
      </c>
      <c r="B71" t="s">
        <v>144</v>
      </c>
      <c r="C71" t="s">
        <v>4551</v>
      </c>
      <c r="D71">
        <v>45</v>
      </c>
      <c r="E71">
        <v>0</v>
      </c>
      <c r="F71">
        <v>4.5</v>
      </c>
      <c r="G71">
        <v>45</v>
      </c>
      <c r="H71">
        <v>402.8</v>
      </c>
      <c r="I71">
        <v>0</v>
      </c>
      <c r="J71">
        <v>40.28</v>
      </c>
      <c r="K71">
        <v>402.8</v>
      </c>
      <c r="L71">
        <v>447.8</v>
      </c>
      <c r="M71">
        <v>0</v>
      </c>
      <c r="N71">
        <v>44.78</v>
      </c>
      <c r="O71">
        <v>447.8</v>
      </c>
    </row>
    <row r="72" spans="1:15" x14ac:dyDescent="0.25">
      <c r="A72" t="s">
        <v>465</v>
      </c>
      <c r="B72" t="s">
        <v>192</v>
      </c>
      <c r="C72" t="s">
        <v>4325</v>
      </c>
      <c r="D72">
        <v>140.5</v>
      </c>
      <c r="E72">
        <v>0</v>
      </c>
      <c r="F72">
        <v>14.049999999999999</v>
      </c>
      <c r="G72">
        <v>140.5</v>
      </c>
      <c r="H72">
        <v>587.1</v>
      </c>
      <c r="I72">
        <v>0</v>
      </c>
      <c r="J72">
        <v>58.71</v>
      </c>
      <c r="K72">
        <v>587.1</v>
      </c>
      <c r="L72">
        <v>727.6</v>
      </c>
      <c r="M72">
        <v>0</v>
      </c>
      <c r="N72">
        <v>72.760000000000005</v>
      </c>
      <c r="O72">
        <v>727.6</v>
      </c>
    </row>
    <row r="73" spans="1:15" x14ac:dyDescent="0.25">
      <c r="A73" t="s">
        <v>207</v>
      </c>
      <c r="B73" t="s">
        <v>148</v>
      </c>
      <c r="C73" t="s">
        <v>4088</v>
      </c>
      <c r="D73">
        <v>29695.100000000002</v>
      </c>
      <c r="E73">
        <v>2833.7</v>
      </c>
      <c r="F73">
        <v>2686.14</v>
      </c>
      <c r="G73">
        <v>26861.4</v>
      </c>
      <c r="H73">
        <v>11780.5</v>
      </c>
      <c r="I73">
        <v>947</v>
      </c>
      <c r="J73">
        <v>1083.3499999999999</v>
      </c>
      <c r="K73">
        <v>10833.5</v>
      </c>
      <c r="L73">
        <v>41475.600000000006</v>
      </c>
      <c r="M73">
        <v>3780.7</v>
      </c>
      <c r="N73">
        <v>3769.49</v>
      </c>
      <c r="O73">
        <v>37694.9</v>
      </c>
    </row>
    <row r="74" spans="1:15" x14ac:dyDescent="0.25">
      <c r="A74" t="s">
        <v>561</v>
      </c>
      <c r="B74" t="s">
        <v>201</v>
      </c>
      <c r="C74" t="s">
        <v>4326</v>
      </c>
      <c r="D74">
        <v>243.4</v>
      </c>
      <c r="E74">
        <v>0</v>
      </c>
      <c r="F74">
        <v>24.34</v>
      </c>
      <c r="G74">
        <v>243.4</v>
      </c>
      <c r="H74">
        <v>223.7</v>
      </c>
      <c r="I74">
        <v>0</v>
      </c>
      <c r="J74">
        <v>22.37</v>
      </c>
      <c r="K74">
        <v>223.7</v>
      </c>
      <c r="L74">
        <v>467.1</v>
      </c>
      <c r="M74">
        <v>0</v>
      </c>
      <c r="N74">
        <v>46.71</v>
      </c>
      <c r="O74">
        <v>467.1</v>
      </c>
    </row>
    <row r="75" spans="1:15" x14ac:dyDescent="0.25">
      <c r="A75" t="s">
        <v>2885</v>
      </c>
      <c r="B75" t="s">
        <v>313</v>
      </c>
      <c r="C75" t="s">
        <v>4552</v>
      </c>
      <c r="D75">
        <v>288.7</v>
      </c>
      <c r="E75">
        <v>0</v>
      </c>
      <c r="F75">
        <v>28.87</v>
      </c>
      <c r="G75">
        <v>288.7</v>
      </c>
      <c r="H75">
        <v>186.4</v>
      </c>
      <c r="I75">
        <v>0</v>
      </c>
      <c r="J75">
        <v>18.64</v>
      </c>
      <c r="K75">
        <v>186.4</v>
      </c>
      <c r="L75">
        <v>475.1</v>
      </c>
      <c r="M75">
        <v>0</v>
      </c>
      <c r="N75">
        <v>47.510000000000005</v>
      </c>
      <c r="O75">
        <v>475.1</v>
      </c>
    </row>
    <row r="76" spans="1:15" x14ac:dyDescent="0.25">
      <c r="A76" t="s">
        <v>266</v>
      </c>
      <c r="B76" t="s">
        <v>2143</v>
      </c>
      <c r="C76" t="s">
        <v>4245</v>
      </c>
      <c r="D76">
        <v>0.2</v>
      </c>
      <c r="E76">
        <v>0</v>
      </c>
      <c r="F76">
        <v>0.02</v>
      </c>
      <c r="G76">
        <v>0.2</v>
      </c>
      <c r="H76">
        <v>2049.3000000000002</v>
      </c>
      <c r="I76">
        <v>0</v>
      </c>
      <c r="J76">
        <v>204.93</v>
      </c>
      <c r="K76">
        <v>2049.3000000000002</v>
      </c>
      <c r="L76">
        <v>2049.5</v>
      </c>
      <c r="M76">
        <v>0</v>
      </c>
      <c r="N76">
        <v>204.95000000000002</v>
      </c>
      <c r="O76">
        <v>2049.5</v>
      </c>
    </row>
    <row r="77" spans="1:15" x14ac:dyDescent="0.25">
      <c r="A77" t="s">
        <v>2323</v>
      </c>
      <c r="B77" t="s">
        <v>8</v>
      </c>
      <c r="C77" t="s">
        <v>4553</v>
      </c>
      <c r="D77">
        <v>45</v>
      </c>
      <c r="E77">
        <v>0</v>
      </c>
      <c r="F77">
        <v>4.5</v>
      </c>
      <c r="G77">
        <v>45</v>
      </c>
      <c r="H77">
        <v>402.8</v>
      </c>
      <c r="I77">
        <v>0</v>
      </c>
      <c r="J77">
        <v>40.28</v>
      </c>
      <c r="K77">
        <v>402.8</v>
      </c>
      <c r="L77">
        <v>447.8</v>
      </c>
      <c r="M77">
        <v>0</v>
      </c>
      <c r="N77">
        <v>44.78</v>
      </c>
      <c r="O77">
        <v>447.8</v>
      </c>
    </row>
    <row r="78" spans="1:15" x14ac:dyDescent="0.25">
      <c r="A78" t="s">
        <v>370</v>
      </c>
      <c r="B78" t="s">
        <v>155</v>
      </c>
      <c r="C78" t="s">
        <v>4089</v>
      </c>
      <c r="D78">
        <v>938.59999999999991</v>
      </c>
      <c r="E78">
        <v>0</v>
      </c>
      <c r="F78">
        <v>93.86</v>
      </c>
      <c r="G78">
        <v>938.59999999999991</v>
      </c>
      <c r="H78">
        <v>870.4</v>
      </c>
      <c r="I78">
        <v>0</v>
      </c>
      <c r="J78">
        <v>87.04</v>
      </c>
      <c r="K78">
        <v>870.4</v>
      </c>
      <c r="L78">
        <v>1809</v>
      </c>
      <c r="M78">
        <v>0</v>
      </c>
      <c r="N78">
        <v>180.9</v>
      </c>
      <c r="O78">
        <v>1809</v>
      </c>
    </row>
    <row r="79" spans="1:15" x14ac:dyDescent="0.25">
      <c r="A79" t="s">
        <v>2018</v>
      </c>
      <c r="B79" t="s">
        <v>57</v>
      </c>
      <c r="C79" t="s">
        <v>4246</v>
      </c>
      <c r="D79">
        <v>330968.69999999995</v>
      </c>
      <c r="E79">
        <v>17007.3</v>
      </c>
      <c r="F79">
        <v>31396.129999999994</v>
      </c>
      <c r="G79">
        <v>313961.39999999997</v>
      </c>
      <c r="H79">
        <v>293063.99</v>
      </c>
      <c r="I79">
        <v>10234.370000000001</v>
      </c>
      <c r="J79">
        <v>28282.95</v>
      </c>
      <c r="K79">
        <v>282829.62000000005</v>
      </c>
      <c r="L79">
        <v>624032.68999999994</v>
      </c>
      <c r="M79">
        <v>27241.67</v>
      </c>
      <c r="N79">
        <v>59679.079999999994</v>
      </c>
      <c r="O79">
        <v>596791.02</v>
      </c>
    </row>
    <row r="80" spans="1:15" x14ac:dyDescent="0.25">
      <c r="A80" t="s">
        <v>587</v>
      </c>
      <c r="B80" t="s">
        <v>163</v>
      </c>
      <c r="C80" t="s">
        <v>4363</v>
      </c>
      <c r="D80">
        <v>298.3</v>
      </c>
      <c r="E80">
        <v>0</v>
      </c>
      <c r="F80">
        <v>29.83</v>
      </c>
      <c r="G80">
        <v>298.3</v>
      </c>
      <c r="H80">
        <v>699</v>
      </c>
      <c r="I80">
        <v>0</v>
      </c>
      <c r="J80">
        <v>69.900000000000006</v>
      </c>
      <c r="K80">
        <v>699</v>
      </c>
      <c r="L80">
        <v>997.3</v>
      </c>
      <c r="M80">
        <v>0</v>
      </c>
      <c r="N80">
        <v>99.73</v>
      </c>
      <c r="O80">
        <v>997.3</v>
      </c>
    </row>
    <row r="81" spans="1:15" x14ac:dyDescent="0.25">
      <c r="A81" t="s">
        <v>2130</v>
      </c>
      <c r="B81" t="s">
        <v>131</v>
      </c>
      <c r="C81" t="s">
        <v>4554</v>
      </c>
      <c r="D81">
        <v>154.1</v>
      </c>
      <c r="E81">
        <v>0</v>
      </c>
      <c r="F81">
        <v>15.41</v>
      </c>
      <c r="G81">
        <v>154.1</v>
      </c>
      <c r="H81">
        <v>1086.7</v>
      </c>
      <c r="I81">
        <v>0</v>
      </c>
      <c r="J81">
        <v>108.67</v>
      </c>
      <c r="K81">
        <v>1086.7</v>
      </c>
      <c r="L81">
        <v>1240.8</v>
      </c>
      <c r="M81">
        <v>0</v>
      </c>
      <c r="N81">
        <v>124.08</v>
      </c>
      <c r="O81">
        <v>1240.8</v>
      </c>
    </row>
    <row r="82" spans="1:15" x14ac:dyDescent="0.25">
      <c r="A82" t="s">
        <v>669</v>
      </c>
      <c r="B82" t="s">
        <v>191</v>
      </c>
      <c r="C82" t="s">
        <v>4414</v>
      </c>
      <c r="D82">
        <v>45</v>
      </c>
      <c r="E82">
        <v>0</v>
      </c>
      <c r="F82">
        <v>4.5</v>
      </c>
      <c r="G82">
        <v>45</v>
      </c>
      <c r="H82">
        <v>402.8</v>
      </c>
      <c r="I82">
        <v>0</v>
      </c>
      <c r="J82">
        <v>40.28</v>
      </c>
      <c r="K82">
        <v>402.8</v>
      </c>
      <c r="L82">
        <v>447.8</v>
      </c>
      <c r="M82">
        <v>0</v>
      </c>
      <c r="N82">
        <v>44.78</v>
      </c>
      <c r="O82">
        <v>447.8</v>
      </c>
    </row>
    <row r="83" spans="1:15" x14ac:dyDescent="0.25">
      <c r="A83" t="s">
        <v>255</v>
      </c>
      <c r="B83" t="s">
        <v>149</v>
      </c>
      <c r="C83" t="s">
        <v>4090</v>
      </c>
      <c r="D83">
        <v>738.1</v>
      </c>
      <c r="E83">
        <v>5.4</v>
      </c>
      <c r="F83">
        <v>73.27</v>
      </c>
      <c r="G83">
        <v>732.7</v>
      </c>
      <c r="H83">
        <v>1276.2</v>
      </c>
      <c r="I83">
        <v>103.3</v>
      </c>
      <c r="J83">
        <v>117.28999999999999</v>
      </c>
      <c r="K83">
        <v>1172.9000000000001</v>
      </c>
      <c r="L83">
        <v>2014.3000000000002</v>
      </c>
      <c r="M83">
        <v>108.7</v>
      </c>
      <c r="N83">
        <v>190.56</v>
      </c>
      <c r="O83">
        <v>1905.6000000000001</v>
      </c>
    </row>
    <row r="84" spans="1:15" x14ac:dyDescent="0.25">
      <c r="A84" t="s">
        <v>608</v>
      </c>
      <c r="B84" t="s">
        <v>204</v>
      </c>
      <c r="C84" t="s">
        <v>4415</v>
      </c>
      <c r="D84">
        <v>93.6</v>
      </c>
      <c r="E84">
        <v>0</v>
      </c>
      <c r="F84">
        <v>9.36</v>
      </c>
      <c r="G84">
        <v>93.6</v>
      </c>
      <c r="H84">
        <v>402.8</v>
      </c>
      <c r="I84">
        <v>0</v>
      </c>
      <c r="J84">
        <v>40.28</v>
      </c>
      <c r="K84">
        <v>402.8</v>
      </c>
      <c r="L84">
        <v>496.4</v>
      </c>
      <c r="M84">
        <v>0</v>
      </c>
      <c r="N84">
        <v>49.64</v>
      </c>
      <c r="O84">
        <v>496.4</v>
      </c>
    </row>
    <row r="85" spans="1:15" x14ac:dyDescent="0.25">
      <c r="A85" t="s">
        <v>348</v>
      </c>
      <c r="B85" t="s">
        <v>2143</v>
      </c>
      <c r="C85" t="s">
        <v>4091</v>
      </c>
      <c r="D85">
        <v>890.40000000000009</v>
      </c>
      <c r="E85">
        <v>21.7</v>
      </c>
      <c r="F85">
        <v>86.87</v>
      </c>
      <c r="G85">
        <v>868.7</v>
      </c>
      <c r="H85">
        <v>1468.3999999999999</v>
      </c>
      <c r="I85">
        <v>12.1</v>
      </c>
      <c r="J85">
        <v>145.63</v>
      </c>
      <c r="K85">
        <v>1456.3</v>
      </c>
      <c r="L85">
        <v>2358.8000000000002</v>
      </c>
      <c r="M85">
        <v>33.799999999999997</v>
      </c>
      <c r="N85">
        <v>232.5</v>
      </c>
      <c r="O85">
        <v>2325</v>
      </c>
    </row>
    <row r="86" spans="1:15" x14ac:dyDescent="0.25">
      <c r="A86" t="s">
        <v>1862</v>
      </c>
      <c r="B86" t="s">
        <v>58</v>
      </c>
      <c r="C86" t="s">
        <v>4247</v>
      </c>
      <c r="D86">
        <v>48815.8</v>
      </c>
      <c r="E86">
        <v>436.8</v>
      </c>
      <c r="F86">
        <v>4837.9000000000005</v>
      </c>
      <c r="G86">
        <v>48379</v>
      </c>
      <c r="H86">
        <v>62136.800000000003</v>
      </c>
      <c r="I86">
        <v>1211.5</v>
      </c>
      <c r="J86">
        <v>6092.5300000000007</v>
      </c>
      <c r="K86">
        <v>60925.3</v>
      </c>
      <c r="L86">
        <v>110952.6</v>
      </c>
      <c r="M86">
        <v>1648.3</v>
      </c>
      <c r="N86">
        <v>10930.43</v>
      </c>
      <c r="O86">
        <v>109304.3</v>
      </c>
    </row>
    <row r="87" spans="1:15" x14ac:dyDescent="0.25">
      <c r="A87" t="s">
        <v>3264</v>
      </c>
      <c r="B87" t="s">
        <v>170</v>
      </c>
      <c r="C87" t="s">
        <v>4555</v>
      </c>
      <c r="D87">
        <v>110.2</v>
      </c>
      <c r="E87">
        <v>0</v>
      </c>
      <c r="F87">
        <v>11.02</v>
      </c>
      <c r="G87">
        <v>110.2</v>
      </c>
      <c r="H87">
        <v>587.1</v>
      </c>
      <c r="I87">
        <v>0</v>
      </c>
      <c r="J87">
        <v>58.71</v>
      </c>
      <c r="K87">
        <v>587.1</v>
      </c>
      <c r="L87">
        <v>697.30000000000007</v>
      </c>
      <c r="M87">
        <v>0</v>
      </c>
      <c r="N87">
        <v>69.73</v>
      </c>
      <c r="O87">
        <v>697.30000000000007</v>
      </c>
    </row>
    <row r="88" spans="1:15" x14ac:dyDescent="0.25">
      <c r="A88" t="s">
        <v>2783</v>
      </c>
      <c r="B88" t="s">
        <v>135</v>
      </c>
      <c r="C88" t="s">
        <v>4556</v>
      </c>
      <c r="D88">
        <v>9.4</v>
      </c>
      <c r="E88">
        <v>0</v>
      </c>
      <c r="F88">
        <v>0.94</v>
      </c>
      <c r="G88">
        <v>9.4</v>
      </c>
      <c r="H88">
        <v>203.3</v>
      </c>
      <c r="I88">
        <v>0</v>
      </c>
      <c r="J88">
        <v>20.329999999999998</v>
      </c>
      <c r="K88">
        <v>203.3</v>
      </c>
      <c r="L88">
        <v>212.70000000000002</v>
      </c>
      <c r="M88">
        <v>0</v>
      </c>
      <c r="N88">
        <v>21.27</v>
      </c>
      <c r="O88">
        <v>212.70000000000002</v>
      </c>
    </row>
    <row r="89" spans="1:15" x14ac:dyDescent="0.25">
      <c r="A89" t="s">
        <v>425</v>
      </c>
      <c r="B89" t="s">
        <v>175</v>
      </c>
      <c r="C89" t="s">
        <v>4092</v>
      </c>
      <c r="D89">
        <v>369</v>
      </c>
      <c r="E89">
        <v>25.2</v>
      </c>
      <c r="F89">
        <v>34.380000000000003</v>
      </c>
      <c r="G89">
        <v>343.8</v>
      </c>
      <c r="H89">
        <v>483.9</v>
      </c>
      <c r="I89">
        <v>325</v>
      </c>
      <c r="J89">
        <v>15.89</v>
      </c>
      <c r="K89">
        <v>158.9</v>
      </c>
      <c r="L89">
        <v>852.9</v>
      </c>
      <c r="M89">
        <v>350.2</v>
      </c>
      <c r="N89">
        <v>50.27</v>
      </c>
      <c r="O89">
        <v>502.70000000000005</v>
      </c>
    </row>
    <row r="90" spans="1:15" x14ac:dyDescent="0.25">
      <c r="A90" t="s">
        <v>2855</v>
      </c>
      <c r="B90" t="s">
        <v>141</v>
      </c>
      <c r="C90" t="s">
        <v>4557</v>
      </c>
      <c r="D90">
        <v>51.7</v>
      </c>
      <c r="E90">
        <v>0</v>
      </c>
      <c r="F90">
        <v>5.17</v>
      </c>
      <c r="G90">
        <v>51.7</v>
      </c>
      <c r="H90">
        <v>14.5</v>
      </c>
      <c r="I90">
        <v>0</v>
      </c>
      <c r="J90">
        <v>1.45</v>
      </c>
      <c r="K90">
        <v>14.5</v>
      </c>
      <c r="L90">
        <v>66.2</v>
      </c>
      <c r="M90">
        <v>0</v>
      </c>
      <c r="N90">
        <v>6.62</v>
      </c>
      <c r="O90">
        <v>66.2</v>
      </c>
    </row>
    <row r="91" spans="1:15" x14ac:dyDescent="0.25">
      <c r="A91" t="s">
        <v>217</v>
      </c>
      <c r="B91" t="s">
        <v>35</v>
      </c>
      <c r="C91" t="s">
        <v>4093</v>
      </c>
      <c r="D91">
        <v>2079.9</v>
      </c>
      <c r="E91">
        <v>0</v>
      </c>
      <c r="F91">
        <v>207.99</v>
      </c>
      <c r="G91">
        <v>2079.9</v>
      </c>
      <c r="H91">
        <v>995.3</v>
      </c>
      <c r="I91">
        <v>0</v>
      </c>
      <c r="J91">
        <v>99.529999999999987</v>
      </c>
      <c r="K91">
        <v>995.3</v>
      </c>
      <c r="L91">
        <v>3075.2</v>
      </c>
      <c r="M91">
        <v>0</v>
      </c>
      <c r="N91">
        <v>307.52</v>
      </c>
      <c r="O91">
        <v>3075.2</v>
      </c>
    </row>
    <row r="92" spans="1:15" x14ac:dyDescent="0.25">
      <c r="A92" t="s">
        <v>97</v>
      </c>
      <c r="B92" t="s">
        <v>55</v>
      </c>
      <c r="C92" t="s">
        <v>4094</v>
      </c>
      <c r="D92">
        <v>2889.3</v>
      </c>
      <c r="E92">
        <v>45</v>
      </c>
      <c r="F92">
        <v>284.43</v>
      </c>
      <c r="G92">
        <v>2844.3</v>
      </c>
      <c r="H92">
        <v>2239.6</v>
      </c>
      <c r="I92">
        <v>402.8</v>
      </c>
      <c r="J92">
        <v>183.68</v>
      </c>
      <c r="K92">
        <v>1836.8</v>
      </c>
      <c r="L92">
        <v>5128.8999999999996</v>
      </c>
      <c r="M92">
        <v>447.8</v>
      </c>
      <c r="N92">
        <v>468.11</v>
      </c>
      <c r="O92">
        <v>4681.1000000000004</v>
      </c>
    </row>
    <row r="93" spans="1:15" x14ac:dyDescent="0.25">
      <c r="A93" t="s">
        <v>596</v>
      </c>
      <c r="B93" t="s">
        <v>66</v>
      </c>
      <c r="C93" t="s">
        <v>4095</v>
      </c>
      <c r="D93">
        <v>285.2</v>
      </c>
      <c r="E93">
        <v>0</v>
      </c>
      <c r="F93">
        <v>28.520000000000003</v>
      </c>
      <c r="G93">
        <v>285.2</v>
      </c>
      <c r="H93">
        <v>205.7</v>
      </c>
      <c r="I93">
        <v>0</v>
      </c>
      <c r="J93">
        <v>20.57</v>
      </c>
      <c r="K93">
        <v>205.7</v>
      </c>
      <c r="L93">
        <v>490.9</v>
      </c>
      <c r="M93">
        <v>0</v>
      </c>
      <c r="N93">
        <v>49.09</v>
      </c>
      <c r="O93">
        <v>490.9</v>
      </c>
    </row>
    <row r="94" spans="1:15" x14ac:dyDescent="0.25">
      <c r="A94" t="s">
        <v>2311</v>
      </c>
      <c r="B94" t="s">
        <v>184</v>
      </c>
      <c r="C94" t="s">
        <v>4292</v>
      </c>
      <c r="D94">
        <v>122.8</v>
      </c>
      <c r="E94">
        <v>0</v>
      </c>
      <c r="F94">
        <v>12.28</v>
      </c>
      <c r="G94">
        <v>122.8</v>
      </c>
      <c r="H94">
        <v>208.7</v>
      </c>
      <c r="I94">
        <v>0</v>
      </c>
      <c r="J94">
        <v>20.87</v>
      </c>
      <c r="K94">
        <v>208.7</v>
      </c>
      <c r="L94">
        <v>331.5</v>
      </c>
      <c r="M94">
        <v>0</v>
      </c>
      <c r="N94">
        <v>33.15</v>
      </c>
      <c r="O94">
        <v>331.5</v>
      </c>
    </row>
    <row r="95" spans="1:15" x14ac:dyDescent="0.25">
      <c r="A95" t="s">
        <v>292</v>
      </c>
      <c r="B95" t="s">
        <v>2143</v>
      </c>
      <c r="C95" t="s">
        <v>4096</v>
      </c>
      <c r="D95">
        <v>909.3</v>
      </c>
      <c r="E95">
        <v>23.3</v>
      </c>
      <c r="F95">
        <v>88.6</v>
      </c>
      <c r="G95">
        <v>886</v>
      </c>
      <c r="H95">
        <v>256.5</v>
      </c>
      <c r="I95">
        <v>0</v>
      </c>
      <c r="J95">
        <v>25.650000000000002</v>
      </c>
      <c r="K95">
        <v>256.5</v>
      </c>
      <c r="L95">
        <v>1165.8</v>
      </c>
      <c r="M95">
        <v>23.3</v>
      </c>
      <c r="N95">
        <v>114.25</v>
      </c>
      <c r="O95">
        <v>1142.5</v>
      </c>
    </row>
    <row r="96" spans="1:15" x14ac:dyDescent="0.25">
      <c r="A96" t="s">
        <v>74</v>
      </c>
      <c r="B96" t="s">
        <v>59</v>
      </c>
      <c r="C96" t="s">
        <v>4097</v>
      </c>
      <c r="D96">
        <v>735.7</v>
      </c>
      <c r="E96">
        <v>22.4</v>
      </c>
      <c r="F96">
        <v>71.33</v>
      </c>
      <c r="G96">
        <v>713.3</v>
      </c>
      <c r="H96">
        <v>571.29999999999995</v>
      </c>
      <c r="I96">
        <v>14.4</v>
      </c>
      <c r="J96">
        <v>55.69</v>
      </c>
      <c r="K96">
        <v>556.9</v>
      </c>
      <c r="L96">
        <v>1307</v>
      </c>
      <c r="M96">
        <v>36.799999999999997</v>
      </c>
      <c r="N96">
        <v>127.02</v>
      </c>
      <c r="O96">
        <v>1270.1999999999998</v>
      </c>
    </row>
    <row r="97" spans="1:15" x14ac:dyDescent="0.25">
      <c r="A97" t="s">
        <v>85</v>
      </c>
      <c r="B97" t="s">
        <v>188</v>
      </c>
      <c r="C97" t="s">
        <v>4098</v>
      </c>
      <c r="D97">
        <v>1327.8</v>
      </c>
      <c r="E97">
        <v>24.4</v>
      </c>
      <c r="F97">
        <v>130.34000000000003</v>
      </c>
      <c r="G97">
        <v>1303.4000000000001</v>
      </c>
      <c r="H97">
        <v>1846.1999999999998</v>
      </c>
      <c r="I97">
        <v>123.7</v>
      </c>
      <c r="J97">
        <v>172.25</v>
      </c>
      <c r="K97">
        <v>1722.4999999999998</v>
      </c>
      <c r="L97">
        <v>3174</v>
      </c>
      <c r="M97">
        <v>148.1</v>
      </c>
      <c r="N97">
        <v>302.59000000000003</v>
      </c>
      <c r="O97">
        <v>3025.8999999999996</v>
      </c>
    </row>
    <row r="98" spans="1:15" x14ac:dyDescent="0.25">
      <c r="A98" t="s">
        <v>119</v>
      </c>
      <c r="B98" t="s">
        <v>149</v>
      </c>
      <c r="C98" t="s">
        <v>4099</v>
      </c>
      <c r="D98">
        <v>6545.41</v>
      </c>
      <c r="E98">
        <v>207.99999999999997</v>
      </c>
      <c r="F98">
        <v>633.74</v>
      </c>
      <c r="G98">
        <v>6337.4100000000008</v>
      </c>
      <c r="H98">
        <v>12614.669999999998</v>
      </c>
      <c r="I98">
        <v>2087.8399999999997</v>
      </c>
      <c r="J98">
        <v>1052.68</v>
      </c>
      <c r="K98">
        <v>10526.83</v>
      </c>
      <c r="L98">
        <v>19160.079999999998</v>
      </c>
      <c r="M98">
        <v>2295.8399999999997</v>
      </c>
      <c r="N98">
        <v>1686.42</v>
      </c>
      <c r="O98">
        <v>16864.240000000002</v>
      </c>
    </row>
    <row r="99" spans="1:15" x14ac:dyDescent="0.25">
      <c r="A99" t="s">
        <v>2239</v>
      </c>
      <c r="B99" t="s">
        <v>141</v>
      </c>
      <c r="C99" t="s">
        <v>4100</v>
      </c>
      <c r="D99">
        <v>859.9</v>
      </c>
      <c r="E99">
        <v>699.3</v>
      </c>
      <c r="F99">
        <v>16.059999999999999</v>
      </c>
      <c r="G99">
        <v>160.6</v>
      </c>
      <c r="H99">
        <v>1609.9</v>
      </c>
      <c r="I99">
        <v>516.70000000000005</v>
      </c>
      <c r="J99">
        <v>109.32</v>
      </c>
      <c r="K99">
        <v>1093.2</v>
      </c>
      <c r="L99">
        <v>2469.8000000000002</v>
      </c>
      <c r="M99">
        <v>1216</v>
      </c>
      <c r="N99">
        <v>125.38</v>
      </c>
      <c r="O99">
        <v>1253.8</v>
      </c>
    </row>
    <row r="100" spans="1:15" x14ac:dyDescent="0.25">
      <c r="A100" t="s">
        <v>602</v>
      </c>
      <c r="B100" t="s">
        <v>81</v>
      </c>
      <c r="C100" t="s">
        <v>4558</v>
      </c>
      <c r="D100">
        <v>254.7</v>
      </c>
      <c r="E100">
        <v>0</v>
      </c>
      <c r="F100">
        <v>25.47</v>
      </c>
      <c r="G100">
        <v>254.7</v>
      </c>
      <c r="H100">
        <v>23.2</v>
      </c>
      <c r="I100">
        <v>0</v>
      </c>
      <c r="J100">
        <v>2.3199999999999998</v>
      </c>
      <c r="K100">
        <v>23.2</v>
      </c>
      <c r="L100">
        <v>277.89999999999998</v>
      </c>
      <c r="M100">
        <v>0</v>
      </c>
      <c r="N100">
        <v>27.79</v>
      </c>
      <c r="O100">
        <v>277.89999999999998</v>
      </c>
    </row>
    <row r="101" spans="1:15" x14ac:dyDescent="0.25">
      <c r="A101" t="s">
        <v>1864</v>
      </c>
      <c r="B101" t="s">
        <v>60</v>
      </c>
      <c r="C101" t="s">
        <v>4248</v>
      </c>
      <c r="D101">
        <v>117921.40000000001</v>
      </c>
      <c r="E101">
        <v>705.6</v>
      </c>
      <c r="F101">
        <v>11721.58</v>
      </c>
      <c r="G101">
        <v>117215.8</v>
      </c>
      <c r="H101">
        <v>1301826.8</v>
      </c>
      <c r="I101">
        <v>1949.2</v>
      </c>
      <c r="J101">
        <v>129987.76000000002</v>
      </c>
      <c r="K101">
        <v>1299877.6000000001</v>
      </c>
      <c r="L101">
        <v>1419748.2</v>
      </c>
      <c r="M101">
        <v>2654.8</v>
      </c>
      <c r="N101">
        <v>141709.34000000003</v>
      </c>
      <c r="O101">
        <v>1417093.4000000001</v>
      </c>
    </row>
    <row r="102" spans="1:15" x14ac:dyDescent="0.25">
      <c r="A102" t="s">
        <v>2200</v>
      </c>
      <c r="B102" t="s">
        <v>194</v>
      </c>
      <c r="C102" t="s">
        <v>4101</v>
      </c>
      <c r="D102">
        <v>551</v>
      </c>
      <c r="E102">
        <v>110.2</v>
      </c>
      <c r="F102">
        <v>44.08</v>
      </c>
      <c r="G102">
        <v>440.8</v>
      </c>
      <c r="H102">
        <v>2947.3</v>
      </c>
      <c r="I102">
        <v>587.1</v>
      </c>
      <c r="J102">
        <v>236.02</v>
      </c>
      <c r="K102">
        <v>2360.2000000000003</v>
      </c>
      <c r="L102">
        <v>3498.3</v>
      </c>
      <c r="M102">
        <v>697.30000000000007</v>
      </c>
      <c r="N102">
        <v>280.10000000000002</v>
      </c>
      <c r="O102">
        <v>2801.0000000000005</v>
      </c>
    </row>
    <row r="103" spans="1:15" x14ac:dyDescent="0.25">
      <c r="A103" t="s">
        <v>2206</v>
      </c>
      <c r="B103" t="s">
        <v>6</v>
      </c>
      <c r="C103" t="s">
        <v>4416</v>
      </c>
      <c r="D103">
        <v>1322.8</v>
      </c>
      <c r="E103">
        <v>0</v>
      </c>
      <c r="F103">
        <v>132.28</v>
      </c>
      <c r="G103">
        <v>1322.8</v>
      </c>
      <c r="H103">
        <v>1185.2</v>
      </c>
      <c r="I103">
        <v>0</v>
      </c>
      <c r="J103">
        <v>118.52</v>
      </c>
      <c r="K103">
        <v>1185.2</v>
      </c>
      <c r="L103">
        <v>2508</v>
      </c>
      <c r="M103">
        <v>0</v>
      </c>
      <c r="N103">
        <v>250.8</v>
      </c>
      <c r="O103">
        <v>2508</v>
      </c>
    </row>
    <row r="104" spans="1:15" x14ac:dyDescent="0.25">
      <c r="A104" t="s">
        <v>1865</v>
      </c>
      <c r="B104" t="s">
        <v>61</v>
      </c>
      <c r="C104" t="s">
        <v>4249</v>
      </c>
      <c r="D104">
        <v>45046.130000000005</v>
      </c>
      <c r="E104">
        <v>2075.3000000000002</v>
      </c>
      <c r="F104">
        <v>4297.08</v>
      </c>
      <c r="G104">
        <v>42970.83</v>
      </c>
      <c r="H104">
        <v>108566.84</v>
      </c>
      <c r="I104">
        <v>3319.2999999999997</v>
      </c>
      <c r="J104">
        <v>10524.75</v>
      </c>
      <c r="K104">
        <v>105247.54000000001</v>
      </c>
      <c r="L104">
        <v>153612.97</v>
      </c>
      <c r="M104">
        <v>5394.6</v>
      </c>
      <c r="N104">
        <v>14821.83</v>
      </c>
      <c r="O104">
        <v>148218.37</v>
      </c>
    </row>
    <row r="105" spans="1:15" x14ac:dyDescent="0.25">
      <c r="A105" t="s">
        <v>2204</v>
      </c>
      <c r="B105" t="s">
        <v>163</v>
      </c>
      <c r="C105" t="s">
        <v>4102</v>
      </c>
      <c r="D105">
        <v>6059.6</v>
      </c>
      <c r="E105">
        <v>4.5</v>
      </c>
      <c r="F105">
        <v>605.51</v>
      </c>
      <c r="G105">
        <v>6055.1</v>
      </c>
      <c r="H105">
        <v>6816.5999999999995</v>
      </c>
      <c r="I105">
        <v>85.7</v>
      </c>
      <c r="J105">
        <v>673.08999999999992</v>
      </c>
      <c r="K105">
        <v>6730.9</v>
      </c>
      <c r="L105">
        <v>12876.2</v>
      </c>
      <c r="M105">
        <v>90.2</v>
      </c>
      <c r="N105">
        <v>1278.5999999999999</v>
      </c>
      <c r="O105">
        <v>12786</v>
      </c>
    </row>
    <row r="106" spans="1:15" x14ac:dyDescent="0.25">
      <c r="A106" t="s">
        <v>2241</v>
      </c>
      <c r="B106" t="s">
        <v>13</v>
      </c>
      <c r="C106" t="s">
        <v>4417</v>
      </c>
      <c r="D106">
        <v>3390.4</v>
      </c>
      <c r="E106">
        <v>0</v>
      </c>
      <c r="F106">
        <v>339.03999999999996</v>
      </c>
      <c r="G106">
        <v>3390.4</v>
      </c>
      <c r="H106">
        <v>3624.1000000000004</v>
      </c>
      <c r="I106">
        <v>0</v>
      </c>
      <c r="J106">
        <v>362.40999999999997</v>
      </c>
      <c r="K106">
        <v>3624.1000000000004</v>
      </c>
      <c r="L106">
        <v>7014.5</v>
      </c>
      <c r="M106">
        <v>0</v>
      </c>
      <c r="N106">
        <v>701.44999999999993</v>
      </c>
      <c r="O106">
        <v>7014.5</v>
      </c>
    </row>
    <row r="107" spans="1:15" x14ac:dyDescent="0.25">
      <c r="A107" t="s">
        <v>218</v>
      </c>
      <c r="B107" t="s">
        <v>55</v>
      </c>
      <c r="C107" t="s">
        <v>4103</v>
      </c>
      <c r="D107">
        <v>1955.3000000000002</v>
      </c>
      <c r="E107">
        <v>370.5</v>
      </c>
      <c r="F107">
        <v>158.48000000000002</v>
      </c>
      <c r="G107">
        <v>1584.8</v>
      </c>
      <c r="H107">
        <v>3694.2999999999997</v>
      </c>
      <c r="I107">
        <v>1231.3</v>
      </c>
      <c r="J107">
        <v>246.3</v>
      </c>
      <c r="K107">
        <v>2463</v>
      </c>
      <c r="L107">
        <v>5649.6</v>
      </c>
      <c r="M107">
        <v>1601.8</v>
      </c>
      <c r="N107">
        <v>404.78000000000003</v>
      </c>
      <c r="O107">
        <v>4047.8</v>
      </c>
    </row>
    <row r="108" spans="1:15" x14ac:dyDescent="0.25">
      <c r="A108" t="s">
        <v>380</v>
      </c>
      <c r="B108" t="s">
        <v>131</v>
      </c>
      <c r="C108" t="s">
        <v>4104</v>
      </c>
      <c r="D108">
        <v>408.3</v>
      </c>
      <c r="E108">
        <v>0</v>
      </c>
      <c r="F108">
        <v>40.83</v>
      </c>
      <c r="G108">
        <v>408.3</v>
      </c>
      <c r="H108">
        <v>171.1</v>
      </c>
      <c r="I108">
        <v>0</v>
      </c>
      <c r="J108">
        <v>17.11</v>
      </c>
      <c r="K108">
        <v>171.1</v>
      </c>
      <c r="L108">
        <v>579.4</v>
      </c>
      <c r="M108">
        <v>0</v>
      </c>
      <c r="N108">
        <v>57.94</v>
      </c>
      <c r="O108">
        <v>579.4</v>
      </c>
    </row>
    <row r="109" spans="1:15" x14ac:dyDescent="0.25">
      <c r="A109" t="s">
        <v>1867</v>
      </c>
      <c r="B109" t="s">
        <v>62</v>
      </c>
      <c r="C109" t="s">
        <v>4250</v>
      </c>
      <c r="D109">
        <v>102994.87000000001</v>
      </c>
      <c r="E109">
        <v>8092.3</v>
      </c>
      <c r="F109">
        <v>9490.25</v>
      </c>
      <c r="G109">
        <v>94902.569999999992</v>
      </c>
      <c r="H109">
        <v>177831.94000000003</v>
      </c>
      <c r="I109">
        <v>49116.800000000003</v>
      </c>
      <c r="J109">
        <v>12871.509999999998</v>
      </c>
      <c r="K109">
        <v>128715.14000000001</v>
      </c>
      <c r="L109">
        <v>280826.81000000006</v>
      </c>
      <c r="M109">
        <v>57209.100000000006</v>
      </c>
      <c r="N109">
        <v>22361.759999999998</v>
      </c>
      <c r="O109">
        <v>223617.71000000002</v>
      </c>
    </row>
    <row r="110" spans="1:15" x14ac:dyDescent="0.25">
      <c r="A110" t="s">
        <v>307</v>
      </c>
      <c r="B110" t="s">
        <v>76</v>
      </c>
      <c r="C110" t="s">
        <v>4251</v>
      </c>
      <c r="D110">
        <v>136.30000000000001</v>
      </c>
      <c r="E110">
        <v>0</v>
      </c>
      <c r="F110">
        <v>13.629999999999999</v>
      </c>
      <c r="G110">
        <v>136.30000000000001</v>
      </c>
      <c r="H110">
        <v>269.2</v>
      </c>
      <c r="I110">
        <v>0</v>
      </c>
      <c r="J110">
        <v>26.92</v>
      </c>
      <c r="K110">
        <v>269.2</v>
      </c>
      <c r="L110">
        <v>405.5</v>
      </c>
      <c r="M110">
        <v>0</v>
      </c>
      <c r="N110">
        <v>40.549999999999997</v>
      </c>
      <c r="O110">
        <v>405.5</v>
      </c>
    </row>
    <row r="111" spans="1:15" x14ac:dyDescent="0.25">
      <c r="A111" t="s">
        <v>597</v>
      </c>
      <c r="B111" t="s">
        <v>66</v>
      </c>
      <c r="C111" t="s">
        <v>4364</v>
      </c>
      <c r="D111">
        <v>50.4</v>
      </c>
      <c r="E111">
        <v>5.4</v>
      </c>
      <c r="F111">
        <v>4.5</v>
      </c>
      <c r="G111">
        <v>45</v>
      </c>
      <c r="H111">
        <v>506.1</v>
      </c>
      <c r="I111">
        <v>103.3</v>
      </c>
      <c r="J111">
        <v>40.28</v>
      </c>
      <c r="K111">
        <v>402.8</v>
      </c>
      <c r="L111">
        <v>556.5</v>
      </c>
      <c r="M111">
        <v>108.7</v>
      </c>
      <c r="N111">
        <v>44.78</v>
      </c>
      <c r="O111">
        <v>447.8</v>
      </c>
    </row>
    <row r="112" spans="1:15" x14ac:dyDescent="0.25">
      <c r="A112" t="s">
        <v>200</v>
      </c>
      <c r="B112" t="s">
        <v>55</v>
      </c>
      <c r="C112" t="s">
        <v>4105</v>
      </c>
      <c r="D112">
        <v>6949.6</v>
      </c>
      <c r="E112">
        <v>9012.6999999999989</v>
      </c>
      <c r="F112">
        <v>-206.30999999999997</v>
      </c>
      <c r="G112">
        <v>-2063.1</v>
      </c>
      <c r="H112">
        <v>5471.6</v>
      </c>
      <c r="I112">
        <v>2601.2000000000003</v>
      </c>
      <c r="J112">
        <v>287.03999999999996</v>
      </c>
      <c r="K112">
        <v>2870.4</v>
      </c>
      <c r="L112">
        <v>12421.2</v>
      </c>
      <c r="M112">
        <v>11613.9</v>
      </c>
      <c r="N112">
        <v>80.72999999999999</v>
      </c>
      <c r="O112">
        <v>807.30000000000018</v>
      </c>
    </row>
    <row r="113" spans="1:15" x14ac:dyDescent="0.25">
      <c r="A113" t="s">
        <v>2318</v>
      </c>
      <c r="B113" t="s">
        <v>135</v>
      </c>
      <c r="C113" t="s">
        <v>4418</v>
      </c>
      <c r="D113">
        <v>45</v>
      </c>
      <c r="E113">
        <v>0</v>
      </c>
      <c r="F113">
        <v>4.5</v>
      </c>
      <c r="G113">
        <v>45</v>
      </c>
      <c r="H113">
        <v>402.8</v>
      </c>
      <c r="I113">
        <v>0</v>
      </c>
      <c r="J113">
        <v>40.28</v>
      </c>
      <c r="K113">
        <v>402.8</v>
      </c>
      <c r="L113">
        <v>447.8</v>
      </c>
      <c r="M113">
        <v>0</v>
      </c>
      <c r="N113">
        <v>44.78</v>
      </c>
      <c r="O113">
        <v>447.8</v>
      </c>
    </row>
    <row r="114" spans="1:15" x14ac:dyDescent="0.25">
      <c r="A114" t="s">
        <v>2243</v>
      </c>
      <c r="B114" t="s">
        <v>49</v>
      </c>
      <c r="C114" t="s">
        <v>4419</v>
      </c>
      <c r="D114">
        <v>6.1</v>
      </c>
      <c r="E114">
        <v>0</v>
      </c>
      <c r="F114">
        <v>0.61</v>
      </c>
      <c r="G114">
        <v>6.1</v>
      </c>
      <c r="H114">
        <v>957.8</v>
      </c>
      <c r="I114">
        <v>0</v>
      </c>
      <c r="J114">
        <v>95.78</v>
      </c>
      <c r="K114">
        <v>957.8</v>
      </c>
      <c r="L114">
        <v>963.9</v>
      </c>
      <c r="M114">
        <v>0</v>
      </c>
      <c r="N114">
        <v>96.39</v>
      </c>
      <c r="O114">
        <v>963.9</v>
      </c>
    </row>
    <row r="115" spans="1:15" x14ac:dyDescent="0.25">
      <c r="A115" t="s">
        <v>316</v>
      </c>
      <c r="B115" t="s">
        <v>51</v>
      </c>
      <c r="C115" t="s">
        <v>4106</v>
      </c>
      <c r="D115">
        <v>166.6</v>
      </c>
      <c r="E115">
        <v>0</v>
      </c>
      <c r="F115">
        <v>16.66</v>
      </c>
      <c r="G115">
        <v>166.6</v>
      </c>
      <c r="H115">
        <v>3.4</v>
      </c>
      <c r="I115">
        <v>0</v>
      </c>
      <c r="J115">
        <v>0.34</v>
      </c>
      <c r="K115">
        <v>3.4</v>
      </c>
      <c r="L115">
        <v>170</v>
      </c>
      <c r="M115">
        <v>0</v>
      </c>
      <c r="N115">
        <v>17</v>
      </c>
      <c r="O115">
        <v>170</v>
      </c>
    </row>
    <row r="116" spans="1:15" x14ac:dyDescent="0.25">
      <c r="A116" t="s">
        <v>2244</v>
      </c>
      <c r="B116" t="s">
        <v>141</v>
      </c>
      <c r="C116" t="s">
        <v>4107</v>
      </c>
      <c r="D116">
        <v>236.7</v>
      </c>
      <c r="E116">
        <v>0.8</v>
      </c>
      <c r="F116">
        <v>23.59</v>
      </c>
      <c r="G116">
        <v>235.9</v>
      </c>
      <c r="H116">
        <v>58.300000000000004</v>
      </c>
      <c r="I116">
        <v>9.6</v>
      </c>
      <c r="J116">
        <v>4.8699999999999992</v>
      </c>
      <c r="K116">
        <v>48.7</v>
      </c>
      <c r="L116">
        <v>295</v>
      </c>
      <c r="M116">
        <v>10.4</v>
      </c>
      <c r="N116">
        <v>28.46</v>
      </c>
      <c r="O116">
        <v>284.60000000000002</v>
      </c>
    </row>
    <row r="117" spans="1:15" x14ac:dyDescent="0.25">
      <c r="A117" t="s">
        <v>540</v>
      </c>
      <c r="B117" t="s">
        <v>55</v>
      </c>
      <c r="C117" t="s">
        <v>4108</v>
      </c>
      <c r="D117">
        <v>1980.4</v>
      </c>
      <c r="E117">
        <v>143.19999999999999</v>
      </c>
      <c r="F117">
        <v>183.72</v>
      </c>
      <c r="G117">
        <v>1837.2</v>
      </c>
      <c r="H117">
        <v>1011.5</v>
      </c>
      <c r="I117">
        <v>97.5</v>
      </c>
      <c r="J117">
        <v>91.4</v>
      </c>
      <c r="K117">
        <v>914</v>
      </c>
      <c r="L117">
        <v>2991.9</v>
      </c>
      <c r="M117">
        <v>240.7</v>
      </c>
      <c r="N117">
        <v>275.12</v>
      </c>
      <c r="O117">
        <v>2751.2</v>
      </c>
    </row>
    <row r="118" spans="1:15" x14ac:dyDescent="0.25">
      <c r="A118" t="s">
        <v>694</v>
      </c>
      <c r="B118" t="s">
        <v>149</v>
      </c>
      <c r="C118" t="s">
        <v>4109</v>
      </c>
      <c r="D118">
        <v>209</v>
      </c>
      <c r="E118">
        <v>0</v>
      </c>
      <c r="F118">
        <v>20.9</v>
      </c>
      <c r="G118">
        <v>209</v>
      </c>
      <c r="H118">
        <v>792.9</v>
      </c>
      <c r="I118">
        <v>0</v>
      </c>
      <c r="J118">
        <v>79.290000000000006</v>
      </c>
      <c r="K118">
        <v>792.9</v>
      </c>
      <c r="L118">
        <v>1001.9</v>
      </c>
      <c r="M118">
        <v>0</v>
      </c>
      <c r="N118">
        <v>100.19</v>
      </c>
      <c r="O118">
        <v>1001.9</v>
      </c>
    </row>
    <row r="119" spans="1:15" x14ac:dyDescent="0.25">
      <c r="A119" t="s">
        <v>150</v>
      </c>
      <c r="B119" t="s">
        <v>190</v>
      </c>
      <c r="C119" t="s">
        <v>4110</v>
      </c>
      <c r="D119">
        <v>88.6</v>
      </c>
      <c r="E119">
        <v>0</v>
      </c>
      <c r="F119">
        <v>8.86</v>
      </c>
      <c r="G119">
        <v>88.6</v>
      </c>
      <c r="H119">
        <v>134.29999999999998</v>
      </c>
      <c r="I119">
        <v>0</v>
      </c>
      <c r="J119">
        <v>13.43</v>
      </c>
      <c r="K119">
        <v>134.29999999999998</v>
      </c>
      <c r="L119">
        <v>222.89999999999998</v>
      </c>
      <c r="M119">
        <v>0</v>
      </c>
      <c r="N119">
        <v>22.29</v>
      </c>
      <c r="O119">
        <v>222.89999999999998</v>
      </c>
    </row>
    <row r="120" spans="1:15" x14ac:dyDescent="0.25">
      <c r="A120" t="s">
        <v>514</v>
      </c>
      <c r="B120" t="s">
        <v>313</v>
      </c>
      <c r="C120" t="s">
        <v>4111</v>
      </c>
      <c r="D120">
        <v>1702.7</v>
      </c>
      <c r="E120">
        <v>0</v>
      </c>
      <c r="F120">
        <v>170.27</v>
      </c>
      <c r="G120">
        <v>1702.7</v>
      </c>
      <c r="H120">
        <v>502.7</v>
      </c>
      <c r="I120">
        <v>0</v>
      </c>
      <c r="J120">
        <v>50.27</v>
      </c>
      <c r="K120">
        <v>502.7</v>
      </c>
      <c r="L120">
        <v>2205.4</v>
      </c>
      <c r="M120">
        <v>0</v>
      </c>
      <c r="N120">
        <v>220.54000000000002</v>
      </c>
      <c r="O120">
        <v>2205.4</v>
      </c>
    </row>
    <row r="121" spans="1:15" x14ac:dyDescent="0.25">
      <c r="A121" t="s">
        <v>2155</v>
      </c>
      <c r="B121" t="s">
        <v>69</v>
      </c>
      <c r="C121" t="s">
        <v>4112</v>
      </c>
      <c r="D121">
        <v>3.3</v>
      </c>
      <c r="E121">
        <v>0</v>
      </c>
      <c r="F121">
        <v>0.33</v>
      </c>
      <c r="G121">
        <v>3.3</v>
      </c>
      <c r="H121">
        <v>121.3</v>
      </c>
      <c r="I121">
        <v>0</v>
      </c>
      <c r="J121">
        <v>12.13</v>
      </c>
      <c r="K121">
        <v>121.3</v>
      </c>
      <c r="L121">
        <v>124.6</v>
      </c>
      <c r="M121">
        <v>0</v>
      </c>
      <c r="N121">
        <v>12.46</v>
      </c>
      <c r="O121">
        <v>124.6</v>
      </c>
    </row>
    <row r="122" spans="1:15" x14ac:dyDescent="0.25">
      <c r="A122" t="s">
        <v>279</v>
      </c>
      <c r="B122" t="s">
        <v>50</v>
      </c>
      <c r="C122" t="s">
        <v>4420</v>
      </c>
      <c r="D122">
        <v>162.4</v>
      </c>
      <c r="E122">
        <v>0</v>
      </c>
      <c r="F122">
        <v>16.239999999999998</v>
      </c>
      <c r="G122">
        <v>162.4</v>
      </c>
      <c r="H122">
        <v>508.2</v>
      </c>
      <c r="I122">
        <v>0</v>
      </c>
      <c r="J122">
        <v>50.82</v>
      </c>
      <c r="K122">
        <v>508.2</v>
      </c>
      <c r="L122">
        <v>670.6</v>
      </c>
      <c r="M122">
        <v>0</v>
      </c>
      <c r="N122">
        <v>67.06</v>
      </c>
      <c r="O122">
        <v>670.6</v>
      </c>
    </row>
    <row r="123" spans="1:15" x14ac:dyDescent="0.25">
      <c r="A123" t="s">
        <v>2126</v>
      </c>
      <c r="B123" t="s">
        <v>201</v>
      </c>
      <c r="C123" t="s">
        <v>4113</v>
      </c>
      <c r="D123">
        <v>52.4</v>
      </c>
      <c r="E123">
        <v>0</v>
      </c>
      <c r="F123">
        <v>5.24</v>
      </c>
      <c r="G123">
        <v>52.4</v>
      </c>
      <c r="H123">
        <v>27</v>
      </c>
      <c r="I123">
        <v>0</v>
      </c>
      <c r="J123">
        <v>2.7</v>
      </c>
      <c r="K123">
        <v>27</v>
      </c>
      <c r="L123">
        <v>79.400000000000006</v>
      </c>
      <c r="M123">
        <v>0</v>
      </c>
      <c r="N123">
        <v>7.94</v>
      </c>
      <c r="O123">
        <v>79.400000000000006</v>
      </c>
    </row>
    <row r="124" spans="1:15" x14ac:dyDescent="0.25">
      <c r="A124" t="s">
        <v>257</v>
      </c>
      <c r="B124" t="s">
        <v>66</v>
      </c>
      <c r="C124" t="s">
        <v>4114</v>
      </c>
      <c r="D124">
        <v>539.5</v>
      </c>
      <c r="E124">
        <v>32.1</v>
      </c>
      <c r="F124">
        <v>50.74</v>
      </c>
      <c r="G124">
        <v>507.40000000000003</v>
      </c>
      <c r="H124">
        <v>1008.2</v>
      </c>
      <c r="I124">
        <v>51.7</v>
      </c>
      <c r="J124">
        <v>95.649999999999991</v>
      </c>
      <c r="K124">
        <v>956.5</v>
      </c>
      <c r="L124">
        <v>1547.7</v>
      </c>
      <c r="M124">
        <v>83.800000000000011</v>
      </c>
      <c r="N124">
        <v>146.38999999999999</v>
      </c>
      <c r="O124">
        <v>1463.9</v>
      </c>
    </row>
    <row r="125" spans="1:15" x14ac:dyDescent="0.25">
      <c r="A125" t="s">
        <v>318</v>
      </c>
      <c r="B125" t="s">
        <v>163</v>
      </c>
      <c r="C125" t="s">
        <v>4327</v>
      </c>
      <c r="D125">
        <v>607.79999999999995</v>
      </c>
      <c r="E125">
        <v>0</v>
      </c>
      <c r="F125">
        <v>60.78</v>
      </c>
      <c r="G125">
        <v>607.79999999999995</v>
      </c>
      <c r="L125">
        <v>607.79999999999995</v>
      </c>
      <c r="M125">
        <v>0</v>
      </c>
      <c r="N125">
        <v>60.78</v>
      </c>
      <c r="O125">
        <v>607.79999999999995</v>
      </c>
    </row>
    <row r="126" spans="1:15" x14ac:dyDescent="0.25">
      <c r="A126" t="s">
        <v>2624</v>
      </c>
      <c r="B126" t="s">
        <v>38</v>
      </c>
      <c r="C126" t="s">
        <v>4559</v>
      </c>
      <c r="D126">
        <v>5.4</v>
      </c>
      <c r="E126">
        <v>0</v>
      </c>
      <c r="F126">
        <v>0.54</v>
      </c>
      <c r="G126">
        <v>5.4</v>
      </c>
      <c r="H126">
        <v>103.3</v>
      </c>
      <c r="I126">
        <v>0</v>
      </c>
      <c r="J126">
        <v>10.33</v>
      </c>
      <c r="K126">
        <v>103.3</v>
      </c>
      <c r="L126">
        <v>108.7</v>
      </c>
      <c r="M126">
        <v>0</v>
      </c>
      <c r="N126">
        <v>10.870000000000001</v>
      </c>
      <c r="O126">
        <v>108.7</v>
      </c>
    </row>
    <row r="127" spans="1:15" x14ac:dyDescent="0.25">
      <c r="A127" t="s">
        <v>317</v>
      </c>
      <c r="B127" t="s">
        <v>51</v>
      </c>
      <c r="C127" t="s">
        <v>4560</v>
      </c>
      <c r="D127">
        <v>5.4</v>
      </c>
      <c r="E127">
        <v>0</v>
      </c>
      <c r="F127">
        <v>0.54</v>
      </c>
      <c r="G127">
        <v>5.4</v>
      </c>
      <c r="H127">
        <v>103.3</v>
      </c>
      <c r="I127">
        <v>0</v>
      </c>
      <c r="J127">
        <v>10.33</v>
      </c>
      <c r="K127">
        <v>103.3</v>
      </c>
      <c r="L127">
        <v>108.7</v>
      </c>
      <c r="M127">
        <v>0</v>
      </c>
      <c r="N127">
        <v>10.870000000000001</v>
      </c>
      <c r="O127">
        <v>108.7</v>
      </c>
    </row>
    <row r="128" spans="1:15" x14ac:dyDescent="0.25">
      <c r="A128" t="s">
        <v>2398</v>
      </c>
      <c r="B128" t="s">
        <v>163</v>
      </c>
      <c r="C128" t="s">
        <v>4561</v>
      </c>
      <c r="D128">
        <v>86.4</v>
      </c>
      <c r="E128">
        <v>0</v>
      </c>
      <c r="F128">
        <v>8.64</v>
      </c>
      <c r="G128">
        <v>86.4</v>
      </c>
      <c r="H128">
        <v>428.1</v>
      </c>
      <c r="I128">
        <v>0</v>
      </c>
      <c r="J128">
        <v>42.81</v>
      </c>
      <c r="K128">
        <v>428.1</v>
      </c>
      <c r="L128">
        <v>514.5</v>
      </c>
      <c r="M128">
        <v>0</v>
      </c>
      <c r="N128">
        <v>51.45</v>
      </c>
      <c r="O128">
        <v>514.5</v>
      </c>
    </row>
    <row r="129" spans="1:15" x14ac:dyDescent="0.25">
      <c r="A129" t="s">
        <v>670</v>
      </c>
      <c r="B129" t="s">
        <v>191</v>
      </c>
      <c r="C129" t="s">
        <v>4115</v>
      </c>
      <c r="D129">
        <v>1440.8000000000002</v>
      </c>
      <c r="E129">
        <v>0</v>
      </c>
      <c r="F129">
        <v>144.08000000000001</v>
      </c>
      <c r="G129">
        <v>1440.8000000000002</v>
      </c>
      <c r="H129">
        <v>660.90000000000009</v>
      </c>
      <c r="I129">
        <v>0</v>
      </c>
      <c r="J129">
        <v>66.09</v>
      </c>
      <c r="K129">
        <v>660.90000000000009</v>
      </c>
      <c r="L129">
        <v>2101.7000000000003</v>
      </c>
      <c r="M129">
        <v>0</v>
      </c>
      <c r="N129">
        <v>210.17000000000002</v>
      </c>
      <c r="O129">
        <v>2101.7000000000003</v>
      </c>
    </row>
    <row r="130" spans="1:15" x14ac:dyDescent="0.25">
      <c r="A130" t="s">
        <v>427</v>
      </c>
      <c r="B130" t="s">
        <v>38</v>
      </c>
      <c r="C130" t="s">
        <v>4116</v>
      </c>
      <c r="D130">
        <v>377.1</v>
      </c>
      <c r="E130">
        <v>0</v>
      </c>
      <c r="F130">
        <v>37.71</v>
      </c>
      <c r="G130">
        <v>377.1</v>
      </c>
      <c r="H130">
        <v>313.3</v>
      </c>
      <c r="I130">
        <v>0</v>
      </c>
      <c r="J130">
        <v>31.33</v>
      </c>
      <c r="K130">
        <v>313.3</v>
      </c>
      <c r="L130">
        <v>690.40000000000009</v>
      </c>
      <c r="M130">
        <v>0</v>
      </c>
      <c r="N130">
        <v>69.039999999999992</v>
      </c>
      <c r="O130">
        <v>690.40000000000009</v>
      </c>
    </row>
    <row r="131" spans="1:15" x14ac:dyDescent="0.25">
      <c r="A131" t="s">
        <v>2127</v>
      </c>
      <c r="B131" t="s">
        <v>201</v>
      </c>
      <c r="C131" t="s">
        <v>4117</v>
      </c>
      <c r="D131">
        <v>167.6</v>
      </c>
      <c r="E131">
        <v>0</v>
      </c>
      <c r="F131">
        <v>16.760000000000002</v>
      </c>
      <c r="G131">
        <v>167.6</v>
      </c>
      <c r="H131">
        <v>83.7</v>
      </c>
      <c r="I131">
        <v>0</v>
      </c>
      <c r="J131">
        <v>8.3699999999999992</v>
      </c>
      <c r="K131">
        <v>83.7</v>
      </c>
      <c r="L131">
        <v>251.3</v>
      </c>
      <c r="M131">
        <v>0</v>
      </c>
      <c r="N131">
        <v>25.130000000000003</v>
      </c>
      <c r="O131">
        <v>251.3</v>
      </c>
    </row>
    <row r="132" spans="1:15" x14ac:dyDescent="0.25">
      <c r="A132" t="s">
        <v>679</v>
      </c>
      <c r="B132" t="s">
        <v>131</v>
      </c>
      <c r="C132" t="s">
        <v>4562</v>
      </c>
      <c r="D132">
        <v>0.5</v>
      </c>
      <c r="E132">
        <v>0</v>
      </c>
      <c r="F132">
        <v>0.05</v>
      </c>
      <c r="G132">
        <v>0.5</v>
      </c>
      <c r="H132">
        <v>859.3</v>
      </c>
      <c r="I132">
        <v>0</v>
      </c>
      <c r="J132">
        <v>85.93</v>
      </c>
      <c r="K132">
        <v>859.3</v>
      </c>
      <c r="L132">
        <v>859.8</v>
      </c>
      <c r="M132">
        <v>0</v>
      </c>
      <c r="N132">
        <v>85.98</v>
      </c>
      <c r="O132">
        <v>859.8</v>
      </c>
    </row>
    <row r="133" spans="1:15" x14ac:dyDescent="0.25">
      <c r="A133" t="s">
        <v>2212</v>
      </c>
      <c r="B133" t="s">
        <v>135</v>
      </c>
      <c r="C133" t="s">
        <v>4118</v>
      </c>
      <c r="D133">
        <v>13.4</v>
      </c>
      <c r="E133">
        <v>0</v>
      </c>
      <c r="F133">
        <v>1.34</v>
      </c>
      <c r="G133">
        <v>13.4</v>
      </c>
      <c r="H133">
        <v>16.3</v>
      </c>
      <c r="I133">
        <v>0</v>
      </c>
      <c r="J133">
        <v>1.63</v>
      </c>
      <c r="K133">
        <v>16.3</v>
      </c>
      <c r="L133">
        <v>29.700000000000003</v>
      </c>
      <c r="M133">
        <v>0</v>
      </c>
      <c r="N133">
        <v>2.9699999999999998</v>
      </c>
      <c r="O133">
        <v>29.700000000000003</v>
      </c>
    </row>
    <row r="134" spans="1:15" x14ac:dyDescent="0.25">
      <c r="A134" t="s">
        <v>2395</v>
      </c>
      <c r="B134" t="s">
        <v>194</v>
      </c>
      <c r="C134" t="s">
        <v>4563</v>
      </c>
      <c r="D134">
        <v>85.8</v>
      </c>
      <c r="E134">
        <v>0.1</v>
      </c>
      <c r="F134">
        <v>8.57</v>
      </c>
      <c r="G134">
        <v>85.7</v>
      </c>
      <c r="H134">
        <v>51.9</v>
      </c>
      <c r="I134">
        <v>0</v>
      </c>
      <c r="J134">
        <v>5.19</v>
      </c>
      <c r="K134">
        <v>51.9</v>
      </c>
      <c r="L134">
        <v>137.69999999999999</v>
      </c>
      <c r="M134">
        <v>0.1</v>
      </c>
      <c r="N134">
        <v>13.760000000000002</v>
      </c>
      <c r="O134">
        <v>137.6</v>
      </c>
    </row>
    <row r="135" spans="1:15" x14ac:dyDescent="0.25">
      <c r="A135" t="s">
        <v>2597</v>
      </c>
      <c r="B135" t="s">
        <v>135</v>
      </c>
      <c r="C135" t="s">
        <v>4564</v>
      </c>
      <c r="D135">
        <v>46.2</v>
      </c>
      <c r="E135">
        <v>0</v>
      </c>
      <c r="F135">
        <v>4.62</v>
      </c>
      <c r="G135">
        <v>46.2</v>
      </c>
      <c r="H135">
        <v>103.3</v>
      </c>
      <c r="I135">
        <v>0</v>
      </c>
      <c r="J135">
        <v>10.33</v>
      </c>
      <c r="K135">
        <v>103.3</v>
      </c>
      <c r="L135">
        <v>149.5</v>
      </c>
      <c r="M135">
        <v>0</v>
      </c>
      <c r="N135">
        <v>14.95</v>
      </c>
      <c r="O135">
        <v>149.5</v>
      </c>
    </row>
    <row r="136" spans="1:15" x14ac:dyDescent="0.25">
      <c r="A136" t="s">
        <v>2849</v>
      </c>
      <c r="B136" t="s">
        <v>313</v>
      </c>
      <c r="C136" t="s">
        <v>4421</v>
      </c>
      <c r="D136">
        <v>455.8</v>
      </c>
      <c r="E136">
        <v>0</v>
      </c>
      <c r="F136">
        <v>45.58</v>
      </c>
      <c r="G136">
        <v>455.8</v>
      </c>
      <c r="H136">
        <v>45.8</v>
      </c>
      <c r="I136">
        <v>0</v>
      </c>
      <c r="J136">
        <v>4.58</v>
      </c>
      <c r="K136">
        <v>45.8</v>
      </c>
      <c r="L136">
        <v>501.6</v>
      </c>
      <c r="M136">
        <v>0</v>
      </c>
      <c r="N136">
        <v>50.16</v>
      </c>
      <c r="O136">
        <v>501.6</v>
      </c>
    </row>
    <row r="137" spans="1:15" x14ac:dyDescent="0.25">
      <c r="A137" t="s">
        <v>2058</v>
      </c>
      <c r="B137" t="s">
        <v>221</v>
      </c>
      <c r="C137" t="s">
        <v>4565</v>
      </c>
      <c r="D137">
        <v>0</v>
      </c>
      <c r="E137">
        <v>333.1</v>
      </c>
      <c r="F137">
        <v>-33.31</v>
      </c>
      <c r="G137">
        <v>-333.1</v>
      </c>
      <c r="L137">
        <v>0</v>
      </c>
      <c r="M137">
        <v>333.1</v>
      </c>
      <c r="N137">
        <v>-33.31</v>
      </c>
      <c r="O137">
        <v>-333.1</v>
      </c>
    </row>
    <row r="138" spans="1:15" x14ac:dyDescent="0.25">
      <c r="A138" t="s">
        <v>2019</v>
      </c>
      <c r="B138" t="s">
        <v>65</v>
      </c>
      <c r="C138" t="s">
        <v>4252</v>
      </c>
      <c r="D138">
        <v>74526.700000000012</v>
      </c>
      <c r="E138">
        <v>2676.0000000000005</v>
      </c>
      <c r="F138">
        <v>7185.069999999997</v>
      </c>
      <c r="G138">
        <v>71850.700000000012</v>
      </c>
      <c r="H138">
        <v>106294.64000000003</v>
      </c>
      <c r="I138">
        <v>7947.0999999999995</v>
      </c>
      <c r="J138">
        <v>9834.75</v>
      </c>
      <c r="K138">
        <v>98347.540000000008</v>
      </c>
      <c r="L138">
        <v>180821.34000000003</v>
      </c>
      <c r="M138">
        <v>10623.1</v>
      </c>
      <c r="N138">
        <v>17019.819999999996</v>
      </c>
      <c r="O138">
        <v>170198.24000000002</v>
      </c>
    </row>
    <row r="139" spans="1:15" x14ac:dyDescent="0.25">
      <c r="A139" t="s">
        <v>563</v>
      </c>
      <c r="B139" t="s">
        <v>59</v>
      </c>
      <c r="C139" t="s">
        <v>4422</v>
      </c>
      <c r="D139">
        <v>11191.6</v>
      </c>
      <c r="E139">
        <v>0</v>
      </c>
      <c r="F139">
        <v>1119.1600000000001</v>
      </c>
      <c r="G139">
        <v>11191.6</v>
      </c>
      <c r="H139">
        <v>11825.1</v>
      </c>
      <c r="I139">
        <v>0</v>
      </c>
      <c r="J139">
        <v>1182.51</v>
      </c>
      <c r="K139">
        <v>11825.1</v>
      </c>
      <c r="L139">
        <v>23016.7</v>
      </c>
      <c r="M139">
        <v>0</v>
      </c>
      <c r="N139">
        <v>2301.67</v>
      </c>
      <c r="O139">
        <v>23016.7</v>
      </c>
    </row>
    <row r="140" spans="1:15" x14ac:dyDescent="0.25">
      <c r="A140" t="s">
        <v>2393</v>
      </c>
      <c r="B140" t="s">
        <v>76</v>
      </c>
      <c r="C140" t="s">
        <v>4566</v>
      </c>
      <c r="D140">
        <v>5.4</v>
      </c>
      <c r="E140">
        <v>0</v>
      </c>
      <c r="F140">
        <v>0.54</v>
      </c>
      <c r="G140">
        <v>5.4</v>
      </c>
      <c r="H140">
        <v>103.3</v>
      </c>
      <c r="I140">
        <v>0</v>
      </c>
      <c r="J140">
        <v>10.33</v>
      </c>
      <c r="K140">
        <v>103.3</v>
      </c>
      <c r="L140">
        <v>108.7</v>
      </c>
      <c r="M140">
        <v>0</v>
      </c>
      <c r="N140">
        <v>10.870000000000001</v>
      </c>
      <c r="O140">
        <v>108.7</v>
      </c>
    </row>
    <row r="141" spans="1:15" x14ac:dyDescent="0.25">
      <c r="A141" t="s">
        <v>500</v>
      </c>
      <c r="B141" t="s">
        <v>2143</v>
      </c>
      <c r="C141" t="s">
        <v>4119</v>
      </c>
      <c r="D141">
        <v>246.6</v>
      </c>
      <c r="E141">
        <v>4.2</v>
      </c>
      <c r="F141">
        <v>24.24</v>
      </c>
      <c r="G141">
        <v>242.4</v>
      </c>
      <c r="H141">
        <v>129.80000000000001</v>
      </c>
      <c r="I141">
        <v>57.2</v>
      </c>
      <c r="J141">
        <v>7.2600000000000007</v>
      </c>
      <c r="K141">
        <v>72.600000000000009</v>
      </c>
      <c r="L141">
        <v>376.4</v>
      </c>
      <c r="M141">
        <v>61.400000000000006</v>
      </c>
      <c r="N141">
        <v>31.5</v>
      </c>
      <c r="O141">
        <v>315</v>
      </c>
    </row>
    <row r="142" spans="1:15" x14ac:dyDescent="0.25">
      <c r="A142" t="s">
        <v>515</v>
      </c>
      <c r="B142" t="s">
        <v>2</v>
      </c>
      <c r="C142" t="s">
        <v>4120</v>
      </c>
      <c r="D142">
        <v>2585.6999999999998</v>
      </c>
      <c r="E142">
        <v>998.5</v>
      </c>
      <c r="F142">
        <v>158.72</v>
      </c>
      <c r="G142">
        <v>1587.2</v>
      </c>
      <c r="H142">
        <v>1052.9000000000001</v>
      </c>
      <c r="I142">
        <v>0</v>
      </c>
      <c r="J142">
        <v>105.29</v>
      </c>
      <c r="K142">
        <v>1052.9000000000001</v>
      </c>
      <c r="L142">
        <v>3638.6</v>
      </c>
      <c r="M142">
        <v>998.5</v>
      </c>
      <c r="N142">
        <v>264.01</v>
      </c>
      <c r="O142">
        <v>2640.1000000000004</v>
      </c>
    </row>
    <row r="143" spans="1:15" x14ac:dyDescent="0.25">
      <c r="A143" t="s">
        <v>440</v>
      </c>
      <c r="B143" t="s">
        <v>184</v>
      </c>
      <c r="C143" t="s">
        <v>4328</v>
      </c>
      <c r="D143">
        <v>58.9</v>
      </c>
      <c r="E143">
        <v>0</v>
      </c>
      <c r="F143">
        <v>5.89</v>
      </c>
      <c r="G143">
        <v>58.9</v>
      </c>
      <c r="H143">
        <v>35.4</v>
      </c>
      <c r="I143">
        <v>0</v>
      </c>
      <c r="J143">
        <v>3.54</v>
      </c>
      <c r="K143">
        <v>35.4</v>
      </c>
      <c r="L143">
        <v>94.3</v>
      </c>
      <c r="M143">
        <v>0</v>
      </c>
      <c r="N143">
        <v>9.43</v>
      </c>
      <c r="O143">
        <v>94.3</v>
      </c>
    </row>
    <row r="144" spans="1:15" x14ac:dyDescent="0.25">
      <c r="A144" t="s">
        <v>501</v>
      </c>
      <c r="B144" t="s">
        <v>2143</v>
      </c>
      <c r="C144" t="s">
        <v>4121</v>
      </c>
      <c r="D144">
        <v>0.1</v>
      </c>
      <c r="E144">
        <v>0</v>
      </c>
      <c r="F144">
        <v>0.01</v>
      </c>
      <c r="G144">
        <v>0.1</v>
      </c>
      <c r="H144">
        <v>1335.8</v>
      </c>
      <c r="I144">
        <v>0</v>
      </c>
      <c r="J144">
        <v>133.58000000000001</v>
      </c>
      <c r="K144">
        <v>1335.8</v>
      </c>
      <c r="L144">
        <v>1335.8999999999999</v>
      </c>
      <c r="M144">
        <v>0</v>
      </c>
      <c r="N144">
        <v>133.59</v>
      </c>
      <c r="O144">
        <v>1335.8999999999999</v>
      </c>
    </row>
    <row r="145" spans="1:15" x14ac:dyDescent="0.25">
      <c r="A145" t="s">
        <v>2312</v>
      </c>
      <c r="B145" t="s">
        <v>173</v>
      </c>
      <c r="C145" t="s">
        <v>4567</v>
      </c>
      <c r="H145">
        <v>2031.1</v>
      </c>
      <c r="I145">
        <v>0</v>
      </c>
      <c r="J145">
        <v>203.11</v>
      </c>
      <c r="K145">
        <v>2031.1</v>
      </c>
      <c r="L145">
        <v>2031.1</v>
      </c>
      <c r="M145">
        <v>0</v>
      </c>
      <c r="N145">
        <v>203.11</v>
      </c>
      <c r="O145">
        <v>2031.1</v>
      </c>
    </row>
    <row r="146" spans="1:15" x14ac:dyDescent="0.25">
      <c r="A146" t="s">
        <v>306</v>
      </c>
      <c r="B146" t="s">
        <v>204</v>
      </c>
      <c r="C146" t="s">
        <v>4568</v>
      </c>
      <c r="D146">
        <v>113.3</v>
      </c>
      <c r="E146">
        <v>38.5</v>
      </c>
      <c r="F146">
        <v>7.48</v>
      </c>
      <c r="G146">
        <v>74.8</v>
      </c>
      <c r="H146">
        <v>36.4</v>
      </c>
      <c r="I146">
        <v>0</v>
      </c>
      <c r="J146">
        <v>3.64</v>
      </c>
      <c r="K146">
        <v>36.4</v>
      </c>
      <c r="L146">
        <v>149.69999999999999</v>
      </c>
      <c r="M146">
        <v>38.5</v>
      </c>
      <c r="N146">
        <v>11.120000000000001</v>
      </c>
      <c r="O146">
        <v>111.19999999999999</v>
      </c>
    </row>
    <row r="147" spans="1:15" x14ac:dyDescent="0.25">
      <c r="A147" t="s">
        <v>330</v>
      </c>
      <c r="B147" t="s">
        <v>59</v>
      </c>
      <c r="C147" t="s">
        <v>4122</v>
      </c>
      <c r="D147">
        <v>5.4</v>
      </c>
      <c r="E147">
        <v>62.8</v>
      </c>
      <c r="F147">
        <v>-5.74</v>
      </c>
      <c r="G147">
        <v>-57.4</v>
      </c>
      <c r="H147">
        <v>103.3</v>
      </c>
      <c r="I147">
        <v>0</v>
      </c>
      <c r="J147">
        <v>10.33</v>
      </c>
      <c r="K147">
        <v>103.3</v>
      </c>
      <c r="L147">
        <v>108.7</v>
      </c>
      <c r="M147">
        <v>62.8</v>
      </c>
      <c r="N147">
        <v>4.59</v>
      </c>
      <c r="O147">
        <v>45.9</v>
      </c>
    </row>
    <row r="148" spans="1:15" x14ac:dyDescent="0.25">
      <c r="A148" t="s">
        <v>502</v>
      </c>
      <c r="B148" t="s">
        <v>2143</v>
      </c>
      <c r="C148" t="s">
        <v>4329</v>
      </c>
      <c r="D148">
        <v>2151.9</v>
      </c>
      <c r="E148">
        <v>0</v>
      </c>
      <c r="F148">
        <v>215.19</v>
      </c>
      <c r="G148">
        <v>2151.9</v>
      </c>
      <c r="H148">
        <v>199.1</v>
      </c>
      <c r="I148">
        <v>0</v>
      </c>
      <c r="J148">
        <v>19.91</v>
      </c>
      <c r="K148">
        <v>199.1</v>
      </c>
      <c r="L148">
        <v>2351</v>
      </c>
      <c r="M148">
        <v>0</v>
      </c>
      <c r="N148">
        <v>235.1</v>
      </c>
      <c r="O148">
        <v>2351</v>
      </c>
    </row>
    <row r="149" spans="1:15" x14ac:dyDescent="0.25">
      <c r="A149" t="s">
        <v>546</v>
      </c>
      <c r="B149" t="s">
        <v>170</v>
      </c>
      <c r="C149" t="s">
        <v>4123</v>
      </c>
      <c r="D149">
        <v>45</v>
      </c>
      <c r="E149">
        <v>0</v>
      </c>
      <c r="F149">
        <v>4.5</v>
      </c>
      <c r="G149">
        <v>45</v>
      </c>
      <c r="H149">
        <v>402.8</v>
      </c>
      <c r="I149">
        <v>0</v>
      </c>
      <c r="J149">
        <v>40.28</v>
      </c>
      <c r="K149">
        <v>402.8</v>
      </c>
      <c r="L149">
        <v>447.8</v>
      </c>
      <c r="M149">
        <v>0</v>
      </c>
      <c r="N149">
        <v>44.78</v>
      </c>
      <c r="O149">
        <v>447.8</v>
      </c>
    </row>
    <row r="150" spans="1:15" x14ac:dyDescent="0.25">
      <c r="A150" t="s">
        <v>1871</v>
      </c>
      <c r="B150" t="s">
        <v>29</v>
      </c>
      <c r="C150" t="s">
        <v>4253</v>
      </c>
      <c r="D150">
        <v>6678126.1700000009</v>
      </c>
      <c r="E150">
        <v>673873.81000000017</v>
      </c>
      <c r="F150">
        <v>600425.32000000007</v>
      </c>
      <c r="G150">
        <v>6004252.3599999994</v>
      </c>
      <c r="H150">
        <v>6153449.0900000008</v>
      </c>
      <c r="I150">
        <v>1023646.6</v>
      </c>
      <c r="J150">
        <v>512980.28</v>
      </c>
      <c r="K150">
        <v>5129802.4899999993</v>
      </c>
      <c r="L150">
        <v>12831575.260000002</v>
      </c>
      <c r="M150">
        <v>1697520.4100000001</v>
      </c>
      <c r="N150">
        <v>1113405.6000000001</v>
      </c>
      <c r="O150">
        <v>11134054.849999998</v>
      </c>
    </row>
    <row r="151" spans="1:15" x14ac:dyDescent="0.25">
      <c r="A151" t="s">
        <v>680</v>
      </c>
      <c r="B151" t="s">
        <v>131</v>
      </c>
      <c r="C151" t="s">
        <v>4423</v>
      </c>
      <c r="D151">
        <v>663.6</v>
      </c>
      <c r="E151">
        <v>5.4</v>
      </c>
      <c r="F151">
        <v>65.819999999999993</v>
      </c>
      <c r="G151">
        <v>658.2</v>
      </c>
      <c r="H151">
        <v>543.79999999999995</v>
      </c>
      <c r="I151">
        <v>103.3</v>
      </c>
      <c r="J151">
        <v>44.05</v>
      </c>
      <c r="K151">
        <v>440.5</v>
      </c>
      <c r="L151">
        <v>1207.4000000000001</v>
      </c>
      <c r="M151">
        <v>108.7</v>
      </c>
      <c r="N151">
        <v>109.86999999999999</v>
      </c>
      <c r="O151">
        <v>1098.7</v>
      </c>
    </row>
    <row r="152" spans="1:15" x14ac:dyDescent="0.25">
      <c r="A152" t="s">
        <v>1872</v>
      </c>
      <c r="B152" t="s">
        <v>112</v>
      </c>
      <c r="C152" t="s">
        <v>4254</v>
      </c>
      <c r="D152">
        <v>1316993.8399999999</v>
      </c>
      <c r="E152">
        <v>133376.94999999998</v>
      </c>
      <c r="F152">
        <v>118361.7</v>
      </c>
      <c r="G152">
        <v>1183616.8899999999</v>
      </c>
      <c r="H152">
        <v>1821661.03</v>
      </c>
      <c r="I152">
        <v>150030.16999999995</v>
      </c>
      <c r="J152">
        <v>167163.10999999996</v>
      </c>
      <c r="K152">
        <v>1671630.8599999999</v>
      </c>
      <c r="L152">
        <v>3138654.87</v>
      </c>
      <c r="M152">
        <v>283407.11999999994</v>
      </c>
      <c r="N152">
        <v>285524.80999999994</v>
      </c>
      <c r="O152">
        <v>2855247.75</v>
      </c>
    </row>
    <row r="153" spans="1:15" x14ac:dyDescent="0.25">
      <c r="A153" t="s">
        <v>325</v>
      </c>
      <c r="B153" t="s">
        <v>35</v>
      </c>
      <c r="C153" t="s">
        <v>4124</v>
      </c>
      <c r="D153">
        <v>1964.6</v>
      </c>
      <c r="E153">
        <v>0</v>
      </c>
      <c r="F153">
        <v>196.46</v>
      </c>
      <c r="G153">
        <v>1964.6</v>
      </c>
      <c r="H153">
        <v>4626.8</v>
      </c>
      <c r="I153">
        <v>0</v>
      </c>
      <c r="J153">
        <v>462.68</v>
      </c>
      <c r="K153">
        <v>4626.8</v>
      </c>
      <c r="L153">
        <v>6591.4</v>
      </c>
      <c r="M153">
        <v>0</v>
      </c>
      <c r="N153">
        <v>659.14</v>
      </c>
      <c r="O153">
        <v>6591.4</v>
      </c>
    </row>
    <row r="154" spans="1:15" x14ac:dyDescent="0.25">
      <c r="A154" t="s">
        <v>604</v>
      </c>
      <c r="B154" t="s">
        <v>77</v>
      </c>
      <c r="C154" t="s">
        <v>4569</v>
      </c>
      <c r="D154">
        <v>34.299999999999997</v>
      </c>
      <c r="E154">
        <v>0</v>
      </c>
      <c r="F154">
        <v>3.43</v>
      </c>
      <c r="G154">
        <v>34.299999999999997</v>
      </c>
      <c r="H154">
        <v>32.299999999999997</v>
      </c>
      <c r="I154">
        <v>0</v>
      </c>
      <c r="J154">
        <v>3.23</v>
      </c>
      <c r="K154">
        <v>32.299999999999997</v>
      </c>
      <c r="L154">
        <v>66.599999999999994</v>
      </c>
      <c r="M154">
        <v>0</v>
      </c>
      <c r="N154">
        <v>6.66</v>
      </c>
      <c r="O154">
        <v>66.599999999999994</v>
      </c>
    </row>
    <row r="155" spans="1:15" x14ac:dyDescent="0.25">
      <c r="A155" t="s">
        <v>3607</v>
      </c>
      <c r="B155" t="s">
        <v>3596</v>
      </c>
      <c r="C155" t="s">
        <v>4255</v>
      </c>
      <c r="D155">
        <v>14445.499999999998</v>
      </c>
      <c r="E155">
        <v>415.91</v>
      </c>
      <c r="F155">
        <v>1402.95</v>
      </c>
      <c r="G155">
        <v>14029.589999999998</v>
      </c>
      <c r="H155">
        <v>29996</v>
      </c>
      <c r="I155">
        <v>8959.3700000000008</v>
      </c>
      <c r="J155">
        <v>2103.66</v>
      </c>
      <c r="K155">
        <v>21036.629999999997</v>
      </c>
      <c r="L155">
        <v>44441.5</v>
      </c>
      <c r="M155">
        <v>9375.2800000000007</v>
      </c>
      <c r="N155">
        <v>3506.6099999999997</v>
      </c>
      <c r="O155">
        <v>35066.219999999994</v>
      </c>
    </row>
    <row r="156" spans="1:15" x14ac:dyDescent="0.25">
      <c r="A156" t="s">
        <v>424</v>
      </c>
      <c r="B156" t="s">
        <v>190</v>
      </c>
      <c r="C156" t="s">
        <v>4125</v>
      </c>
      <c r="D156">
        <v>1905.1</v>
      </c>
      <c r="E156">
        <v>0</v>
      </c>
      <c r="F156">
        <v>190.51</v>
      </c>
      <c r="G156">
        <v>1905.1</v>
      </c>
      <c r="H156">
        <v>3151.8</v>
      </c>
      <c r="I156">
        <v>0</v>
      </c>
      <c r="J156">
        <v>315.18</v>
      </c>
      <c r="K156">
        <v>3151.8</v>
      </c>
      <c r="L156">
        <v>5056.8999999999996</v>
      </c>
      <c r="M156">
        <v>0</v>
      </c>
      <c r="N156">
        <v>505.69</v>
      </c>
      <c r="O156">
        <v>5056.8999999999996</v>
      </c>
    </row>
    <row r="157" spans="1:15" x14ac:dyDescent="0.25">
      <c r="A157" t="s">
        <v>2211</v>
      </c>
      <c r="B157" t="s">
        <v>131</v>
      </c>
      <c r="C157" t="s">
        <v>4424</v>
      </c>
      <c r="D157">
        <v>0.4</v>
      </c>
      <c r="E157">
        <v>0</v>
      </c>
      <c r="F157">
        <v>0.04</v>
      </c>
      <c r="G157">
        <v>0.4</v>
      </c>
      <c r="H157">
        <v>740.8</v>
      </c>
      <c r="I157">
        <v>0</v>
      </c>
      <c r="J157">
        <v>74.08</v>
      </c>
      <c r="K157">
        <v>740.8</v>
      </c>
      <c r="L157">
        <v>741.19999999999993</v>
      </c>
      <c r="M157">
        <v>0</v>
      </c>
      <c r="N157">
        <v>74.12</v>
      </c>
      <c r="O157">
        <v>741.19999999999993</v>
      </c>
    </row>
    <row r="158" spans="1:15" x14ac:dyDescent="0.25">
      <c r="A158" t="s">
        <v>321</v>
      </c>
      <c r="B158" t="s">
        <v>144</v>
      </c>
      <c r="C158" t="s">
        <v>4126</v>
      </c>
      <c r="D158">
        <v>3515.5</v>
      </c>
      <c r="E158">
        <v>0</v>
      </c>
      <c r="F158">
        <v>351.54999999999995</v>
      </c>
      <c r="G158">
        <v>3515.5</v>
      </c>
      <c r="H158">
        <v>4160.2</v>
      </c>
      <c r="I158">
        <v>0</v>
      </c>
      <c r="J158">
        <v>416.02</v>
      </c>
      <c r="K158">
        <v>4160.2</v>
      </c>
      <c r="L158">
        <v>7675.7</v>
      </c>
      <c r="M158">
        <v>0</v>
      </c>
      <c r="N158">
        <v>767.56999999999994</v>
      </c>
      <c r="O158">
        <v>7675.7</v>
      </c>
    </row>
    <row r="159" spans="1:15" x14ac:dyDescent="0.25">
      <c r="A159" t="s">
        <v>683</v>
      </c>
      <c r="B159" t="s">
        <v>135</v>
      </c>
      <c r="C159" t="s">
        <v>4570</v>
      </c>
      <c r="D159">
        <v>249.2</v>
      </c>
      <c r="E159">
        <v>0</v>
      </c>
      <c r="F159">
        <v>24.92</v>
      </c>
      <c r="G159">
        <v>249.2</v>
      </c>
      <c r="H159">
        <v>454.8</v>
      </c>
      <c r="I159">
        <v>0</v>
      </c>
      <c r="J159">
        <v>45.48</v>
      </c>
      <c r="K159">
        <v>454.8</v>
      </c>
      <c r="L159">
        <v>704</v>
      </c>
      <c r="M159">
        <v>0</v>
      </c>
      <c r="N159">
        <v>70.400000000000006</v>
      </c>
      <c r="O159">
        <v>704</v>
      </c>
    </row>
    <row r="160" spans="1:15" x14ac:dyDescent="0.25">
      <c r="A160" t="s">
        <v>2214</v>
      </c>
      <c r="B160" t="s">
        <v>13</v>
      </c>
      <c r="C160" t="s">
        <v>4330</v>
      </c>
      <c r="D160">
        <v>112.2</v>
      </c>
      <c r="E160">
        <v>0</v>
      </c>
      <c r="F160">
        <v>11.22</v>
      </c>
      <c r="G160">
        <v>112.2</v>
      </c>
      <c r="H160">
        <v>81</v>
      </c>
      <c r="I160">
        <v>0</v>
      </c>
      <c r="J160">
        <v>8.1</v>
      </c>
      <c r="K160">
        <v>81</v>
      </c>
      <c r="L160">
        <v>193.2</v>
      </c>
      <c r="M160">
        <v>0</v>
      </c>
      <c r="N160">
        <v>19.32</v>
      </c>
      <c r="O160">
        <v>193.2</v>
      </c>
    </row>
    <row r="161" spans="1:15" x14ac:dyDescent="0.25">
      <c r="A161" t="s">
        <v>2055</v>
      </c>
      <c r="B161" t="s">
        <v>161</v>
      </c>
      <c r="C161" t="s">
        <v>4425</v>
      </c>
      <c r="D161">
        <v>214.7</v>
      </c>
      <c r="E161">
        <v>0</v>
      </c>
      <c r="F161">
        <v>21.47</v>
      </c>
      <c r="G161">
        <v>214.7</v>
      </c>
      <c r="H161">
        <v>141.19999999999999</v>
      </c>
      <c r="I161">
        <v>0</v>
      </c>
      <c r="J161">
        <v>14.12</v>
      </c>
      <c r="K161">
        <v>141.19999999999999</v>
      </c>
      <c r="L161">
        <v>355.9</v>
      </c>
      <c r="M161">
        <v>0</v>
      </c>
      <c r="N161">
        <v>35.589999999999996</v>
      </c>
      <c r="O161">
        <v>355.9</v>
      </c>
    </row>
    <row r="162" spans="1:15" x14ac:dyDescent="0.25">
      <c r="A162" t="s">
        <v>302</v>
      </c>
      <c r="B162" t="s">
        <v>69</v>
      </c>
      <c r="C162" t="s">
        <v>4293</v>
      </c>
      <c r="D162">
        <v>0.5</v>
      </c>
      <c r="E162">
        <v>0</v>
      </c>
      <c r="F162">
        <v>0.05</v>
      </c>
      <c r="G162">
        <v>0.5</v>
      </c>
      <c r="H162">
        <v>76.400000000000006</v>
      </c>
      <c r="I162">
        <v>0</v>
      </c>
      <c r="J162">
        <v>7.64</v>
      </c>
      <c r="K162">
        <v>76.400000000000006</v>
      </c>
      <c r="L162">
        <v>76.900000000000006</v>
      </c>
      <c r="M162">
        <v>0</v>
      </c>
      <c r="N162">
        <v>7.6899999999999995</v>
      </c>
      <c r="O162">
        <v>76.900000000000006</v>
      </c>
    </row>
    <row r="163" spans="1:15" x14ac:dyDescent="0.25">
      <c r="A163" t="s">
        <v>547</v>
      </c>
      <c r="B163" t="s">
        <v>170</v>
      </c>
      <c r="C163" t="s">
        <v>4127</v>
      </c>
      <c r="D163">
        <v>130.80000000000001</v>
      </c>
      <c r="E163">
        <v>0</v>
      </c>
      <c r="F163">
        <v>13.08</v>
      </c>
      <c r="G163">
        <v>130.80000000000001</v>
      </c>
      <c r="H163">
        <v>69.7</v>
      </c>
      <c r="I163">
        <v>0</v>
      </c>
      <c r="J163">
        <v>6.97</v>
      </c>
      <c r="K163">
        <v>69.7</v>
      </c>
      <c r="L163">
        <v>200.5</v>
      </c>
      <c r="M163">
        <v>0</v>
      </c>
      <c r="N163">
        <v>20.05</v>
      </c>
      <c r="O163">
        <v>200.5</v>
      </c>
    </row>
    <row r="164" spans="1:15" x14ac:dyDescent="0.25">
      <c r="A164" t="s">
        <v>258</v>
      </c>
      <c r="B164" t="s">
        <v>199</v>
      </c>
      <c r="C164" t="s">
        <v>4571</v>
      </c>
      <c r="D164">
        <v>917.5</v>
      </c>
      <c r="E164">
        <v>0</v>
      </c>
      <c r="F164">
        <v>91.75</v>
      </c>
      <c r="G164">
        <v>917.5</v>
      </c>
      <c r="L164">
        <v>917.5</v>
      </c>
      <c r="M164">
        <v>0</v>
      </c>
      <c r="N164">
        <v>91.75</v>
      </c>
      <c r="O164">
        <v>917.5</v>
      </c>
    </row>
    <row r="165" spans="1:15" x14ac:dyDescent="0.25">
      <c r="A165" t="s">
        <v>443</v>
      </c>
      <c r="B165" t="s">
        <v>201</v>
      </c>
      <c r="C165" t="s">
        <v>4128</v>
      </c>
      <c r="D165">
        <v>23148.400000000001</v>
      </c>
      <c r="E165">
        <v>23071.7</v>
      </c>
      <c r="F165">
        <v>7.67</v>
      </c>
      <c r="G165">
        <v>76.7</v>
      </c>
      <c r="H165">
        <v>3533.9</v>
      </c>
      <c r="I165">
        <v>3430.4</v>
      </c>
      <c r="J165">
        <v>10.35</v>
      </c>
      <c r="K165">
        <v>103.5</v>
      </c>
      <c r="L165">
        <v>26682.300000000003</v>
      </c>
      <c r="M165">
        <v>26502.100000000002</v>
      </c>
      <c r="N165">
        <v>18.02</v>
      </c>
      <c r="O165">
        <v>180.2</v>
      </c>
    </row>
    <row r="166" spans="1:15" x14ac:dyDescent="0.25">
      <c r="A166" t="s">
        <v>1876</v>
      </c>
      <c r="B166" t="s">
        <v>116</v>
      </c>
      <c r="C166" t="s">
        <v>4256</v>
      </c>
      <c r="D166">
        <v>93453.48000000001</v>
      </c>
      <c r="E166">
        <v>13096.7</v>
      </c>
      <c r="F166">
        <v>8035.67</v>
      </c>
      <c r="G166">
        <v>80356.78</v>
      </c>
      <c r="H166">
        <v>139971.43000000002</v>
      </c>
      <c r="I166">
        <v>28018.500000000004</v>
      </c>
      <c r="J166">
        <v>11195.280000000002</v>
      </c>
      <c r="K166">
        <v>111952.93000000001</v>
      </c>
      <c r="L166">
        <v>233424.91000000003</v>
      </c>
      <c r="M166">
        <v>41115.200000000004</v>
      </c>
      <c r="N166">
        <v>19230.950000000004</v>
      </c>
      <c r="O166">
        <v>192309.71000000002</v>
      </c>
    </row>
    <row r="167" spans="1:15" x14ac:dyDescent="0.25">
      <c r="A167" t="s">
        <v>603</v>
      </c>
      <c r="B167" t="s">
        <v>81</v>
      </c>
      <c r="C167" t="s">
        <v>4426</v>
      </c>
      <c r="D167">
        <v>65.3</v>
      </c>
      <c r="E167">
        <v>65.2</v>
      </c>
      <c r="F167">
        <v>0.01</v>
      </c>
      <c r="G167">
        <v>0.1</v>
      </c>
      <c r="L167">
        <v>65.3</v>
      </c>
      <c r="M167">
        <v>65.2</v>
      </c>
      <c r="N167">
        <v>0.01</v>
      </c>
      <c r="O167">
        <v>0.1</v>
      </c>
    </row>
    <row r="168" spans="1:15" x14ac:dyDescent="0.25">
      <c r="A168" t="s">
        <v>598</v>
      </c>
      <c r="B168" t="s">
        <v>66</v>
      </c>
      <c r="C168" t="s">
        <v>4129</v>
      </c>
      <c r="D168">
        <v>971.59999999999991</v>
      </c>
      <c r="E168">
        <v>0</v>
      </c>
      <c r="F168">
        <v>97.16</v>
      </c>
      <c r="G168">
        <v>971.59999999999991</v>
      </c>
      <c r="H168">
        <v>1522.3</v>
      </c>
      <c r="I168">
        <v>0</v>
      </c>
      <c r="J168">
        <v>152.22999999999999</v>
      </c>
      <c r="K168">
        <v>1522.3</v>
      </c>
      <c r="L168">
        <v>2493.8999999999996</v>
      </c>
      <c r="M168">
        <v>0</v>
      </c>
      <c r="N168">
        <v>249.39</v>
      </c>
      <c r="O168">
        <v>2493.8999999999996</v>
      </c>
    </row>
    <row r="169" spans="1:15" x14ac:dyDescent="0.25">
      <c r="A169" t="s">
        <v>2250</v>
      </c>
      <c r="B169" t="s">
        <v>247</v>
      </c>
      <c r="C169" t="s">
        <v>4331</v>
      </c>
      <c r="D169">
        <v>188.9</v>
      </c>
      <c r="E169">
        <v>0</v>
      </c>
      <c r="F169">
        <v>18.89</v>
      </c>
      <c r="G169">
        <v>188.9</v>
      </c>
      <c r="H169">
        <v>1124.5</v>
      </c>
      <c r="I169">
        <v>0</v>
      </c>
      <c r="J169">
        <v>112.45</v>
      </c>
      <c r="K169">
        <v>1124.5</v>
      </c>
      <c r="L169">
        <v>1313.4</v>
      </c>
      <c r="M169">
        <v>0</v>
      </c>
      <c r="N169">
        <v>131.34</v>
      </c>
      <c r="O169">
        <v>1313.4</v>
      </c>
    </row>
    <row r="170" spans="1:15" x14ac:dyDescent="0.25">
      <c r="A170" t="s">
        <v>2949</v>
      </c>
      <c r="B170" t="s">
        <v>173</v>
      </c>
      <c r="C170" t="s">
        <v>4572</v>
      </c>
      <c r="D170">
        <v>111.1</v>
      </c>
      <c r="E170">
        <v>0</v>
      </c>
      <c r="F170">
        <v>11.11</v>
      </c>
      <c r="G170">
        <v>111.1</v>
      </c>
      <c r="H170">
        <v>565.9</v>
      </c>
      <c r="I170">
        <v>0</v>
      </c>
      <c r="J170">
        <v>56.59</v>
      </c>
      <c r="K170">
        <v>565.9</v>
      </c>
      <c r="L170">
        <v>677</v>
      </c>
      <c r="M170">
        <v>0</v>
      </c>
      <c r="N170">
        <v>67.7</v>
      </c>
      <c r="O170">
        <v>677</v>
      </c>
    </row>
    <row r="171" spans="1:15" x14ac:dyDescent="0.25">
      <c r="A171" t="s">
        <v>572</v>
      </c>
      <c r="B171" t="s">
        <v>173</v>
      </c>
      <c r="C171" t="s">
        <v>4427</v>
      </c>
      <c r="D171">
        <v>286.8</v>
      </c>
      <c r="E171">
        <v>0</v>
      </c>
      <c r="F171">
        <v>28.68</v>
      </c>
      <c r="G171">
        <v>286.8</v>
      </c>
      <c r="H171">
        <v>97.7</v>
      </c>
      <c r="I171">
        <v>0</v>
      </c>
      <c r="J171">
        <v>9.77</v>
      </c>
      <c r="K171">
        <v>97.7</v>
      </c>
      <c r="L171">
        <v>384.5</v>
      </c>
      <c r="M171">
        <v>0</v>
      </c>
      <c r="N171">
        <v>38.450000000000003</v>
      </c>
      <c r="O171">
        <v>384.5</v>
      </c>
    </row>
    <row r="172" spans="1:15" x14ac:dyDescent="0.25">
      <c r="A172" t="s">
        <v>2325</v>
      </c>
      <c r="B172" t="s">
        <v>8</v>
      </c>
      <c r="C172" t="s">
        <v>4365</v>
      </c>
      <c r="D172">
        <v>2213.3000000000002</v>
      </c>
      <c r="E172">
        <v>0</v>
      </c>
      <c r="F172">
        <v>221.33</v>
      </c>
      <c r="G172">
        <v>2213.3000000000002</v>
      </c>
      <c r="L172">
        <v>2213.3000000000002</v>
      </c>
      <c r="M172">
        <v>0</v>
      </c>
      <c r="N172">
        <v>221.33</v>
      </c>
      <c r="O172">
        <v>2213.3000000000002</v>
      </c>
    </row>
    <row r="173" spans="1:15" x14ac:dyDescent="0.25">
      <c r="A173" t="s">
        <v>176</v>
      </c>
      <c r="B173" t="s">
        <v>59</v>
      </c>
      <c r="C173" t="s">
        <v>4130</v>
      </c>
      <c r="D173">
        <v>9524</v>
      </c>
      <c r="E173">
        <v>151.89999999999998</v>
      </c>
      <c r="F173">
        <v>937.21</v>
      </c>
      <c r="G173">
        <v>9372.0999999999985</v>
      </c>
      <c r="H173">
        <v>12555.499999999998</v>
      </c>
      <c r="I173">
        <v>1023.2</v>
      </c>
      <c r="J173">
        <v>1153.23</v>
      </c>
      <c r="K173">
        <v>11532.3</v>
      </c>
      <c r="L173">
        <v>22079.5</v>
      </c>
      <c r="M173">
        <v>1175.0999999999999</v>
      </c>
      <c r="N173">
        <v>2090.44</v>
      </c>
      <c r="O173">
        <v>20904.399999999998</v>
      </c>
    </row>
    <row r="174" spans="1:15" x14ac:dyDescent="0.25">
      <c r="A174" t="s">
        <v>450</v>
      </c>
      <c r="B174" t="s">
        <v>163</v>
      </c>
      <c r="C174" t="s">
        <v>4131</v>
      </c>
      <c r="D174">
        <v>37455.4</v>
      </c>
      <c r="E174">
        <v>64.400000000000006</v>
      </c>
      <c r="F174">
        <v>3739.1</v>
      </c>
      <c r="G174">
        <v>37391</v>
      </c>
      <c r="H174">
        <v>46764.7</v>
      </c>
      <c r="I174">
        <v>131.30000000000001</v>
      </c>
      <c r="J174">
        <v>4663.34</v>
      </c>
      <c r="K174">
        <v>46633.399999999994</v>
      </c>
      <c r="L174">
        <v>84220.1</v>
      </c>
      <c r="M174">
        <v>195.70000000000002</v>
      </c>
      <c r="N174">
        <v>8402.44</v>
      </c>
      <c r="O174">
        <v>84024.4</v>
      </c>
    </row>
    <row r="175" spans="1:15" x14ac:dyDescent="0.25">
      <c r="A175" t="s">
        <v>2253</v>
      </c>
      <c r="B175" t="s">
        <v>149</v>
      </c>
      <c r="C175" t="s">
        <v>4132</v>
      </c>
      <c r="D175">
        <v>1265.3</v>
      </c>
      <c r="E175">
        <v>0</v>
      </c>
      <c r="F175">
        <v>126.52999999999999</v>
      </c>
      <c r="G175">
        <v>1265.3</v>
      </c>
      <c r="H175">
        <v>1860.6</v>
      </c>
      <c r="I175">
        <v>0</v>
      </c>
      <c r="J175">
        <v>186.06</v>
      </c>
      <c r="K175">
        <v>1860.6</v>
      </c>
      <c r="L175">
        <v>3125.8999999999996</v>
      </c>
      <c r="M175">
        <v>0</v>
      </c>
      <c r="N175">
        <v>312.58999999999997</v>
      </c>
      <c r="O175">
        <v>3125.8999999999996</v>
      </c>
    </row>
    <row r="176" spans="1:15" x14ac:dyDescent="0.25">
      <c r="A176" t="s">
        <v>1878</v>
      </c>
      <c r="B176" t="s">
        <v>117</v>
      </c>
      <c r="C176" t="s">
        <v>4257</v>
      </c>
      <c r="D176">
        <v>882938.97</v>
      </c>
      <c r="E176">
        <v>667841.48000000021</v>
      </c>
      <c r="F176">
        <v>21509.769999999997</v>
      </c>
      <c r="G176">
        <v>215097.49000000002</v>
      </c>
      <c r="H176">
        <v>1513160.37</v>
      </c>
      <c r="I176">
        <v>690705.03999999992</v>
      </c>
      <c r="J176">
        <v>82245.5</v>
      </c>
      <c r="K176">
        <v>822455.33</v>
      </c>
      <c r="L176">
        <v>2396099.34</v>
      </c>
      <c r="M176">
        <v>1358546.52</v>
      </c>
      <c r="N176">
        <v>103755.26999999999</v>
      </c>
      <c r="O176">
        <v>1037552.82</v>
      </c>
    </row>
    <row r="177" spans="1:15" x14ac:dyDescent="0.25">
      <c r="A177" t="s">
        <v>1879</v>
      </c>
      <c r="B177" t="s">
        <v>118</v>
      </c>
      <c r="C177" t="s">
        <v>4258</v>
      </c>
      <c r="D177">
        <v>313287.67999999999</v>
      </c>
      <c r="E177">
        <v>19416.600000000002</v>
      </c>
      <c r="F177">
        <v>29387.109999999993</v>
      </c>
      <c r="G177">
        <v>293871.08000000007</v>
      </c>
      <c r="H177">
        <v>399261.03000000009</v>
      </c>
      <c r="I177">
        <v>49585.000000000007</v>
      </c>
      <c r="J177">
        <v>34967.609999999993</v>
      </c>
      <c r="K177">
        <v>349676.03000000009</v>
      </c>
      <c r="L177">
        <v>712548.71000000008</v>
      </c>
      <c r="M177">
        <v>69001.600000000006</v>
      </c>
      <c r="N177">
        <v>64354.719999999987</v>
      </c>
      <c r="O177">
        <v>643547.1100000001</v>
      </c>
    </row>
    <row r="178" spans="1:15" x14ac:dyDescent="0.25">
      <c r="A178" t="s">
        <v>567</v>
      </c>
      <c r="B178" t="s">
        <v>161</v>
      </c>
      <c r="C178" t="s">
        <v>4573</v>
      </c>
      <c r="D178">
        <v>4.7</v>
      </c>
      <c r="E178">
        <v>0</v>
      </c>
      <c r="F178">
        <v>0.47</v>
      </c>
      <c r="G178">
        <v>4.7</v>
      </c>
      <c r="H178">
        <v>184.7</v>
      </c>
      <c r="I178">
        <v>0</v>
      </c>
      <c r="J178">
        <v>18.47</v>
      </c>
      <c r="K178">
        <v>184.7</v>
      </c>
      <c r="L178">
        <v>189.39999999999998</v>
      </c>
      <c r="M178">
        <v>0</v>
      </c>
      <c r="N178">
        <v>18.939999999999998</v>
      </c>
      <c r="O178">
        <v>189.39999999999998</v>
      </c>
    </row>
    <row r="179" spans="1:15" x14ac:dyDescent="0.25">
      <c r="A179" t="s">
        <v>346</v>
      </c>
      <c r="B179" t="s">
        <v>149</v>
      </c>
      <c r="C179" t="s">
        <v>4133</v>
      </c>
      <c r="D179">
        <v>1378.6000000000001</v>
      </c>
      <c r="E179">
        <v>0</v>
      </c>
      <c r="F179">
        <v>137.85999999999999</v>
      </c>
      <c r="G179">
        <v>1378.6000000000001</v>
      </c>
      <c r="H179">
        <v>1927.9</v>
      </c>
      <c r="I179">
        <v>0</v>
      </c>
      <c r="J179">
        <v>192.79000000000002</v>
      </c>
      <c r="K179">
        <v>1927.9</v>
      </c>
      <c r="L179">
        <v>3306.5</v>
      </c>
      <c r="M179">
        <v>0</v>
      </c>
      <c r="N179">
        <v>330.65</v>
      </c>
      <c r="O179">
        <v>3306.5</v>
      </c>
    </row>
    <row r="180" spans="1:15" x14ac:dyDescent="0.25">
      <c r="A180" t="s">
        <v>1887</v>
      </c>
      <c r="B180" t="s">
        <v>88</v>
      </c>
      <c r="C180" t="s">
        <v>4134</v>
      </c>
      <c r="D180">
        <v>207.6</v>
      </c>
      <c r="E180">
        <v>0</v>
      </c>
      <c r="F180">
        <v>20.759999999999998</v>
      </c>
      <c r="G180">
        <v>207.6</v>
      </c>
      <c r="L180">
        <v>207.6</v>
      </c>
      <c r="M180">
        <v>0</v>
      </c>
      <c r="N180">
        <v>20.759999999999998</v>
      </c>
      <c r="O180">
        <v>207.6</v>
      </c>
    </row>
    <row r="181" spans="1:15" x14ac:dyDescent="0.25">
      <c r="A181" t="s">
        <v>2317</v>
      </c>
      <c r="B181" t="s">
        <v>67</v>
      </c>
      <c r="C181" t="s">
        <v>4574</v>
      </c>
      <c r="D181">
        <v>84.7</v>
      </c>
      <c r="E181">
        <v>0</v>
      </c>
      <c r="F181">
        <v>8.4700000000000006</v>
      </c>
      <c r="G181">
        <v>84.7</v>
      </c>
      <c r="H181">
        <v>34</v>
      </c>
      <c r="I181">
        <v>0</v>
      </c>
      <c r="J181">
        <v>3.4</v>
      </c>
      <c r="K181">
        <v>34</v>
      </c>
      <c r="L181">
        <v>118.7</v>
      </c>
      <c r="M181">
        <v>0</v>
      </c>
      <c r="N181">
        <v>11.870000000000001</v>
      </c>
      <c r="O181">
        <v>118.7</v>
      </c>
    </row>
    <row r="182" spans="1:15" x14ac:dyDescent="0.25">
      <c r="A182" t="s">
        <v>2392</v>
      </c>
      <c r="B182" t="s">
        <v>204</v>
      </c>
      <c r="C182" t="s">
        <v>4575</v>
      </c>
      <c r="D182">
        <v>136.19999999999999</v>
      </c>
      <c r="E182">
        <v>0</v>
      </c>
      <c r="F182">
        <v>13.62</v>
      </c>
      <c r="G182">
        <v>136.19999999999999</v>
      </c>
      <c r="H182">
        <v>89.5</v>
      </c>
      <c r="I182">
        <v>0</v>
      </c>
      <c r="J182">
        <v>8.9499999999999993</v>
      </c>
      <c r="K182">
        <v>89.5</v>
      </c>
      <c r="L182">
        <v>225.7</v>
      </c>
      <c r="M182">
        <v>0</v>
      </c>
      <c r="N182">
        <v>22.57</v>
      </c>
      <c r="O182">
        <v>225.7</v>
      </c>
    </row>
    <row r="183" spans="1:15" x14ac:dyDescent="0.25">
      <c r="A183" t="s">
        <v>541</v>
      </c>
      <c r="B183" t="s">
        <v>55</v>
      </c>
      <c r="C183" t="s">
        <v>4135</v>
      </c>
      <c r="D183">
        <v>2358.3000000000002</v>
      </c>
      <c r="E183">
        <v>0</v>
      </c>
      <c r="F183">
        <v>235.82999999999998</v>
      </c>
      <c r="G183">
        <v>2358.3000000000002</v>
      </c>
      <c r="H183">
        <v>6289</v>
      </c>
      <c r="I183">
        <v>0</v>
      </c>
      <c r="J183">
        <v>628.89999999999986</v>
      </c>
      <c r="K183">
        <v>6289</v>
      </c>
      <c r="L183">
        <v>8647.2999999999993</v>
      </c>
      <c r="M183">
        <v>0</v>
      </c>
      <c r="N183">
        <v>864.72999999999979</v>
      </c>
      <c r="O183">
        <v>8647.2999999999993</v>
      </c>
    </row>
    <row r="184" spans="1:15" x14ac:dyDescent="0.25">
      <c r="A184" t="s">
        <v>156</v>
      </c>
      <c r="B184" t="s">
        <v>155</v>
      </c>
      <c r="C184" t="s">
        <v>4136</v>
      </c>
      <c r="D184">
        <v>15599.44</v>
      </c>
      <c r="E184">
        <v>418.4</v>
      </c>
      <c r="F184">
        <v>1518.1</v>
      </c>
      <c r="G184">
        <v>15181.039999999999</v>
      </c>
      <c r="H184">
        <v>20160.55</v>
      </c>
      <c r="I184">
        <v>9864.7000000000007</v>
      </c>
      <c r="J184">
        <v>1029.5899999999999</v>
      </c>
      <c r="K184">
        <v>10295.85</v>
      </c>
      <c r="L184">
        <v>35759.99</v>
      </c>
      <c r="M184">
        <v>10283.1</v>
      </c>
      <c r="N184">
        <v>2547.6899999999996</v>
      </c>
      <c r="O184">
        <v>25476.89</v>
      </c>
    </row>
    <row r="185" spans="1:15" x14ac:dyDescent="0.25">
      <c r="A185" t="s">
        <v>2020</v>
      </c>
      <c r="B185" t="s">
        <v>120</v>
      </c>
      <c r="C185" t="s">
        <v>4259</v>
      </c>
      <c r="D185">
        <v>37980.54</v>
      </c>
      <c r="E185">
        <v>2116.5999999999995</v>
      </c>
      <c r="F185">
        <v>3586.39</v>
      </c>
      <c r="G185">
        <v>35863.94</v>
      </c>
      <c r="H185">
        <v>31718.93</v>
      </c>
      <c r="I185">
        <v>2293.1</v>
      </c>
      <c r="J185">
        <v>2942.5699999999997</v>
      </c>
      <c r="K185">
        <v>29425.83</v>
      </c>
      <c r="L185">
        <v>69699.47</v>
      </c>
      <c r="M185">
        <v>4409.6999999999989</v>
      </c>
      <c r="N185">
        <v>6528.9599999999991</v>
      </c>
      <c r="O185">
        <v>65289.770000000004</v>
      </c>
    </row>
    <row r="186" spans="1:15" x14ac:dyDescent="0.25">
      <c r="A186" t="s">
        <v>2326</v>
      </c>
      <c r="B186" t="s">
        <v>221</v>
      </c>
      <c r="C186" t="s">
        <v>4576</v>
      </c>
      <c r="D186">
        <v>199.5</v>
      </c>
      <c r="E186">
        <v>0</v>
      </c>
      <c r="F186">
        <v>19.95</v>
      </c>
      <c r="G186">
        <v>199.5</v>
      </c>
      <c r="L186">
        <v>199.5</v>
      </c>
      <c r="M186">
        <v>0</v>
      </c>
      <c r="N186">
        <v>19.95</v>
      </c>
      <c r="O186">
        <v>199.5</v>
      </c>
    </row>
    <row r="187" spans="1:15" x14ac:dyDescent="0.25">
      <c r="A187" t="s">
        <v>2021</v>
      </c>
      <c r="B187" t="s">
        <v>121</v>
      </c>
      <c r="C187" t="s">
        <v>4260</v>
      </c>
      <c r="D187">
        <v>156841.02000000002</v>
      </c>
      <c r="E187">
        <v>5907</v>
      </c>
      <c r="F187">
        <v>15093.400000000007</v>
      </c>
      <c r="G187">
        <v>150934.0199999999</v>
      </c>
      <c r="H187">
        <v>278846.26000000007</v>
      </c>
      <c r="I187">
        <v>8177.1</v>
      </c>
      <c r="J187">
        <v>27066.919999999995</v>
      </c>
      <c r="K187">
        <v>270669.16000000003</v>
      </c>
      <c r="L187">
        <v>435687.28000000009</v>
      </c>
      <c r="M187">
        <v>14084.1</v>
      </c>
      <c r="N187">
        <v>42160.32</v>
      </c>
      <c r="O187">
        <v>421603.17999999993</v>
      </c>
    </row>
    <row r="188" spans="1:15" x14ac:dyDescent="0.25">
      <c r="A188" t="s">
        <v>2946</v>
      </c>
      <c r="B188" t="s">
        <v>24</v>
      </c>
      <c r="C188" t="s">
        <v>4367</v>
      </c>
      <c r="D188">
        <v>192683.2</v>
      </c>
      <c r="E188">
        <v>9481.3000000000011</v>
      </c>
      <c r="F188">
        <v>18320.189999999999</v>
      </c>
      <c r="G188">
        <v>183201.9</v>
      </c>
      <c r="H188">
        <v>82649.700000000012</v>
      </c>
      <c r="I188">
        <v>10637.7</v>
      </c>
      <c r="J188">
        <v>7201.1999999999989</v>
      </c>
      <c r="K188">
        <v>72012.000000000015</v>
      </c>
      <c r="L188">
        <v>275332.90000000002</v>
      </c>
      <c r="M188">
        <v>20119</v>
      </c>
      <c r="N188">
        <v>25521.39</v>
      </c>
      <c r="O188">
        <v>255213.90000000002</v>
      </c>
    </row>
    <row r="189" spans="1:15" x14ac:dyDescent="0.25">
      <c r="A189" t="s">
        <v>548</v>
      </c>
      <c r="B189" t="s">
        <v>170</v>
      </c>
      <c r="C189" t="s">
        <v>4577</v>
      </c>
      <c r="D189">
        <v>45</v>
      </c>
      <c r="E189">
        <v>0</v>
      </c>
      <c r="F189">
        <v>4.5</v>
      </c>
      <c r="G189">
        <v>45</v>
      </c>
      <c r="H189">
        <v>402.8</v>
      </c>
      <c r="I189">
        <v>0</v>
      </c>
      <c r="J189">
        <v>40.28</v>
      </c>
      <c r="K189">
        <v>402.8</v>
      </c>
      <c r="L189">
        <v>447.8</v>
      </c>
      <c r="M189">
        <v>0</v>
      </c>
      <c r="N189">
        <v>44.78</v>
      </c>
      <c r="O189">
        <v>447.8</v>
      </c>
    </row>
    <row r="190" spans="1:15" x14ac:dyDescent="0.25">
      <c r="A190" t="s">
        <v>34</v>
      </c>
      <c r="B190" t="s">
        <v>190</v>
      </c>
      <c r="C190" t="s">
        <v>4137</v>
      </c>
      <c r="D190">
        <v>12248.300000000001</v>
      </c>
      <c r="E190">
        <v>802.39999999999986</v>
      </c>
      <c r="F190">
        <v>1144.5900000000001</v>
      </c>
      <c r="G190">
        <v>11445.900000000001</v>
      </c>
      <c r="H190">
        <v>15964.6</v>
      </c>
      <c r="I190">
        <v>1371.1</v>
      </c>
      <c r="J190">
        <v>1459.3500000000001</v>
      </c>
      <c r="K190">
        <v>14593.499999999998</v>
      </c>
      <c r="L190">
        <v>28212.9</v>
      </c>
      <c r="M190">
        <v>2173.5</v>
      </c>
      <c r="N190">
        <v>2603.9400000000005</v>
      </c>
      <c r="O190">
        <v>26039.4</v>
      </c>
    </row>
    <row r="191" spans="1:15" x14ac:dyDescent="0.25">
      <c r="B191" t="s">
        <v>2143</v>
      </c>
      <c r="C191" t="s">
        <v>4138</v>
      </c>
      <c r="D191">
        <v>30076.5</v>
      </c>
      <c r="E191">
        <v>344</v>
      </c>
      <c r="F191">
        <v>2973.25</v>
      </c>
      <c r="G191">
        <v>29732.5</v>
      </c>
      <c r="H191">
        <v>55308.7</v>
      </c>
      <c r="I191">
        <v>282.89999999999998</v>
      </c>
      <c r="J191">
        <v>5502.58</v>
      </c>
      <c r="K191">
        <v>55025.8</v>
      </c>
      <c r="L191">
        <v>85385.2</v>
      </c>
      <c r="M191">
        <v>626.9</v>
      </c>
      <c r="N191">
        <v>8475.83</v>
      </c>
      <c r="O191">
        <v>84758.3</v>
      </c>
    </row>
    <row r="192" spans="1:15" x14ac:dyDescent="0.25">
      <c r="B192" t="s">
        <v>175</v>
      </c>
      <c r="C192" t="s">
        <v>4139</v>
      </c>
      <c r="D192">
        <v>11599.699999999999</v>
      </c>
      <c r="E192">
        <v>122.3</v>
      </c>
      <c r="F192">
        <v>1147.74</v>
      </c>
      <c r="G192">
        <v>11477.4</v>
      </c>
      <c r="H192">
        <v>2700.7</v>
      </c>
      <c r="I192">
        <v>546.9</v>
      </c>
      <c r="J192">
        <v>215.38</v>
      </c>
      <c r="K192">
        <v>2153.8000000000002</v>
      </c>
      <c r="L192">
        <v>14300.399999999998</v>
      </c>
      <c r="M192">
        <v>669.19999999999993</v>
      </c>
      <c r="N192">
        <v>1363.12</v>
      </c>
      <c r="O192">
        <v>13631.2</v>
      </c>
    </row>
    <row r="193" spans="2:15" x14ac:dyDescent="0.25">
      <c r="B193" t="s">
        <v>194</v>
      </c>
      <c r="C193" t="s">
        <v>4140</v>
      </c>
      <c r="D193">
        <v>38513.799999999996</v>
      </c>
      <c r="E193">
        <v>861.1</v>
      </c>
      <c r="F193">
        <v>3765.2700000000009</v>
      </c>
      <c r="G193">
        <v>37652.69999999999</v>
      </c>
      <c r="H193">
        <v>50050.5</v>
      </c>
      <c r="I193">
        <v>0.4</v>
      </c>
      <c r="J193">
        <v>5005.0099999999993</v>
      </c>
      <c r="K193">
        <v>50050.1</v>
      </c>
      <c r="L193">
        <v>88564.299999999988</v>
      </c>
      <c r="M193">
        <v>861.5</v>
      </c>
      <c r="N193">
        <v>8770.2800000000007</v>
      </c>
      <c r="O193">
        <v>87702.799999999988</v>
      </c>
    </row>
    <row r="194" spans="2:15" x14ac:dyDescent="0.25">
      <c r="B194" t="s">
        <v>38</v>
      </c>
      <c r="C194" t="s">
        <v>4141</v>
      </c>
      <c r="D194">
        <v>18996.399999999998</v>
      </c>
      <c r="E194">
        <v>173.69999999999996</v>
      </c>
      <c r="F194">
        <v>1882.2700000000002</v>
      </c>
      <c r="G194">
        <v>18822.699999999997</v>
      </c>
      <c r="H194">
        <v>45496</v>
      </c>
      <c r="I194">
        <v>602.29999999999995</v>
      </c>
      <c r="J194">
        <v>4489.37</v>
      </c>
      <c r="K194">
        <v>44893.700000000004</v>
      </c>
      <c r="L194">
        <v>64492.399999999994</v>
      </c>
      <c r="M194">
        <v>775.99999999999989</v>
      </c>
      <c r="N194">
        <v>6371.64</v>
      </c>
      <c r="O194">
        <v>63716.4</v>
      </c>
    </row>
    <row r="195" spans="2:15" x14ac:dyDescent="0.25">
      <c r="B195" t="s">
        <v>313</v>
      </c>
      <c r="C195" t="s">
        <v>4142</v>
      </c>
      <c r="D195">
        <v>4355</v>
      </c>
      <c r="E195">
        <v>1738.6</v>
      </c>
      <c r="F195">
        <v>261.64</v>
      </c>
      <c r="G195">
        <v>2616.4</v>
      </c>
      <c r="H195">
        <v>2429.3000000000002</v>
      </c>
      <c r="I195">
        <v>28.3</v>
      </c>
      <c r="J195">
        <v>240.1</v>
      </c>
      <c r="K195">
        <v>2401</v>
      </c>
      <c r="L195">
        <v>6784.3</v>
      </c>
      <c r="M195">
        <v>1766.8999999999999</v>
      </c>
      <c r="N195">
        <v>501.74</v>
      </c>
      <c r="O195">
        <v>5017.3999999999996</v>
      </c>
    </row>
    <row r="196" spans="2:15" x14ac:dyDescent="0.25">
      <c r="B196" t="s">
        <v>2</v>
      </c>
      <c r="C196" t="s">
        <v>4143</v>
      </c>
      <c r="D196">
        <v>1202.2</v>
      </c>
      <c r="E196">
        <v>714.6</v>
      </c>
      <c r="F196">
        <v>48.76</v>
      </c>
      <c r="G196">
        <v>487.6</v>
      </c>
      <c r="H196">
        <v>2736.7</v>
      </c>
      <c r="I196">
        <v>2192.6</v>
      </c>
      <c r="J196">
        <v>54.41</v>
      </c>
      <c r="K196">
        <v>544.1</v>
      </c>
      <c r="L196">
        <v>3938.8999999999996</v>
      </c>
      <c r="M196">
        <v>2907.2</v>
      </c>
      <c r="N196">
        <v>103.16999999999999</v>
      </c>
      <c r="O196">
        <v>1031.7</v>
      </c>
    </row>
    <row r="197" spans="2:15" x14ac:dyDescent="0.25">
      <c r="B197" t="s">
        <v>67</v>
      </c>
      <c r="C197" t="s">
        <v>4144</v>
      </c>
      <c r="D197">
        <v>4742.4000000000005</v>
      </c>
      <c r="E197">
        <v>2660.5</v>
      </c>
      <c r="F197">
        <v>208.18999999999997</v>
      </c>
      <c r="G197">
        <v>2081.8999999999996</v>
      </c>
      <c r="H197">
        <v>8669.9</v>
      </c>
      <c r="I197">
        <v>6140</v>
      </c>
      <c r="J197">
        <v>253</v>
      </c>
      <c r="K197">
        <v>2529.8999999999996</v>
      </c>
      <c r="L197">
        <v>13412.3</v>
      </c>
      <c r="M197">
        <v>8800.5</v>
      </c>
      <c r="N197">
        <v>461.18999999999994</v>
      </c>
      <c r="O197">
        <v>4611.7999999999993</v>
      </c>
    </row>
    <row r="198" spans="2:15" x14ac:dyDescent="0.25">
      <c r="B198" t="s">
        <v>49</v>
      </c>
      <c r="C198" t="s">
        <v>4145</v>
      </c>
      <c r="D198">
        <v>11720.9</v>
      </c>
      <c r="E198">
        <v>5629.2</v>
      </c>
      <c r="F198">
        <v>609.17000000000007</v>
      </c>
      <c r="G198">
        <v>6091.7</v>
      </c>
      <c r="H198">
        <v>14569.2</v>
      </c>
      <c r="I198">
        <v>8621.2999999999993</v>
      </c>
      <c r="J198">
        <v>594.79</v>
      </c>
      <c r="K198">
        <v>5947.9</v>
      </c>
      <c r="L198">
        <v>26290.1</v>
      </c>
      <c r="M198">
        <v>14250.5</v>
      </c>
      <c r="N198">
        <v>1203.96</v>
      </c>
      <c r="O198">
        <v>12039.599999999999</v>
      </c>
    </row>
    <row r="199" spans="2:15" x14ac:dyDescent="0.25">
      <c r="B199" t="s">
        <v>529</v>
      </c>
      <c r="C199" t="s">
        <v>4428</v>
      </c>
      <c r="D199">
        <v>15.6</v>
      </c>
      <c r="E199">
        <v>0</v>
      </c>
      <c r="F199">
        <v>1.56</v>
      </c>
      <c r="G199">
        <v>15.6</v>
      </c>
      <c r="H199">
        <v>94.4</v>
      </c>
      <c r="I199">
        <v>0</v>
      </c>
      <c r="J199">
        <v>9.44</v>
      </c>
      <c r="K199">
        <v>94.4</v>
      </c>
      <c r="L199">
        <v>110</v>
      </c>
      <c r="M199">
        <v>0</v>
      </c>
      <c r="N199">
        <v>11</v>
      </c>
      <c r="O199">
        <v>110</v>
      </c>
    </row>
    <row r="200" spans="2:15" x14ac:dyDescent="0.25">
      <c r="B200" t="s">
        <v>50</v>
      </c>
      <c r="C200" t="s">
        <v>4146</v>
      </c>
      <c r="D200">
        <v>812.40000000000009</v>
      </c>
      <c r="E200">
        <v>78.8</v>
      </c>
      <c r="F200">
        <v>73.36</v>
      </c>
      <c r="G200">
        <v>733.60000000000014</v>
      </c>
      <c r="H200">
        <v>2389.5</v>
      </c>
      <c r="I200">
        <v>704.90000000000009</v>
      </c>
      <c r="J200">
        <v>168.45999999999998</v>
      </c>
      <c r="K200">
        <v>1684.6</v>
      </c>
      <c r="L200">
        <v>3201.9</v>
      </c>
      <c r="M200">
        <v>783.7</v>
      </c>
      <c r="N200">
        <v>241.82</v>
      </c>
      <c r="O200">
        <v>2418.1999999999998</v>
      </c>
    </row>
    <row r="201" spans="2:15" x14ac:dyDescent="0.25">
      <c r="B201" t="s">
        <v>199</v>
      </c>
      <c r="C201" t="s">
        <v>4147</v>
      </c>
      <c r="D201">
        <v>15455.5</v>
      </c>
      <c r="E201">
        <v>5522.1</v>
      </c>
      <c r="F201">
        <v>993.34</v>
      </c>
      <c r="G201">
        <v>9933.4000000000015</v>
      </c>
      <c r="H201">
        <v>5983.9</v>
      </c>
      <c r="I201">
        <v>1636.1000000000001</v>
      </c>
      <c r="J201">
        <v>434.78</v>
      </c>
      <c r="K201">
        <v>4347.8</v>
      </c>
      <c r="L201">
        <v>21439.4</v>
      </c>
      <c r="M201">
        <v>7158.2000000000007</v>
      </c>
      <c r="N201">
        <v>1428.12</v>
      </c>
      <c r="O201">
        <v>14281.2</v>
      </c>
    </row>
    <row r="202" spans="2:15" x14ac:dyDescent="0.25">
      <c r="B202" t="s">
        <v>358</v>
      </c>
      <c r="C202" t="s">
        <v>4148</v>
      </c>
      <c r="D202">
        <v>1315.8999999999999</v>
      </c>
      <c r="E202">
        <v>439.2</v>
      </c>
      <c r="F202">
        <v>87.67</v>
      </c>
      <c r="G202">
        <v>876.7</v>
      </c>
      <c r="H202">
        <v>13052.199999999999</v>
      </c>
      <c r="I202">
        <v>8164.9</v>
      </c>
      <c r="J202">
        <v>488.73</v>
      </c>
      <c r="K202">
        <v>4887.3</v>
      </c>
      <c r="L202">
        <v>14368.099999999999</v>
      </c>
      <c r="M202">
        <v>8604.1</v>
      </c>
      <c r="N202">
        <v>576.4</v>
      </c>
      <c r="O202">
        <v>5764</v>
      </c>
    </row>
    <row r="203" spans="2:15" x14ac:dyDescent="0.25">
      <c r="B203" t="s">
        <v>51</v>
      </c>
      <c r="C203" t="s">
        <v>4149</v>
      </c>
      <c r="D203">
        <v>51898.36</v>
      </c>
      <c r="E203">
        <v>590.6</v>
      </c>
      <c r="F203">
        <v>5130.7700000000004</v>
      </c>
      <c r="G203">
        <v>51307.759999999995</v>
      </c>
      <c r="H203">
        <v>69887.789999999994</v>
      </c>
      <c r="I203">
        <v>697.1</v>
      </c>
      <c r="J203">
        <v>6919.05</v>
      </c>
      <c r="K203">
        <v>69190.69</v>
      </c>
      <c r="L203">
        <v>121786.15</v>
      </c>
      <c r="M203">
        <v>1287.7</v>
      </c>
      <c r="N203">
        <v>12049.82</v>
      </c>
      <c r="O203">
        <v>120498.45</v>
      </c>
    </row>
    <row r="204" spans="2:15" x14ac:dyDescent="0.25">
      <c r="B204" t="s">
        <v>69</v>
      </c>
      <c r="C204" t="s">
        <v>4150</v>
      </c>
      <c r="D204">
        <v>5204.7000000000007</v>
      </c>
      <c r="E204">
        <v>169.6</v>
      </c>
      <c r="F204">
        <v>503.51</v>
      </c>
      <c r="G204">
        <v>5035.1000000000004</v>
      </c>
      <c r="H204">
        <v>10965.5</v>
      </c>
      <c r="I204">
        <v>865</v>
      </c>
      <c r="J204">
        <v>1010.05</v>
      </c>
      <c r="K204">
        <v>10100.5</v>
      </c>
      <c r="L204">
        <v>16170.2</v>
      </c>
      <c r="M204">
        <v>1034.5999999999999</v>
      </c>
      <c r="N204">
        <v>1513.56</v>
      </c>
      <c r="O204">
        <v>15135.6</v>
      </c>
    </row>
    <row r="205" spans="2:15" x14ac:dyDescent="0.25">
      <c r="B205" t="s">
        <v>55</v>
      </c>
      <c r="C205" t="s">
        <v>4151</v>
      </c>
      <c r="D205">
        <v>26822.52</v>
      </c>
      <c r="E205">
        <v>12749.5</v>
      </c>
      <c r="F205">
        <v>1407.3</v>
      </c>
      <c r="G205">
        <v>14073.02</v>
      </c>
      <c r="H205">
        <v>38942.94</v>
      </c>
      <c r="I205">
        <v>40170.300000000003</v>
      </c>
      <c r="J205">
        <v>-122.74000000000001</v>
      </c>
      <c r="K205">
        <v>-1227.3599999999988</v>
      </c>
      <c r="L205">
        <v>65765.460000000006</v>
      </c>
      <c r="M205">
        <v>52919.8</v>
      </c>
      <c r="N205">
        <v>1284.56</v>
      </c>
      <c r="O205">
        <v>12845.660000000002</v>
      </c>
    </row>
    <row r="206" spans="2:15" x14ac:dyDescent="0.25">
      <c r="B206" t="s">
        <v>184</v>
      </c>
      <c r="C206" t="s">
        <v>4152</v>
      </c>
      <c r="D206">
        <v>1151</v>
      </c>
      <c r="E206">
        <v>8.9</v>
      </c>
      <c r="F206">
        <v>114.21</v>
      </c>
      <c r="G206">
        <v>1142.0999999999999</v>
      </c>
      <c r="H206">
        <v>11323.2</v>
      </c>
      <c r="I206">
        <v>169.5</v>
      </c>
      <c r="J206">
        <v>1115.3699999999999</v>
      </c>
      <c r="K206">
        <v>11153.7</v>
      </c>
      <c r="L206">
        <v>12474.2</v>
      </c>
      <c r="M206">
        <v>178.4</v>
      </c>
      <c r="N206">
        <v>1229.58</v>
      </c>
      <c r="O206">
        <v>12295.800000000001</v>
      </c>
    </row>
    <row r="207" spans="2:15" x14ac:dyDescent="0.25">
      <c r="B207" t="s">
        <v>170</v>
      </c>
      <c r="C207" t="s">
        <v>4261</v>
      </c>
      <c r="D207">
        <v>28746.260000000002</v>
      </c>
      <c r="E207">
        <v>8990.9</v>
      </c>
      <c r="F207">
        <v>1975.54</v>
      </c>
      <c r="G207">
        <v>19755.36</v>
      </c>
      <c r="H207">
        <v>29335.279999999999</v>
      </c>
      <c r="I207">
        <v>5963.4</v>
      </c>
      <c r="J207">
        <v>2337.19</v>
      </c>
      <c r="K207">
        <v>23371.879999999997</v>
      </c>
      <c r="L207">
        <v>58081.54</v>
      </c>
      <c r="M207">
        <v>14954.3</v>
      </c>
      <c r="N207">
        <v>4312.7299999999996</v>
      </c>
      <c r="O207">
        <v>43127.24</v>
      </c>
    </row>
    <row r="208" spans="2:15" x14ac:dyDescent="0.25">
      <c r="B208" t="s">
        <v>201</v>
      </c>
      <c r="C208" t="s">
        <v>4153</v>
      </c>
      <c r="D208">
        <v>90729.47</v>
      </c>
      <c r="E208">
        <v>20340.060000000001</v>
      </c>
      <c r="F208">
        <v>7038.95</v>
      </c>
      <c r="G208">
        <v>70389.41</v>
      </c>
      <c r="H208">
        <v>98188.84</v>
      </c>
      <c r="I208">
        <v>1604.63</v>
      </c>
      <c r="J208">
        <v>9658.42</v>
      </c>
      <c r="K208">
        <v>96584.21</v>
      </c>
      <c r="L208">
        <v>188918.31</v>
      </c>
      <c r="M208">
        <v>21944.690000000002</v>
      </c>
      <c r="N208">
        <v>16697.37</v>
      </c>
      <c r="O208">
        <v>166973.62</v>
      </c>
    </row>
    <row r="209" spans="2:15" x14ac:dyDescent="0.25">
      <c r="B209" t="s">
        <v>59</v>
      </c>
      <c r="C209" t="s">
        <v>4154</v>
      </c>
      <c r="D209">
        <v>64769.2</v>
      </c>
      <c r="E209">
        <v>38901</v>
      </c>
      <c r="F209">
        <v>2586.8200000000002</v>
      </c>
      <c r="G209">
        <v>25868.2</v>
      </c>
      <c r="H209">
        <v>83564.3</v>
      </c>
      <c r="I209">
        <v>1744.6</v>
      </c>
      <c r="J209">
        <v>8181.97</v>
      </c>
      <c r="K209">
        <v>81819.7</v>
      </c>
      <c r="L209">
        <v>148333.5</v>
      </c>
      <c r="M209">
        <v>40645.599999999999</v>
      </c>
      <c r="N209">
        <v>10768.79</v>
      </c>
      <c r="O209">
        <v>107687.9</v>
      </c>
    </row>
    <row r="210" spans="2:15" x14ac:dyDescent="0.25">
      <c r="B210" t="s">
        <v>161</v>
      </c>
      <c r="C210" t="s">
        <v>4155</v>
      </c>
      <c r="D210">
        <v>20320.299999999996</v>
      </c>
      <c r="E210">
        <v>3512.5</v>
      </c>
      <c r="F210">
        <v>1680.78</v>
      </c>
      <c r="G210">
        <v>16807.8</v>
      </c>
      <c r="H210">
        <v>32437.399999999998</v>
      </c>
      <c r="I210">
        <v>3779.4000000000005</v>
      </c>
      <c r="J210">
        <v>2865.7999999999997</v>
      </c>
      <c r="K210">
        <v>28658</v>
      </c>
      <c r="L210">
        <v>52757.7</v>
      </c>
      <c r="M210">
        <v>7291.9000000000005</v>
      </c>
      <c r="N210">
        <v>4546.58</v>
      </c>
      <c r="O210">
        <v>45465.8</v>
      </c>
    </row>
    <row r="211" spans="2:15" x14ac:dyDescent="0.25">
      <c r="B211" t="s">
        <v>173</v>
      </c>
      <c r="C211" t="s">
        <v>4156</v>
      </c>
      <c r="D211">
        <v>7797.5</v>
      </c>
      <c r="E211">
        <v>3380</v>
      </c>
      <c r="F211">
        <v>441.75</v>
      </c>
      <c r="G211">
        <v>4417.5</v>
      </c>
      <c r="H211">
        <v>4826.7</v>
      </c>
      <c r="I211">
        <v>237</v>
      </c>
      <c r="J211">
        <v>458.97</v>
      </c>
      <c r="K211">
        <v>4589.7</v>
      </c>
      <c r="L211">
        <v>12624.2</v>
      </c>
      <c r="M211">
        <v>3617</v>
      </c>
      <c r="N211">
        <v>900.72</v>
      </c>
      <c r="O211">
        <v>9007.2000000000007</v>
      </c>
    </row>
    <row r="212" spans="2:15" x14ac:dyDescent="0.25">
      <c r="B212" t="s">
        <v>163</v>
      </c>
      <c r="C212" t="s">
        <v>4157</v>
      </c>
      <c r="D212">
        <v>28130.94</v>
      </c>
      <c r="E212">
        <v>1079.5999999999999</v>
      </c>
      <c r="F212">
        <v>2705.13</v>
      </c>
      <c r="G212">
        <v>27051.34</v>
      </c>
      <c r="H212">
        <v>15194.25</v>
      </c>
      <c r="I212">
        <v>4059.1</v>
      </c>
      <c r="J212">
        <v>1113.51</v>
      </c>
      <c r="K212">
        <v>11135.150000000001</v>
      </c>
      <c r="L212">
        <v>43325.19</v>
      </c>
      <c r="M212">
        <v>5138.7</v>
      </c>
      <c r="N212">
        <v>3818.6400000000003</v>
      </c>
      <c r="O212">
        <v>38186.490000000005</v>
      </c>
    </row>
    <row r="213" spans="2:15" x14ac:dyDescent="0.25">
      <c r="B213" t="s">
        <v>247</v>
      </c>
      <c r="C213" t="s">
        <v>4158</v>
      </c>
      <c r="D213">
        <v>84.4</v>
      </c>
      <c r="E213">
        <v>0</v>
      </c>
      <c r="F213">
        <v>8.44</v>
      </c>
      <c r="G213">
        <v>84.4</v>
      </c>
      <c r="H213">
        <v>2135.6999999999998</v>
      </c>
      <c r="I213">
        <v>0</v>
      </c>
      <c r="J213">
        <v>213.57</v>
      </c>
      <c r="K213">
        <v>2135.6999999999998</v>
      </c>
      <c r="L213">
        <v>2220.1</v>
      </c>
      <c r="M213">
        <v>0</v>
      </c>
      <c r="N213">
        <v>222.01</v>
      </c>
      <c r="O213">
        <v>2220.1</v>
      </c>
    </row>
    <row r="214" spans="2:15" x14ac:dyDescent="0.25">
      <c r="B214" t="s">
        <v>239</v>
      </c>
      <c r="C214" t="s">
        <v>4159</v>
      </c>
      <c r="D214">
        <v>1789.8000000000002</v>
      </c>
      <c r="E214">
        <v>25</v>
      </c>
      <c r="F214">
        <v>176.48</v>
      </c>
      <c r="G214">
        <v>1764.8000000000002</v>
      </c>
      <c r="H214">
        <v>8631.1</v>
      </c>
      <c r="I214">
        <v>326.7</v>
      </c>
      <c r="J214">
        <v>830.44</v>
      </c>
      <c r="K214">
        <v>8304.4</v>
      </c>
      <c r="L214">
        <v>10420.900000000001</v>
      </c>
      <c r="M214">
        <v>351.7</v>
      </c>
      <c r="N214">
        <v>1006.9200000000001</v>
      </c>
      <c r="O214">
        <v>10069.200000000001</v>
      </c>
    </row>
    <row r="215" spans="2:15" x14ac:dyDescent="0.25">
      <c r="B215" t="s">
        <v>66</v>
      </c>
      <c r="C215" t="s">
        <v>4160</v>
      </c>
      <c r="D215">
        <v>10749.199999999999</v>
      </c>
      <c r="E215">
        <v>700.2</v>
      </c>
      <c r="F215">
        <v>1004.9</v>
      </c>
      <c r="G215">
        <v>10049</v>
      </c>
      <c r="H215">
        <v>18393.399999999998</v>
      </c>
      <c r="I215">
        <v>5435.6</v>
      </c>
      <c r="J215">
        <v>1295.78</v>
      </c>
      <c r="K215">
        <v>12957.8</v>
      </c>
      <c r="L215">
        <v>29142.6</v>
      </c>
      <c r="M215">
        <v>6135.8</v>
      </c>
      <c r="N215">
        <v>2300.6799999999998</v>
      </c>
      <c r="O215">
        <v>23006.799999999999</v>
      </c>
    </row>
    <row r="216" spans="2:15" x14ac:dyDescent="0.25">
      <c r="B216" t="s">
        <v>6</v>
      </c>
      <c r="C216" t="s">
        <v>4161</v>
      </c>
      <c r="D216">
        <v>7705</v>
      </c>
      <c r="E216">
        <v>159.9</v>
      </c>
      <c r="F216">
        <v>754.51</v>
      </c>
      <c r="G216">
        <v>7545.1</v>
      </c>
      <c r="H216">
        <v>8772.4599999999991</v>
      </c>
      <c r="I216">
        <v>34.5</v>
      </c>
      <c r="J216">
        <v>873.8</v>
      </c>
      <c r="K216">
        <v>8737.9599999999991</v>
      </c>
      <c r="L216">
        <v>16477.46</v>
      </c>
      <c r="M216">
        <v>194.4</v>
      </c>
      <c r="N216">
        <v>1628.31</v>
      </c>
      <c r="O216">
        <v>16283.06</v>
      </c>
    </row>
    <row r="217" spans="2:15" x14ac:dyDescent="0.25">
      <c r="B217" t="s">
        <v>81</v>
      </c>
      <c r="C217" t="s">
        <v>4162</v>
      </c>
      <c r="D217">
        <v>24641.299999999996</v>
      </c>
      <c r="E217">
        <v>719</v>
      </c>
      <c r="F217">
        <v>2392.23</v>
      </c>
      <c r="G217">
        <v>23922.299999999996</v>
      </c>
      <c r="H217">
        <v>27128.199999999997</v>
      </c>
      <c r="I217">
        <v>4621.5</v>
      </c>
      <c r="J217">
        <v>2250.6699999999996</v>
      </c>
      <c r="K217">
        <v>22506.7</v>
      </c>
      <c r="L217">
        <v>51769.499999999993</v>
      </c>
      <c r="M217">
        <v>5340.5</v>
      </c>
      <c r="N217">
        <v>4642.8999999999996</v>
      </c>
      <c r="O217">
        <v>46429</v>
      </c>
    </row>
    <row r="218" spans="2:15" x14ac:dyDescent="0.25">
      <c r="B218" t="s">
        <v>77</v>
      </c>
      <c r="C218" t="s">
        <v>4163</v>
      </c>
      <c r="D218">
        <v>5810.6</v>
      </c>
      <c r="E218">
        <v>1366.5</v>
      </c>
      <c r="F218">
        <v>444.41</v>
      </c>
      <c r="G218">
        <v>4444.1000000000004</v>
      </c>
      <c r="H218">
        <v>4149</v>
      </c>
      <c r="I218">
        <v>918.9</v>
      </c>
      <c r="J218">
        <v>323.01</v>
      </c>
      <c r="K218">
        <v>3230.1</v>
      </c>
      <c r="L218">
        <v>9959.6</v>
      </c>
      <c r="M218">
        <v>2285.4</v>
      </c>
      <c r="N218">
        <v>767.42000000000007</v>
      </c>
      <c r="O218">
        <v>7674.2000000000007</v>
      </c>
    </row>
    <row r="219" spans="2:15" x14ac:dyDescent="0.25">
      <c r="B219" t="s">
        <v>204</v>
      </c>
      <c r="C219" t="s">
        <v>4164</v>
      </c>
      <c r="D219">
        <v>23299.95</v>
      </c>
      <c r="E219">
        <v>93.8</v>
      </c>
      <c r="F219">
        <v>2320.62</v>
      </c>
      <c r="G219">
        <v>23206.15</v>
      </c>
      <c r="H219">
        <v>63756.07</v>
      </c>
      <c r="I219">
        <v>402.8</v>
      </c>
      <c r="J219">
        <v>6335.33</v>
      </c>
      <c r="K219">
        <v>63353.27</v>
      </c>
      <c r="L219">
        <v>87056.02</v>
      </c>
      <c r="M219">
        <v>496.6</v>
      </c>
      <c r="N219">
        <v>8655.9500000000007</v>
      </c>
      <c r="O219">
        <v>86559.42</v>
      </c>
    </row>
    <row r="220" spans="2:15" x14ac:dyDescent="0.25">
      <c r="B220" t="s">
        <v>8</v>
      </c>
      <c r="C220" t="s">
        <v>4165</v>
      </c>
      <c r="D220">
        <v>11891.8</v>
      </c>
      <c r="E220">
        <v>753.7</v>
      </c>
      <c r="F220">
        <v>1113.81</v>
      </c>
      <c r="G220">
        <v>11138.1</v>
      </c>
      <c r="H220">
        <v>12264.8</v>
      </c>
      <c r="I220">
        <v>4274.1000000000004</v>
      </c>
      <c r="J220">
        <v>799.07</v>
      </c>
      <c r="K220">
        <v>7990.7</v>
      </c>
      <c r="L220">
        <v>24156.6</v>
      </c>
      <c r="M220">
        <v>5027.8</v>
      </c>
      <c r="N220">
        <v>1912.88</v>
      </c>
      <c r="O220">
        <v>19128.8</v>
      </c>
    </row>
    <row r="221" spans="2:15" x14ac:dyDescent="0.25">
      <c r="B221" t="s">
        <v>155</v>
      </c>
      <c r="C221" t="s">
        <v>4166</v>
      </c>
      <c r="D221">
        <v>76896.599999999991</v>
      </c>
      <c r="E221">
        <v>151.6</v>
      </c>
      <c r="F221">
        <v>7674.5000000000009</v>
      </c>
      <c r="G221">
        <v>76745</v>
      </c>
      <c r="H221">
        <v>95209.4</v>
      </c>
      <c r="I221">
        <v>0.5</v>
      </c>
      <c r="J221">
        <v>9520.8900000000012</v>
      </c>
      <c r="K221">
        <v>95208.9</v>
      </c>
      <c r="L221">
        <v>172106</v>
      </c>
      <c r="M221">
        <v>152.1</v>
      </c>
      <c r="N221">
        <v>17195.390000000003</v>
      </c>
      <c r="O221">
        <v>171953.9</v>
      </c>
    </row>
    <row r="222" spans="2:15" x14ac:dyDescent="0.25">
      <c r="B222" t="s">
        <v>144</v>
      </c>
      <c r="C222" t="s">
        <v>4167</v>
      </c>
      <c r="D222">
        <v>15027.300000000001</v>
      </c>
      <c r="E222">
        <v>0</v>
      </c>
      <c r="F222">
        <v>1502.73</v>
      </c>
      <c r="G222">
        <v>15027.300000000001</v>
      </c>
      <c r="H222">
        <v>7091.8</v>
      </c>
      <c r="I222">
        <v>0</v>
      </c>
      <c r="J222">
        <v>709.18000000000006</v>
      </c>
      <c r="K222">
        <v>7091.8</v>
      </c>
      <c r="L222">
        <v>22119.100000000002</v>
      </c>
      <c r="M222">
        <v>0</v>
      </c>
      <c r="N222">
        <v>2211.91</v>
      </c>
      <c r="O222">
        <v>22119.100000000002</v>
      </c>
    </row>
    <row r="223" spans="2:15" x14ac:dyDescent="0.25">
      <c r="B223" t="s">
        <v>262</v>
      </c>
      <c r="C223" t="s">
        <v>4168</v>
      </c>
      <c r="D223">
        <v>1345.8000000000002</v>
      </c>
      <c r="E223">
        <v>0</v>
      </c>
      <c r="F223">
        <v>134.57999999999998</v>
      </c>
      <c r="G223">
        <v>1345.8000000000002</v>
      </c>
      <c r="H223">
        <v>1083.7</v>
      </c>
      <c r="I223">
        <v>0</v>
      </c>
      <c r="J223">
        <v>108.37</v>
      </c>
      <c r="K223">
        <v>1083.7</v>
      </c>
      <c r="L223">
        <v>2429.5</v>
      </c>
      <c r="M223">
        <v>0</v>
      </c>
      <c r="N223">
        <v>242.95</v>
      </c>
      <c r="O223">
        <v>2429.5</v>
      </c>
    </row>
    <row r="224" spans="2:15" x14ac:dyDescent="0.25">
      <c r="B224" t="s">
        <v>76</v>
      </c>
      <c r="C224" t="s">
        <v>4169</v>
      </c>
      <c r="D224">
        <v>7748.3</v>
      </c>
      <c r="E224">
        <v>60.2</v>
      </c>
      <c r="F224">
        <v>768.81</v>
      </c>
      <c r="G224">
        <v>7688.1</v>
      </c>
      <c r="H224">
        <v>30483.759999999998</v>
      </c>
      <c r="I224">
        <v>617.1</v>
      </c>
      <c r="J224">
        <v>2986.66</v>
      </c>
      <c r="K224">
        <v>29866.66</v>
      </c>
      <c r="L224">
        <v>38232.06</v>
      </c>
      <c r="M224">
        <v>677.30000000000007</v>
      </c>
      <c r="N224">
        <v>3755.47</v>
      </c>
      <c r="O224">
        <v>37554.76</v>
      </c>
    </row>
    <row r="225" spans="1:15" x14ac:dyDescent="0.25">
      <c r="B225" t="s">
        <v>221</v>
      </c>
      <c r="C225" t="s">
        <v>4170</v>
      </c>
      <c r="D225">
        <v>947.00000000000011</v>
      </c>
      <c r="E225">
        <v>331.9</v>
      </c>
      <c r="F225">
        <v>61.509999999999991</v>
      </c>
      <c r="G225">
        <v>615.1</v>
      </c>
      <c r="H225">
        <v>913.8</v>
      </c>
      <c r="I225">
        <v>180.9</v>
      </c>
      <c r="J225">
        <v>73.289999999999992</v>
      </c>
      <c r="K225">
        <v>732.90000000000009</v>
      </c>
      <c r="L225">
        <v>1860.8000000000002</v>
      </c>
      <c r="M225">
        <v>512.79999999999995</v>
      </c>
      <c r="N225">
        <v>134.79999999999998</v>
      </c>
      <c r="O225">
        <v>1348</v>
      </c>
    </row>
    <row r="226" spans="1:15" x14ac:dyDescent="0.25">
      <c r="B226" t="s">
        <v>191</v>
      </c>
      <c r="C226" t="s">
        <v>4171</v>
      </c>
      <c r="D226">
        <v>15111.920000000002</v>
      </c>
      <c r="E226">
        <v>159.79999999999998</v>
      </c>
      <c r="F226">
        <v>1495.22</v>
      </c>
      <c r="G226">
        <v>14952.12</v>
      </c>
      <c r="H226">
        <v>21703.27</v>
      </c>
      <c r="I226">
        <v>903.2</v>
      </c>
      <c r="J226">
        <v>2080.0100000000002</v>
      </c>
      <c r="K226">
        <v>20800.07</v>
      </c>
      <c r="L226">
        <v>36815.19</v>
      </c>
      <c r="M226">
        <v>1063</v>
      </c>
      <c r="N226">
        <v>3575.2300000000005</v>
      </c>
      <c r="O226">
        <v>35752.19</v>
      </c>
    </row>
    <row r="227" spans="1:15" x14ac:dyDescent="0.25">
      <c r="B227" t="s">
        <v>192</v>
      </c>
      <c r="C227" t="s">
        <v>4172</v>
      </c>
      <c r="D227">
        <v>15363.8</v>
      </c>
      <c r="E227">
        <v>212.6</v>
      </c>
      <c r="F227">
        <v>1515.1200000000001</v>
      </c>
      <c r="G227">
        <v>15151.199999999999</v>
      </c>
      <c r="H227">
        <v>50877.8</v>
      </c>
      <c r="I227">
        <v>4373.8</v>
      </c>
      <c r="J227">
        <v>4650.4000000000005</v>
      </c>
      <c r="K227">
        <v>46503.999999999993</v>
      </c>
      <c r="L227">
        <v>66241.600000000006</v>
      </c>
      <c r="M227">
        <v>4586.4000000000005</v>
      </c>
      <c r="N227">
        <v>6165.52</v>
      </c>
      <c r="O227">
        <v>61655.19999999999</v>
      </c>
    </row>
    <row r="228" spans="1:15" x14ac:dyDescent="0.25">
      <c r="B228" t="s">
        <v>35</v>
      </c>
      <c r="C228" t="s">
        <v>4173</v>
      </c>
      <c r="D228">
        <v>15504.5</v>
      </c>
      <c r="E228">
        <v>720.2</v>
      </c>
      <c r="F228">
        <v>1478.4299999999998</v>
      </c>
      <c r="G228">
        <v>14784.3</v>
      </c>
      <c r="H228">
        <v>13954</v>
      </c>
      <c r="I228">
        <v>1078.5999999999999</v>
      </c>
      <c r="J228">
        <v>1287.54</v>
      </c>
      <c r="K228">
        <v>12875.4</v>
      </c>
      <c r="L228">
        <v>29458.5</v>
      </c>
      <c r="M228">
        <v>1798.8</v>
      </c>
      <c r="N228">
        <v>2765.97</v>
      </c>
      <c r="O228">
        <v>27659.699999999997</v>
      </c>
    </row>
    <row r="229" spans="1:15" x14ac:dyDescent="0.25">
      <c r="B229" t="s">
        <v>131</v>
      </c>
      <c r="C229" t="s">
        <v>4174</v>
      </c>
      <c r="D229">
        <v>80620.490000000005</v>
      </c>
      <c r="E229">
        <v>1312.3</v>
      </c>
      <c r="F229">
        <v>7930.8300000000008</v>
      </c>
      <c r="G229">
        <v>79308.189999999988</v>
      </c>
      <c r="H229">
        <v>49533.799999999996</v>
      </c>
      <c r="I229">
        <v>4622.7</v>
      </c>
      <c r="J229">
        <v>4491.1000000000004</v>
      </c>
      <c r="K229">
        <v>44911.099999999991</v>
      </c>
      <c r="L229">
        <v>130154.29000000001</v>
      </c>
      <c r="M229">
        <v>5935</v>
      </c>
      <c r="N229">
        <v>12421.93</v>
      </c>
      <c r="O229">
        <v>124219.28999999998</v>
      </c>
    </row>
    <row r="230" spans="1:15" x14ac:dyDescent="0.25">
      <c r="B230" t="s">
        <v>88</v>
      </c>
      <c r="C230" t="s">
        <v>4175</v>
      </c>
      <c r="D230">
        <v>2743.8</v>
      </c>
      <c r="E230">
        <v>0</v>
      </c>
      <c r="F230">
        <v>274.38</v>
      </c>
      <c r="G230">
        <v>2743.8</v>
      </c>
      <c r="H230">
        <v>6164.2</v>
      </c>
      <c r="I230">
        <v>0</v>
      </c>
      <c r="J230">
        <v>616.42000000000007</v>
      </c>
      <c r="K230">
        <v>6164.2</v>
      </c>
      <c r="L230">
        <v>8908</v>
      </c>
      <c r="M230">
        <v>0</v>
      </c>
      <c r="N230">
        <v>890.80000000000007</v>
      </c>
      <c r="O230">
        <v>8908</v>
      </c>
    </row>
    <row r="231" spans="1:15" x14ac:dyDescent="0.25">
      <c r="B231" t="s">
        <v>141</v>
      </c>
      <c r="C231" t="s">
        <v>4176</v>
      </c>
      <c r="D231">
        <v>11693</v>
      </c>
      <c r="E231">
        <v>1040</v>
      </c>
      <c r="F231">
        <v>1065.3</v>
      </c>
      <c r="G231">
        <v>10653</v>
      </c>
      <c r="H231">
        <v>25453.5</v>
      </c>
      <c r="I231">
        <v>1814.7</v>
      </c>
      <c r="J231">
        <v>2363.88</v>
      </c>
      <c r="K231">
        <v>23638.799999999999</v>
      </c>
      <c r="L231">
        <v>37146.5</v>
      </c>
      <c r="M231">
        <v>2854.7</v>
      </c>
      <c r="N231">
        <v>3429.1800000000003</v>
      </c>
      <c r="O231">
        <v>34291.800000000003</v>
      </c>
    </row>
    <row r="232" spans="1:15" x14ac:dyDescent="0.25">
      <c r="B232" t="s">
        <v>135</v>
      </c>
      <c r="C232" t="s">
        <v>4177</v>
      </c>
      <c r="D232">
        <v>8080.5</v>
      </c>
      <c r="E232">
        <v>1457.1000000000001</v>
      </c>
      <c r="F232">
        <v>662.34</v>
      </c>
      <c r="G232">
        <v>6623.4</v>
      </c>
      <c r="H232">
        <v>13098</v>
      </c>
      <c r="I232">
        <v>6857.8</v>
      </c>
      <c r="J232">
        <v>624.01</v>
      </c>
      <c r="K232">
        <v>6240.2000000000007</v>
      </c>
      <c r="L232">
        <v>21178.5</v>
      </c>
      <c r="M232">
        <v>8314.9</v>
      </c>
      <c r="N232">
        <v>1286.3499999999999</v>
      </c>
      <c r="O232">
        <v>12863.6</v>
      </c>
    </row>
    <row r="233" spans="1:15" x14ac:dyDescent="0.25">
      <c r="B233" t="s">
        <v>188</v>
      </c>
      <c r="C233" t="s">
        <v>4178</v>
      </c>
      <c r="D233">
        <v>8676.1000000000022</v>
      </c>
      <c r="E233">
        <v>22.6</v>
      </c>
      <c r="F233">
        <v>865.35</v>
      </c>
      <c r="G233">
        <v>8653.5000000000018</v>
      </c>
      <c r="H233">
        <v>17436.400000000001</v>
      </c>
      <c r="I233">
        <v>1014.2</v>
      </c>
      <c r="J233">
        <v>1642.22</v>
      </c>
      <c r="K233">
        <v>16422.2</v>
      </c>
      <c r="L233">
        <v>26112.500000000004</v>
      </c>
      <c r="M233">
        <v>1036.8</v>
      </c>
      <c r="N233">
        <v>2507.5700000000002</v>
      </c>
      <c r="O233">
        <v>25075.700000000004</v>
      </c>
    </row>
    <row r="234" spans="1:15" x14ac:dyDescent="0.25">
      <c r="B234" t="s">
        <v>311</v>
      </c>
      <c r="C234" t="s">
        <v>4179</v>
      </c>
      <c r="D234">
        <v>2763.7</v>
      </c>
      <c r="E234">
        <v>0</v>
      </c>
      <c r="F234">
        <v>276.37</v>
      </c>
      <c r="G234">
        <v>2763.7</v>
      </c>
      <c r="H234">
        <v>1676.6</v>
      </c>
      <c r="I234">
        <v>0</v>
      </c>
      <c r="J234">
        <v>167.66</v>
      </c>
      <c r="K234">
        <v>1676.6</v>
      </c>
      <c r="L234">
        <v>4440.2999999999993</v>
      </c>
      <c r="M234">
        <v>0</v>
      </c>
      <c r="N234">
        <v>444.03</v>
      </c>
      <c r="O234">
        <v>4440.2999999999993</v>
      </c>
    </row>
    <row r="235" spans="1:15" x14ac:dyDescent="0.25">
      <c r="B235" t="s">
        <v>13</v>
      </c>
      <c r="C235" t="s">
        <v>4180</v>
      </c>
      <c r="D235">
        <v>20625.199999999997</v>
      </c>
      <c r="E235">
        <v>633.29999999999995</v>
      </c>
      <c r="F235">
        <v>1999.19</v>
      </c>
      <c r="G235">
        <v>19991.900000000001</v>
      </c>
      <c r="H235">
        <v>20430.7</v>
      </c>
      <c r="I235">
        <v>364.8</v>
      </c>
      <c r="J235">
        <v>2006.5900000000001</v>
      </c>
      <c r="K235">
        <v>20065.900000000001</v>
      </c>
      <c r="L235">
        <v>41055.899999999994</v>
      </c>
      <c r="M235">
        <v>998.09999999999991</v>
      </c>
      <c r="N235">
        <v>4005.78</v>
      </c>
      <c r="O235">
        <v>40057.800000000003</v>
      </c>
    </row>
    <row r="236" spans="1:15" x14ac:dyDescent="0.25">
      <c r="B236" t="s">
        <v>148</v>
      </c>
      <c r="C236" t="s">
        <v>4181</v>
      </c>
      <c r="D236">
        <v>43814.87</v>
      </c>
      <c r="E236">
        <v>2728.7</v>
      </c>
      <c r="F236">
        <v>4108.6100000000006</v>
      </c>
      <c r="G236">
        <v>41086.17</v>
      </c>
      <c r="H236">
        <v>32001.8</v>
      </c>
      <c r="I236">
        <v>1998.6</v>
      </c>
      <c r="J236">
        <v>3000.3199999999997</v>
      </c>
      <c r="K236">
        <v>30003.200000000001</v>
      </c>
      <c r="L236">
        <v>75816.67</v>
      </c>
      <c r="M236">
        <v>4727.2999999999993</v>
      </c>
      <c r="N236">
        <v>7108.93</v>
      </c>
      <c r="O236">
        <v>71089.37</v>
      </c>
    </row>
    <row r="237" spans="1:15" x14ac:dyDescent="0.25">
      <c r="B237" t="s">
        <v>284</v>
      </c>
      <c r="C237" t="s">
        <v>4182</v>
      </c>
      <c r="D237">
        <v>1794.8</v>
      </c>
      <c r="E237">
        <v>17.7</v>
      </c>
      <c r="F237">
        <v>177.71</v>
      </c>
      <c r="G237">
        <v>1777.1</v>
      </c>
      <c r="H237">
        <v>3764.6</v>
      </c>
      <c r="I237">
        <v>314</v>
      </c>
      <c r="J237">
        <v>345.06</v>
      </c>
      <c r="K237">
        <v>3450.6</v>
      </c>
      <c r="L237">
        <v>5559.4</v>
      </c>
      <c r="M237">
        <v>331.7</v>
      </c>
      <c r="N237">
        <v>522.77</v>
      </c>
      <c r="O237">
        <v>5227.7</v>
      </c>
    </row>
    <row r="238" spans="1:15" x14ac:dyDescent="0.25">
      <c r="B238" t="s">
        <v>149</v>
      </c>
      <c r="C238" t="s">
        <v>4183</v>
      </c>
      <c r="D238">
        <v>3627.73</v>
      </c>
      <c r="E238">
        <v>24.799999999999997</v>
      </c>
      <c r="F238">
        <v>360.28999999999996</v>
      </c>
      <c r="G238">
        <v>3602.93</v>
      </c>
      <c r="H238">
        <v>11585.02</v>
      </c>
      <c r="I238">
        <v>1934.2</v>
      </c>
      <c r="J238">
        <v>965.08</v>
      </c>
      <c r="K238">
        <v>9650.82</v>
      </c>
      <c r="L238">
        <v>15212.75</v>
      </c>
      <c r="M238">
        <v>1959</v>
      </c>
      <c r="N238">
        <v>1325.37</v>
      </c>
      <c r="O238">
        <v>13253.75</v>
      </c>
    </row>
    <row r="239" spans="1:15" x14ac:dyDescent="0.25">
      <c r="A239" t="s">
        <v>1880</v>
      </c>
      <c r="B239" t="s">
        <v>122</v>
      </c>
      <c r="C239" t="s">
        <v>4262</v>
      </c>
      <c r="D239">
        <v>231096.39000000004</v>
      </c>
      <c r="E239">
        <v>5926.8899999999994</v>
      </c>
      <c r="F239">
        <v>22516.969999999994</v>
      </c>
      <c r="G239">
        <v>225169.50000000009</v>
      </c>
      <c r="H239">
        <v>315034.23999999993</v>
      </c>
      <c r="I239">
        <v>13750.39</v>
      </c>
      <c r="J239">
        <v>30128.390000000014</v>
      </c>
      <c r="K239">
        <v>301283.84999999998</v>
      </c>
      <c r="L239">
        <v>546130.63</v>
      </c>
      <c r="M239">
        <v>19677.28</v>
      </c>
      <c r="N239">
        <v>52645.360000000008</v>
      </c>
      <c r="O239">
        <v>526453.35000000009</v>
      </c>
    </row>
    <row r="240" spans="1:15" x14ac:dyDescent="0.25">
      <c r="A240" t="s">
        <v>230</v>
      </c>
      <c r="B240" t="s">
        <v>38</v>
      </c>
      <c r="C240" t="s">
        <v>4184</v>
      </c>
      <c r="D240">
        <v>5248.4</v>
      </c>
      <c r="E240">
        <v>45</v>
      </c>
      <c r="F240">
        <v>520.34</v>
      </c>
      <c r="G240">
        <v>5203.3999999999996</v>
      </c>
      <c r="H240">
        <v>2442.3000000000002</v>
      </c>
      <c r="I240">
        <v>402.8</v>
      </c>
      <c r="J240">
        <v>203.95000000000002</v>
      </c>
      <c r="K240">
        <v>2039.5</v>
      </c>
      <c r="L240">
        <v>7690.7</v>
      </c>
      <c r="M240">
        <v>447.8</v>
      </c>
      <c r="N240">
        <v>724.29000000000008</v>
      </c>
      <c r="O240">
        <v>7242.9</v>
      </c>
    </row>
    <row r="241" spans="1:15" x14ac:dyDescent="0.25">
      <c r="A241" t="s">
        <v>296</v>
      </c>
      <c r="B241" t="s">
        <v>144</v>
      </c>
      <c r="C241" t="s">
        <v>4366</v>
      </c>
      <c r="D241">
        <v>325</v>
      </c>
      <c r="E241">
        <v>0</v>
      </c>
      <c r="F241">
        <v>32.5</v>
      </c>
      <c r="G241">
        <v>325</v>
      </c>
      <c r="H241">
        <v>179.2</v>
      </c>
      <c r="I241">
        <v>0</v>
      </c>
      <c r="J241">
        <v>17.920000000000002</v>
      </c>
      <c r="K241">
        <v>179.2</v>
      </c>
      <c r="L241">
        <v>504.2</v>
      </c>
      <c r="M241">
        <v>0</v>
      </c>
      <c r="N241">
        <v>50.42</v>
      </c>
      <c r="O241">
        <v>504.2</v>
      </c>
    </row>
    <row r="242" spans="1:15" x14ac:dyDescent="0.25">
      <c r="A242" t="s">
        <v>437</v>
      </c>
      <c r="B242" t="s">
        <v>51</v>
      </c>
      <c r="C242" t="s">
        <v>4185</v>
      </c>
      <c r="D242">
        <v>1.3</v>
      </c>
      <c r="E242">
        <v>0</v>
      </c>
      <c r="F242">
        <v>0.13</v>
      </c>
      <c r="G242">
        <v>1.3</v>
      </c>
      <c r="H242">
        <v>7</v>
      </c>
      <c r="I242">
        <v>0</v>
      </c>
      <c r="J242">
        <v>0.7</v>
      </c>
      <c r="K242">
        <v>7</v>
      </c>
      <c r="L242">
        <v>8.3000000000000007</v>
      </c>
      <c r="M242">
        <v>0</v>
      </c>
      <c r="N242">
        <v>0.83</v>
      </c>
      <c r="O242">
        <v>8.3000000000000007</v>
      </c>
    </row>
    <row r="243" spans="1:15" x14ac:dyDescent="0.25">
      <c r="A243" t="s">
        <v>2022</v>
      </c>
      <c r="B243" t="s">
        <v>124</v>
      </c>
      <c r="C243" t="s">
        <v>4263</v>
      </c>
      <c r="D243">
        <v>697592.05999999994</v>
      </c>
      <c r="E243">
        <v>45249.840000000004</v>
      </c>
      <c r="F243">
        <v>65234.260000000017</v>
      </c>
      <c r="G243">
        <v>652342.22000000009</v>
      </c>
      <c r="H243">
        <v>448123.0799999999</v>
      </c>
      <c r="I243">
        <v>47757.810000000012</v>
      </c>
      <c r="J243">
        <v>40036.539999999986</v>
      </c>
      <c r="K243">
        <v>400365.2699999999</v>
      </c>
      <c r="L243">
        <v>1145715.1399999999</v>
      </c>
      <c r="M243">
        <v>93007.650000000023</v>
      </c>
      <c r="N243">
        <v>105270.8</v>
      </c>
      <c r="O243">
        <v>1052707.49</v>
      </c>
    </row>
    <row r="244" spans="1:15" x14ac:dyDescent="0.25">
      <c r="A244" t="s">
        <v>229</v>
      </c>
      <c r="B244" t="s">
        <v>188</v>
      </c>
      <c r="C244" t="s">
        <v>4186</v>
      </c>
      <c r="D244">
        <v>33217.99</v>
      </c>
      <c r="E244">
        <v>1632.7</v>
      </c>
      <c r="F244">
        <v>3158.5299999999997</v>
      </c>
      <c r="G244">
        <v>31585.29</v>
      </c>
      <c r="H244">
        <v>40681.869999999995</v>
      </c>
      <c r="I244">
        <v>0</v>
      </c>
      <c r="J244">
        <v>4068.1899999999996</v>
      </c>
      <c r="K244">
        <v>40681.869999999995</v>
      </c>
      <c r="L244">
        <v>73899.859999999986</v>
      </c>
      <c r="M244">
        <v>1632.7</v>
      </c>
      <c r="N244">
        <v>7226.7199999999993</v>
      </c>
      <c r="O244">
        <v>72267.16</v>
      </c>
    </row>
    <row r="245" spans="1:15" x14ac:dyDescent="0.25">
      <c r="A245" t="s">
        <v>2821</v>
      </c>
      <c r="B245" t="s">
        <v>170</v>
      </c>
      <c r="C245" t="s">
        <v>4578</v>
      </c>
      <c r="D245">
        <v>50.4</v>
      </c>
      <c r="E245">
        <v>0</v>
      </c>
      <c r="F245">
        <v>5.04</v>
      </c>
      <c r="G245">
        <v>50.4</v>
      </c>
      <c r="H245">
        <v>506.1</v>
      </c>
      <c r="I245">
        <v>0</v>
      </c>
      <c r="J245">
        <v>50.61</v>
      </c>
      <c r="K245">
        <v>506.1</v>
      </c>
      <c r="L245">
        <v>556.5</v>
      </c>
      <c r="M245">
        <v>0</v>
      </c>
      <c r="N245">
        <v>55.65</v>
      </c>
      <c r="O245">
        <v>556.5</v>
      </c>
    </row>
    <row r="246" spans="1:15" x14ac:dyDescent="0.25">
      <c r="A246" t="s">
        <v>2036</v>
      </c>
      <c r="B246" t="s">
        <v>130</v>
      </c>
      <c r="C246" t="s">
        <v>4264</v>
      </c>
      <c r="D246">
        <v>36684.25</v>
      </c>
      <c r="E246">
        <v>1439.8999999999999</v>
      </c>
      <c r="F246">
        <v>3524.4300000000003</v>
      </c>
      <c r="G246">
        <v>35244.35</v>
      </c>
      <c r="H246">
        <v>37189.01</v>
      </c>
      <c r="I246">
        <v>3340.3</v>
      </c>
      <c r="J246">
        <v>3384.87</v>
      </c>
      <c r="K246">
        <v>33848.710000000006</v>
      </c>
      <c r="L246">
        <v>73873.260000000009</v>
      </c>
      <c r="M246">
        <v>4780.2</v>
      </c>
      <c r="N246">
        <v>6909.3</v>
      </c>
      <c r="O246">
        <v>69093.06</v>
      </c>
    </row>
    <row r="247" spans="1:15" x14ac:dyDescent="0.25">
      <c r="A247" t="s">
        <v>544</v>
      </c>
      <c r="B247" t="s">
        <v>184</v>
      </c>
      <c r="C247" t="s">
        <v>4579</v>
      </c>
      <c r="D247">
        <v>514.1</v>
      </c>
      <c r="E247">
        <v>0</v>
      </c>
      <c r="F247">
        <v>51.41</v>
      </c>
      <c r="G247">
        <v>514.1</v>
      </c>
      <c r="H247">
        <v>386.2</v>
      </c>
      <c r="I247">
        <v>0</v>
      </c>
      <c r="J247">
        <v>38.619999999999997</v>
      </c>
      <c r="K247">
        <v>386.2</v>
      </c>
      <c r="L247">
        <v>900.3</v>
      </c>
      <c r="M247">
        <v>0</v>
      </c>
      <c r="N247">
        <v>90.03</v>
      </c>
      <c r="O247">
        <v>900.3</v>
      </c>
    </row>
    <row r="248" spans="1:15" x14ac:dyDescent="0.25">
      <c r="A248" t="s">
        <v>349</v>
      </c>
      <c r="B248" t="s">
        <v>194</v>
      </c>
      <c r="C248" t="s">
        <v>4187</v>
      </c>
      <c r="D248">
        <v>310.39999999999998</v>
      </c>
      <c r="E248">
        <v>0</v>
      </c>
      <c r="F248">
        <v>31.04</v>
      </c>
      <c r="G248">
        <v>310.39999999999998</v>
      </c>
      <c r="H248">
        <v>401.2</v>
      </c>
      <c r="I248">
        <v>0</v>
      </c>
      <c r="J248">
        <v>40.119999999999997</v>
      </c>
      <c r="K248">
        <v>401.2</v>
      </c>
      <c r="L248">
        <v>711.59999999999991</v>
      </c>
      <c r="M248">
        <v>0</v>
      </c>
      <c r="N248">
        <v>71.16</v>
      </c>
      <c r="O248">
        <v>711.59999999999991</v>
      </c>
    </row>
    <row r="249" spans="1:15" x14ac:dyDescent="0.25">
      <c r="A249" t="s">
        <v>549</v>
      </c>
      <c r="B249" t="s">
        <v>170</v>
      </c>
      <c r="C249" t="s">
        <v>4188</v>
      </c>
      <c r="D249">
        <v>461.4</v>
      </c>
      <c r="E249">
        <v>279</v>
      </c>
      <c r="F249">
        <v>18.239999999999998</v>
      </c>
      <c r="G249">
        <v>182.4</v>
      </c>
      <c r="H249">
        <v>2383.2000000000003</v>
      </c>
      <c r="I249">
        <v>524.4</v>
      </c>
      <c r="J249">
        <v>185.88</v>
      </c>
      <c r="K249">
        <v>1858.8000000000002</v>
      </c>
      <c r="L249">
        <v>2844.6000000000004</v>
      </c>
      <c r="M249">
        <v>803.4</v>
      </c>
      <c r="N249">
        <v>204.12</v>
      </c>
      <c r="O249">
        <v>2041.2000000000003</v>
      </c>
    </row>
    <row r="250" spans="1:15" x14ac:dyDescent="0.25">
      <c r="A250" t="s">
        <v>531</v>
      </c>
      <c r="B250" t="s">
        <v>50</v>
      </c>
      <c r="C250" t="s">
        <v>4189</v>
      </c>
      <c r="D250">
        <v>788.1</v>
      </c>
      <c r="E250">
        <v>0</v>
      </c>
      <c r="F250">
        <v>78.81</v>
      </c>
      <c r="G250">
        <v>788.1</v>
      </c>
      <c r="H250">
        <v>714</v>
      </c>
      <c r="I250">
        <v>0</v>
      </c>
      <c r="J250">
        <v>71.400000000000006</v>
      </c>
      <c r="K250">
        <v>714</v>
      </c>
      <c r="L250">
        <v>1502.1</v>
      </c>
      <c r="M250">
        <v>0</v>
      </c>
      <c r="N250">
        <v>150.21</v>
      </c>
      <c r="O250">
        <v>1502.1</v>
      </c>
    </row>
    <row r="251" spans="1:15" x14ac:dyDescent="0.25">
      <c r="A251" t="s">
        <v>426</v>
      </c>
      <c r="B251" t="s">
        <v>175</v>
      </c>
      <c r="C251" t="s">
        <v>4190</v>
      </c>
      <c r="D251">
        <v>6155.3</v>
      </c>
      <c r="E251">
        <v>255.7</v>
      </c>
      <c r="F251">
        <v>589.96</v>
      </c>
      <c r="G251">
        <v>5899.6</v>
      </c>
      <c r="H251">
        <v>221</v>
      </c>
      <c r="I251">
        <v>570.1</v>
      </c>
      <c r="J251">
        <v>-34.909999999999997</v>
      </c>
      <c r="K251">
        <v>-349.1</v>
      </c>
      <c r="L251">
        <v>6376.3</v>
      </c>
      <c r="M251">
        <v>825.8</v>
      </c>
      <c r="N251">
        <v>555.05000000000007</v>
      </c>
      <c r="O251">
        <v>5550.5</v>
      </c>
    </row>
    <row r="252" spans="1:15" x14ac:dyDescent="0.25">
      <c r="A252" t="s">
        <v>4355</v>
      </c>
      <c r="B252" t="s">
        <v>76</v>
      </c>
      <c r="C252" t="s">
        <v>4580</v>
      </c>
      <c r="D252">
        <v>394.8</v>
      </c>
      <c r="E252">
        <v>0</v>
      </c>
      <c r="F252">
        <v>39.479999999999997</v>
      </c>
      <c r="G252">
        <v>394.8</v>
      </c>
      <c r="H252">
        <v>7046.4</v>
      </c>
      <c r="I252">
        <v>0</v>
      </c>
      <c r="J252">
        <v>704.64</v>
      </c>
      <c r="K252">
        <v>7046.4</v>
      </c>
      <c r="L252">
        <v>7441.2</v>
      </c>
      <c r="M252">
        <v>0</v>
      </c>
      <c r="N252">
        <v>744.12</v>
      </c>
      <c r="O252">
        <v>7441.2</v>
      </c>
    </row>
    <row r="253" spans="1:15" x14ac:dyDescent="0.25">
      <c r="A253" t="s">
        <v>2910</v>
      </c>
      <c r="B253" t="s">
        <v>155</v>
      </c>
      <c r="C253" t="s">
        <v>4581</v>
      </c>
      <c r="D253">
        <v>185.3</v>
      </c>
      <c r="E253">
        <v>0</v>
      </c>
      <c r="F253">
        <v>18.53</v>
      </c>
      <c r="G253">
        <v>185.3</v>
      </c>
      <c r="H253">
        <v>154.69999999999999</v>
      </c>
      <c r="I253">
        <v>0</v>
      </c>
      <c r="J253">
        <v>15.47</v>
      </c>
      <c r="K253">
        <v>154.69999999999999</v>
      </c>
      <c r="L253">
        <v>340</v>
      </c>
      <c r="M253">
        <v>0</v>
      </c>
      <c r="N253">
        <v>34</v>
      </c>
      <c r="O253">
        <v>340</v>
      </c>
    </row>
    <row r="254" spans="1:15" x14ac:dyDescent="0.25">
      <c r="A254" t="s">
        <v>371</v>
      </c>
      <c r="B254" t="s">
        <v>155</v>
      </c>
      <c r="C254" t="s">
        <v>4191</v>
      </c>
      <c r="D254">
        <v>25.3</v>
      </c>
      <c r="E254">
        <v>0</v>
      </c>
      <c r="F254">
        <v>2.5300000000000002</v>
      </c>
      <c r="G254">
        <v>25.3</v>
      </c>
      <c r="H254">
        <v>10.7</v>
      </c>
      <c r="I254">
        <v>0</v>
      </c>
      <c r="J254">
        <v>1.07</v>
      </c>
      <c r="K254">
        <v>10.7</v>
      </c>
      <c r="L254">
        <v>36</v>
      </c>
      <c r="M254">
        <v>0</v>
      </c>
      <c r="N254">
        <v>3.6000000000000005</v>
      </c>
      <c r="O254">
        <v>36</v>
      </c>
    </row>
    <row r="255" spans="1:15" x14ac:dyDescent="0.25">
      <c r="A255" t="s">
        <v>365</v>
      </c>
      <c r="B255" t="s">
        <v>163</v>
      </c>
      <c r="C255" t="s">
        <v>4429</v>
      </c>
      <c r="D255">
        <v>0</v>
      </c>
      <c r="E255">
        <v>591.4</v>
      </c>
      <c r="F255">
        <v>-59.14</v>
      </c>
      <c r="G255">
        <v>-591.4</v>
      </c>
      <c r="H255">
        <v>0</v>
      </c>
      <c r="I255">
        <v>191.2</v>
      </c>
      <c r="J255">
        <v>-19.12</v>
      </c>
      <c r="K255">
        <v>-191.2</v>
      </c>
      <c r="L255">
        <v>0</v>
      </c>
      <c r="M255">
        <v>782.59999999999991</v>
      </c>
      <c r="N255">
        <v>-78.260000000000005</v>
      </c>
      <c r="O255">
        <v>-782.59999999999991</v>
      </c>
    </row>
    <row r="256" spans="1:15" x14ac:dyDescent="0.25">
      <c r="A256" t="s">
        <v>433</v>
      </c>
      <c r="B256" t="s">
        <v>313</v>
      </c>
      <c r="C256" t="s">
        <v>4430</v>
      </c>
      <c r="D256">
        <v>4.5999999999999996</v>
      </c>
      <c r="E256">
        <v>0</v>
      </c>
      <c r="F256">
        <v>0.46</v>
      </c>
      <c r="G256">
        <v>4.5999999999999996</v>
      </c>
      <c r="H256">
        <v>478.5</v>
      </c>
      <c r="I256">
        <v>0</v>
      </c>
      <c r="J256">
        <v>47.85</v>
      </c>
      <c r="K256">
        <v>478.5</v>
      </c>
      <c r="L256">
        <v>483.1</v>
      </c>
      <c r="M256">
        <v>0</v>
      </c>
      <c r="N256">
        <v>48.31</v>
      </c>
      <c r="O256">
        <v>483.1</v>
      </c>
    </row>
    <row r="257" spans="1:15" x14ac:dyDescent="0.25">
      <c r="A257" t="s">
        <v>2160</v>
      </c>
      <c r="B257" t="s">
        <v>188</v>
      </c>
      <c r="C257" t="s">
        <v>4192</v>
      </c>
      <c r="D257">
        <v>5790.9</v>
      </c>
      <c r="E257">
        <v>191</v>
      </c>
      <c r="F257">
        <v>559.99</v>
      </c>
      <c r="G257">
        <v>5599.9</v>
      </c>
      <c r="H257">
        <v>5866.1</v>
      </c>
      <c r="I257">
        <v>109.4</v>
      </c>
      <c r="J257">
        <v>575.67000000000007</v>
      </c>
      <c r="K257">
        <v>5756.7</v>
      </c>
      <c r="L257">
        <v>11657</v>
      </c>
      <c r="M257">
        <v>300.39999999999998</v>
      </c>
      <c r="N257">
        <v>1135.6600000000001</v>
      </c>
      <c r="O257">
        <v>11356.599999999999</v>
      </c>
    </row>
    <row r="258" spans="1:15" x14ac:dyDescent="0.25">
      <c r="A258" t="s">
        <v>7</v>
      </c>
      <c r="B258" t="s">
        <v>6</v>
      </c>
      <c r="C258" t="s">
        <v>4193</v>
      </c>
      <c r="D258">
        <v>8201.2000000000007</v>
      </c>
      <c r="E258">
        <v>0</v>
      </c>
      <c r="F258">
        <v>820.12</v>
      </c>
      <c r="G258">
        <v>8201.2000000000007</v>
      </c>
      <c r="H258">
        <v>18066.5</v>
      </c>
      <c r="I258">
        <v>0</v>
      </c>
      <c r="J258">
        <v>1806.65</v>
      </c>
      <c r="K258">
        <v>18066.5</v>
      </c>
      <c r="L258">
        <v>26267.7</v>
      </c>
      <c r="M258">
        <v>0</v>
      </c>
      <c r="N258">
        <v>2626.77</v>
      </c>
      <c r="O258">
        <v>26267.7</v>
      </c>
    </row>
    <row r="259" spans="1:15" x14ac:dyDescent="0.25">
      <c r="A259" t="s">
        <v>1883</v>
      </c>
      <c r="B259" t="s">
        <v>132</v>
      </c>
      <c r="C259" t="s">
        <v>4265</v>
      </c>
      <c r="D259">
        <v>200602.25999999998</v>
      </c>
      <c r="E259">
        <v>15985.859999999997</v>
      </c>
      <c r="F259">
        <v>18461.670000000002</v>
      </c>
      <c r="G259">
        <v>184616.39999999997</v>
      </c>
      <c r="H259">
        <v>247879.19</v>
      </c>
      <c r="I259">
        <v>14730.080000000002</v>
      </c>
      <c r="J259">
        <v>23314.919999999991</v>
      </c>
      <c r="K259">
        <v>233149.11000000002</v>
      </c>
      <c r="L259">
        <v>448481.44999999995</v>
      </c>
      <c r="M259">
        <v>30715.94</v>
      </c>
      <c r="N259">
        <v>41776.589999999997</v>
      </c>
      <c r="O259">
        <v>417765.51</v>
      </c>
    </row>
    <row r="260" spans="1:15" x14ac:dyDescent="0.25">
      <c r="A260" t="s">
        <v>1885</v>
      </c>
      <c r="B260" t="s">
        <v>134</v>
      </c>
      <c r="C260" t="s">
        <v>4266</v>
      </c>
      <c r="D260">
        <v>60748.939999999995</v>
      </c>
      <c r="E260">
        <v>6407.9</v>
      </c>
      <c r="F260">
        <v>5434.1</v>
      </c>
      <c r="G260">
        <v>54341.039999999979</v>
      </c>
      <c r="H260">
        <v>81040.10000000002</v>
      </c>
      <c r="I260">
        <v>15618.499999999998</v>
      </c>
      <c r="J260">
        <v>6542.1500000000005</v>
      </c>
      <c r="K260">
        <v>65421.60000000002</v>
      </c>
      <c r="L260">
        <v>141789.04</v>
      </c>
      <c r="M260">
        <v>22026.399999999998</v>
      </c>
      <c r="N260">
        <v>11976.25</v>
      </c>
      <c r="O260">
        <v>119762.64</v>
      </c>
    </row>
    <row r="261" spans="1:15" x14ac:dyDescent="0.25">
      <c r="A261" t="s">
        <v>93</v>
      </c>
      <c r="B261" t="s">
        <v>2143</v>
      </c>
      <c r="C261" t="s">
        <v>4194</v>
      </c>
      <c r="D261">
        <v>207.2</v>
      </c>
      <c r="E261">
        <v>0</v>
      </c>
      <c r="F261">
        <v>20.72</v>
      </c>
      <c r="G261">
        <v>207.2</v>
      </c>
      <c r="H261">
        <v>569.40000000000009</v>
      </c>
      <c r="I261">
        <v>0</v>
      </c>
      <c r="J261">
        <v>56.94</v>
      </c>
      <c r="K261">
        <v>569.40000000000009</v>
      </c>
      <c r="L261">
        <v>776.60000000000014</v>
      </c>
      <c r="M261">
        <v>0</v>
      </c>
      <c r="N261">
        <v>77.66</v>
      </c>
      <c r="O261">
        <v>776.60000000000014</v>
      </c>
    </row>
    <row r="262" spans="1:15" x14ac:dyDescent="0.25">
      <c r="A262" t="s">
        <v>2838</v>
      </c>
      <c r="B262" t="s">
        <v>81</v>
      </c>
      <c r="C262" t="s">
        <v>4332</v>
      </c>
      <c r="D262">
        <v>207.1</v>
      </c>
      <c r="E262">
        <v>0</v>
      </c>
      <c r="F262">
        <v>20.71</v>
      </c>
      <c r="G262">
        <v>207.1</v>
      </c>
      <c r="L262">
        <v>207.1</v>
      </c>
      <c r="M262">
        <v>0</v>
      </c>
      <c r="N262">
        <v>20.71</v>
      </c>
      <c r="O262">
        <v>207.1</v>
      </c>
    </row>
    <row r="263" spans="1:15" x14ac:dyDescent="0.25">
      <c r="A263" t="s">
        <v>2256</v>
      </c>
      <c r="B263" t="s">
        <v>66</v>
      </c>
      <c r="C263" t="s">
        <v>4333</v>
      </c>
      <c r="D263">
        <v>126.7</v>
      </c>
      <c r="E263">
        <v>0</v>
      </c>
      <c r="F263">
        <v>12.67</v>
      </c>
      <c r="G263">
        <v>126.7</v>
      </c>
      <c r="H263">
        <v>84.5</v>
      </c>
      <c r="I263">
        <v>0</v>
      </c>
      <c r="J263">
        <v>8.4499999999999993</v>
      </c>
      <c r="K263">
        <v>84.5</v>
      </c>
      <c r="L263">
        <v>211.2</v>
      </c>
      <c r="M263">
        <v>0</v>
      </c>
      <c r="N263">
        <v>21.119999999999997</v>
      </c>
      <c r="O263">
        <v>211.2</v>
      </c>
    </row>
    <row r="264" spans="1:15" x14ac:dyDescent="0.25">
      <c r="A264" t="s">
        <v>611</v>
      </c>
      <c r="B264" t="s">
        <v>204</v>
      </c>
      <c r="C264" t="s">
        <v>4195</v>
      </c>
      <c r="D264">
        <v>115.2</v>
      </c>
      <c r="E264">
        <v>69.900000000000006</v>
      </c>
      <c r="F264">
        <v>4.53</v>
      </c>
      <c r="G264">
        <v>45.3</v>
      </c>
      <c r="H264">
        <v>43.8</v>
      </c>
      <c r="I264">
        <v>0</v>
      </c>
      <c r="J264">
        <v>4.38</v>
      </c>
      <c r="K264">
        <v>43.8</v>
      </c>
      <c r="L264">
        <v>159</v>
      </c>
      <c r="M264">
        <v>69.900000000000006</v>
      </c>
      <c r="N264">
        <v>8.91</v>
      </c>
      <c r="O264">
        <v>89.1</v>
      </c>
    </row>
    <row r="265" spans="1:15" x14ac:dyDescent="0.25">
      <c r="A265" t="s">
        <v>458</v>
      </c>
      <c r="B265" t="s">
        <v>76</v>
      </c>
      <c r="C265" t="s">
        <v>4196</v>
      </c>
      <c r="D265">
        <v>639.6</v>
      </c>
      <c r="E265">
        <v>0</v>
      </c>
      <c r="F265">
        <v>63.96</v>
      </c>
      <c r="G265">
        <v>639.6</v>
      </c>
      <c r="H265">
        <v>1321.2</v>
      </c>
      <c r="I265">
        <v>0</v>
      </c>
      <c r="J265">
        <v>132.12000000000003</v>
      </c>
      <c r="K265">
        <v>1321.2</v>
      </c>
      <c r="L265">
        <v>1960.8000000000002</v>
      </c>
      <c r="M265">
        <v>0</v>
      </c>
      <c r="N265">
        <v>196.08000000000004</v>
      </c>
      <c r="O265">
        <v>1960.8000000000002</v>
      </c>
    </row>
    <row r="266" spans="1:15" x14ac:dyDescent="0.25">
      <c r="A266" t="s">
        <v>2305</v>
      </c>
      <c r="B266" t="s">
        <v>2143</v>
      </c>
      <c r="C266" t="s">
        <v>4294</v>
      </c>
      <c r="D266">
        <v>299.8</v>
      </c>
      <c r="E266">
        <v>0</v>
      </c>
      <c r="F266">
        <v>29.98</v>
      </c>
      <c r="G266">
        <v>299.8</v>
      </c>
      <c r="H266">
        <v>281.8</v>
      </c>
      <c r="I266">
        <v>0</v>
      </c>
      <c r="J266">
        <v>28.18</v>
      </c>
      <c r="K266">
        <v>281.8</v>
      </c>
      <c r="L266">
        <v>581.6</v>
      </c>
      <c r="M266">
        <v>0</v>
      </c>
      <c r="N266">
        <v>58.16</v>
      </c>
      <c r="O266">
        <v>581.6</v>
      </c>
    </row>
    <row r="267" spans="1:15" x14ac:dyDescent="0.25">
      <c r="A267" t="s">
        <v>2721</v>
      </c>
      <c r="B267" t="s">
        <v>2143</v>
      </c>
      <c r="C267" t="s">
        <v>4267</v>
      </c>
      <c r="D267">
        <v>188.1</v>
      </c>
      <c r="E267">
        <v>0</v>
      </c>
      <c r="F267">
        <v>18.810000000000002</v>
      </c>
      <c r="G267">
        <v>188.1</v>
      </c>
      <c r="H267">
        <v>793.69999999999993</v>
      </c>
      <c r="I267">
        <v>0</v>
      </c>
      <c r="J267">
        <v>79.37</v>
      </c>
      <c r="K267">
        <v>793.69999999999993</v>
      </c>
      <c r="L267">
        <v>981.8</v>
      </c>
      <c r="M267">
        <v>0</v>
      </c>
      <c r="N267">
        <v>98.18</v>
      </c>
      <c r="O267">
        <v>981.8</v>
      </c>
    </row>
    <row r="268" spans="1:15" x14ac:dyDescent="0.25">
      <c r="A268" t="s">
        <v>495</v>
      </c>
      <c r="B268" t="s">
        <v>190</v>
      </c>
      <c r="C268" t="s">
        <v>4431</v>
      </c>
      <c r="D268">
        <v>5.4</v>
      </c>
      <c r="E268">
        <v>0</v>
      </c>
      <c r="F268">
        <v>0.54</v>
      </c>
      <c r="G268">
        <v>5.4</v>
      </c>
      <c r="L268">
        <v>5.4</v>
      </c>
      <c r="M268">
        <v>0</v>
      </c>
      <c r="N268">
        <v>0.54</v>
      </c>
      <c r="O268">
        <v>5.4</v>
      </c>
    </row>
    <row r="269" spans="1:15" x14ac:dyDescent="0.25">
      <c r="A269" t="s">
        <v>2003</v>
      </c>
      <c r="B269" t="s">
        <v>13</v>
      </c>
      <c r="C269" t="s">
        <v>4582</v>
      </c>
      <c r="D269">
        <v>779.9</v>
      </c>
      <c r="E269">
        <v>0</v>
      </c>
      <c r="F269">
        <v>77.990000000000009</v>
      </c>
      <c r="G269">
        <v>779.9</v>
      </c>
      <c r="H269">
        <v>1199.5999999999999</v>
      </c>
      <c r="I269">
        <v>0</v>
      </c>
      <c r="J269">
        <v>119.96000000000001</v>
      </c>
      <c r="K269">
        <v>1199.5999999999999</v>
      </c>
      <c r="L269">
        <v>1979.5</v>
      </c>
      <c r="M269">
        <v>0</v>
      </c>
      <c r="N269">
        <v>197.95000000000002</v>
      </c>
      <c r="O269">
        <v>1979.5</v>
      </c>
    </row>
    <row r="270" spans="1:15" x14ac:dyDescent="0.25">
      <c r="A270" t="s">
        <v>2420</v>
      </c>
      <c r="B270" t="s">
        <v>161</v>
      </c>
      <c r="C270" t="s">
        <v>4583</v>
      </c>
      <c r="D270">
        <v>708.3</v>
      </c>
      <c r="E270">
        <v>0</v>
      </c>
      <c r="F270">
        <v>70.83</v>
      </c>
      <c r="G270">
        <v>708.3</v>
      </c>
      <c r="H270">
        <v>3.6</v>
      </c>
      <c r="I270">
        <v>0</v>
      </c>
      <c r="J270">
        <v>0.36</v>
      </c>
      <c r="K270">
        <v>3.6</v>
      </c>
      <c r="L270">
        <v>711.9</v>
      </c>
      <c r="M270">
        <v>0</v>
      </c>
      <c r="N270">
        <v>71.19</v>
      </c>
      <c r="O270">
        <v>711.9</v>
      </c>
    </row>
    <row r="271" spans="1:15" x14ac:dyDescent="0.25">
      <c r="A271" t="s">
        <v>480</v>
      </c>
      <c r="B271" t="s">
        <v>284</v>
      </c>
      <c r="C271" t="s">
        <v>4197</v>
      </c>
      <c r="D271">
        <v>858.4</v>
      </c>
      <c r="E271">
        <v>0</v>
      </c>
      <c r="F271">
        <v>85.84</v>
      </c>
      <c r="G271">
        <v>858.4</v>
      </c>
      <c r="H271">
        <v>5745.5</v>
      </c>
      <c r="I271">
        <v>0</v>
      </c>
      <c r="J271">
        <v>574.54999999999995</v>
      </c>
      <c r="K271">
        <v>5745.5</v>
      </c>
      <c r="L271">
        <v>6603.9</v>
      </c>
      <c r="M271">
        <v>0</v>
      </c>
      <c r="N271">
        <v>660.39</v>
      </c>
      <c r="O271">
        <v>6603.9</v>
      </c>
    </row>
    <row r="272" spans="1:15" x14ac:dyDescent="0.25">
      <c r="A272" t="s">
        <v>532</v>
      </c>
      <c r="B272" t="s">
        <v>50</v>
      </c>
      <c r="C272" t="s">
        <v>4198</v>
      </c>
      <c r="D272">
        <v>298.60000000000002</v>
      </c>
      <c r="E272">
        <v>0</v>
      </c>
      <c r="F272">
        <v>29.86</v>
      </c>
      <c r="G272">
        <v>298.60000000000002</v>
      </c>
      <c r="H272">
        <v>2281.6</v>
      </c>
      <c r="I272">
        <v>0</v>
      </c>
      <c r="J272">
        <v>228.16000000000003</v>
      </c>
      <c r="K272">
        <v>2281.6</v>
      </c>
      <c r="L272">
        <v>2580.1999999999998</v>
      </c>
      <c r="M272">
        <v>0</v>
      </c>
      <c r="N272">
        <v>258.02000000000004</v>
      </c>
      <c r="O272">
        <v>2580.1999999999998</v>
      </c>
    </row>
    <row r="273" spans="1:15" x14ac:dyDescent="0.25">
      <c r="A273" t="s">
        <v>2257</v>
      </c>
      <c r="B273" t="s">
        <v>8</v>
      </c>
      <c r="C273" t="s">
        <v>4432</v>
      </c>
      <c r="D273">
        <v>5.4</v>
      </c>
      <c r="E273">
        <v>0</v>
      </c>
      <c r="F273">
        <v>0.54</v>
      </c>
      <c r="G273">
        <v>5.4</v>
      </c>
      <c r="H273">
        <v>103.3</v>
      </c>
      <c r="I273">
        <v>0</v>
      </c>
      <c r="J273">
        <v>10.33</v>
      </c>
      <c r="K273">
        <v>103.3</v>
      </c>
      <c r="L273">
        <v>108.7</v>
      </c>
      <c r="M273">
        <v>0</v>
      </c>
      <c r="N273">
        <v>10.870000000000001</v>
      </c>
      <c r="O273">
        <v>108.7</v>
      </c>
    </row>
    <row r="274" spans="1:15" x14ac:dyDescent="0.25">
      <c r="A274" t="s">
        <v>2258</v>
      </c>
      <c r="B274" t="s">
        <v>2143</v>
      </c>
      <c r="C274" t="s">
        <v>4584</v>
      </c>
      <c r="D274">
        <v>688.6</v>
      </c>
      <c r="E274">
        <v>0</v>
      </c>
      <c r="F274">
        <v>68.86</v>
      </c>
      <c r="G274">
        <v>688.6</v>
      </c>
      <c r="H274">
        <v>478.1</v>
      </c>
      <c r="I274">
        <v>0</v>
      </c>
      <c r="J274">
        <v>47.81</v>
      </c>
      <c r="K274">
        <v>478.1</v>
      </c>
      <c r="L274">
        <v>1166.7</v>
      </c>
      <c r="M274">
        <v>0</v>
      </c>
      <c r="N274">
        <v>116.67</v>
      </c>
      <c r="O274">
        <v>1166.7</v>
      </c>
    </row>
    <row r="275" spans="1:15" x14ac:dyDescent="0.25">
      <c r="A275" t="s">
        <v>2124</v>
      </c>
      <c r="B275" t="s">
        <v>194</v>
      </c>
      <c r="C275" t="s">
        <v>4334</v>
      </c>
      <c r="D275">
        <v>15822.4</v>
      </c>
      <c r="E275">
        <v>7826.9</v>
      </c>
      <c r="F275">
        <v>799.55</v>
      </c>
      <c r="G275">
        <v>7995.5</v>
      </c>
      <c r="H275">
        <v>10439.700000000001</v>
      </c>
      <c r="I275">
        <v>6006.3</v>
      </c>
      <c r="J275">
        <v>443.34</v>
      </c>
      <c r="K275">
        <v>4433.3999999999996</v>
      </c>
      <c r="L275">
        <v>26262.1</v>
      </c>
      <c r="M275">
        <v>13833.2</v>
      </c>
      <c r="N275">
        <v>1242.8899999999999</v>
      </c>
      <c r="O275">
        <v>12428.9</v>
      </c>
    </row>
    <row r="276" spans="1:15" x14ac:dyDescent="0.25">
      <c r="A276" t="s">
        <v>428</v>
      </c>
      <c r="B276" t="s">
        <v>38</v>
      </c>
      <c r="C276" t="s">
        <v>4199</v>
      </c>
      <c r="D276">
        <v>207</v>
      </c>
      <c r="E276">
        <v>126.4</v>
      </c>
      <c r="F276">
        <v>8.0599999999999987</v>
      </c>
      <c r="G276">
        <v>80.599999999999994</v>
      </c>
      <c r="L276">
        <v>207</v>
      </c>
      <c r="M276">
        <v>126.4</v>
      </c>
      <c r="N276">
        <v>8.0599999999999987</v>
      </c>
      <c r="O276">
        <v>80.599999999999994</v>
      </c>
    </row>
    <row r="277" spans="1:15" x14ac:dyDescent="0.25">
      <c r="A277" t="s">
        <v>4232</v>
      </c>
      <c r="B277" t="s">
        <v>35</v>
      </c>
      <c r="C277" t="s">
        <v>4585</v>
      </c>
      <c r="D277">
        <v>10.8</v>
      </c>
      <c r="E277">
        <v>0</v>
      </c>
      <c r="F277">
        <v>1.08</v>
      </c>
      <c r="G277">
        <v>10.8</v>
      </c>
      <c r="H277">
        <v>206.6</v>
      </c>
      <c r="I277">
        <v>0</v>
      </c>
      <c r="J277">
        <v>20.66</v>
      </c>
      <c r="K277">
        <v>206.6</v>
      </c>
      <c r="L277">
        <v>217.4</v>
      </c>
      <c r="M277">
        <v>0</v>
      </c>
      <c r="N277">
        <v>21.740000000000002</v>
      </c>
      <c r="O277">
        <v>217.4</v>
      </c>
    </row>
    <row r="278" spans="1:15" x14ac:dyDescent="0.25">
      <c r="A278" t="s">
        <v>363</v>
      </c>
      <c r="B278" t="s">
        <v>170</v>
      </c>
      <c r="C278" t="s">
        <v>4200</v>
      </c>
      <c r="D278">
        <v>5033</v>
      </c>
      <c r="E278">
        <v>0</v>
      </c>
      <c r="F278">
        <v>503.29999999999995</v>
      </c>
      <c r="G278">
        <v>5033</v>
      </c>
      <c r="H278">
        <v>10137.6</v>
      </c>
      <c r="I278">
        <v>0</v>
      </c>
      <c r="J278">
        <v>1013.7600000000001</v>
      </c>
      <c r="K278">
        <v>10137.6</v>
      </c>
      <c r="L278">
        <v>15170.6</v>
      </c>
      <c r="M278">
        <v>0</v>
      </c>
      <c r="N278">
        <v>1517.06</v>
      </c>
      <c r="O278">
        <v>15170.6</v>
      </c>
    </row>
    <row r="279" spans="1:15" x14ac:dyDescent="0.25">
      <c r="A279" t="s">
        <v>2002</v>
      </c>
      <c r="B279" t="s">
        <v>135</v>
      </c>
      <c r="C279" t="s">
        <v>4201</v>
      </c>
      <c r="D279">
        <v>55824</v>
      </c>
      <c r="E279">
        <v>0</v>
      </c>
      <c r="F279">
        <v>5582.4</v>
      </c>
      <c r="G279">
        <v>55824</v>
      </c>
      <c r="H279">
        <v>53326.400000000001</v>
      </c>
      <c r="I279">
        <v>0</v>
      </c>
      <c r="J279">
        <v>5332.64</v>
      </c>
      <c r="K279">
        <v>53326.400000000001</v>
      </c>
      <c r="L279">
        <v>109150.39999999999</v>
      </c>
      <c r="M279">
        <v>0</v>
      </c>
      <c r="N279">
        <v>10915.04</v>
      </c>
      <c r="O279">
        <v>109150.39999999999</v>
      </c>
    </row>
    <row r="280" spans="1:15" x14ac:dyDescent="0.25">
      <c r="A280" t="s">
        <v>545</v>
      </c>
      <c r="B280" t="s">
        <v>184</v>
      </c>
      <c r="C280" t="s">
        <v>4202</v>
      </c>
      <c r="D280">
        <v>5.4</v>
      </c>
      <c r="E280">
        <v>0</v>
      </c>
      <c r="F280">
        <v>0.54</v>
      </c>
      <c r="G280">
        <v>5.4</v>
      </c>
      <c r="H280">
        <v>103.3</v>
      </c>
      <c r="I280">
        <v>0</v>
      </c>
      <c r="J280">
        <v>10.33</v>
      </c>
      <c r="K280">
        <v>103.3</v>
      </c>
      <c r="L280">
        <v>108.7</v>
      </c>
      <c r="M280">
        <v>0</v>
      </c>
      <c r="N280">
        <v>10.870000000000001</v>
      </c>
      <c r="O280">
        <v>108.7</v>
      </c>
    </row>
    <row r="281" spans="1:15" x14ac:dyDescent="0.25">
      <c r="A281" t="s">
        <v>2024</v>
      </c>
      <c r="B281" t="s">
        <v>136</v>
      </c>
      <c r="C281" t="s">
        <v>4268</v>
      </c>
      <c r="D281">
        <v>91708.69</v>
      </c>
      <c r="E281">
        <v>1476.6000000000001</v>
      </c>
      <c r="F281">
        <v>9023.2100000000009</v>
      </c>
      <c r="G281">
        <v>90232.09</v>
      </c>
      <c r="H281">
        <v>86019.280000000028</v>
      </c>
      <c r="I281">
        <v>4266.3999999999996</v>
      </c>
      <c r="J281">
        <v>8175.2899999999981</v>
      </c>
      <c r="K281">
        <v>81752.880000000019</v>
      </c>
      <c r="L281">
        <v>177727.97000000003</v>
      </c>
      <c r="M281">
        <v>5743</v>
      </c>
      <c r="N281">
        <v>17198.5</v>
      </c>
      <c r="O281">
        <v>171984.97000000003</v>
      </c>
    </row>
    <row r="282" spans="1:15" x14ac:dyDescent="0.25">
      <c r="A282" t="s">
        <v>643</v>
      </c>
      <c r="B282" t="s">
        <v>76</v>
      </c>
      <c r="C282" t="s">
        <v>4586</v>
      </c>
      <c r="D282">
        <v>155.6</v>
      </c>
      <c r="E282">
        <v>0</v>
      </c>
      <c r="F282">
        <v>15.56</v>
      </c>
      <c r="G282">
        <v>155.6</v>
      </c>
      <c r="H282">
        <v>107.3</v>
      </c>
      <c r="I282">
        <v>0</v>
      </c>
      <c r="J282">
        <v>10.73</v>
      </c>
      <c r="K282">
        <v>107.3</v>
      </c>
      <c r="L282">
        <v>262.89999999999998</v>
      </c>
      <c r="M282">
        <v>0</v>
      </c>
      <c r="N282">
        <v>26.29</v>
      </c>
      <c r="O282">
        <v>262.89999999999998</v>
      </c>
    </row>
    <row r="283" spans="1:15" x14ac:dyDescent="0.25">
      <c r="A283" t="s">
        <v>2213</v>
      </c>
      <c r="B283" t="s">
        <v>135</v>
      </c>
      <c r="C283" t="s">
        <v>4203</v>
      </c>
      <c r="D283">
        <v>2041.1</v>
      </c>
      <c r="E283">
        <v>0</v>
      </c>
      <c r="F283">
        <v>204.10999999999996</v>
      </c>
      <c r="G283">
        <v>2041.1</v>
      </c>
      <c r="H283">
        <v>1849.6</v>
      </c>
      <c r="I283">
        <v>0</v>
      </c>
      <c r="J283">
        <v>184.95999999999998</v>
      </c>
      <c r="K283">
        <v>1849.6</v>
      </c>
      <c r="L283">
        <v>3890.7</v>
      </c>
      <c r="M283">
        <v>0</v>
      </c>
      <c r="N283">
        <v>389.06999999999994</v>
      </c>
      <c r="O283">
        <v>3890.7</v>
      </c>
    </row>
    <row r="284" spans="1:15" x14ac:dyDescent="0.25">
      <c r="A284" t="s">
        <v>260</v>
      </c>
      <c r="B284" t="s">
        <v>66</v>
      </c>
      <c r="C284" t="s">
        <v>4204</v>
      </c>
      <c r="D284">
        <v>740.5</v>
      </c>
      <c r="E284">
        <v>0</v>
      </c>
      <c r="F284">
        <v>74.05</v>
      </c>
      <c r="G284">
        <v>740.5</v>
      </c>
      <c r="H284">
        <v>675.9</v>
      </c>
      <c r="I284">
        <v>0</v>
      </c>
      <c r="J284">
        <v>67.59</v>
      </c>
      <c r="K284">
        <v>675.9</v>
      </c>
      <c r="L284">
        <v>1416.4</v>
      </c>
      <c r="M284">
        <v>0</v>
      </c>
      <c r="N284">
        <v>141.63999999999999</v>
      </c>
      <c r="O284">
        <v>1416.4</v>
      </c>
    </row>
    <row r="285" spans="1:15" x14ac:dyDescent="0.25">
      <c r="A285" t="s">
        <v>1998</v>
      </c>
      <c r="B285" t="s">
        <v>163</v>
      </c>
      <c r="C285" t="s">
        <v>4335</v>
      </c>
      <c r="D285">
        <v>528.79999999999995</v>
      </c>
      <c r="E285">
        <v>0</v>
      </c>
      <c r="F285">
        <v>52.88</v>
      </c>
      <c r="G285">
        <v>528.79999999999995</v>
      </c>
      <c r="H285">
        <v>296.7</v>
      </c>
      <c r="I285">
        <v>0</v>
      </c>
      <c r="J285">
        <v>29.67</v>
      </c>
      <c r="K285">
        <v>296.7</v>
      </c>
      <c r="L285">
        <v>825.5</v>
      </c>
      <c r="M285">
        <v>0</v>
      </c>
      <c r="N285">
        <v>82.550000000000011</v>
      </c>
      <c r="O285">
        <v>825.5</v>
      </c>
    </row>
    <row r="286" spans="1:15" x14ac:dyDescent="0.25">
      <c r="A286" t="s">
        <v>2259</v>
      </c>
      <c r="B286" t="s">
        <v>284</v>
      </c>
      <c r="C286" t="s">
        <v>4205</v>
      </c>
      <c r="D286">
        <v>45</v>
      </c>
      <c r="E286">
        <v>0</v>
      </c>
      <c r="F286">
        <v>4.5</v>
      </c>
      <c r="G286">
        <v>45</v>
      </c>
      <c r="H286">
        <v>402.8</v>
      </c>
      <c r="I286">
        <v>0</v>
      </c>
      <c r="J286">
        <v>40.28</v>
      </c>
      <c r="K286">
        <v>402.8</v>
      </c>
      <c r="L286">
        <v>447.8</v>
      </c>
      <c r="M286">
        <v>0</v>
      </c>
      <c r="N286">
        <v>44.78</v>
      </c>
      <c r="O286">
        <v>447.8</v>
      </c>
    </row>
    <row r="287" spans="1:15" x14ac:dyDescent="0.25">
      <c r="A287" t="s">
        <v>2529</v>
      </c>
      <c r="B287" t="s">
        <v>204</v>
      </c>
      <c r="C287" t="s">
        <v>4587</v>
      </c>
      <c r="D287">
        <v>3330.8</v>
      </c>
      <c r="E287">
        <v>0</v>
      </c>
      <c r="F287">
        <v>333.08</v>
      </c>
      <c r="G287">
        <v>3330.8</v>
      </c>
      <c r="H287">
        <v>3426.5</v>
      </c>
      <c r="I287">
        <v>0</v>
      </c>
      <c r="J287">
        <v>342.65</v>
      </c>
      <c r="K287">
        <v>3426.5</v>
      </c>
      <c r="L287">
        <v>6757.3</v>
      </c>
      <c r="M287">
        <v>0</v>
      </c>
      <c r="N287">
        <v>675.73</v>
      </c>
      <c r="O287">
        <v>6757.3</v>
      </c>
    </row>
    <row r="288" spans="1:15" x14ac:dyDescent="0.25">
      <c r="A288" t="s">
        <v>2260</v>
      </c>
      <c r="B288" t="s">
        <v>2143</v>
      </c>
      <c r="C288" t="s">
        <v>4269</v>
      </c>
      <c r="D288">
        <v>4256.9999999999991</v>
      </c>
      <c r="E288">
        <v>0</v>
      </c>
      <c r="F288">
        <v>425.70000000000005</v>
      </c>
      <c r="G288">
        <v>4256.9999999999991</v>
      </c>
      <c r="H288">
        <v>1005.5</v>
      </c>
      <c r="I288">
        <v>0</v>
      </c>
      <c r="J288">
        <v>100.55</v>
      </c>
      <c r="K288">
        <v>1005.5</v>
      </c>
      <c r="L288">
        <v>5262.4999999999991</v>
      </c>
      <c r="M288">
        <v>0</v>
      </c>
      <c r="N288">
        <v>526.25</v>
      </c>
      <c r="O288">
        <v>5262.4999999999991</v>
      </c>
    </row>
    <row r="289" spans="1:15" x14ac:dyDescent="0.25">
      <c r="A289" t="s">
        <v>243</v>
      </c>
      <c r="B289" t="s">
        <v>204</v>
      </c>
      <c r="C289" t="s">
        <v>4588</v>
      </c>
      <c r="D289">
        <v>45</v>
      </c>
      <c r="E289">
        <v>0</v>
      </c>
      <c r="F289">
        <v>4.5</v>
      </c>
      <c r="G289">
        <v>45</v>
      </c>
      <c r="H289">
        <v>402.8</v>
      </c>
      <c r="I289">
        <v>0</v>
      </c>
      <c r="J289">
        <v>40.28</v>
      </c>
      <c r="K289">
        <v>402.8</v>
      </c>
      <c r="L289">
        <v>447.8</v>
      </c>
      <c r="M289">
        <v>0</v>
      </c>
      <c r="N289">
        <v>44.78</v>
      </c>
      <c r="O289">
        <v>447.8</v>
      </c>
    </row>
    <row r="290" spans="1:15" x14ac:dyDescent="0.25">
      <c r="A290" t="s">
        <v>328</v>
      </c>
      <c r="B290" t="s">
        <v>38</v>
      </c>
      <c r="C290" t="s">
        <v>4206</v>
      </c>
      <c r="D290">
        <v>5.4</v>
      </c>
      <c r="E290">
        <v>0</v>
      </c>
      <c r="F290">
        <v>0.54</v>
      </c>
      <c r="G290">
        <v>5.4</v>
      </c>
      <c r="H290">
        <v>103.3</v>
      </c>
      <c r="I290">
        <v>0</v>
      </c>
      <c r="J290">
        <v>10.33</v>
      </c>
      <c r="K290">
        <v>103.3</v>
      </c>
      <c r="L290">
        <v>108.7</v>
      </c>
      <c r="M290">
        <v>0</v>
      </c>
      <c r="N290">
        <v>10.870000000000001</v>
      </c>
      <c r="O290">
        <v>108.7</v>
      </c>
    </row>
    <row r="291" spans="1:15" x14ac:dyDescent="0.25">
      <c r="A291" t="s">
        <v>359</v>
      </c>
      <c r="B291" t="s">
        <v>358</v>
      </c>
      <c r="C291" t="s">
        <v>4207</v>
      </c>
      <c r="D291">
        <v>902.6</v>
      </c>
      <c r="E291">
        <v>317.60000000000002</v>
      </c>
      <c r="F291">
        <v>58.5</v>
      </c>
      <c r="G291">
        <v>585</v>
      </c>
      <c r="H291">
        <v>249.7</v>
      </c>
      <c r="I291">
        <v>196</v>
      </c>
      <c r="J291">
        <v>5.37</v>
      </c>
      <c r="K291">
        <v>53.7</v>
      </c>
      <c r="L291">
        <v>1152.3</v>
      </c>
      <c r="M291">
        <v>513.6</v>
      </c>
      <c r="N291">
        <v>63.87</v>
      </c>
      <c r="O291">
        <v>638.70000000000005</v>
      </c>
    </row>
    <row r="292" spans="1:15" x14ac:dyDescent="0.25">
      <c r="A292" t="s">
        <v>374</v>
      </c>
      <c r="B292" t="s">
        <v>76</v>
      </c>
      <c r="C292" t="s">
        <v>4208</v>
      </c>
      <c r="D292">
        <v>1611</v>
      </c>
      <c r="E292">
        <v>5.4</v>
      </c>
      <c r="F292">
        <v>160.55999999999997</v>
      </c>
      <c r="G292">
        <v>1605.6</v>
      </c>
      <c r="H292">
        <v>3013.5</v>
      </c>
      <c r="I292">
        <v>103.3</v>
      </c>
      <c r="J292">
        <v>291.02</v>
      </c>
      <c r="K292">
        <v>2910.2</v>
      </c>
      <c r="L292">
        <v>4624.5</v>
      </c>
      <c r="M292">
        <v>108.7</v>
      </c>
      <c r="N292">
        <v>451.57999999999993</v>
      </c>
      <c r="O292">
        <v>4515.7999999999993</v>
      </c>
    </row>
    <row r="293" spans="1:15" x14ac:dyDescent="0.25">
      <c r="A293" t="s">
        <v>2797</v>
      </c>
      <c r="B293" t="s">
        <v>137</v>
      </c>
      <c r="C293" t="s">
        <v>4270</v>
      </c>
      <c r="D293">
        <v>216020.67000000004</v>
      </c>
      <c r="E293">
        <v>7856.3999999999987</v>
      </c>
      <c r="F293">
        <v>20816.43</v>
      </c>
      <c r="G293">
        <v>208164.27</v>
      </c>
      <c r="H293">
        <v>207358.85000000003</v>
      </c>
      <c r="I293">
        <v>5267.24</v>
      </c>
      <c r="J293">
        <v>20209.149999999994</v>
      </c>
      <c r="K293">
        <v>202091.61000000002</v>
      </c>
      <c r="L293">
        <v>423379.52000000008</v>
      </c>
      <c r="M293">
        <v>13123.64</v>
      </c>
      <c r="N293">
        <v>41025.579999999994</v>
      </c>
      <c r="O293">
        <v>410255.88</v>
      </c>
    </row>
    <row r="294" spans="1:15" x14ac:dyDescent="0.25">
      <c r="A294" t="s">
        <v>444</v>
      </c>
      <c r="B294" t="s">
        <v>173</v>
      </c>
      <c r="C294" t="s">
        <v>4589</v>
      </c>
      <c r="D294">
        <v>328.5</v>
      </c>
      <c r="E294">
        <v>0</v>
      </c>
      <c r="F294">
        <v>32.85</v>
      </c>
      <c r="G294">
        <v>328.5</v>
      </c>
      <c r="H294">
        <v>229.1</v>
      </c>
      <c r="I294">
        <v>0</v>
      </c>
      <c r="J294">
        <v>22.91</v>
      </c>
      <c r="K294">
        <v>229.1</v>
      </c>
      <c r="L294">
        <v>557.6</v>
      </c>
      <c r="M294">
        <v>0</v>
      </c>
      <c r="N294">
        <v>55.760000000000005</v>
      </c>
      <c r="O294">
        <v>557.6</v>
      </c>
    </row>
    <row r="295" spans="1:15" x14ac:dyDescent="0.25">
      <c r="A295" t="s">
        <v>2063</v>
      </c>
      <c r="B295" t="s">
        <v>148</v>
      </c>
      <c r="C295" t="s">
        <v>4433</v>
      </c>
      <c r="D295">
        <v>1495</v>
      </c>
      <c r="E295">
        <v>0</v>
      </c>
      <c r="F295">
        <v>149.5</v>
      </c>
      <c r="G295">
        <v>1495</v>
      </c>
      <c r="H295">
        <v>929.6</v>
      </c>
      <c r="I295">
        <v>0</v>
      </c>
      <c r="J295">
        <v>92.96</v>
      </c>
      <c r="K295">
        <v>929.6</v>
      </c>
      <c r="L295">
        <v>2424.6</v>
      </c>
      <c r="M295">
        <v>0</v>
      </c>
      <c r="N295">
        <v>242.45999999999998</v>
      </c>
      <c r="O295">
        <v>2424.6</v>
      </c>
    </row>
    <row r="296" spans="1:15" x14ac:dyDescent="0.25">
      <c r="A296" t="s">
        <v>319</v>
      </c>
      <c r="B296" t="s">
        <v>163</v>
      </c>
      <c r="C296" t="s">
        <v>4209</v>
      </c>
      <c r="D296">
        <v>855.3</v>
      </c>
      <c r="E296">
        <v>7227.1</v>
      </c>
      <c r="F296">
        <v>-637.17999999999995</v>
      </c>
      <c r="G296">
        <v>-6371.8</v>
      </c>
      <c r="H296">
        <v>255.3</v>
      </c>
      <c r="I296">
        <v>3401</v>
      </c>
      <c r="J296">
        <v>-314.57</v>
      </c>
      <c r="K296">
        <v>-3145.7</v>
      </c>
      <c r="L296">
        <v>1110.5999999999999</v>
      </c>
      <c r="M296">
        <v>10628.1</v>
      </c>
      <c r="N296">
        <v>-951.75</v>
      </c>
      <c r="O296">
        <v>-9517.5</v>
      </c>
    </row>
    <row r="297" spans="1:15" x14ac:dyDescent="0.25">
      <c r="A297" t="s">
        <v>2059</v>
      </c>
      <c r="B297" t="s">
        <v>35</v>
      </c>
      <c r="C297" t="s">
        <v>4210</v>
      </c>
      <c r="D297">
        <v>2754</v>
      </c>
      <c r="E297">
        <v>0</v>
      </c>
      <c r="F297">
        <v>275.39999999999998</v>
      </c>
      <c r="G297">
        <v>2754</v>
      </c>
      <c r="H297">
        <v>2737.5</v>
      </c>
      <c r="I297">
        <v>0</v>
      </c>
      <c r="J297">
        <v>273.75</v>
      </c>
      <c r="K297">
        <v>2737.5</v>
      </c>
      <c r="L297">
        <v>5491.5</v>
      </c>
      <c r="M297">
        <v>0</v>
      </c>
      <c r="N297">
        <v>549.15</v>
      </c>
      <c r="O297">
        <v>5491.5</v>
      </c>
    </row>
    <row r="298" spans="1:15" x14ac:dyDescent="0.25">
      <c r="A298" t="s">
        <v>270</v>
      </c>
      <c r="B298" t="s">
        <v>204</v>
      </c>
      <c r="C298" t="s">
        <v>4211</v>
      </c>
      <c r="D298">
        <v>625</v>
      </c>
      <c r="E298">
        <v>0</v>
      </c>
      <c r="F298">
        <v>62.5</v>
      </c>
      <c r="G298">
        <v>625</v>
      </c>
      <c r="H298">
        <v>919.6</v>
      </c>
      <c r="I298">
        <v>0</v>
      </c>
      <c r="J298">
        <v>91.960000000000008</v>
      </c>
      <c r="K298">
        <v>919.6</v>
      </c>
      <c r="L298">
        <v>1544.6</v>
      </c>
      <c r="M298">
        <v>0</v>
      </c>
      <c r="N298">
        <v>154.46</v>
      </c>
      <c r="O298">
        <v>1544.6</v>
      </c>
    </row>
    <row r="299" spans="1:15" x14ac:dyDescent="0.25">
      <c r="A299" t="s">
        <v>2023</v>
      </c>
      <c r="B299" t="s">
        <v>147</v>
      </c>
      <c r="C299" t="s">
        <v>4271</v>
      </c>
      <c r="D299">
        <v>42562.09</v>
      </c>
      <c r="E299">
        <v>2875.9</v>
      </c>
      <c r="F299">
        <v>3968.6200000000003</v>
      </c>
      <c r="G299">
        <v>39686.189999999995</v>
      </c>
      <c r="H299">
        <v>81054.729999999981</v>
      </c>
      <c r="I299">
        <v>5070.1000000000004</v>
      </c>
      <c r="J299">
        <v>7598.46</v>
      </c>
      <c r="K299">
        <v>75984.62999999999</v>
      </c>
      <c r="L299">
        <v>123616.81999999998</v>
      </c>
      <c r="M299">
        <v>7946</v>
      </c>
      <c r="N299">
        <v>11567.08</v>
      </c>
      <c r="O299">
        <v>115670.81999999998</v>
      </c>
    </row>
    <row r="300" spans="1:15" x14ac:dyDescent="0.25">
      <c r="A300" t="s">
        <v>383</v>
      </c>
      <c r="B300" t="s">
        <v>188</v>
      </c>
      <c r="C300" t="s">
        <v>4212</v>
      </c>
      <c r="D300">
        <v>2501.6000000000004</v>
      </c>
      <c r="E300">
        <v>0</v>
      </c>
      <c r="F300">
        <v>250.16000000000003</v>
      </c>
      <c r="G300">
        <v>2501.6000000000004</v>
      </c>
      <c r="H300">
        <v>3640.5999999999995</v>
      </c>
      <c r="I300">
        <v>0</v>
      </c>
      <c r="J300">
        <v>364.06</v>
      </c>
      <c r="K300">
        <v>3640.5999999999995</v>
      </c>
      <c r="L300">
        <v>6142.2</v>
      </c>
      <c r="M300">
        <v>0</v>
      </c>
      <c r="N300">
        <v>614.22</v>
      </c>
      <c r="O300">
        <v>6142.2</v>
      </c>
    </row>
    <row r="301" spans="1:15" x14ac:dyDescent="0.25">
      <c r="A301" t="s">
        <v>245</v>
      </c>
      <c r="B301" t="s">
        <v>141</v>
      </c>
      <c r="C301" t="s">
        <v>4336</v>
      </c>
      <c r="D301">
        <v>78.2</v>
      </c>
      <c r="E301">
        <v>45</v>
      </c>
      <c r="F301">
        <v>3.32</v>
      </c>
      <c r="G301">
        <v>33.200000000000003</v>
      </c>
      <c r="H301">
        <v>423.3</v>
      </c>
      <c r="I301">
        <v>402.8</v>
      </c>
      <c r="J301">
        <v>2.0499999999999998</v>
      </c>
      <c r="K301">
        <v>20.5</v>
      </c>
      <c r="L301">
        <v>501.5</v>
      </c>
      <c r="M301">
        <v>447.8</v>
      </c>
      <c r="N301">
        <v>5.3699999999999992</v>
      </c>
      <c r="O301">
        <v>53.7</v>
      </c>
    </row>
    <row r="302" spans="1:15" x14ac:dyDescent="0.25">
      <c r="A302" t="s">
        <v>2418</v>
      </c>
      <c r="B302" t="s">
        <v>13</v>
      </c>
      <c r="C302" t="s">
        <v>4213</v>
      </c>
      <c r="D302">
        <v>404.9</v>
      </c>
      <c r="E302">
        <v>0</v>
      </c>
      <c r="F302">
        <v>40.49</v>
      </c>
      <c r="G302">
        <v>404.9</v>
      </c>
      <c r="H302">
        <v>300.5</v>
      </c>
      <c r="I302">
        <v>0</v>
      </c>
      <c r="J302">
        <v>30.05</v>
      </c>
      <c r="K302">
        <v>300.5</v>
      </c>
      <c r="L302">
        <v>705.4</v>
      </c>
      <c r="M302">
        <v>0</v>
      </c>
      <c r="N302">
        <v>70.540000000000006</v>
      </c>
      <c r="O302">
        <v>705.4</v>
      </c>
    </row>
    <row r="303" spans="1:15" x14ac:dyDescent="0.25">
      <c r="A303" t="s">
        <v>331</v>
      </c>
      <c r="B303" t="s">
        <v>66</v>
      </c>
      <c r="C303" t="s">
        <v>4434</v>
      </c>
      <c r="D303">
        <v>53.9</v>
      </c>
      <c r="E303">
        <v>0</v>
      </c>
      <c r="F303">
        <v>5.39</v>
      </c>
      <c r="G303">
        <v>53.9</v>
      </c>
      <c r="H303">
        <v>206.6</v>
      </c>
      <c r="I303">
        <v>0</v>
      </c>
      <c r="J303">
        <v>20.66</v>
      </c>
      <c r="K303">
        <v>206.6</v>
      </c>
      <c r="L303">
        <v>260.5</v>
      </c>
      <c r="M303">
        <v>0</v>
      </c>
      <c r="N303">
        <v>26.05</v>
      </c>
      <c r="O303">
        <v>260.5</v>
      </c>
    </row>
    <row r="304" spans="1:15" x14ac:dyDescent="0.25">
      <c r="A304" t="s">
        <v>466</v>
      </c>
      <c r="B304" t="s">
        <v>192</v>
      </c>
      <c r="C304" t="s">
        <v>4435</v>
      </c>
      <c r="D304">
        <v>2274.1</v>
      </c>
      <c r="E304">
        <v>0</v>
      </c>
      <c r="F304">
        <v>227.41</v>
      </c>
      <c r="G304">
        <v>2274.1</v>
      </c>
      <c r="H304">
        <v>153.1</v>
      </c>
      <c r="I304">
        <v>0</v>
      </c>
      <c r="J304">
        <v>15.31</v>
      </c>
      <c r="K304">
        <v>153.1</v>
      </c>
      <c r="L304">
        <v>2427.1999999999998</v>
      </c>
      <c r="M304">
        <v>0</v>
      </c>
      <c r="N304">
        <v>242.72</v>
      </c>
      <c r="O304">
        <v>2427.1999999999998</v>
      </c>
    </row>
    <row r="305" spans="1:15" x14ac:dyDescent="0.25">
      <c r="A305" t="s">
        <v>1816</v>
      </c>
      <c r="B305" t="s">
        <v>67</v>
      </c>
      <c r="C305" t="s">
        <v>4272</v>
      </c>
      <c r="D305">
        <v>3079.4</v>
      </c>
      <c r="E305">
        <v>0</v>
      </c>
      <c r="F305">
        <v>307.94</v>
      </c>
      <c r="G305">
        <v>3079.4</v>
      </c>
      <c r="H305">
        <v>5614.4</v>
      </c>
      <c r="I305">
        <v>0</v>
      </c>
      <c r="J305">
        <v>561.43999999999994</v>
      </c>
      <c r="K305">
        <v>5614.4</v>
      </c>
      <c r="L305">
        <v>8693.7999999999993</v>
      </c>
      <c r="M305">
        <v>0</v>
      </c>
      <c r="N305">
        <v>869.37999999999988</v>
      </c>
      <c r="O305">
        <v>8693.7999999999993</v>
      </c>
    </row>
    <row r="306" spans="1:15" x14ac:dyDescent="0.25">
      <c r="A306" t="s">
        <v>294</v>
      </c>
      <c r="B306" t="s">
        <v>59</v>
      </c>
      <c r="C306" t="s">
        <v>4214</v>
      </c>
      <c r="D306">
        <v>3407.1</v>
      </c>
      <c r="E306">
        <v>23</v>
      </c>
      <c r="F306">
        <v>338.40999999999997</v>
      </c>
      <c r="G306">
        <v>3384.1</v>
      </c>
      <c r="H306">
        <v>12530.6</v>
      </c>
      <c r="I306">
        <v>6.7</v>
      </c>
      <c r="J306">
        <v>1252.3900000000001</v>
      </c>
      <c r="K306">
        <v>12523.9</v>
      </c>
      <c r="L306">
        <v>15937.7</v>
      </c>
      <c r="M306">
        <v>29.7</v>
      </c>
      <c r="N306">
        <v>1590.8000000000002</v>
      </c>
      <c r="O306">
        <v>15908</v>
      </c>
    </row>
    <row r="307" spans="1:15" x14ac:dyDescent="0.25">
      <c r="A307" t="s">
        <v>309</v>
      </c>
      <c r="B307" t="s">
        <v>191</v>
      </c>
      <c r="C307" t="s">
        <v>4215</v>
      </c>
      <c r="D307">
        <v>2502.9</v>
      </c>
      <c r="E307">
        <v>9.3000000000000007</v>
      </c>
      <c r="F307">
        <v>249.35999999999996</v>
      </c>
      <c r="G307">
        <v>2493.6</v>
      </c>
      <c r="H307">
        <v>4624.9000000000005</v>
      </c>
      <c r="I307">
        <v>156.1</v>
      </c>
      <c r="J307">
        <v>446.88000000000005</v>
      </c>
      <c r="K307">
        <v>4468.8</v>
      </c>
      <c r="L307">
        <v>7127.8000000000011</v>
      </c>
      <c r="M307">
        <v>165.4</v>
      </c>
      <c r="N307">
        <v>696.24</v>
      </c>
      <c r="O307">
        <v>6962.4</v>
      </c>
    </row>
    <row r="308" spans="1:15" x14ac:dyDescent="0.25">
      <c r="A308" t="s">
        <v>2947</v>
      </c>
      <c r="B308" t="s">
        <v>181</v>
      </c>
      <c r="C308" t="s">
        <v>4273</v>
      </c>
      <c r="D308">
        <v>25951</v>
      </c>
      <c r="E308">
        <v>873.2</v>
      </c>
      <c r="F308">
        <v>2507.7799999999997</v>
      </c>
      <c r="G308">
        <v>25077.8</v>
      </c>
      <c r="H308">
        <v>15943.73</v>
      </c>
      <c r="I308">
        <v>1149.8000000000002</v>
      </c>
      <c r="J308">
        <v>1479.3899999999999</v>
      </c>
      <c r="K308">
        <v>14793.93</v>
      </c>
      <c r="L308">
        <v>41894.729999999996</v>
      </c>
      <c r="M308">
        <v>2023.0000000000002</v>
      </c>
      <c r="N308">
        <v>3987.1699999999996</v>
      </c>
      <c r="O308">
        <v>39871.729999999996</v>
      </c>
    </row>
    <row r="309" spans="1:15" x14ac:dyDescent="0.25">
      <c r="A309" t="s">
        <v>18</v>
      </c>
      <c r="B309" t="s">
        <v>155</v>
      </c>
      <c r="C309" t="s">
        <v>4216</v>
      </c>
      <c r="D309">
        <v>43</v>
      </c>
      <c r="E309">
        <v>0</v>
      </c>
      <c r="F309">
        <v>4.3</v>
      </c>
      <c r="G309">
        <v>43</v>
      </c>
      <c r="H309">
        <v>434.6</v>
      </c>
      <c r="I309">
        <v>0</v>
      </c>
      <c r="J309">
        <v>43.46</v>
      </c>
      <c r="K309">
        <v>434.6</v>
      </c>
      <c r="L309">
        <v>477.6</v>
      </c>
      <c r="M309">
        <v>0</v>
      </c>
      <c r="N309">
        <v>47.76</v>
      </c>
      <c r="O309">
        <v>477.6</v>
      </c>
    </row>
    <row r="310" spans="1:15" x14ac:dyDescent="0.25">
      <c r="A310" t="s">
        <v>369</v>
      </c>
      <c r="B310" t="s">
        <v>8</v>
      </c>
      <c r="C310" t="s">
        <v>4217</v>
      </c>
      <c r="D310">
        <v>5853.3099999999995</v>
      </c>
      <c r="E310">
        <v>310.89999999999998</v>
      </c>
      <c r="F310">
        <v>554.24</v>
      </c>
      <c r="G310">
        <v>5542.41</v>
      </c>
      <c r="H310">
        <v>3491.85</v>
      </c>
      <c r="I310">
        <v>540.20000000000005</v>
      </c>
      <c r="J310">
        <v>295.15999999999997</v>
      </c>
      <c r="K310">
        <v>2951.6499999999996</v>
      </c>
      <c r="L310">
        <v>9345.16</v>
      </c>
      <c r="M310">
        <v>851.1</v>
      </c>
      <c r="N310">
        <v>849.4</v>
      </c>
      <c r="O310">
        <v>8494.06</v>
      </c>
    </row>
    <row r="311" spans="1:15" x14ac:dyDescent="0.25">
      <c r="A311" t="s">
        <v>202</v>
      </c>
      <c r="B311" t="s">
        <v>66</v>
      </c>
      <c r="C311" t="s">
        <v>4218</v>
      </c>
      <c r="D311">
        <v>6085.0999999999995</v>
      </c>
      <c r="E311">
        <v>0</v>
      </c>
      <c r="F311">
        <v>608.51</v>
      </c>
      <c r="G311">
        <v>6085.0999999999995</v>
      </c>
      <c r="H311">
        <v>6658.4</v>
      </c>
      <c r="I311">
        <v>0</v>
      </c>
      <c r="J311">
        <v>665.84000000000015</v>
      </c>
      <c r="K311">
        <v>6658.4</v>
      </c>
      <c r="L311">
        <v>12743.5</v>
      </c>
      <c r="M311">
        <v>0</v>
      </c>
      <c r="N311">
        <v>1274.3500000000001</v>
      </c>
      <c r="O311">
        <v>12743.5</v>
      </c>
    </row>
    <row r="312" spans="1:15" x14ac:dyDescent="0.25">
      <c r="A312" t="s">
        <v>90</v>
      </c>
      <c r="B312" t="s">
        <v>55</v>
      </c>
      <c r="C312" t="s">
        <v>4274</v>
      </c>
      <c r="D312">
        <v>555.20000000000005</v>
      </c>
      <c r="E312">
        <v>0</v>
      </c>
      <c r="F312">
        <v>55.52</v>
      </c>
      <c r="G312">
        <v>555.20000000000005</v>
      </c>
      <c r="H312">
        <v>224.7</v>
      </c>
      <c r="I312">
        <v>0</v>
      </c>
      <c r="J312">
        <v>22.47</v>
      </c>
      <c r="K312">
        <v>224.7</v>
      </c>
      <c r="L312">
        <v>779.90000000000009</v>
      </c>
      <c r="M312">
        <v>0</v>
      </c>
      <c r="N312">
        <v>77.990000000000009</v>
      </c>
      <c r="O312">
        <v>779.90000000000009</v>
      </c>
    </row>
    <row r="313" spans="1:15" x14ac:dyDescent="0.25">
      <c r="B313" t="s">
        <v>6</v>
      </c>
      <c r="C313" t="s">
        <v>4436</v>
      </c>
      <c r="D313">
        <v>294.8</v>
      </c>
      <c r="E313">
        <v>408.2</v>
      </c>
      <c r="F313">
        <v>-11.340000000000003</v>
      </c>
      <c r="G313">
        <v>-113.39999999999998</v>
      </c>
      <c r="H313">
        <v>0</v>
      </c>
      <c r="I313">
        <v>61.6</v>
      </c>
      <c r="J313">
        <v>-6.16</v>
      </c>
      <c r="K313">
        <v>-61.6</v>
      </c>
      <c r="L313">
        <v>294.8</v>
      </c>
      <c r="M313">
        <v>469.8</v>
      </c>
      <c r="N313">
        <v>-17.500000000000004</v>
      </c>
      <c r="O313">
        <v>-174.99999999999997</v>
      </c>
    </row>
    <row r="314" spans="1:15" x14ac:dyDescent="0.25">
      <c r="A314" t="s">
        <v>535</v>
      </c>
      <c r="B314" t="s">
        <v>51</v>
      </c>
      <c r="C314" t="s">
        <v>4337</v>
      </c>
      <c r="D314">
        <v>5.4</v>
      </c>
      <c r="E314">
        <v>0</v>
      </c>
      <c r="F314">
        <v>0.54</v>
      </c>
      <c r="G314">
        <v>5.4</v>
      </c>
      <c r="H314">
        <v>103.3</v>
      </c>
      <c r="I314">
        <v>0</v>
      </c>
      <c r="J314">
        <v>10.33</v>
      </c>
      <c r="K314">
        <v>103.3</v>
      </c>
      <c r="L314">
        <v>108.7</v>
      </c>
      <c r="M314">
        <v>0</v>
      </c>
      <c r="N314">
        <v>10.870000000000001</v>
      </c>
      <c r="O314">
        <v>108.7</v>
      </c>
    </row>
    <row r="315" spans="1:15" x14ac:dyDescent="0.25">
      <c r="A315" t="s">
        <v>2262</v>
      </c>
      <c r="B315" t="s">
        <v>284</v>
      </c>
      <c r="C315" t="s">
        <v>4338</v>
      </c>
      <c r="D315">
        <v>415.5</v>
      </c>
      <c r="E315">
        <v>0</v>
      </c>
      <c r="F315">
        <v>41.55</v>
      </c>
      <c r="G315">
        <v>415.5</v>
      </c>
      <c r="H315">
        <v>299.60000000000002</v>
      </c>
      <c r="I315">
        <v>0</v>
      </c>
      <c r="J315">
        <v>29.96</v>
      </c>
      <c r="K315">
        <v>299.60000000000002</v>
      </c>
      <c r="L315">
        <v>715.1</v>
      </c>
      <c r="M315">
        <v>0</v>
      </c>
      <c r="N315">
        <v>71.509999999999991</v>
      </c>
      <c r="O315">
        <v>715.1</v>
      </c>
    </row>
    <row r="316" spans="1:15" x14ac:dyDescent="0.25">
      <c r="A316" t="s">
        <v>692</v>
      </c>
      <c r="B316" t="s">
        <v>284</v>
      </c>
      <c r="C316" t="s">
        <v>4219</v>
      </c>
      <c r="D316">
        <v>365.2</v>
      </c>
      <c r="E316">
        <v>0</v>
      </c>
      <c r="F316">
        <v>36.520000000000003</v>
      </c>
      <c r="G316">
        <v>365.2</v>
      </c>
      <c r="H316">
        <v>100.1</v>
      </c>
      <c r="I316">
        <v>0</v>
      </c>
      <c r="J316">
        <v>10.01</v>
      </c>
      <c r="K316">
        <v>100.1</v>
      </c>
      <c r="L316">
        <v>465.29999999999995</v>
      </c>
      <c r="M316">
        <v>0</v>
      </c>
      <c r="N316">
        <v>46.53</v>
      </c>
      <c r="O316">
        <v>465.29999999999995</v>
      </c>
    </row>
    <row r="317" spans="1:15" x14ac:dyDescent="0.25">
      <c r="A317" t="s">
        <v>562</v>
      </c>
      <c r="B317" t="s">
        <v>201</v>
      </c>
      <c r="C317" t="s">
        <v>4437</v>
      </c>
      <c r="D317">
        <v>0</v>
      </c>
      <c r="E317">
        <v>248.4</v>
      </c>
      <c r="F317">
        <v>-24.84</v>
      </c>
      <c r="G317">
        <v>-248.4</v>
      </c>
      <c r="H317">
        <v>0</v>
      </c>
      <c r="I317">
        <v>178.9</v>
      </c>
      <c r="J317">
        <v>-17.89</v>
      </c>
      <c r="K317">
        <v>-178.9</v>
      </c>
      <c r="L317">
        <v>0</v>
      </c>
      <c r="M317">
        <v>427.3</v>
      </c>
      <c r="N317">
        <v>-42.730000000000004</v>
      </c>
      <c r="O317">
        <v>-427.3</v>
      </c>
    </row>
    <row r="318" spans="1:15" x14ac:dyDescent="0.25">
      <c r="A318" t="s">
        <v>2396</v>
      </c>
      <c r="B318" t="s">
        <v>135</v>
      </c>
      <c r="C318" t="s">
        <v>4438</v>
      </c>
      <c r="D318">
        <v>45</v>
      </c>
      <c r="E318">
        <v>0</v>
      </c>
      <c r="F318">
        <v>4.5</v>
      </c>
      <c r="G318">
        <v>45</v>
      </c>
      <c r="H318">
        <v>402.8</v>
      </c>
      <c r="I318">
        <v>0</v>
      </c>
      <c r="J318">
        <v>40.28</v>
      </c>
      <c r="K318">
        <v>402.8</v>
      </c>
      <c r="L318">
        <v>447.8</v>
      </c>
      <c r="M318">
        <v>0</v>
      </c>
      <c r="N318">
        <v>44.78</v>
      </c>
      <c r="O318">
        <v>447.8</v>
      </c>
    </row>
    <row r="319" spans="1:15" x14ac:dyDescent="0.25">
      <c r="A319" t="s">
        <v>2264</v>
      </c>
      <c r="B319" t="s">
        <v>2</v>
      </c>
      <c r="C319" t="s">
        <v>4275</v>
      </c>
      <c r="D319">
        <v>507.2</v>
      </c>
      <c r="E319">
        <v>0</v>
      </c>
      <c r="F319">
        <v>50.72</v>
      </c>
      <c r="G319">
        <v>507.2</v>
      </c>
      <c r="H319">
        <v>240.3</v>
      </c>
      <c r="I319">
        <v>0</v>
      </c>
      <c r="J319">
        <v>24.03</v>
      </c>
      <c r="K319">
        <v>240.3</v>
      </c>
      <c r="L319">
        <v>747.5</v>
      </c>
      <c r="M319">
        <v>0</v>
      </c>
      <c r="N319">
        <v>74.75</v>
      </c>
      <c r="O319">
        <v>747.5</v>
      </c>
    </row>
    <row r="320" spans="1:15" x14ac:dyDescent="0.25">
      <c r="A320" t="s">
        <v>384</v>
      </c>
      <c r="B320" t="s">
        <v>188</v>
      </c>
      <c r="C320" t="s">
        <v>4220</v>
      </c>
      <c r="D320">
        <v>974.09999999999991</v>
      </c>
      <c r="E320">
        <v>4.4000000000000004</v>
      </c>
      <c r="F320">
        <v>96.97</v>
      </c>
      <c r="G320">
        <v>969.69999999999993</v>
      </c>
      <c r="H320">
        <v>5007.7</v>
      </c>
      <c r="I320">
        <v>0</v>
      </c>
      <c r="J320">
        <v>500.77</v>
      </c>
      <c r="K320">
        <v>5007.7</v>
      </c>
      <c r="L320">
        <v>5981.7999999999993</v>
      </c>
      <c r="M320">
        <v>4.4000000000000004</v>
      </c>
      <c r="N320">
        <v>597.74</v>
      </c>
      <c r="O320">
        <v>5977.4</v>
      </c>
    </row>
    <row r="321" spans="1:15" x14ac:dyDescent="0.25">
      <c r="A321" t="s">
        <v>4290</v>
      </c>
      <c r="D321">
        <v>16021563.300000004</v>
      </c>
      <c r="E321">
        <v>2112857.9300000002</v>
      </c>
      <c r="F321">
        <v>1390870.8000000014</v>
      </c>
      <c r="G321">
        <v>13908705.369999986</v>
      </c>
      <c r="H321">
        <v>19563625.990000017</v>
      </c>
      <c r="I321">
        <v>2713259.44</v>
      </c>
      <c r="J321">
        <v>1685036.6500000001</v>
      </c>
      <c r="K321">
        <v>16850366.550000001</v>
      </c>
      <c r="L321">
        <v>35585189.289999984</v>
      </c>
      <c r="M321">
        <v>4826117.3700000038</v>
      </c>
      <c r="N321">
        <v>3075907.4500000016</v>
      </c>
      <c r="O321">
        <v>30759071.919999979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20"/>
  <dimension ref="A1:U3295"/>
  <sheetViews>
    <sheetView showGridLines="0" zoomScale="70" zoomScaleNormal="70" workbookViewId="0">
      <pane ySplit="1" topLeftCell="A3158" activePane="bottomLeft" state="frozen"/>
      <selection activeCell="G302" sqref="G302"/>
      <selection pane="bottomLeft" activeCell="F3179" sqref="F3179"/>
    </sheetView>
  </sheetViews>
  <sheetFormatPr defaultRowHeight="12.5" x14ac:dyDescent="0.25"/>
  <cols>
    <col min="1" max="1" width="16.26953125" style="30" bestFit="1" customWidth="1"/>
    <col min="2" max="2" width="25.26953125" style="83" customWidth="1"/>
    <col min="3" max="3" width="19.26953125" style="30" customWidth="1"/>
    <col min="4" max="4" width="37.26953125" style="83" bestFit="1" customWidth="1"/>
    <col min="5" max="5" width="21.7265625" style="30" customWidth="1"/>
    <col min="6" max="6" width="25.26953125" style="30" customWidth="1"/>
    <col min="7" max="7" width="12.7265625" style="30" customWidth="1"/>
    <col min="8" max="8" width="11.453125" style="32" customWidth="1"/>
    <col min="9" max="9" width="14" style="32" customWidth="1"/>
    <col min="10" max="10" width="15" style="32" customWidth="1"/>
    <col min="11" max="11" width="12" style="32" customWidth="1"/>
    <col min="12" max="12" width="14.1796875" style="32" customWidth="1"/>
    <col min="13" max="13" width="13.26953125" style="32" customWidth="1"/>
    <col min="14" max="14" width="11.26953125" style="31" bestFit="1" customWidth="1"/>
    <col min="15" max="15" width="11.54296875" style="78" customWidth="1"/>
    <col min="16" max="16" width="9.26953125" style="79" customWidth="1"/>
    <col min="17" max="247" width="9.26953125" style="30"/>
    <col min="248" max="248" width="15.453125" style="30" bestFit="1" customWidth="1"/>
    <col min="249" max="249" width="12.54296875" style="30" bestFit="1" customWidth="1"/>
    <col min="250" max="250" width="20.54296875" style="30" bestFit="1" customWidth="1"/>
    <col min="251" max="251" width="23.26953125" style="30" bestFit="1" customWidth="1"/>
    <col min="252" max="252" width="12.453125" style="30" bestFit="1" customWidth="1"/>
    <col min="253" max="253" width="10.54296875" style="30" bestFit="1" customWidth="1"/>
    <col min="254" max="254" width="11.26953125" style="30" bestFit="1" customWidth="1"/>
    <col min="255" max="255" width="9.54296875" style="30" bestFit="1" customWidth="1"/>
    <col min="256" max="256" width="9" style="30" bestFit="1" customWidth="1"/>
    <col min="257" max="257" width="11.26953125" style="30" bestFit="1" customWidth="1"/>
    <col min="258" max="258" width="10.54296875" style="30" bestFit="1" customWidth="1"/>
    <col min="259" max="503" width="9.26953125" style="30"/>
    <col min="504" max="504" width="15.453125" style="30" bestFit="1" customWidth="1"/>
    <col min="505" max="505" width="12.54296875" style="30" bestFit="1" customWidth="1"/>
    <col min="506" max="506" width="20.54296875" style="30" bestFit="1" customWidth="1"/>
    <col min="507" max="507" width="23.26953125" style="30" bestFit="1" customWidth="1"/>
    <col min="508" max="508" width="12.453125" style="30" bestFit="1" customWidth="1"/>
    <col min="509" max="509" width="10.54296875" style="30" bestFit="1" customWidth="1"/>
    <col min="510" max="510" width="11.26953125" style="30" bestFit="1" customWidth="1"/>
    <col min="511" max="511" width="9.54296875" style="30" bestFit="1" customWidth="1"/>
    <col min="512" max="512" width="9" style="30" bestFit="1" customWidth="1"/>
    <col min="513" max="513" width="11.26953125" style="30" bestFit="1" customWidth="1"/>
    <col min="514" max="514" width="10.54296875" style="30" bestFit="1" customWidth="1"/>
    <col min="515" max="759" width="9.26953125" style="30"/>
    <col min="760" max="760" width="15.453125" style="30" bestFit="1" customWidth="1"/>
    <col min="761" max="761" width="12.54296875" style="30" bestFit="1" customWidth="1"/>
    <col min="762" max="762" width="20.54296875" style="30" bestFit="1" customWidth="1"/>
    <col min="763" max="763" width="23.26953125" style="30" bestFit="1" customWidth="1"/>
    <col min="764" max="764" width="12.453125" style="30" bestFit="1" customWidth="1"/>
    <col min="765" max="765" width="10.54296875" style="30" bestFit="1" customWidth="1"/>
    <col min="766" max="766" width="11.26953125" style="30" bestFit="1" customWidth="1"/>
    <col min="767" max="767" width="9.54296875" style="30" bestFit="1" customWidth="1"/>
    <col min="768" max="768" width="9" style="30" bestFit="1" customWidth="1"/>
    <col min="769" max="769" width="11.26953125" style="30" bestFit="1" customWidth="1"/>
    <col min="770" max="770" width="10.54296875" style="30" bestFit="1" customWidth="1"/>
    <col min="771" max="1015" width="9.26953125" style="30"/>
    <col min="1016" max="1016" width="15.453125" style="30" bestFit="1" customWidth="1"/>
    <col min="1017" max="1017" width="12.54296875" style="30" bestFit="1" customWidth="1"/>
    <col min="1018" max="1018" width="20.54296875" style="30" bestFit="1" customWidth="1"/>
    <col min="1019" max="1019" width="23.26953125" style="30" bestFit="1" customWidth="1"/>
    <col min="1020" max="1020" width="12.453125" style="30" bestFit="1" customWidth="1"/>
    <col min="1021" max="1021" width="10.54296875" style="30" bestFit="1" customWidth="1"/>
    <col min="1022" max="1022" width="11.26953125" style="30" bestFit="1" customWidth="1"/>
    <col min="1023" max="1023" width="9.54296875" style="30" bestFit="1" customWidth="1"/>
    <col min="1024" max="1024" width="9" style="30" bestFit="1" customWidth="1"/>
    <col min="1025" max="1025" width="11.26953125" style="30" bestFit="1" customWidth="1"/>
    <col min="1026" max="1026" width="10.54296875" style="30" bestFit="1" customWidth="1"/>
    <col min="1027" max="1271" width="9.26953125" style="30"/>
    <col min="1272" max="1272" width="15.453125" style="30" bestFit="1" customWidth="1"/>
    <col min="1273" max="1273" width="12.54296875" style="30" bestFit="1" customWidth="1"/>
    <col min="1274" max="1274" width="20.54296875" style="30" bestFit="1" customWidth="1"/>
    <col min="1275" max="1275" width="23.26953125" style="30" bestFit="1" customWidth="1"/>
    <col min="1276" max="1276" width="12.453125" style="30" bestFit="1" customWidth="1"/>
    <col min="1277" max="1277" width="10.54296875" style="30" bestFit="1" customWidth="1"/>
    <col min="1278" max="1278" width="11.26953125" style="30" bestFit="1" customWidth="1"/>
    <col min="1279" max="1279" width="9.54296875" style="30" bestFit="1" customWidth="1"/>
    <col min="1280" max="1280" width="9" style="30" bestFit="1" customWidth="1"/>
    <col min="1281" max="1281" width="11.26953125" style="30" bestFit="1" customWidth="1"/>
    <col min="1282" max="1282" width="10.54296875" style="30" bestFit="1" customWidth="1"/>
    <col min="1283" max="1527" width="9.26953125" style="30"/>
    <col min="1528" max="1528" width="15.453125" style="30" bestFit="1" customWidth="1"/>
    <col min="1529" max="1529" width="12.54296875" style="30" bestFit="1" customWidth="1"/>
    <col min="1530" max="1530" width="20.54296875" style="30" bestFit="1" customWidth="1"/>
    <col min="1531" max="1531" width="23.26953125" style="30" bestFit="1" customWidth="1"/>
    <col min="1532" max="1532" width="12.453125" style="30" bestFit="1" customWidth="1"/>
    <col min="1533" max="1533" width="10.54296875" style="30" bestFit="1" customWidth="1"/>
    <col min="1534" max="1534" width="11.26953125" style="30" bestFit="1" customWidth="1"/>
    <col min="1535" max="1535" width="9.54296875" style="30" bestFit="1" customWidth="1"/>
    <col min="1536" max="1536" width="9" style="30" bestFit="1" customWidth="1"/>
    <col min="1537" max="1537" width="11.26953125" style="30" bestFit="1" customWidth="1"/>
    <col min="1538" max="1538" width="10.54296875" style="30" bestFit="1" customWidth="1"/>
    <col min="1539" max="1783" width="9.26953125" style="30"/>
    <col min="1784" max="1784" width="15.453125" style="30" bestFit="1" customWidth="1"/>
    <col min="1785" max="1785" width="12.54296875" style="30" bestFit="1" customWidth="1"/>
    <col min="1786" max="1786" width="20.54296875" style="30" bestFit="1" customWidth="1"/>
    <col min="1787" max="1787" width="23.26953125" style="30" bestFit="1" customWidth="1"/>
    <col min="1788" max="1788" width="12.453125" style="30" bestFit="1" customWidth="1"/>
    <col min="1789" max="1789" width="10.54296875" style="30" bestFit="1" customWidth="1"/>
    <col min="1790" max="1790" width="11.26953125" style="30" bestFit="1" customWidth="1"/>
    <col min="1791" max="1791" width="9.54296875" style="30" bestFit="1" customWidth="1"/>
    <col min="1792" max="1792" width="9" style="30" bestFit="1" customWidth="1"/>
    <col min="1793" max="1793" width="11.26953125" style="30" bestFit="1" customWidth="1"/>
    <col min="1794" max="1794" width="10.54296875" style="30" bestFit="1" customWidth="1"/>
    <col min="1795" max="2039" width="9.26953125" style="30"/>
    <col min="2040" max="2040" width="15.453125" style="30" bestFit="1" customWidth="1"/>
    <col min="2041" max="2041" width="12.54296875" style="30" bestFit="1" customWidth="1"/>
    <col min="2042" max="2042" width="20.54296875" style="30" bestFit="1" customWidth="1"/>
    <col min="2043" max="2043" width="23.26953125" style="30" bestFit="1" customWidth="1"/>
    <col min="2044" max="2044" width="12.453125" style="30" bestFit="1" customWidth="1"/>
    <col min="2045" max="2045" width="10.54296875" style="30" bestFit="1" customWidth="1"/>
    <col min="2046" max="2046" width="11.26953125" style="30" bestFit="1" customWidth="1"/>
    <col min="2047" max="2047" width="9.54296875" style="30" bestFit="1" customWidth="1"/>
    <col min="2048" max="2048" width="9" style="30" bestFit="1" customWidth="1"/>
    <col min="2049" max="2049" width="11.26953125" style="30" bestFit="1" customWidth="1"/>
    <col min="2050" max="2050" width="10.54296875" style="30" bestFit="1" customWidth="1"/>
    <col min="2051" max="2295" width="9.26953125" style="30"/>
    <col min="2296" max="2296" width="15.453125" style="30" bestFit="1" customWidth="1"/>
    <col min="2297" max="2297" width="12.54296875" style="30" bestFit="1" customWidth="1"/>
    <col min="2298" max="2298" width="20.54296875" style="30" bestFit="1" customWidth="1"/>
    <col min="2299" max="2299" width="23.26953125" style="30" bestFit="1" customWidth="1"/>
    <col min="2300" max="2300" width="12.453125" style="30" bestFit="1" customWidth="1"/>
    <col min="2301" max="2301" width="10.54296875" style="30" bestFit="1" customWidth="1"/>
    <col min="2302" max="2302" width="11.26953125" style="30" bestFit="1" customWidth="1"/>
    <col min="2303" max="2303" width="9.54296875" style="30" bestFit="1" customWidth="1"/>
    <col min="2304" max="2304" width="9" style="30" bestFit="1" customWidth="1"/>
    <col min="2305" max="2305" width="11.26953125" style="30" bestFit="1" customWidth="1"/>
    <col min="2306" max="2306" width="10.54296875" style="30" bestFit="1" customWidth="1"/>
    <col min="2307" max="2551" width="9.26953125" style="30"/>
    <col min="2552" max="2552" width="15.453125" style="30" bestFit="1" customWidth="1"/>
    <col min="2553" max="2553" width="12.54296875" style="30" bestFit="1" customWidth="1"/>
    <col min="2554" max="2554" width="20.54296875" style="30" bestFit="1" customWidth="1"/>
    <col min="2555" max="2555" width="23.26953125" style="30" bestFit="1" customWidth="1"/>
    <col min="2556" max="2556" width="12.453125" style="30" bestFit="1" customWidth="1"/>
    <col min="2557" max="2557" width="10.54296875" style="30" bestFit="1" customWidth="1"/>
    <col min="2558" max="2558" width="11.26953125" style="30" bestFit="1" customWidth="1"/>
    <col min="2559" max="2559" width="9.54296875" style="30" bestFit="1" customWidth="1"/>
    <col min="2560" max="2560" width="9" style="30" bestFit="1" customWidth="1"/>
    <col min="2561" max="2561" width="11.26953125" style="30" bestFit="1" customWidth="1"/>
    <col min="2562" max="2562" width="10.54296875" style="30" bestFit="1" customWidth="1"/>
    <col min="2563" max="2807" width="9.26953125" style="30"/>
    <col min="2808" max="2808" width="15.453125" style="30" bestFit="1" customWidth="1"/>
    <col min="2809" max="2809" width="12.54296875" style="30" bestFit="1" customWidth="1"/>
    <col min="2810" max="2810" width="20.54296875" style="30" bestFit="1" customWidth="1"/>
    <col min="2811" max="2811" width="23.26953125" style="30" bestFit="1" customWidth="1"/>
    <col min="2812" max="2812" width="12.453125" style="30" bestFit="1" customWidth="1"/>
    <col min="2813" max="2813" width="10.54296875" style="30" bestFit="1" customWidth="1"/>
    <col min="2814" max="2814" width="11.26953125" style="30" bestFit="1" customWidth="1"/>
    <col min="2815" max="2815" width="9.54296875" style="30" bestFit="1" customWidth="1"/>
    <col min="2816" max="2816" width="9" style="30" bestFit="1" customWidth="1"/>
    <col min="2817" max="2817" width="11.26953125" style="30" bestFit="1" customWidth="1"/>
    <col min="2818" max="2818" width="10.54296875" style="30" bestFit="1" customWidth="1"/>
    <col min="2819" max="3063" width="9.26953125" style="30"/>
    <col min="3064" max="3064" width="15.453125" style="30" bestFit="1" customWidth="1"/>
    <col min="3065" max="3065" width="12.54296875" style="30" bestFit="1" customWidth="1"/>
    <col min="3066" max="3066" width="20.54296875" style="30" bestFit="1" customWidth="1"/>
    <col min="3067" max="3067" width="23.26953125" style="30" bestFit="1" customWidth="1"/>
    <col min="3068" max="3068" width="12.453125" style="30" bestFit="1" customWidth="1"/>
    <col min="3069" max="3069" width="10.54296875" style="30" bestFit="1" customWidth="1"/>
    <col min="3070" max="3070" width="11.26953125" style="30" bestFit="1" customWidth="1"/>
    <col min="3071" max="3071" width="9.54296875" style="30" bestFit="1" customWidth="1"/>
    <col min="3072" max="3072" width="9" style="30" bestFit="1" customWidth="1"/>
    <col min="3073" max="3073" width="11.26953125" style="30" bestFit="1" customWidth="1"/>
    <col min="3074" max="3074" width="10.54296875" style="30" bestFit="1" customWidth="1"/>
    <col min="3075" max="3319" width="9.26953125" style="30"/>
    <col min="3320" max="3320" width="15.453125" style="30" bestFit="1" customWidth="1"/>
    <col min="3321" max="3321" width="12.54296875" style="30" bestFit="1" customWidth="1"/>
    <col min="3322" max="3322" width="20.54296875" style="30" bestFit="1" customWidth="1"/>
    <col min="3323" max="3323" width="23.26953125" style="30" bestFit="1" customWidth="1"/>
    <col min="3324" max="3324" width="12.453125" style="30" bestFit="1" customWidth="1"/>
    <col min="3325" max="3325" width="10.54296875" style="30" bestFit="1" customWidth="1"/>
    <col min="3326" max="3326" width="11.26953125" style="30" bestFit="1" customWidth="1"/>
    <col min="3327" max="3327" width="9.54296875" style="30" bestFit="1" customWidth="1"/>
    <col min="3328" max="3328" width="9" style="30" bestFit="1" customWidth="1"/>
    <col min="3329" max="3329" width="11.26953125" style="30" bestFit="1" customWidth="1"/>
    <col min="3330" max="3330" width="10.54296875" style="30" bestFit="1" customWidth="1"/>
    <col min="3331" max="3575" width="9.26953125" style="30"/>
    <col min="3576" max="3576" width="15.453125" style="30" bestFit="1" customWidth="1"/>
    <col min="3577" max="3577" width="12.54296875" style="30" bestFit="1" customWidth="1"/>
    <col min="3578" max="3578" width="20.54296875" style="30" bestFit="1" customWidth="1"/>
    <col min="3579" max="3579" width="23.26953125" style="30" bestFit="1" customWidth="1"/>
    <col min="3580" max="3580" width="12.453125" style="30" bestFit="1" customWidth="1"/>
    <col min="3581" max="3581" width="10.54296875" style="30" bestFit="1" customWidth="1"/>
    <col min="3582" max="3582" width="11.26953125" style="30" bestFit="1" customWidth="1"/>
    <col min="3583" max="3583" width="9.54296875" style="30" bestFit="1" customWidth="1"/>
    <col min="3584" max="3584" width="9" style="30" bestFit="1" customWidth="1"/>
    <col min="3585" max="3585" width="11.26953125" style="30" bestFit="1" customWidth="1"/>
    <col min="3586" max="3586" width="10.54296875" style="30" bestFit="1" customWidth="1"/>
    <col min="3587" max="3831" width="9.26953125" style="30"/>
    <col min="3832" max="3832" width="15.453125" style="30" bestFit="1" customWidth="1"/>
    <col min="3833" max="3833" width="12.54296875" style="30" bestFit="1" customWidth="1"/>
    <col min="3834" max="3834" width="20.54296875" style="30" bestFit="1" customWidth="1"/>
    <col min="3835" max="3835" width="23.26953125" style="30" bestFit="1" customWidth="1"/>
    <col min="3836" max="3836" width="12.453125" style="30" bestFit="1" customWidth="1"/>
    <col min="3837" max="3837" width="10.54296875" style="30" bestFit="1" customWidth="1"/>
    <col min="3838" max="3838" width="11.26953125" style="30" bestFit="1" customWidth="1"/>
    <col min="3839" max="3839" width="9.54296875" style="30" bestFit="1" customWidth="1"/>
    <col min="3840" max="3840" width="9" style="30" bestFit="1" customWidth="1"/>
    <col min="3841" max="3841" width="11.26953125" style="30" bestFit="1" customWidth="1"/>
    <col min="3842" max="3842" width="10.54296875" style="30" bestFit="1" customWidth="1"/>
    <col min="3843" max="4087" width="9.26953125" style="30"/>
    <col min="4088" max="4088" width="15.453125" style="30" bestFit="1" customWidth="1"/>
    <col min="4089" max="4089" width="12.54296875" style="30" bestFit="1" customWidth="1"/>
    <col min="4090" max="4090" width="20.54296875" style="30" bestFit="1" customWidth="1"/>
    <col min="4091" max="4091" width="23.26953125" style="30" bestFit="1" customWidth="1"/>
    <col min="4092" max="4092" width="12.453125" style="30" bestFit="1" customWidth="1"/>
    <col min="4093" max="4093" width="10.54296875" style="30" bestFit="1" customWidth="1"/>
    <col min="4094" max="4094" width="11.26953125" style="30" bestFit="1" customWidth="1"/>
    <col min="4095" max="4095" width="9.54296875" style="30" bestFit="1" customWidth="1"/>
    <col min="4096" max="4096" width="9" style="30" bestFit="1" customWidth="1"/>
    <col min="4097" max="4097" width="11.26953125" style="30" bestFit="1" customWidth="1"/>
    <col min="4098" max="4098" width="10.54296875" style="30" bestFit="1" customWidth="1"/>
    <col min="4099" max="4343" width="9.26953125" style="30"/>
    <col min="4344" max="4344" width="15.453125" style="30" bestFit="1" customWidth="1"/>
    <col min="4345" max="4345" width="12.54296875" style="30" bestFit="1" customWidth="1"/>
    <col min="4346" max="4346" width="20.54296875" style="30" bestFit="1" customWidth="1"/>
    <col min="4347" max="4347" width="23.26953125" style="30" bestFit="1" customWidth="1"/>
    <col min="4348" max="4348" width="12.453125" style="30" bestFit="1" customWidth="1"/>
    <col min="4349" max="4349" width="10.54296875" style="30" bestFit="1" customWidth="1"/>
    <col min="4350" max="4350" width="11.26953125" style="30" bestFit="1" customWidth="1"/>
    <col min="4351" max="4351" width="9.54296875" style="30" bestFit="1" customWidth="1"/>
    <col min="4352" max="4352" width="9" style="30" bestFit="1" customWidth="1"/>
    <col min="4353" max="4353" width="11.26953125" style="30" bestFit="1" customWidth="1"/>
    <col min="4354" max="4354" width="10.54296875" style="30" bestFit="1" customWidth="1"/>
    <col min="4355" max="4599" width="9.26953125" style="30"/>
    <col min="4600" max="4600" width="15.453125" style="30" bestFit="1" customWidth="1"/>
    <col min="4601" max="4601" width="12.54296875" style="30" bestFit="1" customWidth="1"/>
    <col min="4602" max="4602" width="20.54296875" style="30" bestFit="1" customWidth="1"/>
    <col min="4603" max="4603" width="23.26953125" style="30" bestFit="1" customWidth="1"/>
    <col min="4604" max="4604" width="12.453125" style="30" bestFit="1" customWidth="1"/>
    <col min="4605" max="4605" width="10.54296875" style="30" bestFit="1" customWidth="1"/>
    <col min="4606" max="4606" width="11.26953125" style="30" bestFit="1" customWidth="1"/>
    <col min="4607" max="4607" width="9.54296875" style="30" bestFit="1" customWidth="1"/>
    <col min="4608" max="4608" width="9" style="30" bestFit="1" customWidth="1"/>
    <col min="4609" max="4609" width="11.26953125" style="30" bestFit="1" customWidth="1"/>
    <col min="4610" max="4610" width="10.54296875" style="30" bestFit="1" customWidth="1"/>
    <col min="4611" max="4855" width="9.26953125" style="30"/>
    <col min="4856" max="4856" width="15.453125" style="30" bestFit="1" customWidth="1"/>
    <col min="4857" max="4857" width="12.54296875" style="30" bestFit="1" customWidth="1"/>
    <col min="4858" max="4858" width="20.54296875" style="30" bestFit="1" customWidth="1"/>
    <col min="4859" max="4859" width="23.26953125" style="30" bestFit="1" customWidth="1"/>
    <col min="4860" max="4860" width="12.453125" style="30" bestFit="1" customWidth="1"/>
    <col min="4861" max="4861" width="10.54296875" style="30" bestFit="1" customWidth="1"/>
    <col min="4862" max="4862" width="11.26953125" style="30" bestFit="1" customWidth="1"/>
    <col min="4863" max="4863" width="9.54296875" style="30" bestFit="1" customWidth="1"/>
    <col min="4864" max="4864" width="9" style="30" bestFit="1" customWidth="1"/>
    <col min="4865" max="4865" width="11.26953125" style="30" bestFit="1" customWidth="1"/>
    <col min="4866" max="4866" width="10.54296875" style="30" bestFit="1" customWidth="1"/>
    <col min="4867" max="5111" width="9.26953125" style="30"/>
    <col min="5112" max="5112" width="15.453125" style="30" bestFit="1" customWidth="1"/>
    <col min="5113" max="5113" width="12.54296875" style="30" bestFit="1" customWidth="1"/>
    <col min="5114" max="5114" width="20.54296875" style="30" bestFit="1" customWidth="1"/>
    <col min="5115" max="5115" width="23.26953125" style="30" bestFit="1" customWidth="1"/>
    <col min="5116" max="5116" width="12.453125" style="30" bestFit="1" customWidth="1"/>
    <col min="5117" max="5117" width="10.54296875" style="30" bestFit="1" customWidth="1"/>
    <col min="5118" max="5118" width="11.26953125" style="30" bestFit="1" customWidth="1"/>
    <col min="5119" max="5119" width="9.54296875" style="30" bestFit="1" customWidth="1"/>
    <col min="5120" max="5120" width="9" style="30" bestFit="1" customWidth="1"/>
    <col min="5121" max="5121" width="11.26953125" style="30" bestFit="1" customWidth="1"/>
    <col min="5122" max="5122" width="10.54296875" style="30" bestFit="1" customWidth="1"/>
    <col min="5123" max="5367" width="9.26953125" style="30"/>
    <col min="5368" max="5368" width="15.453125" style="30" bestFit="1" customWidth="1"/>
    <col min="5369" max="5369" width="12.54296875" style="30" bestFit="1" customWidth="1"/>
    <col min="5370" max="5370" width="20.54296875" style="30" bestFit="1" customWidth="1"/>
    <col min="5371" max="5371" width="23.26953125" style="30" bestFit="1" customWidth="1"/>
    <col min="5372" max="5372" width="12.453125" style="30" bestFit="1" customWidth="1"/>
    <col min="5373" max="5373" width="10.54296875" style="30" bestFit="1" customWidth="1"/>
    <col min="5374" max="5374" width="11.26953125" style="30" bestFit="1" customWidth="1"/>
    <col min="5375" max="5375" width="9.54296875" style="30" bestFit="1" customWidth="1"/>
    <col min="5376" max="5376" width="9" style="30" bestFit="1" customWidth="1"/>
    <col min="5377" max="5377" width="11.26953125" style="30" bestFit="1" customWidth="1"/>
    <col min="5378" max="5378" width="10.54296875" style="30" bestFit="1" customWidth="1"/>
    <col min="5379" max="5623" width="9.26953125" style="30"/>
    <col min="5624" max="5624" width="15.453125" style="30" bestFit="1" customWidth="1"/>
    <col min="5625" max="5625" width="12.54296875" style="30" bestFit="1" customWidth="1"/>
    <col min="5626" max="5626" width="20.54296875" style="30" bestFit="1" customWidth="1"/>
    <col min="5627" max="5627" width="23.26953125" style="30" bestFit="1" customWidth="1"/>
    <col min="5628" max="5628" width="12.453125" style="30" bestFit="1" customWidth="1"/>
    <col min="5629" max="5629" width="10.54296875" style="30" bestFit="1" customWidth="1"/>
    <col min="5630" max="5630" width="11.26953125" style="30" bestFit="1" customWidth="1"/>
    <col min="5631" max="5631" width="9.54296875" style="30" bestFit="1" customWidth="1"/>
    <col min="5632" max="5632" width="9" style="30" bestFit="1" customWidth="1"/>
    <col min="5633" max="5633" width="11.26953125" style="30" bestFit="1" customWidth="1"/>
    <col min="5634" max="5634" width="10.54296875" style="30" bestFit="1" customWidth="1"/>
    <col min="5635" max="5879" width="9.26953125" style="30"/>
    <col min="5880" max="5880" width="15.453125" style="30" bestFit="1" customWidth="1"/>
    <col min="5881" max="5881" width="12.54296875" style="30" bestFit="1" customWidth="1"/>
    <col min="5882" max="5882" width="20.54296875" style="30" bestFit="1" customWidth="1"/>
    <col min="5883" max="5883" width="23.26953125" style="30" bestFit="1" customWidth="1"/>
    <col min="5884" max="5884" width="12.453125" style="30" bestFit="1" customWidth="1"/>
    <col min="5885" max="5885" width="10.54296875" style="30" bestFit="1" customWidth="1"/>
    <col min="5886" max="5886" width="11.26953125" style="30" bestFit="1" customWidth="1"/>
    <col min="5887" max="5887" width="9.54296875" style="30" bestFit="1" customWidth="1"/>
    <col min="5888" max="5888" width="9" style="30" bestFit="1" customWidth="1"/>
    <col min="5889" max="5889" width="11.26953125" style="30" bestFit="1" customWidth="1"/>
    <col min="5890" max="5890" width="10.54296875" style="30" bestFit="1" customWidth="1"/>
    <col min="5891" max="6135" width="9.26953125" style="30"/>
    <col min="6136" max="6136" width="15.453125" style="30" bestFit="1" customWidth="1"/>
    <col min="6137" max="6137" width="12.54296875" style="30" bestFit="1" customWidth="1"/>
    <col min="6138" max="6138" width="20.54296875" style="30" bestFit="1" customWidth="1"/>
    <col min="6139" max="6139" width="23.26953125" style="30" bestFit="1" customWidth="1"/>
    <col min="6140" max="6140" width="12.453125" style="30" bestFit="1" customWidth="1"/>
    <col min="6141" max="6141" width="10.54296875" style="30" bestFit="1" customWidth="1"/>
    <col min="6142" max="6142" width="11.26953125" style="30" bestFit="1" customWidth="1"/>
    <col min="6143" max="6143" width="9.54296875" style="30" bestFit="1" customWidth="1"/>
    <col min="6144" max="6144" width="9" style="30" bestFit="1" customWidth="1"/>
    <col min="6145" max="6145" width="11.26953125" style="30" bestFit="1" customWidth="1"/>
    <col min="6146" max="6146" width="10.54296875" style="30" bestFit="1" customWidth="1"/>
    <col min="6147" max="6391" width="9.26953125" style="30"/>
    <col min="6392" max="6392" width="15.453125" style="30" bestFit="1" customWidth="1"/>
    <col min="6393" max="6393" width="12.54296875" style="30" bestFit="1" customWidth="1"/>
    <col min="6394" max="6394" width="20.54296875" style="30" bestFit="1" customWidth="1"/>
    <col min="6395" max="6395" width="23.26953125" style="30" bestFit="1" customWidth="1"/>
    <col min="6396" max="6396" width="12.453125" style="30" bestFit="1" customWidth="1"/>
    <col min="6397" max="6397" width="10.54296875" style="30" bestFit="1" customWidth="1"/>
    <col min="6398" max="6398" width="11.26953125" style="30" bestFit="1" customWidth="1"/>
    <col min="6399" max="6399" width="9.54296875" style="30" bestFit="1" customWidth="1"/>
    <col min="6400" max="6400" width="9" style="30" bestFit="1" customWidth="1"/>
    <col min="6401" max="6401" width="11.26953125" style="30" bestFit="1" customWidth="1"/>
    <col min="6402" max="6402" width="10.54296875" style="30" bestFit="1" customWidth="1"/>
    <col min="6403" max="6647" width="9.26953125" style="30"/>
    <col min="6648" max="6648" width="15.453125" style="30" bestFit="1" customWidth="1"/>
    <col min="6649" max="6649" width="12.54296875" style="30" bestFit="1" customWidth="1"/>
    <col min="6650" max="6650" width="20.54296875" style="30" bestFit="1" customWidth="1"/>
    <col min="6651" max="6651" width="23.26953125" style="30" bestFit="1" customWidth="1"/>
    <col min="6652" max="6652" width="12.453125" style="30" bestFit="1" customWidth="1"/>
    <col min="6653" max="6653" width="10.54296875" style="30" bestFit="1" customWidth="1"/>
    <col min="6654" max="6654" width="11.26953125" style="30" bestFit="1" customWidth="1"/>
    <col min="6655" max="6655" width="9.54296875" style="30" bestFit="1" customWidth="1"/>
    <col min="6656" max="6656" width="9" style="30" bestFit="1" customWidth="1"/>
    <col min="6657" max="6657" width="11.26953125" style="30" bestFit="1" customWidth="1"/>
    <col min="6658" max="6658" width="10.54296875" style="30" bestFit="1" customWidth="1"/>
    <col min="6659" max="6903" width="9.26953125" style="30"/>
    <col min="6904" max="6904" width="15.453125" style="30" bestFit="1" customWidth="1"/>
    <col min="6905" max="6905" width="12.54296875" style="30" bestFit="1" customWidth="1"/>
    <col min="6906" max="6906" width="20.54296875" style="30" bestFit="1" customWidth="1"/>
    <col min="6907" max="6907" width="23.26953125" style="30" bestFit="1" customWidth="1"/>
    <col min="6908" max="6908" width="12.453125" style="30" bestFit="1" customWidth="1"/>
    <col min="6909" max="6909" width="10.54296875" style="30" bestFit="1" customWidth="1"/>
    <col min="6910" max="6910" width="11.26953125" style="30" bestFit="1" customWidth="1"/>
    <col min="6911" max="6911" width="9.54296875" style="30" bestFit="1" customWidth="1"/>
    <col min="6912" max="6912" width="9" style="30" bestFit="1" customWidth="1"/>
    <col min="6913" max="6913" width="11.26953125" style="30" bestFit="1" customWidth="1"/>
    <col min="6914" max="6914" width="10.54296875" style="30" bestFit="1" customWidth="1"/>
    <col min="6915" max="7159" width="9.26953125" style="30"/>
    <col min="7160" max="7160" width="15.453125" style="30" bestFit="1" customWidth="1"/>
    <col min="7161" max="7161" width="12.54296875" style="30" bestFit="1" customWidth="1"/>
    <col min="7162" max="7162" width="20.54296875" style="30" bestFit="1" customWidth="1"/>
    <col min="7163" max="7163" width="23.26953125" style="30" bestFit="1" customWidth="1"/>
    <col min="7164" max="7164" width="12.453125" style="30" bestFit="1" customWidth="1"/>
    <col min="7165" max="7165" width="10.54296875" style="30" bestFit="1" customWidth="1"/>
    <col min="7166" max="7166" width="11.26953125" style="30" bestFit="1" customWidth="1"/>
    <col min="7167" max="7167" width="9.54296875" style="30" bestFit="1" customWidth="1"/>
    <col min="7168" max="7168" width="9" style="30" bestFit="1" customWidth="1"/>
    <col min="7169" max="7169" width="11.26953125" style="30" bestFit="1" customWidth="1"/>
    <col min="7170" max="7170" width="10.54296875" style="30" bestFit="1" customWidth="1"/>
    <col min="7171" max="7415" width="9.26953125" style="30"/>
    <col min="7416" max="7416" width="15.453125" style="30" bestFit="1" customWidth="1"/>
    <col min="7417" max="7417" width="12.54296875" style="30" bestFit="1" customWidth="1"/>
    <col min="7418" max="7418" width="20.54296875" style="30" bestFit="1" customWidth="1"/>
    <col min="7419" max="7419" width="23.26953125" style="30" bestFit="1" customWidth="1"/>
    <col min="7420" max="7420" width="12.453125" style="30" bestFit="1" customWidth="1"/>
    <col min="7421" max="7421" width="10.54296875" style="30" bestFit="1" customWidth="1"/>
    <col min="7422" max="7422" width="11.26953125" style="30" bestFit="1" customWidth="1"/>
    <col min="7423" max="7423" width="9.54296875" style="30" bestFit="1" customWidth="1"/>
    <col min="7424" max="7424" width="9" style="30" bestFit="1" customWidth="1"/>
    <col min="7425" max="7425" width="11.26953125" style="30" bestFit="1" customWidth="1"/>
    <col min="7426" max="7426" width="10.54296875" style="30" bestFit="1" customWidth="1"/>
    <col min="7427" max="7671" width="9.26953125" style="30"/>
    <col min="7672" max="7672" width="15.453125" style="30" bestFit="1" customWidth="1"/>
    <col min="7673" max="7673" width="12.54296875" style="30" bestFit="1" customWidth="1"/>
    <col min="7674" max="7674" width="20.54296875" style="30" bestFit="1" customWidth="1"/>
    <col min="7675" max="7675" width="23.26953125" style="30" bestFit="1" customWidth="1"/>
    <col min="7676" max="7676" width="12.453125" style="30" bestFit="1" customWidth="1"/>
    <col min="7677" max="7677" width="10.54296875" style="30" bestFit="1" customWidth="1"/>
    <col min="7678" max="7678" width="11.26953125" style="30" bestFit="1" customWidth="1"/>
    <col min="7679" max="7679" width="9.54296875" style="30" bestFit="1" customWidth="1"/>
    <col min="7680" max="7680" width="9" style="30" bestFit="1" customWidth="1"/>
    <col min="7681" max="7681" width="11.26953125" style="30" bestFit="1" customWidth="1"/>
    <col min="7682" max="7682" width="10.54296875" style="30" bestFit="1" customWidth="1"/>
    <col min="7683" max="7927" width="9.26953125" style="30"/>
    <col min="7928" max="7928" width="15.453125" style="30" bestFit="1" customWidth="1"/>
    <col min="7929" max="7929" width="12.54296875" style="30" bestFit="1" customWidth="1"/>
    <col min="7930" max="7930" width="20.54296875" style="30" bestFit="1" customWidth="1"/>
    <col min="7931" max="7931" width="23.26953125" style="30" bestFit="1" customWidth="1"/>
    <col min="7932" max="7932" width="12.453125" style="30" bestFit="1" customWidth="1"/>
    <col min="7933" max="7933" width="10.54296875" style="30" bestFit="1" customWidth="1"/>
    <col min="7934" max="7934" width="11.26953125" style="30" bestFit="1" customWidth="1"/>
    <col min="7935" max="7935" width="9.54296875" style="30" bestFit="1" customWidth="1"/>
    <col min="7936" max="7936" width="9" style="30" bestFit="1" customWidth="1"/>
    <col min="7937" max="7937" width="11.26953125" style="30" bestFit="1" customWidth="1"/>
    <col min="7938" max="7938" width="10.54296875" style="30" bestFit="1" customWidth="1"/>
    <col min="7939" max="8183" width="9.26953125" style="30"/>
    <col min="8184" max="8184" width="15.453125" style="30" bestFit="1" customWidth="1"/>
    <col min="8185" max="8185" width="12.54296875" style="30" bestFit="1" customWidth="1"/>
    <col min="8186" max="8186" width="20.54296875" style="30" bestFit="1" customWidth="1"/>
    <col min="8187" max="8187" width="23.26953125" style="30" bestFit="1" customWidth="1"/>
    <col min="8188" max="8188" width="12.453125" style="30" bestFit="1" customWidth="1"/>
    <col min="8189" max="8189" width="10.54296875" style="30" bestFit="1" customWidth="1"/>
    <col min="8190" max="8190" width="11.26953125" style="30" bestFit="1" customWidth="1"/>
    <col min="8191" max="8191" width="9.54296875" style="30" bestFit="1" customWidth="1"/>
    <col min="8192" max="8192" width="9" style="30" bestFit="1" customWidth="1"/>
    <col min="8193" max="8193" width="11.26953125" style="30" bestFit="1" customWidth="1"/>
    <col min="8194" max="8194" width="10.54296875" style="30" bestFit="1" customWidth="1"/>
    <col min="8195" max="8439" width="9.26953125" style="30"/>
    <col min="8440" max="8440" width="15.453125" style="30" bestFit="1" customWidth="1"/>
    <col min="8441" max="8441" width="12.54296875" style="30" bestFit="1" customWidth="1"/>
    <col min="8442" max="8442" width="20.54296875" style="30" bestFit="1" customWidth="1"/>
    <col min="8443" max="8443" width="23.26953125" style="30" bestFit="1" customWidth="1"/>
    <col min="8444" max="8444" width="12.453125" style="30" bestFit="1" customWidth="1"/>
    <col min="8445" max="8445" width="10.54296875" style="30" bestFit="1" customWidth="1"/>
    <col min="8446" max="8446" width="11.26953125" style="30" bestFit="1" customWidth="1"/>
    <col min="8447" max="8447" width="9.54296875" style="30" bestFit="1" customWidth="1"/>
    <col min="8448" max="8448" width="9" style="30" bestFit="1" customWidth="1"/>
    <col min="8449" max="8449" width="11.26953125" style="30" bestFit="1" customWidth="1"/>
    <col min="8450" max="8450" width="10.54296875" style="30" bestFit="1" customWidth="1"/>
    <col min="8451" max="8695" width="9.26953125" style="30"/>
    <col min="8696" max="8696" width="15.453125" style="30" bestFit="1" customWidth="1"/>
    <col min="8697" max="8697" width="12.54296875" style="30" bestFit="1" customWidth="1"/>
    <col min="8698" max="8698" width="20.54296875" style="30" bestFit="1" customWidth="1"/>
    <col min="8699" max="8699" width="23.26953125" style="30" bestFit="1" customWidth="1"/>
    <col min="8700" max="8700" width="12.453125" style="30" bestFit="1" customWidth="1"/>
    <col min="8701" max="8701" width="10.54296875" style="30" bestFit="1" customWidth="1"/>
    <col min="8702" max="8702" width="11.26953125" style="30" bestFit="1" customWidth="1"/>
    <col min="8703" max="8703" width="9.54296875" style="30" bestFit="1" customWidth="1"/>
    <col min="8704" max="8704" width="9" style="30" bestFit="1" customWidth="1"/>
    <col min="8705" max="8705" width="11.26953125" style="30" bestFit="1" customWidth="1"/>
    <col min="8706" max="8706" width="10.54296875" style="30" bestFit="1" customWidth="1"/>
    <col min="8707" max="8951" width="9.26953125" style="30"/>
    <col min="8952" max="8952" width="15.453125" style="30" bestFit="1" customWidth="1"/>
    <col min="8953" max="8953" width="12.54296875" style="30" bestFit="1" customWidth="1"/>
    <col min="8954" max="8954" width="20.54296875" style="30" bestFit="1" customWidth="1"/>
    <col min="8955" max="8955" width="23.26953125" style="30" bestFit="1" customWidth="1"/>
    <col min="8956" max="8956" width="12.453125" style="30" bestFit="1" customWidth="1"/>
    <col min="8957" max="8957" width="10.54296875" style="30" bestFit="1" customWidth="1"/>
    <col min="8958" max="8958" width="11.26953125" style="30" bestFit="1" customWidth="1"/>
    <col min="8959" max="8959" width="9.54296875" style="30" bestFit="1" customWidth="1"/>
    <col min="8960" max="8960" width="9" style="30" bestFit="1" customWidth="1"/>
    <col min="8961" max="8961" width="11.26953125" style="30" bestFit="1" customWidth="1"/>
    <col min="8962" max="8962" width="10.54296875" style="30" bestFit="1" customWidth="1"/>
    <col min="8963" max="9207" width="9.26953125" style="30"/>
    <col min="9208" max="9208" width="15.453125" style="30" bestFit="1" customWidth="1"/>
    <col min="9209" max="9209" width="12.54296875" style="30" bestFit="1" customWidth="1"/>
    <col min="9210" max="9210" width="20.54296875" style="30" bestFit="1" customWidth="1"/>
    <col min="9211" max="9211" width="23.26953125" style="30" bestFit="1" customWidth="1"/>
    <col min="9212" max="9212" width="12.453125" style="30" bestFit="1" customWidth="1"/>
    <col min="9213" max="9213" width="10.54296875" style="30" bestFit="1" customWidth="1"/>
    <col min="9214" max="9214" width="11.26953125" style="30" bestFit="1" customWidth="1"/>
    <col min="9215" max="9215" width="9.54296875" style="30" bestFit="1" customWidth="1"/>
    <col min="9216" max="9216" width="9" style="30" bestFit="1" customWidth="1"/>
    <col min="9217" max="9217" width="11.26953125" style="30" bestFit="1" customWidth="1"/>
    <col min="9218" max="9218" width="10.54296875" style="30" bestFit="1" customWidth="1"/>
    <col min="9219" max="9463" width="9.26953125" style="30"/>
    <col min="9464" max="9464" width="15.453125" style="30" bestFit="1" customWidth="1"/>
    <col min="9465" max="9465" width="12.54296875" style="30" bestFit="1" customWidth="1"/>
    <col min="9466" max="9466" width="20.54296875" style="30" bestFit="1" customWidth="1"/>
    <col min="9467" max="9467" width="23.26953125" style="30" bestFit="1" customWidth="1"/>
    <col min="9468" max="9468" width="12.453125" style="30" bestFit="1" customWidth="1"/>
    <col min="9469" max="9469" width="10.54296875" style="30" bestFit="1" customWidth="1"/>
    <col min="9470" max="9470" width="11.26953125" style="30" bestFit="1" customWidth="1"/>
    <col min="9471" max="9471" width="9.54296875" style="30" bestFit="1" customWidth="1"/>
    <col min="9472" max="9472" width="9" style="30" bestFit="1" customWidth="1"/>
    <col min="9473" max="9473" width="11.26953125" style="30" bestFit="1" customWidth="1"/>
    <col min="9474" max="9474" width="10.54296875" style="30" bestFit="1" customWidth="1"/>
    <col min="9475" max="9719" width="9.26953125" style="30"/>
    <col min="9720" max="9720" width="15.453125" style="30" bestFit="1" customWidth="1"/>
    <col min="9721" max="9721" width="12.54296875" style="30" bestFit="1" customWidth="1"/>
    <col min="9722" max="9722" width="20.54296875" style="30" bestFit="1" customWidth="1"/>
    <col min="9723" max="9723" width="23.26953125" style="30" bestFit="1" customWidth="1"/>
    <col min="9724" max="9724" width="12.453125" style="30" bestFit="1" customWidth="1"/>
    <col min="9725" max="9725" width="10.54296875" style="30" bestFit="1" customWidth="1"/>
    <col min="9726" max="9726" width="11.26953125" style="30" bestFit="1" customWidth="1"/>
    <col min="9727" max="9727" width="9.54296875" style="30" bestFit="1" customWidth="1"/>
    <col min="9728" max="9728" width="9" style="30" bestFit="1" customWidth="1"/>
    <col min="9729" max="9729" width="11.26953125" style="30" bestFit="1" customWidth="1"/>
    <col min="9730" max="9730" width="10.54296875" style="30" bestFit="1" customWidth="1"/>
    <col min="9731" max="9975" width="9.26953125" style="30"/>
    <col min="9976" max="9976" width="15.453125" style="30" bestFit="1" customWidth="1"/>
    <col min="9977" max="9977" width="12.54296875" style="30" bestFit="1" customWidth="1"/>
    <col min="9978" max="9978" width="20.54296875" style="30" bestFit="1" customWidth="1"/>
    <col min="9979" max="9979" width="23.26953125" style="30" bestFit="1" customWidth="1"/>
    <col min="9980" max="9980" width="12.453125" style="30" bestFit="1" customWidth="1"/>
    <col min="9981" max="9981" width="10.54296875" style="30" bestFit="1" customWidth="1"/>
    <col min="9982" max="9982" width="11.26953125" style="30" bestFit="1" customWidth="1"/>
    <col min="9983" max="9983" width="9.54296875" style="30" bestFit="1" customWidth="1"/>
    <col min="9984" max="9984" width="9" style="30" bestFit="1" customWidth="1"/>
    <col min="9985" max="9985" width="11.26953125" style="30" bestFit="1" customWidth="1"/>
    <col min="9986" max="9986" width="10.54296875" style="30" bestFit="1" customWidth="1"/>
    <col min="9987" max="10231" width="9.26953125" style="30"/>
    <col min="10232" max="10232" width="15.453125" style="30" bestFit="1" customWidth="1"/>
    <col min="10233" max="10233" width="12.54296875" style="30" bestFit="1" customWidth="1"/>
    <col min="10234" max="10234" width="20.54296875" style="30" bestFit="1" customWidth="1"/>
    <col min="10235" max="10235" width="23.26953125" style="30" bestFit="1" customWidth="1"/>
    <col min="10236" max="10236" width="12.453125" style="30" bestFit="1" customWidth="1"/>
    <col min="10237" max="10237" width="10.54296875" style="30" bestFit="1" customWidth="1"/>
    <col min="10238" max="10238" width="11.26953125" style="30" bestFit="1" customWidth="1"/>
    <col min="10239" max="10239" width="9.54296875" style="30" bestFit="1" customWidth="1"/>
    <col min="10240" max="10240" width="9" style="30" bestFit="1" customWidth="1"/>
    <col min="10241" max="10241" width="11.26953125" style="30" bestFit="1" customWidth="1"/>
    <col min="10242" max="10242" width="10.54296875" style="30" bestFit="1" customWidth="1"/>
    <col min="10243" max="10487" width="9.26953125" style="30"/>
    <col min="10488" max="10488" width="15.453125" style="30" bestFit="1" customWidth="1"/>
    <col min="10489" max="10489" width="12.54296875" style="30" bestFit="1" customWidth="1"/>
    <col min="10490" max="10490" width="20.54296875" style="30" bestFit="1" customWidth="1"/>
    <col min="10491" max="10491" width="23.26953125" style="30" bestFit="1" customWidth="1"/>
    <col min="10492" max="10492" width="12.453125" style="30" bestFit="1" customWidth="1"/>
    <col min="10493" max="10493" width="10.54296875" style="30" bestFit="1" customWidth="1"/>
    <col min="10494" max="10494" width="11.26953125" style="30" bestFit="1" customWidth="1"/>
    <col min="10495" max="10495" width="9.54296875" style="30" bestFit="1" customWidth="1"/>
    <col min="10496" max="10496" width="9" style="30" bestFit="1" customWidth="1"/>
    <col min="10497" max="10497" width="11.26953125" style="30" bestFit="1" customWidth="1"/>
    <col min="10498" max="10498" width="10.54296875" style="30" bestFit="1" customWidth="1"/>
    <col min="10499" max="10743" width="9.26953125" style="30"/>
    <col min="10744" max="10744" width="15.453125" style="30" bestFit="1" customWidth="1"/>
    <col min="10745" max="10745" width="12.54296875" style="30" bestFit="1" customWidth="1"/>
    <col min="10746" max="10746" width="20.54296875" style="30" bestFit="1" customWidth="1"/>
    <col min="10747" max="10747" width="23.26953125" style="30" bestFit="1" customWidth="1"/>
    <col min="10748" max="10748" width="12.453125" style="30" bestFit="1" customWidth="1"/>
    <col min="10749" max="10749" width="10.54296875" style="30" bestFit="1" customWidth="1"/>
    <col min="10750" max="10750" width="11.26953125" style="30" bestFit="1" customWidth="1"/>
    <col min="10751" max="10751" width="9.54296875" style="30" bestFit="1" customWidth="1"/>
    <col min="10752" max="10752" width="9" style="30" bestFit="1" customWidth="1"/>
    <col min="10753" max="10753" width="11.26953125" style="30" bestFit="1" customWidth="1"/>
    <col min="10754" max="10754" width="10.54296875" style="30" bestFit="1" customWidth="1"/>
    <col min="10755" max="10999" width="9.26953125" style="30"/>
    <col min="11000" max="11000" width="15.453125" style="30" bestFit="1" customWidth="1"/>
    <col min="11001" max="11001" width="12.54296875" style="30" bestFit="1" customWidth="1"/>
    <col min="11002" max="11002" width="20.54296875" style="30" bestFit="1" customWidth="1"/>
    <col min="11003" max="11003" width="23.26953125" style="30" bestFit="1" customWidth="1"/>
    <col min="11004" max="11004" width="12.453125" style="30" bestFit="1" customWidth="1"/>
    <col min="11005" max="11005" width="10.54296875" style="30" bestFit="1" customWidth="1"/>
    <col min="11006" max="11006" width="11.26953125" style="30" bestFit="1" customWidth="1"/>
    <col min="11007" max="11007" width="9.54296875" style="30" bestFit="1" customWidth="1"/>
    <col min="11008" max="11008" width="9" style="30" bestFit="1" customWidth="1"/>
    <col min="11009" max="11009" width="11.26953125" style="30" bestFit="1" customWidth="1"/>
    <col min="11010" max="11010" width="10.54296875" style="30" bestFit="1" customWidth="1"/>
    <col min="11011" max="11255" width="9.26953125" style="30"/>
    <col min="11256" max="11256" width="15.453125" style="30" bestFit="1" customWidth="1"/>
    <col min="11257" max="11257" width="12.54296875" style="30" bestFit="1" customWidth="1"/>
    <col min="11258" max="11258" width="20.54296875" style="30" bestFit="1" customWidth="1"/>
    <col min="11259" max="11259" width="23.26953125" style="30" bestFit="1" customWidth="1"/>
    <col min="11260" max="11260" width="12.453125" style="30" bestFit="1" customWidth="1"/>
    <col min="11261" max="11261" width="10.54296875" style="30" bestFit="1" customWidth="1"/>
    <col min="11262" max="11262" width="11.26953125" style="30" bestFit="1" customWidth="1"/>
    <col min="11263" max="11263" width="9.54296875" style="30" bestFit="1" customWidth="1"/>
    <col min="11264" max="11264" width="9" style="30" bestFit="1" customWidth="1"/>
    <col min="11265" max="11265" width="11.26953125" style="30" bestFit="1" customWidth="1"/>
    <col min="11266" max="11266" width="10.54296875" style="30" bestFit="1" customWidth="1"/>
    <col min="11267" max="11511" width="9.26953125" style="30"/>
    <col min="11512" max="11512" width="15.453125" style="30" bestFit="1" customWidth="1"/>
    <col min="11513" max="11513" width="12.54296875" style="30" bestFit="1" customWidth="1"/>
    <col min="11514" max="11514" width="20.54296875" style="30" bestFit="1" customWidth="1"/>
    <col min="11515" max="11515" width="23.26953125" style="30" bestFit="1" customWidth="1"/>
    <col min="11516" max="11516" width="12.453125" style="30" bestFit="1" customWidth="1"/>
    <col min="11517" max="11517" width="10.54296875" style="30" bestFit="1" customWidth="1"/>
    <col min="11518" max="11518" width="11.26953125" style="30" bestFit="1" customWidth="1"/>
    <col min="11519" max="11519" width="9.54296875" style="30" bestFit="1" customWidth="1"/>
    <col min="11520" max="11520" width="9" style="30" bestFit="1" customWidth="1"/>
    <col min="11521" max="11521" width="11.26953125" style="30" bestFit="1" customWidth="1"/>
    <col min="11522" max="11522" width="10.54296875" style="30" bestFit="1" customWidth="1"/>
    <col min="11523" max="11767" width="9.26953125" style="30"/>
    <col min="11768" max="11768" width="15.453125" style="30" bestFit="1" customWidth="1"/>
    <col min="11769" max="11769" width="12.54296875" style="30" bestFit="1" customWidth="1"/>
    <col min="11770" max="11770" width="20.54296875" style="30" bestFit="1" customWidth="1"/>
    <col min="11771" max="11771" width="23.26953125" style="30" bestFit="1" customWidth="1"/>
    <col min="11772" max="11772" width="12.453125" style="30" bestFit="1" customWidth="1"/>
    <col min="11773" max="11773" width="10.54296875" style="30" bestFit="1" customWidth="1"/>
    <col min="11774" max="11774" width="11.26953125" style="30" bestFit="1" customWidth="1"/>
    <col min="11775" max="11775" width="9.54296875" style="30" bestFit="1" customWidth="1"/>
    <col min="11776" max="11776" width="9" style="30" bestFit="1" customWidth="1"/>
    <col min="11777" max="11777" width="11.26953125" style="30" bestFit="1" customWidth="1"/>
    <col min="11778" max="11778" width="10.54296875" style="30" bestFit="1" customWidth="1"/>
    <col min="11779" max="12023" width="9.26953125" style="30"/>
    <col min="12024" max="12024" width="15.453125" style="30" bestFit="1" customWidth="1"/>
    <col min="12025" max="12025" width="12.54296875" style="30" bestFit="1" customWidth="1"/>
    <col min="12026" max="12026" width="20.54296875" style="30" bestFit="1" customWidth="1"/>
    <col min="12027" max="12027" width="23.26953125" style="30" bestFit="1" customWidth="1"/>
    <col min="12028" max="12028" width="12.453125" style="30" bestFit="1" customWidth="1"/>
    <col min="12029" max="12029" width="10.54296875" style="30" bestFit="1" customWidth="1"/>
    <col min="12030" max="12030" width="11.26953125" style="30" bestFit="1" customWidth="1"/>
    <col min="12031" max="12031" width="9.54296875" style="30" bestFit="1" customWidth="1"/>
    <col min="12032" max="12032" width="9" style="30" bestFit="1" customWidth="1"/>
    <col min="12033" max="12033" width="11.26953125" style="30" bestFit="1" customWidth="1"/>
    <col min="12034" max="12034" width="10.54296875" style="30" bestFit="1" customWidth="1"/>
    <col min="12035" max="12279" width="9.26953125" style="30"/>
    <col min="12280" max="12280" width="15.453125" style="30" bestFit="1" customWidth="1"/>
    <col min="12281" max="12281" width="12.54296875" style="30" bestFit="1" customWidth="1"/>
    <col min="12282" max="12282" width="20.54296875" style="30" bestFit="1" customWidth="1"/>
    <col min="12283" max="12283" width="23.26953125" style="30" bestFit="1" customWidth="1"/>
    <col min="12284" max="12284" width="12.453125" style="30" bestFit="1" customWidth="1"/>
    <col min="12285" max="12285" width="10.54296875" style="30" bestFit="1" customWidth="1"/>
    <col min="12286" max="12286" width="11.26953125" style="30" bestFit="1" customWidth="1"/>
    <col min="12287" max="12287" width="9.54296875" style="30" bestFit="1" customWidth="1"/>
    <col min="12288" max="12288" width="9" style="30" bestFit="1" customWidth="1"/>
    <col min="12289" max="12289" width="11.26953125" style="30" bestFit="1" customWidth="1"/>
    <col min="12290" max="12290" width="10.54296875" style="30" bestFit="1" customWidth="1"/>
    <col min="12291" max="12535" width="9.26953125" style="30"/>
    <col min="12536" max="12536" width="15.453125" style="30" bestFit="1" customWidth="1"/>
    <col min="12537" max="12537" width="12.54296875" style="30" bestFit="1" customWidth="1"/>
    <col min="12538" max="12538" width="20.54296875" style="30" bestFit="1" customWidth="1"/>
    <col min="12539" max="12539" width="23.26953125" style="30" bestFit="1" customWidth="1"/>
    <col min="12540" max="12540" width="12.453125" style="30" bestFit="1" customWidth="1"/>
    <col min="12541" max="12541" width="10.54296875" style="30" bestFit="1" customWidth="1"/>
    <col min="12542" max="12542" width="11.26953125" style="30" bestFit="1" customWidth="1"/>
    <col min="12543" max="12543" width="9.54296875" style="30" bestFit="1" customWidth="1"/>
    <col min="12544" max="12544" width="9" style="30" bestFit="1" customWidth="1"/>
    <col min="12545" max="12545" width="11.26953125" style="30" bestFit="1" customWidth="1"/>
    <col min="12546" max="12546" width="10.54296875" style="30" bestFit="1" customWidth="1"/>
    <col min="12547" max="12791" width="9.26953125" style="30"/>
    <col min="12792" max="12792" width="15.453125" style="30" bestFit="1" customWidth="1"/>
    <col min="12793" max="12793" width="12.54296875" style="30" bestFit="1" customWidth="1"/>
    <col min="12794" max="12794" width="20.54296875" style="30" bestFit="1" customWidth="1"/>
    <col min="12795" max="12795" width="23.26953125" style="30" bestFit="1" customWidth="1"/>
    <col min="12796" max="12796" width="12.453125" style="30" bestFit="1" customWidth="1"/>
    <col min="12797" max="12797" width="10.54296875" style="30" bestFit="1" customWidth="1"/>
    <col min="12798" max="12798" width="11.26953125" style="30" bestFit="1" customWidth="1"/>
    <col min="12799" max="12799" width="9.54296875" style="30" bestFit="1" customWidth="1"/>
    <col min="12800" max="12800" width="9" style="30" bestFit="1" customWidth="1"/>
    <col min="12801" max="12801" width="11.26953125" style="30" bestFit="1" customWidth="1"/>
    <col min="12802" max="12802" width="10.54296875" style="30" bestFit="1" customWidth="1"/>
    <col min="12803" max="13047" width="9.26953125" style="30"/>
    <col min="13048" max="13048" width="15.453125" style="30" bestFit="1" customWidth="1"/>
    <col min="13049" max="13049" width="12.54296875" style="30" bestFit="1" customWidth="1"/>
    <col min="13050" max="13050" width="20.54296875" style="30" bestFit="1" customWidth="1"/>
    <col min="13051" max="13051" width="23.26953125" style="30" bestFit="1" customWidth="1"/>
    <col min="13052" max="13052" width="12.453125" style="30" bestFit="1" customWidth="1"/>
    <col min="13053" max="13053" width="10.54296875" style="30" bestFit="1" customWidth="1"/>
    <col min="13054" max="13054" width="11.26953125" style="30" bestFit="1" customWidth="1"/>
    <col min="13055" max="13055" width="9.54296875" style="30" bestFit="1" customWidth="1"/>
    <col min="13056" max="13056" width="9" style="30" bestFit="1" customWidth="1"/>
    <col min="13057" max="13057" width="11.26953125" style="30" bestFit="1" customWidth="1"/>
    <col min="13058" max="13058" width="10.54296875" style="30" bestFit="1" customWidth="1"/>
    <col min="13059" max="13303" width="9.26953125" style="30"/>
    <col min="13304" max="13304" width="15.453125" style="30" bestFit="1" customWidth="1"/>
    <col min="13305" max="13305" width="12.54296875" style="30" bestFit="1" customWidth="1"/>
    <col min="13306" max="13306" width="20.54296875" style="30" bestFit="1" customWidth="1"/>
    <col min="13307" max="13307" width="23.26953125" style="30" bestFit="1" customWidth="1"/>
    <col min="13308" max="13308" width="12.453125" style="30" bestFit="1" customWidth="1"/>
    <col min="13309" max="13309" width="10.54296875" style="30" bestFit="1" customWidth="1"/>
    <col min="13310" max="13310" width="11.26953125" style="30" bestFit="1" customWidth="1"/>
    <col min="13311" max="13311" width="9.54296875" style="30" bestFit="1" customWidth="1"/>
    <col min="13312" max="13312" width="9" style="30" bestFit="1" customWidth="1"/>
    <col min="13313" max="13313" width="11.26953125" style="30" bestFit="1" customWidth="1"/>
    <col min="13314" max="13314" width="10.54296875" style="30" bestFit="1" customWidth="1"/>
    <col min="13315" max="13559" width="9.26953125" style="30"/>
    <col min="13560" max="13560" width="15.453125" style="30" bestFit="1" customWidth="1"/>
    <col min="13561" max="13561" width="12.54296875" style="30" bestFit="1" customWidth="1"/>
    <col min="13562" max="13562" width="20.54296875" style="30" bestFit="1" customWidth="1"/>
    <col min="13563" max="13563" width="23.26953125" style="30" bestFit="1" customWidth="1"/>
    <col min="13564" max="13564" width="12.453125" style="30" bestFit="1" customWidth="1"/>
    <col min="13565" max="13565" width="10.54296875" style="30" bestFit="1" customWidth="1"/>
    <col min="13566" max="13566" width="11.26953125" style="30" bestFit="1" customWidth="1"/>
    <col min="13567" max="13567" width="9.54296875" style="30" bestFit="1" customWidth="1"/>
    <col min="13568" max="13568" width="9" style="30" bestFit="1" customWidth="1"/>
    <col min="13569" max="13569" width="11.26953125" style="30" bestFit="1" customWidth="1"/>
    <col min="13570" max="13570" width="10.54296875" style="30" bestFit="1" customWidth="1"/>
    <col min="13571" max="13815" width="9.26953125" style="30"/>
    <col min="13816" max="13816" width="15.453125" style="30" bestFit="1" customWidth="1"/>
    <col min="13817" max="13817" width="12.54296875" style="30" bestFit="1" customWidth="1"/>
    <col min="13818" max="13818" width="20.54296875" style="30" bestFit="1" customWidth="1"/>
    <col min="13819" max="13819" width="23.26953125" style="30" bestFit="1" customWidth="1"/>
    <col min="13820" max="13820" width="12.453125" style="30" bestFit="1" customWidth="1"/>
    <col min="13821" max="13821" width="10.54296875" style="30" bestFit="1" customWidth="1"/>
    <col min="13822" max="13822" width="11.26953125" style="30" bestFit="1" customWidth="1"/>
    <col min="13823" max="13823" width="9.54296875" style="30" bestFit="1" customWidth="1"/>
    <col min="13824" max="13824" width="9" style="30" bestFit="1" customWidth="1"/>
    <col min="13825" max="13825" width="11.26953125" style="30" bestFit="1" customWidth="1"/>
    <col min="13826" max="13826" width="10.54296875" style="30" bestFit="1" customWidth="1"/>
    <col min="13827" max="14071" width="9.26953125" style="30"/>
    <col min="14072" max="14072" width="15.453125" style="30" bestFit="1" customWidth="1"/>
    <col min="14073" max="14073" width="12.54296875" style="30" bestFit="1" customWidth="1"/>
    <col min="14074" max="14074" width="20.54296875" style="30" bestFit="1" customWidth="1"/>
    <col min="14075" max="14075" width="23.26953125" style="30" bestFit="1" customWidth="1"/>
    <col min="14076" max="14076" width="12.453125" style="30" bestFit="1" customWidth="1"/>
    <col min="14077" max="14077" width="10.54296875" style="30" bestFit="1" customWidth="1"/>
    <col min="14078" max="14078" width="11.26953125" style="30" bestFit="1" customWidth="1"/>
    <col min="14079" max="14079" width="9.54296875" style="30" bestFit="1" customWidth="1"/>
    <col min="14080" max="14080" width="9" style="30" bestFit="1" customWidth="1"/>
    <col min="14081" max="14081" width="11.26953125" style="30" bestFit="1" customWidth="1"/>
    <col min="14082" max="14082" width="10.54296875" style="30" bestFit="1" customWidth="1"/>
    <col min="14083" max="14327" width="9.26953125" style="30"/>
    <col min="14328" max="14328" width="15.453125" style="30" bestFit="1" customWidth="1"/>
    <col min="14329" max="14329" width="12.54296875" style="30" bestFit="1" customWidth="1"/>
    <col min="14330" max="14330" width="20.54296875" style="30" bestFit="1" customWidth="1"/>
    <col min="14331" max="14331" width="23.26953125" style="30" bestFit="1" customWidth="1"/>
    <col min="14332" max="14332" width="12.453125" style="30" bestFit="1" customWidth="1"/>
    <col min="14333" max="14333" width="10.54296875" style="30" bestFit="1" customWidth="1"/>
    <col min="14334" max="14334" width="11.26953125" style="30" bestFit="1" customWidth="1"/>
    <col min="14335" max="14335" width="9.54296875" style="30" bestFit="1" customWidth="1"/>
    <col min="14336" max="14336" width="9" style="30" bestFit="1" customWidth="1"/>
    <col min="14337" max="14337" width="11.26953125" style="30" bestFit="1" customWidth="1"/>
    <col min="14338" max="14338" width="10.54296875" style="30" bestFit="1" customWidth="1"/>
    <col min="14339" max="14583" width="9.26953125" style="30"/>
    <col min="14584" max="14584" width="15.453125" style="30" bestFit="1" customWidth="1"/>
    <col min="14585" max="14585" width="12.54296875" style="30" bestFit="1" customWidth="1"/>
    <col min="14586" max="14586" width="20.54296875" style="30" bestFit="1" customWidth="1"/>
    <col min="14587" max="14587" width="23.26953125" style="30" bestFit="1" customWidth="1"/>
    <col min="14588" max="14588" width="12.453125" style="30" bestFit="1" customWidth="1"/>
    <col min="14589" max="14589" width="10.54296875" style="30" bestFit="1" customWidth="1"/>
    <col min="14590" max="14590" width="11.26953125" style="30" bestFit="1" customWidth="1"/>
    <col min="14591" max="14591" width="9.54296875" style="30" bestFit="1" customWidth="1"/>
    <col min="14592" max="14592" width="9" style="30" bestFit="1" customWidth="1"/>
    <col min="14593" max="14593" width="11.26953125" style="30" bestFit="1" customWidth="1"/>
    <col min="14594" max="14594" width="10.54296875" style="30" bestFit="1" customWidth="1"/>
    <col min="14595" max="14839" width="9.26953125" style="30"/>
    <col min="14840" max="14840" width="15.453125" style="30" bestFit="1" customWidth="1"/>
    <col min="14841" max="14841" width="12.54296875" style="30" bestFit="1" customWidth="1"/>
    <col min="14842" max="14842" width="20.54296875" style="30" bestFit="1" customWidth="1"/>
    <col min="14843" max="14843" width="23.26953125" style="30" bestFit="1" customWidth="1"/>
    <col min="14844" max="14844" width="12.453125" style="30" bestFit="1" customWidth="1"/>
    <col min="14845" max="14845" width="10.54296875" style="30" bestFit="1" customWidth="1"/>
    <col min="14846" max="14846" width="11.26953125" style="30" bestFit="1" customWidth="1"/>
    <col min="14847" max="14847" width="9.54296875" style="30" bestFit="1" customWidth="1"/>
    <col min="14848" max="14848" width="9" style="30" bestFit="1" customWidth="1"/>
    <col min="14849" max="14849" width="11.26953125" style="30" bestFit="1" customWidth="1"/>
    <col min="14850" max="14850" width="10.54296875" style="30" bestFit="1" customWidth="1"/>
    <col min="14851" max="15095" width="9.26953125" style="30"/>
    <col min="15096" max="15096" width="15.453125" style="30" bestFit="1" customWidth="1"/>
    <col min="15097" max="15097" width="12.54296875" style="30" bestFit="1" customWidth="1"/>
    <col min="15098" max="15098" width="20.54296875" style="30" bestFit="1" customWidth="1"/>
    <col min="15099" max="15099" width="23.26953125" style="30" bestFit="1" customWidth="1"/>
    <col min="15100" max="15100" width="12.453125" style="30" bestFit="1" customWidth="1"/>
    <col min="15101" max="15101" width="10.54296875" style="30" bestFit="1" customWidth="1"/>
    <col min="15102" max="15102" width="11.26953125" style="30" bestFit="1" customWidth="1"/>
    <col min="15103" max="15103" width="9.54296875" style="30" bestFit="1" customWidth="1"/>
    <col min="15104" max="15104" width="9" style="30" bestFit="1" customWidth="1"/>
    <col min="15105" max="15105" width="11.26953125" style="30" bestFit="1" customWidth="1"/>
    <col min="15106" max="15106" width="10.54296875" style="30" bestFit="1" customWidth="1"/>
    <col min="15107" max="15351" width="9.26953125" style="30"/>
    <col min="15352" max="15352" width="15.453125" style="30" bestFit="1" customWidth="1"/>
    <col min="15353" max="15353" width="12.54296875" style="30" bestFit="1" customWidth="1"/>
    <col min="15354" max="15354" width="20.54296875" style="30" bestFit="1" customWidth="1"/>
    <col min="15355" max="15355" width="23.26953125" style="30" bestFit="1" customWidth="1"/>
    <col min="15356" max="15356" width="12.453125" style="30" bestFit="1" customWidth="1"/>
    <col min="15357" max="15357" width="10.54296875" style="30" bestFit="1" customWidth="1"/>
    <col min="15358" max="15358" width="11.26953125" style="30" bestFit="1" customWidth="1"/>
    <col min="15359" max="15359" width="9.54296875" style="30" bestFit="1" customWidth="1"/>
    <col min="15360" max="15360" width="9" style="30" bestFit="1" customWidth="1"/>
    <col min="15361" max="15361" width="11.26953125" style="30" bestFit="1" customWidth="1"/>
    <col min="15362" max="15362" width="10.54296875" style="30" bestFit="1" customWidth="1"/>
    <col min="15363" max="15607" width="9.26953125" style="30"/>
    <col min="15608" max="15608" width="15.453125" style="30" bestFit="1" customWidth="1"/>
    <col min="15609" max="15609" width="12.54296875" style="30" bestFit="1" customWidth="1"/>
    <col min="15610" max="15610" width="20.54296875" style="30" bestFit="1" customWidth="1"/>
    <col min="15611" max="15611" width="23.26953125" style="30" bestFit="1" customWidth="1"/>
    <col min="15612" max="15612" width="12.453125" style="30" bestFit="1" customWidth="1"/>
    <col min="15613" max="15613" width="10.54296875" style="30" bestFit="1" customWidth="1"/>
    <col min="15614" max="15614" width="11.26953125" style="30" bestFit="1" customWidth="1"/>
    <col min="15615" max="15615" width="9.54296875" style="30" bestFit="1" customWidth="1"/>
    <col min="15616" max="15616" width="9" style="30" bestFit="1" customWidth="1"/>
    <col min="15617" max="15617" width="11.26953125" style="30" bestFit="1" customWidth="1"/>
    <col min="15618" max="15618" width="10.54296875" style="30" bestFit="1" customWidth="1"/>
    <col min="15619" max="15863" width="9.26953125" style="30"/>
    <col min="15864" max="15864" width="15.453125" style="30" bestFit="1" customWidth="1"/>
    <col min="15865" max="15865" width="12.54296875" style="30" bestFit="1" customWidth="1"/>
    <col min="15866" max="15866" width="20.54296875" style="30" bestFit="1" customWidth="1"/>
    <col min="15867" max="15867" width="23.26953125" style="30" bestFit="1" customWidth="1"/>
    <col min="15868" max="15868" width="12.453125" style="30" bestFit="1" customWidth="1"/>
    <col min="15869" max="15869" width="10.54296875" style="30" bestFit="1" customWidth="1"/>
    <col min="15870" max="15870" width="11.26953125" style="30" bestFit="1" customWidth="1"/>
    <col min="15871" max="15871" width="9.54296875" style="30" bestFit="1" customWidth="1"/>
    <col min="15872" max="15872" width="9" style="30" bestFit="1" customWidth="1"/>
    <col min="15873" max="15873" width="11.26953125" style="30" bestFit="1" customWidth="1"/>
    <col min="15874" max="15874" width="10.54296875" style="30" bestFit="1" customWidth="1"/>
    <col min="15875" max="16119" width="9.26953125" style="30"/>
    <col min="16120" max="16120" width="15.453125" style="30" bestFit="1" customWidth="1"/>
    <col min="16121" max="16121" width="12.54296875" style="30" bestFit="1" customWidth="1"/>
    <col min="16122" max="16122" width="20.54296875" style="30" bestFit="1" customWidth="1"/>
    <col min="16123" max="16123" width="23.26953125" style="30" bestFit="1" customWidth="1"/>
    <col min="16124" max="16124" width="12.453125" style="30" bestFit="1" customWidth="1"/>
    <col min="16125" max="16125" width="10.54296875" style="30" bestFit="1" customWidth="1"/>
    <col min="16126" max="16126" width="11.26953125" style="30" bestFit="1" customWidth="1"/>
    <col min="16127" max="16127" width="9.54296875" style="30" bestFit="1" customWidth="1"/>
    <col min="16128" max="16128" width="9" style="30" bestFit="1" customWidth="1"/>
    <col min="16129" max="16129" width="11.26953125" style="30" bestFit="1" customWidth="1"/>
    <col min="16130" max="16130" width="10.54296875" style="30" bestFit="1" customWidth="1"/>
    <col min="16131" max="16384" width="9.26953125" style="30"/>
  </cols>
  <sheetData>
    <row r="1" spans="1:21" ht="13" x14ac:dyDescent="0.3">
      <c r="A1" s="65" t="s">
        <v>151</v>
      </c>
      <c r="B1" s="82" t="s">
        <v>3058</v>
      </c>
      <c r="C1" s="29" t="s">
        <v>100</v>
      </c>
      <c r="D1" s="82" t="s">
        <v>3059</v>
      </c>
      <c r="E1" s="29" t="s">
        <v>101</v>
      </c>
      <c r="F1" s="29" t="s">
        <v>1848</v>
      </c>
      <c r="G1" s="29" t="s">
        <v>102</v>
      </c>
      <c r="H1" s="106" t="s">
        <v>103</v>
      </c>
      <c r="I1" s="106" t="s">
        <v>104</v>
      </c>
      <c r="J1" s="106" t="s">
        <v>105</v>
      </c>
      <c r="K1" s="106" t="s">
        <v>106</v>
      </c>
      <c r="L1" s="106" t="s">
        <v>107</v>
      </c>
      <c r="M1" s="106" t="s">
        <v>108</v>
      </c>
      <c r="N1" s="31" t="s">
        <v>4040</v>
      </c>
      <c r="O1" s="101" t="s">
        <v>3131</v>
      </c>
      <c r="P1" s="119" t="s">
        <v>3131</v>
      </c>
      <c r="Q1" s="103"/>
      <c r="R1" s="103"/>
      <c r="U1" s="30" t="s">
        <v>4053</v>
      </c>
    </row>
    <row r="2" spans="1:21" x14ac:dyDescent="0.25">
      <c r="A2" t="s">
        <v>32</v>
      </c>
      <c r="B2" s="73" t="str">
        <f>VLOOKUP(C2,'Büyükşehir List'!$C$2:$D$31,2,FALSE)</f>
        <v>ADANA BÜYÜKŞEHİR</v>
      </c>
      <c r="C2" t="s">
        <v>33</v>
      </c>
      <c r="D2" s="73" t="str">
        <f>CONCATENATE(B2,"/",C2)</f>
        <v>ADANA BÜYÜKŞEHİR/ADANA</v>
      </c>
      <c r="E2" t="s">
        <v>3726</v>
      </c>
      <c r="F2" t="s">
        <v>3726</v>
      </c>
      <c r="G2" t="s">
        <v>3366</v>
      </c>
      <c r="H2">
        <v>9242.7999999999993</v>
      </c>
      <c r="I2">
        <v>924.28</v>
      </c>
      <c r="J2">
        <v>1744.9</v>
      </c>
      <c r="K2">
        <v>174.49</v>
      </c>
      <c r="L2">
        <v>7497.9</v>
      </c>
      <c r="M2">
        <v>749.79</v>
      </c>
      <c r="O2" s="79">
        <f>IFERROR(VLOOKUP(D2,'KAPANAN BLD.'!$C$2:$D$793,2,FALSE),0)</f>
        <v>0</v>
      </c>
      <c r="P2" s="79">
        <v>0</v>
      </c>
    </row>
    <row r="3" spans="1:21" x14ac:dyDescent="0.25">
      <c r="A3" t="s">
        <v>32</v>
      </c>
      <c r="B3" s="73" t="str">
        <f>VLOOKUP(C3,'Büyükşehir List'!$C$2:$D$31,2,FALSE)</f>
        <v>ADANA BÜYÜKŞEHİR</v>
      </c>
      <c r="C3" t="s">
        <v>33</v>
      </c>
      <c r="D3" s="73" t="str">
        <f t="shared" ref="D3:D66" si="0">CONCATENATE(B3,"/",C3)</f>
        <v>ADANA BÜYÜKŞEHİR/ADANA</v>
      </c>
      <c r="E3" t="s">
        <v>3726</v>
      </c>
      <c r="F3" t="s">
        <v>3726</v>
      </c>
      <c r="G3" t="s">
        <v>3367</v>
      </c>
      <c r="H3">
        <v>12873.7</v>
      </c>
      <c r="I3">
        <v>1287.3699999999999</v>
      </c>
      <c r="J3">
        <v>4661.6000000000004</v>
      </c>
      <c r="K3">
        <v>466.16</v>
      </c>
      <c r="L3">
        <v>8212.1</v>
      </c>
      <c r="M3">
        <v>821.21</v>
      </c>
      <c r="O3" s="79">
        <f>IFERROR(VLOOKUP(D3,'KAPANAN BLD.'!$C$2:$D$793,2,FALSE),0)</f>
        <v>0</v>
      </c>
      <c r="P3" s="79">
        <v>0</v>
      </c>
    </row>
    <row r="4" spans="1:21" x14ac:dyDescent="0.25">
      <c r="A4" t="s">
        <v>32</v>
      </c>
      <c r="B4" s="73" t="str">
        <f>VLOOKUP(C4,'Büyükşehir List'!$C$2:$D$31,2,FALSE)</f>
        <v>ADANA BÜYÜKŞEHİR</v>
      </c>
      <c r="C4" t="s">
        <v>33</v>
      </c>
      <c r="D4" s="73" t="str">
        <f t="shared" si="0"/>
        <v>ADANA BÜYÜKŞEHİR/ADANA</v>
      </c>
      <c r="E4" t="s">
        <v>1849</v>
      </c>
      <c r="F4" t="s">
        <v>1849</v>
      </c>
      <c r="G4" t="s">
        <v>3367</v>
      </c>
      <c r="H4">
        <v>41962.32</v>
      </c>
      <c r="I4">
        <v>4196.2299999999996</v>
      </c>
      <c r="J4">
        <v>3305.5</v>
      </c>
      <c r="K4">
        <v>330.55</v>
      </c>
      <c r="L4">
        <v>38656.82</v>
      </c>
      <c r="M4">
        <v>3865.68</v>
      </c>
      <c r="O4" s="79">
        <f>IFERROR(VLOOKUP(D4,'KAPANAN BLD.'!$C$2:$D$793,2,FALSE),0)</f>
        <v>0</v>
      </c>
      <c r="P4" s="79">
        <v>0</v>
      </c>
    </row>
    <row r="5" spans="1:21" x14ac:dyDescent="0.25">
      <c r="A5" t="s">
        <v>32</v>
      </c>
      <c r="B5" s="73" t="str">
        <f>VLOOKUP(C5,'Büyükşehir List'!$C$2:$D$31,2,FALSE)</f>
        <v>ADANA BÜYÜKŞEHİR</v>
      </c>
      <c r="C5" t="s">
        <v>33</v>
      </c>
      <c r="D5" s="73" t="str">
        <f t="shared" si="0"/>
        <v>ADANA BÜYÜKŞEHİR/ADANA</v>
      </c>
      <c r="E5" t="s">
        <v>1849</v>
      </c>
      <c r="F5" t="s">
        <v>1849</v>
      </c>
      <c r="G5" t="s">
        <v>3366</v>
      </c>
      <c r="H5">
        <v>19597.580000000002</v>
      </c>
      <c r="I5">
        <v>1959.76</v>
      </c>
      <c r="J5">
        <v>984.9</v>
      </c>
      <c r="K5">
        <v>98.49</v>
      </c>
      <c r="L5">
        <v>18612.68</v>
      </c>
      <c r="M5">
        <v>1861.27</v>
      </c>
      <c r="O5" s="79">
        <f>IFERROR(VLOOKUP(D5,'KAPANAN BLD.'!$C$2:$D$793,2,FALSE),0)</f>
        <v>0</v>
      </c>
      <c r="P5" s="79">
        <v>0</v>
      </c>
    </row>
    <row r="6" spans="1:21" x14ac:dyDescent="0.25">
      <c r="A6" t="s">
        <v>32</v>
      </c>
      <c r="B6" s="73" t="str">
        <f>VLOOKUP(C6,'Büyükşehir List'!$C$2:$D$31,2,FALSE)</f>
        <v>ADANA BÜYÜKŞEHİR</v>
      </c>
      <c r="C6" t="s">
        <v>33</v>
      </c>
      <c r="D6" s="73" t="str">
        <f t="shared" si="0"/>
        <v>ADANA BÜYÜKŞEHİR/ADANA</v>
      </c>
      <c r="E6" t="s">
        <v>3983</v>
      </c>
      <c r="F6" t="s">
        <v>3983</v>
      </c>
      <c r="G6" t="s">
        <v>3367</v>
      </c>
      <c r="H6">
        <v>136.69999999999999</v>
      </c>
      <c r="I6">
        <v>13.67</v>
      </c>
      <c r="J6">
        <v>0</v>
      </c>
      <c r="K6">
        <v>0</v>
      </c>
      <c r="L6">
        <v>136.69999999999999</v>
      </c>
      <c r="M6">
        <v>13.67</v>
      </c>
      <c r="O6" s="79">
        <f>IFERROR(VLOOKUP(D6,'KAPANAN BLD.'!$C$2:$D$793,2,FALSE),0)</f>
        <v>0</v>
      </c>
      <c r="P6" s="79">
        <v>0</v>
      </c>
    </row>
    <row r="7" spans="1:21" x14ac:dyDescent="0.25">
      <c r="A7" t="s">
        <v>32</v>
      </c>
      <c r="B7" s="73" t="str">
        <f>VLOOKUP(C7,'Büyükşehir List'!$C$2:$D$31,2,FALSE)</f>
        <v>ADANA BÜYÜKŞEHİR</v>
      </c>
      <c r="C7" t="s">
        <v>33</v>
      </c>
      <c r="D7" s="73" t="str">
        <f t="shared" si="0"/>
        <v>ADANA BÜYÜKŞEHİR/ADANA</v>
      </c>
      <c r="E7" t="s">
        <v>3983</v>
      </c>
      <c r="F7" t="s">
        <v>3983</v>
      </c>
      <c r="G7" t="s">
        <v>3366</v>
      </c>
      <c r="H7">
        <v>1090.5</v>
      </c>
      <c r="I7">
        <v>109.05</v>
      </c>
      <c r="J7">
        <v>0</v>
      </c>
      <c r="K7">
        <v>0</v>
      </c>
      <c r="L7">
        <v>1090.5</v>
      </c>
      <c r="M7">
        <v>109.05</v>
      </c>
      <c r="O7" s="79">
        <f>IFERROR(VLOOKUP(D7,'KAPANAN BLD.'!$C$2:$D$793,2,FALSE),0)</f>
        <v>0</v>
      </c>
      <c r="P7" s="79">
        <v>0</v>
      </c>
    </row>
    <row r="8" spans="1:21" x14ac:dyDescent="0.25">
      <c r="A8" t="s">
        <v>32</v>
      </c>
      <c r="B8" s="73" t="str">
        <f>VLOOKUP(C8,'Büyükşehir List'!$C$2:$D$31,2,FALSE)</f>
        <v>ADANA BÜYÜKŞEHİR</v>
      </c>
      <c r="C8" t="s">
        <v>33</v>
      </c>
      <c r="D8" s="73" t="str">
        <f t="shared" si="0"/>
        <v>ADANA BÜYÜKŞEHİR/ADANA</v>
      </c>
      <c r="E8" t="s">
        <v>4342</v>
      </c>
      <c r="F8" t="s">
        <v>4342</v>
      </c>
      <c r="G8" t="s">
        <v>3367</v>
      </c>
      <c r="H8">
        <v>398.6</v>
      </c>
      <c r="I8">
        <v>39.86</v>
      </c>
      <c r="J8">
        <v>0</v>
      </c>
      <c r="K8">
        <v>0</v>
      </c>
      <c r="L8">
        <v>398.6</v>
      </c>
      <c r="M8">
        <v>39.86</v>
      </c>
      <c r="O8" s="79">
        <f>IFERROR(VLOOKUP(D8,'KAPANAN BLD.'!$C$2:$D$793,2,FALSE),0)</f>
        <v>0</v>
      </c>
      <c r="P8" s="79">
        <v>0</v>
      </c>
    </row>
    <row r="9" spans="1:21" x14ac:dyDescent="0.25">
      <c r="A9" t="s">
        <v>32</v>
      </c>
      <c r="B9" s="73" t="str">
        <f>VLOOKUP(C9,'Büyükşehir List'!$C$2:$D$31,2,FALSE)</f>
        <v>ADANA BÜYÜKŞEHİR</v>
      </c>
      <c r="C9" t="s">
        <v>33</v>
      </c>
      <c r="D9" s="73" t="str">
        <f t="shared" si="0"/>
        <v>ADANA BÜYÜKŞEHİR/ADANA</v>
      </c>
      <c r="E9" t="s">
        <v>4342</v>
      </c>
      <c r="F9" t="s">
        <v>4342</v>
      </c>
      <c r="G9" t="s">
        <v>3366</v>
      </c>
      <c r="H9">
        <v>704.6</v>
      </c>
      <c r="I9">
        <v>70.459999999999994</v>
      </c>
      <c r="J9">
        <v>0</v>
      </c>
      <c r="K9">
        <v>0</v>
      </c>
      <c r="L9">
        <v>704.6</v>
      </c>
      <c r="M9">
        <v>70.459999999999994</v>
      </c>
      <c r="O9" s="79">
        <f>IFERROR(VLOOKUP(D9,'KAPANAN BLD.'!$C$2:$D$793,2,FALSE),0)</f>
        <v>0</v>
      </c>
      <c r="P9" s="79">
        <v>0</v>
      </c>
    </row>
    <row r="10" spans="1:21" x14ac:dyDescent="0.25">
      <c r="A10" t="s">
        <v>32</v>
      </c>
      <c r="B10" s="73" t="str">
        <f>VLOOKUP(C10,'Büyükşehir List'!$C$2:$D$31,2,FALSE)</f>
        <v>ADANA BÜYÜKŞEHİR</v>
      </c>
      <c r="C10" t="s">
        <v>33</v>
      </c>
      <c r="D10" s="73" t="str">
        <f t="shared" si="0"/>
        <v>ADANA BÜYÜKŞEHİR/ADANA</v>
      </c>
      <c r="E10" t="s">
        <v>3727</v>
      </c>
      <c r="F10" t="s">
        <v>3727</v>
      </c>
      <c r="G10" t="s">
        <v>3366</v>
      </c>
      <c r="H10">
        <v>980.9</v>
      </c>
      <c r="I10">
        <v>98.09</v>
      </c>
      <c r="J10">
        <v>0</v>
      </c>
      <c r="K10">
        <v>0</v>
      </c>
      <c r="L10">
        <v>980.9</v>
      </c>
      <c r="M10">
        <v>98.09</v>
      </c>
      <c r="O10" s="79">
        <f>IFERROR(VLOOKUP(D10,'KAPANAN BLD.'!$C$2:$D$793,2,FALSE),0)</f>
        <v>0</v>
      </c>
      <c r="P10" s="79">
        <v>0</v>
      </c>
    </row>
    <row r="11" spans="1:21" x14ac:dyDescent="0.25">
      <c r="A11" t="s">
        <v>32</v>
      </c>
      <c r="B11" s="73" t="str">
        <f>VLOOKUP(C11,'Büyükşehir List'!$C$2:$D$31,2,FALSE)</f>
        <v>ADANA BÜYÜKŞEHİR</v>
      </c>
      <c r="C11" t="s">
        <v>33</v>
      </c>
      <c r="D11" s="73" t="str">
        <f t="shared" si="0"/>
        <v>ADANA BÜYÜKŞEHİR/ADANA</v>
      </c>
      <c r="E11" t="s">
        <v>3727</v>
      </c>
      <c r="F11" t="s">
        <v>3727</v>
      </c>
      <c r="G11" t="s">
        <v>3367</v>
      </c>
      <c r="H11">
        <v>320.89999999999998</v>
      </c>
      <c r="I11">
        <v>32.090000000000003</v>
      </c>
      <c r="J11">
        <v>0</v>
      </c>
      <c r="K11">
        <v>0</v>
      </c>
      <c r="L11">
        <v>320.89999999999998</v>
      </c>
      <c r="M11">
        <v>32.090000000000003</v>
      </c>
      <c r="O11" s="79">
        <f>IFERROR(VLOOKUP(D11,'KAPANAN BLD.'!$C$2:$D$793,2,FALSE),0)</f>
        <v>0</v>
      </c>
      <c r="P11" s="79">
        <v>0</v>
      </c>
    </row>
    <row r="12" spans="1:21" x14ac:dyDescent="0.25">
      <c r="A12" t="s">
        <v>32</v>
      </c>
      <c r="B12" s="73" t="str">
        <f>VLOOKUP(C12,'Büyükşehir List'!$C$2:$D$31,2,FALSE)</f>
        <v>ADANA BÜYÜKŞEHİR</v>
      </c>
      <c r="C12" t="s">
        <v>33</v>
      </c>
      <c r="D12" s="73" t="str">
        <f t="shared" si="0"/>
        <v>ADANA BÜYÜKŞEHİR/ADANA</v>
      </c>
      <c r="E12" t="s">
        <v>491</v>
      </c>
      <c r="F12" t="s">
        <v>491</v>
      </c>
      <c r="G12" t="s">
        <v>3367</v>
      </c>
      <c r="H12">
        <v>0</v>
      </c>
      <c r="I12">
        <v>0</v>
      </c>
      <c r="J12">
        <v>34.4</v>
      </c>
      <c r="K12">
        <v>3.44</v>
      </c>
      <c r="L12">
        <v>-34.4</v>
      </c>
      <c r="M12">
        <v>-3.44</v>
      </c>
      <c r="O12" s="79">
        <f>IFERROR(VLOOKUP(D12,'KAPANAN BLD.'!$C$2:$D$793,2,FALSE),0)</f>
        <v>0</v>
      </c>
      <c r="P12" s="79">
        <v>0</v>
      </c>
    </row>
    <row r="13" spans="1:21" x14ac:dyDescent="0.25">
      <c r="A13" t="s">
        <v>32</v>
      </c>
      <c r="B13" s="73" t="str">
        <f>VLOOKUP(C13,'Büyükşehir List'!$C$2:$D$31,2,FALSE)</f>
        <v>ADANA BÜYÜKŞEHİR</v>
      </c>
      <c r="C13" t="s">
        <v>33</v>
      </c>
      <c r="D13" s="73" t="str">
        <f t="shared" si="0"/>
        <v>ADANA BÜYÜKŞEHİR/ADANA</v>
      </c>
      <c r="E13" t="s">
        <v>491</v>
      </c>
      <c r="F13" t="s">
        <v>491</v>
      </c>
      <c r="G13" t="s">
        <v>3366</v>
      </c>
      <c r="H13">
        <v>0</v>
      </c>
      <c r="I13">
        <v>0</v>
      </c>
      <c r="J13">
        <v>307.89999999999998</v>
      </c>
      <c r="K13">
        <v>30.79</v>
      </c>
      <c r="L13">
        <v>-307.89999999999998</v>
      </c>
      <c r="M13">
        <v>-30.79</v>
      </c>
      <c r="O13" s="79">
        <f>IFERROR(VLOOKUP(D13,'KAPANAN BLD.'!$C$2:$D$793,2,FALSE),0)</f>
        <v>0</v>
      </c>
      <c r="P13" s="79">
        <v>0</v>
      </c>
    </row>
    <row r="14" spans="1:21" x14ac:dyDescent="0.25">
      <c r="A14" t="s">
        <v>32</v>
      </c>
      <c r="B14" s="73" t="str">
        <f>VLOOKUP(C14,'Büyükşehir List'!$C$2:$D$31,2,FALSE)</f>
        <v>ADANA BÜYÜKŞEHİR</v>
      </c>
      <c r="C14" t="s">
        <v>33</v>
      </c>
      <c r="D14" s="73" t="str">
        <f t="shared" si="0"/>
        <v>ADANA BÜYÜKŞEHİR/ADANA</v>
      </c>
      <c r="E14" t="s">
        <v>493</v>
      </c>
      <c r="F14" t="s">
        <v>493</v>
      </c>
      <c r="G14" t="s">
        <v>3366</v>
      </c>
      <c r="H14">
        <v>203.5</v>
      </c>
      <c r="I14">
        <v>20.350000000000001</v>
      </c>
      <c r="J14">
        <v>0</v>
      </c>
      <c r="K14">
        <v>0</v>
      </c>
      <c r="L14">
        <v>203.5</v>
      </c>
      <c r="M14">
        <v>20.350000000000001</v>
      </c>
      <c r="O14" s="79">
        <f>IFERROR(VLOOKUP(D14,'KAPANAN BLD.'!$C$2:$D$793,2,FALSE),0)</f>
        <v>0</v>
      </c>
      <c r="P14" s="79">
        <v>0</v>
      </c>
    </row>
    <row r="15" spans="1:21" x14ac:dyDescent="0.25">
      <c r="A15" t="s">
        <v>32</v>
      </c>
      <c r="B15" s="73" t="str">
        <f>VLOOKUP(C15,'Büyükşehir List'!$C$2:$D$31,2,FALSE)</f>
        <v>ADANA BÜYÜKŞEHİR</v>
      </c>
      <c r="C15" t="s">
        <v>33</v>
      </c>
      <c r="D15" s="73" t="str">
        <f t="shared" si="0"/>
        <v>ADANA BÜYÜKŞEHİR/ADANA</v>
      </c>
      <c r="E15" t="s">
        <v>493</v>
      </c>
      <c r="F15" t="s">
        <v>493</v>
      </c>
      <c r="G15" t="s">
        <v>3367</v>
      </c>
      <c r="H15">
        <v>342</v>
      </c>
      <c r="I15">
        <v>34.200000000000003</v>
      </c>
      <c r="J15">
        <v>0</v>
      </c>
      <c r="K15">
        <v>0</v>
      </c>
      <c r="L15">
        <v>342</v>
      </c>
      <c r="M15">
        <v>34.200000000000003</v>
      </c>
      <c r="O15" s="79">
        <f>IFERROR(VLOOKUP(D15,'KAPANAN BLD.'!$C$2:$D$793,2,FALSE),0)</f>
        <v>0</v>
      </c>
      <c r="P15" s="79">
        <v>0</v>
      </c>
    </row>
    <row r="16" spans="1:21" x14ac:dyDescent="0.25">
      <c r="A16" t="s">
        <v>32</v>
      </c>
      <c r="B16" s="73" t="str">
        <f>VLOOKUP(C16,'Büyükşehir List'!$C$2:$D$31,2,FALSE)</f>
        <v>ADANA BÜYÜKŞEHİR</v>
      </c>
      <c r="C16" t="s">
        <v>33</v>
      </c>
      <c r="D16" s="73" t="str">
        <f t="shared" si="0"/>
        <v>ADANA BÜYÜKŞEHİR/ADANA</v>
      </c>
      <c r="E16" t="s">
        <v>290</v>
      </c>
      <c r="F16" t="s">
        <v>290</v>
      </c>
      <c r="G16" t="s">
        <v>3367</v>
      </c>
      <c r="H16">
        <v>552.9</v>
      </c>
      <c r="I16">
        <v>55.29</v>
      </c>
      <c r="J16">
        <v>0</v>
      </c>
      <c r="K16">
        <v>0</v>
      </c>
      <c r="L16">
        <v>552.9</v>
      </c>
      <c r="M16">
        <v>55.29</v>
      </c>
      <c r="O16" s="79">
        <f>IFERROR(VLOOKUP(D16,'KAPANAN BLD.'!$C$2:$D$793,2,FALSE),0)</f>
        <v>0</v>
      </c>
      <c r="P16" s="79">
        <v>0</v>
      </c>
    </row>
    <row r="17" spans="1:16" x14ac:dyDescent="0.25">
      <c r="A17" t="s">
        <v>32</v>
      </c>
      <c r="B17" s="73" t="str">
        <f>VLOOKUP(C17,'Büyükşehir List'!$C$2:$D$31,2,FALSE)</f>
        <v>ADANA BÜYÜKŞEHİR</v>
      </c>
      <c r="C17" t="s">
        <v>33</v>
      </c>
      <c r="D17" s="73" t="str">
        <f t="shared" si="0"/>
        <v>ADANA BÜYÜKŞEHİR/ADANA</v>
      </c>
      <c r="E17" t="s">
        <v>290</v>
      </c>
      <c r="F17" t="s">
        <v>290</v>
      </c>
      <c r="G17" t="s">
        <v>3366</v>
      </c>
      <c r="H17">
        <v>1570.2</v>
      </c>
      <c r="I17">
        <v>157.02000000000001</v>
      </c>
      <c r="J17">
        <v>0</v>
      </c>
      <c r="K17">
        <v>0</v>
      </c>
      <c r="L17">
        <v>1570.2</v>
      </c>
      <c r="M17">
        <v>157.02000000000001</v>
      </c>
      <c r="O17" s="79">
        <f>IFERROR(VLOOKUP(D17,'KAPANAN BLD.'!$C$2:$D$793,2,FALSE),0)</f>
        <v>0</v>
      </c>
      <c r="P17" s="79">
        <v>0</v>
      </c>
    </row>
    <row r="18" spans="1:16" x14ac:dyDescent="0.25">
      <c r="A18" t="s">
        <v>32</v>
      </c>
      <c r="B18" s="73" t="str">
        <f>VLOOKUP(C18,'Büyükşehir List'!$C$2:$D$31,2,FALSE)</f>
        <v>ADANA BÜYÜKŞEHİR</v>
      </c>
      <c r="C18" t="s">
        <v>33</v>
      </c>
      <c r="D18" s="73" t="str">
        <f t="shared" si="0"/>
        <v>ADANA BÜYÜKŞEHİR/ADANA</v>
      </c>
      <c r="E18" t="s">
        <v>3932</v>
      </c>
      <c r="F18" t="s">
        <v>3932</v>
      </c>
      <c r="G18" t="s">
        <v>3367</v>
      </c>
      <c r="H18">
        <v>21.3</v>
      </c>
      <c r="I18">
        <v>2.13</v>
      </c>
      <c r="J18">
        <v>0</v>
      </c>
      <c r="K18">
        <v>0</v>
      </c>
      <c r="L18">
        <v>21.3</v>
      </c>
      <c r="M18">
        <v>2.13</v>
      </c>
      <c r="O18" s="79">
        <f>IFERROR(VLOOKUP(D18,'KAPANAN BLD.'!$C$2:$D$793,2,FALSE),0)</f>
        <v>0</v>
      </c>
      <c r="P18" s="79">
        <v>0</v>
      </c>
    </row>
    <row r="19" spans="1:16" x14ac:dyDescent="0.25">
      <c r="A19" t="s">
        <v>32</v>
      </c>
      <c r="B19" s="73" t="str">
        <f>VLOOKUP(C19,'Büyükşehir List'!$C$2:$D$31,2,FALSE)</f>
        <v>ADANA BÜYÜKŞEHİR</v>
      </c>
      <c r="C19" t="s">
        <v>33</v>
      </c>
      <c r="D19" s="73" t="str">
        <f t="shared" si="0"/>
        <v>ADANA BÜYÜKŞEHİR/ADANA</v>
      </c>
      <c r="E19" t="s">
        <v>3932</v>
      </c>
      <c r="F19" t="s">
        <v>3932</v>
      </c>
      <c r="G19" t="s">
        <v>3366</v>
      </c>
      <c r="H19">
        <v>328.5</v>
      </c>
      <c r="I19">
        <v>32.85</v>
      </c>
      <c r="J19">
        <v>0</v>
      </c>
      <c r="K19">
        <v>0</v>
      </c>
      <c r="L19">
        <v>328.5</v>
      </c>
      <c r="M19">
        <v>32.85</v>
      </c>
      <c r="O19" s="79">
        <f>IFERROR(VLOOKUP(D19,'KAPANAN BLD.'!$C$2:$D$793,2,FALSE),0)</f>
        <v>0</v>
      </c>
      <c r="P19" s="79">
        <v>0</v>
      </c>
    </row>
    <row r="20" spans="1:16" x14ac:dyDescent="0.25">
      <c r="A20" t="s">
        <v>32</v>
      </c>
      <c r="B20" s="73" t="str">
        <f>VLOOKUP(C20,'Büyükşehir List'!$C$2:$D$31,2,FALSE)</f>
        <v>ADANA BÜYÜKŞEHİR</v>
      </c>
      <c r="C20" t="s">
        <v>33</v>
      </c>
      <c r="D20" s="73" t="str">
        <f t="shared" si="0"/>
        <v>ADANA BÜYÜKŞEHİR/ADANA</v>
      </c>
      <c r="E20" t="s">
        <v>4444</v>
      </c>
      <c r="F20" t="s">
        <v>4444</v>
      </c>
      <c r="G20" t="s">
        <v>3367</v>
      </c>
      <c r="H20">
        <v>169.8</v>
      </c>
      <c r="I20">
        <v>16.98</v>
      </c>
      <c r="J20">
        <v>0</v>
      </c>
      <c r="K20">
        <v>0</v>
      </c>
      <c r="L20">
        <v>169.8</v>
      </c>
      <c r="M20">
        <v>16.98</v>
      </c>
      <c r="O20" s="79">
        <f>IFERROR(VLOOKUP(D20,'KAPANAN BLD.'!$C$2:$D$793,2,FALSE),0)</f>
        <v>0</v>
      </c>
      <c r="P20" s="79">
        <v>0</v>
      </c>
    </row>
    <row r="21" spans="1:16" x14ac:dyDescent="0.25">
      <c r="A21" t="s">
        <v>32</v>
      </c>
      <c r="B21" s="73" t="str">
        <f>VLOOKUP(C21,'Büyükşehir List'!$C$2:$D$31,2,FALSE)</f>
        <v>ADANA BÜYÜKŞEHİR</v>
      </c>
      <c r="C21" t="s">
        <v>33</v>
      </c>
      <c r="D21" s="73" t="str">
        <f t="shared" si="0"/>
        <v>ADANA BÜYÜKŞEHİR/ADANA</v>
      </c>
      <c r="E21" t="s">
        <v>4444</v>
      </c>
      <c r="F21" t="s">
        <v>4444</v>
      </c>
      <c r="G21" t="s">
        <v>3366</v>
      </c>
      <c r="H21">
        <v>469.5</v>
      </c>
      <c r="I21">
        <v>46.95</v>
      </c>
      <c r="J21">
        <v>0</v>
      </c>
      <c r="K21">
        <v>0</v>
      </c>
      <c r="L21">
        <v>469.5</v>
      </c>
      <c r="M21">
        <v>46.95</v>
      </c>
      <c r="O21" s="79">
        <f>IFERROR(VLOOKUP(D21,'KAPANAN BLD.'!$C$2:$D$793,2,FALSE),0)</f>
        <v>0</v>
      </c>
      <c r="P21" s="79">
        <v>0</v>
      </c>
    </row>
    <row r="22" spans="1:16" x14ac:dyDescent="0.25">
      <c r="A22" t="s">
        <v>32</v>
      </c>
      <c r="B22" s="73" t="str">
        <f>VLOOKUP(C22,'Büyükşehir List'!$C$2:$D$31,2,FALSE)</f>
        <v>ADANA BÜYÜKŞEHİR</v>
      </c>
      <c r="C22" t="s">
        <v>33</v>
      </c>
      <c r="D22" s="73" t="str">
        <f t="shared" si="0"/>
        <v>ADANA BÜYÜKŞEHİR/ADANA</v>
      </c>
      <c r="E22" t="s">
        <v>4445</v>
      </c>
      <c r="F22" t="s">
        <v>4445</v>
      </c>
      <c r="G22" t="s">
        <v>3367</v>
      </c>
      <c r="H22">
        <v>81.599999999999994</v>
      </c>
      <c r="I22">
        <v>8.16</v>
      </c>
      <c r="J22">
        <v>99.4</v>
      </c>
      <c r="K22">
        <v>9.94</v>
      </c>
      <c r="L22">
        <v>-17.8</v>
      </c>
      <c r="M22">
        <v>-1.78</v>
      </c>
      <c r="O22" s="79">
        <f>IFERROR(VLOOKUP(D22,'KAPANAN BLD.'!$C$2:$D$793,2,FALSE),0)</f>
        <v>0</v>
      </c>
      <c r="P22" s="79">
        <v>0</v>
      </c>
    </row>
    <row r="23" spans="1:16" x14ac:dyDescent="0.25">
      <c r="A23" t="s">
        <v>32</v>
      </c>
      <c r="B23" s="73" t="str">
        <f>VLOOKUP(C23,'Büyükşehir List'!$C$2:$D$31,2,FALSE)</f>
        <v>ADANA BÜYÜKŞEHİR</v>
      </c>
      <c r="C23" t="s">
        <v>33</v>
      </c>
      <c r="D23" s="73" t="str">
        <f t="shared" si="0"/>
        <v>ADANA BÜYÜKŞEHİR/ADANA</v>
      </c>
      <c r="E23" t="s">
        <v>291</v>
      </c>
      <c r="F23" t="s">
        <v>291</v>
      </c>
      <c r="G23" t="s">
        <v>3367</v>
      </c>
      <c r="H23">
        <v>383.2</v>
      </c>
      <c r="I23">
        <v>38.32</v>
      </c>
      <c r="J23">
        <v>79.2</v>
      </c>
      <c r="K23">
        <v>7.92</v>
      </c>
      <c r="L23">
        <v>304</v>
      </c>
      <c r="M23">
        <v>30.4</v>
      </c>
      <c r="O23" s="79">
        <f>IFERROR(VLOOKUP(D23,'KAPANAN BLD.'!$C$2:$D$793,2,FALSE),0)</f>
        <v>0</v>
      </c>
      <c r="P23" s="79">
        <v>0</v>
      </c>
    </row>
    <row r="24" spans="1:16" x14ac:dyDescent="0.25">
      <c r="A24" t="s">
        <v>32</v>
      </c>
      <c r="B24" s="73" t="str">
        <f>VLOOKUP(C24,'Büyükşehir List'!$C$2:$D$31,2,FALSE)</f>
        <v>ADANA BÜYÜKŞEHİR</v>
      </c>
      <c r="C24" t="s">
        <v>33</v>
      </c>
      <c r="D24" s="73" t="str">
        <f t="shared" si="0"/>
        <v>ADANA BÜYÜKŞEHİR/ADANA</v>
      </c>
      <c r="E24" t="s">
        <v>291</v>
      </c>
      <c r="F24" t="s">
        <v>291</v>
      </c>
      <c r="G24" t="s">
        <v>3366</v>
      </c>
      <c r="H24">
        <v>205.2</v>
      </c>
      <c r="I24">
        <v>20.52</v>
      </c>
      <c r="J24">
        <v>34.700000000000003</v>
      </c>
      <c r="K24">
        <v>3.47</v>
      </c>
      <c r="L24">
        <v>170.5</v>
      </c>
      <c r="M24">
        <v>17.05</v>
      </c>
      <c r="O24" s="79">
        <f>IFERROR(VLOOKUP(D24,'KAPANAN BLD.'!$C$2:$D$793,2,FALSE),0)</f>
        <v>0</v>
      </c>
      <c r="P24" s="79">
        <v>0</v>
      </c>
    </row>
    <row r="25" spans="1:16" x14ac:dyDescent="0.25">
      <c r="A25" t="s">
        <v>32</v>
      </c>
      <c r="B25" s="73" t="str">
        <f>VLOOKUP(C25,'Büyükşehir List'!$C$2:$D$31,2,FALSE)</f>
        <v>ADANA BÜYÜKŞEHİR</v>
      </c>
      <c r="C25" t="s">
        <v>33</v>
      </c>
      <c r="D25" s="73" t="str">
        <f t="shared" si="0"/>
        <v>ADANA BÜYÜKŞEHİR/ADANA</v>
      </c>
      <c r="E25" t="s">
        <v>4343</v>
      </c>
      <c r="F25" t="s">
        <v>4343</v>
      </c>
      <c r="G25" t="s">
        <v>3367</v>
      </c>
      <c r="H25">
        <v>176.2</v>
      </c>
      <c r="I25">
        <v>17.62</v>
      </c>
      <c r="J25">
        <v>0</v>
      </c>
      <c r="K25">
        <v>0</v>
      </c>
      <c r="L25">
        <v>176.2</v>
      </c>
      <c r="M25">
        <v>17.62</v>
      </c>
      <c r="O25" s="79">
        <f>IFERROR(VLOOKUP(D25,'KAPANAN BLD.'!$C$2:$D$793,2,FALSE),0)</f>
        <v>0</v>
      </c>
      <c r="P25" s="79">
        <v>0</v>
      </c>
    </row>
    <row r="26" spans="1:16" x14ac:dyDescent="0.25">
      <c r="A26" t="s">
        <v>32</v>
      </c>
      <c r="B26" s="73" t="str">
        <f>VLOOKUP(C26,'Büyükşehir List'!$C$2:$D$31,2,FALSE)</f>
        <v>ADANA BÜYÜKŞEHİR</v>
      </c>
      <c r="C26" t="s">
        <v>33</v>
      </c>
      <c r="D26" s="73" t="str">
        <f t="shared" si="0"/>
        <v>ADANA BÜYÜKŞEHİR/ADANA</v>
      </c>
      <c r="E26" t="s">
        <v>4372</v>
      </c>
      <c r="F26" t="s">
        <v>4372</v>
      </c>
      <c r="G26" t="s">
        <v>3366</v>
      </c>
      <c r="H26">
        <v>402.8</v>
      </c>
      <c r="I26">
        <v>40.28</v>
      </c>
      <c r="J26">
        <v>0</v>
      </c>
      <c r="K26">
        <v>0</v>
      </c>
      <c r="L26">
        <v>402.8</v>
      </c>
      <c r="M26">
        <v>40.28</v>
      </c>
      <c r="O26" s="79">
        <f>IFERROR(VLOOKUP(D26,'KAPANAN BLD.'!$C$2:$D$793,2,FALSE),0)</f>
        <v>0</v>
      </c>
      <c r="P26" s="79">
        <v>0</v>
      </c>
    </row>
    <row r="27" spans="1:16" x14ac:dyDescent="0.25">
      <c r="A27" t="s">
        <v>32</v>
      </c>
      <c r="B27" s="73" t="str">
        <f>VLOOKUP(C27,'Büyükşehir List'!$C$2:$D$31,2,FALSE)</f>
        <v>ADANA BÜYÜKŞEHİR</v>
      </c>
      <c r="C27" t="s">
        <v>33</v>
      </c>
      <c r="D27" s="73" t="str">
        <f t="shared" si="0"/>
        <v>ADANA BÜYÜKŞEHİR/ADANA</v>
      </c>
      <c r="E27" t="s">
        <v>4372</v>
      </c>
      <c r="F27" t="s">
        <v>4372</v>
      </c>
      <c r="G27" t="s">
        <v>3367</v>
      </c>
      <c r="H27">
        <v>45</v>
      </c>
      <c r="I27">
        <v>4.5</v>
      </c>
      <c r="J27">
        <v>0</v>
      </c>
      <c r="K27">
        <v>0</v>
      </c>
      <c r="L27">
        <v>45</v>
      </c>
      <c r="M27">
        <v>4.5</v>
      </c>
      <c r="O27" s="79">
        <f>IFERROR(VLOOKUP(D27,'KAPANAN BLD.'!$C$2:$D$793,2,FALSE),0)</f>
        <v>0</v>
      </c>
      <c r="P27" s="79">
        <v>0</v>
      </c>
    </row>
    <row r="28" spans="1:16" x14ac:dyDescent="0.25">
      <c r="A28" t="s">
        <v>32</v>
      </c>
      <c r="B28" s="73" t="str">
        <f>VLOOKUP(C28,'Büyükşehir List'!$C$2:$D$31,2,FALSE)</f>
        <v>ADANA BÜYÜKŞEHİR</v>
      </c>
      <c r="C28" t="s">
        <v>33</v>
      </c>
      <c r="D28" s="73" t="str">
        <f t="shared" si="0"/>
        <v>ADANA BÜYÜKŞEHİR/ADANA</v>
      </c>
      <c r="E28" t="s">
        <v>1849</v>
      </c>
      <c r="F28" t="s">
        <v>1849</v>
      </c>
      <c r="G28" t="s">
        <v>3367</v>
      </c>
      <c r="H28">
        <v>55588.89</v>
      </c>
      <c r="I28">
        <v>5558.89</v>
      </c>
      <c r="J28">
        <v>143</v>
      </c>
      <c r="K28">
        <v>14.3</v>
      </c>
      <c r="L28">
        <v>55445.89</v>
      </c>
      <c r="M28">
        <v>5544.59</v>
      </c>
      <c r="O28" s="79">
        <f>IFERROR(VLOOKUP(D28,'KAPANAN BLD.'!$C$2:$D$793,2,FALSE),0)</f>
        <v>0</v>
      </c>
      <c r="P28" s="79">
        <v>0</v>
      </c>
    </row>
    <row r="29" spans="1:16" x14ac:dyDescent="0.25">
      <c r="A29" t="s">
        <v>32</v>
      </c>
      <c r="B29" s="73" t="str">
        <f>VLOOKUP(C29,'Büyükşehir List'!$C$2:$D$31,2,FALSE)</f>
        <v>ADANA BÜYÜKŞEHİR</v>
      </c>
      <c r="C29" t="s">
        <v>33</v>
      </c>
      <c r="D29" s="73" t="str">
        <f t="shared" si="0"/>
        <v>ADANA BÜYÜKŞEHİR/ADANA</v>
      </c>
      <c r="E29" t="s">
        <v>1849</v>
      </c>
      <c r="F29" t="s">
        <v>1849</v>
      </c>
      <c r="G29" t="s">
        <v>3366</v>
      </c>
      <c r="H29">
        <v>22153.07</v>
      </c>
      <c r="I29">
        <v>2215.3000000000002</v>
      </c>
      <c r="J29">
        <v>892.2</v>
      </c>
      <c r="K29">
        <v>89.22</v>
      </c>
      <c r="L29">
        <v>21260.87</v>
      </c>
      <c r="M29">
        <v>2126.08</v>
      </c>
      <c r="O29" s="79">
        <f>IFERROR(VLOOKUP(D29,'KAPANAN BLD.'!$C$2:$D$793,2,FALSE),0)</f>
        <v>0</v>
      </c>
      <c r="P29" s="79">
        <v>0</v>
      </c>
    </row>
    <row r="30" spans="1:16" x14ac:dyDescent="0.25">
      <c r="A30" t="s">
        <v>32</v>
      </c>
      <c r="B30" s="73" t="str">
        <f>VLOOKUP(C30,'Büyükşehir List'!$C$2:$D$31,2,FALSE)</f>
        <v>ADANA BÜYÜKŞEHİR</v>
      </c>
      <c r="C30" t="s">
        <v>33</v>
      </c>
      <c r="D30" s="73" t="str">
        <f t="shared" si="0"/>
        <v>ADANA BÜYÜKŞEHİR/ADANA</v>
      </c>
      <c r="E30" t="s">
        <v>4344</v>
      </c>
      <c r="F30" t="s">
        <v>4344</v>
      </c>
      <c r="G30" t="s">
        <v>3367</v>
      </c>
      <c r="H30">
        <v>1204.9000000000001</v>
      </c>
      <c r="I30">
        <v>120.49</v>
      </c>
      <c r="J30">
        <v>0</v>
      </c>
      <c r="K30">
        <v>0</v>
      </c>
      <c r="L30">
        <v>1204.9000000000001</v>
      </c>
      <c r="M30">
        <v>120.49</v>
      </c>
      <c r="O30" s="79">
        <f>IFERROR(VLOOKUP(D30,'KAPANAN BLD.'!$C$2:$D$793,2,FALSE),0)</f>
        <v>0</v>
      </c>
      <c r="P30" s="79">
        <v>0</v>
      </c>
    </row>
    <row r="31" spans="1:16" x14ac:dyDescent="0.25">
      <c r="A31" t="s">
        <v>32</v>
      </c>
      <c r="B31" s="73" t="str">
        <f>VLOOKUP(C31,'Büyükşehir List'!$C$2:$D$31,2,FALSE)</f>
        <v>ADANA BÜYÜKŞEHİR</v>
      </c>
      <c r="C31" t="s">
        <v>33</v>
      </c>
      <c r="D31" s="73" t="str">
        <f t="shared" si="0"/>
        <v>ADANA BÜYÜKŞEHİR/ADANA</v>
      </c>
      <c r="E31" t="s">
        <v>4344</v>
      </c>
      <c r="F31" t="s">
        <v>4344</v>
      </c>
      <c r="G31" t="s">
        <v>3366</v>
      </c>
      <c r="H31">
        <v>607.9</v>
      </c>
      <c r="I31">
        <v>60.79</v>
      </c>
      <c r="J31">
        <v>0</v>
      </c>
      <c r="K31">
        <v>0</v>
      </c>
      <c r="L31">
        <v>607.9</v>
      </c>
      <c r="M31">
        <v>60.79</v>
      </c>
      <c r="O31" s="79">
        <f>IFERROR(VLOOKUP(D31,'KAPANAN BLD.'!$C$2:$D$793,2,FALSE),0)</f>
        <v>0</v>
      </c>
      <c r="P31" s="79">
        <v>0</v>
      </c>
    </row>
    <row r="32" spans="1:16" x14ac:dyDescent="0.25">
      <c r="A32" t="s">
        <v>32</v>
      </c>
      <c r="B32" s="73" t="str">
        <f>VLOOKUP(C32,'Büyükşehir List'!$C$2:$D$31,2,FALSE)</f>
        <v>ADANA BÜYÜKŞEHİR</v>
      </c>
      <c r="C32" t="s">
        <v>33</v>
      </c>
      <c r="D32" s="73" t="str">
        <f t="shared" si="0"/>
        <v>ADANA BÜYÜKŞEHİR/ADANA</v>
      </c>
      <c r="E32" t="s">
        <v>1849</v>
      </c>
      <c r="F32" t="s">
        <v>1849</v>
      </c>
      <c r="G32" t="s">
        <v>3366</v>
      </c>
      <c r="H32">
        <v>89841.37</v>
      </c>
      <c r="I32">
        <v>8984.14</v>
      </c>
      <c r="J32">
        <v>9329.1</v>
      </c>
      <c r="K32">
        <v>932.91</v>
      </c>
      <c r="L32">
        <v>80512.27</v>
      </c>
      <c r="M32">
        <v>8051.23</v>
      </c>
      <c r="O32" s="79">
        <f>IFERROR(VLOOKUP(D32,'KAPANAN BLD.'!$C$2:$D$793,2,FALSE),0)</f>
        <v>0</v>
      </c>
      <c r="P32" s="79">
        <v>0</v>
      </c>
    </row>
    <row r="33" spans="1:16" x14ac:dyDescent="0.25">
      <c r="A33" t="s">
        <v>32</v>
      </c>
      <c r="B33" s="73" t="str">
        <f>VLOOKUP(C33,'Büyükşehir List'!$C$2:$D$31,2,FALSE)</f>
        <v>ADANA BÜYÜKŞEHİR</v>
      </c>
      <c r="C33" t="s">
        <v>33</v>
      </c>
      <c r="D33" s="73" t="str">
        <f t="shared" si="0"/>
        <v>ADANA BÜYÜKŞEHİR/ADANA</v>
      </c>
      <c r="E33" t="s">
        <v>1849</v>
      </c>
      <c r="F33" t="s">
        <v>1849</v>
      </c>
      <c r="G33" t="s">
        <v>3367</v>
      </c>
      <c r="H33">
        <v>52376</v>
      </c>
      <c r="I33">
        <v>5237.6000000000004</v>
      </c>
      <c r="J33">
        <v>2329.6</v>
      </c>
      <c r="K33">
        <v>232.96</v>
      </c>
      <c r="L33">
        <v>50046.400000000001</v>
      </c>
      <c r="M33">
        <v>5004.6400000000003</v>
      </c>
      <c r="O33" s="79">
        <f>IFERROR(VLOOKUP(D33,'KAPANAN BLD.'!$C$2:$D$793,2,FALSE),0)</f>
        <v>0</v>
      </c>
      <c r="P33" s="79">
        <v>0</v>
      </c>
    </row>
    <row r="34" spans="1:16" x14ac:dyDescent="0.25">
      <c r="A34" t="s">
        <v>32</v>
      </c>
      <c r="B34" s="73" t="str">
        <f>VLOOKUP(C34,'Büyükşehir List'!$C$2:$D$31,2,FALSE)</f>
        <v>ADANA BÜYÜKŞEHİR</v>
      </c>
      <c r="C34" t="s">
        <v>33</v>
      </c>
      <c r="D34" s="73" t="str">
        <f t="shared" si="0"/>
        <v>ADANA BÜYÜKŞEHİR/ADANA</v>
      </c>
      <c r="E34" t="s">
        <v>494</v>
      </c>
      <c r="F34" t="s">
        <v>494</v>
      </c>
      <c r="G34" t="s">
        <v>3367</v>
      </c>
      <c r="H34">
        <v>5.4</v>
      </c>
      <c r="I34">
        <v>0.54</v>
      </c>
      <c r="J34">
        <v>0</v>
      </c>
      <c r="K34">
        <v>0</v>
      </c>
      <c r="L34">
        <v>5.4</v>
      </c>
      <c r="M34">
        <v>0.54</v>
      </c>
      <c r="O34" s="79">
        <f>IFERROR(VLOOKUP(D34,'KAPANAN BLD.'!$C$2:$D$793,2,FALSE),0)</f>
        <v>0</v>
      </c>
      <c r="P34" s="79">
        <v>0</v>
      </c>
    </row>
    <row r="35" spans="1:16" x14ac:dyDescent="0.25">
      <c r="A35" t="s">
        <v>32</v>
      </c>
      <c r="B35" s="73" t="str">
        <f>VLOOKUP(C35,'Büyükşehir List'!$C$2:$D$31,2,FALSE)</f>
        <v>ADANA BÜYÜKŞEHİR</v>
      </c>
      <c r="C35" t="s">
        <v>33</v>
      </c>
      <c r="D35" s="73" t="str">
        <f t="shared" si="0"/>
        <v>ADANA BÜYÜKŞEHİR/ADANA</v>
      </c>
      <c r="E35" t="s">
        <v>494</v>
      </c>
      <c r="F35" t="s">
        <v>494</v>
      </c>
      <c r="G35" t="s">
        <v>3366</v>
      </c>
      <c r="H35">
        <v>103.3</v>
      </c>
      <c r="I35">
        <v>10.33</v>
      </c>
      <c r="J35">
        <v>0</v>
      </c>
      <c r="K35">
        <v>0</v>
      </c>
      <c r="L35">
        <v>103.3</v>
      </c>
      <c r="M35">
        <v>10.33</v>
      </c>
      <c r="O35" s="79">
        <f>IFERROR(VLOOKUP(D35,'KAPANAN BLD.'!$C$2:$D$793,2,FALSE),0)</f>
        <v>0</v>
      </c>
      <c r="P35" s="79">
        <v>0</v>
      </c>
    </row>
    <row r="36" spans="1:16" x14ac:dyDescent="0.25">
      <c r="A36" t="s">
        <v>32</v>
      </c>
      <c r="B36" s="73" t="str">
        <f>VLOOKUP(C36,'Büyükşehir List'!$C$2:$D$31,2,FALSE)</f>
        <v>ADANA BÜYÜKŞEHİR</v>
      </c>
      <c r="C36" t="s">
        <v>33</v>
      </c>
      <c r="D36" s="73" t="str">
        <f t="shared" si="0"/>
        <v>ADANA BÜYÜKŞEHİR/ADANA</v>
      </c>
      <c r="E36" t="s">
        <v>3771</v>
      </c>
      <c r="F36" t="s">
        <v>3771</v>
      </c>
      <c r="G36" t="s">
        <v>3366</v>
      </c>
      <c r="H36">
        <v>42.8</v>
      </c>
      <c r="I36">
        <v>4.28</v>
      </c>
      <c r="J36">
        <v>0</v>
      </c>
      <c r="K36">
        <v>0</v>
      </c>
      <c r="L36">
        <v>42.8</v>
      </c>
      <c r="M36">
        <v>4.28</v>
      </c>
      <c r="O36" s="79">
        <f>IFERROR(VLOOKUP(D36,'KAPANAN BLD.'!$C$2:$D$793,2,FALSE),0)</f>
        <v>0</v>
      </c>
      <c r="P36" s="79">
        <v>0</v>
      </c>
    </row>
    <row r="37" spans="1:16" x14ac:dyDescent="0.25">
      <c r="A37" t="s">
        <v>32</v>
      </c>
      <c r="B37" s="73" t="str">
        <f>VLOOKUP(C37,'Büyükşehir List'!$C$2:$D$31,2,FALSE)</f>
        <v>ADANA BÜYÜKŞEHİR</v>
      </c>
      <c r="C37" t="s">
        <v>33</v>
      </c>
      <c r="D37" s="73" t="str">
        <f t="shared" si="0"/>
        <v>ADANA BÜYÜKŞEHİR/ADANA</v>
      </c>
      <c r="E37" t="s">
        <v>3771</v>
      </c>
      <c r="F37" t="s">
        <v>3771</v>
      </c>
      <c r="G37" t="s">
        <v>3367</v>
      </c>
      <c r="H37">
        <v>2622</v>
      </c>
      <c r="I37">
        <v>262.2</v>
      </c>
      <c r="J37">
        <v>0</v>
      </c>
      <c r="K37">
        <v>0</v>
      </c>
      <c r="L37">
        <v>2622</v>
      </c>
      <c r="M37">
        <v>262.2</v>
      </c>
      <c r="O37" s="79">
        <f>IFERROR(VLOOKUP(D37,'KAPANAN BLD.'!$C$2:$D$793,2,FALSE),0)</f>
        <v>0</v>
      </c>
      <c r="P37" s="79">
        <v>0</v>
      </c>
    </row>
    <row r="38" spans="1:16" x14ac:dyDescent="0.25">
      <c r="A38" t="s">
        <v>32</v>
      </c>
      <c r="B38" s="73" t="str">
        <f>VLOOKUP(C38,'Büyükşehir List'!$C$2:$D$31,2,FALSE)</f>
        <v>ADANA BÜYÜKŞEHİR</v>
      </c>
      <c r="C38" t="s">
        <v>33</v>
      </c>
      <c r="D38" s="73" t="str">
        <f t="shared" si="0"/>
        <v>ADANA BÜYÜKŞEHİR/ADANA</v>
      </c>
      <c r="E38" t="s">
        <v>3765</v>
      </c>
      <c r="F38" t="s">
        <v>3765</v>
      </c>
      <c r="G38" t="s">
        <v>3366</v>
      </c>
      <c r="H38">
        <v>77.3</v>
      </c>
      <c r="I38">
        <v>7.73</v>
      </c>
      <c r="J38">
        <v>0</v>
      </c>
      <c r="K38">
        <v>0</v>
      </c>
      <c r="L38">
        <v>77.3</v>
      </c>
      <c r="M38">
        <v>7.73</v>
      </c>
      <c r="O38" s="79">
        <f>IFERROR(VLOOKUP(D38,'KAPANAN BLD.'!$C$2:$D$793,2,FALSE),0)</f>
        <v>0</v>
      </c>
      <c r="P38" s="79">
        <v>0</v>
      </c>
    </row>
    <row r="39" spans="1:16" x14ac:dyDescent="0.25">
      <c r="A39" t="s">
        <v>32</v>
      </c>
      <c r="B39" s="73" t="str">
        <f>VLOOKUP(C39,'Büyükşehir List'!$C$2:$D$31,2,FALSE)</f>
        <v>ADANA BÜYÜKŞEHİR</v>
      </c>
      <c r="C39" t="s">
        <v>33</v>
      </c>
      <c r="D39" s="73" t="str">
        <f t="shared" si="0"/>
        <v>ADANA BÜYÜKŞEHİR/ADANA</v>
      </c>
      <c r="E39" t="s">
        <v>3765</v>
      </c>
      <c r="F39" t="s">
        <v>3765</v>
      </c>
      <c r="G39" t="s">
        <v>3367</v>
      </c>
      <c r="H39">
        <v>124.3</v>
      </c>
      <c r="I39">
        <v>12.43</v>
      </c>
      <c r="J39">
        <v>0</v>
      </c>
      <c r="K39">
        <v>0</v>
      </c>
      <c r="L39">
        <v>124.3</v>
      </c>
      <c r="M39">
        <v>12.43</v>
      </c>
      <c r="O39" s="79">
        <f>IFERROR(VLOOKUP(D39,'KAPANAN BLD.'!$C$2:$D$793,2,FALSE),0)</f>
        <v>0</v>
      </c>
      <c r="P39" s="79">
        <v>0</v>
      </c>
    </row>
    <row r="40" spans="1:16" x14ac:dyDescent="0.25">
      <c r="A40" t="s">
        <v>32</v>
      </c>
      <c r="B40" s="73" t="str">
        <f>VLOOKUP(C40,'Büyükşehir List'!$C$2:$D$31,2,FALSE)</f>
        <v>ADANA BÜYÜKŞEHİR</v>
      </c>
      <c r="C40" t="s">
        <v>33</v>
      </c>
      <c r="D40" s="73" t="str">
        <f t="shared" si="0"/>
        <v>ADANA BÜYÜKŞEHİR/ADANA</v>
      </c>
      <c r="E40" t="s">
        <v>1849</v>
      </c>
      <c r="F40" t="s">
        <v>1849</v>
      </c>
      <c r="G40" t="s">
        <v>3366</v>
      </c>
      <c r="H40">
        <v>6865</v>
      </c>
      <c r="I40">
        <v>686.5</v>
      </c>
      <c r="J40">
        <v>297.2</v>
      </c>
      <c r="K40">
        <v>29.72</v>
      </c>
      <c r="L40">
        <v>6567.8</v>
      </c>
      <c r="M40">
        <v>656.78</v>
      </c>
      <c r="O40" s="79">
        <f>IFERROR(VLOOKUP(D40,'KAPANAN BLD.'!$C$2:$D$793,2,FALSE),0)</f>
        <v>0</v>
      </c>
      <c r="P40" s="79">
        <v>0</v>
      </c>
    </row>
    <row r="41" spans="1:16" x14ac:dyDescent="0.25">
      <c r="A41" t="s">
        <v>32</v>
      </c>
      <c r="B41" s="73" t="str">
        <f>VLOOKUP(C41,'Büyükşehir List'!$C$2:$D$31,2,FALSE)</f>
        <v>ADANA BÜYÜKŞEHİR</v>
      </c>
      <c r="C41" t="s">
        <v>33</v>
      </c>
      <c r="D41" s="73" t="str">
        <f t="shared" si="0"/>
        <v>ADANA BÜYÜKŞEHİR/ADANA</v>
      </c>
      <c r="E41" t="s">
        <v>1849</v>
      </c>
      <c r="F41" t="s">
        <v>1849</v>
      </c>
      <c r="G41" t="s">
        <v>3367</v>
      </c>
      <c r="H41">
        <v>4812.1000000000004</v>
      </c>
      <c r="I41">
        <v>481.21</v>
      </c>
      <c r="J41">
        <v>11</v>
      </c>
      <c r="K41">
        <v>1.1000000000000001</v>
      </c>
      <c r="L41">
        <v>4801.1000000000004</v>
      </c>
      <c r="M41">
        <v>480.11</v>
      </c>
      <c r="O41" s="79">
        <f>IFERROR(VLOOKUP(D41,'KAPANAN BLD.'!$C$2:$D$793,2,FALSE),0)</f>
        <v>0</v>
      </c>
      <c r="P41" s="79">
        <v>0</v>
      </c>
    </row>
    <row r="42" spans="1:16" x14ac:dyDescent="0.25">
      <c r="A42" t="s">
        <v>32</v>
      </c>
      <c r="B42" s="73" t="str">
        <f>VLOOKUP(C42,'Büyükşehir List'!$C$2:$D$31,2,FALSE)</f>
        <v>ADANA BÜYÜKŞEHİR</v>
      </c>
      <c r="C42" t="s">
        <v>33</v>
      </c>
      <c r="D42" s="73" t="str">
        <f t="shared" si="0"/>
        <v>ADANA BÜYÜKŞEHİR/ADANA</v>
      </c>
      <c r="E42" t="s">
        <v>4446</v>
      </c>
      <c r="F42" t="s">
        <v>4446</v>
      </c>
      <c r="G42" t="s">
        <v>3367</v>
      </c>
      <c r="H42">
        <v>4.5999999999999996</v>
      </c>
      <c r="I42">
        <v>0.46</v>
      </c>
      <c r="J42">
        <v>0</v>
      </c>
      <c r="K42">
        <v>0</v>
      </c>
      <c r="L42">
        <v>4.5999999999999996</v>
      </c>
      <c r="M42">
        <v>0.46</v>
      </c>
      <c r="O42" s="79">
        <f>IFERROR(VLOOKUP(D42,'KAPANAN BLD.'!$C$2:$D$793,2,FALSE),0)</f>
        <v>0</v>
      </c>
      <c r="P42" s="79">
        <v>0</v>
      </c>
    </row>
    <row r="43" spans="1:16" x14ac:dyDescent="0.25">
      <c r="A43" t="s">
        <v>32</v>
      </c>
      <c r="B43" s="73" t="str">
        <f>VLOOKUP(C43,'Büyükşehir List'!$C$2:$D$31,2,FALSE)</f>
        <v>ADANA BÜYÜKŞEHİR</v>
      </c>
      <c r="C43" t="s">
        <v>33</v>
      </c>
      <c r="D43" s="73" t="str">
        <f t="shared" si="0"/>
        <v>ADANA BÜYÜKŞEHİR/ADANA</v>
      </c>
      <c r="E43" t="s">
        <v>4446</v>
      </c>
      <c r="F43" t="s">
        <v>4446</v>
      </c>
      <c r="G43" t="s">
        <v>3366</v>
      </c>
      <c r="H43">
        <v>326.39999999999998</v>
      </c>
      <c r="I43">
        <v>32.64</v>
      </c>
      <c r="J43">
        <v>0</v>
      </c>
      <c r="K43">
        <v>0</v>
      </c>
      <c r="L43">
        <v>326.39999999999998</v>
      </c>
      <c r="M43">
        <v>32.64</v>
      </c>
      <c r="O43" s="79">
        <f>IFERROR(VLOOKUP(D43,'KAPANAN BLD.'!$C$2:$D$793,2,FALSE),0)</f>
        <v>0</v>
      </c>
      <c r="P43" s="79">
        <v>0</v>
      </c>
    </row>
    <row r="44" spans="1:16" x14ac:dyDescent="0.25">
      <c r="A44" t="s">
        <v>32</v>
      </c>
      <c r="B44" s="73" t="str">
        <f>F44</f>
        <v>GÖLBAŞI</v>
      </c>
      <c r="C44" t="s">
        <v>190</v>
      </c>
      <c r="D44" s="73" t="str">
        <f t="shared" si="0"/>
        <v>GÖLBAŞI/ADIYAMAN</v>
      </c>
      <c r="E44" s="9" t="s">
        <v>150</v>
      </c>
      <c r="F44" s="9" t="s">
        <v>150</v>
      </c>
      <c r="G44" t="s">
        <v>3367</v>
      </c>
      <c r="H44">
        <v>68.599999999999994</v>
      </c>
      <c r="I44">
        <v>6.86</v>
      </c>
      <c r="J44">
        <v>0</v>
      </c>
      <c r="K44">
        <v>0</v>
      </c>
      <c r="L44">
        <v>68.599999999999994</v>
      </c>
      <c r="M44">
        <v>6.86</v>
      </c>
      <c r="O44" s="79">
        <f>IFERROR(VLOOKUP(D44,'KAPANAN BLD.'!$C$2:$D$793,2,FALSE),0)</f>
        <v>0</v>
      </c>
      <c r="P44" s="79">
        <v>0</v>
      </c>
    </row>
    <row r="45" spans="1:16" x14ac:dyDescent="0.25">
      <c r="A45" t="s">
        <v>32</v>
      </c>
      <c r="B45" s="73" t="str">
        <f t="shared" ref="B45:B108" si="1">F45</f>
        <v>GÖLBAŞI</v>
      </c>
      <c r="C45" t="s">
        <v>190</v>
      </c>
      <c r="D45" s="73" t="str">
        <f t="shared" si="0"/>
        <v>GÖLBAŞI/ADIYAMAN</v>
      </c>
      <c r="E45" s="9" t="s">
        <v>150</v>
      </c>
      <c r="F45" s="9" t="s">
        <v>150</v>
      </c>
      <c r="G45" t="s">
        <v>3366</v>
      </c>
      <c r="H45">
        <v>28.7</v>
      </c>
      <c r="I45">
        <v>2.87</v>
      </c>
      <c r="J45">
        <v>0</v>
      </c>
      <c r="K45">
        <v>0</v>
      </c>
      <c r="L45">
        <v>28.7</v>
      </c>
      <c r="M45">
        <v>2.87</v>
      </c>
      <c r="O45" s="79">
        <f>IFERROR(VLOOKUP(D45,'KAPANAN BLD.'!$C$2:$D$793,2,FALSE),0)</f>
        <v>0</v>
      </c>
      <c r="P45" s="79">
        <v>0</v>
      </c>
    </row>
    <row r="46" spans="1:16" x14ac:dyDescent="0.25">
      <c r="A46" t="s">
        <v>32</v>
      </c>
      <c r="B46" s="73" t="str">
        <f t="shared" si="1"/>
        <v>BESNİ</v>
      </c>
      <c r="C46" t="s">
        <v>190</v>
      </c>
      <c r="D46" s="73" t="str">
        <f t="shared" si="0"/>
        <v>BESNİ/ADIYAMAN</v>
      </c>
      <c r="E46" t="s">
        <v>340</v>
      </c>
      <c r="F46" t="s">
        <v>340</v>
      </c>
      <c r="G46" t="s">
        <v>3367</v>
      </c>
      <c r="H46">
        <v>124.1</v>
      </c>
      <c r="I46">
        <v>12.41</v>
      </c>
      <c r="J46">
        <v>0</v>
      </c>
      <c r="K46">
        <v>0</v>
      </c>
      <c r="L46">
        <v>124.1</v>
      </c>
      <c r="M46">
        <v>12.41</v>
      </c>
      <c r="O46" s="79">
        <f>IFERROR(VLOOKUP(D46,'KAPANAN BLD.'!$C$2:$D$793,2,FALSE),0)</f>
        <v>0</v>
      </c>
      <c r="P46" s="79">
        <v>0</v>
      </c>
    </row>
    <row r="47" spans="1:16" x14ac:dyDescent="0.25">
      <c r="A47" t="s">
        <v>32</v>
      </c>
      <c r="B47" s="73" t="str">
        <f t="shared" si="1"/>
        <v>BESNİ</v>
      </c>
      <c r="C47" t="s">
        <v>190</v>
      </c>
      <c r="D47" s="73" t="str">
        <f t="shared" si="0"/>
        <v>BESNİ/ADIYAMAN</v>
      </c>
      <c r="E47" t="s">
        <v>340</v>
      </c>
      <c r="F47" t="s">
        <v>340</v>
      </c>
      <c r="G47" t="s">
        <v>3366</v>
      </c>
      <c r="H47">
        <v>46.8</v>
      </c>
      <c r="I47">
        <v>4.68</v>
      </c>
      <c r="J47">
        <v>0</v>
      </c>
      <c r="K47">
        <v>0</v>
      </c>
      <c r="L47">
        <v>46.8</v>
      </c>
      <c r="M47">
        <v>4.68</v>
      </c>
      <c r="O47" s="79">
        <f>IFERROR(VLOOKUP(D47,'KAPANAN BLD.'!$C$2:$D$793,2,FALSE),0)</f>
        <v>0</v>
      </c>
      <c r="P47" s="79">
        <v>0</v>
      </c>
    </row>
    <row r="48" spans="1:16" x14ac:dyDescent="0.25">
      <c r="A48" t="s">
        <v>32</v>
      </c>
      <c r="B48" s="73" t="str">
        <f t="shared" si="1"/>
        <v>KAHTA</v>
      </c>
      <c r="C48" t="s">
        <v>190</v>
      </c>
      <c r="D48" s="73" t="str">
        <f t="shared" si="0"/>
        <v>KAHTA/ADIYAMAN</v>
      </c>
      <c r="E48" s="9" t="s">
        <v>424</v>
      </c>
      <c r="F48" s="9" t="s">
        <v>424</v>
      </c>
      <c r="G48" t="s">
        <v>3366</v>
      </c>
      <c r="H48">
        <v>652</v>
      </c>
      <c r="I48">
        <v>65.2</v>
      </c>
      <c r="J48">
        <v>0</v>
      </c>
      <c r="K48">
        <v>0</v>
      </c>
      <c r="L48">
        <v>652</v>
      </c>
      <c r="M48">
        <v>65.2</v>
      </c>
      <c r="O48" s="79">
        <f>IFERROR(VLOOKUP(D48,'KAPANAN BLD.'!$C$2:$D$793,2,FALSE),0)</f>
        <v>0</v>
      </c>
      <c r="P48" s="79">
        <v>0</v>
      </c>
    </row>
    <row r="49" spans="1:16" x14ac:dyDescent="0.25">
      <c r="A49" t="s">
        <v>32</v>
      </c>
      <c r="B49" s="73" t="str">
        <f t="shared" si="1"/>
        <v>KAHTA</v>
      </c>
      <c r="C49" t="s">
        <v>190</v>
      </c>
      <c r="D49" s="73" t="str">
        <f t="shared" si="0"/>
        <v>KAHTA/ADIYAMAN</v>
      </c>
      <c r="E49" s="9" t="s">
        <v>424</v>
      </c>
      <c r="F49" s="9" t="s">
        <v>424</v>
      </c>
      <c r="G49" t="s">
        <v>3367</v>
      </c>
      <c r="H49">
        <v>1266.3</v>
      </c>
      <c r="I49">
        <v>126.63</v>
      </c>
      <c r="J49">
        <v>0</v>
      </c>
      <c r="K49">
        <v>0</v>
      </c>
      <c r="L49">
        <v>1266.3</v>
      </c>
      <c r="M49">
        <v>126.63</v>
      </c>
      <c r="O49" s="79">
        <f>IFERROR(VLOOKUP(D49,'KAPANAN BLD.'!$C$2:$D$793,2,FALSE),0)</f>
        <v>0</v>
      </c>
      <c r="P49" s="79">
        <v>0</v>
      </c>
    </row>
    <row r="50" spans="1:16" x14ac:dyDescent="0.25">
      <c r="A50" t="s">
        <v>32</v>
      </c>
      <c r="B50" s="73" t="str">
        <f t="shared" si="1"/>
        <v>KAHTA</v>
      </c>
      <c r="C50" t="s">
        <v>190</v>
      </c>
      <c r="D50" s="73" t="str">
        <f t="shared" si="0"/>
        <v>KAHTA/ADIYAMAN</v>
      </c>
      <c r="E50" s="9" t="s">
        <v>424</v>
      </c>
      <c r="F50" s="9" t="s">
        <v>424</v>
      </c>
      <c r="G50" t="s">
        <v>3366</v>
      </c>
      <c r="H50">
        <v>2056.8000000000002</v>
      </c>
      <c r="I50">
        <v>205.68</v>
      </c>
      <c r="J50">
        <v>0</v>
      </c>
      <c r="K50">
        <v>0</v>
      </c>
      <c r="L50">
        <v>2056.8000000000002</v>
      </c>
      <c r="M50">
        <v>205.68</v>
      </c>
      <c r="O50" s="79">
        <f>IFERROR(VLOOKUP(D50,'KAPANAN BLD.'!$C$2:$D$793,2,FALSE),0)</f>
        <v>0</v>
      </c>
      <c r="P50" s="79">
        <v>0</v>
      </c>
    </row>
    <row r="51" spans="1:16" x14ac:dyDescent="0.25">
      <c r="A51" t="s">
        <v>32</v>
      </c>
      <c r="B51" s="73" t="str">
        <f t="shared" si="1"/>
        <v>KAHTA</v>
      </c>
      <c r="C51" t="s">
        <v>190</v>
      </c>
      <c r="D51" s="73" t="str">
        <f t="shared" si="0"/>
        <v>KAHTA/ADIYAMAN</v>
      </c>
      <c r="E51" s="9" t="s">
        <v>424</v>
      </c>
      <c r="F51" s="9" t="s">
        <v>424</v>
      </c>
      <c r="G51" t="s">
        <v>3367</v>
      </c>
      <c r="H51">
        <v>506.2</v>
      </c>
      <c r="I51">
        <v>50.62</v>
      </c>
      <c r="J51">
        <v>0</v>
      </c>
      <c r="K51">
        <v>0</v>
      </c>
      <c r="L51">
        <v>506.2</v>
      </c>
      <c r="M51">
        <v>50.62</v>
      </c>
      <c r="O51" s="79">
        <f>IFERROR(VLOOKUP(D51,'KAPANAN BLD.'!$C$2:$D$793,2,FALSE),0)</f>
        <v>0</v>
      </c>
      <c r="P51" s="79">
        <v>0</v>
      </c>
    </row>
    <row r="52" spans="1:16" x14ac:dyDescent="0.25">
      <c r="A52" t="s">
        <v>32</v>
      </c>
      <c r="B52" s="73" t="str">
        <f t="shared" si="1"/>
        <v>GÖLBAŞI</v>
      </c>
      <c r="C52" t="s">
        <v>190</v>
      </c>
      <c r="D52" s="73" t="str">
        <f t="shared" si="0"/>
        <v>GÖLBAŞI/ADIYAMAN</v>
      </c>
      <c r="E52" t="s">
        <v>150</v>
      </c>
      <c r="F52" t="s">
        <v>150</v>
      </c>
      <c r="G52" t="s">
        <v>3367</v>
      </c>
      <c r="H52">
        <v>9.8000000000000007</v>
      </c>
      <c r="I52">
        <v>0.98</v>
      </c>
      <c r="J52">
        <v>0</v>
      </c>
      <c r="K52">
        <v>0</v>
      </c>
      <c r="L52">
        <v>9.8000000000000007</v>
      </c>
      <c r="M52">
        <v>0.98</v>
      </c>
      <c r="O52" s="79">
        <f>IFERROR(VLOOKUP(D52,'KAPANAN BLD.'!$C$2:$D$793,2,FALSE),0)</f>
        <v>0</v>
      </c>
      <c r="P52" s="79">
        <v>0</v>
      </c>
    </row>
    <row r="53" spans="1:16" x14ac:dyDescent="0.25">
      <c r="A53" t="s">
        <v>32</v>
      </c>
      <c r="B53" s="73" t="str">
        <f t="shared" si="1"/>
        <v>GÖLBAŞI</v>
      </c>
      <c r="C53" t="s">
        <v>190</v>
      </c>
      <c r="D53" s="73" t="str">
        <f t="shared" si="0"/>
        <v>GÖLBAŞI/ADIYAMAN</v>
      </c>
      <c r="E53" s="9" t="s">
        <v>150</v>
      </c>
      <c r="F53" s="9" t="s">
        <v>150</v>
      </c>
      <c r="G53" t="s">
        <v>3366</v>
      </c>
      <c r="H53">
        <v>105.6</v>
      </c>
      <c r="I53">
        <v>10.56</v>
      </c>
      <c r="J53">
        <v>0</v>
      </c>
      <c r="K53">
        <v>0</v>
      </c>
      <c r="L53">
        <v>105.6</v>
      </c>
      <c r="M53">
        <v>10.56</v>
      </c>
      <c r="O53" s="79">
        <f>IFERROR(VLOOKUP(D53,'KAPANAN BLD.'!$C$2:$D$793,2,FALSE),0)</f>
        <v>0</v>
      </c>
      <c r="P53" s="79">
        <v>0</v>
      </c>
    </row>
    <row r="54" spans="1:16" x14ac:dyDescent="0.25">
      <c r="A54" t="s">
        <v>32</v>
      </c>
      <c r="B54" s="73" t="str">
        <f t="shared" si="1"/>
        <v>GÖLBAŞI</v>
      </c>
      <c r="C54" t="s">
        <v>190</v>
      </c>
      <c r="D54" s="73" t="str">
        <f t="shared" si="0"/>
        <v>GÖLBAŞI/ADIYAMAN</v>
      </c>
      <c r="E54" s="9" t="s">
        <v>150</v>
      </c>
      <c r="F54" s="9" t="s">
        <v>150</v>
      </c>
      <c r="G54" t="s">
        <v>3367</v>
      </c>
      <c r="H54">
        <v>10.199999999999999</v>
      </c>
      <c r="I54">
        <v>1.02</v>
      </c>
      <c r="J54">
        <v>0</v>
      </c>
      <c r="K54">
        <v>0</v>
      </c>
      <c r="L54">
        <v>10.199999999999999</v>
      </c>
      <c r="M54">
        <v>1.02</v>
      </c>
      <c r="O54" s="79">
        <f>IFERROR(VLOOKUP(D54,'KAPANAN BLD.'!$C$2:$D$793,2,FALSE),0)</f>
        <v>0</v>
      </c>
      <c r="P54" s="79">
        <v>0</v>
      </c>
    </row>
    <row r="55" spans="1:16" x14ac:dyDescent="0.25">
      <c r="A55" t="s">
        <v>32</v>
      </c>
      <c r="B55" s="73" t="str">
        <f t="shared" si="1"/>
        <v>SİNCİK</v>
      </c>
      <c r="C55" t="s">
        <v>190</v>
      </c>
      <c r="D55" s="73" t="str">
        <f t="shared" si="0"/>
        <v>SİNCİK/ADIYAMAN</v>
      </c>
      <c r="E55" s="9" t="s">
        <v>495</v>
      </c>
      <c r="F55" s="9" t="s">
        <v>495</v>
      </c>
      <c r="G55" t="s">
        <v>3367</v>
      </c>
      <c r="H55">
        <v>5.4</v>
      </c>
      <c r="I55">
        <v>0.54</v>
      </c>
      <c r="J55">
        <v>0</v>
      </c>
      <c r="K55">
        <v>0</v>
      </c>
      <c r="L55">
        <v>5.4</v>
      </c>
      <c r="M55">
        <v>0.54</v>
      </c>
      <c r="O55" s="79">
        <f>IFERROR(VLOOKUP(D55,'KAPANAN BLD.'!$C$2:$D$793,2,FALSE),0)</f>
        <v>0</v>
      </c>
      <c r="P55" s="79">
        <v>0</v>
      </c>
    </row>
    <row r="56" spans="1:16" x14ac:dyDescent="0.25">
      <c r="A56" t="s">
        <v>32</v>
      </c>
      <c r="B56" s="73" t="str">
        <f t="shared" si="1"/>
        <v>KAHTA</v>
      </c>
      <c r="C56" t="s">
        <v>190</v>
      </c>
      <c r="D56" s="73" t="str">
        <f t="shared" si="0"/>
        <v>KAHTA/ADIYAMAN</v>
      </c>
      <c r="E56" t="s">
        <v>424</v>
      </c>
      <c r="F56" t="s">
        <v>424</v>
      </c>
      <c r="G56" t="s">
        <v>3367</v>
      </c>
      <c r="H56">
        <v>132.6</v>
      </c>
      <c r="I56">
        <v>13.26</v>
      </c>
      <c r="J56">
        <v>0</v>
      </c>
      <c r="K56">
        <v>0</v>
      </c>
      <c r="L56">
        <v>132.6</v>
      </c>
      <c r="M56">
        <v>13.26</v>
      </c>
      <c r="O56" s="79">
        <f>IFERROR(VLOOKUP(D56,'KAPANAN BLD.'!$C$2:$D$793,2,FALSE),0)</f>
        <v>0</v>
      </c>
      <c r="P56" s="79">
        <v>0</v>
      </c>
    </row>
    <row r="57" spans="1:16" x14ac:dyDescent="0.25">
      <c r="A57" t="s">
        <v>32</v>
      </c>
      <c r="B57" s="73" t="str">
        <f t="shared" si="1"/>
        <v>KAHTA</v>
      </c>
      <c r="C57" t="s">
        <v>190</v>
      </c>
      <c r="D57" s="73" t="str">
        <f t="shared" si="0"/>
        <v>KAHTA/ADIYAMAN</v>
      </c>
      <c r="E57" t="s">
        <v>424</v>
      </c>
      <c r="F57" t="s">
        <v>424</v>
      </c>
      <c r="G57" t="s">
        <v>3366</v>
      </c>
      <c r="H57">
        <v>443</v>
      </c>
      <c r="I57">
        <v>44.3</v>
      </c>
      <c r="J57">
        <v>0</v>
      </c>
      <c r="K57">
        <v>0</v>
      </c>
      <c r="L57">
        <v>443</v>
      </c>
      <c r="M57">
        <v>44.3</v>
      </c>
      <c r="O57" s="79">
        <f>IFERROR(VLOOKUP(D57,'KAPANAN BLD.'!$C$2:$D$793,2,FALSE),0)</f>
        <v>0</v>
      </c>
      <c r="P57" s="79">
        <v>0</v>
      </c>
    </row>
    <row r="58" spans="1:16" x14ac:dyDescent="0.25">
      <c r="A58" t="s">
        <v>32</v>
      </c>
      <c r="B58" s="73" t="str">
        <f t="shared" si="1"/>
        <v>MERKEZ</v>
      </c>
      <c r="C58" t="s">
        <v>190</v>
      </c>
      <c r="D58" s="73" t="str">
        <f t="shared" si="0"/>
        <v>MERKEZ/ADIYAMAN</v>
      </c>
      <c r="E58" s="9" t="s">
        <v>34</v>
      </c>
      <c r="F58" s="9" t="s">
        <v>34</v>
      </c>
      <c r="G58" t="s">
        <v>3366</v>
      </c>
      <c r="H58">
        <v>890.6</v>
      </c>
      <c r="I58">
        <v>89.06</v>
      </c>
      <c r="J58">
        <v>0</v>
      </c>
      <c r="K58">
        <v>0</v>
      </c>
      <c r="L58">
        <v>890.6</v>
      </c>
      <c r="M58">
        <v>89.06</v>
      </c>
      <c r="O58" s="79">
        <f>IFERROR(VLOOKUP(D58,'KAPANAN BLD.'!$C$2:$D$793,2,FALSE),0)</f>
        <v>0</v>
      </c>
      <c r="P58" s="79">
        <v>0</v>
      </c>
    </row>
    <row r="59" spans="1:16" x14ac:dyDescent="0.25">
      <c r="A59" t="s">
        <v>32</v>
      </c>
      <c r="B59" s="73" t="str">
        <f t="shared" si="1"/>
        <v>MERKEZ</v>
      </c>
      <c r="C59" t="s">
        <v>190</v>
      </c>
      <c r="D59" s="73" t="str">
        <f t="shared" si="0"/>
        <v>MERKEZ/ADIYAMAN</v>
      </c>
      <c r="E59" s="9" t="s">
        <v>34</v>
      </c>
      <c r="F59" s="9" t="s">
        <v>34</v>
      </c>
      <c r="G59" t="s">
        <v>3367</v>
      </c>
      <c r="H59">
        <v>1656.5</v>
      </c>
      <c r="I59">
        <v>165.65</v>
      </c>
      <c r="J59">
        <v>0</v>
      </c>
      <c r="K59">
        <v>0</v>
      </c>
      <c r="L59">
        <v>1656.5</v>
      </c>
      <c r="M59">
        <v>165.65</v>
      </c>
      <c r="O59" s="79">
        <f>IFERROR(VLOOKUP(D59,'KAPANAN BLD.'!$C$2:$D$793,2,FALSE),0)</f>
        <v>0</v>
      </c>
      <c r="P59" s="79">
        <v>0</v>
      </c>
    </row>
    <row r="60" spans="1:16" x14ac:dyDescent="0.25">
      <c r="A60" t="s">
        <v>32</v>
      </c>
      <c r="B60" s="73" t="str">
        <f t="shared" si="1"/>
        <v>MERKEZ</v>
      </c>
      <c r="C60" t="s">
        <v>190</v>
      </c>
      <c r="D60" s="73" t="str">
        <f t="shared" si="0"/>
        <v>MERKEZ/ADIYAMAN</v>
      </c>
      <c r="E60" s="9" t="s">
        <v>34</v>
      </c>
      <c r="F60" s="9" t="s">
        <v>34</v>
      </c>
      <c r="G60" t="s">
        <v>3367</v>
      </c>
      <c r="H60">
        <v>4960.3</v>
      </c>
      <c r="I60">
        <v>496.03</v>
      </c>
      <c r="J60">
        <v>299.2</v>
      </c>
      <c r="K60">
        <v>29.92</v>
      </c>
      <c r="L60">
        <v>4661.1000000000004</v>
      </c>
      <c r="M60">
        <v>466.11</v>
      </c>
      <c r="O60" s="79">
        <f>IFERROR(VLOOKUP(D60,'KAPANAN BLD.'!$C$2:$D$793,2,FALSE),0)</f>
        <v>0</v>
      </c>
      <c r="P60" s="79">
        <v>0</v>
      </c>
    </row>
    <row r="61" spans="1:16" x14ac:dyDescent="0.25">
      <c r="A61" t="s">
        <v>32</v>
      </c>
      <c r="B61" s="73" t="str">
        <f t="shared" si="1"/>
        <v>MERKEZ</v>
      </c>
      <c r="C61" t="s">
        <v>190</v>
      </c>
      <c r="D61" s="73" t="str">
        <f t="shared" si="0"/>
        <v>MERKEZ/ADIYAMAN</v>
      </c>
      <c r="E61" s="9" t="s">
        <v>34</v>
      </c>
      <c r="F61" s="9" t="s">
        <v>34</v>
      </c>
      <c r="G61" t="s">
        <v>3366</v>
      </c>
      <c r="H61">
        <v>4815.7</v>
      </c>
      <c r="I61">
        <v>481.57</v>
      </c>
      <c r="J61">
        <v>916.3</v>
      </c>
      <c r="K61">
        <v>91.63</v>
      </c>
      <c r="L61">
        <v>3899.4</v>
      </c>
      <c r="M61">
        <v>389.94</v>
      </c>
      <c r="O61" s="79">
        <f>IFERROR(VLOOKUP(D61,'KAPANAN BLD.'!$C$2:$D$793,2,FALSE),0)</f>
        <v>0</v>
      </c>
      <c r="P61" s="79">
        <v>0</v>
      </c>
    </row>
    <row r="62" spans="1:16" x14ac:dyDescent="0.25">
      <c r="A62" t="s">
        <v>32</v>
      </c>
      <c r="B62" s="73" t="str">
        <f t="shared" si="1"/>
        <v>MERKEZ</v>
      </c>
      <c r="C62" t="s">
        <v>190</v>
      </c>
      <c r="D62" s="73" t="str">
        <f t="shared" si="0"/>
        <v>MERKEZ/ADIYAMAN</v>
      </c>
      <c r="E62" t="s">
        <v>34</v>
      </c>
      <c r="F62" t="s">
        <v>34</v>
      </c>
      <c r="G62" t="s">
        <v>3366</v>
      </c>
      <c r="H62">
        <v>1549.7</v>
      </c>
      <c r="I62">
        <v>154.97</v>
      </c>
      <c r="J62">
        <v>211.3</v>
      </c>
      <c r="K62">
        <v>21.13</v>
      </c>
      <c r="L62">
        <v>1338.4</v>
      </c>
      <c r="M62">
        <v>133.84</v>
      </c>
      <c r="O62" s="79">
        <f>IFERROR(VLOOKUP(D62,'KAPANAN BLD.'!$C$2:$D$793,2,FALSE),0)</f>
        <v>0</v>
      </c>
      <c r="P62" s="79">
        <v>0</v>
      </c>
    </row>
    <row r="63" spans="1:16" x14ac:dyDescent="0.25">
      <c r="A63" t="s">
        <v>32</v>
      </c>
      <c r="B63" s="73" t="str">
        <f t="shared" si="1"/>
        <v>MERKEZ</v>
      </c>
      <c r="C63" t="s">
        <v>190</v>
      </c>
      <c r="D63" s="73" t="str">
        <f t="shared" si="0"/>
        <v>MERKEZ/ADIYAMAN</v>
      </c>
      <c r="E63" t="s">
        <v>34</v>
      </c>
      <c r="F63" t="s">
        <v>34</v>
      </c>
      <c r="G63" t="s">
        <v>3367</v>
      </c>
      <c r="H63">
        <v>963.2</v>
      </c>
      <c r="I63">
        <v>96.32</v>
      </c>
      <c r="J63">
        <v>499.4</v>
      </c>
      <c r="K63">
        <v>49.94</v>
      </c>
      <c r="L63">
        <v>463.8</v>
      </c>
      <c r="M63">
        <v>46.38</v>
      </c>
      <c r="O63" s="79">
        <f>IFERROR(VLOOKUP(D63,'KAPANAN BLD.'!$C$2:$D$793,2,FALSE),0)</f>
        <v>0</v>
      </c>
      <c r="P63" s="79">
        <v>0</v>
      </c>
    </row>
    <row r="64" spans="1:16" x14ac:dyDescent="0.25">
      <c r="A64" t="s">
        <v>32</v>
      </c>
      <c r="B64" s="73" t="str">
        <f t="shared" si="1"/>
        <v>MERKEZ</v>
      </c>
      <c r="C64" t="s">
        <v>190</v>
      </c>
      <c r="D64" s="73" t="str">
        <f t="shared" si="0"/>
        <v>MERKEZ/ADIYAMAN</v>
      </c>
      <c r="E64" t="s">
        <v>34</v>
      </c>
      <c r="F64" t="s">
        <v>34</v>
      </c>
      <c r="G64" t="s">
        <v>3367</v>
      </c>
      <c r="H64">
        <v>2589.6999999999998</v>
      </c>
      <c r="I64">
        <v>258.97000000000003</v>
      </c>
      <c r="J64">
        <v>3.8</v>
      </c>
      <c r="K64">
        <v>0.38</v>
      </c>
      <c r="L64">
        <v>2585.9</v>
      </c>
      <c r="M64">
        <v>258.58999999999997</v>
      </c>
      <c r="O64" s="79">
        <f>IFERROR(VLOOKUP(D64,'KAPANAN BLD.'!$C$2:$D$793,2,FALSE),0)</f>
        <v>0</v>
      </c>
      <c r="P64" s="79">
        <v>0</v>
      </c>
    </row>
    <row r="65" spans="1:16" x14ac:dyDescent="0.25">
      <c r="A65" t="s">
        <v>32</v>
      </c>
      <c r="B65" s="73" t="str">
        <f t="shared" si="1"/>
        <v>MERKEZ</v>
      </c>
      <c r="C65" t="s">
        <v>190</v>
      </c>
      <c r="D65" s="73" t="str">
        <f t="shared" si="0"/>
        <v>MERKEZ/ADIYAMAN</v>
      </c>
      <c r="E65" t="s">
        <v>34</v>
      </c>
      <c r="F65" t="s">
        <v>34</v>
      </c>
      <c r="G65" t="s">
        <v>3366</v>
      </c>
      <c r="H65">
        <v>5219.2</v>
      </c>
      <c r="I65">
        <v>521.91999999999996</v>
      </c>
      <c r="J65">
        <v>243.5</v>
      </c>
      <c r="K65">
        <v>24.35</v>
      </c>
      <c r="L65">
        <v>4975.7</v>
      </c>
      <c r="M65">
        <v>497.57</v>
      </c>
      <c r="O65" s="79">
        <f>IFERROR(VLOOKUP(D65,'KAPANAN BLD.'!$C$2:$D$793,2,FALSE),0)</f>
        <v>0</v>
      </c>
      <c r="P65" s="79">
        <v>0</v>
      </c>
    </row>
    <row r="66" spans="1:16" x14ac:dyDescent="0.25">
      <c r="A66" t="s">
        <v>32</v>
      </c>
      <c r="B66" s="73" t="str">
        <f t="shared" si="1"/>
        <v>ÇELİKHAN</v>
      </c>
      <c r="C66" t="s">
        <v>190</v>
      </c>
      <c r="D66" s="73" t="str">
        <f t="shared" si="0"/>
        <v>ÇELİKHAN/ADIYAMAN</v>
      </c>
      <c r="E66" s="9" t="s">
        <v>3515</v>
      </c>
      <c r="F66" s="9" t="s">
        <v>3515</v>
      </c>
      <c r="G66" t="s">
        <v>3367</v>
      </c>
      <c r="H66">
        <v>307.39999999999998</v>
      </c>
      <c r="I66">
        <v>30.74</v>
      </c>
      <c r="J66">
        <v>0</v>
      </c>
      <c r="K66">
        <v>0</v>
      </c>
      <c r="L66">
        <v>307.39999999999998</v>
      </c>
      <c r="M66">
        <v>30.74</v>
      </c>
      <c r="O66" s="79">
        <f>IFERROR(VLOOKUP(D66,'KAPANAN BLD.'!$C$2:$D$793,2,FALSE),0)</f>
        <v>0</v>
      </c>
      <c r="P66" s="79">
        <v>0</v>
      </c>
    </row>
    <row r="67" spans="1:16" x14ac:dyDescent="0.25">
      <c r="A67" t="s">
        <v>32</v>
      </c>
      <c r="B67" s="73" t="str">
        <f t="shared" si="1"/>
        <v>ÇELİKHAN</v>
      </c>
      <c r="C67" t="s">
        <v>190</v>
      </c>
      <c r="D67" s="73" t="str">
        <f t="shared" ref="D67:D130" si="2">CONCATENATE(B67,"/",C67)</f>
        <v>ÇELİKHAN/ADIYAMAN</v>
      </c>
      <c r="E67" s="9" t="s">
        <v>3515</v>
      </c>
      <c r="F67" s="9" t="s">
        <v>3515</v>
      </c>
      <c r="G67" t="s">
        <v>3366</v>
      </c>
      <c r="H67">
        <v>118</v>
      </c>
      <c r="I67">
        <v>11.8</v>
      </c>
      <c r="J67">
        <v>0</v>
      </c>
      <c r="K67">
        <v>0</v>
      </c>
      <c r="L67">
        <v>118</v>
      </c>
      <c r="M67">
        <v>11.8</v>
      </c>
      <c r="O67" s="79">
        <f>IFERROR(VLOOKUP(D67,'KAPANAN BLD.'!$C$2:$D$793,2,FALSE),0)</f>
        <v>0</v>
      </c>
      <c r="P67" s="79">
        <v>0</v>
      </c>
    </row>
    <row r="68" spans="1:16" x14ac:dyDescent="0.25">
      <c r="A68" t="s">
        <v>32</v>
      </c>
      <c r="B68" s="73" t="str">
        <f t="shared" si="1"/>
        <v>BESNİ</v>
      </c>
      <c r="C68" t="s">
        <v>190</v>
      </c>
      <c r="D68" s="73" t="str">
        <f t="shared" si="2"/>
        <v>BESNİ/ADIYAMAN</v>
      </c>
      <c r="E68" s="9" t="s">
        <v>340</v>
      </c>
      <c r="F68" s="9" t="s">
        <v>340</v>
      </c>
      <c r="G68" t="s">
        <v>3366</v>
      </c>
      <c r="H68">
        <v>402.8</v>
      </c>
      <c r="I68">
        <v>40.28</v>
      </c>
      <c r="J68">
        <v>0</v>
      </c>
      <c r="K68">
        <v>0</v>
      </c>
      <c r="L68">
        <v>402.8</v>
      </c>
      <c r="M68">
        <v>40.28</v>
      </c>
      <c r="O68" s="79">
        <f>IFERROR(VLOOKUP(D68,'KAPANAN BLD.'!$C$2:$D$793,2,FALSE),0)</f>
        <v>0</v>
      </c>
      <c r="P68" s="79">
        <v>0</v>
      </c>
    </row>
    <row r="69" spans="1:16" x14ac:dyDescent="0.25">
      <c r="A69" t="s">
        <v>32</v>
      </c>
      <c r="B69" s="73" t="str">
        <f t="shared" si="1"/>
        <v>BESNİ</v>
      </c>
      <c r="C69" t="s">
        <v>190</v>
      </c>
      <c r="D69" s="73" t="str">
        <f t="shared" si="2"/>
        <v>BESNİ/ADIYAMAN</v>
      </c>
      <c r="E69" s="9" t="s">
        <v>340</v>
      </c>
      <c r="F69" s="9" t="s">
        <v>340</v>
      </c>
      <c r="G69" t="s">
        <v>3367</v>
      </c>
      <c r="H69">
        <v>45</v>
      </c>
      <c r="I69">
        <v>4.5</v>
      </c>
      <c r="J69">
        <v>0</v>
      </c>
      <c r="K69">
        <v>0</v>
      </c>
      <c r="L69">
        <v>45</v>
      </c>
      <c r="M69">
        <v>4.5</v>
      </c>
      <c r="O69" s="79">
        <f>IFERROR(VLOOKUP(D69,'KAPANAN BLD.'!$C$2:$D$793,2,FALSE),0)</f>
        <v>0</v>
      </c>
      <c r="P69" s="79">
        <v>0</v>
      </c>
    </row>
    <row r="70" spans="1:16" x14ac:dyDescent="0.25">
      <c r="A70" t="s">
        <v>32</v>
      </c>
      <c r="B70" s="73" t="str">
        <f t="shared" si="1"/>
        <v>BESNİ</v>
      </c>
      <c r="C70" t="s">
        <v>190</v>
      </c>
      <c r="D70" s="73" t="str">
        <f t="shared" si="2"/>
        <v>BESNİ/ADIYAMAN</v>
      </c>
      <c r="E70" s="9" t="s">
        <v>340</v>
      </c>
      <c r="F70" s="9" t="s">
        <v>340</v>
      </c>
      <c r="G70" t="s">
        <v>3367</v>
      </c>
      <c r="H70">
        <v>92</v>
      </c>
      <c r="I70">
        <v>9.1999999999999993</v>
      </c>
      <c r="J70">
        <v>0</v>
      </c>
      <c r="K70">
        <v>0</v>
      </c>
      <c r="L70">
        <v>92</v>
      </c>
      <c r="M70">
        <v>9.1999999999999993</v>
      </c>
      <c r="O70" s="79">
        <f>IFERROR(VLOOKUP(D70,'KAPANAN BLD.'!$C$2:$D$793,2,FALSE),0)</f>
        <v>0</v>
      </c>
      <c r="P70" s="79">
        <v>0</v>
      </c>
    </row>
    <row r="71" spans="1:16" x14ac:dyDescent="0.25">
      <c r="A71" t="s">
        <v>32</v>
      </c>
      <c r="B71" s="73" t="str">
        <f t="shared" si="1"/>
        <v>MERKEZ</v>
      </c>
      <c r="C71" t="s">
        <v>190</v>
      </c>
      <c r="D71" s="73" t="str">
        <f t="shared" si="2"/>
        <v>MERKEZ/ADIYAMAN</v>
      </c>
      <c r="E71" s="9" t="s">
        <v>34</v>
      </c>
      <c r="F71" s="9" t="s">
        <v>34</v>
      </c>
      <c r="G71" t="s">
        <v>3366</v>
      </c>
      <c r="H71">
        <v>3489.4</v>
      </c>
      <c r="I71">
        <v>348.94</v>
      </c>
      <c r="J71">
        <v>0</v>
      </c>
      <c r="K71">
        <v>0</v>
      </c>
      <c r="L71">
        <v>3489.4</v>
      </c>
      <c r="M71">
        <v>348.94</v>
      </c>
      <c r="O71" s="79">
        <f>IFERROR(VLOOKUP(D71,'KAPANAN BLD.'!$C$2:$D$793,2,FALSE),0)</f>
        <v>0</v>
      </c>
      <c r="P71" s="79">
        <v>0</v>
      </c>
    </row>
    <row r="72" spans="1:16" x14ac:dyDescent="0.25">
      <c r="A72" t="s">
        <v>32</v>
      </c>
      <c r="B72" s="73" t="str">
        <f t="shared" si="1"/>
        <v>MERKEZ</v>
      </c>
      <c r="C72" t="s">
        <v>190</v>
      </c>
      <c r="D72" s="73" t="str">
        <f t="shared" si="2"/>
        <v>MERKEZ/ADIYAMAN</v>
      </c>
      <c r="E72" s="9" t="s">
        <v>34</v>
      </c>
      <c r="F72" s="9" t="s">
        <v>34</v>
      </c>
      <c r="G72" t="s">
        <v>3367</v>
      </c>
      <c r="H72">
        <v>2078.6</v>
      </c>
      <c r="I72">
        <v>207.86</v>
      </c>
      <c r="J72">
        <v>0</v>
      </c>
      <c r="K72">
        <v>0</v>
      </c>
      <c r="L72">
        <v>2078.6</v>
      </c>
      <c r="M72">
        <v>207.86</v>
      </c>
      <c r="O72" s="79">
        <f>IFERROR(VLOOKUP(D72,'KAPANAN BLD.'!$C$2:$D$793,2,FALSE),0)</f>
        <v>0</v>
      </c>
      <c r="P72" s="79">
        <v>0</v>
      </c>
    </row>
    <row r="73" spans="1:16" x14ac:dyDescent="0.25">
      <c r="A73" t="s">
        <v>32</v>
      </c>
      <c r="B73" s="73" t="str">
        <f t="shared" si="1"/>
        <v>SANDIKLI</v>
      </c>
      <c r="C73" t="s">
        <v>2143</v>
      </c>
      <c r="D73" s="73" t="str">
        <f t="shared" si="2"/>
        <v>SANDIKLI/AFYONKARAHİSAR</v>
      </c>
      <c r="E73" s="9" t="s">
        <v>93</v>
      </c>
      <c r="F73" s="9" t="s">
        <v>93</v>
      </c>
      <c r="G73" t="s">
        <v>3367</v>
      </c>
      <c r="H73">
        <v>4.8</v>
      </c>
      <c r="I73">
        <v>0.48</v>
      </c>
      <c r="J73">
        <v>0</v>
      </c>
      <c r="K73">
        <v>0</v>
      </c>
      <c r="L73">
        <v>4.8</v>
      </c>
      <c r="M73">
        <v>0.48</v>
      </c>
      <c r="O73" s="79">
        <f>IFERROR(VLOOKUP(D73,'KAPANAN BLD.'!$C$2:$D$793,2,FALSE),0)</f>
        <v>0</v>
      </c>
      <c r="P73" s="79">
        <v>0</v>
      </c>
    </row>
    <row r="74" spans="1:16" x14ac:dyDescent="0.25">
      <c r="A74" t="s">
        <v>32</v>
      </c>
      <c r="B74" s="73" t="str">
        <f t="shared" si="1"/>
        <v>SANDIKLI</v>
      </c>
      <c r="C74" t="s">
        <v>2143</v>
      </c>
      <c r="D74" s="73" t="str">
        <f t="shared" si="2"/>
        <v>SANDIKLI/AFYONKARAHİSAR</v>
      </c>
      <c r="E74" s="9" t="s">
        <v>93</v>
      </c>
      <c r="F74" s="9" t="s">
        <v>93</v>
      </c>
      <c r="G74" t="s">
        <v>3366</v>
      </c>
      <c r="H74">
        <v>80.400000000000006</v>
      </c>
      <c r="I74">
        <v>8.0399999999999991</v>
      </c>
      <c r="J74">
        <v>0</v>
      </c>
      <c r="K74">
        <v>0</v>
      </c>
      <c r="L74">
        <v>80.400000000000006</v>
      </c>
      <c r="M74">
        <v>8.0399999999999991</v>
      </c>
      <c r="O74" s="79">
        <f>IFERROR(VLOOKUP(D74,'KAPANAN BLD.'!$C$2:$D$793,2,FALSE),0)</f>
        <v>0</v>
      </c>
      <c r="P74" s="79">
        <v>0</v>
      </c>
    </row>
    <row r="75" spans="1:16" x14ac:dyDescent="0.25">
      <c r="A75" t="s">
        <v>32</v>
      </c>
      <c r="B75" s="73" t="str">
        <f t="shared" si="1"/>
        <v xml:space="preserve">SİNANPAŞA </v>
      </c>
      <c r="C75" t="s">
        <v>2143</v>
      </c>
      <c r="D75" s="73" t="str">
        <f t="shared" si="2"/>
        <v>SİNANPAŞA /AFYONKARAHİSAR</v>
      </c>
      <c r="E75" s="9" t="s">
        <v>2721</v>
      </c>
      <c r="F75" s="9" t="s">
        <v>2721</v>
      </c>
      <c r="G75" t="s">
        <v>3367</v>
      </c>
      <c r="H75">
        <v>115.6</v>
      </c>
      <c r="I75">
        <v>11.56</v>
      </c>
      <c r="J75">
        <v>0</v>
      </c>
      <c r="K75">
        <v>0</v>
      </c>
      <c r="L75">
        <v>115.6</v>
      </c>
      <c r="M75">
        <v>11.56</v>
      </c>
      <c r="O75" s="79">
        <f>IFERROR(VLOOKUP(D75,'KAPANAN BLD.'!$C$2:$D$793,2,FALSE),0)</f>
        <v>0</v>
      </c>
      <c r="P75" s="79">
        <v>0</v>
      </c>
    </row>
    <row r="76" spans="1:16" x14ac:dyDescent="0.25">
      <c r="A76" t="s">
        <v>32</v>
      </c>
      <c r="B76" s="73" t="str">
        <f t="shared" si="1"/>
        <v xml:space="preserve">SİNANPAŞA </v>
      </c>
      <c r="C76" t="s">
        <v>2143</v>
      </c>
      <c r="D76" s="73" t="str">
        <f t="shared" si="2"/>
        <v>SİNANPAŞA /AFYONKARAHİSAR</v>
      </c>
      <c r="E76" s="9" t="s">
        <v>2721</v>
      </c>
      <c r="F76" s="9" t="s">
        <v>2721</v>
      </c>
      <c r="G76" t="s">
        <v>3366</v>
      </c>
      <c r="H76">
        <v>690.4</v>
      </c>
      <c r="I76">
        <v>69.040000000000006</v>
      </c>
      <c r="J76">
        <v>0</v>
      </c>
      <c r="K76">
        <v>0</v>
      </c>
      <c r="L76">
        <v>690.4</v>
      </c>
      <c r="M76">
        <v>69.040000000000006</v>
      </c>
      <c r="O76" s="79">
        <f>IFERROR(VLOOKUP(D76,'KAPANAN BLD.'!$C$2:$D$793,2,FALSE),0)</f>
        <v>0</v>
      </c>
      <c r="P76" s="79">
        <v>0</v>
      </c>
    </row>
    <row r="77" spans="1:16" x14ac:dyDescent="0.25">
      <c r="A77" t="s">
        <v>32</v>
      </c>
      <c r="B77" s="73" t="str">
        <f t="shared" si="1"/>
        <v>İSCEHİSAR</v>
      </c>
      <c r="C77" t="s">
        <v>2143</v>
      </c>
      <c r="D77" s="73" t="str">
        <f t="shared" si="2"/>
        <v>İSCEHİSAR/AFYONKARAHİSAR</v>
      </c>
      <c r="E77" s="9" t="s">
        <v>502</v>
      </c>
      <c r="F77" s="9" t="s">
        <v>502</v>
      </c>
      <c r="G77" t="s">
        <v>3367</v>
      </c>
      <c r="H77">
        <v>1972.3</v>
      </c>
      <c r="I77">
        <v>197.23</v>
      </c>
      <c r="J77">
        <v>0</v>
      </c>
      <c r="K77">
        <v>0</v>
      </c>
      <c r="L77">
        <v>1972.3</v>
      </c>
      <c r="M77">
        <v>197.23</v>
      </c>
      <c r="O77" s="79">
        <f>IFERROR(VLOOKUP(D77,'KAPANAN BLD.'!$C$2:$D$793,2,FALSE),0)</f>
        <v>0</v>
      </c>
      <c r="P77" s="79">
        <v>0</v>
      </c>
    </row>
    <row r="78" spans="1:16" x14ac:dyDescent="0.25">
      <c r="A78" t="s">
        <v>32</v>
      </c>
      <c r="B78" s="73" t="str">
        <f t="shared" si="1"/>
        <v>İSCEHİSAR</v>
      </c>
      <c r="C78" t="s">
        <v>2143</v>
      </c>
      <c r="D78" s="73" t="str">
        <f t="shared" si="2"/>
        <v>İSCEHİSAR/AFYONKARAHİSAR</v>
      </c>
      <c r="E78" s="9" t="s">
        <v>502</v>
      </c>
      <c r="F78" s="9" t="s">
        <v>502</v>
      </c>
      <c r="G78" t="s">
        <v>3366</v>
      </c>
      <c r="H78">
        <v>103.3</v>
      </c>
      <c r="I78">
        <v>10.33</v>
      </c>
      <c r="J78">
        <v>0</v>
      </c>
      <c r="K78">
        <v>0</v>
      </c>
      <c r="L78">
        <v>103.3</v>
      </c>
      <c r="M78">
        <v>10.33</v>
      </c>
      <c r="O78" s="79">
        <f>IFERROR(VLOOKUP(D78,'KAPANAN BLD.'!$C$2:$D$793,2,FALSE),0)</f>
        <v>0</v>
      </c>
      <c r="P78" s="79">
        <v>0</v>
      </c>
    </row>
    <row r="79" spans="1:16" x14ac:dyDescent="0.25">
      <c r="A79" t="s">
        <v>32</v>
      </c>
      <c r="B79" s="73" t="str">
        <f t="shared" si="1"/>
        <v>ŞUHUT</v>
      </c>
      <c r="C79" t="s">
        <v>2143</v>
      </c>
      <c r="D79" s="73" t="str">
        <f t="shared" si="2"/>
        <v>ŞUHUT/AFYONKARAHİSAR</v>
      </c>
      <c r="E79" s="9" t="s">
        <v>2260</v>
      </c>
      <c r="F79" s="9" t="s">
        <v>2260</v>
      </c>
      <c r="G79" t="s">
        <v>3366</v>
      </c>
      <c r="H79">
        <v>579.5</v>
      </c>
      <c r="I79">
        <v>57.95</v>
      </c>
      <c r="J79">
        <v>0</v>
      </c>
      <c r="K79">
        <v>0</v>
      </c>
      <c r="L79">
        <v>579.5</v>
      </c>
      <c r="M79">
        <v>57.95</v>
      </c>
      <c r="O79" s="79">
        <f>IFERROR(VLOOKUP(D79,'KAPANAN BLD.'!$C$2:$D$793,2,FALSE),0)</f>
        <v>0</v>
      </c>
      <c r="P79" s="79">
        <v>0</v>
      </c>
    </row>
    <row r="80" spans="1:16" x14ac:dyDescent="0.25">
      <c r="A80" t="s">
        <v>32</v>
      </c>
      <c r="B80" s="73" t="str">
        <f t="shared" si="1"/>
        <v>ŞUHUT</v>
      </c>
      <c r="C80" t="s">
        <v>2143</v>
      </c>
      <c r="D80" s="73" t="str">
        <f t="shared" si="2"/>
        <v>ŞUHUT/AFYONKARAHİSAR</v>
      </c>
      <c r="E80" s="9" t="s">
        <v>2260</v>
      </c>
      <c r="F80" s="9" t="s">
        <v>2260</v>
      </c>
      <c r="G80" t="s">
        <v>3367</v>
      </c>
      <c r="H80">
        <v>3798.7</v>
      </c>
      <c r="I80">
        <v>379.87</v>
      </c>
      <c r="J80">
        <v>0</v>
      </c>
      <c r="K80">
        <v>0</v>
      </c>
      <c r="L80">
        <v>3798.7</v>
      </c>
      <c r="M80">
        <v>379.87</v>
      </c>
      <c r="O80" s="79">
        <f>IFERROR(VLOOKUP(D80,'KAPANAN BLD.'!$C$2:$D$793,2,FALSE),0)</f>
        <v>0</v>
      </c>
      <c r="P80" s="79">
        <v>0</v>
      </c>
    </row>
    <row r="81" spans="1:16" x14ac:dyDescent="0.25">
      <c r="A81" t="s">
        <v>32</v>
      </c>
      <c r="B81" s="73" t="str">
        <f t="shared" si="1"/>
        <v>EMİRDAĞ</v>
      </c>
      <c r="C81" t="s">
        <v>2143</v>
      </c>
      <c r="D81" s="73" t="str">
        <f t="shared" si="2"/>
        <v>EMİRDAĞ/AFYONKARAHİSAR</v>
      </c>
      <c r="E81" s="9" t="s">
        <v>292</v>
      </c>
      <c r="F81" s="9" t="s">
        <v>292</v>
      </c>
      <c r="G81" t="s">
        <v>3366</v>
      </c>
      <c r="H81">
        <v>55.5</v>
      </c>
      <c r="I81">
        <v>5.55</v>
      </c>
      <c r="J81">
        <v>0</v>
      </c>
      <c r="K81">
        <v>0</v>
      </c>
      <c r="L81">
        <v>55.5</v>
      </c>
      <c r="M81">
        <v>5.55</v>
      </c>
      <c r="O81" s="79">
        <f>IFERROR(VLOOKUP(D81,'KAPANAN BLD.'!$C$2:$D$793,2,FALSE),0)</f>
        <v>0</v>
      </c>
      <c r="P81" s="79">
        <v>0</v>
      </c>
    </row>
    <row r="82" spans="1:16" x14ac:dyDescent="0.25">
      <c r="A82" t="s">
        <v>32</v>
      </c>
      <c r="B82" s="73" t="str">
        <f t="shared" si="1"/>
        <v>EMİRDAĞ</v>
      </c>
      <c r="C82" t="s">
        <v>2143</v>
      </c>
      <c r="D82" s="73" t="str">
        <f t="shared" si="2"/>
        <v>EMİRDAĞ/AFYONKARAHİSAR</v>
      </c>
      <c r="E82" s="9" t="s">
        <v>292</v>
      </c>
      <c r="F82" s="9" t="s">
        <v>292</v>
      </c>
      <c r="G82" t="s">
        <v>3367</v>
      </c>
      <c r="H82">
        <v>96.6</v>
      </c>
      <c r="I82">
        <v>9.66</v>
      </c>
      <c r="J82">
        <v>0</v>
      </c>
      <c r="K82">
        <v>0</v>
      </c>
      <c r="L82">
        <v>96.6</v>
      </c>
      <c r="M82">
        <v>9.66</v>
      </c>
      <c r="O82" s="79">
        <f>IFERROR(VLOOKUP(D82,'KAPANAN BLD.'!$C$2:$D$793,2,FALSE),0)</f>
        <v>0</v>
      </c>
      <c r="P82" s="79">
        <v>0</v>
      </c>
    </row>
    <row r="83" spans="1:16" x14ac:dyDescent="0.25">
      <c r="A83" t="s">
        <v>32</v>
      </c>
      <c r="B83" s="73" t="str">
        <f t="shared" si="1"/>
        <v>ŞUHUT</v>
      </c>
      <c r="C83" t="s">
        <v>2143</v>
      </c>
      <c r="D83" s="73" t="str">
        <f t="shared" si="2"/>
        <v>ŞUHUT/AFYONKARAHİSAR</v>
      </c>
      <c r="E83" s="9" t="s">
        <v>2260</v>
      </c>
      <c r="F83" s="9" t="s">
        <v>2260</v>
      </c>
      <c r="G83" t="s">
        <v>3366</v>
      </c>
      <c r="H83">
        <v>402.8</v>
      </c>
      <c r="I83">
        <v>40.28</v>
      </c>
      <c r="J83">
        <v>0</v>
      </c>
      <c r="K83">
        <v>0</v>
      </c>
      <c r="L83">
        <v>402.8</v>
      </c>
      <c r="M83">
        <v>40.28</v>
      </c>
      <c r="O83" s="79">
        <f>IFERROR(VLOOKUP(D83,'KAPANAN BLD.'!$C$2:$D$793,2,FALSE),0)</f>
        <v>0</v>
      </c>
      <c r="P83" s="79">
        <v>0</v>
      </c>
    </row>
    <row r="84" spans="1:16" x14ac:dyDescent="0.25">
      <c r="A84" t="s">
        <v>32</v>
      </c>
      <c r="B84" s="73" t="str">
        <f t="shared" si="1"/>
        <v>ŞUHUT</v>
      </c>
      <c r="C84" t="s">
        <v>2143</v>
      </c>
      <c r="D84" s="73" t="str">
        <f t="shared" si="2"/>
        <v>ŞUHUT/AFYONKARAHİSAR</v>
      </c>
      <c r="E84" s="9" t="s">
        <v>2260</v>
      </c>
      <c r="F84" s="9" t="s">
        <v>2260</v>
      </c>
      <c r="G84" t="s">
        <v>3367</v>
      </c>
      <c r="H84">
        <v>148</v>
      </c>
      <c r="I84">
        <v>14.8</v>
      </c>
      <c r="J84">
        <v>0</v>
      </c>
      <c r="K84">
        <v>0</v>
      </c>
      <c r="L84">
        <v>148</v>
      </c>
      <c r="M84">
        <v>14.8</v>
      </c>
      <c r="O84" s="79">
        <f>IFERROR(VLOOKUP(D84,'KAPANAN BLD.'!$C$2:$D$793,2,FALSE),0)</f>
        <v>0</v>
      </c>
      <c r="P84" s="79">
        <v>0</v>
      </c>
    </row>
    <row r="85" spans="1:16" x14ac:dyDescent="0.25">
      <c r="A85" t="s">
        <v>32</v>
      </c>
      <c r="B85" s="73" t="str">
        <f t="shared" si="1"/>
        <v>MERKEZ</v>
      </c>
      <c r="C85" t="s">
        <v>2143</v>
      </c>
      <c r="D85" s="73" t="str">
        <f t="shared" si="2"/>
        <v>MERKEZ/AFYONKARAHİSAR</v>
      </c>
      <c r="E85" s="9" t="s">
        <v>34</v>
      </c>
      <c r="F85" s="9" t="s">
        <v>34</v>
      </c>
      <c r="G85" t="s">
        <v>3367</v>
      </c>
      <c r="H85">
        <v>240.7</v>
      </c>
      <c r="I85">
        <v>24.07</v>
      </c>
      <c r="J85">
        <v>0</v>
      </c>
      <c r="K85">
        <v>0</v>
      </c>
      <c r="L85">
        <v>240.7</v>
      </c>
      <c r="M85">
        <v>24.07</v>
      </c>
      <c r="O85" s="79">
        <f>IFERROR(VLOOKUP(D85,'KAPANAN BLD.'!$C$2:$D$793,2,FALSE),0)</f>
        <v>0</v>
      </c>
      <c r="P85" s="79">
        <v>0</v>
      </c>
    </row>
    <row r="86" spans="1:16" x14ac:dyDescent="0.25">
      <c r="A86" t="s">
        <v>32</v>
      </c>
      <c r="B86" s="73" t="str">
        <f t="shared" si="1"/>
        <v>MERKEZ</v>
      </c>
      <c r="C86" t="s">
        <v>2143</v>
      </c>
      <c r="D86" s="73" t="str">
        <f t="shared" si="2"/>
        <v>MERKEZ/AFYONKARAHİSAR</v>
      </c>
      <c r="E86" s="9" t="s">
        <v>34</v>
      </c>
      <c r="F86" s="9" t="s">
        <v>34</v>
      </c>
      <c r="G86" t="s">
        <v>3366</v>
      </c>
      <c r="H86">
        <v>2445.8000000000002</v>
      </c>
      <c r="I86">
        <v>244.58</v>
      </c>
      <c r="J86">
        <v>0</v>
      </c>
      <c r="K86">
        <v>0</v>
      </c>
      <c r="L86">
        <v>2445.8000000000002</v>
      </c>
      <c r="M86">
        <v>244.58</v>
      </c>
      <c r="O86" s="79">
        <f>IFERROR(VLOOKUP(D86,'KAPANAN BLD.'!$C$2:$D$793,2,FALSE),0)</f>
        <v>0</v>
      </c>
      <c r="P86" s="79">
        <v>0</v>
      </c>
    </row>
    <row r="87" spans="1:16" x14ac:dyDescent="0.25">
      <c r="A87" t="s">
        <v>32</v>
      </c>
      <c r="B87" s="73" t="str">
        <f t="shared" si="1"/>
        <v>BOLVADİN</v>
      </c>
      <c r="C87" t="s">
        <v>2143</v>
      </c>
      <c r="D87" s="73" t="str">
        <f t="shared" si="2"/>
        <v>BOLVADİN/AFYONKARAHİSAR</v>
      </c>
      <c r="E87" t="s">
        <v>347</v>
      </c>
      <c r="F87" t="s">
        <v>347</v>
      </c>
      <c r="G87" t="s">
        <v>3366</v>
      </c>
      <c r="H87">
        <v>3</v>
      </c>
      <c r="I87">
        <v>0.3</v>
      </c>
      <c r="J87">
        <v>0</v>
      </c>
      <c r="K87">
        <v>0</v>
      </c>
      <c r="L87">
        <v>3</v>
      </c>
      <c r="M87">
        <v>0.3</v>
      </c>
      <c r="O87" s="79">
        <f>IFERROR(VLOOKUP(D87,'KAPANAN BLD.'!$C$2:$D$793,2,FALSE),0)</f>
        <v>0</v>
      </c>
      <c r="P87" s="79">
        <v>0</v>
      </c>
    </row>
    <row r="88" spans="1:16" x14ac:dyDescent="0.25">
      <c r="A88" t="s">
        <v>32</v>
      </c>
      <c r="B88" s="73" t="str">
        <f t="shared" si="1"/>
        <v>BOLVADİN</v>
      </c>
      <c r="C88" t="s">
        <v>2143</v>
      </c>
      <c r="D88" s="73" t="str">
        <f t="shared" si="2"/>
        <v>BOLVADİN/AFYONKARAHİSAR</v>
      </c>
      <c r="E88" t="s">
        <v>347</v>
      </c>
      <c r="F88" t="s">
        <v>347</v>
      </c>
      <c r="G88" t="s">
        <v>3367</v>
      </c>
      <c r="H88">
        <v>106</v>
      </c>
      <c r="I88">
        <v>10.6</v>
      </c>
      <c r="J88">
        <v>0</v>
      </c>
      <c r="K88">
        <v>0</v>
      </c>
      <c r="L88">
        <v>106</v>
      </c>
      <c r="M88">
        <v>10.6</v>
      </c>
      <c r="O88" s="79">
        <f>IFERROR(VLOOKUP(D88,'KAPANAN BLD.'!$C$2:$D$793,2,FALSE),0)</f>
        <v>0</v>
      </c>
      <c r="P88" s="79">
        <v>0</v>
      </c>
    </row>
    <row r="89" spans="1:16" x14ac:dyDescent="0.25">
      <c r="A89" t="s">
        <v>32</v>
      </c>
      <c r="B89" s="73" t="str">
        <f t="shared" si="1"/>
        <v>BOLVADİN</v>
      </c>
      <c r="C89" t="s">
        <v>2143</v>
      </c>
      <c r="D89" s="73" t="str">
        <f t="shared" si="2"/>
        <v>BOLVADİN/AFYONKARAHİSAR</v>
      </c>
      <c r="E89" t="s">
        <v>347</v>
      </c>
      <c r="F89" t="s">
        <v>347</v>
      </c>
      <c r="G89" t="s">
        <v>3367</v>
      </c>
      <c r="H89">
        <v>73</v>
      </c>
      <c r="I89">
        <v>7.3</v>
      </c>
      <c r="J89">
        <v>0</v>
      </c>
      <c r="K89">
        <v>0</v>
      </c>
      <c r="L89">
        <v>73</v>
      </c>
      <c r="M89">
        <v>7.3</v>
      </c>
      <c r="O89" s="79">
        <f>IFERROR(VLOOKUP(D89,'KAPANAN BLD.'!$C$2:$D$793,2,FALSE),0)</f>
        <v>0</v>
      </c>
      <c r="P89" s="79">
        <v>0</v>
      </c>
    </row>
    <row r="90" spans="1:16" x14ac:dyDescent="0.25">
      <c r="A90" t="s">
        <v>32</v>
      </c>
      <c r="B90" s="73" t="str">
        <f t="shared" si="1"/>
        <v>BOLVADİN</v>
      </c>
      <c r="C90" t="s">
        <v>2143</v>
      </c>
      <c r="D90" s="73" t="str">
        <f t="shared" si="2"/>
        <v>BOLVADİN/AFYONKARAHİSAR</v>
      </c>
      <c r="E90" t="s">
        <v>347</v>
      </c>
      <c r="F90" t="s">
        <v>347</v>
      </c>
      <c r="G90" t="s">
        <v>3366</v>
      </c>
      <c r="H90">
        <v>400.3</v>
      </c>
      <c r="I90">
        <v>40.03</v>
      </c>
      <c r="J90">
        <v>0</v>
      </c>
      <c r="K90">
        <v>0</v>
      </c>
      <c r="L90">
        <v>400.3</v>
      </c>
      <c r="M90">
        <v>40.03</v>
      </c>
      <c r="O90" s="79">
        <f>IFERROR(VLOOKUP(D90,'KAPANAN BLD.'!$C$2:$D$793,2,FALSE),0)</f>
        <v>0</v>
      </c>
      <c r="P90" s="79">
        <v>0</v>
      </c>
    </row>
    <row r="91" spans="1:16" x14ac:dyDescent="0.25">
      <c r="A91" t="s">
        <v>32</v>
      </c>
      <c r="B91" s="73" t="str">
        <f t="shared" si="1"/>
        <v>MERKEZ</v>
      </c>
      <c r="C91" t="s">
        <v>2143</v>
      </c>
      <c r="D91" s="73" t="str">
        <f t="shared" si="2"/>
        <v>MERKEZ/AFYONKARAHİSAR</v>
      </c>
      <c r="E91" s="9" t="s">
        <v>34</v>
      </c>
      <c r="F91" s="9" t="s">
        <v>34</v>
      </c>
      <c r="G91" t="s">
        <v>3367</v>
      </c>
      <c r="H91">
        <v>1902.6</v>
      </c>
      <c r="I91">
        <v>190.26</v>
      </c>
      <c r="J91">
        <v>12.5</v>
      </c>
      <c r="K91">
        <v>1.25</v>
      </c>
      <c r="L91">
        <v>1890.1</v>
      </c>
      <c r="M91">
        <v>189.01</v>
      </c>
      <c r="O91" s="79">
        <f>IFERROR(VLOOKUP(D91,'KAPANAN BLD.'!$C$2:$D$793,2,FALSE),0)</f>
        <v>0</v>
      </c>
      <c r="P91" s="79">
        <v>0</v>
      </c>
    </row>
    <row r="92" spans="1:16" x14ac:dyDescent="0.25">
      <c r="A92" t="s">
        <v>32</v>
      </c>
      <c r="B92" s="73" t="str">
        <f t="shared" si="1"/>
        <v>MERKEZ</v>
      </c>
      <c r="C92" t="s">
        <v>2143</v>
      </c>
      <c r="D92" s="73" t="str">
        <f t="shared" si="2"/>
        <v>MERKEZ/AFYONKARAHİSAR</v>
      </c>
      <c r="E92" s="9" t="s">
        <v>34</v>
      </c>
      <c r="F92" s="9" t="s">
        <v>34</v>
      </c>
      <c r="G92" t="s">
        <v>3366</v>
      </c>
      <c r="H92">
        <v>402.8</v>
      </c>
      <c r="I92">
        <v>40.28</v>
      </c>
      <c r="J92">
        <v>44.9</v>
      </c>
      <c r="K92">
        <v>4.49</v>
      </c>
      <c r="L92">
        <v>357.9</v>
      </c>
      <c r="M92">
        <v>35.79</v>
      </c>
      <c r="O92" s="79">
        <f>IFERROR(VLOOKUP(D92,'KAPANAN BLD.'!$C$2:$D$793,2,FALSE),0)</f>
        <v>0</v>
      </c>
      <c r="P92" s="79">
        <v>0</v>
      </c>
    </row>
    <row r="93" spans="1:16" x14ac:dyDescent="0.25">
      <c r="A93" t="s">
        <v>32</v>
      </c>
      <c r="B93" s="73" t="str">
        <f t="shared" si="1"/>
        <v>ÇAY</v>
      </c>
      <c r="C93" t="s">
        <v>2143</v>
      </c>
      <c r="D93" s="73" t="str">
        <f t="shared" si="2"/>
        <v>ÇAY/AFYONKARAHİSAR</v>
      </c>
      <c r="E93" t="s">
        <v>497</v>
      </c>
      <c r="F93" t="s">
        <v>497</v>
      </c>
      <c r="G93" t="s">
        <v>3367</v>
      </c>
      <c r="H93">
        <v>51763.5</v>
      </c>
      <c r="I93">
        <v>5176.3500000000004</v>
      </c>
      <c r="J93">
        <v>0</v>
      </c>
      <c r="K93">
        <v>0</v>
      </c>
      <c r="L93">
        <v>51763.5</v>
      </c>
      <c r="M93">
        <v>5176.3500000000004</v>
      </c>
      <c r="O93" s="79">
        <f>IFERROR(VLOOKUP(D93,'KAPANAN BLD.'!$C$2:$D$793,2,FALSE),0)</f>
        <v>0</v>
      </c>
      <c r="P93" s="79">
        <v>0</v>
      </c>
    </row>
    <row r="94" spans="1:16" x14ac:dyDescent="0.25">
      <c r="A94" t="s">
        <v>32</v>
      </c>
      <c r="B94" s="73" t="str">
        <f t="shared" si="1"/>
        <v>MERKEZ</v>
      </c>
      <c r="C94" t="s">
        <v>2143</v>
      </c>
      <c r="D94" s="73" t="str">
        <f t="shared" si="2"/>
        <v>MERKEZ/AFYONKARAHİSAR</v>
      </c>
      <c r="E94" s="9" t="s">
        <v>34</v>
      </c>
      <c r="F94" s="9" t="s">
        <v>34</v>
      </c>
      <c r="G94" t="s">
        <v>3366</v>
      </c>
      <c r="H94">
        <v>410.9</v>
      </c>
      <c r="I94">
        <v>41.09</v>
      </c>
      <c r="J94">
        <v>134.69999999999999</v>
      </c>
      <c r="K94">
        <v>13.47</v>
      </c>
      <c r="L94">
        <v>276.2</v>
      </c>
      <c r="M94">
        <v>27.62</v>
      </c>
      <c r="O94" s="79">
        <f>IFERROR(VLOOKUP(D94,'KAPANAN BLD.'!$C$2:$D$793,2,FALSE),0)</f>
        <v>0</v>
      </c>
      <c r="P94" s="79">
        <v>0</v>
      </c>
    </row>
    <row r="95" spans="1:16" x14ac:dyDescent="0.25">
      <c r="A95" t="s">
        <v>32</v>
      </c>
      <c r="B95" s="73" t="str">
        <f t="shared" si="1"/>
        <v>MERKEZ</v>
      </c>
      <c r="C95" t="s">
        <v>2143</v>
      </c>
      <c r="D95" s="73" t="str">
        <f t="shared" si="2"/>
        <v>MERKEZ/AFYONKARAHİSAR</v>
      </c>
      <c r="E95" s="9" t="s">
        <v>34</v>
      </c>
      <c r="F95" s="9" t="s">
        <v>34</v>
      </c>
      <c r="G95" t="s">
        <v>3367</v>
      </c>
      <c r="H95">
        <v>489.9</v>
      </c>
      <c r="I95">
        <v>48.99</v>
      </c>
      <c r="J95">
        <v>88.2</v>
      </c>
      <c r="K95">
        <v>8.82</v>
      </c>
      <c r="L95">
        <v>401.7</v>
      </c>
      <c r="M95">
        <v>40.17</v>
      </c>
      <c r="O95" s="79">
        <f>IFERROR(VLOOKUP(D95,'KAPANAN BLD.'!$C$2:$D$793,2,FALSE),0)</f>
        <v>0</v>
      </c>
      <c r="P95" s="79">
        <v>0</v>
      </c>
    </row>
    <row r="96" spans="1:16" x14ac:dyDescent="0.25">
      <c r="A96" t="s">
        <v>32</v>
      </c>
      <c r="B96" s="73" t="str">
        <f t="shared" si="1"/>
        <v>MERKEZ</v>
      </c>
      <c r="C96" t="s">
        <v>2143</v>
      </c>
      <c r="D96" s="73" t="str">
        <f t="shared" si="2"/>
        <v>MERKEZ/AFYONKARAHİSAR</v>
      </c>
      <c r="E96" s="9" t="s">
        <v>34</v>
      </c>
      <c r="F96" s="9" t="s">
        <v>34</v>
      </c>
      <c r="G96" t="s">
        <v>3366</v>
      </c>
      <c r="H96">
        <v>158.19999999999999</v>
      </c>
      <c r="I96">
        <v>15.82</v>
      </c>
      <c r="J96">
        <v>0</v>
      </c>
      <c r="K96">
        <v>0</v>
      </c>
      <c r="L96">
        <v>158.19999999999999</v>
      </c>
      <c r="M96">
        <v>15.82</v>
      </c>
      <c r="O96" s="79">
        <f>IFERROR(VLOOKUP(D96,'KAPANAN BLD.'!$C$2:$D$793,2,FALSE),0)</f>
        <v>0</v>
      </c>
      <c r="P96" s="79">
        <v>0</v>
      </c>
    </row>
    <row r="97" spans="1:16" x14ac:dyDescent="0.25">
      <c r="A97" t="s">
        <v>32</v>
      </c>
      <c r="B97" s="73" t="str">
        <f t="shared" si="1"/>
        <v>MERKEZ</v>
      </c>
      <c r="C97" t="s">
        <v>2143</v>
      </c>
      <c r="D97" s="73" t="str">
        <f t="shared" si="2"/>
        <v>MERKEZ/AFYONKARAHİSAR</v>
      </c>
      <c r="E97" s="9" t="s">
        <v>34</v>
      </c>
      <c r="F97" s="9" t="s">
        <v>34</v>
      </c>
      <c r="G97" t="s">
        <v>3367</v>
      </c>
      <c r="H97">
        <v>578.4</v>
      </c>
      <c r="I97">
        <v>57.84</v>
      </c>
      <c r="J97">
        <v>0</v>
      </c>
      <c r="K97">
        <v>0</v>
      </c>
      <c r="L97">
        <v>578.4</v>
      </c>
      <c r="M97">
        <v>57.84</v>
      </c>
      <c r="O97" s="79">
        <f>IFERROR(VLOOKUP(D97,'KAPANAN BLD.'!$C$2:$D$793,2,FALSE),0)</f>
        <v>0</v>
      </c>
      <c r="P97" s="79">
        <v>0</v>
      </c>
    </row>
    <row r="98" spans="1:16" x14ac:dyDescent="0.25">
      <c r="A98" t="s">
        <v>32</v>
      </c>
      <c r="B98" s="73" t="str">
        <f t="shared" si="1"/>
        <v>DİNAR</v>
      </c>
      <c r="C98" t="s">
        <v>2143</v>
      </c>
      <c r="D98" s="73" t="str">
        <f t="shared" si="2"/>
        <v>DİNAR/AFYONKARAHİSAR</v>
      </c>
      <c r="E98" s="9" t="s">
        <v>348</v>
      </c>
      <c r="F98" s="9" t="s">
        <v>348</v>
      </c>
      <c r="G98" t="s">
        <v>3367</v>
      </c>
      <c r="H98">
        <v>476.9</v>
      </c>
      <c r="I98">
        <v>47.69</v>
      </c>
      <c r="J98">
        <v>0</v>
      </c>
      <c r="K98">
        <v>0</v>
      </c>
      <c r="L98">
        <v>476.9</v>
      </c>
      <c r="M98">
        <v>47.69</v>
      </c>
      <c r="O98" s="79">
        <f>IFERROR(VLOOKUP(D98,'KAPANAN BLD.'!$C$2:$D$793,2,FALSE),0)</f>
        <v>0</v>
      </c>
      <c r="P98" s="79">
        <v>0</v>
      </c>
    </row>
    <row r="99" spans="1:16" x14ac:dyDescent="0.25">
      <c r="A99" t="s">
        <v>32</v>
      </c>
      <c r="B99" s="73" t="str">
        <f t="shared" si="1"/>
        <v>DİNAR</v>
      </c>
      <c r="C99" t="s">
        <v>2143</v>
      </c>
      <c r="D99" s="73" t="str">
        <f t="shared" si="2"/>
        <v>DİNAR/AFYONKARAHİSAR</v>
      </c>
      <c r="E99" s="9" t="s">
        <v>348</v>
      </c>
      <c r="F99" s="9" t="s">
        <v>348</v>
      </c>
      <c r="G99" t="s">
        <v>3366</v>
      </c>
      <c r="H99">
        <v>389.8</v>
      </c>
      <c r="I99">
        <v>38.979999999999997</v>
      </c>
      <c r="J99">
        <v>0</v>
      </c>
      <c r="K99">
        <v>0</v>
      </c>
      <c r="L99">
        <v>389.8</v>
      </c>
      <c r="M99">
        <v>38.979999999999997</v>
      </c>
      <c r="O99" s="79">
        <f>IFERROR(VLOOKUP(D99,'KAPANAN BLD.'!$C$2:$D$793,2,FALSE),0)</f>
        <v>0</v>
      </c>
      <c r="P99" s="79">
        <v>0</v>
      </c>
    </row>
    <row r="100" spans="1:16" x14ac:dyDescent="0.25">
      <c r="A100" t="s">
        <v>32</v>
      </c>
      <c r="B100" s="73" t="str">
        <f t="shared" si="1"/>
        <v>DAZKIRI</v>
      </c>
      <c r="C100" t="s">
        <v>2143</v>
      </c>
      <c r="D100" s="73" t="str">
        <f t="shared" si="2"/>
        <v>DAZKIRI/AFYONKARAHİSAR</v>
      </c>
      <c r="E100" t="s">
        <v>266</v>
      </c>
      <c r="F100" t="s">
        <v>266</v>
      </c>
      <c r="G100" t="s">
        <v>3366</v>
      </c>
      <c r="H100">
        <v>2049.3000000000002</v>
      </c>
      <c r="I100">
        <v>204.93</v>
      </c>
      <c r="J100">
        <v>0</v>
      </c>
      <c r="K100">
        <v>0</v>
      </c>
      <c r="L100">
        <v>2049.3000000000002</v>
      </c>
      <c r="M100">
        <v>204.93</v>
      </c>
      <c r="O100" s="79">
        <f>IFERROR(VLOOKUP(D100,'KAPANAN BLD.'!$C$2:$D$793,2,FALSE),0)</f>
        <v>0</v>
      </c>
      <c r="P100" s="79">
        <v>0</v>
      </c>
    </row>
    <row r="101" spans="1:16" x14ac:dyDescent="0.25">
      <c r="A101" t="s">
        <v>32</v>
      </c>
      <c r="B101" s="73" t="str">
        <f t="shared" si="1"/>
        <v>DAZKIRI</v>
      </c>
      <c r="C101" t="s">
        <v>2143</v>
      </c>
      <c r="D101" s="73" t="str">
        <f t="shared" si="2"/>
        <v>DAZKIRI/AFYONKARAHİSAR</v>
      </c>
      <c r="E101" t="s">
        <v>266</v>
      </c>
      <c r="F101" t="s">
        <v>266</v>
      </c>
      <c r="G101" t="s">
        <v>3367</v>
      </c>
      <c r="H101">
        <v>0.2</v>
      </c>
      <c r="I101">
        <v>0.02</v>
      </c>
      <c r="J101">
        <v>0</v>
      </c>
      <c r="K101">
        <v>0</v>
      </c>
      <c r="L101">
        <v>0.2</v>
      </c>
      <c r="M101">
        <v>0.02</v>
      </c>
      <c r="O101" s="79">
        <f>IFERROR(VLOOKUP(D101,'KAPANAN BLD.'!$C$2:$D$793,2,FALSE),0)</f>
        <v>0</v>
      </c>
      <c r="P101" s="79">
        <v>0</v>
      </c>
    </row>
    <row r="102" spans="1:16" x14ac:dyDescent="0.25">
      <c r="A102" t="s">
        <v>32</v>
      </c>
      <c r="B102" s="73" t="str">
        <f t="shared" si="1"/>
        <v>MERKEZ</v>
      </c>
      <c r="C102" t="s">
        <v>2143</v>
      </c>
      <c r="D102" s="73" t="str">
        <f t="shared" si="2"/>
        <v>MERKEZ/AFYONKARAHİSAR</v>
      </c>
      <c r="E102" s="9" t="s">
        <v>34</v>
      </c>
      <c r="F102" s="9" t="s">
        <v>34</v>
      </c>
      <c r="G102" t="s">
        <v>3366</v>
      </c>
      <c r="H102">
        <v>920.1</v>
      </c>
      <c r="I102">
        <v>92.01</v>
      </c>
      <c r="J102">
        <v>0</v>
      </c>
      <c r="K102">
        <v>0</v>
      </c>
      <c r="L102">
        <v>920.1</v>
      </c>
      <c r="M102">
        <v>92.01</v>
      </c>
      <c r="O102" s="79">
        <f>IFERROR(VLOOKUP(D102,'KAPANAN BLD.'!$C$2:$D$793,2,FALSE),0)</f>
        <v>0</v>
      </c>
      <c r="P102" s="79">
        <v>0</v>
      </c>
    </row>
    <row r="103" spans="1:16" x14ac:dyDescent="0.25">
      <c r="A103" t="s">
        <v>32</v>
      </c>
      <c r="B103" s="73" t="str">
        <f t="shared" si="1"/>
        <v>MERKEZ</v>
      </c>
      <c r="C103" t="s">
        <v>2143</v>
      </c>
      <c r="D103" s="73" t="str">
        <f t="shared" si="2"/>
        <v>MERKEZ/AFYONKARAHİSAR</v>
      </c>
      <c r="E103" s="9" t="s">
        <v>34</v>
      </c>
      <c r="F103" s="9" t="s">
        <v>34</v>
      </c>
      <c r="G103" t="s">
        <v>3367</v>
      </c>
      <c r="H103">
        <v>366</v>
      </c>
      <c r="I103">
        <v>36.6</v>
      </c>
      <c r="J103">
        <v>0</v>
      </c>
      <c r="K103">
        <v>0</v>
      </c>
      <c r="L103">
        <v>366</v>
      </c>
      <c r="M103">
        <v>36.6</v>
      </c>
      <c r="O103" s="79">
        <f>IFERROR(VLOOKUP(D103,'KAPANAN BLD.'!$C$2:$D$793,2,FALSE),0)</f>
        <v>0</v>
      </c>
      <c r="P103" s="79">
        <v>0</v>
      </c>
    </row>
    <row r="104" spans="1:16" x14ac:dyDescent="0.25">
      <c r="A104" t="s">
        <v>32</v>
      </c>
      <c r="B104" s="73" t="str">
        <f t="shared" si="1"/>
        <v>BOLVADİN</v>
      </c>
      <c r="C104" t="s">
        <v>2143</v>
      </c>
      <c r="D104" s="73" t="str">
        <f t="shared" si="2"/>
        <v>BOLVADİN/AFYONKARAHİSAR</v>
      </c>
      <c r="E104" s="9" t="s">
        <v>347</v>
      </c>
      <c r="F104" s="9" t="s">
        <v>347</v>
      </c>
      <c r="G104" t="s">
        <v>3367</v>
      </c>
      <c r="H104">
        <v>22.3</v>
      </c>
      <c r="I104">
        <v>2.23</v>
      </c>
      <c r="J104">
        <v>0</v>
      </c>
      <c r="K104">
        <v>0</v>
      </c>
      <c r="L104">
        <v>22.3</v>
      </c>
      <c r="M104">
        <v>2.23</v>
      </c>
      <c r="O104" s="79">
        <f>IFERROR(VLOOKUP(D104,'KAPANAN BLD.'!$C$2:$D$793,2,FALSE),0)</f>
        <v>0</v>
      </c>
      <c r="P104" s="79">
        <v>0</v>
      </c>
    </row>
    <row r="105" spans="1:16" x14ac:dyDescent="0.25">
      <c r="A105" t="s">
        <v>32</v>
      </c>
      <c r="B105" s="73" t="str">
        <f t="shared" si="1"/>
        <v>BOLVADİN</v>
      </c>
      <c r="C105" t="s">
        <v>2143</v>
      </c>
      <c r="D105" s="73" t="str">
        <f t="shared" si="2"/>
        <v>BOLVADİN/AFYONKARAHİSAR</v>
      </c>
      <c r="E105" s="9" t="s">
        <v>347</v>
      </c>
      <c r="F105" s="9" t="s">
        <v>347</v>
      </c>
      <c r="G105" t="s">
        <v>3366</v>
      </c>
      <c r="H105">
        <v>7.7</v>
      </c>
      <c r="I105">
        <v>0.77</v>
      </c>
      <c r="J105">
        <v>0</v>
      </c>
      <c r="K105">
        <v>0</v>
      </c>
      <c r="L105">
        <v>7.7</v>
      </c>
      <c r="M105">
        <v>0.77</v>
      </c>
      <c r="O105" s="79">
        <f>IFERROR(VLOOKUP(D105,'KAPANAN BLD.'!$C$2:$D$793,2,FALSE),0)</f>
        <v>0</v>
      </c>
      <c r="P105" s="79">
        <v>0</v>
      </c>
    </row>
    <row r="106" spans="1:16" x14ac:dyDescent="0.25">
      <c r="A106" t="s">
        <v>32</v>
      </c>
      <c r="B106" s="73" t="str">
        <f t="shared" si="1"/>
        <v>İHSANİYE</v>
      </c>
      <c r="C106" t="s">
        <v>2143</v>
      </c>
      <c r="D106" s="73" t="str">
        <f t="shared" si="2"/>
        <v>İHSANİYE/AFYONKARAHİSAR</v>
      </c>
      <c r="E106" s="9" t="s">
        <v>501</v>
      </c>
      <c r="F106" s="9" t="s">
        <v>501</v>
      </c>
      <c r="G106" t="s">
        <v>3367</v>
      </c>
      <c r="H106">
        <v>0.1</v>
      </c>
      <c r="I106">
        <v>0.01</v>
      </c>
      <c r="J106">
        <v>0</v>
      </c>
      <c r="K106">
        <v>0</v>
      </c>
      <c r="L106">
        <v>0.1</v>
      </c>
      <c r="M106">
        <v>0.01</v>
      </c>
      <c r="O106" s="79">
        <f>IFERROR(VLOOKUP(D106,'KAPANAN BLD.'!$C$2:$D$793,2,FALSE),0)</f>
        <v>0</v>
      </c>
      <c r="P106" s="79">
        <v>0</v>
      </c>
    </row>
    <row r="107" spans="1:16" x14ac:dyDescent="0.25">
      <c r="A107" t="s">
        <v>32</v>
      </c>
      <c r="B107" s="73" t="str">
        <f t="shared" si="1"/>
        <v>İHSANİYE</v>
      </c>
      <c r="C107" t="s">
        <v>2143</v>
      </c>
      <c r="D107" s="73" t="str">
        <f t="shared" si="2"/>
        <v>İHSANİYE/AFYONKARAHİSAR</v>
      </c>
      <c r="E107" s="9" t="s">
        <v>501</v>
      </c>
      <c r="F107" s="9" t="s">
        <v>501</v>
      </c>
      <c r="G107" t="s">
        <v>3366</v>
      </c>
      <c r="H107">
        <v>1335.8</v>
      </c>
      <c r="I107">
        <v>133.58000000000001</v>
      </c>
      <c r="J107">
        <v>0</v>
      </c>
      <c r="K107">
        <v>0</v>
      </c>
      <c r="L107">
        <v>1335.8</v>
      </c>
      <c r="M107">
        <v>133.58000000000001</v>
      </c>
      <c r="O107" s="79">
        <f>IFERROR(VLOOKUP(D107,'KAPANAN BLD.'!$C$2:$D$793,2,FALSE),0)</f>
        <v>0</v>
      </c>
      <c r="P107" s="79">
        <v>0</v>
      </c>
    </row>
    <row r="108" spans="1:16" x14ac:dyDescent="0.25">
      <c r="A108" t="s">
        <v>32</v>
      </c>
      <c r="B108" s="73" t="str">
        <f t="shared" si="1"/>
        <v>SİNANPAŞA</v>
      </c>
      <c r="C108" t="s">
        <v>2143</v>
      </c>
      <c r="D108" s="73" t="str">
        <f t="shared" si="2"/>
        <v>SİNANPAŞA/AFYONKARAHİSAR</v>
      </c>
      <c r="E108" s="9" t="s">
        <v>2305</v>
      </c>
      <c r="F108" s="9" t="s">
        <v>2305</v>
      </c>
      <c r="G108" t="s">
        <v>3367</v>
      </c>
      <c r="H108">
        <v>227.3</v>
      </c>
      <c r="I108">
        <v>22.73</v>
      </c>
      <c r="J108">
        <v>0</v>
      </c>
      <c r="K108">
        <v>0</v>
      </c>
      <c r="L108">
        <v>227.3</v>
      </c>
      <c r="M108">
        <v>22.73</v>
      </c>
      <c r="O108" s="79">
        <f>IFERROR(VLOOKUP(D108,'KAPANAN BLD.'!$C$2:$D$793,2,FALSE),0)</f>
        <v>0</v>
      </c>
      <c r="P108" s="79">
        <v>0</v>
      </c>
    </row>
    <row r="109" spans="1:16" x14ac:dyDescent="0.25">
      <c r="A109" t="s">
        <v>32</v>
      </c>
      <c r="B109" s="73" t="str">
        <f t="shared" ref="B109:B172" si="3">F109</f>
        <v>SİNANPAŞA</v>
      </c>
      <c r="C109" t="s">
        <v>2143</v>
      </c>
      <c r="D109" s="73" t="str">
        <f t="shared" si="2"/>
        <v>SİNANPAŞA/AFYONKARAHİSAR</v>
      </c>
      <c r="E109" s="9" t="s">
        <v>2305</v>
      </c>
      <c r="F109" s="9" t="s">
        <v>2305</v>
      </c>
      <c r="G109" t="s">
        <v>3366</v>
      </c>
      <c r="H109">
        <v>178.5</v>
      </c>
      <c r="I109">
        <v>17.850000000000001</v>
      </c>
      <c r="J109">
        <v>0</v>
      </c>
      <c r="K109">
        <v>0</v>
      </c>
      <c r="L109">
        <v>178.5</v>
      </c>
      <c r="M109">
        <v>17.850000000000001</v>
      </c>
      <c r="O109" s="79">
        <f>IFERROR(VLOOKUP(D109,'KAPANAN BLD.'!$C$2:$D$793,2,FALSE),0)</f>
        <v>0</v>
      </c>
      <c r="P109" s="79">
        <v>0</v>
      </c>
    </row>
    <row r="110" spans="1:16" x14ac:dyDescent="0.25">
      <c r="A110" t="s">
        <v>32</v>
      </c>
      <c r="B110" s="73" t="str">
        <f t="shared" si="3"/>
        <v>EMİRDAĞ</v>
      </c>
      <c r="C110" t="s">
        <v>2143</v>
      </c>
      <c r="D110" s="73" t="str">
        <f t="shared" si="2"/>
        <v>EMİRDAĞ/AFYONKARAHİSAR</v>
      </c>
      <c r="E110" t="s">
        <v>292</v>
      </c>
      <c r="F110" t="s">
        <v>292</v>
      </c>
      <c r="G110" t="s">
        <v>3367</v>
      </c>
      <c r="H110">
        <v>137.30000000000001</v>
      </c>
      <c r="I110">
        <v>13.73</v>
      </c>
      <c r="J110">
        <v>0</v>
      </c>
      <c r="K110">
        <v>0</v>
      </c>
      <c r="L110">
        <v>137.30000000000001</v>
      </c>
      <c r="M110">
        <v>13.73</v>
      </c>
      <c r="O110" s="79">
        <f>IFERROR(VLOOKUP(D110,'KAPANAN BLD.'!$C$2:$D$793,2,FALSE),0)</f>
        <v>0</v>
      </c>
      <c r="P110" s="79">
        <v>0</v>
      </c>
    </row>
    <row r="111" spans="1:16" x14ac:dyDescent="0.25">
      <c r="A111" t="s">
        <v>32</v>
      </c>
      <c r="B111" s="73" t="str">
        <f t="shared" si="3"/>
        <v>EMİRDAĞ</v>
      </c>
      <c r="C111" t="s">
        <v>2143</v>
      </c>
      <c r="D111" s="73" t="str">
        <f t="shared" si="2"/>
        <v>EMİRDAĞ/AFYONKARAHİSAR</v>
      </c>
      <c r="E111" t="s">
        <v>292</v>
      </c>
      <c r="F111" t="s">
        <v>292</v>
      </c>
      <c r="G111" t="s">
        <v>3366</v>
      </c>
      <c r="H111">
        <v>52.3</v>
      </c>
      <c r="I111">
        <v>5.23</v>
      </c>
      <c r="J111">
        <v>0</v>
      </c>
      <c r="K111">
        <v>0</v>
      </c>
      <c r="L111">
        <v>52.3</v>
      </c>
      <c r="M111">
        <v>5.23</v>
      </c>
      <c r="O111" s="79">
        <f>IFERROR(VLOOKUP(D111,'KAPANAN BLD.'!$C$2:$D$793,2,FALSE),0)</f>
        <v>0</v>
      </c>
      <c r="P111" s="79">
        <v>0</v>
      </c>
    </row>
    <row r="112" spans="1:16" x14ac:dyDescent="0.25">
      <c r="A112" t="s">
        <v>32</v>
      </c>
      <c r="B112" s="73" t="str">
        <f t="shared" si="3"/>
        <v>EMİRDAĞ</v>
      </c>
      <c r="C112" t="s">
        <v>2143</v>
      </c>
      <c r="D112" s="73" t="str">
        <f t="shared" si="2"/>
        <v>EMİRDAĞ/AFYONKARAHİSAR</v>
      </c>
      <c r="E112" t="s">
        <v>292</v>
      </c>
      <c r="F112" t="s">
        <v>292</v>
      </c>
      <c r="G112" t="s">
        <v>3367</v>
      </c>
      <c r="H112">
        <v>0</v>
      </c>
      <c r="I112">
        <v>0</v>
      </c>
      <c r="J112">
        <v>23.3</v>
      </c>
      <c r="K112">
        <v>2.33</v>
      </c>
      <c r="L112">
        <v>-23.3</v>
      </c>
      <c r="M112">
        <v>-2.33</v>
      </c>
      <c r="O112" s="79">
        <f>IFERROR(VLOOKUP(D112,'KAPANAN BLD.'!$C$2:$D$793,2,FALSE),0)</f>
        <v>0</v>
      </c>
      <c r="P112" s="79">
        <v>0</v>
      </c>
    </row>
    <row r="113" spans="1:16" x14ac:dyDescent="0.25">
      <c r="A113" t="s">
        <v>32</v>
      </c>
      <c r="B113" s="73" t="str">
        <f t="shared" si="3"/>
        <v>EMİRDAĞ</v>
      </c>
      <c r="C113" t="s">
        <v>2143</v>
      </c>
      <c r="D113" s="73" t="str">
        <f t="shared" si="2"/>
        <v>EMİRDAĞ/AFYONKARAHİSAR</v>
      </c>
      <c r="E113" t="s">
        <v>292</v>
      </c>
      <c r="F113" t="s">
        <v>292</v>
      </c>
      <c r="G113" t="s">
        <v>3366</v>
      </c>
      <c r="H113">
        <v>11.5</v>
      </c>
      <c r="I113">
        <v>1.1499999999999999</v>
      </c>
      <c r="J113">
        <v>0</v>
      </c>
      <c r="K113">
        <v>0</v>
      </c>
      <c r="L113">
        <v>11.5</v>
      </c>
      <c r="M113">
        <v>1.1499999999999999</v>
      </c>
      <c r="O113" s="79">
        <f>IFERROR(VLOOKUP(D113,'KAPANAN BLD.'!$C$2:$D$793,2,FALSE),0)</f>
        <v>0</v>
      </c>
      <c r="P113" s="79">
        <v>0</v>
      </c>
    </row>
    <row r="114" spans="1:16" x14ac:dyDescent="0.25">
      <c r="A114" t="s">
        <v>32</v>
      </c>
      <c r="B114" s="73" t="str">
        <f t="shared" si="3"/>
        <v>EMİRDAĞ</v>
      </c>
      <c r="C114" t="s">
        <v>2143</v>
      </c>
      <c r="D114" s="73" t="str">
        <f t="shared" si="2"/>
        <v>EMİRDAĞ/AFYONKARAHİSAR</v>
      </c>
      <c r="E114" t="s">
        <v>292</v>
      </c>
      <c r="F114" t="s">
        <v>292</v>
      </c>
      <c r="G114" t="s">
        <v>3367</v>
      </c>
      <c r="H114">
        <v>84.5</v>
      </c>
      <c r="I114">
        <v>8.4499999999999993</v>
      </c>
      <c r="J114">
        <v>0</v>
      </c>
      <c r="K114">
        <v>0</v>
      </c>
      <c r="L114">
        <v>84.5</v>
      </c>
      <c r="M114">
        <v>8.4499999999999993</v>
      </c>
      <c r="O114" s="79">
        <f>IFERROR(VLOOKUP(D114,'KAPANAN BLD.'!$C$2:$D$793,2,FALSE),0)</f>
        <v>0</v>
      </c>
      <c r="P114" s="79">
        <v>0</v>
      </c>
    </row>
    <row r="115" spans="1:16" x14ac:dyDescent="0.25">
      <c r="A115" t="s">
        <v>32</v>
      </c>
      <c r="B115" s="73" t="str">
        <f t="shared" si="3"/>
        <v>MERKEZ</v>
      </c>
      <c r="C115" t="s">
        <v>2143</v>
      </c>
      <c r="D115" s="73" t="str">
        <f t="shared" si="2"/>
        <v>MERKEZ/AFYONKARAHİSAR</v>
      </c>
      <c r="E115" s="9" t="s">
        <v>34</v>
      </c>
      <c r="F115" s="9" t="s">
        <v>34</v>
      </c>
      <c r="G115" t="s">
        <v>3367</v>
      </c>
      <c r="H115">
        <v>3547</v>
      </c>
      <c r="I115">
        <v>354.7</v>
      </c>
      <c r="J115">
        <v>74.599999999999994</v>
      </c>
      <c r="K115">
        <v>7.46</v>
      </c>
      <c r="L115">
        <v>3472.4</v>
      </c>
      <c r="M115">
        <v>347.24</v>
      </c>
      <c r="O115" s="79">
        <f>IFERROR(VLOOKUP(D115,'KAPANAN BLD.'!$C$2:$D$793,2,FALSE),0)</f>
        <v>0</v>
      </c>
      <c r="P115" s="79">
        <v>0</v>
      </c>
    </row>
    <row r="116" spans="1:16" x14ac:dyDescent="0.25">
      <c r="A116" t="s">
        <v>32</v>
      </c>
      <c r="B116" s="73" t="str">
        <f t="shared" si="3"/>
        <v>MERKEZ</v>
      </c>
      <c r="C116" t="s">
        <v>2143</v>
      </c>
      <c r="D116" s="73" t="str">
        <f t="shared" si="2"/>
        <v>MERKEZ/AFYONKARAHİSAR</v>
      </c>
      <c r="E116" s="9" t="s">
        <v>34</v>
      </c>
      <c r="F116" s="9" t="s">
        <v>34</v>
      </c>
      <c r="G116" t="s">
        <v>3366</v>
      </c>
      <c r="H116">
        <v>3249.1</v>
      </c>
      <c r="I116">
        <v>324.91000000000003</v>
      </c>
      <c r="J116">
        <v>0</v>
      </c>
      <c r="K116">
        <v>0</v>
      </c>
      <c r="L116">
        <v>3249.1</v>
      </c>
      <c r="M116">
        <v>324.91000000000003</v>
      </c>
      <c r="O116" s="79">
        <f>IFERROR(VLOOKUP(D116,'KAPANAN BLD.'!$C$2:$D$793,2,FALSE),0)</f>
        <v>0</v>
      </c>
      <c r="P116" s="79">
        <v>0</v>
      </c>
    </row>
    <row r="117" spans="1:16" x14ac:dyDescent="0.25">
      <c r="A117" t="s">
        <v>32</v>
      </c>
      <c r="B117" s="73" t="str">
        <f t="shared" si="3"/>
        <v>MERKEZ</v>
      </c>
      <c r="C117" t="s">
        <v>2143</v>
      </c>
      <c r="D117" s="73" t="str">
        <f t="shared" si="2"/>
        <v>MERKEZ/AFYONKARAHİSAR</v>
      </c>
      <c r="E117" s="9" t="s">
        <v>34</v>
      </c>
      <c r="F117" s="9" t="s">
        <v>34</v>
      </c>
      <c r="G117" t="s">
        <v>3367</v>
      </c>
      <c r="H117">
        <v>948.9</v>
      </c>
      <c r="I117">
        <v>94.89</v>
      </c>
      <c r="J117">
        <v>0</v>
      </c>
      <c r="K117">
        <v>0</v>
      </c>
      <c r="L117">
        <v>948.9</v>
      </c>
      <c r="M117">
        <v>94.89</v>
      </c>
      <c r="O117" s="79">
        <f>IFERROR(VLOOKUP(D117,'KAPANAN BLD.'!$C$2:$D$793,2,FALSE),0)</f>
        <v>0</v>
      </c>
      <c r="P117" s="79">
        <v>0</v>
      </c>
    </row>
    <row r="118" spans="1:16" x14ac:dyDescent="0.25">
      <c r="A118" t="s">
        <v>32</v>
      </c>
      <c r="B118" s="73" t="str">
        <f t="shared" si="3"/>
        <v>MERKEZ</v>
      </c>
      <c r="C118" t="s">
        <v>2143</v>
      </c>
      <c r="D118" s="73" t="str">
        <f t="shared" si="2"/>
        <v>MERKEZ/AFYONKARAHİSAR</v>
      </c>
      <c r="E118" s="9" t="s">
        <v>34</v>
      </c>
      <c r="F118" s="9" t="s">
        <v>34</v>
      </c>
      <c r="G118" t="s">
        <v>3366</v>
      </c>
      <c r="H118">
        <v>11596.6</v>
      </c>
      <c r="I118">
        <v>1159.6600000000001</v>
      </c>
      <c r="J118">
        <v>0</v>
      </c>
      <c r="K118">
        <v>0</v>
      </c>
      <c r="L118">
        <v>11596.6</v>
      </c>
      <c r="M118">
        <v>1159.6600000000001</v>
      </c>
      <c r="O118" s="79">
        <f>IFERROR(VLOOKUP(D118,'KAPANAN BLD.'!$C$2:$D$793,2,FALSE),0)</f>
        <v>0</v>
      </c>
      <c r="P118" s="79">
        <v>0</v>
      </c>
    </row>
    <row r="119" spans="1:16" x14ac:dyDescent="0.25">
      <c r="A119" t="s">
        <v>32</v>
      </c>
      <c r="B119" s="73" t="str">
        <f t="shared" si="3"/>
        <v>MERKEZ</v>
      </c>
      <c r="C119" t="s">
        <v>2143</v>
      </c>
      <c r="D119" s="73" t="str">
        <f t="shared" si="2"/>
        <v>MERKEZ/AFYONKARAHİSAR</v>
      </c>
      <c r="E119" s="9" t="s">
        <v>34</v>
      </c>
      <c r="F119" s="9" t="s">
        <v>34</v>
      </c>
      <c r="G119" t="s">
        <v>3366</v>
      </c>
      <c r="H119">
        <v>196.8</v>
      </c>
      <c r="I119">
        <v>19.68</v>
      </c>
      <c r="J119">
        <v>0</v>
      </c>
      <c r="K119">
        <v>0</v>
      </c>
      <c r="L119">
        <v>196.8</v>
      </c>
      <c r="M119">
        <v>19.68</v>
      </c>
      <c r="O119" s="79">
        <f>IFERROR(VLOOKUP(D119,'KAPANAN BLD.'!$C$2:$D$793,2,FALSE),0)</f>
        <v>0</v>
      </c>
      <c r="P119" s="79">
        <v>0</v>
      </c>
    </row>
    <row r="120" spans="1:16" x14ac:dyDescent="0.25">
      <c r="A120" t="s">
        <v>32</v>
      </c>
      <c r="B120" s="73" t="str">
        <f t="shared" si="3"/>
        <v>MERKEZ</v>
      </c>
      <c r="C120" t="s">
        <v>2143</v>
      </c>
      <c r="D120" s="73" t="str">
        <f t="shared" si="2"/>
        <v>MERKEZ/AFYONKARAHİSAR</v>
      </c>
      <c r="E120" s="9" t="s">
        <v>34</v>
      </c>
      <c r="F120" s="9" t="s">
        <v>34</v>
      </c>
      <c r="G120" t="s">
        <v>3367</v>
      </c>
      <c r="H120">
        <v>71.3</v>
      </c>
      <c r="I120">
        <v>7.13</v>
      </c>
      <c r="J120">
        <v>60.5</v>
      </c>
      <c r="K120">
        <v>6.05</v>
      </c>
      <c r="L120">
        <v>10.8</v>
      </c>
      <c r="M120">
        <v>1.08</v>
      </c>
      <c r="O120" s="79">
        <f>IFERROR(VLOOKUP(D120,'KAPANAN BLD.'!$C$2:$D$793,2,FALSE),0)</f>
        <v>0</v>
      </c>
      <c r="P120" s="79">
        <v>0</v>
      </c>
    </row>
    <row r="121" spans="1:16" x14ac:dyDescent="0.25">
      <c r="A121" t="s">
        <v>32</v>
      </c>
      <c r="B121" s="73" t="str">
        <f t="shared" si="3"/>
        <v>EMİRDAĞ</v>
      </c>
      <c r="C121" t="s">
        <v>2143</v>
      </c>
      <c r="D121" s="73" t="str">
        <f t="shared" si="2"/>
        <v>EMİRDAĞ/AFYONKARAHİSAR</v>
      </c>
      <c r="E121" s="9" t="s">
        <v>292</v>
      </c>
      <c r="F121" s="9" t="s">
        <v>292</v>
      </c>
      <c r="G121" t="s">
        <v>3367</v>
      </c>
      <c r="H121">
        <v>287</v>
      </c>
      <c r="I121">
        <v>28.7</v>
      </c>
      <c r="J121">
        <v>0</v>
      </c>
      <c r="K121">
        <v>0</v>
      </c>
      <c r="L121">
        <v>287</v>
      </c>
      <c r="M121">
        <v>28.7</v>
      </c>
      <c r="O121" s="79">
        <f>IFERROR(VLOOKUP(D121,'KAPANAN BLD.'!$C$2:$D$793,2,FALSE),0)</f>
        <v>0</v>
      </c>
      <c r="P121" s="79">
        <v>0</v>
      </c>
    </row>
    <row r="122" spans="1:16" x14ac:dyDescent="0.25">
      <c r="A122" t="s">
        <v>32</v>
      </c>
      <c r="B122" s="73" t="str">
        <f t="shared" si="3"/>
        <v>EMİRDAĞ</v>
      </c>
      <c r="C122" t="s">
        <v>2143</v>
      </c>
      <c r="D122" s="73" t="str">
        <f t="shared" si="2"/>
        <v>EMİRDAĞ/AFYONKARAHİSAR</v>
      </c>
      <c r="E122" s="9" t="s">
        <v>292</v>
      </c>
      <c r="F122" s="9" t="s">
        <v>292</v>
      </c>
      <c r="G122" t="s">
        <v>3366</v>
      </c>
      <c r="H122">
        <v>137.19999999999999</v>
      </c>
      <c r="I122">
        <v>13.72</v>
      </c>
      <c r="J122">
        <v>0</v>
      </c>
      <c r="K122">
        <v>0</v>
      </c>
      <c r="L122">
        <v>137.19999999999999</v>
      </c>
      <c r="M122">
        <v>13.72</v>
      </c>
      <c r="O122" s="79">
        <f>IFERROR(VLOOKUP(D122,'KAPANAN BLD.'!$C$2:$D$793,2,FALSE),0)</f>
        <v>0</v>
      </c>
      <c r="P122" s="79">
        <v>0</v>
      </c>
    </row>
    <row r="123" spans="1:16" x14ac:dyDescent="0.25">
      <c r="A123" t="s">
        <v>32</v>
      </c>
      <c r="B123" s="73" t="str">
        <f t="shared" si="3"/>
        <v>DİNAR</v>
      </c>
      <c r="C123" t="s">
        <v>2143</v>
      </c>
      <c r="D123" s="73" t="str">
        <f t="shared" si="2"/>
        <v>DİNAR/AFYONKARAHİSAR</v>
      </c>
      <c r="E123" s="9" t="s">
        <v>348</v>
      </c>
      <c r="F123" s="9" t="s">
        <v>348</v>
      </c>
      <c r="G123" t="s">
        <v>3366</v>
      </c>
      <c r="H123">
        <v>886.7</v>
      </c>
      <c r="I123">
        <v>88.67</v>
      </c>
      <c r="J123">
        <v>12.1</v>
      </c>
      <c r="K123">
        <v>1.21</v>
      </c>
      <c r="L123">
        <v>874.6</v>
      </c>
      <c r="M123">
        <v>87.46</v>
      </c>
      <c r="O123" s="79">
        <f>IFERROR(VLOOKUP(D123,'KAPANAN BLD.'!$C$2:$D$793,2,FALSE),0)</f>
        <v>0</v>
      </c>
      <c r="P123" s="79">
        <v>0</v>
      </c>
    </row>
    <row r="124" spans="1:16" x14ac:dyDescent="0.25">
      <c r="A124" t="s">
        <v>32</v>
      </c>
      <c r="B124" s="73" t="str">
        <f t="shared" si="3"/>
        <v>DİNAR</v>
      </c>
      <c r="C124" t="s">
        <v>2143</v>
      </c>
      <c r="D124" s="73" t="str">
        <f t="shared" si="2"/>
        <v>DİNAR/AFYONKARAHİSAR</v>
      </c>
      <c r="E124" s="9" t="s">
        <v>348</v>
      </c>
      <c r="F124" s="9" t="s">
        <v>348</v>
      </c>
      <c r="G124" t="s">
        <v>3367</v>
      </c>
      <c r="H124">
        <v>239.8</v>
      </c>
      <c r="I124">
        <v>23.98</v>
      </c>
      <c r="J124">
        <v>21.7</v>
      </c>
      <c r="K124">
        <v>2.17</v>
      </c>
      <c r="L124">
        <v>218.1</v>
      </c>
      <c r="M124">
        <v>21.81</v>
      </c>
      <c r="O124" s="79">
        <f>IFERROR(VLOOKUP(D124,'KAPANAN BLD.'!$C$2:$D$793,2,FALSE),0)</f>
        <v>0</v>
      </c>
      <c r="P124" s="79">
        <v>0</v>
      </c>
    </row>
    <row r="125" spans="1:16" x14ac:dyDescent="0.25">
      <c r="A125" t="s">
        <v>32</v>
      </c>
      <c r="B125" s="73" t="str">
        <f t="shared" si="3"/>
        <v>HOCALAR</v>
      </c>
      <c r="C125" t="s">
        <v>2143</v>
      </c>
      <c r="D125" s="73" t="str">
        <f t="shared" si="2"/>
        <v>HOCALAR/AFYONKARAHİSAR</v>
      </c>
      <c r="E125" t="s">
        <v>500</v>
      </c>
      <c r="F125" t="s">
        <v>500</v>
      </c>
      <c r="G125" t="s">
        <v>3366</v>
      </c>
      <c r="H125">
        <v>0</v>
      </c>
      <c r="I125">
        <v>0</v>
      </c>
      <c r="J125">
        <v>57.2</v>
      </c>
      <c r="K125">
        <v>5.72</v>
      </c>
      <c r="L125">
        <v>-57.2</v>
      </c>
      <c r="M125">
        <v>-5.72</v>
      </c>
      <c r="O125" s="79">
        <f>IFERROR(VLOOKUP(D125,'KAPANAN BLD.'!$C$2:$D$793,2,FALSE),0)</f>
        <v>0</v>
      </c>
      <c r="P125" s="79">
        <v>0</v>
      </c>
    </row>
    <row r="126" spans="1:16" x14ac:dyDescent="0.25">
      <c r="A126" t="s">
        <v>32</v>
      </c>
      <c r="B126" s="73" t="str">
        <f t="shared" si="3"/>
        <v>HOCALAR</v>
      </c>
      <c r="C126" t="s">
        <v>2143</v>
      </c>
      <c r="D126" s="73" t="str">
        <f t="shared" si="2"/>
        <v>HOCALAR/AFYONKARAHİSAR</v>
      </c>
      <c r="E126" t="s">
        <v>500</v>
      </c>
      <c r="F126" t="s">
        <v>500</v>
      </c>
      <c r="G126" t="s">
        <v>3367</v>
      </c>
      <c r="H126">
        <v>0</v>
      </c>
      <c r="I126">
        <v>0</v>
      </c>
      <c r="J126">
        <v>4.2</v>
      </c>
      <c r="K126">
        <v>0.42</v>
      </c>
      <c r="L126">
        <v>-4.2</v>
      </c>
      <c r="M126">
        <v>-0.42</v>
      </c>
      <c r="O126" s="79">
        <f>IFERROR(VLOOKUP(D126,'KAPANAN BLD.'!$C$2:$D$793,2,FALSE),0)</f>
        <v>0</v>
      </c>
      <c r="P126" s="79">
        <v>0</v>
      </c>
    </row>
    <row r="127" spans="1:16" x14ac:dyDescent="0.25">
      <c r="A127" t="s">
        <v>32</v>
      </c>
      <c r="B127" s="73" t="str">
        <f t="shared" si="3"/>
        <v>MERKEZ</v>
      </c>
      <c r="C127" t="s">
        <v>2143</v>
      </c>
      <c r="D127" s="73" t="str">
        <f t="shared" si="2"/>
        <v>MERKEZ/AFYONKARAHİSAR</v>
      </c>
      <c r="E127" s="9" t="s">
        <v>34</v>
      </c>
      <c r="F127" s="9" t="s">
        <v>34</v>
      </c>
      <c r="G127" t="s">
        <v>3366</v>
      </c>
      <c r="H127">
        <v>577.79999999999995</v>
      </c>
      <c r="I127">
        <v>57.78</v>
      </c>
      <c r="J127">
        <v>0</v>
      </c>
      <c r="K127">
        <v>0</v>
      </c>
      <c r="L127">
        <v>577.79999999999995</v>
      </c>
      <c r="M127">
        <v>57.78</v>
      </c>
      <c r="O127" s="79">
        <f>IFERROR(VLOOKUP(D127,'KAPANAN BLD.'!$C$2:$D$793,2,FALSE),0)</f>
        <v>0</v>
      </c>
      <c r="P127" s="79">
        <v>0</v>
      </c>
    </row>
    <row r="128" spans="1:16" x14ac:dyDescent="0.25">
      <c r="A128" t="s">
        <v>32</v>
      </c>
      <c r="B128" s="73" t="str">
        <f t="shared" si="3"/>
        <v>MERKEZ</v>
      </c>
      <c r="C128" t="s">
        <v>2143</v>
      </c>
      <c r="D128" s="73" t="str">
        <f t="shared" si="2"/>
        <v>MERKEZ/AFYONKARAHİSAR</v>
      </c>
      <c r="E128" s="9" t="s">
        <v>34</v>
      </c>
      <c r="F128" s="9" t="s">
        <v>34</v>
      </c>
      <c r="G128" t="s">
        <v>3367</v>
      </c>
      <c r="H128">
        <v>527.6</v>
      </c>
      <c r="I128">
        <v>52.76</v>
      </c>
      <c r="J128">
        <v>0</v>
      </c>
      <c r="K128">
        <v>0</v>
      </c>
      <c r="L128">
        <v>527.6</v>
      </c>
      <c r="M128">
        <v>52.76</v>
      </c>
      <c r="O128" s="79">
        <f>IFERROR(VLOOKUP(D128,'KAPANAN BLD.'!$C$2:$D$793,2,FALSE),0)</f>
        <v>0</v>
      </c>
      <c r="P128" s="79">
        <v>0</v>
      </c>
    </row>
    <row r="129" spans="1:16" x14ac:dyDescent="0.25">
      <c r="A129" t="s">
        <v>32</v>
      </c>
      <c r="B129" s="73" t="str">
        <f t="shared" si="3"/>
        <v>İSCEHİSAR</v>
      </c>
      <c r="C129" t="s">
        <v>2143</v>
      </c>
      <c r="D129" s="73" t="str">
        <f t="shared" si="2"/>
        <v>İSCEHİSAR/AFYONKARAHİSAR</v>
      </c>
      <c r="E129" t="s">
        <v>502</v>
      </c>
      <c r="F129" t="s">
        <v>502</v>
      </c>
      <c r="G129" t="s">
        <v>3366</v>
      </c>
      <c r="H129">
        <v>95.8</v>
      </c>
      <c r="I129">
        <v>9.58</v>
      </c>
      <c r="J129">
        <v>0</v>
      </c>
      <c r="K129">
        <v>0</v>
      </c>
      <c r="L129">
        <v>95.8</v>
      </c>
      <c r="M129">
        <v>9.58</v>
      </c>
      <c r="O129" s="79">
        <f>IFERROR(VLOOKUP(D129,'KAPANAN BLD.'!$C$2:$D$793,2,FALSE),0)</f>
        <v>0</v>
      </c>
      <c r="P129" s="79">
        <v>0</v>
      </c>
    </row>
    <row r="130" spans="1:16" x14ac:dyDescent="0.25">
      <c r="A130" t="s">
        <v>32</v>
      </c>
      <c r="B130" s="73" t="str">
        <f t="shared" si="3"/>
        <v>İSCEHİSAR</v>
      </c>
      <c r="C130" t="s">
        <v>2143</v>
      </c>
      <c r="D130" s="73" t="str">
        <f t="shared" si="2"/>
        <v>İSCEHİSAR/AFYONKARAHİSAR</v>
      </c>
      <c r="E130" t="s">
        <v>502</v>
      </c>
      <c r="F130" t="s">
        <v>502</v>
      </c>
      <c r="G130" t="s">
        <v>3367</v>
      </c>
      <c r="H130">
        <v>179.6</v>
      </c>
      <c r="I130">
        <v>17.96</v>
      </c>
      <c r="J130">
        <v>0</v>
      </c>
      <c r="K130">
        <v>0</v>
      </c>
      <c r="L130">
        <v>179.6</v>
      </c>
      <c r="M130">
        <v>17.96</v>
      </c>
      <c r="O130" s="79">
        <f>IFERROR(VLOOKUP(D130,'KAPANAN BLD.'!$C$2:$D$793,2,FALSE),0)</f>
        <v>0</v>
      </c>
      <c r="P130" s="79">
        <v>0</v>
      </c>
    </row>
    <row r="131" spans="1:16" x14ac:dyDescent="0.25">
      <c r="A131" t="s">
        <v>32</v>
      </c>
      <c r="B131" s="73" t="str">
        <f t="shared" si="3"/>
        <v>ŞUHUT</v>
      </c>
      <c r="C131" t="s">
        <v>2143</v>
      </c>
      <c r="D131" s="73" t="str">
        <f t="shared" ref="D131:D194" si="4">CONCATENATE(B131,"/",C131)</f>
        <v>ŞUHUT/AFYONKARAHİSAR</v>
      </c>
      <c r="E131" s="9" t="s">
        <v>2260</v>
      </c>
      <c r="F131" s="9" t="s">
        <v>2260</v>
      </c>
      <c r="G131" t="s">
        <v>3367</v>
      </c>
      <c r="H131">
        <v>118.1</v>
      </c>
      <c r="I131">
        <v>11.81</v>
      </c>
      <c r="J131">
        <v>0</v>
      </c>
      <c r="K131">
        <v>0</v>
      </c>
      <c r="L131">
        <v>118.1</v>
      </c>
      <c r="M131">
        <v>11.81</v>
      </c>
      <c r="O131" s="79">
        <f>IFERROR(VLOOKUP(D131,'KAPANAN BLD.'!$C$2:$D$793,2,FALSE),0)</f>
        <v>0</v>
      </c>
      <c r="P131" s="79">
        <v>0</v>
      </c>
    </row>
    <row r="132" spans="1:16" x14ac:dyDescent="0.25">
      <c r="A132" t="s">
        <v>32</v>
      </c>
      <c r="B132" s="73" t="str">
        <f t="shared" si="3"/>
        <v>ŞUHUT</v>
      </c>
      <c r="C132" t="s">
        <v>2143</v>
      </c>
      <c r="D132" s="73" t="str">
        <f t="shared" si="4"/>
        <v>ŞUHUT/AFYONKARAHİSAR</v>
      </c>
      <c r="E132" s="9" t="s">
        <v>2260</v>
      </c>
      <c r="F132" s="9" t="s">
        <v>2260</v>
      </c>
      <c r="G132" t="s">
        <v>3367</v>
      </c>
      <c r="H132">
        <v>160</v>
      </c>
      <c r="I132">
        <v>16</v>
      </c>
      <c r="J132">
        <v>0</v>
      </c>
      <c r="K132">
        <v>0</v>
      </c>
      <c r="L132">
        <v>160</v>
      </c>
      <c r="M132">
        <v>16</v>
      </c>
      <c r="O132" s="79">
        <f>IFERROR(VLOOKUP(D132,'KAPANAN BLD.'!$C$2:$D$793,2,FALSE),0)</f>
        <v>0</v>
      </c>
      <c r="P132" s="79">
        <v>0</v>
      </c>
    </row>
    <row r="133" spans="1:16" x14ac:dyDescent="0.25">
      <c r="A133" t="s">
        <v>32</v>
      </c>
      <c r="B133" s="73" t="str">
        <f t="shared" si="3"/>
        <v>ŞUHUT</v>
      </c>
      <c r="C133" t="s">
        <v>2143</v>
      </c>
      <c r="D133" s="73" t="str">
        <f t="shared" si="4"/>
        <v>ŞUHUT/AFYONKARAHİSAR</v>
      </c>
      <c r="E133" s="9" t="s">
        <v>2260</v>
      </c>
      <c r="F133" s="9" t="s">
        <v>2260</v>
      </c>
      <c r="G133" t="s">
        <v>3366</v>
      </c>
      <c r="H133">
        <v>3.6</v>
      </c>
      <c r="I133">
        <v>0.36</v>
      </c>
      <c r="J133">
        <v>0</v>
      </c>
      <c r="K133">
        <v>0</v>
      </c>
      <c r="L133">
        <v>3.6</v>
      </c>
      <c r="M133">
        <v>0.36</v>
      </c>
      <c r="O133" s="79">
        <f>IFERROR(VLOOKUP(D133,'KAPANAN BLD.'!$C$2:$D$793,2,FALSE),0)</f>
        <v>0</v>
      </c>
      <c r="P133" s="79">
        <v>0</v>
      </c>
    </row>
    <row r="134" spans="1:16" x14ac:dyDescent="0.25">
      <c r="A134" t="s">
        <v>32</v>
      </c>
      <c r="B134" s="73" t="str">
        <f t="shared" si="3"/>
        <v>SANDIKLI</v>
      </c>
      <c r="C134" t="s">
        <v>2143</v>
      </c>
      <c r="D134" s="73" t="str">
        <f t="shared" si="4"/>
        <v>SANDIKLI/AFYONKARAHİSAR</v>
      </c>
      <c r="E134" s="9" t="s">
        <v>93</v>
      </c>
      <c r="F134" s="9" t="s">
        <v>93</v>
      </c>
      <c r="G134" t="s">
        <v>3367</v>
      </c>
      <c r="H134">
        <v>45</v>
      </c>
      <c r="I134">
        <v>4.5</v>
      </c>
      <c r="J134">
        <v>0</v>
      </c>
      <c r="K134">
        <v>0</v>
      </c>
      <c r="L134">
        <v>45</v>
      </c>
      <c r="M134">
        <v>4.5</v>
      </c>
      <c r="O134" s="79">
        <f>IFERROR(VLOOKUP(D134,'KAPANAN BLD.'!$C$2:$D$793,2,FALSE),0)</f>
        <v>0</v>
      </c>
      <c r="P134" s="79">
        <v>0</v>
      </c>
    </row>
    <row r="135" spans="1:16" x14ac:dyDescent="0.25">
      <c r="A135" t="s">
        <v>32</v>
      </c>
      <c r="B135" s="73" t="str">
        <f t="shared" si="3"/>
        <v>SANDIKLI</v>
      </c>
      <c r="C135" t="s">
        <v>2143</v>
      </c>
      <c r="D135" s="73" t="str">
        <f t="shared" si="4"/>
        <v>SANDIKLI/AFYONKARAHİSAR</v>
      </c>
      <c r="E135" s="9" t="s">
        <v>93</v>
      </c>
      <c r="F135" s="9" t="s">
        <v>93</v>
      </c>
      <c r="G135" t="s">
        <v>3366</v>
      </c>
      <c r="H135">
        <v>402.8</v>
      </c>
      <c r="I135">
        <v>40.28</v>
      </c>
      <c r="J135">
        <v>0</v>
      </c>
      <c r="K135">
        <v>0</v>
      </c>
      <c r="L135">
        <v>402.8</v>
      </c>
      <c r="M135">
        <v>40.28</v>
      </c>
      <c r="O135" s="79">
        <f>IFERROR(VLOOKUP(D135,'KAPANAN BLD.'!$C$2:$D$793,2,FALSE),0)</f>
        <v>0</v>
      </c>
      <c r="P135" s="79">
        <v>0</v>
      </c>
    </row>
    <row r="136" spans="1:16" x14ac:dyDescent="0.25">
      <c r="A136" t="s">
        <v>32</v>
      </c>
      <c r="B136" s="73" t="str">
        <f t="shared" si="3"/>
        <v xml:space="preserve">SİNANPAŞA </v>
      </c>
      <c r="C136" t="s">
        <v>2143</v>
      </c>
      <c r="D136" s="73" t="str">
        <f t="shared" si="4"/>
        <v>SİNANPAŞA /AFYONKARAHİSAR</v>
      </c>
      <c r="E136" s="9" t="s">
        <v>2721</v>
      </c>
      <c r="F136" s="9" t="s">
        <v>2721</v>
      </c>
      <c r="G136" t="s">
        <v>3367</v>
      </c>
      <c r="H136">
        <v>72.5</v>
      </c>
      <c r="I136">
        <v>7.25</v>
      </c>
      <c r="J136">
        <v>0</v>
      </c>
      <c r="K136">
        <v>0</v>
      </c>
      <c r="L136">
        <v>72.5</v>
      </c>
      <c r="M136">
        <v>7.25</v>
      </c>
      <c r="O136" s="79">
        <f>IFERROR(VLOOKUP(D136,'KAPANAN BLD.'!$C$2:$D$793,2,FALSE),0)</f>
        <v>0</v>
      </c>
      <c r="P136" s="79">
        <v>0</v>
      </c>
    </row>
    <row r="137" spans="1:16" x14ac:dyDescent="0.25">
      <c r="A137" t="s">
        <v>32</v>
      </c>
      <c r="B137" s="73" t="str">
        <f t="shared" si="3"/>
        <v xml:space="preserve">SİNANPAŞA </v>
      </c>
      <c r="C137" t="s">
        <v>2143</v>
      </c>
      <c r="D137" s="73" t="str">
        <f t="shared" si="4"/>
        <v>SİNANPAŞA /AFYONKARAHİSAR</v>
      </c>
      <c r="E137" s="9" t="s">
        <v>2721</v>
      </c>
      <c r="F137" s="9" t="s">
        <v>2721</v>
      </c>
      <c r="G137" t="s">
        <v>3366</v>
      </c>
      <c r="H137">
        <v>103.3</v>
      </c>
      <c r="I137">
        <v>10.33</v>
      </c>
      <c r="J137">
        <v>0</v>
      </c>
      <c r="K137">
        <v>0</v>
      </c>
      <c r="L137">
        <v>103.3</v>
      </c>
      <c r="M137">
        <v>10.33</v>
      </c>
      <c r="O137" s="79">
        <f>IFERROR(VLOOKUP(D137,'KAPANAN BLD.'!$C$2:$D$793,2,FALSE),0)</f>
        <v>0</v>
      </c>
      <c r="P137" s="79">
        <v>0</v>
      </c>
    </row>
    <row r="138" spans="1:16" x14ac:dyDescent="0.25">
      <c r="A138" t="s">
        <v>32</v>
      </c>
      <c r="B138" s="73" t="str">
        <f t="shared" si="3"/>
        <v>MERKEZ</v>
      </c>
      <c r="C138" t="s">
        <v>2143</v>
      </c>
      <c r="D138" s="73" t="str">
        <f t="shared" si="4"/>
        <v>MERKEZ/AFYONKARAHİSAR</v>
      </c>
      <c r="E138" t="s">
        <v>34</v>
      </c>
      <c r="F138" t="s">
        <v>34</v>
      </c>
      <c r="G138" t="s">
        <v>3366</v>
      </c>
      <c r="H138">
        <v>161.9</v>
      </c>
      <c r="I138">
        <v>16.190000000000001</v>
      </c>
      <c r="J138">
        <v>0</v>
      </c>
      <c r="K138">
        <v>0</v>
      </c>
      <c r="L138">
        <v>161.9</v>
      </c>
      <c r="M138">
        <v>16.190000000000001</v>
      </c>
      <c r="O138" s="79">
        <f>IFERROR(VLOOKUP(D138,'KAPANAN BLD.'!$C$2:$D$793,2,FALSE),0)</f>
        <v>0</v>
      </c>
      <c r="P138" s="79">
        <v>0</v>
      </c>
    </row>
    <row r="139" spans="1:16" x14ac:dyDescent="0.25">
      <c r="A139" t="s">
        <v>32</v>
      </c>
      <c r="B139" s="73" t="str">
        <f t="shared" si="3"/>
        <v>MERKEZ</v>
      </c>
      <c r="C139" t="s">
        <v>2143</v>
      </c>
      <c r="D139" s="73" t="str">
        <f t="shared" si="4"/>
        <v>MERKEZ/AFYONKARAHİSAR</v>
      </c>
      <c r="E139" t="s">
        <v>34</v>
      </c>
      <c r="F139" t="s">
        <v>34</v>
      </c>
      <c r="G139" t="s">
        <v>3367</v>
      </c>
      <c r="H139">
        <v>182.4</v>
      </c>
      <c r="I139">
        <v>18.239999999999998</v>
      </c>
      <c r="J139">
        <v>0</v>
      </c>
      <c r="K139">
        <v>0</v>
      </c>
      <c r="L139">
        <v>182.4</v>
      </c>
      <c r="M139">
        <v>18.239999999999998</v>
      </c>
      <c r="O139" s="79">
        <f>IFERROR(VLOOKUP(D139,'KAPANAN BLD.'!$C$2:$D$793,2,FALSE),0)</f>
        <v>0</v>
      </c>
      <c r="P139" s="79">
        <v>0</v>
      </c>
    </row>
    <row r="140" spans="1:16" x14ac:dyDescent="0.25">
      <c r="A140" t="s">
        <v>32</v>
      </c>
      <c r="B140" s="73" t="str">
        <f t="shared" si="3"/>
        <v>MERKEZ</v>
      </c>
      <c r="C140" t="s">
        <v>2143</v>
      </c>
      <c r="D140" s="73" t="str">
        <f t="shared" si="4"/>
        <v>MERKEZ/AFYONKARAHİSAR</v>
      </c>
      <c r="E140" t="s">
        <v>34</v>
      </c>
      <c r="F140" t="s">
        <v>34</v>
      </c>
      <c r="G140" t="s">
        <v>3366</v>
      </c>
      <c r="H140">
        <v>107.3</v>
      </c>
      <c r="I140">
        <v>10.73</v>
      </c>
      <c r="J140">
        <v>0</v>
      </c>
      <c r="K140">
        <v>0</v>
      </c>
      <c r="L140">
        <v>107.3</v>
      </c>
      <c r="M140">
        <v>10.73</v>
      </c>
      <c r="O140" s="79">
        <f>IFERROR(VLOOKUP(D140,'KAPANAN BLD.'!$C$2:$D$793,2,FALSE),0)</f>
        <v>0</v>
      </c>
      <c r="P140" s="79">
        <v>0</v>
      </c>
    </row>
    <row r="141" spans="1:16" x14ac:dyDescent="0.25">
      <c r="A141" t="s">
        <v>32</v>
      </c>
      <c r="B141" s="73" t="str">
        <f t="shared" si="3"/>
        <v>MERKEZ</v>
      </c>
      <c r="C141" t="s">
        <v>2143</v>
      </c>
      <c r="D141" s="73" t="str">
        <f t="shared" si="4"/>
        <v>MERKEZ/AFYONKARAHİSAR</v>
      </c>
      <c r="E141" t="s">
        <v>34</v>
      </c>
      <c r="F141" t="s">
        <v>34</v>
      </c>
      <c r="G141" t="s">
        <v>3367</v>
      </c>
      <c r="H141">
        <v>1208.7</v>
      </c>
      <c r="I141">
        <v>120.87</v>
      </c>
      <c r="J141">
        <v>38</v>
      </c>
      <c r="K141">
        <v>3.8</v>
      </c>
      <c r="L141">
        <v>1170.7</v>
      </c>
      <c r="M141">
        <v>117.07</v>
      </c>
      <c r="O141" s="79">
        <f>IFERROR(VLOOKUP(D141,'KAPANAN BLD.'!$C$2:$D$793,2,FALSE),0)</f>
        <v>0</v>
      </c>
      <c r="P141" s="79">
        <v>0</v>
      </c>
    </row>
    <row r="142" spans="1:16" x14ac:dyDescent="0.25">
      <c r="A142" t="s">
        <v>32</v>
      </c>
      <c r="B142" s="73" t="str">
        <f t="shared" si="3"/>
        <v>MERKEZ</v>
      </c>
      <c r="C142" t="s">
        <v>2143</v>
      </c>
      <c r="D142" s="73" t="str">
        <f t="shared" si="4"/>
        <v>MERKEZ/AFYONKARAHİSAR</v>
      </c>
      <c r="E142" s="9" t="s">
        <v>34</v>
      </c>
      <c r="F142" s="9" t="s">
        <v>34</v>
      </c>
      <c r="G142" t="s">
        <v>3367</v>
      </c>
      <c r="H142">
        <v>216.6</v>
      </c>
      <c r="I142">
        <v>21.66</v>
      </c>
      <c r="J142">
        <v>0</v>
      </c>
      <c r="K142">
        <v>0</v>
      </c>
      <c r="L142">
        <v>216.6</v>
      </c>
      <c r="M142">
        <v>21.66</v>
      </c>
      <c r="O142" s="79">
        <f>IFERROR(VLOOKUP(D142,'KAPANAN BLD.'!$C$2:$D$793,2,FALSE),0)</f>
        <v>0</v>
      </c>
      <c r="P142" s="79">
        <v>0</v>
      </c>
    </row>
    <row r="143" spans="1:16" x14ac:dyDescent="0.25">
      <c r="A143" t="s">
        <v>32</v>
      </c>
      <c r="B143" s="73" t="str">
        <f t="shared" si="3"/>
        <v>MERKEZ</v>
      </c>
      <c r="C143" t="s">
        <v>2143</v>
      </c>
      <c r="D143" s="73" t="str">
        <f t="shared" si="4"/>
        <v>MERKEZ/AFYONKARAHİSAR</v>
      </c>
      <c r="E143" s="9" t="s">
        <v>34</v>
      </c>
      <c r="F143" s="9" t="s">
        <v>34</v>
      </c>
      <c r="G143" t="s">
        <v>3366</v>
      </c>
      <c r="H143">
        <v>1361.3</v>
      </c>
      <c r="I143">
        <v>136.13</v>
      </c>
      <c r="J143">
        <v>0</v>
      </c>
      <c r="K143">
        <v>0</v>
      </c>
      <c r="L143">
        <v>1361.3</v>
      </c>
      <c r="M143">
        <v>136.13</v>
      </c>
      <c r="O143" s="79">
        <f>IFERROR(VLOOKUP(D143,'KAPANAN BLD.'!$C$2:$D$793,2,FALSE),0)</f>
        <v>0</v>
      </c>
      <c r="P143" s="79">
        <v>0</v>
      </c>
    </row>
    <row r="144" spans="1:16" x14ac:dyDescent="0.25">
      <c r="A144" t="s">
        <v>32</v>
      </c>
      <c r="B144" s="73" t="str">
        <f t="shared" si="3"/>
        <v>BOLVADİN</v>
      </c>
      <c r="C144" t="s">
        <v>2143</v>
      </c>
      <c r="D144" s="73" t="str">
        <f t="shared" si="4"/>
        <v>BOLVADİN/AFYONKARAHİSAR</v>
      </c>
      <c r="E144" s="9" t="s">
        <v>347</v>
      </c>
      <c r="F144" s="9" t="s">
        <v>347</v>
      </c>
      <c r="G144" t="s">
        <v>3367</v>
      </c>
      <c r="H144">
        <v>57.1</v>
      </c>
      <c r="I144">
        <v>5.71</v>
      </c>
      <c r="J144">
        <v>0</v>
      </c>
      <c r="K144">
        <v>0</v>
      </c>
      <c r="L144">
        <v>57.1</v>
      </c>
      <c r="M144">
        <v>5.71</v>
      </c>
      <c r="O144" s="79">
        <f>IFERROR(VLOOKUP(D144,'KAPANAN BLD.'!$C$2:$D$793,2,FALSE),0)</f>
        <v>0</v>
      </c>
      <c r="P144" s="79">
        <v>0</v>
      </c>
    </row>
    <row r="145" spans="1:16" x14ac:dyDescent="0.25">
      <c r="A145" t="s">
        <v>32</v>
      </c>
      <c r="B145" s="73" t="str">
        <f t="shared" si="3"/>
        <v>MERKEZ</v>
      </c>
      <c r="C145" t="s">
        <v>2143</v>
      </c>
      <c r="D145" s="73" t="str">
        <f t="shared" si="4"/>
        <v>MERKEZ/AFYONKARAHİSAR</v>
      </c>
      <c r="E145" s="9" t="s">
        <v>34</v>
      </c>
      <c r="F145" s="9" t="s">
        <v>34</v>
      </c>
      <c r="G145" t="s">
        <v>3366</v>
      </c>
      <c r="H145">
        <v>4236.2</v>
      </c>
      <c r="I145">
        <v>423.62</v>
      </c>
      <c r="J145">
        <v>0</v>
      </c>
      <c r="K145">
        <v>0</v>
      </c>
      <c r="L145">
        <v>4236.2</v>
      </c>
      <c r="M145">
        <v>423.62</v>
      </c>
      <c r="O145" s="79">
        <f>IFERROR(VLOOKUP(D145,'KAPANAN BLD.'!$C$2:$D$793,2,FALSE),0)</f>
        <v>0</v>
      </c>
      <c r="P145" s="79">
        <v>0</v>
      </c>
    </row>
    <row r="146" spans="1:16" x14ac:dyDescent="0.25">
      <c r="A146" t="s">
        <v>32</v>
      </c>
      <c r="B146" s="73" t="str">
        <f t="shared" si="3"/>
        <v>MERKEZ</v>
      </c>
      <c r="C146" t="s">
        <v>2143</v>
      </c>
      <c r="D146" s="73" t="str">
        <f t="shared" si="4"/>
        <v>MERKEZ/AFYONKARAHİSAR</v>
      </c>
      <c r="E146" s="9" t="s">
        <v>34</v>
      </c>
      <c r="F146" s="9" t="s">
        <v>34</v>
      </c>
      <c r="G146" t="s">
        <v>3367</v>
      </c>
      <c r="H146">
        <v>1805.4</v>
      </c>
      <c r="I146">
        <v>180.54</v>
      </c>
      <c r="J146">
        <v>64.8</v>
      </c>
      <c r="K146">
        <v>6.48</v>
      </c>
      <c r="L146">
        <v>1740.6</v>
      </c>
      <c r="M146">
        <v>174.06</v>
      </c>
      <c r="O146" s="79">
        <f>IFERROR(VLOOKUP(D146,'KAPANAN BLD.'!$C$2:$D$793,2,FALSE),0)</f>
        <v>0</v>
      </c>
      <c r="P146" s="79">
        <v>0</v>
      </c>
    </row>
    <row r="147" spans="1:16" x14ac:dyDescent="0.25">
      <c r="A147" t="s">
        <v>32</v>
      </c>
      <c r="B147" s="73" t="str">
        <f t="shared" si="3"/>
        <v>SANDIKLI</v>
      </c>
      <c r="C147" t="s">
        <v>2143</v>
      </c>
      <c r="D147" s="73" t="str">
        <f t="shared" si="4"/>
        <v>SANDIKLI/AFYONKARAHİSAR</v>
      </c>
      <c r="E147" t="s">
        <v>93</v>
      </c>
      <c r="F147" t="s">
        <v>93</v>
      </c>
      <c r="G147" t="s">
        <v>3367</v>
      </c>
      <c r="H147">
        <v>157.4</v>
      </c>
      <c r="I147">
        <v>15.74</v>
      </c>
      <c r="J147">
        <v>0</v>
      </c>
      <c r="K147">
        <v>0</v>
      </c>
      <c r="L147">
        <v>157.4</v>
      </c>
      <c r="M147">
        <v>15.74</v>
      </c>
      <c r="O147" s="79">
        <f>IFERROR(VLOOKUP(D147,'KAPANAN BLD.'!$C$2:$D$793,2,FALSE),0)</f>
        <v>0</v>
      </c>
      <c r="P147" s="79">
        <v>0</v>
      </c>
    </row>
    <row r="148" spans="1:16" x14ac:dyDescent="0.25">
      <c r="A148" t="s">
        <v>32</v>
      </c>
      <c r="B148" s="73" t="str">
        <f t="shared" si="3"/>
        <v>SANDIKLI</v>
      </c>
      <c r="C148" t="s">
        <v>2143</v>
      </c>
      <c r="D148" s="73" t="str">
        <f t="shared" si="4"/>
        <v>SANDIKLI/AFYONKARAHİSAR</v>
      </c>
      <c r="E148" t="s">
        <v>93</v>
      </c>
      <c r="F148" t="s">
        <v>93</v>
      </c>
      <c r="G148" t="s">
        <v>3366</v>
      </c>
      <c r="H148">
        <v>86.2</v>
      </c>
      <c r="I148">
        <v>8.6199999999999992</v>
      </c>
      <c r="J148">
        <v>0</v>
      </c>
      <c r="K148">
        <v>0</v>
      </c>
      <c r="L148">
        <v>86.2</v>
      </c>
      <c r="M148">
        <v>8.6199999999999992</v>
      </c>
      <c r="O148" s="79">
        <f>IFERROR(VLOOKUP(D148,'KAPANAN BLD.'!$C$2:$D$793,2,FALSE),0)</f>
        <v>0</v>
      </c>
      <c r="P148" s="79">
        <v>0</v>
      </c>
    </row>
    <row r="149" spans="1:16" x14ac:dyDescent="0.25">
      <c r="A149" t="s">
        <v>32</v>
      </c>
      <c r="B149" s="73" t="str">
        <f t="shared" si="3"/>
        <v>SİNANPAŞA</v>
      </c>
      <c r="C149" t="s">
        <v>2143</v>
      </c>
      <c r="D149" s="73" t="str">
        <f t="shared" si="4"/>
        <v>SİNANPAŞA/AFYONKARAHİSAR</v>
      </c>
      <c r="E149" s="9" t="s">
        <v>2305</v>
      </c>
      <c r="F149" s="9" t="s">
        <v>2305</v>
      </c>
      <c r="G149" t="s">
        <v>3367</v>
      </c>
      <c r="H149">
        <v>5.4</v>
      </c>
      <c r="I149">
        <v>0.54</v>
      </c>
      <c r="J149">
        <v>0</v>
      </c>
      <c r="K149">
        <v>0</v>
      </c>
      <c r="L149">
        <v>5.4</v>
      </c>
      <c r="M149">
        <v>0.54</v>
      </c>
      <c r="O149" s="79">
        <f>IFERROR(VLOOKUP(D149,'KAPANAN BLD.'!$C$2:$D$793,2,FALSE),0)</f>
        <v>0</v>
      </c>
      <c r="P149" s="79">
        <v>0</v>
      </c>
    </row>
    <row r="150" spans="1:16" x14ac:dyDescent="0.25">
      <c r="A150" t="s">
        <v>32</v>
      </c>
      <c r="B150" s="73" t="str">
        <f t="shared" si="3"/>
        <v>SİNANPAŞA</v>
      </c>
      <c r="C150" t="s">
        <v>2143</v>
      </c>
      <c r="D150" s="73" t="str">
        <f t="shared" si="4"/>
        <v>SİNANPAŞA/AFYONKARAHİSAR</v>
      </c>
      <c r="E150" s="9" t="s">
        <v>2305</v>
      </c>
      <c r="F150" s="9" t="s">
        <v>2305</v>
      </c>
      <c r="G150" t="s">
        <v>3366</v>
      </c>
      <c r="H150">
        <v>103.3</v>
      </c>
      <c r="I150">
        <v>10.33</v>
      </c>
      <c r="J150">
        <v>0</v>
      </c>
      <c r="K150">
        <v>0</v>
      </c>
      <c r="L150">
        <v>103.3</v>
      </c>
      <c r="M150">
        <v>10.33</v>
      </c>
      <c r="O150" s="79">
        <f>IFERROR(VLOOKUP(D150,'KAPANAN BLD.'!$C$2:$D$793,2,FALSE),0)</f>
        <v>0</v>
      </c>
      <c r="P150" s="79">
        <v>0</v>
      </c>
    </row>
    <row r="151" spans="1:16" x14ac:dyDescent="0.25">
      <c r="A151" t="s">
        <v>32</v>
      </c>
      <c r="B151" s="73" t="str">
        <f t="shared" si="3"/>
        <v>MERKEZ</v>
      </c>
      <c r="C151" t="s">
        <v>2143</v>
      </c>
      <c r="D151" s="73" t="str">
        <f t="shared" si="4"/>
        <v>MERKEZ/AFYONKARAHİSAR</v>
      </c>
      <c r="E151" s="9" t="s">
        <v>34</v>
      </c>
      <c r="F151" s="9" t="s">
        <v>34</v>
      </c>
      <c r="G151" t="s">
        <v>3367</v>
      </c>
      <c r="H151">
        <v>1117.2</v>
      </c>
      <c r="I151">
        <v>111.72</v>
      </c>
      <c r="J151">
        <v>0</v>
      </c>
      <c r="K151">
        <v>0</v>
      </c>
      <c r="L151">
        <v>1117.2</v>
      </c>
      <c r="M151">
        <v>111.72</v>
      </c>
      <c r="O151" s="79">
        <f>IFERROR(VLOOKUP(D151,'KAPANAN BLD.'!$C$2:$D$793,2,FALSE),0)</f>
        <v>0</v>
      </c>
      <c r="P151" s="79">
        <v>0</v>
      </c>
    </row>
    <row r="152" spans="1:16" x14ac:dyDescent="0.25">
      <c r="A152" t="s">
        <v>32</v>
      </c>
      <c r="B152" s="73" t="str">
        <f t="shared" si="3"/>
        <v>MERKEZ</v>
      </c>
      <c r="C152" t="s">
        <v>2143</v>
      </c>
      <c r="D152" s="73" t="str">
        <f t="shared" si="4"/>
        <v>MERKEZ/AFYONKARAHİSAR</v>
      </c>
      <c r="E152" s="9" t="s">
        <v>34</v>
      </c>
      <c r="F152" s="9" t="s">
        <v>34</v>
      </c>
      <c r="G152" t="s">
        <v>3366</v>
      </c>
      <c r="H152">
        <v>960.4</v>
      </c>
      <c r="I152">
        <v>96.04</v>
      </c>
      <c r="J152">
        <v>0</v>
      </c>
      <c r="K152">
        <v>0</v>
      </c>
      <c r="L152">
        <v>960.4</v>
      </c>
      <c r="M152">
        <v>96.04</v>
      </c>
      <c r="O152" s="79">
        <f>IFERROR(VLOOKUP(D152,'KAPANAN BLD.'!$C$2:$D$793,2,FALSE),0)</f>
        <v>0</v>
      </c>
      <c r="P152" s="79">
        <v>0</v>
      </c>
    </row>
    <row r="153" spans="1:16" x14ac:dyDescent="0.25">
      <c r="A153" t="s">
        <v>32</v>
      </c>
      <c r="B153" s="73" t="str">
        <f t="shared" si="3"/>
        <v>MERKEZ</v>
      </c>
      <c r="C153" t="s">
        <v>2143</v>
      </c>
      <c r="D153" s="73" t="str">
        <f t="shared" si="4"/>
        <v>MERKEZ/AFYONKARAHİSAR</v>
      </c>
      <c r="E153" s="9" t="s">
        <v>34</v>
      </c>
      <c r="F153" s="9" t="s">
        <v>34</v>
      </c>
      <c r="G153" t="s">
        <v>3367</v>
      </c>
      <c r="H153">
        <v>768.2</v>
      </c>
      <c r="I153">
        <v>76.819999999999993</v>
      </c>
      <c r="J153">
        <v>5.4</v>
      </c>
      <c r="K153">
        <v>0.54</v>
      </c>
      <c r="L153">
        <v>762.8</v>
      </c>
      <c r="M153">
        <v>76.28</v>
      </c>
      <c r="O153" s="79">
        <f>IFERROR(VLOOKUP(D153,'KAPANAN BLD.'!$C$2:$D$793,2,FALSE),0)</f>
        <v>0</v>
      </c>
      <c r="P153" s="79">
        <v>0</v>
      </c>
    </row>
    <row r="154" spans="1:16" x14ac:dyDescent="0.25">
      <c r="A154" t="s">
        <v>32</v>
      </c>
      <c r="B154" s="73" t="str">
        <f t="shared" si="3"/>
        <v>MERKEZ</v>
      </c>
      <c r="C154" t="s">
        <v>2143</v>
      </c>
      <c r="D154" s="73" t="str">
        <f t="shared" si="4"/>
        <v>MERKEZ/AFYONKARAHİSAR</v>
      </c>
      <c r="E154" s="9" t="s">
        <v>34</v>
      </c>
      <c r="F154" s="9" t="s">
        <v>34</v>
      </c>
      <c r="G154" t="s">
        <v>3366</v>
      </c>
      <c r="H154">
        <v>436.6</v>
      </c>
      <c r="I154">
        <v>43.66</v>
      </c>
      <c r="J154">
        <v>103.3</v>
      </c>
      <c r="K154">
        <v>10.33</v>
      </c>
      <c r="L154">
        <v>333.3</v>
      </c>
      <c r="M154">
        <v>33.33</v>
      </c>
      <c r="O154" s="79">
        <f>IFERROR(VLOOKUP(D154,'KAPANAN BLD.'!$C$2:$D$793,2,FALSE),0)</f>
        <v>0</v>
      </c>
      <c r="P154" s="79">
        <v>0</v>
      </c>
    </row>
    <row r="155" spans="1:16" x14ac:dyDescent="0.25">
      <c r="A155" t="s">
        <v>32</v>
      </c>
      <c r="B155" s="73" t="str">
        <f t="shared" si="3"/>
        <v>MERKEZ</v>
      </c>
      <c r="C155" t="s">
        <v>2143</v>
      </c>
      <c r="D155" s="73" t="str">
        <f t="shared" si="4"/>
        <v>MERKEZ/AFYONKARAHİSAR</v>
      </c>
      <c r="E155" s="9" t="s">
        <v>34</v>
      </c>
      <c r="F155" s="9" t="s">
        <v>34</v>
      </c>
      <c r="G155" t="s">
        <v>3367</v>
      </c>
      <c r="H155">
        <v>16105.6</v>
      </c>
      <c r="I155">
        <v>1610.56</v>
      </c>
      <c r="J155">
        <v>0</v>
      </c>
      <c r="K155">
        <v>0</v>
      </c>
      <c r="L155">
        <v>16105.6</v>
      </c>
      <c r="M155">
        <v>1610.56</v>
      </c>
      <c r="O155" s="79">
        <f>IFERROR(VLOOKUP(D155,'KAPANAN BLD.'!$C$2:$D$793,2,FALSE),0)</f>
        <v>0</v>
      </c>
      <c r="P155" s="79">
        <v>0</v>
      </c>
    </row>
    <row r="156" spans="1:16" x14ac:dyDescent="0.25">
      <c r="A156" t="s">
        <v>32</v>
      </c>
      <c r="B156" s="73" t="str">
        <f t="shared" si="3"/>
        <v>MERKEZ</v>
      </c>
      <c r="C156" t="s">
        <v>2143</v>
      </c>
      <c r="D156" s="73" t="str">
        <f t="shared" si="4"/>
        <v>MERKEZ/AFYONKARAHİSAR</v>
      </c>
      <c r="E156" s="9" t="s">
        <v>34</v>
      </c>
      <c r="F156" s="9" t="s">
        <v>34</v>
      </c>
      <c r="G156" t="s">
        <v>3366</v>
      </c>
      <c r="H156">
        <v>28086.9</v>
      </c>
      <c r="I156">
        <v>2808.69</v>
      </c>
      <c r="J156">
        <v>0</v>
      </c>
      <c r="K156">
        <v>0</v>
      </c>
      <c r="L156">
        <v>28086.9</v>
      </c>
      <c r="M156">
        <v>2808.69</v>
      </c>
      <c r="O156" s="79">
        <f>IFERROR(VLOOKUP(D156,'KAPANAN BLD.'!$C$2:$D$793,2,FALSE),0)</f>
        <v>0</v>
      </c>
      <c r="P156" s="79">
        <v>0</v>
      </c>
    </row>
    <row r="157" spans="1:16" x14ac:dyDescent="0.25">
      <c r="A157" t="s">
        <v>32</v>
      </c>
      <c r="B157" s="73" t="str">
        <f t="shared" si="3"/>
        <v>ŞUHUT</v>
      </c>
      <c r="C157" t="s">
        <v>2143</v>
      </c>
      <c r="D157" s="73" t="str">
        <f t="shared" si="4"/>
        <v>ŞUHUT/AFYONKARAHİSAR</v>
      </c>
      <c r="E157" t="s">
        <v>2260</v>
      </c>
      <c r="F157" t="s">
        <v>2260</v>
      </c>
      <c r="G157" t="s">
        <v>3367</v>
      </c>
      <c r="H157">
        <v>32.200000000000003</v>
      </c>
      <c r="I157">
        <v>3.22</v>
      </c>
      <c r="J157">
        <v>0</v>
      </c>
      <c r="K157">
        <v>0</v>
      </c>
      <c r="L157">
        <v>32.200000000000003</v>
      </c>
      <c r="M157">
        <v>3.22</v>
      </c>
      <c r="O157" s="79">
        <f>IFERROR(VLOOKUP(D157,'KAPANAN BLD.'!$C$2:$D$793,2,FALSE),0)</f>
        <v>0</v>
      </c>
      <c r="P157" s="79">
        <v>0</v>
      </c>
    </row>
    <row r="158" spans="1:16" x14ac:dyDescent="0.25">
      <c r="A158" t="s">
        <v>32</v>
      </c>
      <c r="B158" s="73" t="str">
        <f t="shared" si="3"/>
        <v>ŞUHUT</v>
      </c>
      <c r="C158" t="s">
        <v>2143</v>
      </c>
      <c r="D158" s="73" t="str">
        <f t="shared" si="4"/>
        <v>ŞUHUT/AFYONKARAHİSAR</v>
      </c>
      <c r="E158" t="s">
        <v>2260</v>
      </c>
      <c r="F158" t="s">
        <v>2260</v>
      </c>
      <c r="G158" t="s">
        <v>3366</v>
      </c>
      <c r="H158">
        <v>19.600000000000001</v>
      </c>
      <c r="I158">
        <v>1.96</v>
      </c>
      <c r="J158">
        <v>0</v>
      </c>
      <c r="K158">
        <v>0</v>
      </c>
      <c r="L158">
        <v>19.600000000000001</v>
      </c>
      <c r="M158">
        <v>1.96</v>
      </c>
      <c r="O158" s="79">
        <f>IFERROR(VLOOKUP(D158,'KAPANAN BLD.'!$C$2:$D$793,2,FALSE),0)</f>
        <v>0</v>
      </c>
      <c r="P158" s="79">
        <v>0</v>
      </c>
    </row>
    <row r="159" spans="1:16" x14ac:dyDescent="0.25">
      <c r="A159" t="s">
        <v>32</v>
      </c>
      <c r="B159" s="73" t="str">
        <f t="shared" si="3"/>
        <v>DİNAR</v>
      </c>
      <c r="C159" t="s">
        <v>2143</v>
      </c>
      <c r="D159" s="73" t="str">
        <f t="shared" si="4"/>
        <v>DİNAR/AFYONKARAHİSAR</v>
      </c>
      <c r="E159" s="9" t="s">
        <v>348</v>
      </c>
      <c r="F159" s="9" t="s">
        <v>348</v>
      </c>
      <c r="G159" t="s">
        <v>3366</v>
      </c>
      <c r="H159">
        <v>103.3</v>
      </c>
      <c r="I159">
        <v>10.33</v>
      </c>
      <c r="J159">
        <v>0</v>
      </c>
      <c r="K159">
        <v>0</v>
      </c>
      <c r="L159">
        <v>103.3</v>
      </c>
      <c r="M159">
        <v>10.33</v>
      </c>
      <c r="O159" s="79">
        <f>IFERROR(VLOOKUP(D159,'KAPANAN BLD.'!$C$2:$D$793,2,FALSE),0)</f>
        <v>0</v>
      </c>
      <c r="P159" s="79">
        <v>0</v>
      </c>
    </row>
    <row r="160" spans="1:16" x14ac:dyDescent="0.25">
      <c r="A160" t="s">
        <v>32</v>
      </c>
      <c r="B160" s="73" t="str">
        <f t="shared" si="3"/>
        <v>DİNAR</v>
      </c>
      <c r="C160" t="s">
        <v>2143</v>
      </c>
      <c r="D160" s="73" t="str">
        <f t="shared" si="4"/>
        <v>DİNAR/AFYONKARAHİSAR</v>
      </c>
      <c r="E160" s="9" t="s">
        <v>348</v>
      </c>
      <c r="F160" s="9" t="s">
        <v>348</v>
      </c>
      <c r="G160" t="s">
        <v>3367</v>
      </c>
      <c r="H160">
        <v>5.4</v>
      </c>
      <c r="I160">
        <v>0.54</v>
      </c>
      <c r="J160">
        <v>0</v>
      </c>
      <c r="K160">
        <v>0</v>
      </c>
      <c r="L160">
        <v>5.4</v>
      </c>
      <c r="M160">
        <v>0.54</v>
      </c>
      <c r="O160" s="79">
        <f>IFERROR(VLOOKUP(D160,'KAPANAN BLD.'!$C$2:$D$793,2,FALSE),0)</f>
        <v>0</v>
      </c>
      <c r="P160" s="79">
        <v>0</v>
      </c>
    </row>
    <row r="161" spans="1:16" x14ac:dyDescent="0.25">
      <c r="A161" t="s">
        <v>32</v>
      </c>
      <c r="B161" s="73" t="str">
        <f t="shared" si="3"/>
        <v>SİNANPAŞA</v>
      </c>
      <c r="C161" t="s">
        <v>2143</v>
      </c>
      <c r="D161" s="73" t="str">
        <f t="shared" si="4"/>
        <v>SİNANPAŞA/AFYONKARAHİSAR</v>
      </c>
      <c r="E161" s="9" t="s">
        <v>2305</v>
      </c>
      <c r="F161" s="9" t="s">
        <v>2305</v>
      </c>
      <c r="G161" t="s">
        <v>3367</v>
      </c>
      <c r="H161">
        <v>67.099999999999994</v>
      </c>
      <c r="I161">
        <v>6.71</v>
      </c>
      <c r="J161">
        <v>0</v>
      </c>
      <c r="K161">
        <v>0</v>
      </c>
      <c r="L161">
        <v>67.099999999999994</v>
      </c>
      <c r="M161">
        <v>6.71</v>
      </c>
      <c r="O161" s="79">
        <f>IFERROR(VLOOKUP(D161,'KAPANAN BLD.'!$C$2:$D$793,2,FALSE),0)</f>
        <v>0</v>
      </c>
      <c r="P161" s="79">
        <v>0</v>
      </c>
    </row>
    <row r="162" spans="1:16" x14ac:dyDescent="0.25">
      <c r="A162" t="s">
        <v>32</v>
      </c>
      <c r="B162" s="73" t="str">
        <f t="shared" si="3"/>
        <v>HOCALAR</v>
      </c>
      <c r="C162" t="s">
        <v>2143</v>
      </c>
      <c r="D162" s="73" t="str">
        <f t="shared" si="4"/>
        <v>HOCALAR/AFYONKARAHİSAR</v>
      </c>
      <c r="E162" s="9" t="s">
        <v>500</v>
      </c>
      <c r="F162" s="9" t="s">
        <v>500</v>
      </c>
      <c r="G162" t="s">
        <v>3367</v>
      </c>
      <c r="H162">
        <v>246.6</v>
      </c>
      <c r="I162">
        <v>24.66</v>
      </c>
      <c r="J162">
        <v>0</v>
      </c>
      <c r="K162">
        <v>0</v>
      </c>
      <c r="L162">
        <v>246.6</v>
      </c>
      <c r="M162">
        <v>24.66</v>
      </c>
      <c r="O162" s="79">
        <f>IFERROR(VLOOKUP(D162,'KAPANAN BLD.'!$C$2:$D$793,2,FALSE),0)</f>
        <v>0</v>
      </c>
      <c r="P162" s="79">
        <v>0</v>
      </c>
    </row>
    <row r="163" spans="1:16" x14ac:dyDescent="0.25">
      <c r="A163" t="s">
        <v>32</v>
      </c>
      <c r="B163" s="73" t="str">
        <f t="shared" si="3"/>
        <v>HOCALAR</v>
      </c>
      <c r="C163" t="s">
        <v>2143</v>
      </c>
      <c r="D163" s="73" t="str">
        <f t="shared" si="4"/>
        <v>HOCALAR/AFYONKARAHİSAR</v>
      </c>
      <c r="E163" s="9" t="s">
        <v>500</v>
      </c>
      <c r="F163" s="9" t="s">
        <v>500</v>
      </c>
      <c r="G163" t="s">
        <v>3366</v>
      </c>
      <c r="H163">
        <v>129.80000000000001</v>
      </c>
      <c r="I163">
        <v>12.98</v>
      </c>
      <c r="J163">
        <v>0</v>
      </c>
      <c r="K163">
        <v>0</v>
      </c>
      <c r="L163">
        <v>129.80000000000001</v>
      </c>
      <c r="M163">
        <v>12.98</v>
      </c>
      <c r="O163" s="79">
        <f>IFERROR(VLOOKUP(D163,'KAPANAN BLD.'!$C$2:$D$793,2,FALSE),0)</f>
        <v>0</v>
      </c>
      <c r="P163" s="79">
        <v>0</v>
      </c>
    </row>
    <row r="164" spans="1:16" x14ac:dyDescent="0.25">
      <c r="A164" t="s">
        <v>32</v>
      </c>
      <c r="B164" s="73" t="str">
        <f t="shared" si="3"/>
        <v>SULTANDAĞI</v>
      </c>
      <c r="C164" t="s">
        <v>2143</v>
      </c>
      <c r="D164" s="73" t="str">
        <f t="shared" si="4"/>
        <v>SULTANDAĞI/AFYONKARAHİSAR</v>
      </c>
      <c r="E164" s="9" t="s">
        <v>2258</v>
      </c>
      <c r="F164" s="9" t="s">
        <v>2258</v>
      </c>
      <c r="G164" t="s">
        <v>3367</v>
      </c>
      <c r="H164">
        <v>248.6</v>
      </c>
      <c r="I164">
        <v>24.86</v>
      </c>
      <c r="J164">
        <v>0</v>
      </c>
      <c r="K164">
        <v>0</v>
      </c>
      <c r="L164">
        <v>248.6</v>
      </c>
      <c r="M164">
        <v>24.86</v>
      </c>
      <c r="O164" s="79">
        <f>IFERROR(VLOOKUP(D164,'KAPANAN BLD.'!$C$2:$D$793,2,FALSE),0)</f>
        <v>0</v>
      </c>
      <c r="P164" s="79">
        <v>0</v>
      </c>
    </row>
    <row r="165" spans="1:16" x14ac:dyDescent="0.25">
      <c r="A165" t="s">
        <v>32</v>
      </c>
      <c r="B165" s="73" t="str">
        <f t="shared" si="3"/>
        <v>SULTANDAĞI</v>
      </c>
      <c r="C165" t="s">
        <v>2143</v>
      </c>
      <c r="D165" s="73" t="str">
        <f t="shared" si="4"/>
        <v>SULTANDAĞI/AFYONKARAHİSAR</v>
      </c>
      <c r="E165" s="9" t="s">
        <v>2258</v>
      </c>
      <c r="F165" s="9" t="s">
        <v>2258</v>
      </c>
      <c r="G165" t="s">
        <v>3366</v>
      </c>
      <c r="H165">
        <v>153.4</v>
      </c>
      <c r="I165">
        <v>15.34</v>
      </c>
      <c r="J165">
        <v>0</v>
      </c>
      <c r="K165">
        <v>0</v>
      </c>
      <c r="L165">
        <v>153.4</v>
      </c>
      <c r="M165">
        <v>15.34</v>
      </c>
      <c r="O165" s="79">
        <f>IFERROR(VLOOKUP(D165,'KAPANAN BLD.'!$C$2:$D$793,2,FALSE),0)</f>
        <v>0</v>
      </c>
      <c r="P165" s="79">
        <v>0</v>
      </c>
    </row>
    <row r="166" spans="1:16" x14ac:dyDescent="0.25">
      <c r="A166" t="s">
        <v>32</v>
      </c>
      <c r="B166" s="73" t="str">
        <f t="shared" si="3"/>
        <v>SULTANDAĞI</v>
      </c>
      <c r="C166" t="s">
        <v>2143</v>
      </c>
      <c r="D166" s="73" t="str">
        <f t="shared" si="4"/>
        <v>SULTANDAĞI/AFYONKARAHİSAR</v>
      </c>
      <c r="E166" s="9" t="s">
        <v>2258</v>
      </c>
      <c r="F166" s="9" t="s">
        <v>2258</v>
      </c>
      <c r="G166" t="s">
        <v>3367</v>
      </c>
      <c r="H166">
        <v>440</v>
      </c>
      <c r="I166">
        <v>44</v>
      </c>
      <c r="J166">
        <v>0</v>
      </c>
      <c r="K166">
        <v>0</v>
      </c>
      <c r="L166">
        <v>440</v>
      </c>
      <c r="M166">
        <v>44</v>
      </c>
      <c r="O166" s="79">
        <f>IFERROR(VLOOKUP(D166,'KAPANAN BLD.'!$C$2:$D$793,2,FALSE),0)</f>
        <v>0</v>
      </c>
      <c r="P166" s="79">
        <v>0</v>
      </c>
    </row>
    <row r="167" spans="1:16" x14ac:dyDescent="0.25">
      <c r="A167" t="s">
        <v>32</v>
      </c>
      <c r="B167" s="73" t="str">
        <f t="shared" si="3"/>
        <v>SULTANDAĞI</v>
      </c>
      <c r="C167" t="s">
        <v>2143</v>
      </c>
      <c r="D167" s="73" t="str">
        <f t="shared" si="4"/>
        <v>SULTANDAĞI/AFYONKARAHİSAR</v>
      </c>
      <c r="E167" s="9" t="s">
        <v>2258</v>
      </c>
      <c r="F167" s="9" t="s">
        <v>2258</v>
      </c>
      <c r="G167" t="s">
        <v>3366</v>
      </c>
      <c r="H167">
        <v>324.7</v>
      </c>
      <c r="I167">
        <v>32.47</v>
      </c>
      <c r="J167">
        <v>0</v>
      </c>
      <c r="K167">
        <v>0</v>
      </c>
      <c r="L167">
        <v>324.7</v>
      </c>
      <c r="M167">
        <v>32.47</v>
      </c>
      <c r="O167" s="79">
        <f>IFERROR(VLOOKUP(D167,'KAPANAN BLD.'!$C$2:$D$793,2,FALSE),0)</f>
        <v>0</v>
      </c>
      <c r="P167" s="79">
        <v>0</v>
      </c>
    </row>
    <row r="168" spans="1:16" x14ac:dyDescent="0.25">
      <c r="A168" t="s">
        <v>32</v>
      </c>
      <c r="B168" s="73" t="str">
        <f t="shared" si="3"/>
        <v>DİNAR</v>
      </c>
      <c r="C168" t="s">
        <v>2143</v>
      </c>
      <c r="D168" s="73" t="str">
        <f t="shared" si="4"/>
        <v>DİNAR/AFYONKARAHİSAR</v>
      </c>
      <c r="E168" s="9" t="s">
        <v>348</v>
      </c>
      <c r="F168" s="9" t="s">
        <v>348</v>
      </c>
      <c r="G168" t="s">
        <v>3367</v>
      </c>
      <c r="H168">
        <v>168.3</v>
      </c>
      <c r="I168">
        <v>16.829999999999998</v>
      </c>
      <c r="J168">
        <v>0</v>
      </c>
      <c r="K168">
        <v>0</v>
      </c>
      <c r="L168">
        <v>168.3</v>
      </c>
      <c r="M168">
        <v>16.829999999999998</v>
      </c>
      <c r="O168" s="79">
        <f>IFERROR(VLOOKUP(D168,'KAPANAN BLD.'!$C$2:$D$793,2,FALSE),0)</f>
        <v>0</v>
      </c>
      <c r="P168" s="79">
        <v>0</v>
      </c>
    </row>
    <row r="169" spans="1:16" x14ac:dyDescent="0.25">
      <c r="A169" t="s">
        <v>32</v>
      </c>
      <c r="B169" s="73" t="str">
        <f t="shared" si="3"/>
        <v>DİNAR</v>
      </c>
      <c r="C169" t="s">
        <v>2143</v>
      </c>
      <c r="D169" s="73" t="str">
        <f t="shared" si="4"/>
        <v>DİNAR/AFYONKARAHİSAR</v>
      </c>
      <c r="E169" s="9" t="s">
        <v>348</v>
      </c>
      <c r="F169" s="9" t="s">
        <v>348</v>
      </c>
      <c r="G169" t="s">
        <v>3366</v>
      </c>
      <c r="H169">
        <v>88.6</v>
      </c>
      <c r="I169">
        <v>8.86</v>
      </c>
      <c r="J169">
        <v>0</v>
      </c>
      <c r="K169">
        <v>0</v>
      </c>
      <c r="L169">
        <v>88.6</v>
      </c>
      <c r="M169">
        <v>8.86</v>
      </c>
      <c r="O169" s="79">
        <f>IFERROR(VLOOKUP(D169,'KAPANAN BLD.'!$C$2:$D$793,2,FALSE),0)</f>
        <v>0</v>
      </c>
      <c r="P169" s="79">
        <v>0</v>
      </c>
    </row>
    <row r="170" spans="1:16" x14ac:dyDescent="0.25">
      <c r="A170" t="s">
        <v>32</v>
      </c>
      <c r="B170" s="73" t="str">
        <f t="shared" si="3"/>
        <v>EMİRDAĞ</v>
      </c>
      <c r="C170" t="s">
        <v>2143</v>
      </c>
      <c r="D170" s="73" t="str">
        <f t="shared" si="4"/>
        <v>EMİRDAĞ/AFYONKARAHİSAR</v>
      </c>
      <c r="E170" s="9" t="s">
        <v>292</v>
      </c>
      <c r="F170" s="9" t="s">
        <v>292</v>
      </c>
      <c r="G170" t="s">
        <v>3367</v>
      </c>
      <c r="H170">
        <v>303.89999999999998</v>
      </c>
      <c r="I170">
        <v>30.39</v>
      </c>
      <c r="J170">
        <v>0</v>
      </c>
      <c r="K170">
        <v>0</v>
      </c>
      <c r="L170">
        <v>303.89999999999998</v>
      </c>
      <c r="M170">
        <v>30.39</v>
      </c>
      <c r="O170" s="79">
        <f>IFERROR(VLOOKUP(D170,'KAPANAN BLD.'!$C$2:$D$793,2,FALSE),0)</f>
        <v>0</v>
      </c>
      <c r="P170" s="79">
        <v>0</v>
      </c>
    </row>
    <row r="171" spans="1:16" x14ac:dyDescent="0.25">
      <c r="A171" t="s">
        <v>32</v>
      </c>
      <c r="B171" s="73" t="str">
        <f t="shared" si="3"/>
        <v>MERKEZ</v>
      </c>
      <c r="C171" t="s">
        <v>175</v>
      </c>
      <c r="D171" s="73" t="str">
        <f t="shared" si="4"/>
        <v>MERKEZ/AĞRI</v>
      </c>
      <c r="E171" s="9" t="s">
        <v>34</v>
      </c>
      <c r="F171" s="9" t="s">
        <v>34</v>
      </c>
      <c r="G171" t="s">
        <v>3366</v>
      </c>
      <c r="H171">
        <v>644.29999999999995</v>
      </c>
      <c r="I171">
        <v>64.430000000000007</v>
      </c>
      <c r="J171">
        <v>546.9</v>
      </c>
      <c r="K171">
        <v>54.69</v>
      </c>
      <c r="L171">
        <v>97.4</v>
      </c>
      <c r="M171">
        <v>9.74</v>
      </c>
      <c r="O171" s="79">
        <f>IFERROR(VLOOKUP(D171,'KAPANAN BLD.'!$C$2:$D$793,2,FALSE),0)</f>
        <v>0</v>
      </c>
      <c r="P171" s="79">
        <v>0</v>
      </c>
    </row>
    <row r="172" spans="1:16" x14ac:dyDescent="0.25">
      <c r="A172" t="s">
        <v>32</v>
      </c>
      <c r="B172" s="73" t="str">
        <f t="shared" si="3"/>
        <v>MERKEZ</v>
      </c>
      <c r="C172" t="s">
        <v>175</v>
      </c>
      <c r="D172" s="73" t="str">
        <f t="shared" si="4"/>
        <v>MERKEZ/AĞRI</v>
      </c>
      <c r="E172" s="9" t="s">
        <v>34</v>
      </c>
      <c r="F172" s="9" t="s">
        <v>34</v>
      </c>
      <c r="G172" t="s">
        <v>3367</v>
      </c>
      <c r="H172">
        <v>8517.2999999999993</v>
      </c>
      <c r="I172">
        <v>851.73</v>
      </c>
      <c r="J172">
        <v>122.3</v>
      </c>
      <c r="K172">
        <v>12.23</v>
      </c>
      <c r="L172">
        <v>8395</v>
      </c>
      <c r="M172">
        <v>839.5</v>
      </c>
      <c r="O172" s="79">
        <f>IFERROR(VLOOKUP(D172,'KAPANAN BLD.'!$C$2:$D$793,2,FALSE),0)</f>
        <v>0</v>
      </c>
      <c r="P172" s="79">
        <v>0</v>
      </c>
    </row>
    <row r="173" spans="1:16" x14ac:dyDescent="0.25">
      <c r="A173" t="s">
        <v>32</v>
      </c>
      <c r="B173" s="73" t="str">
        <f t="shared" ref="B173:B236" si="5">F173</f>
        <v>DOĞUBAYAZIT</v>
      </c>
      <c r="C173" t="s">
        <v>175</v>
      </c>
      <c r="D173" s="73" t="str">
        <f t="shared" si="4"/>
        <v>DOĞUBAYAZIT/AĞRI</v>
      </c>
      <c r="E173" t="s">
        <v>425</v>
      </c>
      <c r="F173" t="s">
        <v>425</v>
      </c>
      <c r="G173" t="s">
        <v>3366</v>
      </c>
      <c r="H173">
        <v>483.9</v>
      </c>
      <c r="I173">
        <v>48.39</v>
      </c>
      <c r="J173">
        <v>325</v>
      </c>
      <c r="K173">
        <v>32.5</v>
      </c>
      <c r="L173">
        <v>158.9</v>
      </c>
      <c r="M173">
        <v>15.89</v>
      </c>
      <c r="O173" s="79">
        <f>IFERROR(VLOOKUP(D173,'KAPANAN BLD.'!$C$2:$D$793,2,FALSE),0)</f>
        <v>0</v>
      </c>
      <c r="P173" s="79">
        <v>0</v>
      </c>
    </row>
    <row r="174" spans="1:16" x14ac:dyDescent="0.25">
      <c r="A174" t="s">
        <v>32</v>
      </c>
      <c r="B174" s="73" t="str">
        <f t="shared" si="5"/>
        <v>DOĞUBAYAZIT</v>
      </c>
      <c r="C174" t="s">
        <v>175</v>
      </c>
      <c r="D174" s="73" t="str">
        <f t="shared" si="4"/>
        <v>DOĞUBAYAZIT/AĞRI</v>
      </c>
      <c r="E174" t="s">
        <v>425</v>
      </c>
      <c r="F174" t="s">
        <v>425</v>
      </c>
      <c r="G174" t="s">
        <v>3367</v>
      </c>
      <c r="H174">
        <v>369</v>
      </c>
      <c r="I174">
        <v>36.9</v>
      </c>
      <c r="J174">
        <v>25.2</v>
      </c>
      <c r="K174">
        <v>2.52</v>
      </c>
      <c r="L174">
        <v>343.8</v>
      </c>
      <c r="M174">
        <v>34.380000000000003</v>
      </c>
      <c r="O174" s="79">
        <f>IFERROR(VLOOKUP(D174,'KAPANAN BLD.'!$C$2:$D$793,2,FALSE),0)</f>
        <v>0</v>
      </c>
      <c r="P174" s="79">
        <v>0</v>
      </c>
    </row>
    <row r="175" spans="1:16" x14ac:dyDescent="0.25">
      <c r="A175" t="s">
        <v>32</v>
      </c>
      <c r="B175" s="73" t="str">
        <f t="shared" si="5"/>
        <v>MERKEZ</v>
      </c>
      <c r="C175" t="s">
        <v>175</v>
      </c>
      <c r="D175" s="73" t="str">
        <f t="shared" si="4"/>
        <v>MERKEZ/AĞRI</v>
      </c>
      <c r="E175" t="s">
        <v>34</v>
      </c>
      <c r="F175" t="s">
        <v>34</v>
      </c>
      <c r="G175" t="s">
        <v>3367</v>
      </c>
      <c r="H175">
        <v>3082.4</v>
      </c>
      <c r="I175">
        <v>308.24</v>
      </c>
      <c r="J175">
        <v>0</v>
      </c>
      <c r="K175">
        <v>0</v>
      </c>
      <c r="L175">
        <v>3082.4</v>
      </c>
      <c r="M175">
        <v>308.24</v>
      </c>
      <c r="O175" s="79">
        <f>IFERROR(VLOOKUP(D175,'KAPANAN BLD.'!$C$2:$D$793,2,FALSE),0)</f>
        <v>0</v>
      </c>
      <c r="P175" s="79">
        <v>0</v>
      </c>
    </row>
    <row r="176" spans="1:16" x14ac:dyDescent="0.25">
      <c r="A176" t="s">
        <v>32</v>
      </c>
      <c r="B176" s="73" t="str">
        <f t="shared" si="5"/>
        <v>MERKEZ</v>
      </c>
      <c r="C176" t="s">
        <v>175</v>
      </c>
      <c r="D176" s="73" t="str">
        <f t="shared" si="4"/>
        <v>MERKEZ/AĞRI</v>
      </c>
      <c r="E176" t="s">
        <v>34</v>
      </c>
      <c r="F176" t="s">
        <v>34</v>
      </c>
      <c r="G176" t="s">
        <v>3366</v>
      </c>
      <c r="H176">
        <v>2056.4</v>
      </c>
      <c r="I176">
        <v>205.64</v>
      </c>
      <c r="J176">
        <v>0</v>
      </c>
      <c r="K176">
        <v>0</v>
      </c>
      <c r="L176">
        <v>2056.4</v>
      </c>
      <c r="M176">
        <v>205.64</v>
      </c>
      <c r="O176" s="79">
        <f>IFERROR(VLOOKUP(D176,'KAPANAN BLD.'!$C$2:$D$793,2,FALSE),0)</f>
        <v>0</v>
      </c>
      <c r="P176" s="79">
        <v>0</v>
      </c>
    </row>
    <row r="177" spans="1:16" x14ac:dyDescent="0.25">
      <c r="A177" t="s">
        <v>32</v>
      </c>
      <c r="B177" s="73" t="str">
        <f t="shared" si="5"/>
        <v>PATNOS</v>
      </c>
      <c r="C177" t="s">
        <v>175</v>
      </c>
      <c r="D177" s="73" t="str">
        <f t="shared" si="4"/>
        <v>PATNOS/AĞRI</v>
      </c>
      <c r="E177" t="s">
        <v>426</v>
      </c>
      <c r="F177" t="s">
        <v>426</v>
      </c>
      <c r="G177" t="s">
        <v>3367</v>
      </c>
      <c r="H177">
        <v>6155.3</v>
      </c>
      <c r="I177">
        <v>615.53</v>
      </c>
      <c r="J177">
        <v>255.7</v>
      </c>
      <c r="K177">
        <v>25.57</v>
      </c>
      <c r="L177">
        <v>5899.6</v>
      </c>
      <c r="M177">
        <v>589.96</v>
      </c>
      <c r="O177" s="79">
        <f>IFERROR(VLOOKUP(D177,'KAPANAN BLD.'!$C$2:$D$793,2,FALSE),0)</f>
        <v>0</v>
      </c>
      <c r="P177" s="79">
        <v>0</v>
      </c>
    </row>
    <row r="178" spans="1:16" x14ac:dyDescent="0.25">
      <c r="A178" t="s">
        <v>32</v>
      </c>
      <c r="B178" s="73" t="str">
        <f t="shared" si="5"/>
        <v>PATNOS</v>
      </c>
      <c r="C178" t="s">
        <v>175</v>
      </c>
      <c r="D178" s="73" t="str">
        <f t="shared" si="4"/>
        <v>PATNOS/AĞRI</v>
      </c>
      <c r="E178" t="s">
        <v>426</v>
      </c>
      <c r="F178" t="s">
        <v>426</v>
      </c>
      <c r="G178" t="s">
        <v>3366</v>
      </c>
      <c r="H178">
        <v>221</v>
      </c>
      <c r="I178">
        <v>22.1</v>
      </c>
      <c r="J178">
        <v>570.1</v>
      </c>
      <c r="K178">
        <v>57.01</v>
      </c>
      <c r="L178">
        <v>-349.1</v>
      </c>
      <c r="M178">
        <v>-34.909999999999997</v>
      </c>
      <c r="O178" s="79">
        <f>IFERROR(VLOOKUP(D178,'KAPANAN BLD.'!$C$2:$D$793,2,FALSE),0)</f>
        <v>0</v>
      </c>
      <c r="P178" s="79">
        <v>0</v>
      </c>
    </row>
    <row r="179" spans="1:16" x14ac:dyDescent="0.25">
      <c r="A179" t="s">
        <v>32</v>
      </c>
      <c r="B179" s="73" t="str">
        <f t="shared" si="5"/>
        <v>AĞAÇÖREN</v>
      </c>
      <c r="C179" t="s">
        <v>194</v>
      </c>
      <c r="D179" s="73" t="str">
        <f t="shared" si="4"/>
        <v>AĞAÇÖREN/AKSARAY</v>
      </c>
      <c r="E179" t="s">
        <v>1993</v>
      </c>
      <c r="F179" t="s">
        <v>1993</v>
      </c>
      <c r="G179" t="s">
        <v>3366</v>
      </c>
      <c r="H179">
        <v>1454.2</v>
      </c>
      <c r="I179">
        <v>145.41999999999999</v>
      </c>
      <c r="J179">
        <v>0</v>
      </c>
      <c r="K179">
        <v>0</v>
      </c>
      <c r="L179">
        <v>1454.2</v>
      </c>
      <c r="M179">
        <v>145.41999999999999</v>
      </c>
      <c r="O179" s="79">
        <f>IFERROR(VLOOKUP(D179,'KAPANAN BLD.'!$C$2:$D$793,2,FALSE),0)</f>
        <v>0</v>
      </c>
      <c r="P179" s="79">
        <v>0</v>
      </c>
    </row>
    <row r="180" spans="1:16" x14ac:dyDescent="0.25">
      <c r="A180" t="s">
        <v>32</v>
      </c>
      <c r="B180" s="73" t="str">
        <f t="shared" si="5"/>
        <v>MERKEZ</v>
      </c>
      <c r="C180" t="s">
        <v>194</v>
      </c>
      <c r="D180" s="73" t="str">
        <f t="shared" si="4"/>
        <v>MERKEZ/AKSARAY</v>
      </c>
      <c r="E180" s="9" t="s">
        <v>34</v>
      </c>
      <c r="F180" s="9" t="s">
        <v>34</v>
      </c>
      <c r="G180" t="s">
        <v>3366</v>
      </c>
      <c r="H180">
        <v>283.39999999999998</v>
      </c>
      <c r="I180">
        <v>28.34</v>
      </c>
      <c r="J180">
        <v>0</v>
      </c>
      <c r="K180">
        <v>0</v>
      </c>
      <c r="L180">
        <v>283.39999999999998</v>
      </c>
      <c r="M180">
        <v>28.34</v>
      </c>
      <c r="O180" s="79">
        <f>IFERROR(VLOOKUP(D180,'KAPANAN BLD.'!$C$2:$D$793,2,FALSE),0)</f>
        <v>0</v>
      </c>
      <c r="P180" s="79">
        <v>0</v>
      </c>
    </row>
    <row r="181" spans="1:16" x14ac:dyDescent="0.25">
      <c r="A181" t="s">
        <v>32</v>
      </c>
      <c r="B181" s="73" t="str">
        <f t="shared" si="5"/>
        <v>MERKEZ</v>
      </c>
      <c r="C181" t="s">
        <v>194</v>
      </c>
      <c r="D181" s="73" t="str">
        <f t="shared" si="4"/>
        <v>MERKEZ/AKSARAY</v>
      </c>
      <c r="E181" s="9" t="s">
        <v>34</v>
      </c>
      <c r="F181" s="9" t="s">
        <v>34</v>
      </c>
      <c r="G181" t="s">
        <v>3367</v>
      </c>
      <c r="H181">
        <v>3156.8</v>
      </c>
      <c r="I181">
        <v>315.68</v>
      </c>
      <c r="J181">
        <v>0</v>
      </c>
      <c r="K181">
        <v>0</v>
      </c>
      <c r="L181">
        <v>3156.8</v>
      </c>
      <c r="M181">
        <v>315.68</v>
      </c>
      <c r="O181" s="79">
        <f>IFERROR(VLOOKUP(D181,'KAPANAN BLD.'!$C$2:$D$793,2,FALSE),0)</f>
        <v>0</v>
      </c>
      <c r="P181" s="79">
        <v>0</v>
      </c>
    </row>
    <row r="182" spans="1:16" x14ac:dyDescent="0.25">
      <c r="A182" t="s">
        <v>32</v>
      </c>
      <c r="B182" s="73" t="str">
        <f t="shared" si="5"/>
        <v>MERKEZ</v>
      </c>
      <c r="C182" t="s">
        <v>194</v>
      </c>
      <c r="D182" s="73" t="str">
        <f t="shared" si="4"/>
        <v>MERKEZ/AKSARAY</v>
      </c>
      <c r="E182" s="9" t="s">
        <v>34</v>
      </c>
      <c r="F182" s="9" t="s">
        <v>34</v>
      </c>
      <c r="G182" t="s">
        <v>3366</v>
      </c>
      <c r="H182">
        <v>2438.3000000000002</v>
      </c>
      <c r="I182">
        <v>243.83</v>
      </c>
      <c r="J182">
        <v>0</v>
      </c>
      <c r="K182">
        <v>0</v>
      </c>
      <c r="L182">
        <v>2438.3000000000002</v>
      </c>
      <c r="M182">
        <v>243.83</v>
      </c>
      <c r="O182" s="79">
        <f>IFERROR(VLOOKUP(D182,'KAPANAN BLD.'!$C$2:$D$793,2,FALSE),0)</f>
        <v>0</v>
      </c>
      <c r="P182" s="79">
        <v>0</v>
      </c>
    </row>
    <row r="183" spans="1:16" x14ac:dyDescent="0.25">
      <c r="A183" t="s">
        <v>32</v>
      </c>
      <c r="B183" s="73" t="str">
        <f t="shared" si="5"/>
        <v>MERKEZ</v>
      </c>
      <c r="C183" t="s">
        <v>194</v>
      </c>
      <c r="D183" s="73" t="str">
        <f t="shared" si="4"/>
        <v>MERKEZ/AKSARAY</v>
      </c>
      <c r="E183" s="9" t="s">
        <v>34</v>
      </c>
      <c r="F183" s="9" t="s">
        <v>34</v>
      </c>
      <c r="G183" t="s">
        <v>3367</v>
      </c>
      <c r="H183">
        <v>3514.9</v>
      </c>
      <c r="I183">
        <v>351.49</v>
      </c>
      <c r="J183">
        <v>0</v>
      </c>
      <c r="K183">
        <v>0</v>
      </c>
      <c r="L183">
        <v>3514.9</v>
      </c>
      <c r="M183">
        <v>351.49</v>
      </c>
      <c r="O183" s="79">
        <f>IFERROR(VLOOKUP(D183,'KAPANAN BLD.'!$C$2:$D$793,2,FALSE),0)</f>
        <v>0</v>
      </c>
      <c r="P183" s="79">
        <v>0</v>
      </c>
    </row>
    <row r="184" spans="1:16" x14ac:dyDescent="0.25">
      <c r="A184" t="s">
        <v>32</v>
      </c>
      <c r="B184" s="73" t="str">
        <f t="shared" si="5"/>
        <v>MERKEZ</v>
      </c>
      <c r="C184" t="s">
        <v>194</v>
      </c>
      <c r="D184" s="73" t="str">
        <f t="shared" si="4"/>
        <v>MERKEZ/AKSARAY</v>
      </c>
      <c r="E184" s="9" t="s">
        <v>34</v>
      </c>
      <c r="F184" s="9" t="s">
        <v>34</v>
      </c>
      <c r="G184" t="s">
        <v>3366</v>
      </c>
      <c r="H184">
        <v>2397.6</v>
      </c>
      <c r="I184">
        <v>239.76</v>
      </c>
      <c r="J184">
        <v>0</v>
      </c>
      <c r="K184">
        <v>0</v>
      </c>
      <c r="L184">
        <v>2397.6</v>
      </c>
      <c r="M184">
        <v>239.76</v>
      </c>
      <c r="O184" s="79">
        <f>IFERROR(VLOOKUP(D184,'KAPANAN BLD.'!$C$2:$D$793,2,FALSE),0)</f>
        <v>0</v>
      </c>
      <c r="P184" s="79">
        <v>0</v>
      </c>
    </row>
    <row r="185" spans="1:16" x14ac:dyDescent="0.25">
      <c r="A185" t="s">
        <v>32</v>
      </c>
      <c r="B185" s="73" t="str">
        <f t="shared" si="5"/>
        <v>MERKEZ</v>
      </c>
      <c r="C185" t="s">
        <v>194</v>
      </c>
      <c r="D185" s="73" t="str">
        <f t="shared" si="4"/>
        <v>MERKEZ/AKSARAY</v>
      </c>
      <c r="E185" s="9" t="s">
        <v>34</v>
      </c>
      <c r="F185" s="9" t="s">
        <v>34</v>
      </c>
      <c r="G185" t="s">
        <v>3367</v>
      </c>
      <c r="H185">
        <v>1045.9000000000001</v>
      </c>
      <c r="I185">
        <v>104.59</v>
      </c>
      <c r="J185">
        <v>0</v>
      </c>
      <c r="K185">
        <v>0</v>
      </c>
      <c r="L185">
        <v>1045.9000000000001</v>
      </c>
      <c r="M185">
        <v>104.59</v>
      </c>
      <c r="O185" s="79">
        <f>IFERROR(VLOOKUP(D185,'KAPANAN BLD.'!$C$2:$D$793,2,FALSE),0)</f>
        <v>0</v>
      </c>
      <c r="P185" s="79">
        <v>0</v>
      </c>
    </row>
    <row r="186" spans="1:16" x14ac:dyDescent="0.25">
      <c r="A186" t="s">
        <v>32</v>
      </c>
      <c r="B186" s="73" t="str">
        <f t="shared" si="5"/>
        <v>AĞAÇÖREN</v>
      </c>
      <c r="C186" t="s">
        <v>194</v>
      </c>
      <c r="D186" s="73" t="str">
        <f t="shared" si="4"/>
        <v>AĞAÇÖREN/AKSARAY</v>
      </c>
      <c r="E186" s="9" t="s">
        <v>1993</v>
      </c>
      <c r="F186" s="9" t="s">
        <v>1993</v>
      </c>
      <c r="G186" t="s">
        <v>3366</v>
      </c>
      <c r="H186">
        <v>2908.1</v>
      </c>
      <c r="I186">
        <v>290.81</v>
      </c>
      <c r="J186">
        <v>0</v>
      </c>
      <c r="K186">
        <v>0</v>
      </c>
      <c r="L186">
        <v>2908.1</v>
      </c>
      <c r="M186">
        <v>290.81</v>
      </c>
      <c r="O186" s="79">
        <f>IFERROR(VLOOKUP(D186,'KAPANAN BLD.'!$C$2:$D$793,2,FALSE),0)</f>
        <v>0</v>
      </c>
      <c r="P186" s="79">
        <v>0</v>
      </c>
    </row>
    <row r="187" spans="1:16" x14ac:dyDescent="0.25">
      <c r="A187" t="s">
        <v>32</v>
      </c>
      <c r="B187" s="73" t="str">
        <f t="shared" si="5"/>
        <v>MERKEZ</v>
      </c>
      <c r="C187" t="s">
        <v>194</v>
      </c>
      <c r="D187" s="73" t="str">
        <f t="shared" si="4"/>
        <v>MERKEZ/AKSARAY</v>
      </c>
      <c r="E187" s="9" t="s">
        <v>34</v>
      </c>
      <c r="F187" s="9" t="s">
        <v>34</v>
      </c>
      <c r="G187" t="s">
        <v>3366</v>
      </c>
      <c r="H187">
        <v>7228.1</v>
      </c>
      <c r="I187">
        <v>722.81</v>
      </c>
      <c r="J187">
        <v>0</v>
      </c>
      <c r="K187">
        <v>0</v>
      </c>
      <c r="L187">
        <v>7228.1</v>
      </c>
      <c r="M187">
        <v>722.81</v>
      </c>
      <c r="O187" s="79">
        <f>IFERROR(VLOOKUP(D187,'KAPANAN BLD.'!$C$2:$D$793,2,FALSE),0)</f>
        <v>0</v>
      </c>
      <c r="P187" s="79">
        <v>0</v>
      </c>
    </row>
    <row r="188" spans="1:16" x14ac:dyDescent="0.25">
      <c r="A188" t="s">
        <v>32</v>
      </c>
      <c r="B188" s="73" t="str">
        <f t="shared" si="5"/>
        <v>MERKEZ</v>
      </c>
      <c r="C188" t="s">
        <v>194</v>
      </c>
      <c r="D188" s="73" t="str">
        <f t="shared" si="4"/>
        <v>MERKEZ/AKSARAY</v>
      </c>
      <c r="E188" s="9" t="s">
        <v>34</v>
      </c>
      <c r="F188" s="9" t="s">
        <v>34</v>
      </c>
      <c r="G188" t="s">
        <v>3367</v>
      </c>
      <c r="H188">
        <v>5537.1</v>
      </c>
      <c r="I188">
        <v>553.71</v>
      </c>
      <c r="J188">
        <v>0</v>
      </c>
      <c r="K188">
        <v>0</v>
      </c>
      <c r="L188">
        <v>5537.1</v>
      </c>
      <c r="M188">
        <v>553.71</v>
      </c>
      <c r="O188" s="79">
        <f>IFERROR(VLOOKUP(D188,'KAPANAN BLD.'!$C$2:$D$793,2,FALSE),0)</f>
        <v>0</v>
      </c>
      <c r="P188" s="79">
        <v>0</v>
      </c>
    </row>
    <row r="189" spans="1:16" x14ac:dyDescent="0.25">
      <c r="A189" t="s">
        <v>32</v>
      </c>
      <c r="B189" s="73" t="str">
        <f t="shared" si="5"/>
        <v>ESKİL</v>
      </c>
      <c r="C189" t="s">
        <v>194</v>
      </c>
      <c r="D189" s="73" t="str">
        <f t="shared" si="4"/>
        <v>ESKİL/AKSARAY</v>
      </c>
      <c r="E189" t="s">
        <v>2200</v>
      </c>
      <c r="F189" t="s">
        <v>2200</v>
      </c>
      <c r="G189" t="s">
        <v>3366</v>
      </c>
      <c r="H189">
        <v>11.8</v>
      </c>
      <c r="I189">
        <v>1.18</v>
      </c>
      <c r="J189">
        <v>0</v>
      </c>
      <c r="K189">
        <v>0</v>
      </c>
      <c r="L189">
        <v>11.8</v>
      </c>
      <c r="M189">
        <v>1.18</v>
      </c>
      <c r="O189" s="79">
        <f>IFERROR(VLOOKUP(D189,'KAPANAN BLD.'!$C$2:$D$793,2,FALSE),0)</f>
        <v>0</v>
      </c>
      <c r="P189" s="79">
        <v>0</v>
      </c>
    </row>
    <row r="190" spans="1:16" x14ac:dyDescent="0.25">
      <c r="A190" t="s">
        <v>32</v>
      </c>
      <c r="B190" s="73" t="str">
        <f t="shared" si="5"/>
        <v>ESKİL</v>
      </c>
      <c r="C190" t="s">
        <v>194</v>
      </c>
      <c r="D190" s="73" t="str">
        <f t="shared" si="4"/>
        <v>ESKİL/AKSARAY</v>
      </c>
      <c r="E190" s="9" t="s">
        <v>2200</v>
      </c>
      <c r="F190" s="9" t="s">
        <v>2200</v>
      </c>
      <c r="G190" t="s">
        <v>3367</v>
      </c>
      <c r="H190">
        <v>551</v>
      </c>
      <c r="I190">
        <v>55.1</v>
      </c>
      <c r="J190">
        <v>110.2</v>
      </c>
      <c r="K190">
        <v>11.02</v>
      </c>
      <c r="L190">
        <v>440.8</v>
      </c>
      <c r="M190">
        <v>44.08</v>
      </c>
      <c r="O190" s="79">
        <f>IFERROR(VLOOKUP(D190,'KAPANAN BLD.'!$C$2:$D$793,2,FALSE),0)</f>
        <v>0</v>
      </c>
      <c r="P190" s="79">
        <v>0</v>
      </c>
    </row>
    <row r="191" spans="1:16" x14ac:dyDescent="0.25">
      <c r="A191" t="s">
        <v>32</v>
      </c>
      <c r="B191" s="73" t="str">
        <f t="shared" si="5"/>
        <v>ESKİL</v>
      </c>
      <c r="C191" t="s">
        <v>194</v>
      </c>
      <c r="D191" s="73" t="str">
        <f t="shared" si="4"/>
        <v>ESKİL/AKSARAY</v>
      </c>
      <c r="E191" s="9" t="s">
        <v>2200</v>
      </c>
      <c r="F191" s="9" t="s">
        <v>2200</v>
      </c>
      <c r="G191" t="s">
        <v>3366</v>
      </c>
      <c r="H191">
        <v>2935.5</v>
      </c>
      <c r="I191">
        <v>293.55</v>
      </c>
      <c r="J191">
        <v>587.1</v>
      </c>
      <c r="K191">
        <v>58.71</v>
      </c>
      <c r="L191">
        <v>2348.4</v>
      </c>
      <c r="M191">
        <v>234.84</v>
      </c>
      <c r="O191" s="79">
        <f>IFERROR(VLOOKUP(D191,'KAPANAN BLD.'!$C$2:$D$793,2,FALSE),0)</f>
        <v>0</v>
      </c>
      <c r="P191" s="79">
        <v>0</v>
      </c>
    </row>
    <row r="192" spans="1:16" x14ac:dyDescent="0.25">
      <c r="A192" t="s">
        <v>32</v>
      </c>
      <c r="B192" s="73" t="str">
        <f t="shared" si="5"/>
        <v>MERKEZ</v>
      </c>
      <c r="C192" t="s">
        <v>194</v>
      </c>
      <c r="D192" s="73" t="str">
        <f t="shared" si="4"/>
        <v>MERKEZ/AKSARAY</v>
      </c>
      <c r="E192" s="9" t="s">
        <v>34</v>
      </c>
      <c r="F192" s="9" t="s">
        <v>34</v>
      </c>
      <c r="G192" t="s">
        <v>3367</v>
      </c>
      <c r="H192">
        <v>1160.2</v>
      </c>
      <c r="I192">
        <v>116.02</v>
      </c>
      <c r="J192">
        <v>532.79999999999995</v>
      </c>
      <c r="K192">
        <v>53.28</v>
      </c>
      <c r="L192">
        <v>627.4</v>
      </c>
      <c r="M192">
        <v>62.74</v>
      </c>
      <c r="O192" s="79">
        <f>IFERROR(VLOOKUP(D192,'KAPANAN BLD.'!$C$2:$D$793,2,FALSE),0)</f>
        <v>0</v>
      </c>
      <c r="P192" s="79">
        <v>0</v>
      </c>
    </row>
    <row r="193" spans="1:16" x14ac:dyDescent="0.25">
      <c r="A193" t="s">
        <v>32</v>
      </c>
      <c r="B193" s="73" t="str">
        <f t="shared" si="5"/>
        <v>MERKEZ</v>
      </c>
      <c r="C193" t="s">
        <v>194</v>
      </c>
      <c r="D193" s="73" t="str">
        <f t="shared" si="4"/>
        <v>MERKEZ/AKSARAY</v>
      </c>
      <c r="E193" s="9" t="s">
        <v>34</v>
      </c>
      <c r="F193" s="9" t="s">
        <v>34</v>
      </c>
      <c r="G193" t="s">
        <v>3366</v>
      </c>
      <c r="H193">
        <v>1247</v>
      </c>
      <c r="I193">
        <v>124.7</v>
      </c>
      <c r="J193">
        <v>0</v>
      </c>
      <c r="K193">
        <v>0</v>
      </c>
      <c r="L193">
        <v>1247</v>
      </c>
      <c r="M193">
        <v>124.7</v>
      </c>
      <c r="O193" s="79">
        <f>IFERROR(VLOOKUP(D193,'KAPANAN BLD.'!$C$2:$D$793,2,FALSE),0)</f>
        <v>0</v>
      </c>
      <c r="P193" s="79">
        <v>0</v>
      </c>
    </row>
    <row r="194" spans="1:16" x14ac:dyDescent="0.25">
      <c r="A194" t="s">
        <v>32</v>
      </c>
      <c r="B194" s="73" t="str">
        <f t="shared" si="5"/>
        <v>GÜZELYURT</v>
      </c>
      <c r="C194" t="s">
        <v>194</v>
      </c>
      <c r="D194" s="73" t="str">
        <f t="shared" si="4"/>
        <v>GÜZELYURT/AKSARAY</v>
      </c>
      <c r="E194" s="9" t="s">
        <v>2395</v>
      </c>
      <c r="F194" s="9" t="s">
        <v>2395</v>
      </c>
      <c r="G194" t="s">
        <v>3367</v>
      </c>
      <c r="H194">
        <v>0</v>
      </c>
      <c r="I194">
        <v>0</v>
      </c>
      <c r="J194">
        <v>0.1</v>
      </c>
      <c r="K194">
        <v>0.01</v>
      </c>
      <c r="L194">
        <v>-0.1</v>
      </c>
      <c r="M194">
        <v>-0.01</v>
      </c>
      <c r="O194" s="79">
        <f>IFERROR(VLOOKUP(D194,'KAPANAN BLD.'!$C$2:$D$793,2,FALSE),0)</f>
        <v>0</v>
      </c>
      <c r="P194" s="79">
        <v>0</v>
      </c>
    </row>
    <row r="195" spans="1:16" x14ac:dyDescent="0.25">
      <c r="A195" t="s">
        <v>32</v>
      </c>
      <c r="B195" s="73" t="str">
        <f t="shared" si="5"/>
        <v>MERKEZ</v>
      </c>
      <c r="C195" t="s">
        <v>194</v>
      </c>
      <c r="D195" s="73" t="str">
        <f t="shared" ref="D195:D258" si="6">CONCATENATE(B195,"/",C195)</f>
        <v>MERKEZ/AKSARAY</v>
      </c>
      <c r="E195" s="9" t="s">
        <v>34</v>
      </c>
      <c r="F195" s="9" t="s">
        <v>34</v>
      </c>
      <c r="G195" t="s">
        <v>3366</v>
      </c>
      <c r="H195">
        <v>965.3</v>
      </c>
      <c r="I195">
        <v>96.53</v>
      </c>
      <c r="J195">
        <v>0</v>
      </c>
      <c r="K195">
        <v>0</v>
      </c>
      <c r="L195">
        <v>965.3</v>
      </c>
      <c r="M195">
        <v>96.53</v>
      </c>
      <c r="O195" s="79">
        <f>IFERROR(VLOOKUP(D195,'KAPANAN BLD.'!$C$2:$D$793,2,FALSE),0)</f>
        <v>0</v>
      </c>
      <c r="P195" s="79">
        <v>0</v>
      </c>
    </row>
    <row r="196" spans="1:16" x14ac:dyDescent="0.25">
      <c r="A196" t="s">
        <v>32</v>
      </c>
      <c r="B196" s="73" t="str">
        <f t="shared" si="5"/>
        <v>MERKEZ</v>
      </c>
      <c r="C196" t="s">
        <v>194</v>
      </c>
      <c r="D196" s="73" t="str">
        <f t="shared" si="6"/>
        <v>MERKEZ/AKSARAY</v>
      </c>
      <c r="E196" s="9" t="s">
        <v>34</v>
      </c>
      <c r="F196" s="9" t="s">
        <v>34</v>
      </c>
      <c r="G196" t="s">
        <v>3367</v>
      </c>
      <c r="H196">
        <v>2919.2</v>
      </c>
      <c r="I196">
        <v>291.92</v>
      </c>
      <c r="J196">
        <v>0</v>
      </c>
      <c r="K196">
        <v>0</v>
      </c>
      <c r="L196">
        <v>2919.2</v>
      </c>
      <c r="M196">
        <v>291.92</v>
      </c>
      <c r="O196" s="79">
        <f>IFERROR(VLOOKUP(D196,'KAPANAN BLD.'!$C$2:$D$793,2,FALSE),0)</f>
        <v>0</v>
      </c>
      <c r="P196" s="79">
        <v>0</v>
      </c>
    </row>
    <row r="197" spans="1:16" x14ac:dyDescent="0.25">
      <c r="A197" t="s">
        <v>32</v>
      </c>
      <c r="B197" s="73" t="str">
        <f t="shared" si="5"/>
        <v>MERKEZ</v>
      </c>
      <c r="C197" t="s">
        <v>194</v>
      </c>
      <c r="D197" s="73" t="str">
        <f t="shared" si="6"/>
        <v>MERKEZ/AKSARAY</v>
      </c>
      <c r="E197" t="s">
        <v>34</v>
      </c>
      <c r="F197" t="s">
        <v>34</v>
      </c>
      <c r="G197" t="s">
        <v>3367</v>
      </c>
      <c r="H197">
        <v>0.4</v>
      </c>
      <c r="I197">
        <v>0.04</v>
      </c>
      <c r="J197">
        <v>0</v>
      </c>
      <c r="K197">
        <v>0</v>
      </c>
      <c r="L197">
        <v>0.4</v>
      </c>
      <c r="M197">
        <v>0.04</v>
      </c>
      <c r="O197" s="79">
        <f>IFERROR(VLOOKUP(D197,'KAPANAN BLD.'!$C$2:$D$793,2,FALSE),0)</f>
        <v>0</v>
      </c>
      <c r="P197" s="79">
        <v>0</v>
      </c>
    </row>
    <row r="198" spans="1:16" x14ac:dyDescent="0.25">
      <c r="A198" t="s">
        <v>32</v>
      </c>
      <c r="B198" s="73" t="str">
        <f t="shared" si="5"/>
        <v>MERKEZ</v>
      </c>
      <c r="C198" t="s">
        <v>194</v>
      </c>
      <c r="D198" s="73" t="str">
        <f t="shared" si="6"/>
        <v>MERKEZ/AKSARAY</v>
      </c>
      <c r="E198" t="s">
        <v>34</v>
      </c>
      <c r="F198" t="s">
        <v>34</v>
      </c>
      <c r="G198" t="s">
        <v>3366</v>
      </c>
      <c r="H198">
        <v>1853.8</v>
      </c>
      <c r="I198">
        <v>185.38</v>
      </c>
      <c r="J198">
        <v>0</v>
      </c>
      <c r="K198">
        <v>0</v>
      </c>
      <c r="L198">
        <v>1853.8</v>
      </c>
      <c r="M198">
        <v>185.38</v>
      </c>
      <c r="O198" s="79">
        <f>IFERROR(VLOOKUP(D198,'KAPANAN BLD.'!$C$2:$D$793,2,FALSE),0)</f>
        <v>0</v>
      </c>
      <c r="P198" s="79">
        <v>0</v>
      </c>
    </row>
    <row r="199" spans="1:16" x14ac:dyDescent="0.25">
      <c r="A199" t="s">
        <v>32</v>
      </c>
      <c r="B199" s="73" t="str">
        <f t="shared" si="5"/>
        <v>MERKEZ</v>
      </c>
      <c r="C199" t="s">
        <v>194</v>
      </c>
      <c r="D199" s="73" t="str">
        <f t="shared" si="6"/>
        <v>MERKEZ/AKSARAY</v>
      </c>
      <c r="E199" t="s">
        <v>34</v>
      </c>
      <c r="F199" t="s">
        <v>34</v>
      </c>
      <c r="G199" t="s">
        <v>3366</v>
      </c>
      <c r="H199">
        <v>38.6</v>
      </c>
      <c r="I199">
        <v>3.86</v>
      </c>
      <c r="J199">
        <v>0</v>
      </c>
      <c r="K199">
        <v>0</v>
      </c>
      <c r="L199">
        <v>38.6</v>
      </c>
      <c r="M199">
        <v>3.86</v>
      </c>
      <c r="O199" s="79">
        <f>IFERROR(VLOOKUP(D199,'KAPANAN BLD.'!$C$2:$D$793,2,FALSE),0)</f>
        <v>0</v>
      </c>
      <c r="P199" s="79">
        <v>0</v>
      </c>
    </row>
    <row r="200" spans="1:16" x14ac:dyDescent="0.25">
      <c r="A200" t="s">
        <v>32</v>
      </c>
      <c r="B200" s="73" t="str">
        <f t="shared" si="5"/>
        <v>MERKEZ</v>
      </c>
      <c r="C200" t="s">
        <v>194</v>
      </c>
      <c r="D200" s="73" t="str">
        <f t="shared" si="6"/>
        <v>MERKEZ/AKSARAY</v>
      </c>
      <c r="E200" t="s">
        <v>34</v>
      </c>
      <c r="F200" t="s">
        <v>34</v>
      </c>
      <c r="G200" t="s">
        <v>3367</v>
      </c>
      <c r="H200">
        <v>95.5</v>
      </c>
      <c r="I200">
        <v>9.5500000000000007</v>
      </c>
      <c r="J200">
        <v>0</v>
      </c>
      <c r="K200">
        <v>0</v>
      </c>
      <c r="L200">
        <v>95.5</v>
      </c>
      <c r="M200">
        <v>9.5500000000000007</v>
      </c>
      <c r="O200" s="79">
        <f>IFERROR(VLOOKUP(D200,'KAPANAN BLD.'!$C$2:$D$793,2,FALSE),0)</f>
        <v>0</v>
      </c>
      <c r="P200" s="79">
        <v>0</v>
      </c>
    </row>
    <row r="201" spans="1:16" x14ac:dyDescent="0.25">
      <c r="A201" t="s">
        <v>32</v>
      </c>
      <c r="B201" s="73" t="str">
        <f t="shared" si="5"/>
        <v>MERKEZ</v>
      </c>
      <c r="C201" t="s">
        <v>194</v>
      </c>
      <c r="D201" s="73" t="str">
        <f t="shared" si="6"/>
        <v>MERKEZ/AKSARAY</v>
      </c>
      <c r="E201" t="s">
        <v>34</v>
      </c>
      <c r="F201" t="s">
        <v>34</v>
      </c>
      <c r="G201" t="s">
        <v>3366</v>
      </c>
      <c r="H201">
        <v>407.6</v>
      </c>
      <c r="I201">
        <v>40.76</v>
      </c>
      <c r="J201">
        <v>0</v>
      </c>
      <c r="K201">
        <v>0</v>
      </c>
      <c r="L201">
        <v>407.6</v>
      </c>
      <c r="M201">
        <v>40.76</v>
      </c>
      <c r="O201" s="79">
        <f>IFERROR(VLOOKUP(D201,'KAPANAN BLD.'!$C$2:$D$793,2,FALSE),0)</f>
        <v>0</v>
      </c>
      <c r="P201" s="79">
        <v>0</v>
      </c>
    </row>
    <row r="202" spans="1:16" x14ac:dyDescent="0.25">
      <c r="A202" t="s">
        <v>32</v>
      </c>
      <c r="B202" s="73" t="str">
        <f t="shared" si="5"/>
        <v>MERKEZ</v>
      </c>
      <c r="C202" t="s">
        <v>194</v>
      </c>
      <c r="D202" s="73" t="str">
        <f t="shared" si="6"/>
        <v>MERKEZ/AKSARAY</v>
      </c>
      <c r="E202" t="s">
        <v>34</v>
      </c>
      <c r="F202" t="s">
        <v>34</v>
      </c>
      <c r="G202" t="s">
        <v>3367</v>
      </c>
      <c r="H202">
        <v>1063.0999999999999</v>
      </c>
      <c r="I202">
        <v>106.31</v>
      </c>
      <c r="J202">
        <v>0</v>
      </c>
      <c r="K202">
        <v>0</v>
      </c>
      <c r="L202">
        <v>1063.0999999999999</v>
      </c>
      <c r="M202">
        <v>106.31</v>
      </c>
      <c r="O202" s="79">
        <f>IFERROR(VLOOKUP(D202,'KAPANAN BLD.'!$C$2:$D$793,2,FALSE),0)</f>
        <v>0</v>
      </c>
      <c r="P202" s="79">
        <v>0</v>
      </c>
    </row>
    <row r="203" spans="1:16" x14ac:dyDescent="0.25">
      <c r="A203" t="s">
        <v>32</v>
      </c>
      <c r="B203" s="73" t="str">
        <f t="shared" si="5"/>
        <v>MERKEZ</v>
      </c>
      <c r="C203" t="s">
        <v>194</v>
      </c>
      <c r="D203" s="73" t="str">
        <f t="shared" si="6"/>
        <v>MERKEZ/AKSARAY</v>
      </c>
      <c r="E203" t="s">
        <v>34</v>
      </c>
      <c r="F203" t="s">
        <v>34</v>
      </c>
      <c r="G203" t="s">
        <v>3366</v>
      </c>
      <c r="H203">
        <v>134.19999999999999</v>
      </c>
      <c r="I203">
        <v>13.42</v>
      </c>
      <c r="J203">
        <v>0</v>
      </c>
      <c r="K203">
        <v>0</v>
      </c>
      <c r="L203">
        <v>134.19999999999999</v>
      </c>
      <c r="M203">
        <v>13.42</v>
      </c>
      <c r="O203" s="79">
        <f>IFERROR(VLOOKUP(D203,'KAPANAN BLD.'!$C$2:$D$793,2,FALSE),0)</f>
        <v>0</v>
      </c>
      <c r="P203" s="79">
        <v>0</v>
      </c>
    </row>
    <row r="204" spans="1:16" x14ac:dyDescent="0.25">
      <c r="A204" t="s">
        <v>32</v>
      </c>
      <c r="B204" s="73" t="str">
        <f t="shared" si="5"/>
        <v>MERKEZ</v>
      </c>
      <c r="C204" t="s">
        <v>194</v>
      </c>
      <c r="D204" s="73" t="str">
        <f t="shared" si="6"/>
        <v>MERKEZ/AKSARAY</v>
      </c>
      <c r="E204" t="s">
        <v>34</v>
      </c>
      <c r="F204" t="s">
        <v>34</v>
      </c>
      <c r="G204" t="s">
        <v>3367</v>
      </c>
      <c r="H204">
        <v>177.3</v>
      </c>
      <c r="I204">
        <v>17.73</v>
      </c>
      <c r="J204">
        <v>0</v>
      </c>
      <c r="K204">
        <v>0</v>
      </c>
      <c r="L204">
        <v>177.3</v>
      </c>
      <c r="M204">
        <v>17.73</v>
      </c>
      <c r="O204" s="79">
        <f>IFERROR(VLOOKUP(D204,'KAPANAN BLD.'!$C$2:$D$793,2,FALSE),0)</f>
        <v>0</v>
      </c>
      <c r="P204" s="79">
        <v>0</v>
      </c>
    </row>
    <row r="205" spans="1:16" x14ac:dyDescent="0.25">
      <c r="A205" t="s">
        <v>32</v>
      </c>
      <c r="B205" s="73" t="str">
        <f t="shared" si="5"/>
        <v>MERKEZ</v>
      </c>
      <c r="C205" t="s">
        <v>194</v>
      </c>
      <c r="D205" s="73" t="str">
        <f t="shared" si="6"/>
        <v>MERKEZ/AKSARAY</v>
      </c>
      <c r="E205" t="s">
        <v>34</v>
      </c>
      <c r="F205" t="s">
        <v>34</v>
      </c>
      <c r="G205" t="s">
        <v>3366</v>
      </c>
      <c r="H205">
        <v>105.3</v>
      </c>
      <c r="I205">
        <v>10.53</v>
      </c>
      <c r="J205">
        <v>0</v>
      </c>
      <c r="K205">
        <v>0</v>
      </c>
      <c r="L205">
        <v>105.3</v>
      </c>
      <c r="M205">
        <v>10.53</v>
      </c>
      <c r="O205" s="79">
        <f>IFERROR(VLOOKUP(D205,'KAPANAN BLD.'!$C$2:$D$793,2,FALSE),0)</f>
        <v>0</v>
      </c>
      <c r="P205" s="79">
        <v>0</v>
      </c>
    </row>
    <row r="206" spans="1:16" x14ac:dyDescent="0.25">
      <c r="A206" t="s">
        <v>32</v>
      </c>
      <c r="B206" s="73" t="str">
        <f t="shared" si="5"/>
        <v>MERKEZ</v>
      </c>
      <c r="C206" t="s">
        <v>194</v>
      </c>
      <c r="D206" s="73" t="str">
        <f t="shared" si="6"/>
        <v>MERKEZ/AKSARAY</v>
      </c>
      <c r="E206" t="s">
        <v>34</v>
      </c>
      <c r="F206" t="s">
        <v>34</v>
      </c>
      <c r="G206" t="s">
        <v>3367</v>
      </c>
      <c r="H206">
        <v>184</v>
      </c>
      <c r="I206">
        <v>18.399999999999999</v>
      </c>
      <c r="J206">
        <v>0</v>
      </c>
      <c r="K206">
        <v>0</v>
      </c>
      <c r="L206">
        <v>184</v>
      </c>
      <c r="M206">
        <v>18.399999999999999</v>
      </c>
      <c r="O206" s="79">
        <f>IFERROR(VLOOKUP(D206,'KAPANAN BLD.'!$C$2:$D$793,2,FALSE),0)</f>
        <v>0</v>
      </c>
      <c r="P206" s="79">
        <v>0</v>
      </c>
    </row>
    <row r="207" spans="1:16" x14ac:dyDescent="0.25">
      <c r="A207" t="s">
        <v>32</v>
      </c>
      <c r="B207" s="73" t="str">
        <f t="shared" si="5"/>
        <v>ORTAKÖY</v>
      </c>
      <c r="C207" t="s">
        <v>194</v>
      </c>
      <c r="D207" s="73" t="str">
        <f t="shared" si="6"/>
        <v>ORTAKÖY/AKSARAY</v>
      </c>
      <c r="E207" t="s">
        <v>349</v>
      </c>
      <c r="F207" t="s">
        <v>349</v>
      </c>
      <c r="G207" t="s">
        <v>3367</v>
      </c>
      <c r="H207">
        <v>305</v>
      </c>
      <c r="I207">
        <v>30.5</v>
      </c>
      <c r="J207">
        <v>0</v>
      </c>
      <c r="K207">
        <v>0</v>
      </c>
      <c r="L207">
        <v>305</v>
      </c>
      <c r="M207">
        <v>30.5</v>
      </c>
      <c r="O207" s="79">
        <f>IFERROR(VLOOKUP(D207,'KAPANAN BLD.'!$C$2:$D$793,2,FALSE),0)</f>
        <v>0</v>
      </c>
      <c r="P207" s="79">
        <v>0</v>
      </c>
    </row>
    <row r="208" spans="1:16" x14ac:dyDescent="0.25">
      <c r="A208" t="s">
        <v>32</v>
      </c>
      <c r="B208" s="73" t="str">
        <f t="shared" si="5"/>
        <v>ORTAKÖY</v>
      </c>
      <c r="C208" t="s">
        <v>194</v>
      </c>
      <c r="D208" s="73" t="str">
        <f t="shared" si="6"/>
        <v>ORTAKÖY/AKSARAY</v>
      </c>
      <c r="E208" t="s">
        <v>349</v>
      </c>
      <c r="F208" t="s">
        <v>349</v>
      </c>
      <c r="G208" t="s">
        <v>3366</v>
      </c>
      <c r="H208">
        <v>297.89999999999998</v>
      </c>
      <c r="I208">
        <v>29.79</v>
      </c>
      <c r="J208">
        <v>0</v>
      </c>
      <c r="K208">
        <v>0</v>
      </c>
      <c r="L208">
        <v>297.89999999999998</v>
      </c>
      <c r="M208">
        <v>29.79</v>
      </c>
      <c r="O208" s="79">
        <f>IFERROR(VLOOKUP(D208,'KAPANAN BLD.'!$C$2:$D$793,2,FALSE),0)</f>
        <v>0</v>
      </c>
      <c r="P208" s="79">
        <v>0</v>
      </c>
    </row>
    <row r="209" spans="1:16" x14ac:dyDescent="0.25">
      <c r="A209" t="s">
        <v>32</v>
      </c>
      <c r="B209" s="73" t="str">
        <f t="shared" si="5"/>
        <v>ORTAKÖY</v>
      </c>
      <c r="C209" t="s">
        <v>194</v>
      </c>
      <c r="D209" s="73" t="str">
        <f t="shared" si="6"/>
        <v>ORTAKÖY/AKSARAY</v>
      </c>
      <c r="E209" t="s">
        <v>349</v>
      </c>
      <c r="F209" t="s">
        <v>349</v>
      </c>
      <c r="G209" t="s">
        <v>3366</v>
      </c>
      <c r="H209">
        <v>103.3</v>
      </c>
      <c r="I209">
        <v>10.33</v>
      </c>
      <c r="J209">
        <v>0</v>
      </c>
      <c r="K209">
        <v>0</v>
      </c>
      <c r="L209">
        <v>103.3</v>
      </c>
      <c r="M209">
        <v>10.33</v>
      </c>
      <c r="O209" s="79">
        <f>IFERROR(VLOOKUP(D209,'KAPANAN BLD.'!$C$2:$D$793,2,FALSE),0)</f>
        <v>0</v>
      </c>
      <c r="P209" s="79">
        <v>0</v>
      </c>
    </row>
    <row r="210" spans="1:16" x14ac:dyDescent="0.25">
      <c r="A210" t="s">
        <v>32</v>
      </c>
      <c r="B210" s="73" t="str">
        <f t="shared" si="5"/>
        <v>ORTAKÖY</v>
      </c>
      <c r="C210" t="s">
        <v>194</v>
      </c>
      <c r="D210" s="73" t="str">
        <f t="shared" si="6"/>
        <v>ORTAKÖY/AKSARAY</v>
      </c>
      <c r="E210" t="s">
        <v>349</v>
      </c>
      <c r="F210" t="s">
        <v>349</v>
      </c>
      <c r="G210" t="s">
        <v>3367</v>
      </c>
      <c r="H210">
        <v>5.4</v>
      </c>
      <c r="I210">
        <v>0.54</v>
      </c>
      <c r="J210">
        <v>0</v>
      </c>
      <c r="K210">
        <v>0</v>
      </c>
      <c r="L210">
        <v>5.4</v>
      </c>
      <c r="M210">
        <v>0.54</v>
      </c>
      <c r="O210" s="79">
        <f>IFERROR(VLOOKUP(D210,'KAPANAN BLD.'!$C$2:$D$793,2,FALSE),0)</f>
        <v>0</v>
      </c>
      <c r="P210" s="79">
        <v>0</v>
      </c>
    </row>
    <row r="211" spans="1:16" x14ac:dyDescent="0.25">
      <c r="A211" t="s">
        <v>32</v>
      </c>
      <c r="B211" s="73" t="str">
        <f t="shared" si="5"/>
        <v>MERKEZ</v>
      </c>
      <c r="C211" t="s">
        <v>194</v>
      </c>
      <c r="D211" s="73" t="str">
        <f t="shared" si="6"/>
        <v>MERKEZ/AKSARAY</v>
      </c>
      <c r="E211" s="9" t="s">
        <v>34</v>
      </c>
      <c r="F211" s="9" t="s">
        <v>34</v>
      </c>
      <c r="G211" t="s">
        <v>3367</v>
      </c>
      <c r="H211">
        <v>1194.0999999999999</v>
      </c>
      <c r="I211">
        <v>119.41</v>
      </c>
      <c r="J211">
        <v>0</v>
      </c>
      <c r="K211">
        <v>0</v>
      </c>
      <c r="L211">
        <v>1194.0999999999999</v>
      </c>
      <c r="M211">
        <v>119.41</v>
      </c>
      <c r="O211" s="79">
        <f>IFERROR(VLOOKUP(D211,'KAPANAN BLD.'!$C$2:$D$793,2,FALSE),0)</f>
        <v>0</v>
      </c>
      <c r="P211" s="79">
        <v>0</v>
      </c>
    </row>
    <row r="212" spans="1:16" x14ac:dyDescent="0.25">
      <c r="A212" t="s">
        <v>32</v>
      </c>
      <c r="B212" s="73" t="str">
        <f t="shared" si="5"/>
        <v>MERKEZ</v>
      </c>
      <c r="C212" t="s">
        <v>194</v>
      </c>
      <c r="D212" s="73" t="str">
        <f t="shared" si="6"/>
        <v>MERKEZ/AKSARAY</v>
      </c>
      <c r="E212" s="9" t="s">
        <v>34</v>
      </c>
      <c r="F212" s="9" t="s">
        <v>34</v>
      </c>
      <c r="G212" t="s">
        <v>3366</v>
      </c>
      <c r="H212">
        <v>919.5</v>
      </c>
      <c r="I212">
        <v>91.95</v>
      </c>
      <c r="J212">
        <v>0</v>
      </c>
      <c r="K212">
        <v>0</v>
      </c>
      <c r="L212">
        <v>919.5</v>
      </c>
      <c r="M212">
        <v>91.95</v>
      </c>
      <c r="O212" s="79">
        <f>IFERROR(VLOOKUP(D212,'KAPANAN BLD.'!$C$2:$D$793,2,FALSE),0)</f>
        <v>0</v>
      </c>
      <c r="P212" s="79">
        <v>0</v>
      </c>
    </row>
    <row r="213" spans="1:16" x14ac:dyDescent="0.25">
      <c r="A213" t="s">
        <v>32</v>
      </c>
      <c r="B213" s="73" t="str">
        <f t="shared" si="5"/>
        <v>MERKEZ</v>
      </c>
      <c r="C213" t="s">
        <v>194</v>
      </c>
      <c r="D213" s="73" t="str">
        <f t="shared" si="6"/>
        <v>MERKEZ/AKSARAY</v>
      </c>
      <c r="E213" s="9" t="s">
        <v>34</v>
      </c>
      <c r="F213" s="9" t="s">
        <v>34</v>
      </c>
      <c r="G213" t="s">
        <v>3367</v>
      </c>
      <c r="H213">
        <v>736.7</v>
      </c>
      <c r="I213">
        <v>73.67</v>
      </c>
      <c r="J213">
        <v>0</v>
      </c>
      <c r="K213">
        <v>0</v>
      </c>
      <c r="L213">
        <v>736.7</v>
      </c>
      <c r="M213">
        <v>73.67</v>
      </c>
      <c r="O213" s="79">
        <f>IFERROR(VLOOKUP(D213,'KAPANAN BLD.'!$C$2:$D$793,2,FALSE),0)</f>
        <v>0</v>
      </c>
      <c r="P213" s="79">
        <v>0</v>
      </c>
    </row>
    <row r="214" spans="1:16" x14ac:dyDescent="0.25">
      <c r="A214" t="s">
        <v>32</v>
      </c>
      <c r="B214" s="73" t="str">
        <f t="shared" si="5"/>
        <v>MERKEZ</v>
      </c>
      <c r="C214" t="s">
        <v>194</v>
      </c>
      <c r="D214" s="73" t="str">
        <f t="shared" si="6"/>
        <v>MERKEZ/AKSARAY</v>
      </c>
      <c r="E214" s="9" t="s">
        <v>34</v>
      </c>
      <c r="F214" s="9" t="s">
        <v>34</v>
      </c>
      <c r="G214" t="s">
        <v>3366</v>
      </c>
      <c r="H214">
        <v>603.4</v>
      </c>
      <c r="I214">
        <v>60.34</v>
      </c>
      <c r="J214">
        <v>0</v>
      </c>
      <c r="K214">
        <v>0</v>
      </c>
      <c r="L214">
        <v>603.4</v>
      </c>
      <c r="M214">
        <v>60.34</v>
      </c>
      <c r="O214" s="79">
        <f>IFERROR(VLOOKUP(D214,'KAPANAN BLD.'!$C$2:$D$793,2,FALSE),0)</f>
        <v>0</v>
      </c>
      <c r="P214" s="79">
        <v>0</v>
      </c>
    </row>
    <row r="215" spans="1:16" x14ac:dyDescent="0.25">
      <c r="A215" t="s">
        <v>32</v>
      </c>
      <c r="B215" s="73" t="str">
        <f t="shared" si="5"/>
        <v>GÜZELYURT</v>
      </c>
      <c r="C215" t="s">
        <v>194</v>
      </c>
      <c r="D215" s="73" t="str">
        <f t="shared" si="6"/>
        <v>GÜZELYURT/AKSARAY</v>
      </c>
      <c r="E215" s="9" t="s">
        <v>2395</v>
      </c>
      <c r="F215" s="9" t="s">
        <v>2395</v>
      </c>
      <c r="G215" t="s">
        <v>3367</v>
      </c>
      <c r="H215">
        <v>85.8</v>
      </c>
      <c r="I215">
        <v>8.58</v>
      </c>
      <c r="J215">
        <v>0</v>
      </c>
      <c r="K215">
        <v>0</v>
      </c>
      <c r="L215">
        <v>85.8</v>
      </c>
      <c r="M215">
        <v>8.58</v>
      </c>
      <c r="O215" s="79">
        <f>IFERROR(VLOOKUP(D215,'KAPANAN BLD.'!$C$2:$D$793,2,FALSE),0)</f>
        <v>0</v>
      </c>
      <c r="P215" s="79">
        <v>0</v>
      </c>
    </row>
    <row r="216" spans="1:16" x14ac:dyDescent="0.25">
      <c r="A216" t="s">
        <v>32</v>
      </c>
      <c r="B216" s="73" t="str">
        <f t="shared" si="5"/>
        <v>GÜZELYURT</v>
      </c>
      <c r="C216" t="s">
        <v>194</v>
      </c>
      <c r="D216" s="73" t="str">
        <f t="shared" si="6"/>
        <v>GÜZELYURT/AKSARAY</v>
      </c>
      <c r="E216" s="9" t="s">
        <v>2395</v>
      </c>
      <c r="F216" s="9" t="s">
        <v>2395</v>
      </c>
      <c r="G216" t="s">
        <v>3366</v>
      </c>
      <c r="H216">
        <v>51.9</v>
      </c>
      <c r="I216">
        <v>5.19</v>
      </c>
      <c r="J216">
        <v>0</v>
      </c>
      <c r="K216">
        <v>0</v>
      </c>
      <c r="L216">
        <v>51.9</v>
      </c>
      <c r="M216">
        <v>5.19</v>
      </c>
      <c r="O216" s="79">
        <f>IFERROR(VLOOKUP(D216,'KAPANAN BLD.'!$C$2:$D$793,2,FALSE),0)</f>
        <v>0</v>
      </c>
      <c r="P216" s="79">
        <v>0</v>
      </c>
    </row>
    <row r="217" spans="1:16" x14ac:dyDescent="0.25">
      <c r="A217" t="s">
        <v>32</v>
      </c>
      <c r="B217" s="73" t="str">
        <f t="shared" si="5"/>
        <v>MERKEZ</v>
      </c>
      <c r="C217" t="s">
        <v>194</v>
      </c>
      <c r="D217" s="73" t="str">
        <f t="shared" si="6"/>
        <v>MERKEZ/AKSARAY</v>
      </c>
      <c r="E217" s="9" t="s">
        <v>34</v>
      </c>
      <c r="F217" s="9" t="s">
        <v>34</v>
      </c>
      <c r="G217" t="s">
        <v>3366</v>
      </c>
      <c r="H217">
        <v>100.4</v>
      </c>
      <c r="I217">
        <v>10.039999999999999</v>
      </c>
      <c r="J217">
        <v>0</v>
      </c>
      <c r="K217">
        <v>0</v>
      </c>
      <c r="L217">
        <v>100.4</v>
      </c>
      <c r="M217">
        <v>10.039999999999999</v>
      </c>
      <c r="O217" s="79">
        <f>IFERROR(VLOOKUP(D217,'KAPANAN BLD.'!$C$2:$D$793,2,FALSE),0)</f>
        <v>0</v>
      </c>
      <c r="P217" s="79">
        <v>0</v>
      </c>
    </row>
    <row r="218" spans="1:16" x14ac:dyDescent="0.25">
      <c r="A218" t="s">
        <v>32</v>
      </c>
      <c r="B218" s="73" t="str">
        <f t="shared" si="5"/>
        <v>MERKEZ</v>
      </c>
      <c r="C218" t="s">
        <v>194</v>
      </c>
      <c r="D218" s="73" t="str">
        <f t="shared" si="6"/>
        <v>MERKEZ/AKSARAY</v>
      </c>
      <c r="E218" s="9" t="s">
        <v>34</v>
      </c>
      <c r="F218" s="9" t="s">
        <v>34</v>
      </c>
      <c r="G218" t="s">
        <v>3367</v>
      </c>
      <c r="H218">
        <v>559.29999999999995</v>
      </c>
      <c r="I218">
        <v>55.93</v>
      </c>
      <c r="J218">
        <v>0</v>
      </c>
      <c r="K218">
        <v>0</v>
      </c>
      <c r="L218">
        <v>559.29999999999995</v>
      </c>
      <c r="M218">
        <v>55.93</v>
      </c>
      <c r="O218" s="79">
        <f>IFERROR(VLOOKUP(D218,'KAPANAN BLD.'!$C$2:$D$793,2,FALSE),0)</f>
        <v>0</v>
      </c>
      <c r="P218" s="79">
        <v>0</v>
      </c>
    </row>
    <row r="219" spans="1:16" x14ac:dyDescent="0.25">
      <c r="A219" t="s">
        <v>32</v>
      </c>
      <c r="B219" s="73" t="str">
        <f t="shared" si="5"/>
        <v>SULTANHANI</v>
      </c>
      <c r="C219" t="s">
        <v>194</v>
      </c>
      <c r="D219" s="73" t="str">
        <f t="shared" si="6"/>
        <v>SULTANHANI/AKSARAY</v>
      </c>
      <c r="E219" t="s">
        <v>2124</v>
      </c>
      <c r="F219" t="s">
        <v>2124</v>
      </c>
      <c r="G219" t="s">
        <v>3366</v>
      </c>
      <c r="H219">
        <v>10439.700000000001</v>
      </c>
      <c r="I219">
        <v>1043.97</v>
      </c>
      <c r="J219">
        <v>6006.3</v>
      </c>
      <c r="K219">
        <v>600.63</v>
      </c>
      <c r="L219">
        <v>4433.3999999999996</v>
      </c>
      <c r="M219">
        <v>443.34</v>
      </c>
      <c r="O219" s="79">
        <f>IFERROR(VLOOKUP(D219,'KAPANAN BLD.'!$C$2:$D$793,2,FALSE),0)</f>
        <v>0</v>
      </c>
      <c r="P219" s="79">
        <v>0</v>
      </c>
    </row>
    <row r="220" spans="1:16" x14ac:dyDescent="0.25">
      <c r="A220" t="s">
        <v>32</v>
      </c>
      <c r="B220" s="73" t="str">
        <f t="shared" si="5"/>
        <v>SULTANHANI</v>
      </c>
      <c r="C220" t="s">
        <v>194</v>
      </c>
      <c r="D220" s="73" t="str">
        <f t="shared" si="6"/>
        <v>SULTANHANI/AKSARAY</v>
      </c>
      <c r="E220" t="s">
        <v>2124</v>
      </c>
      <c r="F220" t="s">
        <v>2124</v>
      </c>
      <c r="G220" t="s">
        <v>3367</v>
      </c>
      <c r="H220">
        <v>15822.4</v>
      </c>
      <c r="I220">
        <v>1582.24</v>
      </c>
      <c r="J220">
        <v>7826.9</v>
      </c>
      <c r="K220">
        <v>782.69</v>
      </c>
      <c r="L220">
        <v>7995.5</v>
      </c>
      <c r="M220">
        <v>799.55</v>
      </c>
      <c r="O220" s="79">
        <f>IFERROR(VLOOKUP(D220,'KAPANAN BLD.'!$C$2:$D$793,2,FALSE),0)</f>
        <v>0</v>
      </c>
      <c r="P220" s="79">
        <v>0</v>
      </c>
    </row>
    <row r="221" spans="1:16" x14ac:dyDescent="0.25">
      <c r="A221" t="s">
        <v>32</v>
      </c>
      <c r="B221" s="73" t="str">
        <f t="shared" si="5"/>
        <v>MERKEZ</v>
      </c>
      <c r="C221" t="s">
        <v>194</v>
      </c>
      <c r="D221" s="73" t="str">
        <f t="shared" si="6"/>
        <v>MERKEZ/AKSARAY</v>
      </c>
      <c r="E221" s="9" t="s">
        <v>34</v>
      </c>
      <c r="F221" s="9" t="s">
        <v>34</v>
      </c>
      <c r="G221" t="s">
        <v>3366</v>
      </c>
      <c r="H221">
        <v>24847.4</v>
      </c>
      <c r="I221">
        <v>2484.7399999999998</v>
      </c>
      <c r="J221">
        <v>0</v>
      </c>
      <c r="K221">
        <v>0</v>
      </c>
      <c r="L221">
        <v>24847.4</v>
      </c>
      <c r="M221">
        <v>2484.7399999999998</v>
      </c>
      <c r="O221" s="79">
        <f>IFERROR(VLOOKUP(D221,'KAPANAN BLD.'!$C$2:$D$793,2,FALSE),0)</f>
        <v>0</v>
      </c>
      <c r="P221" s="79">
        <v>0</v>
      </c>
    </row>
    <row r="222" spans="1:16" x14ac:dyDescent="0.25">
      <c r="A222" t="s">
        <v>32</v>
      </c>
      <c r="B222" s="73" t="str">
        <f t="shared" si="5"/>
        <v>MERKEZ</v>
      </c>
      <c r="C222" t="s">
        <v>194</v>
      </c>
      <c r="D222" s="73" t="str">
        <f t="shared" si="6"/>
        <v>MERKEZ/AKSARAY</v>
      </c>
      <c r="E222" s="9" t="s">
        <v>34</v>
      </c>
      <c r="F222" s="9" t="s">
        <v>34</v>
      </c>
      <c r="G222" t="s">
        <v>3367</v>
      </c>
      <c r="H222">
        <v>12169.6</v>
      </c>
      <c r="I222">
        <v>1216.96</v>
      </c>
      <c r="J222">
        <v>0</v>
      </c>
      <c r="K222">
        <v>0</v>
      </c>
      <c r="L222">
        <v>12169.6</v>
      </c>
      <c r="M222">
        <v>1216.96</v>
      </c>
      <c r="O222" s="79">
        <f>IFERROR(VLOOKUP(D222,'KAPANAN BLD.'!$C$2:$D$793,2,FALSE),0)</f>
        <v>0</v>
      </c>
      <c r="P222" s="79">
        <v>0</v>
      </c>
    </row>
    <row r="223" spans="1:16" x14ac:dyDescent="0.25">
      <c r="A223" t="s">
        <v>32</v>
      </c>
      <c r="B223" s="73" t="str">
        <f t="shared" si="5"/>
        <v>MERKEZ</v>
      </c>
      <c r="C223" t="s">
        <v>194</v>
      </c>
      <c r="D223" s="73" t="str">
        <f t="shared" si="6"/>
        <v>MERKEZ/AKSARAY</v>
      </c>
      <c r="E223" s="9" t="s">
        <v>34</v>
      </c>
      <c r="F223" s="9" t="s">
        <v>34</v>
      </c>
      <c r="G223" t="s">
        <v>3366</v>
      </c>
      <c r="H223">
        <v>179.6</v>
      </c>
      <c r="I223">
        <v>17.96</v>
      </c>
      <c r="J223">
        <v>0.4</v>
      </c>
      <c r="K223">
        <v>0.04</v>
      </c>
      <c r="L223">
        <v>179.2</v>
      </c>
      <c r="M223">
        <v>17.920000000000002</v>
      </c>
      <c r="O223" s="79">
        <f>IFERROR(VLOOKUP(D223,'KAPANAN BLD.'!$C$2:$D$793,2,FALSE),0)</f>
        <v>0</v>
      </c>
      <c r="P223" s="79">
        <v>0</v>
      </c>
    </row>
    <row r="224" spans="1:16" x14ac:dyDescent="0.25">
      <c r="A224" t="s">
        <v>32</v>
      </c>
      <c r="B224" s="73" t="str">
        <f t="shared" si="5"/>
        <v>MERKEZ</v>
      </c>
      <c r="C224" t="s">
        <v>194</v>
      </c>
      <c r="D224" s="73" t="str">
        <f t="shared" si="6"/>
        <v>MERKEZ/AKSARAY</v>
      </c>
      <c r="E224" s="9" t="s">
        <v>34</v>
      </c>
      <c r="F224" s="9" t="s">
        <v>34</v>
      </c>
      <c r="G224" t="s">
        <v>3367</v>
      </c>
      <c r="H224">
        <v>78.099999999999994</v>
      </c>
      <c r="I224">
        <v>7.81</v>
      </c>
      <c r="J224">
        <v>0.2</v>
      </c>
      <c r="K224">
        <v>0.02</v>
      </c>
      <c r="L224">
        <v>77.900000000000006</v>
      </c>
      <c r="M224">
        <v>7.79</v>
      </c>
      <c r="O224" s="79">
        <f>IFERROR(VLOOKUP(D224,'KAPANAN BLD.'!$C$2:$D$793,2,FALSE),0)</f>
        <v>0</v>
      </c>
      <c r="P224" s="79">
        <v>0</v>
      </c>
    </row>
    <row r="225" spans="1:16" x14ac:dyDescent="0.25">
      <c r="A225" t="s">
        <v>32</v>
      </c>
      <c r="B225" s="73" t="str">
        <f t="shared" si="5"/>
        <v>MERKEZ</v>
      </c>
      <c r="C225" t="s">
        <v>194</v>
      </c>
      <c r="D225" s="73" t="str">
        <f t="shared" si="6"/>
        <v>MERKEZ/AKSARAY</v>
      </c>
      <c r="E225" s="9" t="s">
        <v>34</v>
      </c>
      <c r="F225" s="9" t="s">
        <v>34</v>
      </c>
      <c r="G225" t="s">
        <v>3366</v>
      </c>
      <c r="H225">
        <v>3195</v>
      </c>
      <c r="I225">
        <v>319.5</v>
      </c>
      <c r="J225">
        <v>0</v>
      </c>
      <c r="K225">
        <v>0</v>
      </c>
      <c r="L225">
        <v>3195</v>
      </c>
      <c r="M225">
        <v>319.5</v>
      </c>
      <c r="O225" s="79">
        <f>IFERROR(VLOOKUP(D225,'KAPANAN BLD.'!$C$2:$D$793,2,FALSE),0)</f>
        <v>0</v>
      </c>
      <c r="P225" s="79">
        <v>0</v>
      </c>
    </row>
    <row r="226" spans="1:16" x14ac:dyDescent="0.25">
      <c r="A226" t="s">
        <v>32</v>
      </c>
      <c r="B226" s="73" t="str">
        <f t="shared" si="5"/>
        <v>MERKEZ</v>
      </c>
      <c r="C226" t="s">
        <v>194</v>
      </c>
      <c r="D226" s="73" t="str">
        <f t="shared" si="6"/>
        <v>MERKEZ/AKSARAY</v>
      </c>
      <c r="E226" s="9" t="s">
        <v>34</v>
      </c>
      <c r="F226" s="9" t="s">
        <v>34</v>
      </c>
      <c r="G226" t="s">
        <v>3367</v>
      </c>
      <c r="H226">
        <v>524.20000000000005</v>
      </c>
      <c r="I226">
        <v>52.42</v>
      </c>
      <c r="J226">
        <v>0</v>
      </c>
      <c r="K226">
        <v>0</v>
      </c>
      <c r="L226">
        <v>524.20000000000005</v>
      </c>
      <c r="M226">
        <v>52.42</v>
      </c>
      <c r="O226" s="79">
        <f>IFERROR(VLOOKUP(D226,'KAPANAN BLD.'!$C$2:$D$793,2,FALSE),0)</f>
        <v>0</v>
      </c>
      <c r="P226" s="79">
        <v>0</v>
      </c>
    </row>
    <row r="227" spans="1:16" x14ac:dyDescent="0.25">
      <c r="A227" t="s">
        <v>32</v>
      </c>
      <c r="B227" s="73" t="str">
        <f t="shared" si="5"/>
        <v>MERKEZ</v>
      </c>
      <c r="C227" t="s">
        <v>194</v>
      </c>
      <c r="D227" s="73" t="str">
        <f t="shared" si="6"/>
        <v>MERKEZ/AKSARAY</v>
      </c>
      <c r="E227" s="9" t="s">
        <v>34</v>
      </c>
      <c r="F227" s="9" t="s">
        <v>34</v>
      </c>
      <c r="G227" t="s">
        <v>3367</v>
      </c>
      <c r="H227">
        <v>1318.6</v>
      </c>
      <c r="I227">
        <v>131.86000000000001</v>
      </c>
      <c r="J227">
        <v>0</v>
      </c>
      <c r="K227">
        <v>0</v>
      </c>
      <c r="L227">
        <v>1318.6</v>
      </c>
      <c r="M227">
        <v>131.86000000000001</v>
      </c>
      <c r="O227" s="79">
        <f>IFERROR(VLOOKUP(D227,'KAPANAN BLD.'!$C$2:$D$793,2,FALSE),0)</f>
        <v>0</v>
      </c>
      <c r="P227" s="79">
        <v>0</v>
      </c>
    </row>
    <row r="228" spans="1:16" x14ac:dyDescent="0.25">
      <c r="A228" t="s">
        <v>32</v>
      </c>
      <c r="B228" s="73" t="str">
        <f t="shared" si="5"/>
        <v>MERKEZ</v>
      </c>
      <c r="C228" t="s">
        <v>194</v>
      </c>
      <c r="D228" s="73" t="str">
        <f t="shared" si="6"/>
        <v>MERKEZ/AKSARAY</v>
      </c>
      <c r="E228" s="9" t="s">
        <v>34</v>
      </c>
      <c r="F228" s="9" t="s">
        <v>34</v>
      </c>
      <c r="G228" t="s">
        <v>3366</v>
      </c>
      <c r="H228">
        <v>181.6</v>
      </c>
      <c r="I228">
        <v>18.16</v>
      </c>
      <c r="J228">
        <v>0</v>
      </c>
      <c r="K228">
        <v>0</v>
      </c>
      <c r="L228">
        <v>181.6</v>
      </c>
      <c r="M228">
        <v>18.16</v>
      </c>
      <c r="O228" s="79">
        <f>IFERROR(VLOOKUP(D228,'KAPANAN BLD.'!$C$2:$D$793,2,FALSE),0)</f>
        <v>0</v>
      </c>
      <c r="P228" s="79">
        <v>0</v>
      </c>
    </row>
    <row r="229" spans="1:16" x14ac:dyDescent="0.25">
      <c r="A229" t="s">
        <v>32</v>
      </c>
      <c r="B229" s="73" t="str">
        <f t="shared" si="5"/>
        <v>MERKEZ</v>
      </c>
      <c r="C229" t="s">
        <v>194</v>
      </c>
      <c r="D229" s="73" t="str">
        <f t="shared" si="6"/>
        <v>MERKEZ/AKSARAY</v>
      </c>
      <c r="E229" s="9" t="s">
        <v>34</v>
      </c>
      <c r="F229" s="9" t="s">
        <v>34</v>
      </c>
      <c r="G229" t="s">
        <v>3367</v>
      </c>
      <c r="H229">
        <v>744.6</v>
      </c>
      <c r="I229">
        <v>74.459999999999994</v>
      </c>
      <c r="J229">
        <v>0</v>
      </c>
      <c r="K229">
        <v>0</v>
      </c>
      <c r="L229">
        <v>744.6</v>
      </c>
      <c r="M229">
        <v>74.459999999999994</v>
      </c>
      <c r="O229" s="79">
        <f>IFERROR(VLOOKUP(D229,'KAPANAN BLD.'!$C$2:$D$793,2,FALSE),0)</f>
        <v>0</v>
      </c>
      <c r="P229" s="79">
        <v>0</v>
      </c>
    </row>
    <row r="230" spans="1:16" x14ac:dyDescent="0.25">
      <c r="A230" t="s">
        <v>32</v>
      </c>
      <c r="B230" s="73" t="str">
        <f t="shared" si="5"/>
        <v>MERKEZ</v>
      </c>
      <c r="C230" t="s">
        <v>194</v>
      </c>
      <c r="D230" s="73" t="str">
        <f t="shared" si="6"/>
        <v>MERKEZ/AKSARAY</v>
      </c>
      <c r="E230" s="9" t="s">
        <v>34</v>
      </c>
      <c r="F230" s="9" t="s">
        <v>34</v>
      </c>
      <c r="G230" t="s">
        <v>3366</v>
      </c>
      <c r="H230">
        <v>2091.9</v>
      </c>
      <c r="I230">
        <v>209.19</v>
      </c>
      <c r="J230">
        <v>0</v>
      </c>
      <c r="K230">
        <v>0</v>
      </c>
      <c r="L230">
        <v>2091.9</v>
      </c>
      <c r="M230">
        <v>209.19</v>
      </c>
      <c r="O230" s="79">
        <f>IFERROR(VLOOKUP(D230,'KAPANAN BLD.'!$C$2:$D$793,2,FALSE),0)</f>
        <v>0</v>
      </c>
      <c r="P230" s="79">
        <v>0</v>
      </c>
    </row>
    <row r="231" spans="1:16" x14ac:dyDescent="0.25">
      <c r="A231" t="s">
        <v>32</v>
      </c>
      <c r="B231" s="73" t="str">
        <f t="shared" si="5"/>
        <v>MERKEZ</v>
      </c>
      <c r="C231" t="s">
        <v>194</v>
      </c>
      <c r="D231" s="73" t="str">
        <f t="shared" si="6"/>
        <v>MERKEZ/AKSARAY</v>
      </c>
      <c r="E231" s="9" t="s">
        <v>34</v>
      </c>
      <c r="F231" s="9" t="s">
        <v>34</v>
      </c>
      <c r="G231" t="s">
        <v>3367</v>
      </c>
      <c r="H231">
        <v>1418.4</v>
      </c>
      <c r="I231">
        <v>141.84</v>
      </c>
      <c r="J231">
        <v>0</v>
      </c>
      <c r="K231">
        <v>0</v>
      </c>
      <c r="L231">
        <v>1418.4</v>
      </c>
      <c r="M231">
        <v>141.84</v>
      </c>
      <c r="O231" s="79">
        <f>IFERROR(VLOOKUP(D231,'KAPANAN BLD.'!$C$2:$D$793,2,FALSE),0)</f>
        <v>0</v>
      </c>
      <c r="P231" s="79">
        <v>0</v>
      </c>
    </row>
    <row r="232" spans="1:16" x14ac:dyDescent="0.25">
      <c r="A232" t="s">
        <v>32</v>
      </c>
      <c r="B232" s="73" t="str">
        <f t="shared" si="5"/>
        <v>MERKEZ</v>
      </c>
      <c r="C232" t="s">
        <v>194</v>
      </c>
      <c r="D232" s="73" t="str">
        <f t="shared" si="6"/>
        <v>MERKEZ/AKSARAY</v>
      </c>
      <c r="E232" s="9" t="s">
        <v>34</v>
      </c>
      <c r="F232" s="9" t="s">
        <v>34</v>
      </c>
      <c r="G232" t="s">
        <v>3366</v>
      </c>
      <c r="H232">
        <v>359.7</v>
      </c>
      <c r="I232">
        <v>35.97</v>
      </c>
      <c r="J232">
        <v>0</v>
      </c>
      <c r="K232">
        <v>0</v>
      </c>
      <c r="L232">
        <v>359.7</v>
      </c>
      <c r="M232">
        <v>35.97</v>
      </c>
      <c r="O232" s="79">
        <f>IFERROR(VLOOKUP(D232,'KAPANAN BLD.'!$C$2:$D$793,2,FALSE),0)</f>
        <v>0</v>
      </c>
      <c r="P232" s="79">
        <v>0</v>
      </c>
    </row>
    <row r="233" spans="1:16" x14ac:dyDescent="0.25">
      <c r="A233" t="s">
        <v>32</v>
      </c>
      <c r="B233" s="73" t="str">
        <f t="shared" si="5"/>
        <v>MERKEZ</v>
      </c>
      <c r="C233" t="s">
        <v>194</v>
      </c>
      <c r="D233" s="73" t="str">
        <f t="shared" si="6"/>
        <v>MERKEZ/AKSARAY</v>
      </c>
      <c r="E233" s="9" t="s">
        <v>34</v>
      </c>
      <c r="F233" s="9" t="s">
        <v>34</v>
      </c>
      <c r="G233" t="s">
        <v>3367</v>
      </c>
      <c r="H233">
        <v>915.8</v>
      </c>
      <c r="I233">
        <v>91.58</v>
      </c>
      <c r="J233">
        <v>328.1</v>
      </c>
      <c r="K233">
        <v>32.81</v>
      </c>
      <c r="L233">
        <v>587.70000000000005</v>
      </c>
      <c r="M233">
        <v>58.77</v>
      </c>
      <c r="O233" s="79">
        <f>IFERROR(VLOOKUP(D233,'KAPANAN BLD.'!$C$2:$D$793,2,FALSE),0)</f>
        <v>0</v>
      </c>
      <c r="P233" s="79">
        <v>0</v>
      </c>
    </row>
    <row r="234" spans="1:16" x14ac:dyDescent="0.25">
      <c r="A234" t="s">
        <v>32</v>
      </c>
      <c r="B234" s="73" t="str">
        <f t="shared" si="5"/>
        <v>MERKEZ</v>
      </c>
      <c r="C234" t="s">
        <v>194</v>
      </c>
      <c r="D234" s="73" t="str">
        <f t="shared" si="6"/>
        <v>MERKEZ/AKSARAY</v>
      </c>
      <c r="E234" s="9" t="s">
        <v>34</v>
      </c>
      <c r="F234" s="9" t="s">
        <v>34</v>
      </c>
      <c r="G234" t="s">
        <v>3366</v>
      </c>
      <c r="H234">
        <v>472.8</v>
      </c>
      <c r="I234">
        <v>47.28</v>
      </c>
      <c r="J234">
        <v>0</v>
      </c>
      <c r="K234">
        <v>0</v>
      </c>
      <c r="L234">
        <v>472.8</v>
      </c>
      <c r="M234">
        <v>47.28</v>
      </c>
      <c r="O234" s="79">
        <f>IFERROR(VLOOKUP(D234,'KAPANAN BLD.'!$C$2:$D$793,2,FALSE),0)</f>
        <v>0</v>
      </c>
      <c r="P234" s="79">
        <v>0</v>
      </c>
    </row>
    <row r="235" spans="1:16" x14ac:dyDescent="0.25">
      <c r="A235" t="s">
        <v>32</v>
      </c>
      <c r="B235" s="73" t="str">
        <f t="shared" si="5"/>
        <v>MERKEZ</v>
      </c>
      <c r="C235" t="s">
        <v>38</v>
      </c>
      <c r="D235" s="73" t="str">
        <f t="shared" si="6"/>
        <v>MERKEZ/AMASYA</v>
      </c>
      <c r="E235" s="9" t="s">
        <v>34</v>
      </c>
      <c r="F235" s="9" t="s">
        <v>34</v>
      </c>
      <c r="G235" t="s">
        <v>3367</v>
      </c>
      <c r="H235">
        <v>1819.1</v>
      </c>
      <c r="I235">
        <v>181.91</v>
      </c>
      <c r="J235">
        <v>73.3</v>
      </c>
      <c r="K235">
        <v>7.33</v>
      </c>
      <c r="L235">
        <v>1745.8</v>
      </c>
      <c r="M235">
        <v>174.58</v>
      </c>
      <c r="O235" s="79">
        <f>IFERROR(VLOOKUP(D235,'KAPANAN BLD.'!$C$2:$D$793,2,FALSE),0)</f>
        <v>0</v>
      </c>
      <c r="P235" s="79">
        <v>0</v>
      </c>
    </row>
    <row r="236" spans="1:16" x14ac:dyDescent="0.25">
      <c r="A236" t="s">
        <v>32</v>
      </c>
      <c r="B236" s="73" t="str">
        <f t="shared" si="5"/>
        <v>MERKEZ</v>
      </c>
      <c r="C236" t="s">
        <v>38</v>
      </c>
      <c r="D236" s="73" t="str">
        <f t="shared" si="6"/>
        <v>MERKEZ/AMASYA</v>
      </c>
      <c r="E236" s="9" t="s">
        <v>34</v>
      </c>
      <c r="F236" s="9" t="s">
        <v>34</v>
      </c>
      <c r="G236" t="s">
        <v>3366</v>
      </c>
      <c r="H236">
        <v>7547.3</v>
      </c>
      <c r="I236">
        <v>754.73</v>
      </c>
      <c r="J236">
        <v>496.7</v>
      </c>
      <c r="K236">
        <v>49.67</v>
      </c>
      <c r="L236">
        <v>7050.6</v>
      </c>
      <c r="M236">
        <v>705.06</v>
      </c>
      <c r="O236" s="79">
        <f>IFERROR(VLOOKUP(D236,'KAPANAN BLD.'!$C$2:$D$793,2,FALSE),0)</f>
        <v>0</v>
      </c>
      <c r="P236" s="79">
        <v>0</v>
      </c>
    </row>
    <row r="237" spans="1:16" x14ac:dyDescent="0.25">
      <c r="A237" t="s">
        <v>32</v>
      </c>
      <c r="B237" s="73" t="str">
        <f t="shared" ref="B237:B262" si="7">F237</f>
        <v>GÖYNÜCEK</v>
      </c>
      <c r="C237" t="s">
        <v>38</v>
      </c>
      <c r="D237" s="73" t="str">
        <f t="shared" si="6"/>
        <v>GÖYNÜCEK/AMASYA</v>
      </c>
      <c r="E237" s="9" t="s">
        <v>2624</v>
      </c>
      <c r="F237" s="9" t="s">
        <v>2624</v>
      </c>
      <c r="G237" t="s">
        <v>3367</v>
      </c>
      <c r="H237">
        <v>5.4</v>
      </c>
      <c r="I237">
        <v>0.54</v>
      </c>
      <c r="J237">
        <v>0</v>
      </c>
      <c r="K237">
        <v>0</v>
      </c>
      <c r="L237">
        <v>5.4</v>
      </c>
      <c r="M237">
        <v>0.54</v>
      </c>
      <c r="O237" s="79">
        <f>IFERROR(VLOOKUP(D237,'KAPANAN BLD.'!$C$2:$D$793,2,FALSE),0)</f>
        <v>0</v>
      </c>
      <c r="P237" s="79">
        <v>0</v>
      </c>
    </row>
    <row r="238" spans="1:16" x14ac:dyDescent="0.25">
      <c r="A238" t="s">
        <v>32</v>
      </c>
      <c r="B238" s="73" t="str">
        <f t="shared" si="7"/>
        <v>GÖYNÜCEK</v>
      </c>
      <c r="C238" t="s">
        <v>38</v>
      </c>
      <c r="D238" s="73" t="str">
        <f t="shared" si="6"/>
        <v>GÖYNÜCEK/AMASYA</v>
      </c>
      <c r="E238" s="9" t="s">
        <v>2624</v>
      </c>
      <c r="F238" s="9" t="s">
        <v>2624</v>
      </c>
      <c r="G238" t="s">
        <v>3366</v>
      </c>
      <c r="H238">
        <v>103.3</v>
      </c>
      <c r="I238">
        <v>10.33</v>
      </c>
      <c r="J238">
        <v>0</v>
      </c>
      <c r="K238">
        <v>0</v>
      </c>
      <c r="L238">
        <v>103.3</v>
      </c>
      <c r="M238">
        <v>10.33</v>
      </c>
      <c r="O238" s="79">
        <f>IFERROR(VLOOKUP(D238,'KAPANAN BLD.'!$C$2:$D$793,2,FALSE),0)</f>
        <v>0</v>
      </c>
      <c r="P238" s="79">
        <v>0</v>
      </c>
    </row>
    <row r="239" spans="1:16" x14ac:dyDescent="0.25">
      <c r="A239" t="s">
        <v>32</v>
      </c>
      <c r="B239" s="73" t="str">
        <f t="shared" si="7"/>
        <v>GÜMÜŞHACIKÖY</v>
      </c>
      <c r="C239" t="s">
        <v>38</v>
      </c>
      <c r="D239" s="73" t="str">
        <f t="shared" si="6"/>
        <v>GÜMÜŞHACIKÖY/AMASYA</v>
      </c>
      <c r="E239" t="s">
        <v>427</v>
      </c>
      <c r="F239" t="s">
        <v>427</v>
      </c>
      <c r="G239" t="s">
        <v>3367</v>
      </c>
      <c r="H239">
        <v>377.1</v>
      </c>
      <c r="I239">
        <v>37.71</v>
      </c>
      <c r="J239">
        <v>0</v>
      </c>
      <c r="K239">
        <v>0</v>
      </c>
      <c r="L239">
        <v>377.1</v>
      </c>
      <c r="M239">
        <v>37.71</v>
      </c>
      <c r="O239" s="79">
        <f>IFERROR(VLOOKUP(D239,'KAPANAN BLD.'!$C$2:$D$793,2,FALSE),0)</f>
        <v>0</v>
      </c>
      <c r="P239" s="79">
        <v>0</v>
      </c>
    </row>
    <row r="240" spans="1:16" x14ac:dyDescent="0.25">
      <c r="A240" t="s">
        <v>32</v>
      </c>
      <c r="B240" s="73" t="str">
        <f t="shared" si="7"/>
        <v>GÜMÜŞHACIKÖY</v>
      </c>
      <c r="C240" t="s">
        <v>38</v>
      </c>
      <c r="D240" s="73" t="str">
        <f t="shared" si="6"/>
        <v>GÜMÜŞHACIKÖY/AMASYA</v>
      </c>
      <c r="E240" t="s">
        <v>427</v>
      </c>
      <c r="F240" t="s">
        <v>427</v>
      </c>
      <c r="G240" t="s">
        <v>3366</v>
      </c>
      <c r="H240">
        <v>313.3</v>
      </c>
      <c r="I240">
        <v>31.33</v>
      </c>
      <c r="J240">
        <v>0</v>
      </c>
      <c r="K240">
        <v>0</v>
      </c>
      <c r="L240">
        <v>313.3</v>
      </c>
      <c r="M240">
        <v>31.33</v>
      </c>
      <c r="O240" s="79">
        <f>IFERROR(VLOOKUP(D240,'KAPANAN BLD.'!$C$2:$D$793,2,FALSE),0)</f>
        <v>0</v>
      </c>
      <c r="P240" s="79">
        <v>0</v>
      </c>
    </row>
    <row r="241" spans="1:16" x14ac:dyDescent="0.25">
      <c r="A241" t="s">
        <v>32</v>
      </c>
      <c r="B241" s="73" t="str">
        <f t="shared" si="7"/>
        <v>MERKEZ</v>
      </c>
      <c r="C241" t="s">
        <v>38</v>
      </c>
      <c r="D241" s="73" t="str">
        <f t="shared" si="6"/>
        <v>MERKEZ/AMASYA</v>
      </c>
      <c r="E241" t="s">
        <v>34</v>
      </c>
      <c r="F241" t="s">
        <v>34</v>
      </c>
      <c r="G241" t="s">
        <v>3366</v>
      </c>
      <c r="H241">
        <v>3542</v>
      </c>
      <c r="I241">
        <v>354.2</v>
      </c>
      <c r="J241">
        <v>25.8</v>
      </c>
      <c r="K241">
        <v>2.58</v>
      </c>
      <c r="L241">
        <v>3516.2</v>
      </c>
      <c r="M241">
        <v>351.62</v>
      </c>
      <c r="O241" s="79">
        <f>IFERROR(VLOOKUP(D241,'KAPANAN BLD.'!$C$2:$D$793,2,FALSE),0)</f>
        <v>0</v>
      </c>
      <c r="P241" s="79">
        <v>0</v>
      </c>
    </row>
    <row r="242" spans="1:16" x14ac:dyDescent="0.25">
      <c r="A242" t="s">
        <v>32</v>
      </c>
      <c r="B242" s="73" t="str">
        <f t="shared" si="7"/>
        <v>MERKEZ</v>
      </c>
      <c r="C242" t="s">
        <v>38</v>
      </c>
      <c r="D242" s="73" t="str">
        <f t="shared" si="6"/>
        <v>MERKEZ/AMASYA</v>
      </c>
      <c r="E242" t="s">
        <v>34</v>
      </c>
      <c r="F242" t="s">
        <v>34</v>
      </c>
      <c r="G242" t="s">
        <v>3367</v>
      </c>
      <c r="H242">
        <v>1926.8</v>
      </c>
      <c r="I242">
        <v>192.68</v>
      </c>
      <c r="J242">
        <v>24.9</v>
      </c>
      <c r="K242">
        <v>2.4900000000000002</v>
      </c>
      <c r="L242">
        <v>1901.9</v>
      </c>
      <c r="M242">
        <v>190.19</v>
      </c>
      <c r="O242" s="79">
        <f>IFERROR(VLOOKUP(D242,'KAPANAN BLD.'!$C$2:$D$793,2,FALSE),0)</f>
        <v>0</v>
      </c>
      <c r="P242" s="79">
        <v>0</v>
      </c>
    </row>
    <row r="243" spans="1:16" x14ac:dyDescent="0.25">
      <c r="A243" t="s">
        <v>32</v>
      </c>
      <c r="B243" s="73" t="str">
        <f t="shared" si="7"/>
        <v>MERKEZ</v>
      </c>
      <c r="C243" t="s">
        <v>38</v>
      </c>
      <c r="D243" s="73" t="str">
        <f t="shared" si="6"/>
        <v>MERKEZ/AMASYA</v>
      </c>
      <c r="E243" t="s">
        <v>34</v>
      </c>
      <c r="F243" t="s">
        <v>34</v>
      </c>
      <c r="G243" t="s">
        <v>3367</v>
      </c>
      <c r="H243">
        <v>4686.3999999999996</v>
      </c>
      <c r="I243">
        <v>468.64</v>
      </c>
      <c r="J243">
        <v>47.2</v>
      </c>
      <c r="K243">
        <v>4.72</v>
      </c>
      <c r="L243">
        <v>4639.2</v>
      </c>
      <c r="M243">
        <v>463.92</v>
      </c>
      <c r="O243" s="79">
        <f>IFERROR(VLOOKUP(D243,'KAPANAN BLD.'!$C$2:$D$793,2,FALSE),0)</f>
        <v>0</v>
      </c>
      <c r="P243" s="79">
        <v>0</v>
      </c>
    </row>
    <row r="244" spans="1:16" x14ac:dyDescent="0.25">
      <c r="A244" t="s">
        <v>32</v>
      </c>
      <c r="B244" s="73" t="str">
        <f t="shared" si="7"/>
        <v>MERKEZ</v>
      </c>
      <c r="C244" t="s">
        <v>38</v>
      </c>
      <c r="D244" s="73" t="str">
        <f t="shared" si="6"/>
        <v>MERKEZ/AMASYA</v>
      </c>
      <c r="E244" t="s">
        <v>34</v>
      </c>
      <c r="F244" t="s">
        <v>34</v>
      </c>
      <c r="G244" t="s">
        <v>3366</v>
      </c>
      <c r="H244">
        <v>20045.7</v>
      </c>
      <c r="I244">
        <v>2004.57</v>
      </c>
      <c r="J244">
        <v>24.4</v>
      </c>
      <c r="K244">
        <v>2.44</v>
      </c>
      <c r="L244">
        <v>20021.3</v>
      </c>
      <c r="M244">
        <v>2002.13</v>
      </c>
      <c r="O244" s="79">
        <f>IFERROR(VLOOKUP(D244,'KAPANAN BLD.'!$C$2:$D$793,2,FALSE),0)</f>
        <v>0</v>
      </c>
      <c r="P244" s="79">
        <v>0</v>
      </c>
    </row>
    <row r="245" spans="1:16" x14ac:dyDescent="0.25">
      <c r="A245" t="s">
        <v>32</v>
      </c>
      <c r="B245" s="73" t="str">
        <f t="shared" si="7"/>
        <v>MERKEZ</v>
      </c>
      <c r="C245" t="s">
        <v>38</v>
      </c>
      <c r="D245" s="73" t="str">
        <f t="shared" si="6"/>
        <v>MERKEZ/AMASYA</v>
      </c>
      <c r="E245" t="s">
        <v>34</v>
      </c>
      <c r="F245" t="s">
        <v>34</v>
      </c>
      <c r="G245" t="s">
        <v>3367</v>
      </c>
      <c r="H245">
        <v>4865</v>
      </c>
      <c r="I245">
        <v>486.5</v>
      </c>
      <c r="J245">
        <v>4.0999999999999996</v>
      </c>
      <c r="K245">
        <v>0.41</v>
      </c>
      <c r="L245">
        <v>4860.8999999999996</v>
      </c>
      <c r="M245">
        <v>486.09</v>
      </c>
      <c r="O245" s="79">
        <f>IFERROR(VLOOKUP(D245,'KAPANAN BLD.'!$C$2:$D$793,2,FALSE),0)</f>
        <v>0</v>
      </c>
      <c r="P245" s="79">
        <v>0</v>
      </c>
    </row>
    <row r="246" spans="1:16" x14ac:dyDescent="0.25">
      <c r="A246" t="s">
        <v>32</v>
      </c>
      <c r="B246" s="73" t="str">
        <f t="shared" si="7"/>
        <v>MERKEZ</v>
      </c>
      <c r="C246" t="s">
        <v>38</v>
      </c>
      <c r="D246" s="73" t="str">
        <f t="shared" si="6"/>
        <v>MERKEZ/AMASYA</v>
      </c>
      <c r="E246" t="s">
        <v>34</v>
      </c>
      <c r="F246" t="s">
        <v>34</v>
      </c>
      <c r="G246" t="s">
        <v>3366</v>
      </c>
      <c r="H246">
        <v>3796.2</v>
      </c>
      <c r="I246">
        <v>379.62</v>
      </c>
      <c r="J246">
        <v>55.4</v>
      </c>
      <c r="K246">
        <v>5.54</v>
      </c>
      <c r="L246">
        <v>3740.8</v>
      </c>
      <c r="M246">
        <v>374.08</v>
      </c>
      <c r="O246" s="79">
        <f>IFERROR(VLOOKUP(D246,'KAPANAN BLD.'!$C$2:$D$793,2,FALSE),0)</f>
        <v>0</v>
      </c>
      <c r="P246" s="79">
        <v>0</v>
      </c>
    </row>
    <row r="247" spans="1:16" x14ac:dyDescent="0.25">
      <c r="A247" t="s">
        <v>32</v>
      </c>
      <c r="B247" s="73" t="str">
        <f t="shared" si="7"/>
        <v>MERKEZ</v>
      </c>
      <c r="C247" t="s">
        <v>38</v>
      </c>
      <c r="D247" s="73" t="str">
        <f t="shared" si="6"/>
        <v>MERKEZ/AMASYA</v>
      </c>
      <c r="E247" t="s">
        <v>34</v>
      </c>
      <c r="F247" t="s">
        <v>34</v>
      </c>
      <c r="G247" t="s">
        <v>3367</v>
      </c>
      <c r="H247">
        <v>928.7</v>
      </c>
      <c r="I247">
        <v>92.87</v>
      </c>
      <c r="J247">
        <v>7.2</v>
      </c>
      <c r="K247">
        <v>0.72</v>
      </c>
      <c r="L247">
        <v>921.5</v>
      </c>
      <c r="M247">
        <v>92.15</v>
      </c>
      <c r="O247" s="79">
        <f>IFERROR(VLOOKUP(D247,'KAPANAN BLD.'!$C$2:$D$793,2,FALSE),0)</f>
        <v>0</v>
      </c>
      <c r="P247" s="79">
        <v>0</v>
      </c>
    </row>
    <row r="248" spans="1:16" x14ac:dyDescent="0.25">
      <c r="A248" t="s">
        <v>32</v>
      </c>
      <c r="B248" s="73" t="str">
        <f t="shared" si="7"/>
        <v>MERKEZ</v>
      </c>
      <c r="C248" t="s">
        <v>38</v>
      </c>
      <c r="D248" s="73" t="str">
        <f t="shared" si="6"/>
        <v>MERKEZ/AMASYA</v>
      </c>
      <c r="E248" t="s">
        <v>34</v>
      </c>
      <c r="F248" t="s">
        <v>34</v>
      </c>
      <c r="G248" t="s">
        <v>3366</v>
      </c>
      <c r="H248">
        <v>2396.6</v>
      </c>
      <c r="I248">
        <v>239.66</v>
      </c>
      <c r="J248">
        <v>0</v>
      </c>
      <c r="K248">
        <v>0</v>
      </c>
      <c r="L248">
        <v>2396.6</v>
      </c>
      <c r="M248">
        <v>239.66</v>
      </c>
      <c r="O248" s="79">
        <f>IFERROR(VLOOKUP(D248,'KAPANAN BLD.'!$C$2:$D$793,2,FALSE),0)</f>
        <v>0</v>
      </c>
      <c r="P248" s="79">
        <v>0</v>
      </c>
    </row>
    <row r="249" spans="1:16" x14ac:dyDescent="0.25">
      <c r="A249" t="s">
        <v>32</v>
      </c>
      <c r="B249" s="73" t="str">
        <f t="shared" si="7"/>
        <v>MERZİFON</v>
      </c>
      <c r="C249" t="s">
        <v>38</v>
      </c>
      <c r="D249" s="73" t="str">
        <f t="shared" si="6"/>
        <v>MERZİFON/AMASYA</v>
      </c>
      <c r="E249" t="s">
        <v>230</v>
      </c>
      <c r="F249" t="s">
        <v>230</v>
      </c>
      <c r="G249" t="s">
        <v>3366</v>
      </c>
      <c r="H249">
        <v>1852.7</v>
      </c>
      <c r="I249">
        <v>185.27</v>
      </c>
      <c r="J249">
        <v>402.8</v>
      </c>
      <c r="K249">
        <v>40.28</v>
      </c>
      <c r="L249">
        <v>1449.9</v>
      </c>
      <c r="M249">
        <v>144.99</v>
      </c>
      <c r="O249" s="79">
        <f>IFERROR(VLOOKUP(D249,'KAPANAN BLD.'!$C$2:$D$793,2,FALSE),0)</f>
        <v>0</v>
      </c>
      <c r="P249" s="79">
        <v>0</v>
      </c>
    </row>
    <row r="250" spans="1:16" x14ac:dyDescent="0.25">
      <c r="A250" t="s">
        <v>32</v>
      </c>
      <c r="B250" s="73" t="str">
        <f t="shared" si="7"/>
        <v>MERZİFON</v>
      </c>
      <c r="C250" t="s">
        <v>38</v>
      </c>
      <c r="D250" s="73" t="str">
        <f t="shared" si="6"/>
        <v>MERZİFON/AMASYA</v>
      </c>
      <c r="E250" t="s">
        <v>230</v>
      </c>
      <c r="F250" t="s">
        <v>230</v>
      </c>
      <c r="G250" t="s">
        <v>3367</v>
      </c>
      <c r="H250">
        <v>4148</v>
      </c>
      <c r="I250">
        <v>414.8</v>
      </c>
      <c r="J250">
        <v>45</v>
      </c>
      <c r="K250">
        <v>4.5</v>
      </c>
      <c r="L250">
        <v>4103</v>
      </c>
      <c r="M250">
        <v>410.3</v>
      </c>
      <c r="O250" s="79">
        <f>IFERROR(VLOOKUP(D250,'KAPANAN BLD.'!$C$2:$D$793,2,FALSE),0)</f>
        <v>0</v>
      </c>
      <c r="P250" s="79">
        <v>0</v>
      </c>
    </row>
    <row r="251" spans="1:16" x14ac:dyDescent="0.25">
      <c r="A251" t="s">
        <v>32</v>
      </c>
      <c r="B251" s="73" t="str">
        <f t="shared" si="7"/>
        <v>MERZİFON</v>
      </c>
      <c r="C251" t="s">
        <v>38</v>
      </c>
      <c r="D251" s="73" t="str">
        <f t="shared" si="6"/>
        <v>MERZİFON/AMASYA</v>
      </c>
      <c r="E251" t="s">
        <v>230</v>
      </c>
      <c r="F251" t="s">
        <v>230</v>
      </c>
      <c r="G251" t="s">
        <v>3367</v>
      </c>
      <c r="H251">
        <v>1100.4000000000001</v>
      </c>
      <c r="I251">
        <v>110.04</v>
      </c>
      <c r="J251">
        <v>0</v>
      </c>
      <c r="K251">
        <v>0</v>
      </c>
      <c r="L251">
        <v>1100.4000000000001</v>
      </c>
      <c r="M251">
        <v>110.04</v>
      </c>
      <c r="O251" s="79">
        <f>IFERROR(VLOOKUP(D251,'KAPANAN BLD.'!$C$2:$D$793,2,FALSE),0)</f>
        <v>0</v>
      </c>
      <c r="P251" s="79">
        <v>0</v>
      </c>
    </row>
    <row r="252" spans="1:16" x14ac:dyDescent="0.25">
      <c r="A252" t="s">
        <v>32</v>
      </c>
      <c r="B252" s="73" t="str">
        <f t="shared" si="7"/>
        <v>MERZİFON</v>
      </c>
      <c r="C252" t="s">
        <v>38</v>
      </c>
      <c r="D252" s="73" t="str">
        <f t="shared" si="6"/>
        <v>MERZİFON/AMASYA</v>
      </c>
      <c r="E252" t="s">
        <v>230</v>
      </c>
      <c r="F252" t="s">
        <v>230</v>
      </c>
      <c r="G252" t="s">
        <v>3366</v>
      </c>
      <c r="H252">
        <v>589.6</v>
      </c>
      <c r="I252">
        <v>58.96</v>
      </c>
      <c r="J252">
        <v>0</v>
      </c>
      <c r="K252">
        <v>0</v>
      </c>
      <c r="L252">
        <v>589.6</v>
      </c>
      <c r="M252">
        <v>58.96</v>
      </c>
      <c r="O252" s="79">
        <f>IFERROR(VLOOKUP(D252,'KAPANAN BLD.'!$C$2:$D$793,2,FALSE),0)</f>
        <v>0</v>
      </c>
      <c r="P252" s="79">
        <v>0</v>
      </c>
    </row>
    <row r="253" spans="1:16" x14ac:dyDescent="0.25">
      <c r="A253" t="s">
        <v>32</v>
      </c>
      <c r="B253" s="73" t="str">
        <f t="shared" si="7"/>
        <v>SULUOVA</v>
      </c>
      <c r="C253" t="s">
        <v>38</v>
      </c>
      <c r="D253" s="73" t="str">
        <f t="shared" si="6"/>
        <v>SULUOVA/AMASYA</v>
      </c>
      <c r="E253" t="s">
        <v>428</v>
      </c>
      <c r="F253" t="s">
        <v>428</v>
      </c>
      <c r="G253" t="s">
        <v>3367</v>
      </c>
      <c r="H253">
        <v>0</v>
      </c>
      <c r="I253">
        <v>0</v>
      </c>
      <c r="J253">
        <v>81.400000000000006</v>
      </c>
      <c r="K253">
        <v>8.14</v>
      </c>
      <c r="L253">
        <v>-81.400000000000006</v>
      </c>
      <c r="M253">
        <v>-8.14</v>
      </c>
      <c r="O253" s="79">
        <f>IFERROR(VLOOKUP(D253,'KAPANAN BLD.'!$C$2:$D$793,2,FALSE),0)</f>
        <v>0</v>
      </c>
      <c r="P253" s="79">
        <v>0</v>
      </c>
    </row>
    <row r="254" spans="1:16" x14ac:dyDescent="0.25">
      <c r="A254" t="s">
        <v>32</v>
      </c>
      <c r="B254" s="73" t="str">
        <f t="shared" si="7"/>
        <v>SULUOVA</v>
      </c>
      <c r="C254" t="s">
        <v>38</v>
      </c>
      <c r="D254" s="73" t="str">
        <f t="shared" si="6"/>
        <v>SULUOVA/AMASYA</v>
      </c>
      <c r="E254" t="s">
        <v>428</v>
      </c>
      <c r="F254" t="s">
        <v>428</v>
      </c>
      <c r="G254" t="s">
        <v>3367</v>
      </c>
      <c r="H254">
        <v>207</v>
      </c>
      <c r="I254">
        <v>20.7</v>
      </c>
      <c r="J254">
        <v>45</v>
      </c>
      <c r="K254">
        <v>4.5</v>
      </c>
      <c r="L254">
        <v>162</v>
      </c>
      <c r="M254">
        <v>16.2</v>
      </c>
      <c r="O254" s="79">
        <f>IFERROR(VLOOKUP(D254,'KAPANAN BLD.'!$C$2:$D$793,2,FALSE),0)</f>
        <v>0</v>
      </c>
      <c r="P254" s="79">
        <v>0</v>
      </c>
    </row>
    <row r="255" spans="1:16" x14ac:dyDescent="0.25">
      <c r="A255" t="s">
        <v>32</v>
      </c>
      <c r="B255" s="73" t="str">
        <f t="shared" si="7"/>
        <v>TAŞOVA</v>
      </c>
      <c r="C255" t="s">
        <v>38</v>
      </c>
      <c r="D255" s="73" t="str">
        <f t="shared" si="6"/>
        <v>TAŞOVA/AMASYA</v>
      </c>
      <c r="E255" t="s">
        <v>328</v>
      </c>
      <c r="F255" t="s">
        <v>328</v>
      </c>
      <c r="G255" t="s">
        <v>3367</v>
      </c>
      <c r="H255">
        <v>5.4</v>
      </c>
      <c r="I255">
        <v>0.54</v>
      </c>
      <c r="J255">
        <v>0</v>
      </c>
      <c r="K255">
        <v>0</v>
      </c>
      <c r="L255">
        <v>5.4</v>
      </c>
      <c r="M255">
        <v>0.54</v>
      </c>
      <c r="O255" s="79">
        <f>IFERROR(VLOOKUP(D255,'KAPANAN BLD.'!$C$2:$D$793,2,FALSE),0)</f>
        <v>0</v>
      </c>
      <c r="P255" s="79">
        <v>0</v>
      </c>
    </row>
    <row r="256" spans="1:16" x14ac:dyDescent="0.25">
      <c r="A256" t="s">
        <v>32</v>
      </c>
      <c r="B256" s="73" t="str">
        <f t="shared" si="7"/>
        <v>TAŞOVA</v>
      </c>
      <c r="C256" t="s">
        <v>38</v>
      </c>
      <c r="D256" s="73" t="str">
        <f t="shared" si="6"/>
        <v>TAŞOVA/AMASYA</v>
      </c>
      <c r="E256" t="s">
        <v>328</v>
      </c>
      <c r="F256" t="s">
        <v>328</v>
      </c>
      <c r="G256" t="s">
        <v>3366</v>
      </c>
      <c r="H256">
        <v>103.3</v>
      </c>
      <c r="I256">
        <v>10.33</v>
      </c>
      <c r="J256">
        <v>0</v>
      </c>
      <c r="K256">
        <v>0</v>
      </c>
      <c r="L256">
        <v>103.3</v>
      </c>
      <c r="M256">
        <v>10.33</v>
      </c>
      <c r="O256" s="79">
        <f>IFERROR(VLOOKUP(D256,'KAPANAN BLD.'!$C$2:$D$793,2,FALSE),0)</f>
        <v>0</v>
      </c>
      <c r="P256" s="79">
        <v>0</v>
      </c>
    </row>
    <row r="257" spans="1:16" x14ac:dyDescent="0.25">
      <c r="A257" t="s">
        <v>32</v>
      </c>
      <c r="B257" s="73" t="str">
        <f t="shared" si="7"/>
        <v>MERKEZ</v>
      </c>
      <c r="C257" t="s">
        <v>38</v>
      </c>
      <c r="D257" s="73" t="str">
        <f t="shared" si="6"/>
        <v>MERKEZ/AMASYA</v>
      </c>
      <c r="E257" s="9" t="s">
        <v>34</v>
      </c>
      <c r="F257" s="9" t="s">
        <v>34</v>
      </c>
      <c r="G257" t="s">
        <v>3367</v>
      </c>
      <c r="H257">
        <v>1468.7</v>
      </c>
      <c r="I257">
        <v>146.87</v>
      </c>
      <c r="J257">
        <v>0</v>
      </c>
      <c r="K257">
        <v>0</v>
      </c>
      <c r="L257">
        <v>1468.7</v>
      </c>
      <c r="M257">
        <v>146.87</v>
      </c>
      <c r="O257" s="79">
        <f>IFERROR(VLOOKUP(D257,'KAPANAN BLD.'!$C$2:$D$793,2,FALSE),0)</f>
        <v>0</v>
      </c>
      <c r="P257" s="79">
        <v>0</v>
      </c>
    </row>
    <row r="258" spans="1:16" x14ac:dyDescent="0.25">
      <c r="A258" t="s">
        <v>32</v>
      </c>
      <c r="B258" s="73" t="str">
        <f t="shared" si="7"/>
        <v>MERKEZ</v>
      </c>
      <c r="C258" t="s">
        <v>38</v>
      </c>
      <c r="D258" s="73" t="str">
        <f t="shared" si="6"/>
        <v>MERKEZ/AMASYA</v>
      </c>
      <c r="E258" s="9" t="s">
        <v>34</v>
      </c>
      <c r="F258" s="9" t="s">
        <v>34</v>
      </c>
      <c r="G258" t="s">
        <v>3366</v>
      </c>
      <c r="H258">
        <v>1233.8</v>
      </c>
      <c r="I258">
        <v>123.38</v>
      </c>
      <c r="J258">
        <v>0</v>
      </c>
      <c r="K258">
        <v>0</v>
      </c>
      <c r="L258">
        <v>1233.8</v>
      </c>
      <c r="M258">
        <v>123.38</v>
      </c>
      <c r="O258" s="79">
        <f>IFERROR(VLOOKUP(D258,'KAPANAN BLD.'!$C$2:$D$793,2,FALSE),0)</f>
        <v>0</v>
      </c>
      <c r="P258" s="79">
        <v>0</v>
      </c>
    </row>
    <row r="259" spans="1:16" x14ac:dyDescent="0.25">
      <c r="A259" t="s">
        <v>32</v>
      </c>
      <c r="B259" s="73" t="str">
        <f t="shared" si="7"/>
        <v>MERKEZ</v>
      </c>
      <c r="C259" t="s">
        <v>38</v>
      </c>
      <c r="D259" s="73" t="str">
        <f t="shared" ref="D259:D322" si="8">CONCATENATE(B259,"/",C259)</f>
        <v>MERKEZ/AMASYA</v>
      </c>
      <c r="E259" s="9" t="s">
        <v>34</v>
      </c>
      <c r="F259" s="9" t="s">
        <v>34</v>
      </c>
      <c r="G259" t="s">
        <v>3367</v>
      </c>
      <c r="H259">
        <v>2860.6</v>
      </c>
      <c r="I259">
        <v>286.06</v>
      </c>
      <c r="J259">
        <v>17</v>
      </c>
      <c r="K259">
        <v>1.7</v>
      </c>
      <c r="L259">
        <v>2843.6</v>
      </c>
      <c r="M259">
        <v>284.36</v>
      </c>
      <c r="O259" s="79">
        <f>IFERROR(VLOOKUP(D259,'KAPANAN BLD.'!$C$2:$D$793,2,FALSE),0)</f>
        <v>0</v>
      </c>
      <c r="P259" s="79">
        <v>0</v>
      </c>
    </row>
    <row r="260" spans="1:16" x14ac:dyDescent="0.25">
      <c r="A260" t="s">
        <v>32</v>
      </c>
      <c r="B260" s="73" t="str">
        <f t="shared" si="7"/>
        <v>MERKEZ</v>
      </c>
      <c r="C260" t="s">
        <v>38</v>
      </c>
      <c r="D260" s="73" t="str">
        <f t="shared" si="8"/>
        <v>MERKEZ/AMASYA</v>
      </c>
      <c r="E260" s="9" t="s">
        <v>34</v>
      </c>
      <c r="F260" s="9" t="s">
        <v>34</v>
      </c>
      <c r="G260" t="s">
        <v>3366</v>
      </c>
      <c r="H260">
        <v>6209.8</v>
      </c>
      <c r="I260">
        <v>620.98</v>
      </c>
      <c r="J260">
        <v>0</v>
      </c>
      <c r="K260">
        <v>0</v>
      </c>
      <c r="L260">
        <v>6209.8</v>
      </c>
      <c r="M260">
        <v>620.98</v>
      </c>
      <c r="O260" s="79">
        <f>IFERROR(VLOOKUP(D260,'KAPANAN BLD.'!$C$2:$D$793,2,FALSE),0)</f>
        <v>0</v>
      </c>
      <c r="P260" s="79">
        <v>0</v>
      </c>
    </row>
    <row r="261" spans="1:16" x14ac:dyDescent="0.25">
      <c r="A261" t="s">
        <v>32</v>
      </c>
      <c r="B261" s="73" t="str">
        <f t="shared" si="7"/>
        <v>MERKEZ</v>
      </c>
      <c r="C261" t="s">
        <v>38</v>
      </c>
      <c r="D261" s="73" t="str">
        <f t="shared" si="8"/>
        <v>MERKEZ/AMASYA</v>
      </c>
      <c r="E261" s="9" t="s">
        <v>34</v>
      </c>
      <c r="F261" s="9" t="s">
        <v>34</v>
      </c>
      <c r="G261" t="s">
        <v>3367</v>
      </c>
      <c r="H261">
        <v>441.1</v>
      </c>
      <c r="I261">
        <v>44.11</v>
      </c>
      <c r="J261">
        <v>0</v>
      </c>
      <c r="K261">
        <v>0</v>
      </c>
      <c r="L261">
        <v>441.1</v>
      </c>
      <c r="M261">
        <v>44.11</v>
      </c>
      <c r="O261" s="79">
        <f>IFERROR(VLOOKUP(D261,'KAPANAN BLD.'!$C$2:$D$793,2,FALSE),0)</f>
        <v>0</v>
      </c>
      <c r="P261" s="79">
        <v>0</v>
      </c>
    </row>
    <row r="262" spans="1:16" x14ac:dyDescent="0.25">
      <c r="A262" t="s">
        <v>32</v>
      </c>
      <c r="B262" s="73" t="str">
        <f t="shared" si="7"/>
        <v>MERKEZ</v>
      </c>
      <c r="C262" t="s">
        <v>38</v>
      </c>
      <c r="D262" s="73" t="str">
        <f t="shared" si="8"/>
        <v>MERKEZ/AMASYA</v>
      </c>
      <c r="E262" s="9" t="s">
        <v>34</v>
      </c>
      <c r="F262" s="9" t="s">
        <v>34</v>
      </c>
      <c r="G262" t="s">
        <v>3366</v>
      </c>
      <c r="H262">
        <v>724.6</v>
      </c>
      <c r="I262">
        <v>72.459999999999994</v>
      </c>
      <c r="J262">
        <v>0</v>
      </c>
      <c r="K262">
        <v>0</v>
      </c>
      <c r="L262">
        <v>724.6</v>
      </c>
      <c r="M262">
        <v>72.459999999999994</v>
      </c>
      <c r="O262" s="79">
        <f>IFERROR(VLOOKUP(D262,'KAPANAN BLD.'!$C$2:$D$793,2,FALSE),0)</f>
        <v>0</v>
      </c>
      <c r="P262" s="79">
        <v>0</v>
      </c>
    </row>
    <row r="263" spans="1:16" x14ac:dyDescent="0.25">
      <c r="A263" t="s">
        <v>32</v>
      </c>
      <c r="B263" s="73" t="str">
        <f>VLOOKUP(C263,'Büyükşehir List'!$C$2:$D$31,2,FALSE)</f>
        <v>ANKARA BÜYÜKŞEHİR</v>
      </c>
      <c r="C263" t="s">
        <v>31</v>
      </c>
      <c r="D263" s="73" t="str">
        <f t="shared" si="8"/>
        <v>ANKARA BÜYÜKŞEHİR/ANKARA</v>
      </c>
      <c r="E263" t="s">
        <v>4345</v>
      </c>
      <c r="F263" t="s">
        <v>4345</v>
      </c>
      <c r="G263" t="s">
        <v>3366</v>
      </c>
      <c r="H263">
        <v>2</v>
      </c>
      <c r="I263">
        <v>0.2</v>
      </c>
      <c r="J263">
        <v>0</v>
      </c>
      <c r="K263">
        <v>0</v>
      </c>
      <c r="L263">
        <v>2</v>
      </c>
      <c r="M263">
        <v>0.2</v>
      </c>
      <c r="O263" s="79">
        <f>IFERROR(VLOOKUP(D263,'KAPANAN BLD.'!$C$2:$D$793,2,FALSE),0)</f>
        <v>0</v>
      </c>
      <c r="P263" s="79">
        <v>0</v>
      </c>
    </row>
    <row r="264" spans="1:16" x14ac:dyDescent="0.25">
      <c r="A264" t="s">
        <v>32</v>
      </c>
      <c r="B264" s="73" t="str">
        <f>VLOOKUP(C264,'Büyükşehir List'!$C$2:$D$31,2,FALSE)</f>
        <v>ANKARA BÜYÜKŞEHİR</v>
      </c>
      <c r="C264" t="s">
        <v>31</v>
      </c>
      <c r="D264" s="73" t="str">
        <f t="shared" si="8"/>
        <v>ANKARA BÜYÜKŞEHİR/ANKARA</v>
      </c>
      <c r="E264" t="s">
        <v>4345</v>
      </c>
      <c r="F264" t="s">
        <v>4345</v>
      </c>
      <c r="G264" t="s">
        <v>3367</v>
      </c>
      <c r="H264">
        <v>2.7</v>
      </c>
      <c r="I264">
        <v>0.27</v>
      </c>
      <c r="J264">
        <v>0</v>
      </c>
      <c r="K264">
        <v>0</v>
      </c>
      <c r="L264">
        <v>2.7</v>
      </c>
      <c r="M264">
        <v>0.27</v>
      </c>
      <c r="O264" s="79">
        <f>IFERROR(VLOOKUP(D264,'KAPANAN BLD.'!$C$2:$D$793,2,FALSE),0)</f>
        <v>0</v>
      </c>
      <c r="P264" s="79">
        <v>0</v>
      </c>
    </row>
    <row r="265" spans="1:16" x14ac:dyDescent="0.25">
      <c r="A265" t="s">
        <v>32</v>
      </c>
      <c r="B265" s="73" t="str">
        <f>VLOOKUP(C265,'Büyükşehir List'!$C$2:$D$31,2,FALSE)</f>
        <v>ANKARA BÜYÜKŞEHİR</v>
      </c>
      <c r="C265" t="s">
        <v>31</v>
      </c>
      <c r="D265" s="73" t="str">
        <f t="shared" si="8"/>
        <v>ANKARA BÜYÜKŞEHİR/ANKARA</v>
      </c>
      <c r="E265" t="s">
        <v>1851</v>
      </c>
      <c r="F265" t="s">
        <v>1851</v>
      </c>
      <c r="G265" t="s">
        <v>3366</v>
      </c>
      <c r="H265">
        <v>2127.6</v>
      </c>
      <c r="I265">
        <v>212.76</v>
      </c>
      <c r="J265">
        <v>1275</v>
      </c>
      <c r="K265">
        <v>127.5</v>
      </c>
      <c r="L265">
        <v>852.6</v>
      </c>
      <c r="M265">
        <v>85.26</v>
      </c>
      <c r="O265" s="79">
        <f>IFERROR(VLOOKUP(D265,'KAPANAN BLD.'!$C$2:$D$793,2,FALSE),0)</f>
        <v>0</v>
      </c>
      <c r="P265" s="79">
        <v>0</v>
      </c>
    </row>
    <row r="266" spans="1:16" x14ac:dyDescent="0.25">
      <c r="A266" t="s">
        <v>32</v>
      </c>
      <c r="B266" s="73" t="str">
        <f>VLOOKUP(C266,'Büyükşehir List'!$C$2:$D$31,2,FALSE)</f>
        <v>ANKARA BÜYÜKŞEHİR</v>
      </c>
      <c r="C266" t="s">
        <v>31</v>
      </c>
      <c r="D266" s="73" t="str">
        <f t="shared" si="8"/>
        <v>ANKARA BÜYÜKŞEHİR/ANKARA</v>
      </c>
      <c r="E266" t="s">
        <v>1851</v>
      </c>
      <c r="F266" t="s">
        <v>1851</v>
      </c>
      <c r="G266" t="s">
        <v>3367</v>
      </c>
      <c r="H266">
        <v>2447.1</v>
      </c>
      <c r="I266">
        <v>244.71</v>
      </c>
      <c r="J266">
        <v>1041.5999999999999</v>
      </c>
      <c r="K266">
        <v>104.16</v>
      </c>
      <c r="L266">
        <v>1405.5</v>
      </c>
      <c r="M266">
        <v>140.55000000000001</v>
      </c>
      <c r="O266" s="79">
        <f>IFERROR(VLOOKUP(D266,'KAPANAN BLD.'!$C$2:$D$793,2,FALSE),0)</f>
        <v>0</v>
      </c>
      <c r="P266" s="79">
        <v>0</v>
      </c>
    </row>
    <row r="267" spans="1:16" x14ac:dyDescent="0.25">
      <c r="A267" t="s">
        <v>32</v>
      </c>
      <c r="B267" s="73" t="str">
        <f>VLOOKUP(C267,'Büyükşehir List'!$C$2:$D$31,2,FALSE)</f>
        <v>ANKARA BÜYÜKŞEHİR</v>
      </c>
      <c r="C267" t="s">
        <v>31</v>
      </c>
      <c r="D267" s="73" t="str">
        <f t="shared" si="8"/>
        <v>ANKARA BÜYÜKŞEHİR/ANKARA</v>
      </c>
      <c r="E267" t="s">
        <v>1851</v>
      </c>
      <c r="F267" t="s">
        <v>1851</v>
      </c>
      <c r="G267" t="s">
        <v>3367</v>
      </c>
      <c r="H267">
        <v>37824.49</v>
      </c>
      <c r="I267">
        <v>3782.45</v>
      </c>
      <c r="J267">
        <v>1294.0999999999999</v>
      </c>
      <c r="K267">
        <v>129.41</v>
      </c>
      <c r="L267">
        <v>36530.39</v>
      </c>
      <c r="M267">
        <v>3653.04</v>
      </c>
      <c r="O267" s="79">
        <f>IFERROR(VLOOKUP(D267,'KAPANAN BLD.'!$C$2:$D$793,2,FALSE),0)</f>
        <v>0</v>
      </c>
      <c r="P267" s="79">
        <v>0</v>
      </c>
    </row>
    <row r="268" spans="1:16" x14ac:dyDescent="0.25">
      <c r="A268" t="s">
        <v>32</v>
      </c>
      <c r="B268" s="73" t="str">
        <f>VLOOKUP(C268,'Büyükşehir List'!$C$2:$D$31,2,FALSE)</f>
        <v>ANKARA BÜYÜKŞEHİR</v>
      </c>
      <c r="C268" t="s">
        <v>31</v>
      </c>
      <c r="D268" s="73" t="str">
        <f t="shared" si="8"/>
        <v>ANKARA BÜYÜKŞEHİR/ANKARA</v>
      </c>
      <c r="E268" t="s">
        <v>1851</v>
      </c>
      <c r="F268" t="s">
        <v>1851</v>
      </c>
      <c r="G268" t="s">
        <v>3366</v>
      </c>
      <c r="H268">
        <v>63637.11</v>
      </c>
      <c r="I268">
        <v>6363.71</v>
      </c>
      <c r="J268">
        <v>4534.7</v>
      </c>
      <c r="K268">
        <v>453.47</v>
      </c>
      <c r="L268">
        <v>59102.41</v>
      </c>
      <c r="M268">
        <v>5910.24</v>
      </c>
      <c r="O268" s="79">
        <f>IFERROR(VLOOKUP(D268,'KAPANAN BLD.'!$C$2:$D$793,2,FALSE),0)</f>
        <v>0</v>
      </c>
      <c r="P268" s="79">
        <v>0</v>
      </c>
    </row>
    <row r="269" spans="1:16" x14ac:dyDescent="0.25">
      <c r="A269" t="s">
        <v>32</v>
      </c>
      <c r="B269" s="73" t="str">
        <f>VLOOKUP(C269,'Büyükşehir List'!$C$2:$D$31,2,FALSE)</f>
        <v>ANKARA BÜYÜKŞEHİR</v>
      </c>
      <c r="C269" t="s">
        <v>31</v>
      </c>
      <c r="D269" s="73" t="str">
        <f t="shared" si="8"/>
        <v>ANKARA BÜYÜKŞEHİR/ANKARA</v>
      </c>
      <c r="E269" t="s">
        <v>1851</v>
      </c>
      <c r="F269" t="s">
        <v>1851</v>
      </c>
      <c r="G269" t="s">
        <v>3367</v>
      </c>
      <c r="H269">
        <v>121</v>
      </c>
      <c r="I269">
        <v>12.1</v>
      </c>
      <c r="J269">
        <v>0</v>
      </c>
      <c r="K269">
        <v>0</v>
      </c>
      <c r="L269">
        <v>121</v>
      </c>
      <c r="M269">
        <v>12.1</v>
      </c>
      <c r="O269" s="79">
        <f>IFERROR(VLOOKUP(D269,'KAPANAN BLD.'!$C$2:$D$793,2,FALSE),0)</f>
        <v>0</v>
      </c>
      <c r="P269" s="79">
        <v>0</v>
      </c>
    </row>
    <row r="270" spans="1:16" x14ac:dyDescent="0.25">
      <c r="A270" t="s">
        <v>32</v>
      </c>
      <c r="B270" s="73" t="str">
        <f>VLOOKUP(C270,'Büyükşehir List'!$C$2:$D$31,2,FALSE)</f>
        <v>ANKARA BÜYÜKŞEHİR</v>
      </c>
      <c r="C270" t="s">
        <v>31</v>
      </c>
      <c r="D270" s="73" t="str">
        <f t="shared" si="8"/>
        <v>ANKARA BÜYÜKŞEHİR/ANKARA</v>
      </c>
      <c r="E270" t="s">
        <v>1851</v>
      </c>
      <c r="F270" t="s">
        <v>1851</v>
      </c>
      <c r="G270" t="s">
        <v>3366</v>
      </c>
      <c r="H270">
        <v>78</v>
      </c>
      <c r="I270">
        <v>7.8</v>
      </c>
      <c r="J270">
        <v>0</v>
      </c>
      <c r="K270">
        <v>0</v>
      </c>
      <c r="L270">
        <v>78</v>
      </c>
      <c r="M270">
        <v>7.8</v>
      </c>
      <c r="O270" s="79">
        <f>IFERROR(VLOOKUP(D270,'KAPANAN BLD.'!$C$2:$D$793,2,FALSE),0)</f>
        <v>0</v>
      </c>
      <c r="P270" s="79">
        <v>0</v>
      </c>
    </row>
    <row r="271" spans="1:16" x14ac:dyDescent="0.25">
      <c r="A271" t="s">
        <v>32</v>
      </c>
      <c r="B271" s="73" t="str">
        <f>VLOOKUP(C271,'Büyükşehir List'!$C$2:$D$31,2,FALSE)</f>
        <v>ANKARA BÜYÜKŞEHİR</v>
      </c>
      <c r="C271" t="s">
        <v>31</v>
      </c>
      <c r="D271" s="73" t="str">
        <f t="shared" si="8"/>
        <v>ANKARA BÜYÜKŞEHİR/ANKARA</v>
      </c>
      <c r="E271" t="s">
        <v>1851</v>
      </c>
      <c r="F271" t="s">
        <v>1851</v>
      </c>
      <c r="G271" t="s">
        <v>3367</v>
      </c>
      <c r="H271">
        <v>45</v>
      </c>
      <c r="I271">
        <v>4.5</v>
      </c>
      <c r="J271">
        <v>0</v>
      </c>
      <c r="K271">
        <v>0</v>
      </c>
      <c r="L271">
        <v>45</v>
      </c>
      <c r="M271">
        <v>4.5</v>
      </c>
      <c r="O271" s="79">
        <f>IFERROR(VLOOKUP(D271,'KAPANAN BLD.'!$C$2:$D$793,2,FALSE),0)</f>
        <v>0</v>
      </c>
      <c r="P271" s="79">
        <v>0</v>
      </c>
    </row>
    <row r="272" spans="1:16" x14ac:dyDescent="0.25">
      <c r="A272" t="s">
        <v>32</v>
      </c>
      <c r="B272" s="73" t="str">
        <f>VLOOKUP(C272,'Büyükşehir List'!$C$2:$D$31,2,FALSE)</f>
        <v>ANKARA BÜYÜKŞEHİR</v>
      </c>
      <c r="C272" t="s">
        <v>31</v>
      </c>
      <c r="D272" s="73" t="str">
        <f t="shared" si="8"/>
        <v>ANKARA BÜYÜKŞEHİR/ANKARA</v>
      </c>
      <c r="E272" t="s">
        <v>1851</v>
      </c>
      <c r="F272" t="s">
        <v>1851</v>
      </c>
      <c r="G272" t="s">
        <v>3366</v>
      </c>
      <c r="H272">
        <v>402.8</v>
      </c>
      <c r="I272">
        <v>40.28</v>
      </c>
      <c r="J272">
        <v>0</v>
      </c>
      <c r="K272">
        <v>0</v>
      </c>
      <c r="L272">
        <v>402.8</v>
      </c>
      <c r="M272">
        <v>40.28</v>
      </c>
      <c r="O272" s="79">
        <f>IFERROR(VLOOKUP(D272,'KAPANAN BLD.'!$C$2:$D$793,2,FALSE),0)</f>
        <v>0</v>
      </c>
      <c r="P272" s="79">
        <v>0</v>
      </c>
    </row>
    <row r="273" spans="1:16" x14ac:dyDescent="0.25">
      <c r="A273" t="s">
        <v>32</v>
      </c>
      <c r="B273" s="73" t="str">
        <f>VLOOKUP(C273,'Büyükşehir List'!$C$2:$D$31,2,FALSE)</f>
        <v>ANKARA BÜYÜKŞEHİR</v>
      </c>
      <c r="C273" t="s">
        <v>31</v>
      </c>
      <c r="D273" s="73" t="str">
        <f t="shared" si="8"/>
        <v>ANKARA BÜYÜKŞEHİR/ANKARA</v>
      </c>
      <c r="E273" t="s">
        <v>3473</v>
      </c>
      <c r="F273" t="s">
        <v>3473</v>
      </c>
      <c r="G273" t="s">
        <v>3366</v>
      </c>
      <c r="H273">
        <v>0</v>
      </c>
      <c r="I273">
        <v>0</v>
      </c>
      <c r="J273">
        <v>247.7</v>
      </c>
      <c r="K273">
        <v>24.77</v>
      </c>
      <c r="L273">
        <v>-247.7</v>
      </c>
      <c r="M273">
        <v>-24.77</v>
      </c>
      <c r="O273" s="79">
        <f>IFERROR(VLOOKUP(D273,'KAPANAN BLD.'!$C$2:$D$793,2,FALSE),0)</f>
        <v>0</v>
      </c>
      <c r="P273" s="79">
        <v>0</v>
      </c>
    </row>
    <row r="274" spans="1:16" x14ac:dyDescent="0.25">
      <c r="A274" t="s">
        <v>32</v>
      </c>
      <c r="B274" s="73" t="str">
        <f>VLOOKUP(C274,'Büyükşehir List'!$C$2:$D$31,2,FALSE)</f>
        <v>ANKARA BÜYÜKŞEHİR</v>
      </c>
      <c r="C274" t="s">
        <v>31</v>
      </c>
      <c r="D274" s="73" t="str">
        <f t="shared" si="8"/>
        <v>ANKARA BÜYÜKŞEHİR/ANKARA</v>
      </c>
      <c r="E274" t="s">
        <v>3473</v>
      </c>
      <c r="F274" t="s">
        <v>3473</v>
      </c>
      <c r="G274" t="s">
        <v>3367</v>
      </c>
      <c r="H274">
        <v>0</v>
      </c>
      <c r="I274">
        <v>0</v>
      </c>
      <c r="J274">
        <v>1.8</v>
      </c>
      <c r="K274">
        <v>0.18</v>
      </c>
      <c r="L274">
        <v>-1.8</v>
      </c>
      <c r="M274">
        <v>-0.18</v>
      </c>
      <c r="O274" s="79">
        <f>IFERROR(VLOOKUP(D274,'KAPANAN BLD.'!$C$2:$D$793,2,FALSE),0)</f>
        <v>0</v>
      </c>
      <c r="P274" s="79">
        <v>0</v>
      </c>
    </row>
    <row r="275" spans="1:16" x14ac:dyDescent="0.25">
      <c r="A275" t="s">
        <v>32</v>
      </c>
      <c r="B275" s="73" t="str">
        <f>VLOOKUP(C275,'Büyükşehir List'!$C$2:$D$31,2,FALSE)</f>
        <v>ANKARA BÜYÜKŞEHİR</v>
      </c>
      <c r="C275" t="s">
        <v>31</v>
      </c>
      <c r="D275" s="73" t="str">
        <f t="shared" si="8"/>
        <v>ANKARA BÜYÜKŞEHİR/ANKARA</v>
      </c>
      <c r="E275" t="s">
        <v>507</v>
      </c>
      <c r="F275" t="s">
        <v>507</v>
      </c>
      <c r="G275" t="s">
        <v>3366</v>
      </c>
      <c r="H275">
        <v>116</v>
      </c>
      <c r="I275">
        <v>11.6</v>
      </c>
      <c r="J275">
        <v>19.399999999999999</v>
      </c>
      <c r="K275">
        <v>1.94</v>
      </c>
      <c r="L275">
        <v>96.6</v>
      </c>
      <c r="M275">
        <v>9.66</v>
      </c>
      <c r="O275" s="79">
        <f>IFERROR(VLOOKUP(D275,'KAPANAN BLD.'!$C$2:$D$793,2,FALSE),0)</f>
        <v>0</v>
      </c>
      <c r="P275" s="79">
        <v>0</v>
      </c>
    </row>
    <row r="276" spans="1:16" x14ac:dyDescent="0.25">
      <c r="A276" t="s">
        <v>32</v>
      </c>
      <c r="B276" s="73" t="str">
        <f>VLOOKUP(C276,'Büyükşehir List'!$C$2:$D$31,2,FALSE)</f>
        <v>ANKARA BÜYÜKŞEHİR</v>
      </c>
      <c r="C276" t="s">
        <v>31</v>
      </c>
      <c r="D276" s="73" t="str">
        <f t="shared" si="8"/>
        <v>ANKARA BÜYÜKŞEHİR/ANKARA</v>
      </c>
      <c r="E276" t="s">
        <v>507</v>
      </c>
      <c r="F276" t="s">
        <v>507</v>
      </c>
      <c r="G276" t="s">
        <v>3367</v>
      </c>
      <c r="H276">
        <v>261.10000000000002</v>
      </c>
      <c r="I276">
        <v>26.11</v>
      </c>
      <c r="J276">
        <v>35</v>
      </c>
      <c r="K276">
        <v>3.5</v>
      </c>
      <c r="L276">
        <v>226.1</v>
      </c>
      <c r="M276">
        <v>22.61</v>
      </c>
      <c r="O276" s="79">
        <f>IFERROR(VLOOKUP(D276,'KAPANAN BLD.'!$C$2:$D$793,2,FALSE),0)</f>
        <v>0</v>
      </c>
      <c r="P276" s="79">
        <v>0</v>
      </c>
    </row>
    <row r="277" spans="1:16" x14ac:dyDescent="0.25">
      <c r="A277" t="s">
        <v>32</v>
      </c>
      <c r="B277" s="73" t="str">
        <f>VLOOKUP(C277,'Büyükşehir List'!$C$2:$D$31,2,FALSE)</f>
        <v>ANKARA BÜYÜKŞEHİR</v>
      </c>
      <c r="C277" t="s">
        <v>31</v>
      </c>
      <c r="D277" s="73" t="str">
        <f t="shared" si="8"/>
        <v>ANKARA BÜYÜKŞEHİR/ANKARA</v>
      </c>
      <c r="E277" t="s">
        <v>4373</v>
      </c>
      <c r="F277" t="s">
        <v>4373</v>
      </c>
      <c r="G277" t="s">
        <v>3366</v>
      </c>
      <c r="H277">
        <v>402.8</v>
      </c>
      <c r="I277">
        <v>40.28</v>
      </c>
      <c r="J277">
        <v>0</v>
      </c>
      <c r="K277">
        <v>0</v>
      </c>
      <c r="L277">
        <v>402.8</v>
      </c>
      <c r="M277">
        <v>40.28</v>
      </c>
      <c r="O277" s="79">
        <f>IFERROR(VLOOKUP(D277,'KAPANAN BLD.'!$C$2:$D$793,2,FALSE),0)</f>
        <v>0</v>
      </c>
      <c r="P277" s="79">
        <v>0</v>
      </c>
    </row>
    <row r="278" spans="1:16" x14ac:dyDescent="0.25">
      <c r="A278" t="s">
        <v>32</v>
      </c>
      <c r="B278" s="73" t="str">
        <f>VLOOKUP(C278,'Büyükşehir List'!$C$2:$D$31,2,FALSE)</f>
        <v>ANKARA BÜYÜKŞEHİR</v>
      </c>
      <c r="C278" t="s">
        <v>31</v>
      </c>
      <c r="D278" s="73" t="str">
        <f t="shared" si="8"/>
        <v>ANKARA BÜYÜKŞEHİR/ANKARA</v>
      </c>
      <c r="E278" t="s">
        <v>4373</v>
      </c>
      <c r="F278" t="s">
        <v>4373</v>
      </c>
      <c r="G278" t="s">
        <v>3367</v>
      </c>
      <c r="H278">
        <v>45</v>
      </c>
      <c r="I278">
        <v>4.5</v>
      </c>
      <c r="J278">
        <v>0</v>
      </c>
      <c r="K278">
        <v>0</v>
      </c>
      <c r="L278">
        <v>45</v>
      </c>
      <c r="M278">
        <v>4.5</v>
      </c>
      <c r="O278" s="79">
        <f>IFERROR(VLOOKUP(D278,'KAPANAN BLD.'!$C$2:$D$793,2,FALSE),0)</f>
        <v>0</v>
      </c>
      <c r="P278" s="79">
        <v>0</v>
      </c>
    </row>
    <row r="279" spans="1:16" x14ac:dyDescent="0.25">
      <c r="A279" t="s">
        <v>32</v>
      </c>
      <c r="B279" s="73" t="str">
        <f>VLOOKUP(C279,'Büyükşehir List'!$C$2:$D$31,2,FALSE)</f>
        <v>ANKARA BÜYÜKŞEHİR</v>
      </c>
      <c r="C279" t="s">
        <v>31</v>
      </c>
      <c r="D279" s="73" t="str">
        <f t="shared" si="8"/>
        <v>ANKARA BÜYÜKŞEHİR/ANKARA</v>
      </c>
      <c r="E279" t="s">
        <v>4447</v>
      </c>
      <c r="F279" t="s">
        <v>4447</v>
      </c>
      <c r="G279" t="s">
        <v>3367</v>
      </c>
      <c r="H279">
        <v>1687</v>
      </c>
      <c r="I279">
        <v>168.7</v>
      </c>
      <c r="J279">
        <v>5.7</v>
      </c>
      <c r="K279">
        <v>0.56999999999999995</v>
      </c>
      <c r="L279">
        <v>1681.3</v>
      </c>
      <c r="M279">
        <v>168.13</v>
      </c>
      <c r="O279" s="79">
        <f>IFERROR(VLOOKUP(D279,'KAPANAN BLD.'!$C$2:$D$793,2,FALSE),0)</f>
        <v>0</v>
      </c>
      <c r="P279" s="79">
        <v>0</v>
      </c>
    </row>
    <row r="280" spans="1:16" x14ac:dyDescent="0.25">
      <c r="A280" t="s">
        <v>32</v>
      </c>
      <c r="B280" s="73" t="str">
        <f>VLOOKUP(C280,'Büyükşehir List'!$C$2:$D$31,2,FALSE)</f>
        <v>ANKARA BÜYÜKŞEHİR</v>
      </c>
      <c r="C280" t="s">
        <v>31</v>
      </c>
      <c r="D280" s="73" t="str">
        <f t="shared" si="8"/>
        <v>ANKARA BÜYÜKŞEHİR/ANKARA</v>
      </c>
      <c r="E280" t="s">
        <v>4447</v>
      </c>
      <c r="F280" t="s">
        <v>4447</v>
      </c>
      <c r="G280" t="s">
        <v>3366</v>
      </c>
      <c r="H280">
        <v>270.10000000000002</v>
      </c>
      <c r="I280">
        <v>27.01</v>
      </c>
      <c r="J280">
        <v>4.3</v>
      </c>
      <c r="K280">
        <v>0.43</v>
      </c>
      <c r="L280">
        <v>265.8</v>
      </c>
      <c r="M280">
        <v>26.58</v>
      </c>
      <c r="O280" s="79">
        <f>IFERROR(VLOOKUP(D280,'KAPANAN BLD.'!$C$2:$D$793,2,FALSE),0)</f>
        <v>0</v>
      </c>
      <c r="P280" s="79">
        <v>0</v>
      </c>
    </row>
    <row r="281" spans="1:16" x14ac:dyDescent="0.25">
      <c r="A281" t="s">
        <v>32</v>
      </c>
      <c r="B281" s="73" t="str">
        <f>VLOOKUP(C281,'Büyükşehir List'!$C$2:$D$31,2,FALSE)</f>
        <v>ANKARA BÜYÜKŞEHİR</v>
      </c>
      <c r="C281" t="s">
        <v>31</v>
      </c>
      <c r="D281" s="73" t="str">
        <f t="shared" si="8"/>
        <v>ANKARA BÜYÜKŞEHİR/ANKARA</v>
      </c>
      <c r="E281" t="s">
        <v>3875</v>
      </c>
      <c r="F281" t="s">
        <v>3875</v>
      </c>
      <c r="G281" t="s">
        <v>3366</v>
      </c>
      <c r="H281">
        <v>884.2</v>
      </c>
      <c r="I281">
        <v>88.42</v>
      </c>
      <c r="J281">
        <v>0</v>
      </c>
      <c r="K281">
        <v>0</v>
      </c>
      <c r="L281">
        <v>884.2</v>
      </c>
      <c r="M281">
        <v>88.42</v>
      </c>
      <c r="O281" s="79">
        <f>IFERROR(VLOOKUP(D281,'KAPANAN BLD.'!$C$2:$D$793,2,FALSE),0)</f>
        <v>0</v>
      </c>
      <c r="P281" s="79">
        <v>0</v>
      </c>
    </row>
    <row r="282" spans="1:16" x14ac:dyDescent="0.25">
      <c r="A282" t="s">
        <v>32</v>
      </c>
      <c r="B282" s="73" t="str">
        <f>VLOOKUP(C282,'Büyükşehir List'!$C$2:$D$31,2,FALSE)</f>
        <v>ANKARA BÜYÜKŞEHİR</v>
      </c>
      <c r="C282" t="s">
        <v>31</v>
      </c>
      <c r="D282" s="73" t="str">
        <f t="shared" si="8"/>
        <v>ANKARA BÜYÜKŞEHİR/ANKARA</v>
      </c>
      <c r="E282" t="s">
        <v>3875</v>
      </c>
      <c r="F282" t="s">
        <v>3875</v>
      </c>
      <c r="G282" t="s">
        <v>3367</v>
      </c>
      <c r="H282">
        <v>1100.5999999999999</v>
      </c>
      <c r="I282">
        <v>110.06</v>
      </c>
      <c r="J282">
        <v>260.89999999999998</v>
      </c>
      <c r="K282">
        <v>26.09</v>
      </c>
      <c r="L282">
        <v>839.7</v>
      </c>
      <c r="M282">
        <v>83.97</v>
      </c>
      <c r="O282" s="79">
        <f>IFERROR(VLOOKUP(D282,'KAPANAN BLD.'!$C$2:$D$793,2,FALSE),0)</f>
        <v>0</v>
      </c>
      <c r="P282" s="79">
        <v>0</v>
      </c>
    </row>
    <row r="283" spans="1:16" x14ac:dyDescent="0.25">
      <c r="A283" t="s">
        <v>32</v>
      </c>
      <c r="B283" s="73" t="str">
        <f>VLOOKUP(C283,'Büyükşehir List'!$C$2:$D$31,2,FALSE)</f>
        <v>ANKARA BÜYÜKŞEHİR</v>
      </c>
      <c r="C283" t="s">
        <v>31</v>
      </c>
      <c r="D283" s="73" t="str">
        <f t="shared" si="8"/>
        <v>ANKARA BÜYÜKŞEHİR/ANKARA</v>
      </c>
      <c r="E283" t="s">
        <v>4006</v>
      </c>
      <c r="F283" t="s">
        <v>4006</v>
      </c>
      <c r="G283" t="s">
        <v>3367</v>
      </c>
      <c r="H283">
        <v>68.7</v>
      </c>
      <c r="I283">
        <v>6.87</v>
      </c>
      <c r="J283">
        <v>0</v>
      </c>
      <c r="K283">
        <v>0</v>
      </c>
      <c r="L283">
        <v>68.7</v>
      </c>
      <c r="M283">
        <v>6.87</v>
      </c>
      <c r="O283" s="79">
        <f>IFERROR(VLOOKUP(D283,'KAPANAN BLD.'!$C$2:$D$793,2,FALSE),0)</f>
        <v>0</v>
      </c>
      <c r="P283" s="79">
        <v>0</v>
      </c>
    </row>
    <row r="284" spans="1:16" x14ac:dyDescent="0.25">
      <c r="A284" t="s">
        <v>32</v>
      </c>
      <c r="B284" s="73" t="str">
        <f>VLOOKUP(C284,'Büyükşehir List'!$C$2:$D$31,2,FALSE)</f>
        <v>ANKARA BÜYÜKŞEHİR</v>
      </c>
      <c r="C284" t="s">
        <v>31</v>
      </c>
      <c r="D284" s="73" t="str">
        <f t="shared" si="8"/>
        <v>ANKARA BÜYÜKŞEHİR/ANKARA</v>
      </c>
      <c r="E284" t="s">
        <v>4006</v>
      </c>
      <c r="F284" t="s">
        <v>4006</v>
      </c>
      <c r="G284" t="s">
        <v>3366</v>
      </c>
      <c r="H284">
        <v>35.200000000000003</v>
      </c>
      <c r="I284">
        <v>3.52</v>
      </c>
      <c r="J284">
        <v>0</v>
      </c>
      <c r="K284">
        <v>0</v>
      </c>
      <c r="L284">
        <v>35.200000000000003</v>
      </c>
      <c r="M284">
        <v>3.52</v>
      </c>
      <c r="O284" s="79">
        <f>IFERROR(VLOOKUP(D284,'KAPANAN BLD.'!$C$2:$D$793,2,FALSE),0)</f>
        <v>0</v>
      </c>
      <c r="P284" s="79">
        <v>0</v>
      </c>
    </row>
    <row r="285" spans="1:16" x14ac:dyDescent="0.25">
      <c r="A285" t="s">
        <v>32</v>
      </c>
      <c r="B285" s="73" t="str">
        <f>VLOOKUP(C285,'Büyükşehir List'!$C$2:$D$31,2,FALSE)</f>
        <v>ANKARA BÜYÜKŞEHİR</v>
      </c>
      <c r="C285" t="s">
        <v>31</v>
      </c>
      <c r="D285" s="73" t="str">
        <f t="shared" si="8"/>
        <v>ANKARA BÜYÜKŞEHİR/ANKARA</v>
      </c>
      <c r="E285" t="s">
        <v>1851</v>
      </c>
      <c r="F285" t="s">
        <v>1851</v>
      </c>
      <c r="G285" t="s">
        <v>3366</v>
      </c>
      <c r="H285">
        <v>308171.88</v>
      </c>
      <c r="I285">
        <v>30817.200000000001</v>
      </c>
      <c r="J285">
        <v>19351.8</v>
      </c>
      <c r="K285">
        <v>1935.18</v>
      </c>
      <c r="L285">
        <v>288820.08</v>
      </c>
      <c r="M285">
        <v>28882.02</v>
      </c>
      <c r="O285" s="79">
        <f>IFERROR(VLOOKUP(D285,'KAPANAN BLD.'!$C$2:$D$793,2,FALSE),0)</f>
        <v>0</v>
      </c>
      <c r="P285" s="79">
        <v>0</v>
      </c>
    </row>
    <row r="286" spans="1:16" x14ac:dyDescent="0.25">
      <c r="A286" t="s">
        <v>32</v>
      </c>
      <c r="B286" s="73" t="str">
        <f>VLOOKUP(C286,'Büyükşehir List'!$C$2:$D$31,2,FALSE)</f>
        <v>ANKARA BÜYÜKŞEHİR</v>
      </c>
      <c r="C286" t="s">
        <v>31</v>
      </c>
      <c r="D286" s="73" t="str">
        <f t="shared" si="8"/>
        <v>ANKARA BÜYÜKŞEHİR/ANKARA</v>
      </c>
      <c r="E286" t="s">
        <v>1851</v>
      </c>
      <c r="F286" t="s">
        <v>1851</v>
      </c>
      <c r="G286" t="s">
        <v>3367</v>
      </c>
      <c r="H286">
        <v>449434.99</v>
      </c>
      <c r="I286">
        <v>44943.5</v>
      </c>
      <c r="J286">
        <v>26909.1</v>
      </c>
      <c r="K286">
        <v>2690.91</v>
      </c>
      <c r="L286">
        <v>422525.89</v>
      </c>
      <c r="M286">
        <v>42252.59</v>
      </c>
      <c r="O286" s="79">
        <f>IFERROR(VLOOKUP(D286,'KAPANAN BLD.'!$C$2:$D$793,2,FALSE),0)</f>
        <v>0</v>
      </c>
      <c r="P286" s="79">
        <v>0</v>
      </c>
    </row>
    <row r="287" spans="1:16" x14ac:dyDescent="0.25">
      <c r="A287" t="s">
        <v>32</v>
      </c>
      <c r="B287" s="73" t="str">
        <f>VLOOKUP(C287,'Büyükşehir List'!$C$2:$D$31,2,FALSE)</f>
        <v>ANKARA BÜYÜKŞEHİR</v>
      </c>
      <c r="C287" t="s">
        <v>31</v>
      </c>
      <c r="D287" s="73" t="str">
        <f t="shared" si="8"/>
        <v>ANKARA BÜYÜKŞEHİR/ANKARA</v>
      </c>
      <c r="E287" t="s">
        <v>1851</v>
      </c>
      <c r="F287" t="s">
        <v>1851</v>
      </c>
      <c r="G287" t="s">
        <v>3366</v>
      </c>
      <c r="H287">
        <v>2311.3000000000002</v>
      </c>
      <c r="I287">
        <v>231.13</v>
      </c>
      <c r="J287">
        <v>610.79999999999995</v>
      </c>
      <c r="K287">
        <v>61.08</v>
      </c>
      <c r="L287">
        <v>1700.5</v>
      </c>
      <c r="M287">
        <v>170.05</v>
      </c>
      <c r="O287" s="79">
        <f>IFERROR(VLOOKUP(D287,'KAPANAN BLD.'!$C$2:$D$793,2,FALSE),0)</f>
        <v>0</v>
      </c>
      <c r="P287" s="79">
        <v>0</v>
      </c>
    </row>
    <row r="288" spans="1:16" x14ac:dyDescent="0.25">
      <c r="A288" t="s">
        <v>32</v>
      </c>
      <c r="B288" s="73" t="str">
        <f>VLOOKUP(C288,'Büyükşehir List'!$C$2:$D$31,2,FALSE)</f>
        <v>ANKARA BÜYÜKŞEHİR</v>
      </c>
      <c r="C288" t="s">
        <v>31</v>
      </c>
      <c r="D288" s="73" t="str">
        <f t="shared" si="8"/>
        <v>ANKARA BÜYÜKŞEHİR/ANKARA</v>
      </c>
      <c r="E288" t="s">
        <v>1851</v>
      </c>
      <c r="F288" t="s">
        <v>1851</v>
      </c>
      <c r="G288" t="s">
        <v>3367</v>
      </c>
      <c r="H288">
        <v>10137.5</v>
      </c>
      <c r="I288">
        <v>1013.75</v>
      </c>
      <c r="J288">
        <v>250.9</v>
      </c>
      <c r="K288">
        <v>25.09</v>
      </c>
      <c r="L288">
        <v>9886.6</v>
      </c>
      <c r="M288">
        <v>988.66</v>
      </c>
      <c r="O288" s="79">
        <f>IFERROR(VLOOKUP(D288,'KAPANAN BLD.'!$C$2:$D$793,2,FALSE),0)</f>
        <v>0</v>
      </c>
      <c r="P288" s="79">
        <v>0</v>
      </c>
    </row>
    <row r="289" spans="1:16" x14ac:dyDescent="0.25">
      <c r="A289" t="s">
        <v>32</v>
      </c>
      <c r="B289" s="73" t="str">
        <f>VLOOKUP(C289,'Büyükşehir List'!$C$2:$D$31,2,FALSE)</f>
        <v>ANKARA BÜYÜKŞEHİR</v>
      </c>
      <c r="C289" t="s">
        <v>31</v>
      </c>
      <c r="D289" s="73" t="str">
        <f t="shared" si="8"/>
        <v>ANKARA BÜYÜKŞEHİR/ANKARA</v>
      </c>
      <c r="E289" t="s">
        <v>3728</v>
      </c>
      <c r="F289" t="s">
        <v>3728</v>
      </c>
      <c r="G289" t="s">
        <v>3366</v>
      </c>
      <c r="H289">
        <v>552</v>
      </c>
      <c r="I289">
        <v>55.2</v>
      </c>
      <c r="J289">
        <v>0</v>
      </c>
      <c r="K289">
        <v>0</v>
      </c>
      <c r="L289">
        <v>552</v>
      </c>
      <c r="M289">
        <v>55.2</v>
      </c>
      <c r="O289" s="79">
        <f>IFERROR(VLOOKUP(D289,'KAPANAN BLD.'!$C$2:$D$793,2,FALSE),0)</f>
        <v>0</v>
      </c>
      <c r="P289" s="79">
        <v>0</v>
      </c>
    </row>
    <row r="290" spans="1:16" x14ac:dyDescent="0.25">
      <c r="A290" t="s">
        <v>32</v>
      </c>
      <c r="B290" s="73" t="str">
        <f>VLOOKUP(C290,'Büyükşehir List'!$C$2:$D$31,2,FALSE)</f>
        <v>ANKARA BÜYÜKŞEHİR</v>
      </c>
      <c r="C290" t="s">
        <v>31</v>
      </c>
      <c r="D290" s="73" t="str">
        <f t="shared" si="8"/>
        <v>ANKARA BÜYÜKŞEHİR/ANKARA</v>
      </c>
      <c r="E290" t="s">
        <v>3728</v>
      </c>
      <c r="F290" t="s">
        <v>3728</v>
      </c>
      <c r="G290" t="s">
        <v>3367</v>
      </c>
      <c r="H290">
        <v>1184.4000000000001</v>
      </c>
      <c r="I290">
        <v>118.44</v>
      </c>
      <c r="J290">
        <v>0</v>
      </c>
      <c r="K290">
        <v>0</v>
      </c>
      <c r="L290">
        <v>1184.4000000000001</v>
      </c>
      <c r="M290">
        <v>118.44</v>
      </c>
      <c r="O290" s="79">
        <f>IFERROR(VLOOKUP(D290,'KAPANAN BLD.'!$C$2:$D$793,2,FALSE),0)</f>
        <v>0</v>
      </c>
      <c r="P290" s="79">
        <v>0</v>
      </c>
    </row>
    <row r="291" spans="1:16" x14ac:dyDescent="0.25">
      <c r="A291" t="s">
        <v>32</v>
      </c>
      <c r="B291" s="73" t="str">
        <f>VLOOKUP(C291,'Büyükşehir List'!$C$2:$D$31,2,FALSE)</f>
        <v>ANKARA BÜYÜKŞEHİR</v>
      </c>
      <c r="C291" t="s">
        <v>31</v>
      </c>
      <c r="D291" s="73" t="str">
        <f t="shared" si="8"/>
        <v>ANKARA BÜYÜKŞEHİR/ANKARA</v>
      </c>
      <c r="E291" t="s">
        <v>1851</v>
      </c>
      <c r="F291" t="s">
        <v>1851</v>
      </c>
      <c r="G291" t="s">
        <v>3367</v>
      </c>
      <c r="H291">
        <v>983.2</v>
      </c>
      <c r="I291">
        <v>98.32</v>
      </c>
      <c r="J291">
        <v>0</v>
      </c>
      <c r="K291">
        <v>0</v>
      </c>
      <c r="L291">
        <v>983.2</v>
      </c>
      <c r="M291">
        <v>98.32</v>
      </c>
      <c r="O291" s="79">
        <f>IFERROR(VLOOKUP(D291,'KAPANAN BLD.'!$C$2:$D$793,2,FALSE),0)</f>
        <v>0</v>
      </c>
      <c r="P291" s="79">
        <v>0</v>
      </c>
    </row>
    <row r="292" spans="1:16" x14ac:dyDescent="0.25">
      <c r="A292" t="s">
        <v>32</v>
      </c>
      <c r="B292" s="73" t="str">
        <f>VLOOKUP(C292,'Büyükşehir List'!$C$2:$D$31,2,FALSE)</f>
        <v>ANKARA BÜYÜKŞEHİR</v>
      </c>
      <c r="C292" t="s">
        <v>31</v>
      </c>
      <c r="D292" s="73" t="str">
        <f t="shared" si="8"/>
        <v>ANKARA BÜYÜKŞEHİR/ANKARA</v>
      </c>
      <c r="E292" t="s">
        <v>1851</v>
      </c>
      <c r="F292" t="s">
        <v>1851</v>
      </c>
      <c r="G292" t="s">
        <v>3366</v>
      </c>
      <c r="H292">
        <v>1010</v>
      </c>
      <c r="I292">
        <v>101</v>
      </c>
      <c r="J292">
        <v>0</v>
      </c>
      <c r="K292">
        <v>0</v>
      </c>
      <c r="L292">
        <v>1010</v>
      </c>
      <c r="M292">
        <v>101</v>
      </c>
      <c r="O292" s="79">
        <f>IFERROR(VLOOKUP(D292,'KAPANAN BLD.'!$C$2:$D$793,2,FALSE),0)</f>
        <v>0</v>
      </c>
      <c r="P292" s="79">
        <v>0</v>
      </c>
    </row>
    <row r="293" spans="1:16" x14ac:dyDescent="0.25">
      <c r="A293" t="s">
        <v>32</v>
      </c>
      <c r="B293" s="73" t="str">
        <f>VLOOKUP(C293,'Büyükşehir List'!$C$2:$D$31,2,FALSE)</f>
        <v>ANKARA BÜYÜKŞEHİR</v>
      </c>
      <c r="C293" t="s">
        <v>31</v>
      </c>
      <c r="D293" s="73" t="str">
        <f t="shared" si="8"/>
        <v>ANKARA BÜYÜKŞEHİR/ANKARA</v>
      </c>
      <c r="E293" t="s">
        <v>1851</v>
      </c>
      <c r="F293" t="s">
        <v>1851</v>
      </c>
      <c r="G293" t="s">
        <v>3366</v>
      </c>
      <c r="H293">
        <v>76769.899999999994</v>
      </c>
      <c r="I293">
        <v>7676.99</v>
      </c>
      <c r="J293">
        <v>27607.79</v>
      </c>
      <c r="K293">
        <v>2760.77</v>
      </c>
      <c r="L293">
        <v>49162.11</v>
      </c>
      <c r="M293">
        <v>4916.22</v>
      </c>
      <c r="O293" s="79">
        <f>IFERROR(VLOOKUP(D293,'KAPANAN BLD.'!$C$2:$D$793,2,FALSE),0)</f>
        <v>0</v>
      </c>
      <c r="P293" s="79">
        <v>0</v>
      </c>
    </row>
    <row r="294" spans="1:16" x14ac:dyDescent="0.25">
      <c r="A294" t="s">
        <v>32</v>
      </c>
      <c r="B294" s="73" t="str">
        <f>VLOOKUP(C294,'Büyükşehir List'!$C$2:$D$31,2,FALSE)</f>
        <v>ANKARA BÜYÜKŞEHİR</v>
      </c>
      <c r="C294" t="s">
        <v>31</v>
      </c>
      <c r="D294" s="73" t="str">
        <f t="shared" si="8"/>
        <v>ANKARA BÜYÜKŞEHİR/ANKARA</v>
      </c>
      <c r="E294" t="s">
        <v>1851</v>
      </c>
      <c r="F294" t="s">
        <v>1851</v>
      </c>
      <c r="G294" t="s">
        <v>3367</v>
      </c>
      <c r="H294">
        <v>74345.5</v>
      </c>
      <c r="I294">
        <v>7434.55</v>
      </c>
      <c r="J294">
        <v>4282.51</v>
      </c>
      <c r="K294">
        <v>428.25</v>
      </c>
      <c r="L294">
        <v>70062.990000000005</v>
      </c>
      <c r="M294">
        <v>7006.3</v>
      </c>
      <c r="O294" s="79">
        <f>IFERROR(VLOOKUP(D294,'KAPANAN BLD.'!$C$2:$D$793,2,FALSE),0)</f>
        <v>0</v>
      </c>
      <c r="P294" s="79">
        <v>0</v>
      </c>
    </row>
    <row r="295" spans="1:16" x14ac:dyDescent="0.25">
      <c r="A295" t="s">
        <v>32</v>
      </c>
      <c r="B295" s="73" t="str">
        <f>VLOOKUP(C295,'Büyükşehir List'!$C$2:$D$31,2,FALSE)</f>
        <v>ANKARA BÜYÜKŞEHİR</v>
      </c>
      <c r="C295" t="s">
        <v>31</v>
      </c>
      <c r="D295" s="73" t="str">
        <f t="shared" si="8"/>
        <v>ANKARA BÜYÜKŞEHİR/ANKARA</v>
      </c>
      <c r="E295" t="s">
        <v>1851</v>
      </c>
      <c r="F295" t="s">
        <v>1851</v>
      </c>
      <c r="G295" t="s">
        <v>3367</v>
      </c>
      <c r="H295">
        <v>44449.9</v>
      </c>
      <c r="I295">
        <v>4444.99</v>
      </c>
      <c r="J295">
        <v>2371.4</v>
      </c>
      <c r="K295">
        <v>237.14</v>
      </c>
      <c r="L295">
        <v>42078.5</v>
      </c>
      <c r="M295">
        <v>4207.8500000000004</v>
      </c>
      <c r="O295" s="79">
        <f>IFERROR(VLOOKUP(D295,'KAPANAN BLD.'!$C$2:$D$793,2,FALSE),0)</f>
        <v>0</v>
      </c>
      <c r="P295" s="79">
        <v>0</v>
      </c>
    </row>
    <row r="296" spans="1:16" x14ac:dyDescent="0.25">
      <c r="A296" t="s">
        <v>32</v>
      </c>
      <c r="B296" s="73" t="str">
        <f>VLOOKUP(C296,'Büyükşehir List'!$C$2:$D$31,2,FALSE)</f>
        <v>ANKARA BÜYÜKŞEHİR</v>
      </c>
      <c r="C296" t="s">
        <v>31</v>
      </c>
      <c r="D296" s="73" t="str">
        <f t="shared" si="8"/>
        <v>ANKARA BÜYÜKŞEHİR/ANKARA</v>
      </c>
      <c r="E296" t="s">
        <v>1851</v>
      </c>
      <c r="F296" t="s">
        <v>1851</v>
      </c>
      <c r="G296" t="s">
        <v>3366</v>
      </c>
      <c r="H296">
        <v>38519.800000000003</v>
      </c>
      <c r="I296">
        <v>3851.98</v>
      </c>
      <c r="J296">
        <v>953.7</v>
      </c>
      <c r="K296">
        <v>95.37</v>
      </c>
      <c r="L296">
        <v>37566.1</v>
      </c>
      <c r="M296">
        <v>3756.61</v>
      </c>
      <c r="O296" s="79">
        <f>IFERROR(VLOOKUP(D296,'KAPANAN BLD.'!$C$2:$D$793,2,FALSE),0)</f>
        <v>0</v>
      </c>
      <c r="P296" s="79">
        <v>0</v>
      </c>
    </row>
    <row r="297" spans="1:16" x14ac:dyDescent="0.25">
      <c r="A297" t="s">
        <v>32</v>
      </c>
      <c r="B297" s="73" t="str">
        <f>VLOOKUP(C297,'Büyükşehir List'!$C$2:$D$31,2,FALSE)</f>
        <v>ANKARA BÜYÜKŞEHİR</v>
      </c>
      <c r="C297" t="s">
        <v>31</v>
      </c>
      <c r="D297" s="73" t="str">
        <f t="shared" si="8"/>
        <v>ANKARA BÜYÜKŞEHİR/ANKARA</v>
      </c>
      <c r="E297" t="s">
        <v>3729</v>
      </c>
      <c r="F297" t="s">
        <v>3729</v>
      </c>
      <c r="G297" t="s">
        <v>3366</v>
      </c>
      <c r="H297">
        <v>1341.1</v>
      </c>
      <c r="I297">
        <v>134.11000000000001</v>
      </c>
      <c r="J297">
        <v>0</v>
      </c>
      <c r="K297">
        <v>0</v>
      </c>
      <c r="L297">
        <v>1341.1</v>
      </c>
      <c r="M297">
        <v>134.11000000000001</v>
      </c>
      <c r="O297" s="79">
        <f>IFERROR(VLOOKUP(D297,'KAPANAN BLD.'!$C$2:$D$793,2,FALSE),0)</f>
        <v>0</v>
      </c>
      <c r="P297" s="79">
        <v>0</v>
      </c>
    </row>
    <row r="298" spans="1:16" x14ac:dyDescent="0.25">
      <c r="A298" t="s">
        <v>32</v>
      </c>
      <c r="B298" s="73" t="str">
        <f>VLOOKUP(C298,'Büyükşehir List'!$C$2:$D$31,2,FALSE)</f>
        <v>ANKARA BÜYÜKŞEHİR</v>
      </c>
      <c r="C298" t="s">
        <v>31</v>
      </c>
      <c r="D298" s="73" t="str">
        <f t="shared" si="8"/>
        <v>ANKARA BÜYÜKŞEHİR/ANKARA</v>
      </c>
      <c r="E298" t="s">
        <v>3729</v>
      </c>
      <c r="F298" t="s">
        <v>3729</v>
      </c>
      <c r="G298" t="s">
        <v>3367</v>
      </c>
      <c r="H298">
        <v>1414.8</v>
      </c>
      <c r="I298">
        <v>141.47999999999999</v>
      </c>
      <c r="J298">
        <v>0</v>
      </c>
      <c r="K298">
        <v>0</v>
      </c>
      <c r="L298">
        <v>1414.8</v>
      </c>
      <c r="M298">
        <v>141.47999999999999</v>
      </c>
      <c r="O298" s="79">
        <f>IFERROR(VLOOKUP(D298,'KAPANAN BLD.'!$C$2:$D$793,2,FALSE),0)</f>
        <v>0</v>
      </c>
      <c r="P298" s="79">
        <v>0</v>
      </c>
    </row>
    <row r="299" spans="1:16" x14ac:dyDescent="0.25">
      <c r="A299" t="s">
        <v>32</v>
      </c>
      <c r="B299" s="73" t="str">
        <f>VLOOKUP(C299,'Büyükşehir List'!$C$2:$D$31,2,FALSE)</f>
        <v>ANKARA BÜYÜKŞEHİR</v>
      </c>
      <c r="C299" t="s">
        <v>31</v>
      </c>
      <c r="D299" s="73" t="str">
        <f t="shared" si="8"/>
        <v>ANKARA BÜYÜKŞEHİR/ANKARA</v>
      </c>
      <c r="E299" t="s">
        <v>3893</v>
      </c>
      <c r="F299" t="s">
        <v>3893</v>
      </c>
      <c r="G299" t="s">
        <v>3367</v>
      </c>
      <c r="H299">
        <v>576.70000000000005</v>
      </c>
      <c r="I299">
        <v>57.67</v>
      </c>
      <c r="J299">
        <v>0</v>
      </c>
      <c r="K299">
        <v>0</v>
      </c>
      <c r="L299">
        <v>576.70000000000005</v>
      </c>
      <c r="M299">
        <v>57.67</v>
      </c>
      <c r="O299" s="79">
        <f>IFERROR(VLOOKUP(D299,'KAPANAN BLD.'!$C$2:$D$793,2,FALSE),0)</f>
        <v>0</v>
      </c>
      <c r="P299" s="79">
        <v>0</v>
      </c>
    </row>
    <row r="300" spans="1:16" x14ac:dyDescent="0.25">
      <c r="A300" t="s">
        <v>32</v>
      </c>
      <c r="B300" s="73" t="str">
        <f>VLOOKUP(C300,'Büyükşehir List'!$C$2:$D$31,2,FALSE)</f>
        <v>ANKARA BÜYÜKŞEHİR</v>
      </c>
      <c r="C300" t="s">
        <v>31</v>
      </c>
      <c r="D300" s="73" t="str">
        <f t="shared" si="8"/>
        <v>ANKARA BÜYÜKŞEHİR/ANKARA</v>
      </c>
      <c r="E300" t="s">
        <v>3893</v>
      </c>
      <c r="F300" t="s">
        <v>3893</v>
      </c>
      <c r="G300" t="s">
        <v>3366</v>
      </c>
      <c r="H300">
        <v>1328.3</v>
      </c>
      <c r="I300">
        <v>132.83000000000001</v>
      </c>
      <c r="J300">
        <v>0</v>
      </c>
      <c r="K300">
        <v>0</v>
      </c>
      <c r="L300">
        <v>1328.3</v>
      </c>
      <c r="M300">
        <v>132.83000000000001</v>
      </c>
      <c r="O300" s="79">
        <f>IFERROR(VLOOKUP(D300,'KAPANAN BLD.'!$C$2:$D$793,2,FALSE),0)</f>
        <v>0</v>
      </c>
      <c r="P300" s="79">
        <v>0</v>
      </c>
    </row>
    <row r="301" spans="1:16" x14ac:dyDescent="0.25">
      <c r="A301" t="s">
        <v>32</v>
      </c>
      <c r="B301" s="73" t="str">
        <f>VLOOKUP(C301,'Büyükşehir List'!$C$2:$D$31,2,FALSE)</f>
        <v>ANKARA BÜYÜKŞEHİR</v>
      </c>
      <c r="C301" t="s">
        <v>31</v>
      </c>
      <c r="D301" s="73" t="str">
        <f t="shared" si="8"/>
        <v>ANKARA BÜYÜKŞEHİR/ANKARA</v>
      </c>
      <c r="E301" t="s">
        <v>1851</v>
      </c>
      <c r="F301" t="s">
        <v>1851</v>
      </c>
      <c r="G301" t="s">
        <v>3366</v>
      </c>
      <c r="H301">
        <v>321.5</v>
      </c>
      <c r="I301">
        <v>32.15</v>
      </c>
      <c r="J301">
        <v>0</v>
      </c>
      <c r="K301">
        <v>0</v>
      </c>
      <c r="L301">
        <v>321.5</v>
      </c>
      <c r="M301">
        <v>32.15</v>
      </c>
      <c r="O301" s="79">
        <f>IFERROR(VLOOKUP(D301,'KAPANAN BLD.'!$C$2:$D$793,2,FALSE),0)</f>
        <v>0</v>
      </c>
      <c r="P301" s="79">
        <v>0</v>
      </c>
    </row>
    <row r="302" spans="1:16" x14ac:dyDescent="0.25">
      <c r="A302" t="s">
        <v>32</v>
      </c>
      <c r="B302" s="73" t="str">
        <f>VLOOKUP(C302,'Büyükşehir List'!$C$2:$D$31,2,FALSE)</f>
        <v>ANKARA BÜYÜKŞEHİR</v>
      </c>
      <c r="C302" t="s">
        <v>31</v>
      </c>
      <c r="D302" s="73" t="str">
        <f t="shared" si="8"/>
        <v>ANKARA BÜYÜKŞEHİR/ANKARA</v>
      </c>
      <c r="E302" t="s">
        <v>1851</v>
      </c>
      <c r="F302" t="s">
        <v>1851</v>
      </c>
      <c r="G302" t="s">
        <v>3367</v>
      </c>
      <c r="H302">
        <v>187.3</v>
      </c>
      <c r="I302">
        <v>18.73</v>
      </c>
      <c r="J302">
        <v>0</v>
      </c>
      <c r="K302">
        <v>0</v>
      </c>
      <c r="L302">
        <v>187.3</v>
      </c>
      <c r="M302">
        <v>18.73</v>
      </c>
      <c r="O302" s="79">
        <f>IFERROR(VLOOKUP(D302,'KAPANAN BLD.'!$C$2:$D$793,2,FALSE),0)</f>
        <v>0</v>
      </c>
      <c r="P302" s="79">
        <v>0</v>
      </c>
    </row>
    <row r="303" spans="1:16" x14ac:dyDescent="0.25">
      <c r="A303" t="s">
        <v>32</v>
      </c>
      <c r="B303" s="73" t="str">
        <f>VLOOKUP(C303,'Büyükşehir List'!$C$2:$D$31,2,FALSE)</f>
        <v>ANKARA BÜYÜKŞEHİR</v>
      </c>
      <c r="C303" t="s">
        <v>31</v>
      </c>
      <c r="D303" s="73" t="str">
        <f t="shared" si="8"/>
        <v>ANKARA BÜYÜKŞEHİR/ANKARA</v>
      </c>
      <c r="E303" t="s">
        <v>3876</v>
      </c>
      <c r="F303" t="s">
        <v>3876</v>
      </c>
      <c r="G303" t="s">
        <v>3367</v>
      </c>
      <c r="H303">
        <v>261.8</v>
      </c>
      <c r="I303">
        <v>26.18</v>
      </c>
      <c r="J303">
        <v>30.7</v>
      </c>
      <c r="K303">
        <v>3.07</v>
      </c>
      <c r="L303">
        <v>231.1</v>
      </c>
      <c r="M303">
        <v>23.11</v>
      </c>
      <c r="O303" s="79">
        <f>IFERROR(VLOOKUP(D303,'KAPANAN BLD.'!$C$2:$D$793,2,FALSE),0)</f>
        <v>0</v>
      </c>
      <c r="P303" s="79">
        <v>0</v>
      </c>
    </row>
    <row r="304" spans="1:16" x14ac:dyDescent="0.25">
      <c r="A304" t="s">
        <v>32</v>
      </c>
      <c r="B304" s="73" t="str">
        <f>VLOOKUP(C304,'Büyükşehir List'!$C$2:$D$31,2,FALSE)</f>
        <v>ANKARA BÜYÜKŞEHİR</v>
      </c>
      <c r="C304" t="s">
        <v>31</v>
      </c>
      <c r="D304" s="73" t="str">
        <f t="shared" si="8"/>
        <v>ANKARA BÜYÜKŞEHİR/ANKARA</v>
      </c>
      <c r="E304" t="s">
        <v>3876</v>
      </c>
      <c r="F304" t="s">
        <v>3876</v>
      </c>
      <c r="G304" t="s">
        <v>3366</v>
      </c>
      <c r="H304">
        <v>170.1</v>
      </c>
      <c r="I304">
        <v>17.010000000000002</v>
      </c>
      <c r="J304">
        <v>17.399999999999999</v>
      </c>
      <c r="K304">
        <v>1.74</v>
      </c>
      <c r="L304">
        <v>152.69999999999999</v>
      </c>
      <c r="M304">
        <v>15.27</v>
      </c>
      <c r="O304" s="79">
        <f>IFERROR(VLOOKUP(D304,'KAPANAN BLD.'!$C$2:$D$793,2,FALSE),0)</f>
        <v>0</v>
      </c>
      <c r="P304" s="79">
        <v>0</v>
      </c>
    </row>
    <row r="305" spans="1:16" x14ac:dyDescent="0.25">
      <c r="A305" t="s">
        <v>32</v>
      </c>
      <c r="B305" s="73" t="str">
        <f>VLOOKUP(C305,'Büyükşehir List'!$C$2:$D$31,2,FALSE)</f>
        <v>ANKARA BÜYÜKŞEHİR</v>
      </c>
      <c r="C305" t="s">
        <v>31</v>
      </c>
      <c r="D305" s="73" t="str">
        <f t="shared" si="8"/>
        <v>ANKARA BÜYÜKŞEHİR/ANKARA</v>
      </c>
      <c r="E305" t="s">
        <v>1851</v>
      </c>
      <c r="F305" t="s">
        <v>1851</v>
      </c>
      <c r="G305" t="s">
        <v>3367</v>
      </c>
      <c r="H305">
        <v>24037.13</v>
      </c>
      <c r="I305">
        <v>2403.7199999999998</v>
      </c>
      <c r="J305">
        <v>983.2</v>
      </c>
      <c r="K305">
        <v>98.32</v>
      </c>
      <c r="L305">
        <v>23053.93</v>
      </c>
      <c r="M305">
        <v>2305.4</v>
      </c>
      <c r="O305" s="79">
        <f>IFERROR(VLOOKUP(D305,'KAPANAN BLD.'!$C$2:$D$793,2,FALSE),0)</f>
        <v>0</v>
      </c>
      <c r="P305" s="79">
        <v>0</v>
      </c>
    </row>
    <row r="306" spans="1:16" x14ac:dyDescent="0.25">
      <c r="A306" t="s">
        <v>32</v>
      </c>
      <c r="B306" s="73" t="str">
        <f>VLOOKUP(C306,'Büyükşehir List'!$C$2:$D$31,2,FALSE)</f>
        <v>ANKARA BÜYÜKŞEHİR</v>
      </c>
      <c r="C306" t="s">
        <v>31</v>
      </c>
      <c r="D306" s="73" t="str">
        <f t="shared" si="8"/>
        <v>ANKARA BÜYÜKŞEHİR/ANKARA</v>
      </c>
      <c r="E306" t="s">
        <v>1851</v>
      </c>
      <c r="F306" t="s">
        <v>1851</v>
      </c>
      <c r="G306" t="s">
        <v>3366</v>
      </c>
      <c r="H306">
        <v>53494.720000000001</v>
      </c>
      <c r="I306">
        <v>5349.48</v>
      </c>
      <c r="J306">
        <v>0.6</v>
      </c>
      <c r="K306">
        <v>0.06</v>
      </c>
      <c r="L306">
        <v>53494.12</v>
      </c>
      <c r="M306">
        <v>5349.42</v>
      </c>
      <c r="O306" s="79">
        <f>IFERROR(VLOOKUP(D306,'KAPANAN BLD.'!$C$2:$D$793,2,FALSE),0)</f>
        <v>0</v>
      </c>
      <c r="P306" s="79">
        <v>0</v>
      </c>
    </row>
    <row r="307" spans="1:16" x14ac:dyDescent="0.25">
      <c r="A307" t="s">
        <v>32</v>
      </c>
      <c r="B307" s="73" t="str">
        <f>VLOOKUP(C307,'Büyükşehir List'!$C$2:$D$31,2,FALSE)</f>
        <v>ANKARA BÜYÜKŞEHİR</v>
      </c>
      <c r="C307" t="s">
        <v>31</v>
      </c>
      <c r="D307" s="73" t="str">
        <f t="shared" si="8"/>
        <v>ANKARA BÜYÜKŞEHİR/ANKARA</v>
      </c>
      <c r="E307" t="s">
        <v>1851</v>
      </c>
      <c r="F307" t="s">
        <v>1851</v>
      </c>
      <c r="G307" t="s">
        <v>3367</v>
      </c>
      <c r="H307">
        <v>38247.1</v>
      </c>
      <c r="I307">
        <v>3824.71</v>
      </c>
      <c r="J307">
        <v>2177.3000000000002</v>
      </c>
      <c r="K307">
        <v>217.73</v>
      </c>
      <c r="L307">
        <v>36069.800000000003</v>
      </c>
      <c r="M307">
        <v>3606.98</v>
      </c>
      <c r="O307" s="79">
        <f>IFERROR(VLOOKUP(D307,'KAPANAN BLD.'!$C$2:$D$793,2,FALSE),0)</f>
        <v>0</v>
      </c>
      <c r="P307" s="79">
        <v>0</v>
      </c>
    </row>
    <row r="308" spans="1:16" x14ac:dyDescent="0.25">
      <c r="A308" t="s">
        <v>32</v>
      </c>
      <c r="B308" s="73" t="str">
        <f>VLOOKUP(C308,'Büyükşehir List'!$C$2:$D$31,2,FALSE)</f>
        <v>ANKARA BÜYÜKŞEHİR</v>
      </c>
      <c r="C308" t="s">
        <v>31</v>
      </c>
      <c r="D308" s="73" t="str">
        <f t="shared" si="8"/>
        <v>ANKARA BÜYÜKŞEHİR/ANKARA</v>
      </c>
      <c r="E308" t="s">
        <v>1851</v>
      </c>
      <c r="F308" t="s">
        <v>1851</v>
      </c>
      <c r="G308" t="s">
        <v>3366</v>
      </c>
      <c r="H308">
        <v>21415</v>
      </c>
      <c r="I308">
        <v>2141.5</v>
      </c>
      <c r="J308">
        <v>1482.3</v>
      </c>
      <c r="K308">
        <v>148.22999999999999</v>
      </c>
      <c r="L308">
        <v>19932.7</v>
      </c>
      <c r="M308">
        <v>1993.27</v>
      </c>
      <c r="O308" s="79">
        <f>IFERROR(VLOOKUP(D308,'KAPANAN BLD.'!$C$2:$D$793,2,FALSE),0)</f>
        <v>0</v>
      </c>
      <c r="P308" s="79">
        <v>0</v>
      </c>
    </row>
    <row r="309" spans="1:16" x14ac:dyDescent="0.25">
      <c r="A309" t="s">
        <v>32</v>
      </c>
      <c r="B309" s="73" t="str">
        <f>VLOOKUP(C309,'Büyükşehir List'!$C$2:$D$31,2,FALSE)</f>
        <v>ANKARA BÜYÜKŞEHİR</v>
      </c>
      <c r="C309" t="s">
        <v>31</v>
      </c>
      <c r="D309" s="73" t="str">
        <f t="shared" si="8"/>
        <v>ANKARA BÜYÜKŞEHİR/ANKARA</v>
      </c>
      <c r="E309" t="s">
        <v>3948</v>
      </c>
      <c r="F309" t="s">
        <v>3948</v>
      </c>
      <c r="G309" t="s">
        <v>3366</v>
      </c>
      <c r="H309">
        <v>656.2</v>
      </c>
      <c r="I309">
        <v>65.62</v>
      </c>
      <c r="J309">
        <v>0</v>
      </c>
      <c r="K309">
        <v>0</v>
      </c>
      <c r="L309">
        <v>656.2</v>
      </c>
      <c r="M309">
        <v>65.62</v>
      </c>
      <c r="O309" s="79">
        <f>IFERROR(VLOOKUP(D309,'KAPANAN BLD.'!$C$2:$D$793,2,FALSE),0)</f>
        <v>0</v>
      </c>
      <c r="P309" s="79">
        <v>0</v>
      </c>
    </row>
    <row r="310" spans="1:16" x14ac:dyDescent="0.25">
      <c r="A310" t="s">
        <v>32</v>
      </c>
      <c r="B310" s="73" t="str">
        <f>VLOOKUP(C310,'Büyükşehir List'!$C$2:$D$31,2,FALSE)</f>
        <v>ANKARA BÜYÜKŞEHİR</v>
      </c>
      <c r="C310" t="s">
        <v>31</v>
      </c>
      <c r="D310" s="73" t="str">
        <f t="shared" si="8"/>
        <v>ANKARA BÜYÜKŞEHİR/ANKARA</v>
      </c>
      <c r="E310" t="s">
        <v>3948</v>
      </c>
      <c r="F310" t="s">
        <v>3948</v>
      </c>
      <c r="G310" t="s">
        <v>3367</v>
      </c>
      <c r="H310">
        <v>966.3</v>
      </c>
      <c r="I310">
        <v>96.63</v>
      </c>
      <c r="J310">
        <v>0</v>
      </c>
      <c r="K310">
        <v>0</v>
      </c>
      <c r="L310">
        <v>966.3</v>
      </c>
      <c r="M310">
        <v>96.63</v>
      </c>
      <c r="O310" s="79">
        <f>IFERROR(VLOOKUP(D310,'KAPANAN BLD.'!$C$2:$D$793,2,FALSE),0)</f>
        <v>0</v>
      </c>
      <c r="P310" s="79">
        <v>0</v>
      </c>
    </row>
    <row r="311" spans="1:16" x14ac:dyDescent="0.25">
      <c r="A311" t="s">
        <v>32</v>
      </c>
      <c r="B311" s="73" t="str">
        <f>VLOOKUP(C311,'Büyükşehir List'!$C$2:$D$31,2,FALSE)</f>
        <v>ANKARA BÜYÜKŞEHİR</v>
      </c>
      <c r="C311" t="s">
        <v>31</v>
      </c>
      <c r="D311" s="73" t="str">
        <f t="shared" si="8"/>
        <v>ANKARA BÜYÜKŞEHİR/ANKARA</v>
      </c>
      <c r="E311" t="s">
        <v>430</v>
      </c>
      <c r="F311" t="s">
        <v>430</v>
      </c>
      <c r="G311" t="s">
        <v>3367</v>
      </c>
      <c r="H311">
        <v>747.2</v>
      </c>
      <c r="I311">
        <v>74.72</v>
      </c>
      <c r="J311">
        <v>45</v>
      </c>
      <c r="K311">
        <v>4.5</v>
      </c>
      <c r="L311">
        <v>702.2</v>
      </c>
      <c r="M311">
        <v>70.22</v>
      </c>
      <c r="O311" s="79">
        <f>IFERROR(VLOOKUP(D311,'KAPANAN BLD.'!$C$2:$D$793,2,FALSE),0)</f>
        <v>0</v>
      </c>
      <c r="P311" s="79">
        <v>0</v>
      </c>
    </row>
    <row r="312" spans="1:16" x14ac:dyDescent="0.25">
      <c r="A312" t="s">
        <v>32</v>
      </c>
      <c r="B312" s="73" t="str">
        <f>VLOOKUP(C312,'Büyükşehir List'!$C$2:$D$31,2,FALSE)</f>
        <v>ANKARA BÜYÜKŞEHİR</v>
      </c>
      <c r="C312" t="s">
        <v>31</v>
      </c>
      <c r="D312" s="73" t="str">
        <f t="shared" si="8"/>
        <v>ANKARA BÜYÜKŞEHİR/ANKARA</v>
      </c>
      <c r="E312" t="s">
        <v>430</v>
      </c>
      <c r="F312" t="s">
        <v>430</v>
      </c>
      <c r="G312" t="s">
        <v>3366</v>
      </c>
      <c r="H312">
        <v>914.2</v>
      </c>
      <c r="I312">
        <v>91.42</v>
      </c>
      <c r="J312">
        <v>402.8</v>
      </c>
      <c r="K312">
        <v>40.28</v>
      </c>
      <c r="L312">
        <v>511.4</v>
      </c>
      <c r="M312">
        <v>51.14</v>
      </c>
      <c r="O312" s="79">
        <f>IFERROR(VLOOKUP(D312,'KAPANAN BLD.'!$C$2:$D$793,2,FALSE),0)</f>
        <v>0</v>
      </c>
      <c r="P312" s="79">
        <v>0</v>
      </c>
    </row>
    <row r="313" spans="1:16" x14ac:dyDescent="0.25">
      <c r="A313" t="s">
        <v>32</v>
      </c>
      <c r="B313" s="73" t="str">
        <f>VLOOKUP(C313,'Büyükşehir List'!$C$2:$D$31,2,FALSE)</f>
        <v>ANKARA BÜYÜKŞEHİR</v>
      </c>
      <c r="C313" t="s">
        <v>31</v>
      </c>
      <c r="D313" s="73" t="str">
        <f t="shared" si="8"/>
        <v>ANKARA BÜYÜKŞEHİR/ANKARA</v>
      </c>
      <c r="E313" t="s">
        <v>1851</v>
      </c>
      <c r="F313" t="s">
        <v>1851</v>
      </c>
      <c r="G313" t="s">
        <v>3367</v>
      </c>
      <c r="H313">
        <v>28573.86</v>
      </c>
      <c r="I313">
        <v>2857.39</v>
      </c>
      <c r="J313">
        <v>1881.1</v>
      </c>
      <c r="K313">
        <v>188.11</v>
      </c>
      <c r="L313">
        <v>26692.76</v>
      </c>
      <c r="M313">
        <v>2669.28</v>
      </c>
      <c r="O313" s="79">
        <f>IFERROR(VLOOKUP(D313,'KAPANAN BLD.'!$C$2:$D$793,2,FALSE),0)</f>
        <v>0</v>
      </c>
      <c r="P313" s="79">
        <v>0</v>
      </c>
    </row>
    <row r="314" spans="1:16" x14ac:dyDescent="0.25">
      <c r="A314" t="s">
        <v>32</v>
      </c>
      <c r="B314" s="73" t="str">
        <f>VLOOKUP(C314,'Büyükşehir List'!$C$2:$D$31,2,FALSE)</f>
        <v>ANKARA BÜYÜKŞEHİR</v>
      </c>
      <c r="C314" t="s">
        <v>31</v>
      </c>
      <c r="D314" s="73" t="str">
        <f t="shared" si="8"/>
        <v>ANKARA BÜYÜKŞEHİR/ANKARA</v>
      </c>
      <c r="E314" t="s">
        <v>1851</v>
      </c>
      <c r="F314" t="s">
        <v>1851</v>
      </c>
      <c r="G314" t="s">
        <v>3366</v>
      </c>
      <c r="H314">
        <v>48685.41</v>
      </c>
      <c r="I314">
        <v>4868.54</v>
      </c>
      <c r="J314">
        <v>4055.2</v>
      </c>
      <c r="K314">
        <v>405.52</v>
      </c>
      <c r="L314">
        <v>44630.21</v>
      </c>
      <c r="M314">
        <v>4463.0200000000004</v>
      </c>
      <c r="O314" s="79">
        <f>IFERROR(VLOOKUP(D314,'KAPANAN BLD.'!$C$2:$D$793,2,FALSE),0)</f>
        <v>0</v>
      </c>
      <c r="P314" s="79">
        <v>0</v>
      </c>
    </row>
    <row r="315" spans="1:16" x14ac:dyDescent="0.25">
      <c r="A315" t="s">
        <v>32</v>
      </c>
      <c r="B315" s="73" t="str">
        <f>VLOOKUP(C315,'Büyükşehir List'!$C$2:$D$31,2,FALSE)</f>
        <v>ANKARA BÜYÜKŞEHİR</v>
      </c>
      <c r="C315" t="s">
        <v>31</v>
      </c>
      <c r="D315" s="73" t="str">
        <f t="shared" si="8"/>
        <v>ANKARA BÜYÜKŞEHİR/ANKARA</v>
      </c>
      <c r="E315" t="s">
        <v>278</v>
      </c>
      <c r="F315" t="s">
        <v>278</v>
      </c>
      <c r="G315" t="s">
        <v>3367</v>
      </c>
      <c r="H315">
        <v>212.17</v>
      </c>
      <c r="I315">
        <v>21.22</v>
      </c>
      <c r="J315">
        <v>0</v>
      </c>
      <c r="K315">
        <v>0</v>
      </c>
      <c r="L315">
        <v>212.17</v>
      </c>
      <c r="M315">
        <v>21.22</v>
      </c>
      <c r="O315" s="79">
        <f>IFERROR(VLOOKUP(D315,'KAPANAN BLD.'!$C$2:$D$793,2,FALSE),0)</f>
        <v>0</v>
      </c>
      <c r="P315" s="79">
        <v>0</v>
      </c>
    </row>
    <row r="316" spans="1:16" x14ac:dyDescent="0.25">
      <c r="A316" t="s">
        <v>32</v>
      </c>
      <c r="B316" s="73" t="str">
        <f>VLOOKUP(C316,'Büyükşehir List'!$C$2:$D$31,2,FALSE)</f>
        <v>ANKARA BÜYÜKŞEHİR</v>
      </c>
      <c r="C316" t="s">
        <v>31</v>
      </c>
      <c r="D316" s="73" t="str">
        <f t="shared" si="8"/>
        <v>ANKARA BÜYÜKŞEHİR/ANKARA</v>
      </c>
      <c r="E316" t="s">
        <v>278</v>
      </c>
      <c r="F316" t="s">
        <v>278</v>
      </c>
      <c r="G316" t="s">
        <v>3366</v>
      </c>
      <c r="H316">
        <v>4509.8500000000004</v>
      </c>
      <c r="I316">
        <v>450.98</v>
      </c>
      <c r="J316">
        <v>0</v>
      </c>
      <c r="K316">
        <v>0</v>
      </c>
      <c r="L316">
        <v>4509.8500000000004</v>
      </c>
      <c r="M316">
        <v>450.98</v>
      </c>
      <c r="O316" s="79">
        <f>IFERROR(VLOOKUP(D316,'KAPANAN BLD.'!$C$2:$D$793,2,FALSE),0)</f>
        <v>0</v>
      </c>
      <c r="P316" s="79">
        <v>0</v>
      </c>
    </row>
    <row r="317" spans="1:16" x14ac:dyDescent="0.25">
      <c r="A317" t="s">
        <v>32</v>
      </c>
      <c r="B317" s="73" t="str">
        <f>VLOOKUP(C317,'Büyükşehir List'!$C$2:$D$31,2,FALSE)</f>
        <v>ANKARA BÜYÜKŞEHİR</v>
      </c>
      <c r="C317" t="s">
        <v>31</v>
      </c>
      <c r="D317" s="73" t="str">
        <f t="shared" si="8"/>
        <v>ANKARA BÜYÜKŞEHİR/ANKARA</v>
      </c>
      <c r="E317" t="s">
        <v>4448</v>
      </c>
      <c r="F317" t="s">
        <v>4448</v>
      </c>
      <c r="G317" t="s">
        <v>3367</v>
      </c>
      <c r="H317">
        <v>4894.3999999999996</v>
      </c>
      <c r="I317">
        <v>489.44</v>
      </c>
      <c r="J317">
        <v>0</v>
      </c>
      <c r="K317">
        <v>0</v>
      </c>
      <c r="L317">
        <v>4894.3999999999996</v>
      </c>
      <c r="M317">
        <v>489.44</v>
      </c>
      <c r="O317" s="79">
        <f>IFERROR(VLOOKUP(D317,'KAPANAN BLD.'!$C$2:$D$793,2,FALSE),0)</f>
        <v>0</v>
      </c>
      <c r="P317" s="79">
        <v>0</v>
      </c>
    </row>
    <row r="318" spans="1:16" x14ac:dyDescent="0.25">
      <c r="A318" t="s">
        <v>32</v>
      </c>
      <c r="B318" s="73" t="str">
        <f>VLOOKUP(C318,'Büyükşehir List'!$C$2:$D$31,2,FALSE)</f>
        <v>ANKARA BÜYÜKŞEHİR</v>
      </c>
      <c r="C318" t="s">
        <v>31</v>
      </c>
      <c r="D318" s="73" t="str">
        <f t="shared" si="8"/>
        <v>ANKARA BÜYÜKŞEHİR/ANKARA</v>
      </c>
      <c r="E318" t="s">
        <v>214</v>
      </c>
      <c r="F318" t="s">
        <v>214</v>
      </c>
      <c r="G318" t="s">
        <v>3367</v>
      </c>
      <c r="H318">
        <v>19403.919999999998</v>
      </c>
      <c r="I318">
        <v>1940.39</v>
      </c>
      <c r="J318">
        <v>86.1</v>
      </c>
      <c r="K318">
        <v>8.61</v>
      </c>
      <c r="L318">
        <v>19317.82</v>
      </c>
      <c r="M318">
        <v>1931.78</v>
      </c>
      <c r="O318" s="79">
        <f>IFERROR(VLOOKUP(D318,'KAPANAN BLD.'!$C$2:$D$793,2,FALSE),0)</f>
        <v>0</v>
      </c>
      <c r="P318" s="79">
        <v>0</v>
      </c>
    </row>
    <row r="319" spans="1:16" x14ac:dyDescent="0.25">
      <c r="A319" t="s">
        <v>32</v>
      </c>
      <c r="B319" s="73" t="str">
        <f>VLOOKUP(C319,'Büyükşehir List'!$C$2:$D$31,2,FALSE)</f>
        <v>ANKARA BÜYÜKŞEHİR</v>
      </c>
      <c r="C319" t="s">
        <v>31</v>
      </c>
      <c r="D319" s="73" t="str">
        <f t="shared" si="8"/>
        <v>ANKARA BÜYÜKŞEHİR/ANKARA</v>
      </c>
      <c r="E319" t="s">
        <v>214</v>
      </c>
      <c r="F319" t="s">
        <v>214</v>
      </c>
      <c r="G319" t="s">
        <v>3366</v>
      </c>
      <c r="H319">
        <v>93919.63</v>
      </c>
      <c r="I319">
        <v>9391.9599999999991</v>
      </c>
      <c r="J319">
        <v>508.7</v>
      </c>
      <c r="K319">
        <v>50.87</v>
      </c>
      <c r="L319">
        <v>93410.93</v>
      </c>
      <c r="M319">
        <v>9341.09</v>
      </c>
      <c r="O319" s="79">
        <f>IFERROR(VLOOKUP(D319,'KAPANAN BLD.'!$C$2:$D$793,2,FALSE),0)</f>
        <v>0</v>
      </c>
      <c r="P319" s="79">
        <v>0</v>
      </c>
    </row>
    <row r="320" spans="1:16" x14ac:dyDescent="0.25">
      <c r="A320" t="s">
        <v>32</v>
      </c>
      <c r="B320" s="73" t="str">
        <f>VLOOKUP(C320,'Büyükşehir List'!$C$2:$D$31,2,FALSE)</f>
        <v>ANKARA BÜYÜKŞEHİR</v>
      </c>
      <c r="C320" t="s">
        <v>31</v>
      </c>
      <c r="D320" s="73" t="str">
        <f t="shared" si="8"/>
        <v>ANKARA BÜYÜKŞEHİR/ANKARA</v>
      </c>
      <c r="E320" t="s">
        <v>1851</v>
      </c>
      <c r="F320" t="s">
        <v>1851</v>
      </c>
      <c r="G320" t="s">
        <v>3367</v>
      </c>
      <c r="H320">
        <v>14488</v>
      </c>
      <c r="I320">
        <v>1448.8</v>
      </c>
      <c r="J320">
        <v>233.8</v>
      </c>
      <c r="K320">
        <v>23.38</v>
      </c>
      <c r="L320">
        <v>14254.2</v>
      </c>
      <c r="M320">
        <v>1425.42</v>
      </c>
      <c r="O320" s="79">
        <f>IFERROR(VLOOKUP(D320,'KAPANAN BLD.'!$C$2:$D$793,2,FALSE),0)</f>
        <v>0</v>
      </c>
      <c r="P320" s="79">
        <v>0</v>
      </c>
    </row>
    <row r="321" spans="1:16" x14ac:dyDescent="0.25">
      <c r="A321" t="s">
        <v>32</v>
      </c>
      <c r="B321" s="73" t="str">
        <f>VLOOKUP(C321,'Büyükşehir List'!$C$2:$D$31,2,FALSE)</f>
        <v>ANKARA BÜYÜKŞEHİR</v>
      </c>
      <c r="C321" t="s">
        <v>31</v>
      </c>
      <c r="D321" s="73" t="str">
        <f t="shared" si="8"/>
        <v>ANKARA BÜYÜKŞEHİR/ANKARA</v>
      </c>
      <c r="E321" t="s">
        <v>1851</v>
      </c>
      <c r="F321" t="s">
        <v>1851</v>
      </c>
      <c r="G321" t="s">
        <v>3366</v>
      </c>
      <c r="H321">
        <v>8209</v>
      </c>
      <c r="I321">
        <v>820.9</v>
      </c>
      <c r="J321">
        <v>542.4</v>
      </c>
      <c r="K321">
        <v>54.24</v>
      </c>
      <c r="L321">
        <v>7666.6</v>
      </c>
      <c r="M321">
        <v>766.66</v>
      </c>
      <c r="O321" s="79">
        <f>IFERROR(VLOOKUP(D321,'KAPANAN BLD.'!$C$2:$D$793,2,FALSE),0)</f>
        <v>0</v>
      </c>
      <c r="P321" s="79">
        <v>0</v>
      </c>
    </row>
    <row r="322" spans="1:16" x14ac:dyDescent="0.25">
      <c r="A322" t="s">
        <v>32</v>
      </c>
      <c r="B322" s="73" t="str">
        <f>VLOOKUP(C322,'Büyükşehir List'!$C$2:$D$31,2,FALSE)</f>
        <v>ANKARA BÜYÜKŞEHİR</v>
      </c>
      <c r="C322" t="s">
        <v>31</v>
      </c>
      <c r="D322" s="73" t="str">
        <f t="shared" si="8"/>
        <v>ANKARA BÜYÜKŞEHİR/ANKARA</v>
      </c>
      <c r="E322" t="s">
        <v>4297</v>
      </c>
      <c r="F322" t="s">
        <v>4297</v>
      </c>
      <c r="G322" t="s">
        <v>3367</v>
      </c>
      <c r="H322">
        <v>5.9</v>
      </c>
      <c r="I322">
        <v>0.59</v>
      </c>
      <c r="J322">
        <v>0</v>
      </c>
      <c r="K322">
        <v>0</v>
      </c>
      <c r="L322">
        <v>5.9</v>
      </c>
      <c r="M322">
        <v>0.59</v>
      </c>
      <c r="O322" s="79">
        <f>IFERROR(VLOOKUP(D322,'KAPANAN BLD.'!$C$2:$D$793,2,FALSE),0)</f>
        <v>0</v>
      </c>
      <c r="P322" s="79">
        <v>0</v>
      </c>
    </row>
    <row r="323" spans="1:16" x14ac:dyDescent="0.25">
      <c r="A323" t="s">
        <v>32</v>
      </c>
      <c r="B323" s="73" t="str">
        <f>VLOOKUP(C323,'Büyükşehir List'!$C$2:$D$31,2,FALSE)</f>
        <v>ANKARA BÜYÜKŞEHİR</v>
      </c>
      <c r="C323" t="s">
        <v>31</v>
      </c>
      <c r="D323" s="73" t="str">
        <f t="shared" ref="D323:D386" si="9">CONCATENATE(B323,"/",C323)</f>
        <v>ANKARA BÜYÜKŞEHİR/ANKARA</v>
      </c>
      <c r="E323" t="s">
        <v>1851</v>
      </c>
      <c r="F323" t="s">
        <v>1851</v>
      </c>
      <c r="G323" t="s">
        <v>3367</v>
      </c>
      <c r="H323">
        <v>110243.85</v>
      </c>
      <c r="I323">
        <v>11024.39</v>
      </c>
      <c r="J323">
        <v>1045.5999999999999</v>
      </c>
      <c r="K323">
        <v>104.56</v>
      </c>
      <c r="L323">
        <v>109198.25</v>
      </c>
      <c r="M323">
        <v>10919.83</v>
      </c>
      <c r="O323" s="79">
        <f>IFERROR(VLOOKUP(D323,'KAPANAN BLD.'!$C$2:$D$793,2,FALSE),0)</f>
        <v>0</v>
      </c>
      <c r="P323" s="79">
        <v>0</v>
      </c>
    </row>
    <row r="324" spans="1:16" x14ac:dyDescent="0.25">
      <c r="A324" t="s">
        <v>32</v>
      </c>
      <c r="B324" s="73" t="str">
        <f>VLOOKUP(C324,'Büyükşehir List'!$C$2:$D$31,2,FALSE)</f>
        <v>ANKARA BÜYÜKŞEHİR</v>
      </c>
      <c r="C324" t="s">
        <v>31</v>
      </c>
      <c r="D324" s="73" t="str">
        <f t="shared" si="9"/>
        <v>ANKARA BÜYÜKŞEHİR/ANKARA</v>
      </c>
      <c r="E324" t="s">
        <v>1851</v>
      </c>
      <c r="F324" t="s">
        <v>1851</v>
      </c>
      <c r="G324" t="s">
        <v>3366</v>
      </c>
      <c r="H324">
        <v>376670.15</v>
      </c>
      <c r="I324">
        <v>37667.019999999997</v>
      </c>
      <c r="J324">
        <v>4272.5</v>
      </c>
      <c r="K324">
        <v>427.25</v>
      </c>
      <c r="L324">
        <v>372397.65</v>
      </c>
      <c r="M324">
        <v>37239.769999999997</v>
      </c>
      <c r="O324" s="79">
        <f>IFERROR(VLOOKUP(D324,'KAPANAN BLD.'!$C$2:$D$793,2,FALSE),0)</f>
        <v>0</v>
      </c>
      <c r="P324" s="79">
        <v>0</v>
      </c>
    </row>
    <row r="325" spans="1:16" x14ac:dyDescent="0.25">
      <c r="A325" t="s">
        <v>32</v>
      </c>
      <c r="B325" s="73" t="str">
        <f>VLOOKUP(C325,'Büyükşehir List'!$C$2:$D$31,2,FALSE)</f>
        <v>ANKARA BÜYÜKŞEHİR</v>
      </c>
      <c r="C325" t="s">
        <v>31</v>
      </c>
      <c r="D325" s="73" t="str">
        <f t="shared" si="9"/>
        <v>ANKARA BÜYÜKŞEHİR/ANKARA</v>
      </c>
      <c r="E325" t="s">
        <v>350</v>
      </c>
      <c r="F325" t="s">
        <v>350</v>
      </c>
      <c r="G325" t="s">
        <v>3367</v>
      </c>
      <c r="H325">
        <v>2432.9</v>
      </c>
      <c r="I325">
        <v>243.29</v>
      </c>
      <c r="J325">
        <v>0</v>
      </c>
      <c r="K325">
        <v>0</v>
      </c>
      <c r="L325">
        <v>2432.9</v>
      </c>
      <c r="M325">
        <v>243.29</v>
      </c>
      <c r="O325" s="79">
        <f>IFERROR(VLOOKUP(D325,'KAPANAN BLD.'!$C$2:$D$793,2,FALSE),0)</f>
        <v>0</v>
      </c>
      <c r="P325" s="79">
        <v>0</v>
      </c>
    </row>
    <row r="326" spans="1:16" x14ac:dyDescent="0.25">
      <c r="A326" t="s">
        <v>32</v>
      </c>
      <c r="B326" s="73" t="str">
        <f>VLOOKUP(C326,'Büyükşehir List'!$C$2:$D$31,2,FALSE)</f>
        <v>ANKARA BÜYÜKŞEHİR</v>
      </c>
      <c r="C326" t="s">
        <v>31</v>
      </c>
      <c r="D326" s="73" t="str">
        <f t="shared" si="9"/>
        <v>ANKARA BÜYÜKŞEHİR/ANKARA</v>
      </c>
      <c r="E326" t="s">
        <v>350</v>
      </c>
      <c r="F326" t="s">
        <v>350</v>
      </c>
      <c r="G326" t="s">
        <v>3366</v>
      </c>
      <c r="H326">
        <v>441.6</v>
      </c>
      <c r="I326">
        <v>44.16</v>
      </c>
      <c r="J326">
        <v>0</v>
      </c>
      <c r="K326">
        <v>0</v>
      </c>
      <c r="L326">
        <v>441.6</v>
      </c>
      <c r="M326">
        <v>44.16</v>
      </c>
      <c r="O326" s="79">
        <f>IFERROR(VLOOKUP(D326,'KAPANAN BLD.'!$C$2:$D$793,2,FALSE),0)</f>
        <v>0</v>
      </c>
      <c r="P326" s="79">
        <v>0</v>
      </c>
    </row>
    <row r="327" spans="1:16" x14ac:dyDescent="0.25">
      <c r="A327" t="s">
        <v>32</v>
      </c>
      <c r="B327" s="73" t="str">
        <f>VLOOKUP(C327,'Büyükşehir List'!$C$2:$D$31,2,FALSE)</f>
        <v>ANKARA BÜYÜKŞEHİR</v>
      </c>
      <c r="C327" t="s">
        <v>31</v>
      </c>
      <c r="D327" s="73" t="str">
        <f t="shared" si="9"/>
        <v>ANKARA BÜYÜKŞEHİR/ANKARA</v>
      </c>
      <c r="E327" t="s">
        <v>1851</v>
      </c>
      <c r="F327" t="s">
        <v>1851</v>
      </c>
      <c r="G327" t="s">
        <v>3367</v>
      </c>
      <c r="H327">
        <v>140360.79</v>
      </c>
      <c r="I327">
        <v>14036.09</v>
      </c>
      <c r="J327">
        <v>8641.6</v>
      </c>
      <c r="K327">
        <v>864.16</v>
      </c>
      <c r="L327">
        <v>131719.19</v>
      </c>
      <c r="M327">
        <v>13171.93</v>
      </c>
      <c r="O327" s="79">
        <f>IFERROR(VLOOKUP(D327,'KAPANAN BLD.'!$C$2:$D$793,2,FALSE),0)</f>
        <v>0</v>
      </c>
      <c r="P327" s="79">
        <v>0</v>
      </c>
    </row>
    <row r="328" spans="1:16" x14ac:dyDescent="0.25">
      <c r="A328" t="s">
        <v>32</v>
      </c>
      <c r="B328" s="73" t="str">
        <f>VLOOKUP(C328,'Büyükşehir List'!$C$2:$D$31,2,FALSE)</f>
        <v>ANKARA BÜYÜKŞEHİR</v>
      </c>
      <c r="C328" t="s">
        <v>31</v>
      </c>
      <c r="D328" s="73" t="str">
        <f t="shared" si="9"/>
        <v>ANKARA BÜYÜKŞEHİR/ANKARA</v>
      </c>
      <c r="E328" t="s">
        <v>1851</v>
      </c>
      <c r="F328" t="s">
        <v>1851</v>
      </c>
      <c r="G328" t="s">
        <v>3366</v>
      </c>
      <c r="H328">
        <v>389383.54</v>
      </c>
      <c r="I328">
        <v>38938.35</v>
      </c>
      <c r="J328">
        <v>42043.37</v>
      </c>
      <c r="K328">
        <v>4204.34</v>
      </c>
      <c r="L328">
        <v>347340.17</v>
      </c>
      <c r="M328">
        <v>34734.01</v>
      </c>
      <c r="O328" s="79">
        <f>IFERROR(VLOOKUP(D328,'KAPANAN BLD.'!$C$2:$D$793,2,FALSE),0)</f>
        <v>0</v>
      </c>
      <c r="P328" s="79">
        <v>0</v>
      </c>
    </row>
    <row r="329" spans="1:16" x14ac:dyDescent="0.25">
      <c r="A329" t="s">
        <v>32</v>
      </c>
      <c r="B329" s="73" t="str">
        <f>VLOOKUP(C329,'Büyükşehir List'!$C$2:$D$31,2,FALSE)</f>
        <v>ANKARA BÜYÜKŞEHİR</v>
      </c>
      <c r="C329" t="s">
        <v>31</v>
      </c>
      <c r="D329" s="73" t="str">
        <f t="shared" si="9"/>
        <v>ANKARA BÜYÜKŞEHİR/ANKARA</v>
      </c>
      <c r="E329" t="s">
        <v>4449</v>
      </c>
      <c r="F329" t="s">
        <v>4449</v>
      </c>
      <c r="G329" t="s">
        <v>3367</v>
      </c>
      <c r="H329">
        <v>45</v>
      </c>
      <c r="I329">
        <v>4.5</v>
      </c>
      <c r="J329">
        <v>0</v>
      </c>
      <c r="K329">
        <v>0</v>
      </c>
      <c r="L329">
        <v>45</v>
      </c>
      <c r="M329">
        <v>4.5</v>
      </c>
      <c r="O329" s="79">
        <f>IFERROR(VLOOKUP(D329,'KAPANAN BLD.'!$C$2:$D$793,2,FALSE),0)</f>
        <v>0</v>
      </c>
      <c r="P329" s="79">
        <v>0</v>
      </c>
    </row>
    <row r="330" spans="1:16" x14ac:dyDescent="0.25">
      <c r="A330" t="s">
        <v>32</v>
      </c>
      <c r="B330" s="73" t="str">
        <f>VLOOKUP(C330,'Büyükşehir List'!$C$2:$D$31,2,FALSE)</f>
        <v>ANKARA BÜYÜKŞEHİR</v>
      </c>
      <c r="C330" t="s">
        <v>31</v>
      </c>
      <c r="D330" s="73" t="str">
        <f t="shared" si="9"/>
        <v>ANKARA BÜYÜKŞEHİR/ANKARA</v>
      </c>
      <c r="E330" t="s">
        <v>4449</v>
      </c>
      <c r="F330" t="s">
        <v>4449</v>
      </c>
      <c r="G330" t="s">
        <v>3366</v>
      </c>
      <c r="H330">
        <v>402.8</v>
      </c>
      <c r="I330">
        <v>40.28</v>
      </c>
      <c r="J330">
        <v>0</v>
      </c>
      <c r="K330">
        <v>0</v>
      </c>
      <c r="L330">
        <v>402.8</v>
      </c>
      <c r="M330">
        <v>40.28</v>
      </c>
      <c r="O330" s="79">
        <f>IFERROR(VLOOKUP(D330,'KAPANAN BLD.'!$C$2:$D$793,2,FALSE),0)</f>
        <v>0</v>
      </c>
      <c r="P330" s="79">
        <v>0</v>
      </c>
    </row>
    <row r="331" spans="1:16" x14ac:dyDescent="0.25">
      <c r="A331" t="s">
        <v>32</v>
      </c>
      <c r="B331" s="73" t="str">
        <f>VLOOKUP(C331,'Büyükşehir List'!$C$2:$D$31,2,FALSE)</f>
        <v>ANTALYA BÜYÜKŞEHİR</v>
      </c>
      <c r="C331" t="s">
        <v>40</v>
      </c>
      <c r="D331" s="73" t="str">
        <f t="shared" si="9"/>
        <v>ANTALYA BÜYÜKŞEHİR/ANTALYA</v>
      </c>
      <c r="E331" t="s">
        <v>1852</v>
      </c>
      <c r="F331" t="s">
        <v>1852</v>
      </c>
      <c r="G331" t="s">
        <v>3367</v>
      </c>
      <c r="H331">
        <v>2006.6</v>
      </c>
      <c r="I331">
        <v>200.66</v>
      </c>
      <c r="J331">
        <v>0</v>
      </c>
      <c r="K331">
        <v>0</v>
      </c>
      <c r="L331">
        <v>2006.6</v>
      </c>
      <c r="M331">
        <v>200.66</v>
      </c>
      <c r="O331" s="79">
        <f>IFERROR(VLOOKUP(D331,'KAPANAN BLD.'!$C$2:$D$793,2,FALSE),0)</f>
        <v>0</v>
      </c>
      <c r="P331" s="79">
        <v>0</v>
      </c>
    </row>
    <row r="332" spans="1:16" x14ac:dyDescent="0.25">
      <c r="A332" t="s">
        <v>32</v>
      </c>
      <c r="B332" s="73" t="str">
        <f>VLOOKUP(C332,'Büyükşehir List'!$C$2:$D$31,2,FALSE)</f>
        <v>ANTALYA BÜYÜKŞEHİR</v>
      </c>
      <c r="C332" t="s">
        <v>40</v>
      </c>
      <c r="D332" s="73" t="str">
        <f t="shared" si="9"/>
        <v>ANTALYA BÜYÜKŞEHİR/ANTALYA</v>
      </c>
      <c r="E332" t="s">
        <v>1852</v>
      </c>
      <c r="F332" t="s">
        <v>1852</v>
      </c>
      <c r="G332" t="s">
        <v>3366</v>
      </c>
      <c r="H332">
        <v>3862.5</v>
      </c>
      <c r="I332">
        <v>386.25</v>
      </c>
      <c r="J332">
        <v>97.9</v>
      </c>
      <c r="K332">
        <v>9.7899999999999991</v>
      </c>
      <c r="L332">
        <v>3764.6</v>
      </c>
      <c r="M332">
        <v>376.46</v>
      </c>
      <c r="O332" s="79">
        <f>IFERROR(VLOOKUP(D332,'KAPANAN BLD.'!$C$2:$D$793,2,FALSE),0)</f>
        <v>0</v>
      </c>
      <c r="P332" s="79">
        <v>0</v>
      </c>
    </row>
    <row r="333" spans="1:16" x14ac:dyDescent="0.25">
      <c r="A333" t="s">
        <v>32</v>
      </c>
      <c r="B333" s="73" t="str">
        <f>VLOOKUP(C333,'Büyükşehir List'!$C$2:$D$31,2,FALSE)</f>
        <v>ANTALYA BÜYÜKŞEHİR</v>
      </c>
      <c r="C333" t="s">
        <v>40</v>
      </c>
      <c r="D333" s="73" t="str">
        <f t="shared" si="9"/>
        <v>ANTALYA BÜYÜKŞEHİR/ANTALYA</v>
      </c>
      <c r="E333" t="s">
        <v>1852</v>
      </c>
      <c r="F333" t="s">
        <v>1852</v>
      </c>
      <c r="G333" t="s">
        <v>3367</v>
      </c>
      <c r="H333">
        <v>540.4</v>
      </c>
      <c r="I333">
        <v>54.04</v>
      </c>
      <c r="J333">
        <v>253.8</v>
      </c>
      <c r="K333">
        <v>25.38</v>
      </c>
      <c r="L333">
        <v>286.60000000000002</v>
      </c>
      <c r="M333">
        <v>28.66</v>
      </c>
      <c r="O333" s="79">
        <f>IFERROR(VLOOKUP(D333,'KAPANAN BLD.'!$C$2:$D$793,2,FALSE),0)</f>
        <v>0</v>
      </c>
      <c r="P333" s="79">
        <v>0</v>
      </c>
    </row>
    <row r="334" spans="1:16" x14ac:dyDescent="0.25">
      <c r="A334" t="s">
        <v>32</v>
      </c>
      <c r="B334" s="73" t="str">
        <f>VLOOKUP(C334,'Büyükşehir List'!$C$2:$D$31,2,FALSE)</f>
        <v>ANTALYA BÜYÜKŞEHİR</v>
      </c>
      <c r="C334" t="s">
        <v>40</v>
      </c>
      <c r="D334" s="73" t="str">
        <f t="shared" si="9"/>
        <v>ANTALYA BÜYÜKŞEHİR/ANTALYA</v>
      </c>
      <c r="E334" t="s">
        <v>1852</v>
      </c>
      <c r="F334" t="s">
        <v>1852</v>
      </c>
      <c r="G334" t="s">
        <v>3366</v>
      </c>
      <c r="H334">
        <v>717.3</v>
      </c>
      <c r="I334">
        <v>71.73</v>
      </c>
      <c r="J334">
        <v>105.4</v>
      </c>
      <c r="K334">
        <v>10.54</v>
      </c>
      <c r="L334">
        <v>611.9</v>
      </c>
      <c r="M334">
        <v>61.19</v>
      </c>
      <c r="O334" s="79">
        <f>IFERROR(VLOOKUP(D334,'KAPANAN BLD.'!$C$2:$D$793,2,FALSE),0)</f>
        <v>0</v>
      </c>
      <c r="P334" s="79">
        <v>0</v>
      </c>
    </row>
    <row r="335" spans="1:16" x14ac:dyDescent="0.25">
      <c r="A335" t="s">
        <v>32</v>
      </c>
      <c r="B335" s="73" t="str">
        <f>VLOOKUP(C335,'Büyükşehir List'!$C$2:$D$31,2,FALSE)</f>
        <v>ANTALYA BÜYÜKŞEHİR</v>
      </c>
      <c r="C335" t="s">
        <v>40</v>
      </c>
      <c r="D335" s="73" t="str">
        <f t="shared" si="9"/>
        <v>ANTALYA BÜYÜKŞEHİR/ANTALYA</v>
      </c>
      <c r="E335" t="s">
        <v>1852</v>
      </c>
      <c r="F335" t="s">
        <v>1852</v>
      </c>
      <c r="G335" t="s">
        <v>3366</v>
      </c>
      <c r="H335">
        <v>13572.25</v>
      </c>
      <c r="I335">
        <v>1357.22</v>
      </c>
      <c r="J335">
        <v>2455.09</v>
      </c>
      <c r="K335">
        <v>245.5</v>
      </c>
      <c r="L335">
        <v>11117.16</v>
      </c>
      <c r="M335">
        <v>1111.72</v>
      </c>
      <c r="O335" s="79">
        <f>IFERROR(VLOOKUP(D335,'KAPANAN BLD.'!$C$2:$D$793,2,FALSE),0)</f>
        <v>0</v>
      </c>
      <c r="P335" s="79">
        <v>0</v>
      </c>
    </row>
    <row r="336" spans="1:16" x14ac:dyDescent="0.25">
      <c r="A336" t="s">
        <v>32</v>
      </c>
      <c r="B336" s="73" t="str">
        <f>VLOOKUP(C336,'Büyükşehir List'!$C$2:$D$31,2,FALSE)</f>
        <v>ANTALYA BÜYÜKŞEHİR</v>
      </c>
      <c r="C336" t="s">
        <v>40</v>
      </c>
      <c r="D336" s="73" t="str">
        <f t="shared" si="9"/>
        <v>ANTALYA BÜYÜKŞEHİR/ANTALYA</v>
      </c>
      <c r="E336" t="s">
        <v>1852</v>
      </c>
      <c r="F336" t="s">
        <v>1852</v>
      </c>
      <c r="G336" t="s">
        <v>3367</v>
      </c>
      <c r="H336">
        <v>47387.37</v>
      </c>
      <c r="I336">
        <v>4738.75</v>
      </c>
      <c r="J336">
        <v>18894.97</v>
      </c>
      <c r="K336">
        <v>1889.5</v>
      </c>
      <c r="L336">
        <v>28492.400000000001</v>
      </c>
      <c r="M336">
        <v>2849.25</v>
      </c>
      <c r="O336" s="79">
        <f>IFERROR(VLOOKUP(D336,'KAPANAN BLD.'!$C$2:$D$793,2,FALSE),0)</f>
        <v>0</v>
      </c>
      <c r="P336" s="79">
        <v>0</v>
      </c>
    </row>
    <row r="337" spans="1:16" x14ac:dyDescent="0.25">
      <c r="A337" t="s">
        <v>32</v>
      </c>
      <c r="B337" s="73" t="str">
        <f>VLOOKUP(C337,'Büyükşehir List'!$C$2:$D$31,2,FALSE)</f>
        <v>ANTALYA BÜYÜKŞEHİR</v>
      </c>
      <c r="C337" t="s">
        <v>40</v>
      </c>
      <c r="D337" s="73" t="str">
        <f t="shared" si="9"/>
        <v>ANTALYA BÜYÜKŞEHİR/ANTALYA</v>
      </c>
      <c r="E337" t="s">
        <v>1852</v>
      </c>
      <c r="F337" t="s">
        <v>1852</v>
      </c>
      <c r="G337" t="s">
        <v>3366</v>
      </c>
      <c r="H337">
        <v>11019.62</v>
      </c>
      <c r="I337">
        <v>1101.93</v>
      </c>
      <c r="J337">
        <v>838.5</v>
      </c>
      <c r="K337">
        <v>83.85</v>
      </c>
      <c r="L337">
        <v>10181.120000000001</v>
      </c>
      <c r="M337">
        <v>1018.08</v>
      </c>
      <c r="O337" s="79">
        <f>IFERROR(VLOOKUP(D337,'KAPANAN BLD.'!$C$2:$D$793,2,FALSE),0)</f>
        <v>0</v>
      </c>
      <c r="P337" s="79">
        <v>0</v>
      </c>
    </row>
    <row r="338" spans="1:16" x14ac:dyDescent="0.25">
      <c r="A338" t="s">
        <v>32</v>
      </c>
      <c r="B338" s="73" t="str">
        <f>VLOOKUP(C338,'Büyükşehir List'!$C$2:$D$31,2,FALSE)</f>
        <v>ANTALYA BÜYÜKŞEHİR</v>
      </c>
      <c r="C338" t="s">
        <v>40</v>
      </c>
      <c r="D338" s="73" t="str">
        <f t="shared" si="9"/>
        <v>ANTALYA BÜYÜKŞEHİR/ANTALYA</v>
      </c>
      <c r="E338" t="s">
        <v>1852</v>
      </c>
      <c r="F338" t="s">
        <v>1852</v>
      </c>
      <c r="G338" t="s">
        <v>3367</v>
      </c>
      <c r="H338">
        <v>19174.060000000001</v>
      </c>
      <c r="I338">
        <v>1917.41</v>
      </c>
      <c r="J338">
        <v>410.5</v>
      </c>
      <c r="K338">
        <v>41.05</v>
      </c>
      <c r="L338">
        <v>18763.560000000001</v>
      </c>
      <c r="M338">
        <v>1876.36</v>
      </c>
      <c r="O338" s="79">
        <f>IFERROR(VLOOKUP(D338,'KAPANAN BLD.'!$C$2:$D$793,2,FALSE),0)</f>
        <v>0</v>
      </c>
      <c r="P338" s="79">
        <v>0</v>
      </c>
    </row>
    <row r="339" spans="1:16" x14ac:dyDescent="0.25">
      <c r="A339" t="s">
        <v>32</v>
      </c>
      <c r="B339" s="73" t="str">
        <f>VLOOKUP(C339,'Büyükşehir List'!$C$2:$D$31,2,FALSE)</f>
        <v>ANTALYA BÜYÜKŞEHİR</v>
      </c>
      <c r="C339" t="s">
        <v>40</v>
      </c>
      <c r="D339" s="73" t="str">
        <f t="shared" si="9"/>
        <v>ANTALYA BÜYÜKŞEHİR/ANTALYA</v>
      </c>
      <c r="E339" t="s">
        <v>1852</v>
      </c>
      <c r="F339" t="s">
        <v>1852</v>
      </c>
      <c r="G339" t="s">
        <v>3367</v>
      </c>
      <c r="H339">
        <v>4152.8100000000004</v>
      </c>
      <c r="I339">
        <v>415.28</v>
      </c>
      <c r="J339">
        <v>69.3</v>
      </c>
      <c r="K339">
        <v>6.93</v>
      </c>
      <c r="L339">
        <v>4083.51</v>
      </c>
      <c r="M339">
        <v>408.35</v>
      </c>
      <c r="O339" s="79">
        <f>IFERROR(VLOOKUP(D339,'KAPANAN BLD.'!$C$2:$D$793,2,FALSE),0)</f>
        <v>0</v>
      </c>
      <c r="P339" s="79">
        <v>0</v>
      </c>
    </row>
    <row r="340" spans="1:16" x14ac:dyDescent="0.25">
      <c r="A340" t="s">
        <v>32</v>
      </c>
      <c r="B340" s="73" t="str">
        <f>VLOOKUP(C340,'Büyükşehir List'!$C$2:$D$31,2,FALSE)</f>
        <v>ANTALYA BÜYÜKŞEHİR</v>
      </c>
      <c r="C340" t="s">
        <v>40</v>
      </c>
      <c r="D340" s="73" t="str">
        <f t="shared" si="9"/>
        <v>ANTALYA BÜYÜKŞEHİR/ANTALYA</v>
      </c>
      <c r="E340" t="s">
        <v>1852</v>
      </c>
      <c r="F340" t="s">
        <v>1852</v>
      </c>
      <c r="G340" t="s">
        <v>3366</v>
      </c>
      <c r="H340">
        <v>2977</v>
      </c>
      <c r="I340">
        <v>297.7</v>
      </c>
      <c r="J340">
        <v>631</v>
      </c>
      <c r="K340">
        <v>63.1</v>
      </c>
      <c r="L340">
        <v>2346</v>
      </c>
      <c r="M340">
        <v>234.6</v>
      </c>
      <c r="O340" s="79">
        <f>IFERROR(VLOOKUP(D340,'KAPANAN BLD.'!$C$2:$D$793,2,FALSE),0)</f>
        <v>0</v>
      </c>
      <c r="P340" s="79">
        <v>0</v>
      </c>
    </row>
    <row r="341" spans="1:16" x14ac:dyDescent="0.25">
      <c r="A341" t="s">
        <v>32</v>
      </c>
      <c r="B341" s="73" t="str">
        <f>VLOOKUP(C341,'Büyükşehir List'!$C$2:$D$31,2,FALSE)</f>
        <v>ANTALYA BÜYÜKŞEHİR</v>
      </c>
      <c r="C341" t="s">
        <v>40</v>
      </c>
      <c r="D341" s="73" t="str">
        <f t="shared" si="9"/>
        <v>ANTALYA BÜYÜKŞEHİR/ANTALYA</v>
      </c>
      <c r="E341" t="s">
        <v>1852</v>
      </c>
      <c r="F341" t="s">
        <v>1852</v>
      </c>
      <c r="G341" t="s">
        <v>3366</v>
      </c>
      <c r="H341">
        <v>5683.8</v>
      </c>
      <c r="I341">
        <v>568.38</v>
      </c>
      <c r="J341">
        <v>3440.4</v>
      </c>
      <c r="K341">
        <v>344.04</v>
      </c>
      <c r="L341">
        <v>2243.4</v>
      </c>
      <c r="M341">
        <v>224.34</v>
      </c>
      <c r="O341" s="79">
        <f>IFERROR(VLOOKUP(D341,'KAPANAN BLD.'!$C$2:$D$793,2,FALSE),0)</f>
        <v>0</v>
      </c>
      <c r="P341" s="79">
        <v>0</v>
      </c>
    </row>
    <row r="342" spans="1:16" x14ac:dyDescent="0.25">
      <c r="A342" t="s">
        <v>32</v>
      </c>
      <c r="B342" s="73" t="str">
        <f>VLOOKUP(C342,'Büyükşehir List'!$C$2:$D$31,2,FALSE)</f>
        <v>ANTALYA BÜYÜKŞEHİR</v>
      </c>
      <c r="C342" t="s">
        <v>40</v>
      </c>
      <c r="D342" s="73" t="str">
        <f t="shared" si="9"/>
        <v>ANTALYA BÜYÜKŞEHİR/ANTALYA</v>
      </c>
      <c r="E342" t="s">
        <v>1852</v>
      </c>
      <c r="F342" t="s">
        <v>1852</v>
      </c>
      <c r="G342" t="s">
        <v>3367</v>
      </c>
      <c r="H342">
        <v>3977.5</v>
      </c>
      <c r="I342">
        <v>397.75</v>
      </c>
      <c r="J342">
        <v>185.1</v>
      </c>
      <c r="K342">
        <v>18.510000000000002</v>
      </c>
      <c r="L342">
        <v>3792.4</v>
      </c>
      <c r="M342">
        <v>379.24</v>
      </c>
      <c r="O342" s="79">
        <f>IFERROR(VLOOKUP(D342,'KAPANAN BLD.'!$C$2:$D$793,2,FALSE),0)</f>
        <v>0</v>
      </c>
      <c r="P342" s="79">
        <v>0</v>
      </c>
    </row>
    <row r="343" spans="1:16" x14ac:dyDescent="0.25">
      <c r="A343" t="s">
        <v>32</v>
      </c>
      <c r="B343" s="73" t="str">
        <f>VLOOKUP(C343,'Büyükşehir List'!$C$2:$D$31,2,FALSE)</f>
        <v>ANTALYA BÜYÜKŞEHİR</v>
      </c>
      <c r="C343" t="s">
        <v>40</v>
      </c>
      <c r="D343" s="73" t="str">
        <f t="shared" si="9"/>
        <v>ANTALYA BÜYÜKŞEHİR/ANTALYA</v>
      </c>
      <c r="E343" t="s">
        <v>1852</v>
      </c>
      <c r="F343" t="s">
        <v>1852</v>
      </c>
      <c r="G343" t="s">
        <v>3367</v>
      </c>
      <c r="H343">
        <v>2984</v>
      </c>
      <c r="I343">
        <v>298.39999999999998</v>
      </c>
      <c r="J343">
        <v>18.7</v>
      </c>
      <c r="K343">
        <v>1.87</v>
      </c>
      <c r="L343">
        <v>2965.3</v>
      </c>
      <c r="M343">
        <v>296.52999999999997</v>
      </c>
      <c r="O343" s="79">
        <f>IFERROR(VLOOKUP(D343,'KAPANAN BLD.'!$C$2:$D$793,2,FALSE),0)</f>
        <v>0</v>
      </c>
      <c r="P343" s="79">
        <v>0</v>
      </c>
    </row>
    <row r="344" spans="1:16" x14ac:dyDescent="0.25">
      <c r="A344" t="s">
        <v>32</v>
      </c>
      <c r="B344" s="73" t="str">
        <f>VLOOKUP(C344,'Büyükşehir List'!$C$2:$D$31,2,FALSE)</f>
        <v>ANTALYA BÜYÜKŞEHİR</v>
      </c>
      <c r="C344" t="s">
        <v>40</v>
      </c>
      <c r="D344" s="73" t="str">
        <f t="shared" si="9"/>
        <v>ANTALYA BÜYÜKŞEHİR/ANTALYA</v>
      </c>
      <c r="E344" t="s">
        <v>1852</v>
      </c>
      <c r="F344" t="s">
        <v>1852</v>
      </c>
      <c r="G344" t="s">
        <v>3366</v>
      </c>
      <c r="H344">
        <v>5574.5</v>
      </c>
      <c r="I344">
        <v>557.45000000000005</v>
      </c>
      <c r="J344">
        <v>0</v>
      </c>
      <c r="K344">
        <v>0</v>
      </c>
      <c r="L344">
        <v>5574.5</v>
      </c>
      <c r="M344">
        <v>557.45000000000005</v>
      </c>
      <c r="O344" s="79">
        <f>IFERROR(VLOOKUP(D344,'KAPANAN BLD.'!$C$2:$D$793,2,FALSE),0)</f>
        <v>0</v>
      </c>
      <c r="P344" s="79">
        <v>0</v>
      </c>
    </row>
    <row r="345" spans="1:16" x14ac:dyDescent="0.25">
      <c r="A345" t="s">
        <v>32</v>
      </c>
      <c r="B345" s="73" t="str">
        <f>VLOOKUP(C345,'Büyükşehir List'!$C$2:$D$31,2,FALSE)</f>
        <v>ANTALYA BÜYÜKŞEHİR</v>
      </c>
      <c r="C345" t="s">
        <v>40</v>
      </c>
      <c r="D345" s="73" t="str">
        <f t="shared" si="9"/>
        <v>ANTALYA BÜYÜKŞEHİR/ANTALYA</v>
      </c>
      <c r="E345" t="s">
        <v>1852</v>
      </c>
      <c r="F345" t="s">
        <v>1852</v>
      </c>
      <c r="G345" t="s">
        <v>3367</v>
      </c>
      <c r="H345">
        <v>2726.8</v>
      </c>
      <c r="I345">
        <v>272.68</v>
      </c>
      <c r="J345">
        <v>35.6</v>
      </c>
      <c r="K345">
        <v>3.56</v>
      </c>
      <c r="L345">
        <v>2691.2</v>
      </c>
      <c r="M345">
        <v>269.12</v>
      </c>
      <c r="O345" s="79">
        <f>IFERROR(VLOOKUP(D345,'KAPANAN BLD.'!$C$2:$D$793,2,FALSE),0)</f>
        <v>0</v>
      </c>
      <c r="P345" s="79">
        <v>0</v>
      </c>
    </row>
    <row r="346" spans="1:16" x14ac:dyDescent="0.25">
      <c r="A346" t="s">
        <v>32</v>
      </c>
      <c r="B346" s="73" t="str">
        <f>VLOOKUP(C346,'Büyükşehir List'!$C$2:$D$31,2,FALSE)</f>
        <v>ANTALYA BÜYÜKŞEHİR</v>
      </c>
      <c r="C346" t="s">
        <v>40</v>
      </c>
      <c r="D346" s="73" t="str">
        <f t="shared" si="9"/>
        <v>ANTALYA BÜYÜKŞEHİR/ANTALYA</v>
      </c>
      <c r="E346" t="s">
        <v>1852</v>
      </c>
      <c r="F346" t="s">
        <v>1852</v>
      </c>
      <c r="G346" t="s">
        <v>3366</v>
      </c>
      <c r="H346">
        <v>2225.6</v>
      </c>
      <c r="I346">
        <v>222.56</v>
      </c>
      <c r="J346">
        <v>318.89999999999998</v>
      </c>
      <c r="K346">
        <v>31.89</v>
      </c>
      <c r="L346">
        <v>1906.7</v>
      </c>
      <c r="M346">
        <v>190.67</v>
      </c>
      <c r="O346" s="79">
        <f>IFERROR(VLOOKUP(D346,'KAPANAN BLD.'!$C$2:$D$793,2,FALSE),0)</f>
        <v>0</v>
      </c>
      <c r="P346" s="79">
        <v>0</v>
      </c>
    </row>
    <row r="347" spans="1:16" x14ac:dyDescent="0.25">
      <c r="A347" t="s">
        <v>32</v>
      </c>
      <c r="B347" s="73" t="str">
        <f>VLOOKUP(C347,'Büyükşehir List'!$C$2:$D$31,2,FALSE)</f>
        <v>ANTALYA BÜYÜKŞEHİR</v>
      </c>
      <c r="C347" t="s">
        <v>40</v>
      </c>
      <c r="D347" s="73" t="str">
        <f t="shared" si="9"/>
        <v>ANTALYA BÜYÜKŞEHİR/ANTALYA</v>
      </c>
      <c r="E347" t="s">
        <v>1852</v>
      </c>
      <c r="F347" t="s">
        <v>1852</v>
      </c>
      <c r="G347" t="s">
        <v>3367</v>
      </c>
      <c r="H347">
        <v>119.7</v>
      </c>
      <c r="I347">
        <v>11.97</v>
      </c>
      <c r="J347">
        <v>0</v>
      </c>
      <c r="K347">
        <v>0</v>
      </c>
      <c r="L347">
        <v>119.7</v>
      </c>
      <c r="M347">
        <v>11.97</v>
      </c>
      <c r="O347" s="79">
        <f>IFERROR(VLOOKUP(D347,'KAPANAN BLD.'!$C$2:$D$793,2,FALSE),0)</f>
        <v>0</v>
      </c>
      <c r="P347" s="79">
        <v>0</v>
      </c>
    </row>
    <row r="348" spans="1:16" x14ac:dyDescent="0.25">
      <c r="A348" t="s">
        <v>32</v>
      </c>
      <c r="B348" s="73" t="str">
        <f>VLOOKUP(C348,'Büyükşehir List'!$C$2:$D$31,2,FALSE)</f>
        <v>ANTALYA BÜYÜKŞEHİR</v>
      </c>
      <c r="C348" t="s">
        <v>40</v>
      </c>
      <c r="D348" s="73" t="str">
        <f t="shared" si="9"/>
        <v>ANTALYA BÜYÜKŞEHİR/ANTALYA</v>
      </c>
      <c r="E348" t="s">
        <v>1852</v>
      </c>
      <c r="F348" t="s">
        <v>1852</v>
      </c>
      <c r="G348" t="s">
        <v>3366</v>
      </c>
      <c r="H348">
        <v>37</v>
      </c>
      <c r="I348">
        <v>3.7</v>
      </c>
      <c r="J348">
        <v>0</v>
      </c>
      <c r="K348">
        <v>0</v>
      </c>
      <c r="L348">
        <v>37</v>
      </c>
      <c r="M348">
        <v>3.7</v>
      </c>
      <c r="O348" s="79">
        <f>IFERROR(VLOOKUP(D348,'KAPANAN BLD.'!$C$2:$D$793,2,FALSE),0)</f>
        <v>0</v>
      </c>
      <c r="P348" s="79">
        <v>0</v>
      </c>
    </row>
    <row r="349" spans="1:16" x14ac:dyDescent="0.25">
      <c r="A349" t="s">
        <v>32</v>
      </c>
      <c r="B349" s="73" t="str">
        <f>VLOOKUP(C349,'Büyükşehir List'!$C$2:$D$31,2,FALSE)</f>
        <v>ANTALYA BÜYÜKŞEHİR</v>
      </c>
      <c r="C349" t="s">
        <v>40</v>
      </c>
      <c r="D349" s="73" t="str">
        <f t="shared" si="9"/>
        <v>ANTALYA BÜYÜKŞEHİR/ANTALYA</v>
      </c>
      <c r="E349" t="s">
        <v>1852</v>
      </c>
      <c r="F349" t="s">
        <v>1852</v>
      </c>
      <c r="G349" t="s">
        <v>3366</v>
      </c>
      <c r="H349">
        <v>660.4</v>
      </c>
      <c r="I349">
        <v>66.040000000000006</v>
      </c>
      <c r="J349">
        <v>103.3</v>
      </c>
      <c r="K349">
        <v>10.33</v>
      </c>
      <c r="L349">
        <v>557.1</v>
      </c>
      <c r="M349">
        <v>55.71</v>
      </c>
      <c r="O349" s="79">
        <f>IFERROR(VLOOKUP(D349,'KAPANAN BLD.'!$C$2:$D$793,2,FALSE),0)</f>
        <v>0</v>
      </c>
      <c r="P349" s="79">
        <v>0</v>
      </c>
    </row>
    <row r="350" spans="1:16" x14ac:dyDescent="0.25">
      <c r="A350" t="s">
        <v>32</v>
      </c>
      <c r="B350" s="73" t="str">
        <f>VLOOKUP(C350,'Büyükşehir List'!$C$2:$D$31,2,FALSE)</f>
        <v>ANTALYA BÜYÜKŞEHİR</v>
      </c>
      <c r="C350" t="s">
        <v>40</v>
      </c>
      <c r="D350" s="73" t="str">
        <f t="shared" si="9"/>
        <v>ANTALYA BÜYÜKŞEHİR/ANTALYA</v>
      </c>
      <c r="E350" t="s">
        <v>1852</v>
      </c>
      <c r="F350" t="s">
        <v>1852</v>
      </c>
      <c r="G350" t="s">
        <v>3367</v>
      </c>
      <c r="H350">
        <v>310</v>
      </c>
      <c r="I350">
        <v>31</v>
      </c>
      <c r="J350">
        <v>5.4</v>
      </c>
      <c r="K350">
        <v>0.54</v>
      </c>
      <c r="L350">
        <v>304.60000000000002</v>
      </c>
      <c r="M350">
        <v>30.46</v>
      </c>
      <c r="O350" s="79">
        <f>IFERROR(VLOOKUP(D350,'KAPANAN BLD.'!$C$2:$D$793,2,FALSE),0)</f>
        <v>0</v>
      </c>
      <c r="P350" s="79">
        <v>0</v>
      </c>
    </row>
    <row r="351" spans="1:16" x14ac:dyDescent="0.25">
      <c r="A351" t="s">
        <v>32</v>
      </c>
      <c r="B351" s="73" t="str">
        <f>VLOOKUP(C351,'Büyükşehir List'!$C$2:$D$31,2,FALSE)</f>
        <v>ANTALYA BÜYÜKŞEHİR</v>
      </c>
      <c r="C351" t="s">
        <v>40</v>
      </c>
      <c r="D351" s="73" t="str">
        <f t="shared" si="9"/>
        <v>ANTALYA BÜYÜKŞEHİR/ANTALYA</v>
      </c>
      <c r="E351" t="s">
        <v>1852</v>
      </c>
      <c r="F351" t="s">
        <v>1852</v>
      </c>
      <c r="G351" t="s">
        <v>3367</v>
      </c>
      <c r="H351">
        <v>306.2</v>
      </c>
      <c r="I351">
        <v>30.62</v>
      </c>
      <c r="J351">
        <v>221.3</v>
      </c>
      <c r="K351">
        <v>22.13</v>
      </c>
      <c r="L351">
        <v>84.9</v>
      </c>
      <c r="M351">
        <v>8.49</v>
      </c>
      <c r="O351" s="79">
        <f>IFERROR(VLOOKUP(D351,'KAPANAN BLD.'!$C$2:$D$793,2,FALSE),0)</f>
        <v>0</v>
      </c>
      <c r="P351" s="79">
        <v>0</v>
      </c>
    </row>
    <row r="352" spans="1:16" x14ac:dyDescent="0.25">
      <c r="A352" t="s">
        <v>32</v>
      </c>
      <c r="B352" s="73" t="str">
        <f>VLOOKUP(C352,'Büyükşehir List'!$C$2:$D$31,2,FALSE)</f>
        <v>ANTALYA BÜYÜKŞEHİR</v>
      </c>
      <c r="C352" t="s">
        <v>40</v>
      </c>
      <c r="D352" s="73" t="str">
        <f t="shared" si="9"/>
        <v>ANTALYA BÜYÜKŞEHİR/ANTALYA</v>
      </c>
      <c r="E352" t="s">
        <v>1852</v>
      </c>
      <c r="F352" t="s">
        <v>1852</v>
      </c>
      <c r="G352" t="s">
        <v>3366</v>
      </c>
      <c r="H352">
        <v>640.29999999999995</v>
      </c>
      <c r="I352">
        <v>64.03</v>
      </c>
      <c r="J352">
        <v>786.5</v>
      </c>
      <c r="K352">
        <v>78.650000000000006</v>
      </c>
      <c r="L352">
        <v>-146.19999999999999</v>
      </c>
      <c r="M352">
        <v>-14.62</v>
      </c>
      <c r="O352" s="79">
        <f>IFERROR(VLOOKUP(D352,'KAPANAN BLD.'!$C$2:$D$793,2,FALSE),0)</f>
        <v>0</v>
      </c>
      <c r="P352" s="79">
        <v>0</v>
      </c>
    </row>
    <row r="353" spans="1:16" x14ac:dyDescent="0.25">
      <c r="A353" t="s">
        <v>32</v>
      </c>
      <c r="B353" s="73" t="str">
        <f>VLOOKUP(C353,'Büyükşehir List'!$C$2:$D$31,2,FALSE)</f>
        <v>ANTALYA BÜYÜKŞEHİR</v>
      </c>
      <c r="C353" t="s">
        <v>40</v>
      </c>
      <c r="D353" s="73" t="str">
        <f t="shared" si="9"/>
        <v>ANTALYA BÜYÜKŞEHİR/ANTALYA</v>
      </c>
      <c r="E353" t="s">
        <v>1852</v>
      </c>
      <c r="F353" t="s">
        <v>1852</v>
      </c>
      <c r="G353" t="s">
        <v>3367</v>
      </c>
      <c r="H353">
        <v>207.4</v>
      </c>
      <c r="I353">
        <v>20.74</v>
      </c>
      <c r="J353">
        <v>0</v>
      </c>
      <c r="K353">
        <v>0</v>
      </c>
      <c r="L353">
        <v>207.4</v>
      </c>
      <c r="M353">
        <v>20.74</v>
      </c>
      <c r="O353" s="79">
        <f>IFERROR(VLOOKUP(D353,'KAPANAN BLD.'!$C$2:$D$793,2,FALSE),0)</f>
        <v>0</v>
      </c>
      <c r="P353" s="79">
        <v>0</v>
      </c>
    </row>
    <row r="354" spans="1:16" x14ac:dyDescent="0.25">
      <c r="A354" t="s">
        <v>32</v>
      </c>
      <c r="B354" s="73" t="str">
        <f>VLOOKUP(C354,'Büyükşehir List'!$C$2:$D$31,2,FALSE)</f>
        <v>ANTALYA BÜYÜKŞEHİR</v>
      </c>
      <c r="C354" t="s">
        <v>40</v>
      </c>
      <c r="D354" s="73" t="str">
        <f t="shared" si="9"/>
        <v>ANTALYA BÜYÜKŞEHİR/ANTALYA</v>
      </c>
      <c r="E354" t="s">
        <v>1852</v>
      </c>
      <c r="F354" t="s">
        <v>1852</v>
      </c>
      <c r="G354" t="s">
        <v>3366</v>
      </c>
      <c r="H354">
        <v>200.2</v>
      </c>
      <c r="I354">
        <v>20.02</v>
      </c>
      <c r="J354">
        <v>0</v>
      </c>
      <c r="K354">
        <v>0</v>
      </c>
      <c r="L354">
        <v>200.2</v>
      </c>
      <c r="M354">
        <v>20.02</v>
      </c>
      <c r="O354" s="79">
        <f>IFERROR(VLOOKUP(D354,'KAPANAN BLD.'!$C$2:$D$793,2,FALSE),0)</f>
        <v>0</v>
      </c>
      <c r="P354" s="79">
        <v>0</v>
      </c>
    </row>
    <row r="355" spans="1:16" x14ac:dyDescent="0.25">
      <c r="A355" t="s">
        <v>32</v>
      </c>
      <c r="B355" s="73" t="str">
        <f>VLOOKUP(C355,'Büyükşehir List'!$C$2:$D$31,2,FALSE)</f>
        <v>ANTALYA BÜYÜKŞEHİR</v>
      </c>
      <c r="C355" t="s">
        <v>40</v>
      </c>
      <c r="D355" s="73" t="str">
        <f t="shared" si="9"/>
        <v>ANTALYA BÜYÜKŞEHİR/ANTALYA</v>
      </c>
      <c r="E355" t="s">
        <v>1852</v>
      </c>
      <c r="F355" t="s">
        <v>1852</v>
      </c>
      <c r="G355" t="s">
        <v>3367</v>
      </c>
      <c r="H355">
        <v>2527.75</v>
      </c>
      <c r="I355">
        <v>252.78</v>
      </c>
      <c r="J355">
        <v>265.89999999999998</v>
      </c>
      <c r="K355">
        <v>26.59</v>
      </c>
      <c r="L355">
        <v>2261.85</v>
      </c>
      <c r="M355">
        <v>226.19</v>
      </c>
      <c r="O355" s="79">
        <f>IFERROR(VLOOKUP(D355,'KAPANAN BLD.'!$C$2:$D$793,2,FALSE),0)</f>
        <v>0</v>
      </c>
      <c r="P355" s="79">
        <v>0</v>
      </c>
    </row>
    <row r="356" spans="1:16" x14ac:dyDescent="0.25">
      <c r="A356" t="s">
        <v>32</v>
      </c>
      <c r="B356" s="73" t="str">
        <f>VLOOKUP(C356,'Büyükşehir List'!$C$2:$D$31,2,FALSE)</f>
        <v>ANTALYA BÜYÜKŞEHİR</v>
      </c>
      <c r="C356" t="s">
        <v>40</v>
      </c>
      <c r="D356" s="73" t="str">
        <f t="shared" si="9"/>
        <v>ANTALYA BÜYÜKŞEHİR/ANTALYA</v>
      </c>
      <c r="E356" t="s">
        <v>1852</v>
      </c>
      <c r="F356" t="s">
        <v>1852</v>
      </c>
      <c r="G356" t="s">
        <v>3366</v>
      </c>
      <c r="H356">
        <v>10677.39</v>
      </c>
      <c r="I356">
        <v>1067.74</v>
      </c>
      <c r="J356">
        <v>1100.9000000000001</v>
      </c>
      <c r="K356">
        <v>110.09</v>
      </c>
      <c r="L356">
        <v>9576.49</v>
      </c>
      <c r="M356">
        <v>957.65</v>
      </c>
      <c r="O356" s="79">
        <f>IFERROR(VLOOKUP(D356,'KAPANAN BLD.'!$C$2:$D$793,2,FALSE),0)</f>
        <v>0</v>
      </c>
      <c r="P356" s="79">
        <v>0</v>
      </c>
    </row>
    <row r="357" spans="1:16" x14ac:dyDescent="0.25">
      <c r="A357" t="s">
        <v>32</v>
      </c>
      <c r="B357" s="73" t="str">
        <f>VLOOKUP(C357,'Büyükşehir List'!$C$2:$D$31,2,FALSE)</f>
        <v>ANTALYA BÜYÜKŞEHİR</v>
      </c>
      <c r="C357" t="s">
        <v>40</v>
      </c>
      <c r="D357" s="73" t="str">
        <f t="shared" si="9"/>
        <v>ANTALYA BÜYÜKŞEHİR/ANTALYA</v>
      </c>
      <c r="E357" t="s">
        <v>1852</v>
      </c>
      <c r="F357" t="s">
        <v>1852</v>
      </c>
      <c r="G357" t="s">
        <v>3367</v>
      </c>
      <c r="H357">
        <v>4102.6000000000004</v>
      </c>
      <c r="I357">
        <v>410.26</v>
      </c>
      <c r="J357">
        <v>90</v>
      </c>
      <c r="K357">
        <v>9</v>
      </c>
      <c r="L357">
        <v>4012.6</v>
      </c>
      <c r="M357">
        <v>401.26</v>
      </c>
      <c r="O357" s="79">
        <f>IFERROR(VLOOKUP(D357,'KAPANAN BLD.'!$C$2:$D$793,2,FALSE),0)</f>
        <v>0</v>
      </c>
      <c r="P357" s="79">
        <v>0</v>
      </c>
    </row>
    <row r="358" spans="1:16" x14ac:dyDescent="0.25">
      <c r="A358" t="s">
        <v>32</v>
      </c>
      <c r="B358" s="73" t="str">
        <f>VLOOKUP(C358,'Büyükşehir List'!$C$2:$D$31,2,FALSE)</f>
        <v>ANTALYA BÜYÜKŞEHİR</v>
      </c>
      <c r="C358" t="s">
        <v>40</v>
      </c>
      <c r="D358" s="73" t="str">
        <f t="shared" si="9"/>
        <v>ANTALYA BÜYÜKŞEHİR/ANTALYA</v>
      </c>
      <c r="E358" t="s">
        <v>1852</v>
      </c>
      <c r="F358" t="s">
        <v>1852</v>
      </c>
      <c r="G358" t="s">
        <v>3366</v>
      </c>
      <c r="H358">
        <v>999.6</v>
      </c>
      <c r="I358">
        <v>99.96</v>
      </c>
      <c r="J358">
        <v>805.6</v>
      </c>
      <c r="K358">
        <v>80.56</v>
      </c>
      <c r="L358">
        <v>194</v>
      </c>
      <c r="M358">
        <v>19.399999999999999</v>
      </c>
      <c r="O358" s="79">
        <f>IFERROR(VLOOKUP(D358,'KAPANAN BLD.'!$C$2:$D$793,2,FALSE),0)</f>
        <v>0</v>
      </c>
      <c r="P358" s="79">
        <v>0</v>
      </c>
    </row>
    <row r="359" spans="1:16" x14ac:dyDescent="0.25">
      <c r="A359" t="s">
        <v>32</v>
      </c>
      <c r="B359" s="73" t="str">
        <f>VLOOKUP(C359,'Büyükşehir List'!$C$2:$D$31,2,FALSE)</f>
        <v>ANTALYA BÜYÜKŞEHİR</v>
      </c>
      <c r="C359" t="s">
        <v>40</v>
      </c>
      <c r="D359" s="73" t="str">
        <f t="shared" si="9"/>
        <v>ANTALYA BÜYÜKŞEHİR/ANTALYA</v>
      </c>
      <c r="E359" t="s">
        <v>1852</v>
      </c>
      <c r="F359" t="s">
        <v>1852</v>
      </c>
      <c r="G359" t="s">
        <v>3367</v>
      </c>
      <c r="H359">
        <v>3037.2</v>
      </c>
      <c r="I359">
        <v>303.72000000000003</v>
      </c>
      <c r="J359">
        <v>1357.5</v>
      </c>
      <c r="K359">
        <v>135.75</v>
      </c>
      <c r="L359">
        <v>1679.7</v>
      </c>
      <c r="M359">
        <v>167.97</v>
      </c>
      <c r="O359" s="79">
        <f>IFERROR(VLOOKUP(D359,'KAPANAN BLD.'!$C$2:$D$793,2,FALSE),0)</f>
        <v>0</v>
      </c>
      <c r="P359" s="79">
        <v>0</v>
      </c>
    </row>
    <row r="360" spans="1:16" x14ac:dyDescent="0.25">
      <c r="A360" t="s">
        <v>32</v>
      </c>
      <c r="B360" s="73" t="str">
        <f>VLOOKUP(C360,'Büyükşehir List'!$C$2:$D$31,2,FALSE)</f>
        <v>ANTALYA BÜYÜKŞEHİR</v>
      </c>
      <c r="C360" t="s">
        <v>40</v>
      </c>
      <c r="D360" s="73" t="str">
        <f t="shared" si="9"/>
        <v>ANTALYA BÜYÜKŞEHİR/ANTALYA</v>
      </c>
      <c r="E360" t="s">
        <v>1852</v>
      </c>
      <c r="F360" t="s">
        <v>1852</v>
      </c>
      <c r="G360" t="s">
        <v>3366</v>
      </c>
      <c r="H360">
        <v>18747.8</v>
      </c>
      <c r="I360">
        <v>1874.78</v>
      </c>
      <c r="J360">
        <v>749.6</v>
      </c>
      <c r="K360">
        <v>74.959999999999994</v>
      </c>
      <c r="L360">
        <v>17998.2</v>
      </c>
      <c r="M360">
        <v>1799.82</v>
      </c>
      <c r="O360" s="79">
        <f>IFERROR(VLOOKUP(D360,'KAPANAN BLD.'!$C$2:$D$793,2,FALSE),0)</f>
        <v>0</v>
      </c>
      <c r="P360" s="79">
        <v>0</v>
      </c>
    </row>
    <row r="361" spans="1:16" x14ac:dyDescent="0.25">
      <c r="A361" t="s">
        <v>32</v>
      </c>
      <c r="B361" s="73" t="str">
        <f>VLOOKUP(C361,'Büyükşehir List'!$C$2:$D$31,2,FALSE)</f>
        <v>ANTALYA BÜYÜKŞEHİR</v>
      </c>
      <c r="C361" t="s">
        <v>40</v>
      </c>
      <c r="D361" s="73" t="str">
        <f t="shared" si="9"/>
        <v>ANTALYA BÜYÜKŞEHİR/ANTALYA</v>
      </c>
      <c r="E361" t="s">
        <v>1852</v>
      </c>
      <c r="F361" t="s">
        <v>1852</v>
      </c>
      <c r="G361" t="s">
        <v>3367</v>
      </c>
      <c r="H361">
        <v>5095.8</v>
      </c>
      <c r="I361">
        <v>509.58</v>
      </c>
      <c r="J361">
        <v>404</v>
      </c>
      <c r="K361">
        <v>40.4</v>
      </c>
      <c r="L361">
        <v>4691.8</v>
      </c>
      <c r="M361">
        <v>469.18</v>
      </c>
      <c r="O361" s="79">
        <f>IFERROR(VLOOKUP(D361,'KAPANAN BLD.'!$C$2:$D$793,2,FALSE),0)</f>
        <v>0</v>
      </c>
      <c r="P361" s="79">
        <v>0</v>
      </c>
    </row>
    <row r="362" spans="1:16" x14ac:dyDescent="0.25">
      <c r="A362" t="s">
        <v>32</v>
      </c>
      <c r="B362" s="73" t="str">
        <f>VLOOKUP(C362,'Büyükşehir List'!$C$2:$D$31,2,FALSE)</f>
        <v>ANTALYA BÜYÜKŞEHİR</v>
      </c>
      <c r="C362" t="s">
        <v>40</v>
      </c>
      <c r="D362" s="73" t="str">
        <f t="shared" si="9"/>
        <v>ANTALYA BÜYÜKŞEHİR/ANTALYA</v>
      </c>
      <c r="E362" t="s">
        <v>1852</v>
      </c>
      <c r="F362" t="s">
        <v>1852</v>
      </c>
      <c r="G362" t="s">
        <v>3366</v>
      </c>
      <c r="H362">
        <v>6036.2</v>
      </c>
      <c r="I362">
        <v>603.62</v>
      </c>
      <c r="J362">
        <v>680.8</v>
      </c>
      <c r="K362">
        <v>68.08</v>
      </c>
      <c r="L362">
        <v>5355.4</v>
      </c>
      <c r="M362">
        <v>535.54</v>
      </c>
      <c r="O362" s="79">
        <f>IFERROR(VLOOKUP(D362,'KAPANAN BLD.'!$C$2:$D$793,2,FALSE),0)</f>
        <v>0</v>
      </c>
      <c r="P362" s="79">
        <v>0</v>
      </c>
    </row>
    <row r="363" spans="1:16" x14ac:dyDescent="0.25">
      <c r="A363" t="s">
        <v>32</v>
      </c>
      <c r="B363" s="73" t="str">
        <f>VLOOKUP(C363,'Büyükşehir List'!$C$2:$D$31,2,FALSE)</f>
        <v>ANTALYA BÜYÜKŞEHİR</v>
      </c>
      <c r="C363" t="s">
        <v>40</v>
      </c>
      <c r="D363" s="73" t="str">
        <f t="shared" si="9"/>
        <v>ANTALYA BÜYÜKŞEHİR/ANTALYA</v>
      </c>
      <c r="E363" t="s">
        <v>1852</v>
      </c>
      <c r="F363" t="s">
        <v>1852</v>
      </c>
      <c r="G363" t="s">
        <v>3366</v>
      </c>
      <c r="H363">
        <v>7968.8</v>
      </c>
      <c r="I363">
        <v>796.88</v>
      </c>
      <c r="J363">
        <v>906.1</v>
      </c>
      <c r="K363">
        <v>90.61</v>
      </c>
      <c r="L363">
        <v>7062.7</v>
      </c>
      <c r="M363">
        <v>706.27</v>
      </c>
      <c r="O363" s="79">
        <f>IFERROR(VLOOKUP(D363,'KAPANAN BLD.'!$C$2:$D$793,2,FALSE),0)</f>
        <v>0</v>
      </c>
      <c r="P363" s="79">
        <v>0</v>
      </c>
    </row>
    <row r="364" spans="1:16" x14ac:dyDescent="0.25">
      <c r="A364" t="s">
        <v>32</v>
      </c>
      <c r="B364" s="73" t="str">
        <f>VLOOKUP(C364,'Büyükşehir List'!$C$2:$D$31,2,FALSE)</f>
        <v>ANTALYA BÜYÜKŞEHİR</v>
      </c>
      <c r="C364" t="s">
        <v>40</v>
      </c>
      <c r="D364" s="73" t="str">
        <f t="shared" si="9"/>
        <v>ANTALYA BÜYÜKŞEHİR/ANTALYA</v>
      </c>
      <c r="E364" t="s">
        <v>1852</v>
      </c>
      <c r="F364" t="s">
        <v>1852</v>
      </c>
      <c r="G364" t="s">
        <v>3367</v>
      </c>
      <c r="H364">
        <v>4870.7</v>
      </c>
      <c r="I364">
        <v>487.07</v>
      </c>
      <c r="J364">
        <v>191</v>
      </c>
      <c r="K364">
        <v>19.100000000000001</v>
      </c>
      <c r="L364">
        <v>4679.7</v>
      </c>
      <c r="M364">
        <v>467.97</v>
      </c>
      <c r="O364" s="79">
        <f>IFERROR(VLOOKUP(D364,'KAPANAN BLD.'!$C$2:$D$793,2,FALSE),0)</f>
        <v>0</v>
      </c>
      <c r="P364" s="79">
        <v>0</v>
      </c>
    </row>
    <row r="365" spans="1:16" x14ac:dyDescent="0.25">
      <c r="A365" t="s">
        <v>32</v>
      </c>
      <c r="B365" s="73" t="str">
        <f>VLOOKUP(C365,'Büyükşehir List'!$C$2:$D$31,2,FALSE)</f>
        <v>ANTALYA BÜYÜKŞEHİR</v>
      </c>
      <c r="C365" t="s">
        <v>40</v>
      </c>
      <c r="D365" s="73" t="str">
        <f t="shared" si="9"/>
        <v>ANTALYA BÜYÜKŞEHİR/ANTALYA</v>
      </c>
      <c r="E365" t="s">
        <v>1852</v>
      </c>
      <c r="F365" t="s">
        <v>1852</v>
      </c>
      <c r="G365" t="s">
        <v>3367</v>
      </c>
      <c r="H365">
        <v>9.6</v>
      </c>
      <c r="I365">
        <v>0.96</v>
      </c>
      <c r="J365">
        <v>0</v>
      </c>
      <c r="K365">
        <v>0</v>
      </c>
      <c r="L365">
        <v>9.6</v>
      </c>
      <c r="M365">
        <v>0.96</v>
      </c>
      <c r="O365" s="79">
        <f>IFERROR(VLOOKUP(D365,'KAPANAN BLD.'!$C$2:$D$793,2,FALSE),0)</f>
        <v>0</v>
      </c>
      <c r="P365" s="79">
        <v>0</v>
      </c>
    </row>
    <row r="366" spans="1:16" x14ac:dyDescent="0.25">
      <c r="A366" t="s">
        <v>32</v>
      </c>
      <c r="B366" s="73" t="str">
        <f>VLOOKUP(C366,'Büyükşehir List'!$C$2:$D$31,2,FALSE)</f>
        <v>ANTALYA BÜYÜKŞEHİR</v>
      </c>
      <c r="C366" t="s">
        <v>40</v>
      </c>
      <c r="D366" s="73" t="str">
        <f t="shared" si="9"/>
        <v>ANTALYA BÜYÜKŞEHİR/ANTALYA</v>
      </c>
      <c r="E366" t="s">
        <v>1852</v>
      </c>
      <c r="F366" t="s">
        <v>1852</v>
      </c>
      <c r="G366" t="s">
        <v>3366</v>
      </c>
      <c r="H366">
        <v>6.5</v>
      </c>
      <c r="I366">
        <v>0.65</v>
      </c>
      <c r="J366">
        <v>0</v>
      </c>
      <c r="K366">
        <v>0</v>
      </c>
      <c r="L366">
        <v>6.5</v>
      </c>
      <c r="M366">
        <v>0.65</v>
      </c>
      <c r="O366" s="79">
        <f>IFERROR(VLOOKUP(D366,'KAPANAN BLD.'!$C$2:$D$793,2,FALSE),0)</f>
        <v>0</v>
      </c>
      <c r="P366" s="79">
        <v>0</v>
      </c>
    </row>
    <row r="367" spans="1:16" x14ac:dyDescent="0.25">
      <c r="A367" t="s">
        <v>32</v>
      </c>
      <c r="B367" s="73" t="str">
        <f>VLOOKUP(C367,'Büyükşehir List'!$C$2:$D$31,2,FALSE)</f>
        <v>ANTALYA BÜYÜKŞEHİR</v>
      </c>
      <c r="C367" t="s">
        <v>40</v>
      </c>
      <c r="D367" s="73" t="str">
        <f t="shared" si="9"/>
        <v>ANTALYA BÜYÜKŞEHİR/ANTALYA</v>
      </c>
      <c r="E367" t="s">
        <v>1852</v>
      </c>
      <c r="F367" t="s">
        <v>1852</v>
      </c>
      <c r="G367" t="s">
        <v>3367</v>
      </c>
      <c r="H367">
        <v>2558.62</v>
      </c>
      <c r="I367">
        <v>255.87</v>
      </c>
      <c r="J367">
        <v>18.899999999999999</v>
      </c>
      <c r="K367">
        <v>1.89</v>
      </c>
      <c r="L367">
        <v>2539.7199999999998</v>
      </c>
      <c r="M367">
        <v>253.98</v>
      </c>
      <c r="O367" s="79">
        <f>IFERROR(VLOOKUP(D367,'KAPANAN BLD.'!$C$2:$D$793,2,FALSE),0)</f>
        <v>0</v>
      </c>
      <c r="P367" s="79">
        <v>0</v>
      </c>
    </row>
    <row r="368" spans="1:16" x14ac:dyDescent="0.25">
      <c r="A368" t="s">
        <v>32</v>
      </c>
      <c r="B368" s="73" t="str">
        <f>VLOOKUP(C368,'Büyükşehir List'!$C$2:$D$31,2,FALSE)</f>
        <v>ANTALYA BÜYÜKŞEHİR</v>
      </c>
      <c r="C368" t="s">
        <v>40</v>
      </c>
      <c r="D368" s="73" t="str">
        <f t="shared" si="9"/>
        <v>ANTALYA BÜYÜKŞEHİR/ANTALYA</v>
      </c>
      <c r="E368" t="s">
        <v>1852</v>
      </c>
      <c r="F368" t="s">
        <v>1852</v>
      </c>
      <c r="G368" t="s">
        <v>3366</v>
      </c>
      <c r="H368">
        <v>3604.8</v>
      </c>
      <c r="I368">
        <v>360.48</v>
      </c>
      <c r="J368">
        <v>34.299999999999997</v>
      </c>
      <c r="K368">
        <v>3.43</v>
      </c>
      <c r="L368">
        <v>3570.5</v>
      </c>
      <c r="M368">
        <v>357.05</v>
      </c>
      <c r="O368" s="79">
        <f>IFERROR(VLOOKUP(D368,'KAPANAN BLD.'!$C$2:$D$793,2,FALSE),0)</f>
        <v>0</v>
      </c>
      <c r="P368" s="79">
        <v>0</v>
      </c>
    </row>
    <row r="369" spans="1:16" x14ac:dyDescent="0.25">
      <c r="A369" t="s">
        <v>32</v>
      </c>
      <c r="B369" s="73" t="str">
        <f>VLOOKUP(C369,'Büyükşehir List'!$C$2:$D$31,2,FALSE)</f>
        <v>ANTALYA BÜYÜKŞEHİR</v>
      </c>
      <c r="C369" t="s">
        <v>40</v>
      </c>
      <c r="D369" s="73" t="str">
        <f t="shared" si="9"/>
        <v>ANTALYA BÜYÜKŞEHİR/ANTALYA</v>
      </c>
      <c r="E369" t="s">
        <v>1852</v>
      </c>
      <c r="F369" t="s">
        <v>1852</v>
      </c>
      <c r="G369" t="s">
        <v>3367</v>
      </c>
      <c r="H369">
        <v>3073.2</v>
      </c>
      <c r="I369">
        <v>307.32</v>
      </c>
      <c r="J369">
        <v>0</v>
      </c>
      <c r="K369">
        <v>0</v>
      </c>
      <c r="L369">
        <v>3073.2</v>
      </c>
      <c r="M369">
        <v>307.32</v>
      </c>
      <c r="O369" s="79">
        <f>IFERROR(VLOOKUP(D369,'KAPANAN BLD.'!$C$2:$D$793,2,FALSE),0)</f>
        <v>0</v>
      </c>
      <c r="P369" s="79">
        <v>0</v>
      </c>
    </row>
    <row r="370" spans="1:16" x14ac:dyDescent="0.25">
      <c r="A370" t="s">
        <v>32</v>
      </c>
      <c r="B370" s="73" t="str">
        <f>VLOOKUP(C370,'Büyükşehir List'!$C$2:$D$31,2,FALSE)</f>
        <v>ANTALYA BÜYÜKŞEHİR</v>
      </c>
      <c r="C370" t="s">
        <v>40</v>
      </c>
      <c r="D370" s="73" t="str">
        <f t="shared" si="9"/>
        <v>ANTALYA BÜYÜKŞEHİR/ANTALYA</v>
      </c>
      <c r="E370" t="s">
        <v>1852</v>
      </c>
      <c r="F370" t="s">
        <v>1852</v>
      </c>
      <c r="G370" t="s">
        <v>3366</v>
      </c>
      <c r="H370">
        <v>22853.8</v>
      </c>
      <c r="I370">
        <v>2285.38</v>
      </c>
      <c r="J370">
        <v>0</v>
      </c>
      <c r="K370">
        <v>0</v>
      </c>
      <c r="L370">
        <v>22853.8</v>
      </c>
      <c r="M370">
        <v>2285.38</v>
      </c>
      <c r="O370" s="79">
        <f>IFERROR(VLOOKUP(D370,'KAPANAN BLD.'!$C$2:$D$793,2,FALSE),0)</f>
        <v>0</v>
      </c>
      <c r="P370" s="79">
        <v>0</v>
      </c>
    </row>
    <row r="371" spans="1:16" x14ac:dyDescent="0.25">
      <c r="A371" t="s">
        <v>32</v>
      </c>
      <c r="B371" s="73" t="str">
        <f>VLOOKUP(C371,'Büyükşehir List'!$C$2:$D$31,2,FALSE)</f>
        <v>ANTALYA BÜYÜKŞEHİR</v>
      </c>
      <c r="C371" t="s">
        <v>40</v>
      </c>
      <c r="D371" s="73" t="str">
        <f t="shared" si="9"/>
        <v>ANTALYA BÜYÜKŞEHİR/ANTALYA</v>
      </c>
      <c r="E371" t="s">
        <v>1852</v>
      </c>
      <c r="F371" t="s">
        <v>1852</v>
      </c>
      <c r="G371" t="s">
        <v>3367</v>
      </c>
      <c r="H371">
        <v>66487.789999999994</v>
      </c>
      <c r="I371">
        <v>6648.78</v>
      </c>
      <c r="J371">
        <v>388.8</v>
      </c>
      <c r="K371">
        <v>38.880000000000003</v>
      </c>
      <c r="L371">
        <v>66098.990000000005</v>
      </c>
      <c r="M371">
        <v>6609.9</v>
      </c>
      <c r="O371" s="79">
        <f>IFERROR(VLOOKUP(D371,'KAPANAN BLD.'!$C$2:$D$793,2,FALSE),0)</f>
        <v>0</v>
      </c>
      <c r="P371" s="79">
        <v>0</v>
      </c>
    </row>
    <row r="372" spans="1:16" x14ac:dyDescent="0.25">
      <c r="A372" t="s">
        <v>32</v>
      </c>
      <c r="B372" s="73" t="str">
        <f>VLOOKUP(C372,'Büyükşehir List'!$C$2:$D$31,2,FALSE)</f>
        <v>ANTALYA BÜYÜKŞEHİR</v>
      </c>
      <c r="C372" t="s">
        <v>40</v>
      </c>
      <c r="D372" s="73" t="str">
        <f t="shared" si="9"/>
        <v>ANTALYA BÜYÜKŞEHİR/ANTALYA</v>
      </c>
      <c r="E372" t="s">
        <v>1852</v>
      </c>
      <c r="F372" t="s">
        <v>1852</v>
      </c>
      <c r="G372" t="s">
        <v>3366</v>
      </c>
      <c r="H372">
        <v>100885.92</v>
      </c>
      <c r="I372">
        <v>10088.6</v>
      </c>
      <c r="J372">
        <v>689.3</v>
      </c>
      <c r="K372">
        <v>68.930000000000007</v>
      </c>
      <c r="L372">
        <v>100196.62</v>
      </c>
      <c r="M372">
        <v>10019.67</v>
      </c>
      <c r="O372" s="79">
        <f>IFERROR(VLOOKUP(D372,'KAPANAN BLD.'!$C$2:$D$793,2,FALSE),0)</f>
        <v>0</v>
      </c>
      <c r="P372" s="79">
        <v>0</v>
      </c>
    </row>
    <row r="373" spans="1:16" x14ac:dyDescent="0.25">
      <c r="A373" t="s">
        <v>32</v>
      </c>
      <c r="B373" s="73" t="str">
        <f>VLOOKUP(C373,'Büyükşehir List'!$C$2:$D$31,2,FALSE)</f>
        <v>ANTALYA BÜYÜKŞEHİR</v>
      </c>
      <c r="C373" t="s">
        <v>40</v>
      </c>
      <c r="D373" s="73" t="str">
        <f t="shared" si="9"/>
        <v>ANTALYA BÜYÜKŞEHİR/ANTALYA</v>
      </c>
      <c r="E373" t="s">
        <v>1852</v>
      </c>
      <c r="F373" t="s">
        <v>1852</v>
      </c>
      <c r="G373" t="s">
        <v>3367</v>
      </c>
      <c r="H373">
        <v>307.2</v>
      </c>
      <c r="I373">
        <v>30.72</v>
      </c>
      <c r="J373">
        <v>0</v>
      </c>
      <c r="K373">
        <v>0</v>
      </c>
      <c r="L373">
        <v>307.2</v>
      </c>
      <c r="M373">
        <v>30.72</v>
      </c>
      <c r="O373" s="79">
        <f>IFERROR(VLOOKUP(D373,'KAPANAN BLD.'!$C$2:$D$793,2,FALSE),0)</f>
        <v>0</v>
      </c>
      <c r="P373" s="79">
        <v>0</v>
      </c>
    </row>
    <row r="374" spans="1:16" x14ac:dyDescent="0.25">
      <c r="A374" t="s">
        <v>32</v>
      </c>
      <c r="B374" s="73" t="str">
        <f>VLOOKUP(C374,'Büyükşehir List'!$C$2:$D$31,2,FALSE)</f>
        <v>ANTALYA BÜYÜKŞEHİR</v>
      </c>
      <c r="C374" t="s">
        <v>40</v>
      </c>
      <c r="D374" s="73" t="str">
        <f t="shared" si="9"/>
        <v>ANTALYA BÜYÜKŞEHİR/ANTALYA</v>
      </c>
      <c r="E374" t="s">
        <v>1852</v>
      </c>
      <c r="F374" t="s">
        <v>1852</v>
      </c>
      <c r="G374" t="s">
        <v>3366</v>
      </c>
      <c r="H374">
        <v>402.8</v>
      </c>
      <c r="I374">
        <v>40.28</v>
      </c>
      <c r="J374">
        <v>0</v>
      </c>
      <c r="K374">
        <v>0</v>
      </c>
      <c r="L374">
        <v>402.8</v>
      </c>
      <c r="M374">
        <v>40.28</v>
      </c>
      <c r="O374" s="79">
        <f>IFERROR(VLOOKUP(D374,'KAPANAN BLD.'!$C$2:$D$793,2,FALSE),0)</f>
        <v>0</v>
      </c>
      <c r="P374" s="79">
        <v>0</v>
      </c>
    </row>
    <row r="375" spans="1:16" x14ac:dyDescent="0.25">
      <c r="A375" t="s">
        <v>32</v>
      </c>
      <c r="B375" s="73" t="str">
        <f>VLOOKUP(C375,'Büyükşehir List'!$C$2:$D$31,2,FALSE)</f>
        <v>ANTALYA BÜYÜKŞEHİR</v>
      </c>
      <c r="C375" t="s">
        <v>40</v>
      </c>
      <c r="D375" s="73" t="str">
        <f t="shared" si="9"/>
        <v>ANTALYA BÜYÜKŞEHİR/ANTALYA</v>
      </c>
      <c r="E375" t="s">
        <v>1852</v>
      </c>
      <c r="F375" t="s">
        <v>1852</v>
      </c>
      <c r="G375" t="s">
        <v>3366</v>
      </c>
      <c r="H375">
        <v>545.36</v>
      </c>
      <c r="I375">
        <v>54.53</v>
      </c>
      <c r="J375">
        <v>6.2</v>
      </c>
      <c r="K375">
        <v>0.62</v>
      </c>
      <c r="L375">
        <v>539.16</v>
      </c>
      <c r="M375">
        <v>53.91</v>
      </c>
      <c r="O375" s="79">
        <f>IFERROR(VLOOKUP(D375,'KAPANAN BLD.'!$C$2:$D$793,2,FALSE),0)</f>
        <v>0</v>
      </c>
      <c r="P375" s="79">
        <v>0</v>
      </c>
    </row>
    <row r="376" spans="1:16" x14ac:dyDescent="0.25">
      <c r="A376" t="s">
        <v>32</v>
      </c>
      <c r="B376" s="73" t="str">
        <f>VLOOKUP(C376,'Büyükşehir List'!$C$2:$D$31,2,FALSE)</f>
        <v>ANTALYA BÜYÜKŞEHİR</v>
      </c>
      <c r="C376" t="s">
        <v>40</v>
      </c>
      <c r="D376" s="73" t="str">
        <f t="shared" si="9"/>
        <v>ANTALYA BÜYÜKŞEHİR/ANTALYA</v>
      </c>
      <c r="E376" t="s">
        <v>1852</v>
      </c>
      <c r="F376" t="s">
        <v>1852</v>
      </c>
      <c r="G376" t="s">
        <v>3367</v>
      </c>
      <c r="H376">
        <v>1132.47</v>
      </c>
      <c r="I376">
        <v>113.25</v>
      </c>
      <c r="J376">
        <v>8.6999999999999993</v>
      </c>
      <c r="K376">
        <v>0.87</v>
      </c>
      <c r="L376">
        <v>1123.77</v>
      </c>
      <c r="M376">
        <v>112.38</v>
      </c>
      <c r="O376" s="79">
        <f>IFERROR(VLOOKUP(D376,'KAPANAN BLD.'!$C$2:$D$793,2,FALSE),0)</f>
        <v>0</v>
      </c>
      <c r="P376" s="79">
        <v>0</v>
      </c>
    </row>
    <row r="377" spans="1:16" x14ac:dyDescent="0.25">
      <c r="A377" t="s">
        <v>32</v>
      </c>
      <c r="B377" s="73" t="str">
        <f>VLOOKUP(C377,'Büyükşehir List'!$C$2:$D$31,2,FALSE)</f>
        <v>ANTALYA BÜYÜKŞEHİR</v>
      </c>
      <c r="C377" t="s">
        <v>40</v>
      </c>
      <c r="D377" s="73" t="str">
        <f t="shared" si="9"/>
        <v>ANTALYA BÜYÜKŞEHİR/ANTALYA</v>
      </c>
      <c r="E377" t="s">
        <v>1852</v>
      </c>
      <c r="F377" t="s">
        <v>1852</v>
      </c>
      <c r="G377" t="s">
        <v>3367</v>
      </c>
      <c r="H377">
        <v>9544.68</v>
      </c>
      <c r="I377">
        <v>954.47</v>
      </c>
      <c r="J377">
        <v>4420.9799999999996</v>
      </c>
      <c r="K377">
        <v>442.1</v>
      </c>
      <c r="L377">
        <v>5123.7</v>
      </c>
      <c r="M377">
        <v>512.37</v>
      </c>
      <c r="O377" s="79">
        <f>IFERROR(VLOOKUP(D377,'KAPANAN BLD.'!$C$2:$D$793,2,FALSE),0)</f>
        <v>0</v>
      </c>
      <c r="P377" s="79">
        <v>0</v>
      </c>
    </row>
    <row r="378" spans="1:16" x14ac:dyDescent="0.25">
      <c r="A378" t="s">
        <v>32</v>
      </c>
      <c r="B378" s="73" t="str">
        <f>VLOOKUP(C378,'Büyükşehir List'!$C$2:$D$31,2,FALSE)</f>
        <v>ANTALYA BÜYÜKŞEHİR</v>
      </c>
      <c r="C378" t="s">
        <v>40</v>
      </c>
      <c r="D378" s="73" t="str">
        <f t="shared" si="9"/>
        <v>ANTALYA BÜYÜKŞEHİR/ANTALYA</v>
      </c>
      <c r="E378" t="s">
        <v>1852</v>
      </c>
      <c r="F378" t="s">
        <v>1852</v>
      </c>
      <c r="G378" t="s">
        <v>3366</v>
      </c>
      <c r="H378">
        <v>15439.99</v>
      </c>
      <c r="I378">
        <v>1543.99</v>
      </c>
      <c r="J378">
        <v>4429.3900000000003</v>
      </c>
      <c r="K378">
        <v>442.93</v>
      </c>
      <c r="L378">
        <v>11010.6</v>
      </c>
      <c r="M378">
        <v>1101.06</v>
      </c>
      <c r="O378" s="79">
        <f>IFERROR(VLOOKUP(D378,'KAPANAN BLD.'!$C$2:$D$793,2,FALSE),0)</f>
        <v>0</v>
      </c>
      <c r="P378" s="79">
        <v>0</v>
      </c>
    </row>
    <row r="379" spans="1:16" x14ac:dyDescent="0.25">
      <c r="A379" t="s">
        <v>32</v>
      </c>
      <c r="B379" s="73" t="str">
        <f>VLOOKUP(C379,'Büyükşehir List'!$C$2:$D$31,2,FALSE)</f>
        <v>ANTALYA BÜYÜKŞEHİR</v>
      </c>
      <c r="C379" t="s">
        <v>40</v>
      </c>
      <c r="D379" s="73" t="str">
        <f t="shared" si="9"/>
        <v>ANTALYA BÜYÜKŞEHİR/ANTALYA</v>
      </c>
      <c r="E379" t="s">
        <v>1852</v>
      </c>
      <c r="F379" t="s">
        <v>1852</v>
      </c>
      <c r="G379" t="s">
        <v>3367</v>
      </c>
      <c r="H379">
        <v>653.6</v>
      </c>
      <c r="I379">
        <v>65.36</v>
      </c>
      <c r="J379">
        <v>5.4</v>
      </c>
      <c r="K379">
        <v>0.54</v>
      </c>
      <c r="L379">
        <v>648.20000000000005</v>
      </c>
      <c r="M379">
        <v>64.819999999999993</v>
      </c>
      <c r="O379" s="79">
        <f>IFERROR(VLOOKUP(D379,'KAPANAN BLD.'!$C$2:$D$793,2,FALSE),0)</f>
        <v>0</v>
      </c>
      <c r="P379" s="79">
        <v>0</v>
      </c>
    </row>
    <row r="380" spans="1:16" x14ac:dyDescent="0.25">
      <c r="A380" t="s">
        <v>32</v>
      </c>
      <c r="B380" s="73" t="str">
        <f>VLOOKUP(C380,'Büyükşehir List'!$C$2:$D$31,2,FALSE)</f>
        <v>ANTALYA BÜYÜKŞEHİR</v>
      </c>
      <c r="C380" t="s">
        <v>40</v>
      </c>
      <c r="D380" s="73" t="str">
        <f t="shared" si="9"/>
        <v>ANTALYA BÜYÜKŞEHİR/ANTALYA</v>
      </c>
      <c r="E380" t="s">
        <v>1852</v>
      </c>
      <c r="F380" t="s">
        <v>1852</v>
      </c>
      <c r="G380" t="s">
        <v>3366</v>
      </c>
      <c r="H380">
        <v>1842.4</v>
      </c>
      <c r="I380">
        <v>184.24</v>
      </c>
      <c r="J380">
        <v>103.3</v>
      </c>
      <c r="K380">
        <v>10.33</v>
      </c>
      <c r="L380">
        <v>1739.1</v>
      </c>
      <c r="M380">
        <v>173.91</v>
      </c>
      <c r="O380" s="79">
        <f>IFERROR(VLOOKUP(D380,'KAPANAN BLD.'!$C$2:$D$793,2,FALSE),0)</f>
        <v>0</v>
      </c>
      <c r="P380" s="79">
        <v>0</v>
      </c>
    </row>
    <row r="381" spans="1:16" x14ac:dyDescent="0.25">
      <c r="A381" t="s">
        <v>32</v>
      </c>
      <c r="B381" s="73" t="str">
        <f>VLOOKUP(C381,'Büyükşehir List'!$C$2:$D$31,2,FALSE)</f>
        <v>ANTALYA BÜYÜKŞEHİR</v>
      </c>
      <c r="C381" t="s">
        <v>40</v>
      </c>
      <c r="D381" s="73" t="str">
        <f t="shared" si="9"/>
        <v>ANTALYA BÜYÜKŞEHİR/ANTALYA</v>
      </c>
      <c r="E381" t="s">
        <v>1852</v>
      </c>
      <c r="F381" t="s">
        <v>1852</v>
      </c>
      <c r="G381" t="s">
        <v>3367</v>
      </c>
      <c r="H381">
        <v>528.4</v>
      </c>
      <c r="I381">
        <v>52.84</v>
      </c>
      <c r="J381">
        <v>170.3</v>
      </c>
      <c r="K381">
        <v>17.03</v>
      </c>
      <c r="L381">
        <v>358.1</v>
      </c>
      <c r="M381">
        <v>35.81</v>
      </c>
      <c r="O381" s="79">
        <f>IFERROR(VLOOKUP(D381,'KAPANAN BLD.'!$C$2:$D$793,2,FALSE),0)</f>
        <v>0</v>
      </c>
      <c r="P381" s="79">
        <v>0</v>
      </c>
    </row>
    <row r="382" spans="1:16" x14ac:dyDescent="0.25">
      <c r="A382" t="s">
        <v>32</v>
      </c>
      <c r="B382" s="73" t="str">
        <f>VLOOKUP(C382,'Büyükşehir List'!$C$2:$D$31,2,FALSE)</f>
        <v>ANTALYA BÜYÜKŞEHİR</v>
      </c>
      <c r="C382" t="s">
        <v>40</v>
      </c>
      <c r="D382" s="73" t="str">
        <f t="shared" si="9"/>
        <v>ANTALYA BÜYÜKŞEHİR/ANTALYA</v>
      </c>
      <c r="E382" t="s">
        <v>1852</v>
      </c>
      <c r="F382" t="s">
        <v>1852</v>
      </c>
      <c r="G382" t="s">
        <v>3366</v>
      </c>
      <c r="H382">
        <v>2307.8000000000002</v>
      </c>
      <c r="I382">
        <v>230.78</v>
      </c>
      <c r="J382">
        <v>68.599999999999994</v>
      </c>
      <c r="K382">
        <v>6.86</v>
      </c>
      <c r="L382">
        <v>2239.1999999999998</v>
      </c>
      <c r="M382">
        <v>223.92</v>
      </c>
      <c r="O382" s="79">
        <f>IFERROR(VLOOKUP(D382,'KAPANAN BLD.'!$C$2:$D$793,2,FALSE),0)</f>
        <v>0</v>
      </c>
      <c r="P382" s="79">
        <v>0</v>
      </c>
    </row>
    <row r="383" spans="1:16" x14ac:dyDescent="0.25">
      <c r="A383" t="s">
        <v>32</v>
      </c>
      <c r="B383" s="73" t="str">
        <f>VLOOKUP(C383,'Büyükşehir List'!$C$2:$D$31,2,FALSE)</f>
        <v>ANTALYA BÜYÜKŞEHİR</v>
      </c>
      <c r="C383" t="s">
        <v>40</v>
      </c>
      <c r="D383" s="73" t="str">
        <f t="shared" si="9"/>
        <v>ANTALYA BÜYÜKŞEHİR/ANTALYA</v>
      </c>
      <c r="E383" t="s">
        <v>1852</v>
      </c>
      <c r="F383" t="s">
        <v>1852</v>
      </c>
      <c r="G383" t="s">
        <v>3367</v>
      </c>
      <c r="H383">
        <v>2409.1999999999998</v>
      </c>
      <c r="I383">
        <v>240.92</v>
      </c>
      <c r="J383">
        <v>32.4</v>
      </c>
      <c r="K383">
        <v>3.24</v>
      </c>
      <c r="L383">
        <v>2376.8000000000002</v>
      </c>
      <c r="M383">
        <v>237.68</v>
      </c>
      <c r="O383" s="79">
        <f>IFERROR(VLOOKUP(D383,'KAPANAN BLD.'!$C$2:$D$793,2,FALSE),0)</f>
        <v>0</v>
      </c>
      <c r="P383" s="79">
        <v>0</v>
      </c>
    </row>
    <row r="384" spans="1:16" x14ac:dyDescent="0.25">
      <c r="A384" t="s">
        <v>32</v>
      </c>
      <c r="B384" s="73" t="str">
        <f>VLOOKUP(C384,'Büyükşehir List'!$C$2:$D$31,2,FALSE)</f>
        <v>ANTALYA BÜYÜKŞEHİR</v>
      </c>
      <c r="C384" t="s">
        <v>40</v>
      </c>
      <c r="D384" s="73" t="str">
        <f t="shared" si="9"/>
        <v>ANTALYA BÜYÜKŞEHİR/ANTALYA</v>
      </c>
      <c r="E384" t="s">
        <v>1852</v>
      </c>
      <c r="F384" t="s">
        <v>1852</v>
      </c>
      <c r="G384" t="s">
        <v>3366</v>
      </c>
      <c r="H384">
        <v>8718.1</v>
      </c>
      <c r="I384">
        <v>871.81</v>
      </c>
      <c r="J384">
        <v>3.8</v>
      </c>
      <c r="K384">
        <v>0.38</v>
      </c>
      <c r="L384">
        <v>8714.2999999999993</v>
      </c>
      <c r="M384">
        <v>871.43</v>
      </c>
      <c r="O384" s="79">
        <f>IFERROR(VLOOKUP(D384,'KAPANAN BLD.'!$C$2:$D$793,2,FALSE),0)</f>
        <v>0</v>
      </c>
      <c r="P384" s="79">
        <v>0</v>
      </c>
    </row>
    <row r="385" spans="1:16" x14ac:dyDescent="0.25">
      <c r="A385" t="s">
        <v>32</v>
      </c>
      <c r="B385" s="73" t="str">
        <f>VLOOKUP(C385,'Büyükşehir List'!$C$2:$D$31,2,FALSE)</f>
        <v>ANTALYA BÜYÜKŞEHİR</v>
      </c>
      <c r="C385" t="s">
        <v>40</v>
      </c>
      <c r="D385" s="73" t="str">
        <f t="shared" si="9"/>
        <v>ANTALYA BÜYÜKŞEHİR/ANTALYA</v>
      </c>
      <c r="E385" t="s">
        <v>1852</v>
      </c>
      <c r="F385" t="s">
        <v>1852</v>
      </c>
      <c r="G385" t="s">
        <v>3367</v>
      </c>
      <c r="H385">
        <v>22127.33</v>
      </c>
      <c r="I385">
        <v>2212.73</v>
      </c>
      <c r="J385">
        <v>16221.81</v>
      </c>
      <c r="K385">
        <v>1622.18</v>
      </c>
      <c r="L385">
        <v>5905.52</v>
      </c>
      <c r="M385">
        <v>590.54999999999995</v>
      </c>
      <c r="O385" s="79">
        <f>IFERROR(VLOOKUP(D385,'KAPANAN BLD.'!$C$2:$D$793,2,FALSE),0)</f>
        <v>0</v>
      </c>
      <c r="P385" s="79">
        <v>0</v>
      </c>
    </row>
    <row r="386" spans="1:16" x14ac:dyDescent="0.25">
      <c r="A386" t="s">
        <v>32</v>
      </c>
      <c r="B386" s="73" t="str">
        <f>VLOOKUP(C386,'Büyükşehir List'!$C$2:$D$31,2,FALSE)</f>
        <v>ANTALYA BÜYÜKŞEHİR</v>
      </c>
      <c r="C386" t="s">
        <v>40</v>
      </c>
      <c r="D386" s="73" t="str">
        <f t="shared" si="9"/>
        <v>ANTALYA BÜYÜKŞEHİR/ANTALYA</v>
      </c>
      <c r="E386" t="s">
        <v>1852</v>
      </c>
      <c r="F386" t="s">
        <v>1852</v>
      </c>
      <c r="G386" t="s">
        <v>3366</v>
      </c>
      <c r="H386">
        <v>11004.4</v>
      </c>
      <c r="I386">
        <v>1100.44</v>
      </c>
      <c r="J386">
        <v>5316.87</v>
      </c>
      <c r="K386">
        <v>531.69000000000005</v>
      </c>
      <c r="L386">
        <v>5687.53</v>
      </c>
      <c r="M386">
        <v>568.75</v>
      </c>
      <c r="O386" s="79">
        <f>IFERROR(VLOOKUP(D386,'KAPANAN BLD.'!$C$2:$D$793,2,FALSE),0)</f>
        <v>0</v>
      </c>
      <c r="P386" s="79">
        <v>0</v>
      </c>
    </row>
    <row r="387" spans="1:16" x14ac:dyDescent="0.25">
      <c r="A387" t="s">
        <v>32</v>
      </c>
      <c r="B387" s="73" t="str">
        <f>VLOOKUP(C387,'Büyükşehir List'!$C$2:$D$31,2,FALSE)</f>
        <v>ANTALYA BÜYÜKŞEHİR</v>
      </c>
      <c r="C387" t="s">
        <v>40</v>
      </c>
      <c r="D387" s="73" t="str">
        <f t="shared" ref="D387:D450" si="10">CONCATENATE(B387,"/",C387)</f>
        <v>ANTALYA BÜYÜKŞEHİR/ANTALYA</v>
      </c>
      <c r="E387" t="s">
        <v>1852</v>
      </c>
      <c r="F387" t="s">
        <v>1852</v>
      </c>
      <c r="G387" t="s">
        <v>3366</v>
      </c>
      <c r="H387">
        <v>10222.120000000001</v>
      </c>
      <c r="I387">
        <v>1022.21</v>
      </c>
      <c r="J387">
        <v>1798</v>
      </c>
      <c r="K387">
        <v>179.8</v>
      </c>
      <c r="L387">
        <v>8424.1200000000008</v>
      </c>
      <c r="M387">
        <v>842.41</v>
      </c>
      <c r="O387" s="79">
        <f>IFERROR(VLOOKUP(D387,'KAPANAN BLD.'!$C$2:$D$793,2,FALSE),0)</f>
        <v>0</v>
      </c>
      <c r="P387" s="79">
        <v>0</v>
      </c>
    </row>
    <row r="388" spans="1:16" x14ac:dyDescent="0.25">
      <c r="A388" t="s">
        <v>32</v>
      </c>
      <c r="B388" s="73" t="str">
        <f>VLOOKUP(C388,'Büyükşehir List'!$C$2:$D$31,2,FALSE)</f>
        <v>ANTALYA BÜYÜKŞEHİR</v>
      </c>
      <c r="C388" t="s">
        <v>40</v>
      </c>
      <c r="D388" s="73" t="str">
        <f t="shared" si="10"/>
        <v>ANTALYA BÜYÜKŞEHİR/ANTALYA</v>
      </c>
      <c r="E388" t="s">
        <v>1852</v>
      </c>
      <c r="F388" t="s">
        <v>1852</v>
      </c>
      <c r="G388" t="s">
        <v>3367</v>
      </c>
      <c r="H388">
        <v>6388.9</v>
      </c>
      <c r="I388">
        <v>638.89</v>
      </c>
      <c r="J388">
        <v>5312.2</v>
      </c>
      <c r="K388">
        <v>531.22</v>
      </c>
      <c r="L388">
        <v>1076.7</v>
      </c>
      <c r="M388">
        <v>107.67</v>
      </c>
      <c r="O388" s="79">
        <f>IFERROR(VLOOKUP(D388,'KAPANAN BLD.'!$C$2:$D$793,2,FALSE),0)</f>
        <v>0</v>
      </c>
      <c r="P388" s="79">
        <v>0</v>
      </c>
    </row>
    <row r="389" spans="1:16" x14ac:dyDescent="0.25">
      <c r="A389" t="s">
        <v>32</v>
      </c>
      <c r="B389" s="73" t="str">
        <f>VLOOKUP(C389,'Büyükşehir List'!$C$2:$D$31,2,FALSE)</f>
        <v>ANTALYA BÜYÜKŞEHİR</v>
      </c>
      <c r="C389" t="s">
        <v>40</v>
      </c>
      <c r="D389" s="73" t="str">
        <f t="shared" si="10"/>
        <v>ANTALYA BÜYÜKŞEHİR/ANTALYA</v>
      </c>
      <c r="E389" t="s">
        <v>1852</v>
      </c>
      <c r="F389" t="s">
        <v>1852</v>
      </c>
      <c r="G389" t="s">
        <v>3367</v>
      </c>
      <c r="H389">
        <v>5229.3999999999996</v>
      </c>
      <c r="I389">
        <v>522.94000000000005</v>
      </c>
      <c r="J389">
        <v>89.7</v>
      </c>
      <c r="K389">
        <v>8.9700000000000006</v>
      </c>
      <c r="L389">
        <v>5139.7</v>
      </c>
      <c r="M389">
        <v>513.97</v>
      </c>
      <c r="O389" s="79">
        <f>IFERROR(VLOOKUP(D389,'KAPANAN BLD.'!$C$2:$D$793,2,FALSE),0)</f>
        <v>0</v>
      </c>
      <c r="P389" s="79">
        <v>0</v>
      </c>
    </row>
    <row r="390" spans="1:16" x14ac:dyDescent="0.25">
      <c r="A390" t="s">
        <v>32</v>
      </c>
      <c r="B390" s="73" t="str">
        <f>VLOOKUP(C390,'Büyükşehir List'!$C$2:$D$31,2,FALSE)</f>
        <v>ANTALYA BÜYÜKŞEHİR</v>
      </c>
      <c r="C390" t="s">
        <v>40</v>
      </c>
      <c r="D390" s="73" t="str">
        <f t="shared" si="10"/>
        <v>ANTALYA BÜYÜKŞEHİR/ANTALYA</v>
      </c>
      <c r="E390" t="s">
        <v>1852</v>
      </c>
      <c r="F390" t="s">
        <v>1852</v>
      </c>
      <c r="G390" t="s">
        <v>3366</v>
      </c>
      <c r="H390">
        <v>21304.3</v>
      </c>
      <c r="I390">
        <v>2130.4299999999998</v>
      </c>
      <c r="J390">
        <v>568.4</v>
      </c>
      <c r="K390">
        <v>56.84</v>
      </c>
      <c r="L390">
        <v>20735.900000000001</v>
      </c>
      <c r="M390">
        <v>2073.59</v>
      </c>
      <c r="O390" s="79">
        <f>IFERROR(VLOOKUP(D390,'KAPANAN BLD.'!$C$2:$D$793,2,FALSE),0)</f>
        <v>0</v>
      </c>
      <c r="P390" s="79">
        <v>0</v>
      </c>
    </row>
    <row r="391" spans="1:16" x14ac:dyDescent="0.25">
      <c r="A391" t="s">
        <v>32</v>
      </c>
      <c r="B391" s="73" t="str">
        <f>VLOOKUP(C391,'Büyükşehir List'!$C$2:$D$31,2,FALSE)</f>
        <v>ANTALYA BÜYÜKŞEHİR</v>
      </c>
      <c r="C391" t="s">
        <v>40</v>
      </c>
      <c r="D391" s="73" t="str">
        <f t="shared" si="10"/>
        <v>ANTALYA BÜYÜKŞEHİR/ANTALYA</v>
      </c>
      <c r="E391" t="s">
        <v>1852</v>
      </c>
      <c r="F391" t="s">
        <v>1852</v>
      </c>
      <c r="G391" t="s">
        <v>3366</v>
      </c>
      <c r="H391">
        <v>7857.66</v>
      </c>
      <c r="I391">
        <v>785.77</v>
      </c>
      <c r="J391">
        <v>4434.8</v>
      </c>
      <c r="K391">
        <v>443.48</v>
      </c>
      <c r="L391">
        <v>3422.86</v>
      </c>
      <c r="M391">
        <v>342.29</v>
      </c>
      <c r="O391" s="79">
        <f>IFERROR(VLOOKUP(D391,'KAPANAN BLD.'!$C$2:$D$793,2,FALSE),0)</f>
        <v>0</v>
      </c>
      <c r="P391" s="79">
        <v>0</v>
      </c>
    </row>
    <row r="392" spans="1:16" x14ac:dyDescent="0.25">
      <c r="A392" t="s">
        <v>32</v>
      </c>
      <c r="B392" s="73" t="str">
        <f>VLOOKUP(C392,'Büyükşehir List'!$C$2:$D$31,2,FALSE)</f>
        <v>ANTALYA BÜYÜKŞEHİR</v>
      </c>
      <c r="C392" t="s">
        <v>40</v>
      </c>
      <c r="D392" s="73" t="str">
        <f t="shared" si="10"/>
        <v>ANTALYA BÜYÜKŞEHİR/ANTALYA</v>
      </c>
      <c r="E392" t="s">
        <v>1852</v>
      </c>
      <c r="F392" t="s">
        <v>1852</v>
      </c>
      <c r="G392" t="s">
        <v>3367</v>
      </c>
      <c r="H392">
        <v>4879.26</v>
      </c>
      <c r="I392">
        <v>487.92</v>
      </c>
      <c r="J392">
        <v>179.1</v>
      </c>
      <c r="K392">
        <v>17.91</v>
      </c>
      <c r="L392">
        <v>4700.16</v>
      </c>
      <c r="M392">
        <v>470.01</v>
      </c>
      <c r="O392" s="79">
        <f>IFERROR(VLOOKUP(D392,'KAPANAN BLD.'!$C$2:$D$793,2,FALSE),0)</f>
        <v>0</v>
      </c>
      <c r="P392" s="79">
        <v>0</v>
      </c>
    </row>
    <row r="393" spans="1:16" x14ac:dyDescent="0.25">
      <c r="A393" t="s">
        <v>32</v>
      </c>
      <c r="B393" s="73" t="str">
        <f>VLOOKUP(C393,'Büyükşehir List'!$C$2:$D$31,2,FALSE)</f>
        <v>ANTALYA BÜYÜKŞEHİR</v>
      </c>
      <c r="C393" t="s">
        <v>40</v>
      </c>
      <c r="D393" s="73" t="str">
        <f t="shared" si="10"/>
        <v>ANTALYA BÜYÜKŞEHİR/ANTALYA</v>
      </c>
      <c r="E393" t="s">
        <v>1852</v>
      </c>
      <c r="F393" t="s">
        <v>1852</v>
      </c>
      <c r="G393" t="s">
        <v>3367</v>
      </c>
      <c r="H393">
        <v>459.6</v>
      </c>
      <c r="I393">
        <v>45.96</v>
      </c>
      <c r="J393">
        <v>45</v>
      </c>
      <c r="K393">
        <v>4.5</v>
      </c>
      <c r="L393">
        <v>414.6</v>
      </c>
      <c r="M393">
        <v>41.46</v>
      </c>
      <c r="O393" s="79">
        <f>IFERROR(VLOOKUP(D393,'KAPANAN BLD.'!$C$2:$D$793,2,FALSE),0)</f>
        <v>0</v>
      </c>
      <c r="P393" s="79">
        <v>0</v>
      </c>
    </row>
    <row r="394" spans="1:16" x14ac:dyDescent="0.25">
      <c r="A394" t="s">
        <v>32</v>
      </c>
      <c r="B394" s="73" t="str">
        <f>VLOOKUP(C394,'Büyükşehir List'!$C$2:$D$31,2,FALSE)</f>
        <v>ANTALYA BÜYÜKŞEHİR</v>
      </c>
      <c r="C394" t="s">
        <v>40</v>
      </c>
      <c r="D394" s="73" t="str">
        <f t="shared" si="10"/>
        <v>ANTALYA BÜYÜKŞEHİR/ANTALYA</v>
      </c>
      <c r="E394" t="s">
        <v>1852</v>
      </c>
      <c r="F394" t="s">
        <v>1852</v>
      </c>
      <c r="G394" t="s">
        <v>3366</v>
      </c>
      <c r="H394">
        <v>1659.2</v>
      </c>
      <c r="I394">
        <v>165.92</v>
      </c>
      <c r="J394">
        <v>402.8</v>
      </c>
      <c r="K394">
        <v>40.28</v>
      </c>
      <c r="L394">
        <v>1256.4000000000001</v>
      </c>
      <c r="M394">
        <v>125.64</v>
      </c>
      <c r="O394" s="79">
        <f>IFERROR(VLOOKUP(D394,'KAPANAN BLD.'!$C$2:$D$793,2,FALSE),0)</f>
        <v>0</v>
      </c>
      <c r="P394" s="79">
        <v>0</v>
      </c>
    </row>
    <row r="395" spans="1:16" x14ac:dyDescent="0.25">
      <c r="A395" t="s">
        <v>32</v>
      </c>
      <c r="B395" s="73" t="str">
        <f>VLOOKUP(C395,'Büyükşehir List'!$C$2:$D$31,2,FALSE)</f>
        <v>ANTALYA BÜYÜKŞEHİR</v>
      </c>
      <c r="C395" t="s">
        <v>40</v>
      </c>
      <c r="D395" s="73" t="str">
        <f t="shared" si="10"/>
        <v>ANTALYA BÜYÜKŞEHİR/ANTALYA</v>
      </c>
      <c r="E395" t="s">
        <v>1852</v>
      </c>
      <c r="F395" t="s">
        <v>1852</v>
      </c>
      <c r="G395" t="s">
        <v>3366</v>
      </c>
      <c r="H395">
        <v>8552.4</v>
      </c>
      <c r="I395">
        <v>855.24</v>
      </c>
      <c r="J395">
        <v>6058.6</v>
      </c>
      <c r="K395">
        <v>605.86</v>
      </c>
      <c r="L395">
        <v>2493.8000000000002</v>
      </c>
      <c r="M395">
        <v>249.38</v>
      </c>
      <c r="O395" s="79">
        <f>IFERROR(VLOOKUP(D395,'KAPANAN BLD.'!$C$2:$D$793,2,FALSE),0)</f>
        <v>0</v>
      </c>
      <c r="P395" s="79">
        <v>0</v>
      </c>
    </row>
    <row r="396" spans="1:16" x14ac:dyDescent="0.25">
      <c r="A396" t="s">
        <v>32</v>
      </c>
      <c r="B396" s="73" t="str">
        <f>VLOOKUP(C396,'Büyükşehir List'!$C$2:$D$31,2,FALSE)</f>
        <v>ANTALYA BÜYÜKŞEHİR</v>
      </c>
      <c r="C396" t="s">
        <v>40</v>
      </c>
      <c r="D396" s="73" t="str">
        <f t="shared" si="10"/>
        <v>ANTALYA BÜYÜKŞEHİR/ANTALYA</v>
      </c>
      <c r="E396" t="s">
        <v>1852</v>
      </c>
      <c r="F396" t="s">
        <v>1852</v>
      </c>
      <c r="G396" t="s">
        <v>3367</v>
      </c>
      <c r="H396">
        <v>4140.5</v>
      </c>
      <c r="I396">
        <v>414.05</v>
      </c>
      <c r="J396">
        <v>1261</v>
      </c>
      <c r="K396">
        <v>126.1</v>
      </c>
      <c r="L396">
        <v>2879.5</v>
      </c>
      <c r="M396">
        <v>287.95</v>
      </c>
      <c r="O396" s="79">
        <f>IFERROR(VLOOKUP(D396,'KAPANAN BLD.'!$C$2:$D$793,2,FALSE),0)</f>
        <v>0</v>
      </c>
      <c r="P396" s="79">
        <v>0</v>
      </c>
    </row>
    <row r="397" spans="1:16" x14ac:dyDescent="0.25">
      <c r="A397" t="s">
        <v>32</v>
      </c>
      <c r="B397" s="73" t="str">
        <f>VLOOKUP(C397,'Büyükşehir List'!$C$2:$D$31,2,FALSE)</f>
        <v>ANTALYA BÜYÜKŞEHİR</v>
      </c>
      <c r="C397" t="s">
        <v>40</v>
      </c>
      <c r="D397" s="73" t="str">
        <f t="shared" si="10"/>
        <v>ANTALYA BÜYÜKŞEHİR/ANTALYA</v>
      </c>
      <c r="E397" t="s">
        <v>1852</v>
      </c>
      <c r="F397" t="s">
        <v>1852</v>
      </c>
      <c r="G397" t="s">
        <v>3366</v>
      </c>
      <c r="H397">
        <v>457.2</v>
      </c>
      <c r="I397">
        <v>45.72</v>
      </c>
      <c r="J397">
        <v>0</v>
      </c>
      <c r="K397">
        <v>0</v>
      </c>
      <c r="L397">
        <v>457.2</v>
      </c>
      <c r="M397">
        <v>45.72</v>
      </c>
      <c r="O397" s="79">
        <f>IFERROR(VLOOKUP(D397,'KAPANAN BLD.'!$C$2:$D$793,2,FALSE),0)</f>
        <v>0</v>
      </c>
      <c r="P397" s="79">
        <v>0</v>
      </c>
    </row>
    <row r="398" spans="1:16" x14ac:dyDescent="0.25">
      <c r="A398" t="s">
        <v>32</v>
      </c>
      <c r="B398" s="73" t="str">
        <f>VLOOKUP(C398,'Büyükşehir List'!$C$2:$D$31,2,FALSE)</f>
        <v>ANTALYA BÜYÜKŞEHİR</v>
      </c>
      <c r="C398" t="s">
        <v>40</v>
      </c>
      <c r="D398" s="73" t="str">
        <f t="shared" si="10"/>
        <v>ANTALYA BÜYÜKŞEHİR/ANTALYA</v>
      </c>
      <c r="E398" t="s">
        <v>1852</v>
      </c>
      <c r="F398" t="s">
        <v>1852</v>
      </c>
      <c r="G398" t="s">
        <v>3367</v>
      </c>
      <c r="H398">
        <v>713.3</v>
      </c>
      <c r="I398">
        <v>71.33</v>
      </c>
      <c r="J398">
        <v>0</v>
      </c>
      <c r="K398">
        <v>0</v>
      </c>
      <c r="L398">
        <v>713.3</v>
      </c>
      <c r="M398">
        <v>71.33</v>
      </c>
      <c r="O398" s="79">
        <f>IFERROR(VLOOKUP(D398,'KAPANAN BLD.'!$C$2:$D$793,2,FALSE),0)</f>
        <v>0</v>
      </c>
      <c r="P398" s="79">
        <v>0</v>
      </c>
    </row>
    <row r="399" spans="1:16" x14ac:dyDescent="0.25">
      <c r="A399" t="s">
        <v>32</v>
      </c>
      <c r="B399" s="73" t="str">
        <f>VLOOKUP(C399,'Büyükşehir List'!$C$2:$D$31,2,FALSE)</f>
        <v>ANTALYA BÜYÜKŞEHİR</v>
      </c>
      <c r="C399" t="s">
        <v>40</v>
      </c>
      <c r="D399" s="73" t="str">
        <f t="shared" si="10"/>
        <v>ANTALYA BÜYÜKŞEHİR/ANTALYA</v>
      </c>
      <c r="E399" t="s">
        <v>1852</v>
      </c>
      <c r="F399" t="s">
        <v>1852</v>
      </c>
      <c r="G399" t="s">
        <v>3366</v>
      </c>
      <c r="H399">
        <v>4870.7</v>
      </c>
      <c r="I399">
        <v>487.07</v>
      </c>
      <c r="J399">
        <v>0</v>
      </c>
      <c r="K399">
        <v>0</v>
      </c>
      <c r="L399">
        <v>4870.7</v>
      </c>
      <c r="M399">
        <v>487.07</v>
      </c>
      <c r="O399" s="79">
        <f>IFERROR(VLOOKUP(D399,'KAPANAN BLD.'!$C$2:$D$793,2,FALSE),0)</f>
        <v>0</v>
      </c>
      <c r="P399" s="79">
        <v>0</v>
      </c>
    </row>
    <row r="400" spans="1:16" x14ac:dyDescent="0.25">
      <c r="A400" t="s">
        <v>32</v>
      </c>
      <c r="B400" s="73" t="str">
        <f>VLOOKUP(C400,'Büyükşehir List'!$C$2:$D$31,2,FALSE)</f>
        <v>ANTALYA BÜYÜKŞEHİR</v>
      </c>
      <c r="C400" t="s">
        <v>40</v>
      </c>
      <c r="D400" s="73" t="str">
        <f t="shared" si="10"/>
        <v>ANTALYA BÜYÜKŞEHİR/ANTALYA</v>
      </c>
      <c r="E400" t="s">
        <v>1852</v>
      </c>
      <c r="F400" t="s">
        <v>1852</v>
      </c>
      <c r="G400" t="s">
        <v>3367</v>
      </c>
      <c r="H400">
        <v>5186.79</v>
      </c>
      <c r="I400">
        <v>518.67999999999995</v>
      </c>
      <c r="J400">
        <v>0</v>
      </c>
      <c r="K400">
        <v>0</v>
      </c>
      <c r="L400">
        <v>5186.79</v>
      </c>
      <c r="M400">
        <v>518.67999999999995</v>
      </c>
      <c r="O400" s="79">
        <f>IFERROR(VLOOKUP(D400,'KAPANAN BLD.'!$C$2:$D$793,2,FALSE),0)</f>
        <v>0</v>
      </c>
      <c r="P400" s="79">
        <v>0</v>
      </c>
    </row>
    <row r="401" spans="1:16" x14ac:dyDescent="0.25">
      <c r="A401" t="s">
        <v>32</v>
      </c>
      <c r="B401" s="73" t="str">
        <f>VLOOKUP(C401,'Büyükşehir List'!$C$2:$D$31,2,FALSE)</f>
        <v>ANTALYA BÜYÜKŞEHİR</v>
      </c>
      <c r="C401" t="s">
        <v>40</v>
      </c>
      <c r="D401" s="73" t="str">
        <f t="shared" si="10"/>
        <v>ANTALYA BÜYÜKŞEHİR/ANTALYA</v>
      </c>
      <c r="E401" t="s">
        <v>1852</v>
      </c>
      <c r="F401" t="s">
        <v>1852</v>
      </c>
      <c r="G401" t="s">
        <v>3367</v>
      </c>
      <c r="H401">
        <v>1031.4000000000001</v>
      </c>
      <c r="I401">
        <v>103.14</v>
      </c>
      <c r="J401">
        <v>373.1</v>
      </c>
      <c r="K401">
        <v>37.31</v>
      </c>
      <c r="L401">
        <v>658.3</v>
      </c>
      <c r="M401">
        <v>65.83</v>
      </c>
      <c r="O401" s="79">
        <f>IFERROR(VLOOKUP(D401,'KAPANAN BLD.'!$C$2:$D$793,2,FALSE),0)</f>
        <v>0</v>
      </c>
      <c r="P401" s="79">
        <v>0</v>
      </c>
    </row>
    <row r="402" spans="1:16" x14ac:dyDescent="0.25">
      <c r="A402" t="s">
        <v>32</v>
      </c>
      <c r="B402" s="73" t="str">
        <f>VLOOKUP(C402,'Büyükşehir List'!$C$2:$D$31,2,FALSE)</f>
        <v>ANTALYA BÜYÜKŞEHİR</v>
      </c>
      <c r="C402" t="s">
        <v>40</v>
      </c>
      <c r="D402" s="73" t="str">
        <f t="shared" si="10"/>
        <v>ANTALYA BÜYÜKŞEHİR/ANTALYA</v>
      </c>
      <c r="E402" t="s">
        <v>1852</v>
      </c>
      <c r="F402" t="s">
        <v>1852</v>
      </c>
      <c r="G402" t="s">
        <v>3366</v>
      </c>
      <c r="H402">
        <v>1899.1</v>
      </c>
      <c r="I402">
        <v>189.91</v>
      </c>
      <c r="J402">
        <v>3336.8</v>
      </c>
      <c r="K402">
        <v>333.68</v>
      </c>
      <c r="L402">
        <v>-1437.7</v>
      </c>
      <c r="M402">
        <v>-143.77000000000001</v>
      </c>
      <c r="O402" s="79">
        <f>IFERROR(VLOOKUP(D402,'KAPANAN BLD.'!$C$2:$D$793,2,FALSE),0)</f>
        <v>0</v>
      </c>
      <c r="P402" s="79">
        <v>0</v>
      </c>
    </row>
    <row r="403" spans="1:16" x14ac:dyDescent="0.25">
      <c r="A403" t="s">
        <v>32</v>
      </c>
      <c r="B403" s="73" t="str">
        <f>VLOOKUP(C403,'Büyükşehir List'!$C$2:$D$31,2,FALSE)</f>
        <v>ANTALYA BÜYÜKŞEHİR</v>
      </c>
      <c r="C403" t="s">
        <v>40</v>
      </c>
      <c r="D403" s="73" t="str">
        <f t="shared" si="10"/>
        <v>ANTALYA BÜYÜKŞEHİR/ANTALYA</v>
      </c>
      <c r="E403" t="s">
        <v>1852</v>
      </c>
      <c r="F403" t="s">
        <v>1852</v>
      </c>
      <c r="G403" t="s">
        <v>3366</v>
      </c>
      <c r="H403">
        <v>4410.08</v>
      </c>
      <c r="I403">
        <v>441.01</v>
      </c>
      <c r="J403">
        <v>0</v>
      </c>
      <c r="K403">
        <v>0</v>
      </c>
      <c r="L403">
        <v>4410.08</v>
      </c>
      <c r="M403">
        <v>441.01</v>
      </c>
      <c r="O403" s="79">
        <f>IFERROR(VLOOKUP(D403,'KAPANAN BLD.'!$C$2:$D$793,2,FALSE),0)</f>
        <v>0</v>
      </c>
      <c r="P403" s="79">
        <v>0</v>
      </c>
    </row>
    <row r="404" spans="1:16" x14ac:dyDescent="0.25">
      <c r="A404" t="s">
        <v>32</v>
      </c>
      <c r="B404" s="73" t="str">
        <f>VLOOKUP(C404,'Büyükşehir List'!$C$2:$D$31,2,FALSE)</f>
        <v>ANTALYA BÜYÜKŞEHİR</v>
      </c>
      <c r="C404" t="s">
        <v>40</v>
      </c>
      <c r="D404" s="73" t="str">
        <f t="shared" si="10"/>
        <v>ANTALYA BÜYÜKŞEHİR/ANTALYA</v>
      </c>
      <c r="E404" t="s">
        <v>1852</v>
      </c>
      <c r="F404" t="s">
        <v>1852</v>
      </c>
      <c r="G404" t="s">
        <v>3367</v>
      </c>
      <c r="H404">
        <v>1168.02</v>
      </c>
      <c r="I404">
        <v>116.8</v>
      </c>
      <c r="J404">
        <v>0</v>
      </c>
      <c r="K404">
        <v>0</v>
      </c>
      <c r="L404">
        <v>1168.02</v>
      </c>
      <c r="M404">
        <v>116.8</v>
      </c>
      <c r="O404" s="79">
        <f>IFERROR(VLOOKUP(D404,'KAPANAN BLD.'!$C$2:$D$793,2,FALSE),0)</f>
        <v>0</v>
      </c>
      <c r="P404" s="79">
        <v>0</v>
      </c>
    </row>
    <row r="405" spans="1:16" x14ac:dyDescent="0.25">
      <c r="A405" t="s">
        <v>32</v>
      </c>
      <c r="B405" s="73" t="str">
        <f>VLOOKUP(C405,'Büyükşehir List'!$C$2:$D$31,2,FALSE)</f>
        <v>ANTALYA BÜYÜKŞEHİR</v>
      </c>
      <c r="C405" t="s">
        <v>40</v>
      </c>
      <c r="D405" s="73" t="str">
        <f t="shared" si="10"/>
        <v>ANTALYA BÜYÜKŞEHİR/ANTALYA</v>
      </c>
      <c r="E405" t="s">
        <v>1852</v>
      </c>
      <c r="F405" t="s">
        <v>1852</v>
      </c>
      <c r="G405" t="s">
        <v>3367</v>
      </c>
      <c r="H405">
        <v>7451.16</v>
      </c>
      <c r="I405">
        <v>745.11</v>
      </c>
      <c r="J405">
        <v>25.6</v>
      </c>
      <c r="K405">
        <v>2.56</v>
      </c>
      <c r="L405">
        <v>7425.56</v>
      </c>
      <c r="M405">
        <v>742.55</v>
      </c>
      <c r="O405" s="79">
        <f>IFERROR(VLOOKUP(D405,'KAPANAN BLD.'!$C$2:$D$793,2,FALSE),0)</f>
        <v>0</v>
      </c>
      <c r="P405" s="79">
        <v>0</v>
      </c>
    </row>
    <row r="406" spans="1:16" x14ac:dyDescent="0.25">
      <c r="A406" t="s">
        <v>32</v>
      </c>
      <c r="B406" s="73" t="str">
        <f>VLOOKUP(C406,'Büyükşehir List'!$C$2:$D$31,2,FALSE)</f>
        <v>ANTALYA BÜYÜKŞEHİR</v>
      </c>
      <c r="C406" t="s">
        <v>40</v>
      </c>
      <c r="D406" s="73" t="str">
        <f t="shared" si="10"/>
        <v>ANTALYA BÜYÜKŞEHİR/ANTALYA</v>
      </c>
      <c r="E406" t="s">
        <v>1852</v>
      </c>
      <c r="F406" t="s">
        <v>1852</v>
      </c>
      <c r="G406" t="s">
        <v>3366</v>
      </c>
      <c r="H406">
        <v>6513.02</v>
      </c>
      <c r="I406">
        <v>651.29999999999995</v>
      </c>
      <c r="J406">
        <v>293.60000000000002</v>
      </c>
      <c r="K406">
        <v>29.36</v>
      </c>
      <c r="L406">
        <v>6219.42</v>
      </c>
      <c r="M406">
        <v>621.94000000000005</v>
      </c>
      <c r="O406" s="79">
        <f>IFERROR(VLOOKUP(D406,'KAPANAN BLD.'!$C$2:$D$793,2,FALSE),0)</f>
        <v>0</v>
      </c>
      <c r="P406" s="79">
        <v>0</v>
      </c>
    </row>
    <row r="407" spans="1:16" x14ac:dyDescent="0.25">
      <c r="A407" t="s">
        <v>32</v>
      </c>
      <c r="B407" s="73" t="str">
        <f>VLOOKUP(C407,'Büyükşehir List'!$C$2:$D$31,2,FALSE)</f>
        <v>ANTALYA BÜYÜKŞEHİR</v>
      </c>
      <c r="C407" t="s">
        <v>40</v>
      </c>
      <c r="D407" s="73" t="str">
        <f t="shared" si="10"/>
        <v>ANTALYA BÜYÜKŞEHİR/ANTALYA</v>
      </c>
      <c r="E407" t="s">
        <v>1852</v>
      </c>
      <c r="F407" t="s">
        <v>1852</v>
      </c>
      <c r="G407" t="s">
        <v>3366</v>
      </c>
      <c r="H407">
        <v>25371.3</v>
      </c>
      <c r="I407">
        <v>2537.13</v>
      </c>
      <c r="J407">
        <v>1316</v>
      </c>
      <c r="K407">
        <v>131.6</v>
      </c>
      <c r="L407">
        <v>24055.3</v>
      </c>
      <c r="M407">
        <v>2405.5300000000002</v>
      </c>
      <c r="O407" s="79">
        <f>IFERROR(VLOOKUP(D407,'KAPANAN BLD.'!$C$2:$D$793,2,FALSE),0)</f>
        <v>0</v>
      </c>
      <c r="P407" s="79">
        <v>0</v>
      </c>
    </row>
    <row r="408" spans="1:16" x14ac:dyDescent="0.25">
      <c r="A408" t="s">
        <v>32</v>
      </c>
      <c r="B408" s="73" t="str">
        <f>VLOOKUP(C408,'Büyükşehir List'!$C$2:$D$31,2,FALSE)</f>
        <v>ANTALYA BÜYÜKŞEHİR</v>
      </c>
      <c r="C408" t="s">
        <v>40</v>
      </c>
      <c r="D408" s="73" t="str">
        <f t="shared" si="10"/>
        <v>ANTALYA BÜYÜKŞEHİR/ANTALYA</v>
      </c>
      <c r="E408" t="s">
        <v>1852</v>
      </c>
      <c r="F408" t="s">
        <v>1852</v>
      </c>
      <c r="G408" t="s">
        <v>3367</v>
      </c>
      <c r="H408">
        <v>5435.7</v>
      </c>
      <c r="I408">
        <v>543.57000000000005</v>
      </c>
      <c r="J408">
        <v>360.4</v>
      </c>
      <c r="K408">
        <v>36.04</v>
      </c>
      <c r="L408">
        <v>5075.3</v>
      </c>
      <c r="M408">
        <v>507.53</v>
      </c>
      <c r="O408" s="79">
        <f>IFERROR(VLOOKUP(D408,'KAPANAN BLD.'!$C$2:$D$793,2,FALSE),0)</f>
        <v>0</v>
      </c>
      <c r="P408" s="79">
        <v>0</v>
      </c>
    </row>
    <row r="409" spans="1:16" x14ac:dyDescent="0.25">
      <c r="A409" t="s">
        <v>32</v>
      </c>
      <c r="B409" s="73" t="str">
        <f>VLOOKUP(C409,'Büyükşehir List'!$C$2:$D$31,2,FALSE)</f>
        <v>ANTALYA BÜYÜKŞEHİR</v>
      </c>
      <c r="C409" t="s">
        <v>40</v>
      </c>
      <c r="D409" s="73" t="str">
        <f t="shared" si="10"/>
        <v>ANTALYA BÜYÜKŞEHİR/ANTALYA</v>
      </c>
      <c r="E409" t="s">
        <v>1852</v>
      </c>
      <c r="F409" t="s">
        <v>1852</v>
      </c>
      <c r="G409" t="s">
        <v>3366</v>
      </c>
      <c r="H409">
        <v>2758.99</v>
      </c>
      <c r="I409">
        <v>275.89999999999998</v>
      </c>
      <c r="J409">
        <v>0</v>
      </c>
      <c r="K409">
        <v>0</v>
      </c>
      <c r="L409">
        <v>2758.99</v>
      </c>
      <c r="M409">
        <v>275.89999999999998</v>
      </c>
      <c r="O409" s="79">
        <f>IFERROR(VLOOKUP(D409,'KAPANAN BLD.'!$C$2:$D$793,2,FALSE),0)</f>
        <v>0</v>
      </c>
      <c r="P409" s="79">
        <v>0</v>
      </c>
    </row>
    <row r="410" spans="1:16" x14ac:dyDescent="0.25">
      <c r="A410" t="s">
        <v>32</v>
      </c>
      <c r="B410" s="73" t="str">
        <f>VLOOKUP(C410,'Büyükşehir List'!$C$2:$D$31,2,FALSE)</f>
        <v>ANTALYA BÜYÜKŞEHİR</v>
      </c>
      <c r="C410" t="s">
        <v>40</v>
      </c>
      <c r="D410" s="73" t="str">
        <f t="shared" si="10"/>
        <v>ANTALYA BÜYÜKŞEHİR/ANTALYA</v>
      </c>
      <c r="E410" t="s">
        <v>1852</v>
      </c>
      <c r="F410" t="s">
        <v>1852</v>
      </c>
      <c r="G410" t="s">
        <v>3367</v>
      </c>
      <c r="H410">
        <v>2211.08</v>
      </c>
      <c r="I410">
        <v>221.11</v>
      </c>
      <c r="J410">
        <v>0</v>
      </c>
      <c r="K410">
        <v>0</v>
      </c>
      <c r="L410">
        <v>2211.08</v>
      </c>
      <c r="M410">
        <v>221.11</v>
      </c>
      <c r="O410" s="79">
        <f>IFERROR(VLOOKUP(D410,'KAPANAN BLD.'!$C$2:$D$793,2,FALSE),0)</f>
        <v>0</v>
      </c>
      <c r="P410" s="79">
        <v>0</v>
      </c>
    </row>
    <row r="411" spans="1:16" x14ac:dyDescent="0.25">
      <c r="A411" t="s">
        <v>32</v>
      </c>
      <c r="B411" s="73" t="str">
        <f>VLOOKUP(C411,'Büyükşehir List'!$C$2:$D$31,2,FALSE)</f>
        <v>ANTALYA BÜYÜKŞEHİR</v>
      </c>
      <c r="C411" t="s">
        <v>40</v>
      </c>
      <c r="D411" s="73" t="str">
        <f t="shared" si="10"/>
        <v>ANTALYA BÜYÜKŞEHİR/ANTALYA</v>
      </c>
      <c r="E411" t="s">
        <v>1852</v>
      </c>
      <c r="F411" t="s">
        <v>1852</v>
      </c>
      <c r="G411" t="s">
        <v>3366</v>
      </c>
      <c r="H411">
        <v>2242.1</v>
      </c>
      <c r="I411">
        <v>224.21</v>
      </c>
      <c r="J411">
        <v>0</v>
      </c>
      <c r="K411">
        <v>0</v>
      </c>
      <c r="L411">
        <v>2242.1</v>
      </c>
      <c r="M411">
        <v>224.21</v>
      </c>
      <c r="O411" s="79">
        <f>IFERROR(VLOOKUP(D411,'KAPANAN BLD.'!$C$2:$D$793,2,FALSE),0)</f>
        <v>0</v>
      </c>
      <c r="P411" s="79">
        <v>0</v>
      </c>
    </row>
    <row r="412" spans="1:16" x14ac:dyDescent="0.25">
      <c r="A412" t="s">
        <v>32</v>
      </c>
      <c r="B412" s="73" t="str">
        <f>VLOOKUP(C412,'Büyükşehir List'!$C$2:$D$31,2,FALSE)</f>
        <v>ANTALYA BÜYÜKŞEHİR</v>
      </c>
      <c r="C412" t="s">
        <v>40</v>
      </c>
      <c r="D412" s="73" t="str">
        <f t="shared" si="10"/>
        <v>ANTALYA BÜYÜKŞEHİR/ANTALYA</v>
      </c>
      <c r="E412" t="s">
        <v>1852</v>
      </c>
      <c r="F412" t="s">
        <v>1852</v>
      </c>
      <c r="G412" t="s">
        <v>3367</v>
      </c>
      <c r="H412">
        <v>3774.8</v>
      </c>
      <c r="I412">
        <v>377.48</v>
      </c>
      <c r="J412">
        <v>0</v>
      </c>
      <c r="K412">
        <v>0</v>
      </c>
      <c r="L412">
        <v>3774.8</v>
      </c>
      <c r="M412">
        <v>377.48</v>
      </c>
      <c r="O412" s="79">
        <f>IFERROR(VLOOKUP(D412,'KAPANAN BLD.'!$C$2:$D$793,2,FALSE),0)</f>
        <v>0</v>
      </c>
      <c r="P412" s="79">
        <v>0</v>
      </c>
    </row>
    <row r="413" spans="1:16" x14ac:dyDescent="0.25">
      <c r="A413" t="s">
        <v>32</v>
      </c>
      <c r="B413" s="73" t="str">
        <f>VLOOKUP(C413,'Büyükşehir List'!$C$2:$D$31,2,FALSE)</f>
        <v>ANTALYA BÜYÜKŞEHİR</v>
      </c>
      <c r="C413" t="s">
        <v>40</v>
      </c>
      <c r="D413" s="73" t="str">
        <f t="shared" si="10"/>
        <v>ANTALYA BÜYÜKŞEHİR/ANTALYA</v>
      </c>
      <c r="E413" t="s">
        <v>1852</v>
      </c>
      <c r="F413" t="s">
        <v>1852</v>
      </c>
      <c r="G413" t="s">
        <v>3366</v>
      </c>
      <c r="H413">
        <v>10531.29</v>
      </c>
      <c r="I413">
        <v>1053.1400000000001</v>
      </c>
      <c r="J413">
        <v>0</v>
      </c>
      <c r="K413">
        <v>0</v>
      </c>
      <c r="L413">
        <v>10531.29</v>
      </c>
      <c r="M413">
        <v>1053.1400000000001</v>
      </c>
      <c r="O413" s="79">
        <f>IFERROR(VLOOKUP(D413,'KAPANAN BLD.'!$C$2:$D$793,2,FALSE),0)</f>
        <v>0</v>
      </c>
      <c r="P413" s="79">
        <v>0</v>
      </c>
    </row>
    <row r="414" spans="1:16" x14ac:dyDescent="0.25">
      <c r="A414" t="s">
        <v>32</v>
      </c>
      <c r="B414" s="73" t="str">
        <f>VLOOKUP(C414,'Büyükşehir List'!$C$2:$D$31,2,FALSE)</f>
        <v>ANTALYA BÜYÜKŞEHİR</v>
      </c>
      <c r="C414" t="s">
        <v>40</v>
      </c>
      <c r="D414" s="73" t="str">
        <f t="shared" si="10"/>
        <v>ANTALYA BÜYÜKŞEHİR/ANTALYA</v>
      </c>
      <c r="E414" t="s">
        <v>1852</v>
      </c>
      <c r="F414" t="s">
        <v>1852</v>
      </c>
      <c r="G414" t="s">
        <v>3367</v>
      </c>
      <c r="H414">
        <v>13165.81</v>
      </c>
      <c r="I414">
        <v>1316.58</v>
      </c>
      <c r="J414">
        <v>0</v>
      </c>
      <c r="K414">
        <v>0</v>
      </c>
      <c r="L414">
        <v>13165.81</v>
      </c>
      <c r="M414">
        <v>1316.58</v>
      </c>
      <c r="O414" s="79">
        <f>IFERROR(VLOOKUP(D414,'KAPANAN BLD.'!$C$2:$D$793,2,FALSE),0)</f>
        <v>0</v>
      </c>
      <c r="P414" s="79">
        <v>0</v>
      </c>
    </row>
    <row r="415" spans="1:16" x14ac:dyDescent="0.25">
      <c r="A415" t="s">
        <v>32</v>
      </c>
      <c r="B415" s="73" t="str">
        <f>VLOOKUP(C415,'Büyükşehir List'!$C$2:$D$31,2,FALSE)</f>
        <v>ANTALYA BÜYÜKŞEHİR</v>
      </c>
      <c r="C415" t="s">
        <v>40</v>
      </c>
      <c r="D415" s="73" t="str">
        <f t="shared" si="10"/>
        <v>ANTALYA BÜYÜKŞEHİR/ANTALYA</v>
      </c>
      <c r="E415" t="s">
        <v>1852</v>
      </c>
      <c r="F415" t="s">
        <v>1852</v>
      </c>
      <c r="G415" t="s">
        <v>3367</v>
      </c>
      <c r="H415">
        <v>80114.080000000002</v>
      </c>
      <c r="I415">
        <v>8011.41</v>
      </c>
      <c r="J415">
        <v>1106.3</v>
      </c>
      <c r="K415">
        <v>110.63</v>
      </c>
      <c r="L415">
        <v>79007.78</v>
      </c>
      <c r="M415">
        <v>7900.78</v>
      </c>
      <c r="O415" s="79">
        <f>IFERROR(VLOOKUP(D415,'KAPANAN BLD.'!$C$2:$D$793,2,FALSE),0)</f>
        <v>0</v>
      </c>
      <c r="P415" s="79">
        <v>0</v>
      </c>
    </row>
    <row r="416" spans="1:16" x14ac:dyDescent="0.25">
      <c r="A416" t="s">
        <v>32</v>
      </c>
      <c r="B416" s="73" t="str">
        <f>VLOOKUP(C416,'Büyükşehir List'!$C$2:$D$31,2,FALSE)</f>
        <v>ANTALYA BÜYÜKŞEHİR</v>
      </c>
      <c r="C416" t="s">
        <v>40</v>
      </c>
      <c r="D416" s="73" t="str">
        <f t="shared" si="10"/>
        <v>ANTALYA BÜYÜKŞEHİR/ANTALYA</v>
      </c>
      <c r="E416" t="s">
        <v>1852</v>
      </c>
      <c r="F416" t="s">
        <v>1852</v>
      </c>
      <c r="G416" t="s">
        <v>3366</v>
      </c>
      <c r="H416">
        <v>325781.06</v>
      </c>
      <c r="I416">
        <v>32578.11</v>
      </c>
      <c r="J416">
        <v>6793.8</v>
      </c>
      <c r="K416">
        <v>679.38</v>
      </c>
      <c r="L416">
        <v>318987.26</v>
      </c>
      <c r="M416">
        <v>31898.73</v>
      </c>
      <c r="O416" s="79">
        <f>IFERROR(VLOOKUP(D416,'KAPANAN BLD.'!$C$2:$D$793,2,FALSE),0)</f>
        <v>0</v>
      </c>
      <c r="P416" s="79">
        <v>0</v>
      </c>
    </row>
    <row r="417" spans="1:16" x14ac:dyDescent="0.25">
      <c r="A417" t="s">
        <v>32</v>
      </c>
      <c r="B417" s="73" t="str">
        <f>VLOOKUP(C417,'Büyükşehir List'!$C$2:$D$31,2,FALSE)</f>
        <v>ANTALYA BÜYÜKŞEHİR</v>
      </c>
      <c r="C417" t="s">
        <v>40</v>
      </c>
      <c r="D417" s="73" t="str">
        <f t="shared" si="10"/>
        <v>ANTALYA BÜYÜKŞEHİR/ANTALYA</v>
      </c>
      <c r="E417" t="s">
        <v>1852</v>
      </c>
      <c r="F417" t="s">
        <v>1852</v>
      </c>
      <c r="G417" t="s">
        <v>3367</v>
      </c>
      <c r="H417">
        <v>3561.9</v>
      </c>
      <c r="I417">
        <v>356.19</v>
      </c>
      <c r="J417">
        <v>0</v>
      </c>
      <c r="K417">
        <v>0</v>
      </c>
      <c r="L417">
        <v>3561.9</v>
      </c>
      <c r="M417">
        <v>356.19</v>
      </c>
      <c r="O417" s="79">
        <f>IFERROR(VLOOKUP(D417,'KAPANAN BLD.'!$C$2:$D$793,2,FALSE),0)</f>
        <v>0</v>
      </c>
      <c r="P417" s="79">
        <v>0</v>
      </c>
    </row>
    <row r="418" spans="1:16" x14ac:dyDescent="0.25">
      <c r="A418" t="s">
        <v>32</v>
      </c>
      <c r="B418" s="73" t="str">
        <f>VLOOKUP(C418,'Büyükşehir List'!$C$2:$D$31,2,FALSE)</f>
        <v>ANTALYA BÜYÜKŞEHİR</v>
      </c>
      <c r="C418" t="s">
        <v>40</v>
      </c>
      <c r="D418" s="73" t="str">
        <f t="shared" si="10"/>
        <v>ANTALYA BÜYÜKŞEHİR/ANTALYA</v>
      </c>
      <c r="E418" t="s">
        <v>1852</v>
      </c>
      <c r="F418" t="s">
        <v>1852</v>
      </c>
      <c r="G418" t="s">
        <v>3366</v>
      </c>
      <c r="H418">
        <v>1054.5999999999999</v>
      </c>
      <c r="I418">
        <v>105.46</v>
      </c>
      <c r="J418">
        <v>0</v>
      </c>
      <c r="K418">
        <v>0</v>
      </c>
      <c r="L418">
        <v>1054.5999999999999</v>
      </c>
      <c r="M418">
        <v>105.46</v>
      </c>
      <c r="O418" s="79">
        <f>IFERROR(VLOOKUP(D418,'KAPANAN BLD.'!$C$2:$D$793,2,FALSE),0)</f>
        <v>0</v>
      </c>
      <c r="P418" s="79">
        <v>0</v>
      </c>
    </row>
    <row r="419" spans="1:16" x14ac:dyDescent="0.25">
      <c r="A419" t="s">
        <v>32</v>
      </c>
      <c r="B419" s="73" t="str">
        <f>VLOOKUP(C419,'Büyükşehir List'!$C$2:$D$31,2,FALSE)</f>
        <v>ANTALYA BÜYÜKŞEHİR</v>
      </c>
      <c r="C419" t="s">
        <v>40</v>
      </c>
      <c r="D419" s="73" t="str">
        <f t="shared" si="10"/>
        <v>ANTALYA BÜYÜKŞEHİR/ANTALYA</v>
      </c>
      <c r="E419" t="s">
        <v>1852</v>
      </c>
      <c r="F419" t="s">
        <v>1852</v>
      </c>
      <c r="G419" t="s">
        <v>3367</v>
      </c>
      <c r="H419">
        <v>7455.6</v>
      </c>
      <c r="I419">
        <v>745.56</v>
      </c>
      <c r="J419">
        <v>0</v>
      </c>
      <c r="K419">
        <v>0</v>
      </c>
      <c r="L419">
        <v>7455.6</v>
      </c>
      <c r="M419">
        <v>745.56</v>
      </c>
      <c r="O419" s="79">
        <f>IFERROR(VLOOKUP(D419,'KAPANAN BLD.'!$C$2:$D$793,2,FALSE),0)</f>
        <v>0</v>
      </c>
      <c r="P419" s="79">
        <v>0</v>
      </c>
    </row>
    <row r="420" spans="1:16" x14ac:dyDescent="0.25">
      <c r="A420" t="s">
        <v>32</v>
      </c>
      <c r="B420" s="73" t="str">
        <f>VLOOKUP(C420,'Büyükşehir List'!$C$2:$D$31,2,FALSE)</f>
        <v>ANTALYA BÜYÜKŞEHİR</v>
      </c>
      <c r="C420" t="s">
        <v>40</v>
      </c>
      <c r="D420" s="73" t="str">
        <f t="shared" si="10"/>
        <v>ANTALYA BÜYÜKŞEHİR/ANTALYA</v>
      </c>
      <c r="E420" t="s">
        <v>1852</v>
      </c>
      <c r="F420" t="s">
        <v>1852</v>
      </c>
      <c r="G420" t="s">
        <v>3366</v>
      </c>
      <c r="H420">
        <v>7005.7</v>
      </c>
      <c r="I420">
        <v>700.57</v>
      </c>
      <c r="J420">
        <v>0</v>
      </c>
      <c r="K420">
        <v>0</v>
      </c>
      <c r="L420">
        <v>7005.7</v>
      </c>
      <c r="M420">
        <v>700.57</v>
      </c>
      <c r="O420" s="79">
        <f>IFERROR(VLOOKUP(D420,'KAPANAN BLD.'!$C$2:$D$793,2,FALSE),0)</f>
        <v>0</v>
      </c>
      <c r="P420" s="79">
        <v>0</v>
      </c>
    </row>
    <row r="421" spans="1:16" x14ac:dyDescent="0.25">
      <c r="A421" t="s">
        <v>32</v>
      </c>
      <c r="B421" s="73" t="str">
        <f>VLOOKUP(C421,'Büyükşehir List'!$C$2:$D$31,2,FALSE)</f>
        <v>ANTALYA BÜYÜKŞEHİR</v>
      </c>
      <c r="C421" t="s">
        <v>40</v>
      </c>
      <c r="D421" s="73" t="str">
        <f t="shared" si="10"/>
        <v>ANTALYA BÜYÜKŞEHİR/ANTALYA</v>
      </c>
      <c r="E421" t="s">
        <v>1852</v>
      </c>
      <c r="F421" t="s">
        <v>1852</v>
      </c>
      <c r="G421" t="s">
        <v>3367</v>
      </c>
      <c r="H421">
        <v>5825.1</v>
      </c>
      <c r="I421">
        <v>582.51</v>
      </c>
      <c r="J421">
        <v>217.1</v>
      </c>
      <c r="K421">
        <v>21.71</v>
      </c>
      <c r="L421">
        <v>5608</v>
      </c>
      <c r="M421">
        <v>560.79999999999995</v>
      </c>
      <c r="O421" s="79">
        <f>IFERROR(VLOOKUP(D421,'KAPANAN BLD.'!$C$2:$D$793,2,FALSE),0)</f>
        <v>0</v>
      </c>
      <c r="P421" s="79">
        <v>0</v>
      </c>
    </row>
    <row r="422" spans="1:16" x14ac:dyDescent="0.25">
      <c r="A422" t="s">
        <v>32</v>
      </c>
      <c r="B422" s="73" t="str">
        <f>VLOOKUP(C422,'Büyükşehir List'!$C$2:$D$31,2,FALSE)</f>
        <v>ANTALYA BÜYÜKŞEHİR</v>
      </c>
      <c r="C422" t="s">
        <v>40</v>
      </c>
      <c r="D422" s="73" t="str">
        <f t="shared" si="10"/>
        <v>ANTALYA BÜYÜKŞEHİR/ANTALYA</v>
      </c>
      <c r="E422" t="s">
        <v>1852</v>
      </c>
      <c r="F422" t="s">
        <v>1852</v>
      </c>
      <c r="G422" t="s">
        <v>3366</v>
      </c>
      <c r="H422">
        <v>4916.8999999999996</v>
      </c>
      <c r="I422">
        <v>491.69</v>
      </c>
      <c r="J422">
        <v>480.3</v>
      </c>
      <c r="K422">
        <v>48.03</v>
      </c>
      <c r="L422">
        <v>4436.6000000000004</v>
      </c>
      <c r="M422">
        <v>443.66</v>
      </c>
      <c r="O422" s="79">
        <f>IFERROR(VLOOKUP(D422,'KAPANAN BLD.'!$C$2:$D$793,2,FALSE),0)</f>
        <v>0</v>
      </c>
      <c r="P422" s="79">
        <v>0</v>
      </c>
    </row>
    <row r="423" spans="1:16" x14ac:dyDescent="0.25">
      <c r="A423" t="s">
        <v>32</v>
      </c>
      <c r="B423" s="73" t="str">
        <f>VLOOKUP(C423,'Büyükşehir List'!$C$2:$D$31,2,FALSE)</f>
        <v>ANTALYA BÜYÜKŞEHİR</v>
      </c>
      <c r="C423" t="s">
        <v>40</v>
      </c>
      <c r="D423" s="73" t="str">
        <f t="shared" si="10"/>
        <v>ANTALYA BÜYÜKŞEHİR/ANTALYA</v>
      </c>
      <c r="E423" t="s">
        <v>1852</v>
      </c>
      <c r="F423" t="s">
        <v>1852</v>
      </c>
      <c r="G423" t="s">
        <v>3366</v>
      </c>
      <c r="H423">
        <v>29608.5</v>
      </c>
      <c r="I423">
        <v>2960.85</v>
      </c>
      <c r="J423">
        <v>1156.2</v>
      </c>
      <c r="K423">
        <v>115.62</v>
      </c>
      <c r="L423">
        <v>28452.3</v>
      </c>
      <c r="M423">
        <v>2845.23</v>
      </c>
      <c r="O423" s="79">
        <f>IFERROR(VLOOKUP(D423,'KAPANAN BLD.'!$C$2:$D$793,2,FALSE),0)</f>
        <v>0</v>
      </c>
      <c r="P423" s="79">
        <v>0</v>
      </c>
    </row>
    <row r="424" spans="1:16" x14ac:dyDescent="0.25">
      <c r="A424" t="s">
        <v>32</v>
      </c>
      <c r="B424" s="73" t="str">
        <f>VLOOKUP(C424,'Büyükşehir List'!$C$2:$D$31,2,FALSE)</f>
        <v>ANTALYA BÜYÜKŞEHİR</v>
      </c>
      <c r="C424" t="s">
        <v>40</v>
      </c>
      <c r="D424" s="73" t="str">
        <f t="shared" si="10"/>
        <v>ANTALYA BÜYÜKŞEHİR/ANTALYA</v>
      </c>
      <c r="E424" t="s">
        <v>1852</v>
      </c>
      <c r="F424" t="s">
        <v>1852</v>
      </c>
      <c r="G424" t="s">
        <v>3367</v>
      </c>
      <c r="H424">
        <v>31934.1</v>
      </c>
      <c r="I424">
        <v>3193.41</v>
      </c>
      <c r="J424">
        <v>2000.1</v>
      </c>
      <c r="K424">
        <v>200.01</v>
      </c>
      <c r="L424">
        <v>29934</v>
      </c>
      <c r="M424">
        <v>2993.4</v>
      </c>
      <c r="O424" s="79">
        <f>IFERROR(VLOOKUP(D424,'KAPANAN BLD.'!$C$2:$D$793,2,FALSE),0)</f>
        <v>0</v>
      </c>
      <c r="P424" s="79">
        <v>0</v>
      </c>
    </row>
    <row r="425" spans="1:16" x14ac:dyDescent="0.25">
      <c r="A425" t="s">
        <v>32</v>
      </c>
      <c r="B425" s="73" t="str">
        <f>VLOOKUP(C425,'Büyükşehir List'!$C$2:$D$31,2,FALSE)</f>
        <v>ANTALYA BÜYÜKŞEHİR</v>
      </c>
      <c r="C425" t="s">
        <v>40</v>
      </c>
      <c r="D425" s="73" t="str">
        <f t="shared" si="10"/>
        <v>ANTALYA BÜYÜKŞEHİR/ANTALYA</v>
      </c>
      <c r="E425" t="s">
        <v>1852</v>
      </c>
      <c r="F425" t="s">
        <v>1852</v>
      </c>
      <c r="G425" t="s">
        <v>3367</v>
      </c>
      <c r="H425">
        <v>759.1</v>
      </c>
      <c r="I425">
        <v>75.91</v>
      </c>
      <c r="J425">
        <v>0</v>
      </c>
      <c r="K425">
        <v>0</v>
      </c>
      <c r="L425">
        <v>759.1</v>
      </c>
      <c r="M425">
        <v>75.91</v>
      </c>
      <c r="O425" s="79">
        <f>IFERROR(VLOOKUP(D425,'KAPANAN BLD.'!$C$2:$D$793,2,FALSE),0)</f>
        <v>0</v>
      </c>
      <c r="P425" s="79">
        <v>0</v>
      </c>
    </row>
    <row r="426" spans="1:16" x14ac:dyDescent="0.25">
      <c r="A426" t="s">
        <v>32</v>
      </c>
      <c r="B426" s="73" t="str">
        <f>VLOOKUP(C426,'Büyükşehir List'!$C$2:$D$31,2,FALSE)</f>
        <v>ANTALYA BÜYÜKŞEHİR</v>
      </c>
      <c r="C426" t="s">
        <v>40</v>
      </c>
      <c r="D426" s="73" t="str">
        <f t="shared" si="10"/>
        <v>ANTALYA BÜYÜKŞEHİR/ANTALYA</v>
      </c>
      <c r="E426" t="s">
        <v>1852</v>
      </c>
      <c r="F426" t="s">
        <v>1852</v>
      </c>
      <c r="G426" t="s">
        <v>3366</v>
      </c>
      <c r="H426">
        <v>1859.7</v>
      </c>
      <c r="I426">
        <v>185.97</v>
      </c>
      <c r="J426">
        <v>0</v>
      </c>
      <c r="K426">
        <v>0</v>
      </c>
      <c r="L426">
        <v>1859.7</v>
      </c>
      <c r="M426">
        <v>185.97</v>
      </c>
      <c r="O426" s="79">
        <f>IFERROR(VLOOKUP(D426,'KAPANAN BLD.'!$C$2:$D$793,2,FALSE),0)</f>
        <v>0</v>
      </c>
      <c r="P426" s="79">
        <v>0</v>
      </c>
    </row>
    <row r="427" spans="1:16" x14ac:dyDescent="0.25">
      <c r="A427" t="s">
        <v>32</v>
      </c>
      <c r="B427" s="73" t="str">
        <f>VLOOKUP(C427,'Büyükşehir List'!$C$2:$D$31,2,FALSE)</f>
        <v>ANTALYA BÜYÜKŞEHİR</v>
      </c>
      <c r="C427" t="s">
        <v>40</v>
      </c>
      <c r="D427" s="73" t="str">
        <f t="shared" si="10"/>
        <v>ANTALYA BÜYÜKŞEHİR/ANTALYA</v>
      </c>
      <c r="E427" t="s">
        <v>1852</v>
      </c>
      <c r="F427" t="s">
        <v>1852</v>
      </c>
      <c r="G427" t="s">
        <v>3367</v>
      </c>
      <c r="H427">
        <v>850.6</v>
      </c>
      <c r="I427">
        <v>85.06</v>
      </c>
      <c r="J427">
        <v>0</v>
      </c>
      <c r="K427">
        <v>0</v>
      </c>
      <c r="L427">
        <v>850.6</v>
      </c>
      <c r="M427">
        <v>85.06</v>
      </c>
      <c r="O427" s="79">
        <f>IFERROR(VLOOKUP(D427,'KAPANAN BLD.'!$C$2:$D$793,2,FALSE),0)</f>
        <v>0</v>
      </c>
      <c r="P427" s="79">
        <v>0</v>
      </c>
    </row>
    <row r="428" spans="1:16" x14ac:dyDescent="0.25">
      <c r="A428" t="s">
        <v>32</v>
      </c>
      <c r="B428" s="73" t="str">
        <f>VLOOKUP(C428,'Büyükşehir List'!$C$2:$D$31,2,FALSE)</f>
        <v>ANTALYA BÜYÜKŞEHİR</v>
      </c>
      <c r="C428" t="s">
        <v>40</v>
      </c>
      <c r="D428" s="73" t="str">
        <f t="shared" si="10"/>
        <v>ANTALYA BÜYÜKŞEHİR/ANTALYA</v>
      </c>
      <c r="E428" t="s">
        <v>1852</v>
      </c>
      <c r="F428" t="s">
        <v>1852</v>
      </c>
      <c r="G428" t="s">
        <v>3366</v>
      </c>
      <c r="H428">
        <v>417.1</v>
      </c>
      <c r="I428">
        <v>41.71</v>
      </c>
      <c r="J428">
        <v>0</v>
      </c>
      <c r="K428">
        <v>0</v>
      </c>
      <c r="L428">
        <v>417.1</v>
      </c>
      <c r="M428">
        <v>41.71</v>
      </c>
      <c r="O428" s="79">
        <f>IFERROR(VLOOKUP(D428,'KAPANAN BLD.'!$C$2:$D$793,2,FALSE),0)</f>
        <v>0</v>
      </c>
      <c r="P428" s="79">
        <v>0</v>
      </c>
    </row>
    <row r="429" spans="1:16" x14ac:dyDescent="0.25">
      <c r="A429" t="s">
        <v>32</v>
      </c>
      <c r="B429" s="73" t="str">
        <f>VLOOKUP(C429,'Büyükşehir List'!$C$2:$D$31,2,FALSE)</f>
        <v>ANTALYA BÜYÜKŞEHİR</v>
      </c>
      <c r="C429" t="s">
        <v>40</v>
      </c>
      <c r="D429" s="73" t="str">
        <f t="shared" si="10"/>
        <v>ANTALYA BÜYÜKŞEHİR/ANTALYA</v>
      </c>
      <c r="E429" t="s">
        <v>1852</v>
      </c>
      <c r="F429" t="s">
        <v>1852</v>
      </c>
      <c r="G429" t="s">
        <v>3366</v>
      </c>
      <c r="H429">
        <v>84.3</v>
      </c>
      <c r="I429">
        <v>8.43</v>
      </c>
      <c r="J429">
        <v>0</v>
      </c>
      <c r="K429">
        <v>0</v>
      </c>
      <c r="L429">
        <v>84.3</v>
      </c>
      <c r="M429">
        <v>8.43</v>
      </c>
      <c r="O429" s="79">
        <f>IFERROR(VLOOKUP(D429,'KAPANAN BLD.'!$C$2:$D$793,2,FALSE),0)</f>
        <v>0</v>
      </c>
      <c r="P429" s="79">
        <v>0</v>
      </c>
    </row>
    <row r="430" spans="1:16" x14ac:dyDescent="0.25">
      <c r="A430" t="s">
        <v>32</v>
      </c>
      <c r="B430" s="73" t="str">
        <f>VLOOKUP(C430,'Büyükşehir List'!$C$2:$D$31,2,FALSE)</f>
        <v>ANTALYA BÜYÜKŞEHİR</v>
      </c>
      <c r="C430" t="s">
        <v>40</v>
      </c>
      <c r="D430" s="73" t="str">
        <f t="shared" si="10"/>
        <v>ANTALYA BÜYÜKŞEHİR/ANTALYA</v>
      </c>
      <c r="E430" t="s">
        <v>1852</v>
      </c>
      <c r="F430" t="s">
        <v>1852</v>
      </c>
      <c r="G430" t="s">
        <v>3367</v>
      </c>
      <c r="H430">
        <v>194.6</v>
      </c>
      <c r="I430">
        <v>19.46</v>
      </c>
      <c r="J430">
        <v>0</v>
      </c>
      <c r="K430">
        <v>0</v>
      </c>
      <c r="L430">
        <v>194.6</v>
      </c>
      <c r="M430">
        <v>19.46</v>
      </c>
      <c r="O430" s="79">
        <f>IFERROR(VLOOKUP(D430,'KAPANAN BLD.'!$C$2:$D$793,2,FALSE),0)</f>
        <v>0</v>
      </c>
      <c r="P430" s="79">
        <v>0</v>
      </c>
    </row>
    <row r="431" spans="1:16" x14ac:dyDescent="0.25">
      <c r="A431" t="s">
        <v>32</v>
      </c>
      <c r="B431" s="73" t="str">
        <f>VLOOKUP(C431,'Büyükşehir List'!$C$2:$D$31,2,FALSE)</f>
        <v>ANTALYA BÜYÜKŞEHİR</v>
      </c>
      <c r="C431" t="s">
        <v>40</v>
      </c>
      <c r="D431" s="73" t="str">
        <f t="shared" si="10"/>
        <v>ANTALYA BÜYÜKŞEHİR/ANTALYA</v>
      </c>
      <c r="E431" t="s">
        <v>1852</v>
      </c>
      <c r="F431" t="s">
        <v>1852</v>
      </c>
      <c r="G431" t="s">
        <v>3366</v>
      </c>
      <c r="H431">
        <v>89.7</v>
      </c>
      <c r="I431">
        <v>8.9700000000000006</v>
      </c>
      <c r="J431">
        <v>0</v>
      </c>
      <c r="K431">
        <v>0</v>
      </c>
      <c r="L431">
        <v>89.7</v>
      </c>
      <c r="M431">
        <v>8.9700000000000006</v>
      </c>
      <c r="O431" s="79">
        <f>IFERROR(VLOOKUP(D431,'KAPANAN BLD.'!$C$2:$D$793,2,FALSE),0)</f>
        <v>0</v>
      </c>
      <c r="P431" s="79">
        <v>0</v>
      </c>
    </row>
    <row r="432" spans="1:16" x14ac:dyDescent="0.25">
      <c r="A432" t="s">
        <v>32</v>
      </c>
      <c r="B432" s="73" t="str">
        <f>VLOOKUP(C432,'Büyükşehir List'!$C$2:$D$31,2,FALSE)</f>
        <v>ANTALYA BÜYÜKŞEHİR</v>
      </c>
      <c r="C432" t="s">
        <v>40</v>
      </c>
      <c r="D432" s="73" t="str">
        <f t="shared" si="10"/>
        <v>ANTALYA BÜYÜKŞEHİR/ANTALYA</v>
      </c>
      <c r="E432" t="s">
        <v>1852</v>
      </c>
      <c r="F432" t="s">
        <v>1852</v>
      </c>
      <c r="G432" t="s">
        <v>3367</v>
      </c>
      <c r="H432">
        <v>180.9</v>
      </c>
      <c r="I432">
        <v>18.09</v>
      </c>
      <c r="J432">
        <v>0</v>
      </c>
      <c r="K432">
        <v>0</v>
      </c>
      <c r="L432">
        <v>180.9</v>
      </c>
      <c r="M432">
        <v>18.09</v>
      </c>
      <c r="O432" s="79">
        <f>IFERROR(VLOOKUP(D432,'KAPANAN BLD.'!$C$2:$D$793,2,FALSE),0)</f>
        <v>0</v>
      </c>
      <c r="P432" s="79">
        <v>0</v>
      </c>
    </row>
    <row r="433" spans="1:16" x14ac:dyDescent="0.25">
      <c r="A433" t="s">
        <v>32</v>
      </c>
      <c r="B433" s="73" t="str">
        <f>VLOOKUP(C433,'Büyükşehir List'!$C$2:$D$31,2,FALSE)</f>
        <v>ANTALYA BÜYÜKŞEHİR</v>
      </c>
      <c r="C433" t="s">
        <v>40</v>
      </c>
      <c r="D433" s="73" t="str">
        <f t="shared" si="10"/>
        <v>ANTALYA BÜYÜKŞEHİR/ANTALYA</v>
      </c>
      <c r="E433" t="s">
        <v>1852</v>
      </c>
      <c r="F433" t="s">
        <v>1852</v>
      </c>
      <c r="G433" t="s">
        <v>3367</v>
      </c>
      <c r="H433">
        <v>2758.1</v>
      </c>
      <c r="I433">
        <v>275.81</v>
      </c>
      <c r="J433">
        <v>405.4</v>
      </c>
      <c r="K433">
        <v>40.54</v>
      </c>
      <c r="L433">
        <v>2352.6999999999998</v>
      </c>
      <c r="M433">
        <v>235.27</v>
      </c>
      <c r="O433" s="79">
        <f>IFERROR(VLOOKUP(D433,'KAPANAN BLD.'!$C$2:$D$793,2,FALSE),0)</f>
        <v>0</v>
      </c>
      <c r="P433" s="79">
        <v>0</v>
      </c>
    </row>
    <row r="434" spans="1:16" x14ac:dyDescent="0.25">
      <c r="A434" t="s">
        <v>32</v>
      </c>
      <c r="B434" s="73" t="str">
        <f>VLOOKUP(C434,'Büyükşehir List'!$C$2:$D$31,2,FALSE)</f>
        <v>ANTALYA BÜYÜKŞEHİR</v>
      </c>
      <c r="C434" t="s">
        <v>40</v>
      </c>
      <c r="D434" s="73" t="str">
        <f t="shared" si="10"/>
        <v>ANTALYA BÜYÜKŞEHİR/ANTALYA</v>
      </c>
      <c r="E434" t="s">
        <v>1852</v>
      </c>
      <c r="F434" t="s">
        <v>1852</v>
      </c>
      <c r="G434" t="s">
        <v>3366</v>
      </c>
      <c r="H434">
        <v>4569.3</v>
      </c>
      <c r="I434">
        <v>456.93</v>
      </c>
      <c r="J434">
        <v>191.9</v>
      </c>
      <c r="K434">
        <v>19.190000000000001</v>
      </c>
      <c r="L434">
        <v>4377.3999999999996</v>
      </c>
      <c r="M434">
        <v>437.74</v>
      </c>
      <c r="O434" s="79">
        <f>IFERROR(VLOOKUP(D434,'KAPANAN BLD.'!$C$2:$D$793,2,FALSE),0)</f>
        <v>0</v>
      </c>
      <c r="P434" s="79">
        <v>0</v>
      </c>
    </row>
    <row r="435" spans="1:16" x14ac:dyDescent="0.25">
      <c r="A435" t="s">
        <v>32</v>
      </c>
      <c r="B435" s="73" t="str">
        <f>VLOOKUP(C435,'Büyükşehir List'!$C$2:$D$31,2,FALSE)</f>
        <v>ANTALYA BÜYÜKŞEHİR</v>
      </c>
      <c r="C435" t="s">
        <v>40</v>
      </c>
      <c r="D435" s="73" t="str">
        <f t="shared" si="10"/>
        <v>ANTALYA BÜYÜKŞEHİR/ANTALYA</v>
      </c>
      <c r="E435" t="s">
        <v>1852</v>
      </c>
      <c r="F435" t="s">
        <v>1852</v>
      </c>
      <c r="G435" t="s">
        <v>3367</v>
      </c>
      <c r="H435">
        <v>5734.95</v>
      </c>
      <c r="I435">
        <v>573.51</v>
      </c>
      <c r="J435">
        <v>127</v>
      </c>
      <c r="K435">
        <v>12.7</v>
      </c>
      <c r="L435">
        <v>5607.95</v>
      </c>
      <c r="M435">
        <v>560.80999999999995</v>
      </c>
      <c r="O435" s="79">
        <f>IFERROR(VLOOKUP(D435,'KAPANAN BLD.'!$C$2:$D$793,2,FALSE),0)</f>
        <v>0</v>
      </c>
      <c r="P435" s="79">
        <v>0</v>
      </c>
    </row>
    <row r="436" spans="1:16" x14ac:dyDescent="0.25">
      <c r="A436" t="s">
        <v>32</v>
      </c>
      <c r="B436" s="73" t="str">
        <f>VLOOKUP(C436,'Büyükşehir List'!$C$2:$D$31,2,FALSE)</f>
        <v>ANTALYA BÜYÜKŞEHİR</v>
      </c>
      <c r="C436" t="s">
        <v>40</v>
      </c>
      <c r="D436" s="73" t="str">
        <f t="shared" si="10"/>
        <v>ANTALYA BÜYÜKŞEHİR/ANTALYA</v>
      </c>
      <c r="E436" t="s">
        <v>1852</v>
      </c>
      <c r="F436" t="s">
        <v>1852</v>
      </c>
      <c r="G436" t="s">
        <v>3366</v>
      </c>
      <c r="H436">
        <v>6518.81</v>
      </c>
      <c r="I436">
        <v>651.89</v>
      </c>
      <c r="J436">
        <v>738.8</v>
      </c>
      <c r="K436">
        <v>73.88</v>
      </c>
      <c r="L436">
        <v>5780.01</v>
      </c>
      <c r="M436">
        <v>578.01</v>
      </c>
      <c r="O436" s="79">
        <f>IFERROR(VLOOKUP(D436,'KAPANAN BLD.'!$C$2:$D$793,2,FALSE),0)</f>
        <v>0</v>
      </c>
      <c r="P436" s="79">
        <v>0</v>
      </c>
    </row>
    <row r="437" spans="1:16" x14ac:dyDescent="0.25">
      <c r="A437" t="s">
        <v>32</v>
      </c>
      <c r="B437" s="73" t="str">
        <f>VLOOKUP(C437,'Büyükşehir List'!$C$2:$D$31,2,FALSE)</f>
        <v>ANTALYA BÜYÜKŞEHİR</v>
      </c>
      <c r="C437" t="s">
        <v>40</v>
      </c>
      <c r="D437" s="73" t="str">
        <f t="shared" si="10"/>
        <v>ANTALYA BÜYÜKŞEHİR/ANTALYA</v>
      </c>
      <c r="E437" t="s">
        <v>1852</v>
      </c>
      <c r="F437" t="s">
        <v>1852</v>
      </c>
      <c r="G437" t="s">
        <v>3367</v>
      </c>
      <c r="H437">
        <v>1478.83</v>
      </c>
      <c r="I437">
        <v>147.88</v>
      </c>
      <c r="J437">
        <v>83.2</v>
      </c>
      <c r="K437">
        <v>8.32</v>
      </c>
      <c r="L437">
        <v>1395.63</v>
      </c>
      <c r="M437">
        <v>139.56</v>
      </c>
      <c r="O437" s="79">
        <f>IFERROR(VLOOKUP(D437,'KAPANAN BLD.'!$C$2:$D$793,2,FALSE),0)</f>
        <v>0</v>
      </c>
      <c r="P437" s="79">
        <v>0</v>
      </c>
    </row>
    <row r="438" spans="1:16" x14ac:dyDescent="0.25">
      <c r="A438" t="s">
        <v>32</v>
      </c>
      <c r="B438" s="73" t="str">
        <f>VLOOKUP(C438,'Büyükşehir List'!$C$2:$D$31,2,FALSE)</f>
        <v>ANTALYA BÜYÜKŞEHİR</v>
      </c>
      <c r="C438" t="s">
        <v>40</v>
      </c>
      <c r="D438" s="73" t="str">
        <f t="shared" si="10"/>
        <v>ANTALYA BÜYÜKŞEHİR/ANTALYA</v>
      </c>
      <c r="E438" t="s">
        <v>1852</v>
      </c>
      <c r="F438" t="s">
        <v>1852</v>
      </c>
      <c r="G438" t="s">
        <v>3366</v>
      </c>
      <c r="H438">
        <v>770.82</v>
      </c>
      <c r="I438">
        <v>77.08</v>
      </c>
      <c r="J438">
        <v>440.2</v>
      </c>
      <c r="K438">
        <v>44.02</v>
      </c>
      <c r="L438">
        <v>330.62</v>
      </c>
      <c r="M438">
        <v>33.06</v>
      </c>
      <c r="O438" s="79">
        <f>IFERROR(VLOOKUP(D438,'KAPANAN BLD.'!$C$2:$D$793,2,FALSE),0)</f>
        <v>0</v>
      </c>
      <c r="P438" s="79">
        <v>0</v>
      </c>
    </row>
    <row r="439" spans="1:16" x14ac:dyDescent="0.25">
      <c r="A439" t="s">
        <v>32</v>
      </c>
      <c r="B439" s="73" t="str">
        <f>VLOOKUP(C439,'Büyükşehir List'!$C$2:$D$31,2,FALSE)</f>
        <v>ANTALYA BÜYÜKŞEHİR</v>
      </c>
      <c r="C439" t="s">
        <v>40</v>
      </c>
      <c r="D439" s="73" t="str">
        <f t="shared" si="10"/>
        <v>ANTALYA BÜYÜKŞEHİR/ANTALYA</v>
      </c>
      <c r="E439" t="s">
        <v>1852</v>
      </c>
      <c r="F439" t="s">
        <v>1852</v>
      </c>
      <c r="G439" t="s">
        <v>3366</v>
      </c>
      <c r="H439">
        <v>171077.31</v>
      </c>
      <c r="I439">
        <v>17107.740000000002</v>
      </c>
      <c r="J439">
        <v>19104.23</v>
      </c>
      <c r="K439">
        <v>1910.43</v>
      </c>
      <c r="L439">
        <v>151973.07999999999</v>
      </c>
      <c r="M439">
        <v>15197.31</v>
      </c>
      <c r="O439" s="79">
        <f>IFERROR(VLOOKUP(D439,'KAPANAN BLD.'!$C$2:$D$793,2,FALSE),0)</f>
        <v>0</v>
      </c>
      <c r="P439" s="79">
        <v>0</v>
      </c>
    </row>
    <row r="440" spans="1:16" x14ac:dyDescent="0.25">
      <c r="A440" t="s">
        <v>32</v>
      </c>
      <c r="B440" s="73" t="str">
        <f>VLOOKUP(C440,'Büyükşehir List'!$C$2:$D$31,2,FALSE)</f>
        <v>ANTALYA BÜYÜKŞEHİR</v>
      </c>
      <c r="C440" t="s">
        <v>40</v>
      </c>
      <c r="D440" s="73" t="str">
        <f t="shared" si="10"/>
        <v>ANTALYA BÜYÜKŞEHİR/ANTALYA</v>
      </c>
      <c r="E440" t="s">
        <v>1852</v>
      </c>
      <c r="F440" t="s">
        <v>1852</v>
      </c>
      <c r="G440" t="s">
        <v>3367</v>
      </c>
      <c r="H440">
        <v>82436.69</v>
      </c>
      <c r="I440">
        <v>8243.67</v>
      </c>
      <c r="J440">
        <v>7903.86</v>
      </c>
      <c r="K440">
        <v>790.39</v>
      </c>
      <c r="L440">
        <v>74532.83</v>
      </c>
      <c r="M440">
        <v>7453.28</v>
      </c>
      <c r="O440" s="79">
        <f>IFERROR(VLOOKUP(D440,'KAPANAN BLD.'!$C$2:$D$793,2,FALSE),0)</f>
        <v>0</v>
      </c>
      <c r="P440" s="79">
        <v>0</v>
      </c>
    </row>
    <row r="441" spans="1:16" x14ac:dyDescent="0.25">
      <c r="A441" t="s">
        <v>32</v>
      </c>
      <c r="B441" s="73" t="str">
        <f>VLOOKUP(C441,'Büyükşehir List'!$C$2:$D$31,2,FALSE)</f>
        <v>ANTALYA BÜYÜKŞEHİR</v>
      </c>
      <c r="C441" t="s">
        <v>40</v>
      </c>
      <c r="D441" s="73" t="str">
        <f t="shared" si="10"/>
        <v>ANTALYA BÜYÜKŞEHİR/ANTALYA</v>
      </c>
      <c r="E441" t="s">
        <v>1852</v>
      </c>
      <c r="F441" t="s">
        <v>1852</v>
      </c>
      <c r="G441" t="s">
        <v>3367</v>
      </c>
      <c r="H441">
        <v>954.8</v>
      </c>
      <c r="I441">
        <v>95.48</v>
      </c>
      <c r="J441">
        <v>0.8</v>
      </c>
      <c r="K441">
        <v>0.08</v>
      </c>
      <c r="L441">
        <v>954</v>
      </c>
      <c r="M441">
        <v>95.4</v>
      </c>
      <c r="O441" s="79">
        <f>IFERROR(VLOOKUP(D441,'KAPANAN BLD.'!$C$2:$D$793,2,FALSE),0)</f>
        <v>0</v>
      </c>
      <c r="P441" s="79">
        <v>0</v>
      </c>
    </row>
    <row r="442" spans="1:16" x14ac:dyDescent="0.25">
      <c r="A442" t="s">
        <v>32</v>
      </c>
      <c r="B442" s="73" t="str">
        <f>VLOOKUP(C442,'Büyükşehir List'!$C$2:$D$31,2,FALSE)</f>
        <v>ANTALYA BÜYÜKŞEHİR</v>
      </c>
      <c r="C442" t="s">
        <v>40</v>
      </c>
      <c r="D442" s="73" t="str">
        <f t="shared" si="10"/>
        <v>ANTALYA BÜYÜKŞEHİR/ANTALYA</v>
      </c>
      <c r="E442" t="s">
        <v>1852</v>
      </c>
      <c r="F442" t="s">
        <v>1852</v>
      </c>
      <c r="G442" t="s">
        <v>3366</v>
      </c>
      <c r="H442">
        <v>317.5</v>
      </c>
      <c r="I442">
        <v>31.75</v>
      </c>
      <c r="J442">
        <v>5.3</v>
      </c>
      <c r="K442">
        <v>0.53</v>
      </c>
      <c r="L442">
        <v>312.2</v>
      </c>
      <c r="M442">
        <v>31.22</v>
      </c>
      <c r="O442" s="79">
        <f>IFERROR(VLOOKUP(D442,'KAPANAN BLD.'!$C$2:$D$793,2,FALSE),0)</f>
        <v>0</v>
      </c>
      <c r="P442" s="79">
        <v>0</v>
      </c>
    </row>
    <row r="443" spans="1:16" x14ac:dyDescent="0.25">
      <c r="A443" t="s">
        <v>32</v>
      </c>
      <c r="B443" s="73" t="str">
        <f>VLOOKUP(C443,'Büyükşehir List'!$C$2:$D$31,2,FALSE)</f>
        <v>ANTALYA BÜYÜKŞEHİR</v>
      </c>
      <c r="C443" t="s">
        <v>40</v>
      </c>
      <c r="D443" s="73" t="str">
        <f t="shared" si="10"/>
        <v>ANTALYA BÜYÜKŞEHİR/ANTALYA</v>
      </c>
      <c r="E443" t="s">
        <v>1852</v>
      </c>
      <c r="F443" t="s">
        <v>1852</v>
      </c>
      <c r="G443" t="s">
        <v>3367</v>
      </c>
      <c r="H443">
        <v>2810.8</v>
      </c>
      <c r="I443">
        <v>281.08</v>
      </c>
      <c r="J443">
        <v>388.6</v>
      </c>
      <c r="K443">
        <v>38.86</v>
      </c>
      <c r="L443">
        <v>2422.1999999999998</v>
      </c>
      <c r="M443">
        <v>242.22</v>
      </c>
      <c r="O443" s="79">
        <f>IFERROR(VLOOKUP(D443,'KAPANAN BLD.'!$C$2:$D$793,2,FALSE),0)</f>
        <v>0</v>
      </c>
      <c r="P443" s="79">
        <v>0</v>
      </c>
    </row>
    <row r="444" spans="1:16" x14ac:dyDescent="0.25">
      <c r="A444" t="s">
        <v>32</v>
      </c>
      <c r="B444" s="73" t="str">
        <f>VLOOKUP(C444,'Büyükşehir List'!$C$2:$D$31,2,FALSE)</f>
        <v>ANTALYA BÜYÜKŞEHİR</v>
      </c>
      <c r="C444" t="s">
        <v>40</v>
      </c>
      <c r="D444" s="73" t="str">
        <f t="shared" si="10"/>
        <v>ANTALYA BÜYÜKŞEHİR/ANTALYA</v>
      </c>
      <c r="E444" t="s">
        <v>1852</v>
      </c>
      <c r="F444" t="s">
        <v>1852</v>
      </c>
      <c r="G444" t="s">
        <v>3366</v>
      </c>
      <c r="H444">
        <v>1316.1</v>
      </c>
      <c r="I444">
        <v>131.61000000000001</v>
      </c>
      <c r="J444">
        <v>131.19999999999999</v>
      </c>
      <c r="K444">
        <v>13.12</v>
      </c>
      <c r="L444">
        <v>1184.9000000000001</v>
      </c>
      <c r="M444">
        <v>118.49</v>
      </c>
      <c r="O444" s="79">
        <f>IFERROR(VLOOKUP(D444,'KAPANAN BLD.'!$C$2:$D$793,2,FALSE),0)</f>
        <v>0</v>
      </c>
      <c r="P444" s="79">
        <v>0</v>
      </c>
    </row>
    <row r="445" spans="1:16" x14ac:dyDescent="0.25">
      <c r="A445" t="s">
        <v>32</v>
      </c>
      <c r="B445" s="73" t="str">
        <f>VLOOKUP(C445,'Büyükşehir List'!$C$2:$D$31,2,FALSE)</f>
        <v>ANTALYA BÜYÜKŞEHİR</v>
      </c>
      <c r="C445" t="s">
        <v>40</v>
      </c>
      <c r="D445" s="73" t="str">
        <f t="shared" si="10"/>
        <v>ANTALYA BÜYÜKŞEHİR/ANTALYA</v>
      </c>
      <c r="E445" t="s">
        <v>1852</v>
      </c>
      <c r="F445" t="s">
        <v>1852</v>
      </c>
      <c r="G445" t="s">
        <v>3366</v>
      </c>
      <c r="H445">
        <v>98.2</v>
      </c>
      <c r="I445">
        <v>9.82</v>
      </c>
      <c r="J445">
        <v>0</v>
      </c>
      <c r="K445">
        <v>0</v>
      </c>
      <c r="L445">
        <v>98.2</v>
      </c>
      <c r="M445">
        <v>9.82</v>
      </c>
      <c r="O445" s="79">
        <f>IFERROR(VLOOKUP(D445,'KAPANAN BLD.'!$C$2:$D$793,2,FALSE),0)</f>
        <v>0</v>
      </c>
      <c r="P445" s="79">
        <v>0</v>
      </c>
    </row>
    <row r="446" spans="1:16" x14ac:dyDescent="0.25">
      <c r="A446" t="s">
        <v>32</v>
      </c>
      <c r="B446" s="73" t="str">
        <f>VLOOKUP(C446,'Büyükşehir List'!$C$2:$D$31,2,FALSE)</f>
        <v>ANTALYA BÜYÜKŞEHİR</v>
      </c>
      <c r="C446" t="s">
        <v>40</v>
      </c>
      <c r="D446" s="73" t="str">
        <f t="shared" si="10"/>
        <v>ANTALYA BÜYÜKŞEHİR/ANTALYA</v>
      </c>
      <c r="E446" t="s">
        <v>1852</v>
      </c>
      <c r="F446" t="s">
        <v>1852</v>
      </c>
      <c r="G446" t="s">
        <v>3367</v>
      </c>
      <c r="H446">
        <v>210</v>
      </c>
      <c r="I446">
        <v>21</v>
      </c>
      <c r="J446">
        <v>0</v>
      </c>
      <c r="K446">
        <v>0</v>
      </c>
      <c r="L446">
        <v>210</v>
      </c>
      <c r="M446">
        <v>21</v>
      </c>
      <c r="O446" s="79">
        <f>IFERROR(VLOOKUP(D446,'KAPANAN BLD.'!$C$2:$D$793,2,FALSE),0)</f>
        <v>0</v>
      </c>
      <c r="P446" s="79">
        <v>0</v>
      </c>
    </row>
    <row r="447" spans="1:16" x14ac:dyDescent="0.25">
      <c r="A447" t="s">
        <v>32</v>
      </c>
      <c r="B447" s="73" t="str">
        <f>VLOOKUP(C447,'Büyükşehir List'!$C$2:$D$31,2,FALSE)</f>
        <v>ANTALYA BÜYÜKŞEHİR</v>
      </c>
      <c r="C447" t="s">
        <v>40</v>
      </c>
      <c r="D447" s="73" t="str">
        <f t="shared" si="10"/>
        <v>ANTALYA BÜYÜKŞEHİR/ANTALYA</v>
      </c>
      <c r="E447" t="s">
        <v>1852</v>
      </c>
      <c r="F447" t="s">
        <v>1852</v>
      </c>
      <c r="G447" t="s">
        <v>3367</v>
      </c>
      <c r="H447">
        <v>3743.63</v>
      </c>
      <c r="I447">
        <v>374.37</v>
      </c>
      <c r="J447">
        <v>459.2</v>
      </c>
      <c r="K447">
        <v>45.92</v>
      </c>
      <c r="L447">
        <v>3284.43</v>
      </c>
      <c r="M447">
        <v>328.45</v>
      </c>
      <c r="O447" s="79">
        <f>IFERROR(VLOOKUP(D447,'KAPANAN BLD.'!$C$2:$D$793,2,FALSE),0)</f>
        <v>0</v>
      </c>
      <c r="P447" s="79">
        <v>0</v>
      </c>
    </row>
    <row r="448" spans="1:16" x14ac:dyDescent="0.25">
      <c r="A448" t="s">
        <v>32</v>
      </c>
      <c r="B448" s="73" t="str">
        <f>VLOOKUP(C448,'Büyükşehir List'!$C$2:$D$31,2,FALSE)</f>
        <v>ANTALYA BÜYÜKŞEHİR</v>
      </c>
      <c r="C448" t="s">
        <v>40</v>
      </c>
      <c r="D448" s="73" t="str">
        <f t="shared" si="10"/>
        <v>ANTALYA BÜYÜKŞEHİR/ANTALYA</v>
      </c>
      <c r="E448" t="s">
        <v>1852</v>
      </c>
      <c r="F448" t="s">
        <v>1852</v>
      </c>
      <c r="G448" t="s">
        <v>3366</v>
      </c>
      <c r="H448">
        <v>2293.38</v>
      </c>
      <c r="I448">
        <v>229.33</v>
      </c>
      <c r="J448">
        <v>211</v>
      </c>
      <c r="K448">
        <v>21.1</v>
      </c>
      <c r="L448">
        <v>2082.38</v>
      </c>
      <c r="M448">
        <v>208.23</v>
      </c>
      <c r="O448" s="79">
        <f>IFERROR(VLOOKUP(D448,'KAPANAN BLD.'!$C$2:$D$793,2,FALSE),0)</f>
        <v>0</v>
      </c>
      <c r="P448" s="79">
        <v>0</v>
      </c>
    </row>
    <row r="449" spans="1:16" x14ac:dyDescent="0.25">
      <c r="A449" t="s">
        <v>32</v>
      </c>
      <c r="B449" s="73" t="str">
        <f>VLOOKUP(C449,'Büyükşehir List'!$C$2:$D$31,2,FALSE)</f>
        <v>ANTALYA BÜYÜKŞEHİR</v>
      </c>
      <c r="C449" t="s">
        <v>40</v>
      </c>
      <c r="D449" s="73" t="str">
        <f t="shared" si="10"/>
        <v>ANTALYA BÜYÜKŞEHİR/ANTALYA</v>
      </c>
      <c r="E449" t="s">
        <v>1852</v>
      </c>
      <c r="F449" t="s">
        <v>1852</v>
      </c>
      <c r="G449" t="s">
        <v>3367</v>
      </c>
      <c r="H449">
        <v>15198.1</v>
      </c>
      <c r="I449">
        <v>1519.81</v>
      </c>
      <c r="J449">
        <v>653.1</v>
      </c>
      <c r="K449">
        <v>65.31</v>
      </c>
      <c r="L449">
        <v>14545</v>
      </c>
      <c r="M449">
        <v>1454.5</v>
      </c>
      <c r="O449" s="79">
        <f>IFERROR(VLOOKUP(D449,'KAPANAN BLD.'!$C$2:$D$793,2,FALSE),0)</f>
        <v>0</v>
      </c>
      <c r="P449" s="79">
        <v>0</v>
      </c>
    </row>
    <row r="450" spans="1:16" x14ac:dyDescent="0.25">
      <c r="A450" t="s">
        <v>32</v>
      </c>
      <c r="B450" s="73" t="str">
        <f>VLOOKUP(C450,'Büyükşehir List'!$C$2:$D$31,2,FALSE)</f>
        <v>ANTALYA BÜYÜKŞEHİR</v>
      </c>
      <c r="C450" t="s">
        <v>40</v>
      </c>
      <c r="D450" s="73" t="str">
        <f t="shared" si="10"/>
        <v>ANTALYA BÜYÜKŞEHİR/ANTALYA</v>
      </c>
      <c r="E450" t="s">
        <v>1852</v>
      </c>
      <c r="F450" t="s">
        <v>1852</v>
      </c>
      <c r="G450" t="s">
        <v>3366</v>
      </c>
      <c r="H450">
        <v>15934.1</v>
      </c>
      <c r="I450">
        <v>1593.41</v>
      </c>
      <c r="J450">
        <v>1438.5</v>
      </c>
      <c r="K450">
        <v>143.85</v>
      </c>
      <c r="L450">
        <v>14495.6</v>
      </c>
      <c r="M450">
        <v>1449.56</v>
      </c>
      <c r="O450" s="79">
        <f>IFERROR(VLOOKUP(D450,'KAPANAN BLD.'!$C$2:$D$793,2,FALSE),0)</f>
        <v>0</v>
      </c>
      <c r="P450" s="79">
        <v>0</v>
      </c>
    </row>
    <row r="451" spans="1:16" x14ac:dyDescent="0.25">
      <c r="A451" t="s">
        <v>32</v>
      </c>
      <c r="B451" s="73" t="str">
        <f>VLOOKUP(C451,'Büyükşehir List'!$C$2:$D$31,2,FALSE)</f>
        <v>ANTALYA BÜYÜKŞEHİR</v>
      </c>
      <c r="C451" t="s">
        <v>40</v>
      </c>
      <c r="D451" s="73" t="str">
        <f t="shared" ref="D451:D514" si="11">CONCATENATE(B451,"/",C451)</f>
        <v>ANTALYA BÜYÜKŞEHİR/ANTALYA</v>
      </c>
      <c r="E451" t="s">
        <v>1852</v>
      </c>
      <c r="F451" t="s">
        <v>1852</v>
      </c>
      <c r="G451" t="s">
        <v>3367</v>
      </c>
      <c r="H451">
        <v>9037.7999999999993</v>
      </c>
      <c r="I451">
        <v>903.78</v>
      </c>
      <c r="J451">
        <v>0</v>
      </c>
      <c r="K451">
        <v>0</v>
      </c>
      <c r="L451">
        <v>9037.7999999999993</v>
      </c>
      <c r="M451">
        <v>903.78</v>
      </c>
      <c r="O451" s="79">
        <f>IFERROR(VLOOKUP(D451,'KAPANAN BLD.'!$C$2:$D$793,2,FALSE),0)</f>
        <v>0</v>
      </c>
      <c r="P451" s="79">
        <v>0</v>
      </c>
    </row>
    <row r="452" spans="1:16" x14ac:dyDescent="0.25">
      <c r="A452" t="s">
        <v>32</v>
      </c>
      <c r="B452" s="73" t="str">
        <f>VLOOKUP(C452,'Büyükşehir List'!$C$2:$D$31,2,FALSE)</f>
        <v>ANTALYA BÜYÜKŞEHİR</v>
      </c>
      <c r="C452" t="s">
        <v>40</v>
      </c>
      <c r="D452" s="73" t="str">
        <f t="shared" si="11"/>
        <v>ANTALYA BÜYÜKŞEHİR/ANTALYA</v>
      </c>
      <c r="E452" t="s">
        <v>1852</v>
      </c>
      <c r="F452" t="s">
        <v>1852</v>
      </c>
      <c r="G452" t="s">
        <v>3366</v>
      </c>
      <c r="H452">
        <v>6916.7</v>
      </c>
      <c r="I452">
        <v>691.67</v>
      </c>
      <c r="J452">
        <v>0</v>
      </c>
      <c r="K452">
        <v>0</v>
      </c>
      <c r="L452">
        <v>6916.7</v>
      </c>
      <c r="M452">
        <v>691.67</v>
      </c>
      <c r="O452" s="79">
        <f>IFERROR(VLOOKUP(D452,'KAPANAN BLD.'!$C$2:$D$793,2,FALSE),0)</f>
        <v>0</v>
      </c>
      <c r="P452" s="79">
        <v>0</v>
      </c>
    </row>
    <row r="453" spans="1:16" x14ac:dyDescent="0.25">
      <c r="A453" t="s">
        <v>32</v>
      </c>
      <c r="B453" s="73" t="str">
        <f>VLOOKUP(C453,'Büyükşehir List'!$C$2:$D$31,2,FALSE)</f>
        <v>ANTALYA BÜYÜKŞEHİR</v>
      </c>
      <c r="C453" t="s">
        <v>40</v>
      </c>
      <c r="D453" s="73" t="str">
        <f t="shared" si="11"/>
        <v>ANTALYA BÜYÜKŞEHİR/ANTALYA</v>
      </c>
      <c r="E453" t="s">
        <v>1852</v>
      </c>
      <c r="F453" t="s">
        <v>1852</v>
      </c>
      <c r="G453" t="s">
        <v>3366</v>
      </c>
      <c r="H453">
        <v>1766.4</v>
      </c>
      <c r="I453">
        <v>176.64</v>
      </c>
      <c r="J453">
        <v>92.5</v>
      </c>
      <c r="K453">
        <v>9.25</v>
      </c>
      <c r="L453">
        <v>1673.9</v>
      </c>
      <c r="M453">
        <v>167.39</v>
      </c>
      <c r="O453" s="79">
        <f>IFERROR(VLOOKUP(D453,'KAPANAN BLD.'!$C$2:$D$793,2,FALSE),0)</f>
        <v>0</v>
      </c>
      <c r="P453" s="79">
        <v>0</v>
      </c>
    </row>
    <row r="454" spans="1:16" x14ac:dyDescent="0.25">
      <c r="A454" t="s">
        <v>32</v>
      </c>
      <c r="B454" s="73" t="str">
        <f>VLOOKUP(C454,'Büyükşehir List'!$C$2:$D$31,2,FALSE)</f>
        <v>ANTALYA BÜYÜKŞEHİR</v>
      </c>
      <c r="C454" t="s">
        <v>40</v>
      </c>
      <c r="D454" s="73" t="str">
        <f t="shared" si="11"/>
        <v>ANTALYA BÜYÜKŞEHİR/ANTALYA</v>
      </c>
      <c r="E454" t="s">
        <v>1852</v>
      </c>
      <c r="F454" t="s">
        <v>1852</v>
      </c>
      <c r="G454" t="s">
        <v>3367</v>
      </c>
      <c r="H454">
        <v>736.4</v>
      </c>
      <c r="I454">
        <v>73.64</v>
      </c>
      <c r="J454">
        <v>4.9000000000000004</v>
      </c>
      <c r="K454">
        <v>0.49</v>
      </c>
      <c r="L454">
        <v>731.5</v>
      </c>
      <c r="M454">
        <v>73.150000000000006</v>
      </c>
      <c r="O454" s="79">
        <f>IFERROR(VLOOKUP(D454,'KAPANAN BLD.'!$C$2:$D$793,2,FALSE),0)</f>
        <v>0</v>
      </c>
      <c r="P454" s="79">
        <v>0</v>
      </c>
    </row>
    <row r="455" spans="1:16" x14ac:dyDescent="0.25">
      <c r="A455" t="s">
        <v>32</v>
      </c>
      <c r="B455" s="73" t="str">
        <f>VLOOKUP(C455,'Büyükşehir List'!$C$2:$D$31,2,FALSE)</f>
        <v>ANTALYA BÜYÜKŞEHİR</v>
      </c>
      <c r="C455" t="s">
        <v>40</v>
      </c>
      <c r="D455" s="73" t="str">
        <f t="shared" si="11"/>
        <v>ANTALYA BÜYÜKŞEHİR/ANTALYA</v>
      </c>
      <c r="E455" t="s">
        <v>1852</v>
      </c>
      <c r="F455" t="s">
        <v>1852</v>
      </c>
      <c r="G455" t="s">
        <v>3367</v>
      </c>
      <c r="H455">
        <v>2027.4</v>
      </c>
      <c r="I455">
        <v>202.74</v>
      </c>
      <c r="J455">
        <v>43.1</v>
      </c>
      <c r="K455">
        <v>4.3099999999999996</v>
      </c>
      <c r="L455">
        <v>1984.3</v>
      </c>
      <c r="M455">
        <v>198.43</v>
      </c>
      <c r="O455" s="79">
        <f>IFERROR(VLOOKUP(D455,'KAPANAN BLD.'!$C$2:$D$793,2,FALSE),0)</f>
        <v>0</v>
      </c>
      <c r="P455" s="79">
        <v>0</v>
      </c>
    </row>
    <row r="456" spans="1:16" x14ac:dyDescent="0.25">
      <c r="A456" t="s">
        <v>32</v>
      </c>
      <c r="B456" s="73" t="str">
        <f>VLOOKUP(C456,'Büyükşehir List'!$C$2:$D$31,2,FALSE)</f>
        <v>ANTALYA BÜYÜKŞEHİR</v>
      </c>
      <c r="C456" t="s">
        <v>40</v>
      </c>
      <c r="D456" s="73" t="str">
        <f t="shared" si="11"/>
        <v>ANTALYA BÜYÜKŞEHİR/ANTALYA</v>
      </c>
      <c r="E456" t="s">
        <v>1852</v>
      </c>
      <c r="F456" t="s">
        <v>1852</v>
      </c>
      <c r="G456" t="s">
        <v>3366</v>
      </c>
      <c r="H456">
        <v>7109.1</v>
      </c>
      <c r="I456">
        <v>710.91</v>
      </c>
      <c r="J456">
        <v>0</v>
      </c>
      <c r="K456">
        <v>0</v>
      </c>
      <c r="L456">
        <v>7109.1</v>
      </c>
      <c r="M456">
        <v>710.91</v>
      </c>
      <c r="O456" s="79">
        <f>IFERROR(VLOOKUP(D456,'KAPANAN BLD.'!$C$2:$D$793,2,FALSE),0)</f>
        <v>0</v>
      </c>
      <c r="P456" s="79">
        <v>0</v>
      </c>
    </row>
    <row r="457" spans="1:16" x14ac:dyDescent="0.25">
      <c r="A457" t="s">
        <v>32</v>
      </c>
      <c r="B457" s="73" t="str">
        <f>VLOOKUP(C457,'Büyükşehir List'!$C$2:$D$31,2,FALSE)</f>
        <v>ANTALYA BÜYÜKŞEHİR</v>
      </c>
      <c r="C457" t="s">
        <v>40</v>
      </c>
      <c r="D457" s="73" t="str">
        <f t="shared" si="11"/>
        <v>ANTALYA BÜYÜKŞEHİR/ANTALYA</v>
      </c>
      <c r="E457" t="s">
        <v>1852</v>
      </c>
      <c r="F457" t="s">
        <v>1852</v>
      </c>
      <c r="G457" t="s">
        <v>3366</v>
      </c>
      <c r="H457">
        <v>879.9</v>
      </c>
      <c r="I457">
        <v>87.99</v>
      </c>
      <c r="J457">
        <v>56.1</v>
      </c>
      <c r="K457">
        <v>5.61</v>
      </c>
      <c r="L457">
        <v>823.8</v>
      </c>
      <c r="M457">
        <v>82.38</v>
      </c>
      <c r="O457" s="79">
        <f>IFERROR(VLOOKUP(D457,'KAPANAN BLD.'!$C$2:$D$793,2,FALSE),0)</f>
        <v>0</v>
      </c>
      <c r="P457" s="79">
        <v>0</v>
      </c>
    </row>
    <row r="458" spans="1:16" x14ac:dyDescent="0.25">
      <c r="A458" t="s">
        <v>32</v>
      </c>
      <c r="B458" s="73" t="str">
        <f>VLOOKUP(C458,'Büyükşehir List'!$C$2:$D$31,2,FALSE)</f>
        <v>ANTALYA BÜYÜKŞEHİR</v>
      </c>
      <c r="C458" t="s">
        <v>40</v>
      </c>
      <c r="D458" s="73" t="str">
        <f t="shared" si="11"/>
        <v>ANTALYA BÜYÜKŞEHİR/ANTALYA</v>
      </c>
      <c r="E458" t="s">
        <v>1852</v>
      </c>
      <c r="F458" t="s">
        <v>1852</v>
      </c>
      <c r="G458" t="s">
        <v>3367</v>
      </c>
      <c r="H458">
        <v>1916.3</v>
      </c>
      <c r="I458">
        <v>191.63</v>
      </c>
      <c r="J458">
        <v>1.5</v>
      </c>
      <c r="K458">
        <v>0.15</v>
      </c>
      <c r="L458">
        <v>1914.8</v>
      </c>
      <c r="M458">
        <v>191.48</v>
      </c>
      <c r="O458" s="79">
        <f>IFERROR(VLOOKUP(D458,'KAPANAN BLD.'!$C$2:$D$793,2,FALSE),0)</f>
        <v>0</v>
      </c>
      <c r="P458" s="79">
        <v>0</v>
      </c>
    </row>
    <row r="459" spans="1:16" x14ac:dyDescent="0.25">
      <c r="A459" t="s">
        <v>32</v>
      </c>
      <c r="B459" s="73" t="str">
        <f>VLOOKUP(C459,'Büyükşehir List'!$C$2:$D$31,2,FALSE)</f>
        <v>ANTALYA BÜYÜKŞEHİR</v>
      </c>
      <c r="C459" t="s">
        <v>40</v>
      </c>
      <c r="D459" s="73" t="str">
        <f t="shared" si="11"/>
        <v>ANTALYA BÜYÜKŞEHİR/ANTALYA</v>
      </c>
      <c r="E459" t="s">
        <v>1852</v>
      </c>
      <c r="F459" t="s">
        <v>1852</v>
      </c>
      <c r="G459" t="s">
        <v>3366</v>
      </c>
      <c r="H459">
        <v>30428.94</v>
      </c>
      <c r="I459">
        <v>3042.9</v>
      </c>
      <c r="J459">
        <v>402.8</v>
      </c>
      <c r="K459">
        <v>40.28</v>
      </c>
      <c r="L459">
        <v>30026.14</v>
      </c>
      <c r="M459">
        <v>3002.62</v>
      </c>
      <c r="O459" s="79">
        <f>IFERROR(VLOOKUP(D459,'KAPANAN BLD.'!$C$2:$D$793,2,FALSE),0)</f>
        <v>0</v>
      </c>
      <c r="P459" s="79">
        <v>0</v>
      </c>
    </row>
    <row r="460" spans="1:16" x14ac:dyDescent="0.25">
      <c r="A460" t="s">
        <v>32</v>
      </c>
      <c r="B460" s="73" t="str">
        <f>VLOOKUP(C460,'Büyükşehir List'!$C$2:$D$31,2,FALSE)</f>
        <v>ANTALYA BÜYÜKŞEHİR</v>
      </c>
      <c r="C460" t="s">
        <v>40</v>
      </c>
      <c r="D460" s="73" t="str">
        <f t="shared" si="11"/>
        <v>ANTALYA BÜYÜKŞEHİR/ANTALYA</v>
      </c>
      <c r="E460" t="s">
        <v>1852</v>
      </c>
      <c r="F460" t="s">
        <v>1852</v>
      </c>
      <c r="G460" t="s">
        <v>3367</v>
      </c>
      <c r="H460">
        <v>101012.51</v>
      </c>
      <c r="I460">
        <v>10101.25</v>
      </c>
      <c r="J460">
        <v>45</v>
      </c>
      <c r="K460">
        <v>4.5</v>
      </c>
      <c r="L460">
        <v>100967.51</v>
      </c>
      <c r="M460">
        <v>10096.75</v>
      </c>
      <c r="O460" s="79">
        <f>IFERROR(VLOOKUP(D460,'KAPANAN BLD.'!$C$2:$D$793,2,FALSE),0)</f>
        <v>0</v>
      </c>
      <c r="P460" s="79">
        <v>0</v>
      </c>
    </row>
    <row r="461" spans="1:16" x14ac:dyDescent="0.25">
      <c r="A461" t="s">
        <v>32</v>
      </c>
      <c r="B461" s="73" t="str">
        <f>VLOOKUP(C461,'Büyükşehir List'!$C$2:$D$31,2,FALSE)</f>
        <v>ANTALYA BÜYÜKŞEHİR</v>
      </c>
      <c r="C461" t="s">
        <v>40</v>
      </c>
      <c r="D461" s="73" t="str">
        <f t="shared" si="11"/>
        <v>ANTALYA BÜYÜKŞEHİR/ANTALYA</v>
      </c>
      <c r="E461" t="s">
        <v>1852</v>
      </c>
      <c r="F461" t="s">
        <v>1852</v>
      </c>
      <c r="G461" t="s">
        <v>3367</v>
      </c>
      <c r="H461">
        <v>5.4</v>
      </c>
      <c r="I461">
        <v>0.54</v>
      </c>
      <c r="J461">
        <v>0</v>
      </c>
      <c r="K461">
        <v>0</v>
      </c>
      <c r="L461">
        <v>5.4</v>
      </c>
      <c r="M461">
        <v>0.54</v>
      </c>
      <c r="O461" s="79">
        <f>IFERROR(VLOOKUP(D461,'KAPANAN BLD.'!$C$2:$D$793,2,FALSE),0)</f>
        <v>0</v>
      </c>
      <c r="P461" s="79">
        <v>0</v>
      </c>
    </row>
    <row r="462" spans="1:16" x14ac:dyDescent="0.25">
      <c r="A462" t="s">
        <v>32</v>
      </c>
      <c r="B462" s="73" t="str">
        <f>VLOOKUP(C462,'Büyükşehir List'!$C$2:$D$31,2,FALSE)</f>
        <v>ANTALYA BÜYÜKŞEHİR</v>
      </c>
      <c r="C462" t="s">
        <v>40</v>
      </c>
      <c r="D462" s="73" t="str">
        <f t="shared" si="11"/>
        <v>ANTALYA BÜYÜKŞEHİR/ANTALYA</v>
      </c>
      <c r="E462" t="s">
        <v>1852</v>
      </c>
      <c r="F462" t="s">
        <v>1852</v>
      </c>
      <c r="G462" t="s">
        <v>3366</v>
      </c>
      <c r="H462">
        <v>103.3</v>
      </c>
      <c r="I462">
        <v>10.33</v>
      </c>
      <c r="J462">
        <v>0</v>
      </c>
      <c r="K462">
        <v>0</v>
      </c>
      <c r="L462">
        <v>103.3</v>
      </c>
      <c r="M462">
        <v>10.33</v>
      </c>
      <c r="O462" s="79">
        <f>IFERROR(VLOOKUP(D462,'KAPANAN BLD.'!$C$2:$D$793,2,FALSE),0)</f>
        <v>0</v>
      </c>
      <c r="P462" s="79">
        <v>0</v>
      </c>
    </row>
    <row r="463" spans="1:16" x14ac:dyDescent="0.25">
      <c r="A463" t="s">
        <v>32</v>
      </c>
      <c r="B463" s="73" t="str">
        <f>VLOOKUP(C463,'Büyükşehir List'!$C$2:$D$31,2,FALSE)</f>
        <v>ANTALYA BÜYÜKŞEHİR</v>
      </c>
      <c r="C463" t="s">
        <v>40</v>
      </c>
      <c r="D463" s="73" t="str">
        <f t="shared" si="11"/>
        <v>ANTALYA BÜYÜKŞEHİR/ANTALYA</v>
      </c>
      <c r="E463" t="s">
        <v>1852</v>
      </c>
      <c r="F463" t="s">
        <v>1852</v>
      </c>
      <c r="G463" t="s">
        <v>3367</v>
      </c>
      <c r="H463">
        <v>4299.8</v>
      </c>
      <c r="I463">
        <v>429.98</v>
      </c>
      <c r="J463">
        <v>1281.4000000000001</v>
      </c>
      <c r="K463">
        <v>128.13999999999999</v>
      </c>
      <c r="L463">
        <v>3018.4</v>
      </c>
      <c r="M463">
        <v>301.83999999999997</v>
      </c>
      <c r="O463" s="79">
        <f>IFERROR(VLOOKUP(D463,'KAPANAN BLD.'!$C$2:$D$793,2,FALSE),0)</f>
        <v>0</v>
      </c>
      <c r="P463" s="79">
        <v>0</v>
      </c>
    </row>
    <row r="464" spans="1:16" x14ac:dyDescent="0.25">
      <c r="A464" t="s">
        <v>32</v>
      </c>
      <c r="B464" s="73" t="str">
        <f>VLOOKUP(C464,'Büyükşehir List'!$C$2:$D$31,2,FALSE)</f>
        <v>ANTALYA BÜYÜKŞEHİR</v>
      </c>
      <c r="C464" t="s">
        <v>40</v>
      </c>
      <c r="D464" s="73" t="str">
        <f t="shared" si="11"/>
        <v>ANTALYA BÜYÜKŞEHİR/ANTALYA</v>
      </c>
      <c r="E464" t="s">
        <v>1852</v>
      </c>
      <c r="F464" t="s">
        <v>1852</v>
      </c>
      <c r="G464" t="s">
        <v>3366</v>
      </c>
      <c r="H464">
        <v>13510.3</v>
      </c>
      <c r="I464">
        <v>1351.03</v>
      </c>
      <c r="J464">
        <v>23.4</v>
      </c>
      <c r="K464">
        <v>2.34</v>
      </c>
      <c r="L464">
        <v>13486.9</v>
      </c>
      <c r="M464">
        <v>1348.69</v>
      </c>
      <c r="O464" s="79">
        <f>IFERROR(VLOOKUP(D464,'KAPANAN BLD.'!$C$2:$D$793,2,FALSE),0)</f>
        <v>0</v>
      </c>
      <c r="P464" s="79">
        <v>0</v>
      </c>
    </row>
    <row r="465" spans="1:16" x14ac:dyDescent="0.25">
      <c r="A465" t="s">
        <v>32</v>
      </c>
      <c r="B465" s="73" t="str">
        <f>VLOOKUP(C465,'Büyükşehir List'!$C$2:$D$31,2,FALSE)</f>
        <v>ANTALYA BÜYÜKŞEHİR</v>
      </c>
      <c r="C465" t="s">
        <v>40</v>
      </c>
      <c r="D465" s="73" t="str">
        <f t="shared" si="11"/>
        <v>ANTALYA BÜYÜKŞEHİR/ANTALYA</v>
      </c>
      <c r="E465" t="s">
        <v>1852</v>
      </c>
      <c r="F465" t="s">
        <v>1852</v>
      </c>
      <c r="G465" t="s">
        <v>3367</v>
      </c>
      <c r="H465">
        <v>1982.3</v>
      </c>
      <c r="I465">
        <v>198.23</v>
      </c>
      <c r="J465">
        <v>0</v>
      </c>
      <c r="K465">
        <v>0</v>
      </c>
      <c r="L465">
        <v>1982.3</v>
      </c>
      <c r="M465">
        <v>198.23</v>
      </c>
      <c r="O465" s="79">
        <f>IFERROR(VLOOKUP(D465,'KAPANAN BLD.'!$C$2:$D$793,2,FALSE),0)</f>
        <v>0</v>
      </c>
      <c r="P465" s="79">
        <v>0</v>
      </c>
    </row>
    <row r="466" spans="1:16" x14ac:dyDescent="0.25">
      <c r="A466" t="s">
        <v>32</v>
      </c>
      <c r="B466" s="73" t="str">
        <f>VLOOKUP(C466,'Büyükşehir List'!$C$2:$D$31,2,FALSE)</f>
        <v>ANTALYA BÜYÜKŞEHİR</v>
      </c>
      <c r="C466" t="s">
        <v>40</v>
      </c>
      <c r="D466" s="73" t="str">
        <f t="shared" si="11"/>
        <v>ANTALYA BÜYÜKŞEHİR/ANTALYA</v>
      </c>
      <c r="E466" t="s">
        <v>1852</v>
      </c>
      <c r="F466" t="s">
        <v>1852</v>
      </c>
      <c r="G466" t="s">
        <v>3366</v>
      </c>
      <c r="H466">
        <v>6482.9</v>
      </c>
      <c r="I466">
        <v>648.29</v>
      </c>
      <c r="J466">
        <v>0</v>
      </c>
      <c r="K466">
        <v>0</v>
      </c>
      <c r="L466">
        <v>6482.9</v>
      </c>
      <c r="M466">
        <v>648.29</v>
      </c>
      <c r="O466" s="79">
        <f>IFERROR(VLOOKUP(D466,'KAPANAN BLD.'!$C$2:$D$793,2,FALSE),0)</f>
        <v>0</v>
      </c>
      <c r="P466" s="79">
        <v>0</v>
      </c>
    </row>
    <row r="467" spans="1:16" x14ac:dyDescent="0.25">
      <c r="A467" t="s">
        <v>32</v>
      </c>
      <c r="B467" s="73" t="str">
        <f>VLOOKUP(C467,'Büyükşehir List'!$C$2:$D$31,2,FALSE)</f>
        <v>ANTALYA BÜYÜKŞEHİR</v>
      </c>
      <c r="C467" t="s">
        <v>40</v>
      </c>
      <c r="D467" s="73" t="str">
        <f t="shared" si="11"/>
        <v>ANTALYA BÜYÜKŞEHİR/ANTALYA</v>
      </c>
      <c r="E467" t="s">
        <v>1852</v>
      </c>
      <c r="F467" t="s">
        <v>1852</v>
      </c>
      <c r="G467" t="s">
        <v>3366</v>
      </c>
      <c r="H467">
        <v>19926.12</v>
      </c>
      <c r="I467">
        <v>1992.61</v>
      </c>
      <c r="J467">
        <v>0</v>
      </c>
      <c r="K467">
        <v>0</v>
      </c>
      <c r="L467">
        <v>19926.12</v>
      </c>
      <c r="M467">
        <v>1992.61</v>
      </c>
      <c r="O467" s="79">
        <f>IFERROR(VLOOKUP(D467,'KAPANAN BLD.'!$C$2:$D$793,2,FALSE),0)</f>
        <v>0</v>
      </c>
      <c r="P467" s="79">
        <v>0</v>
      </c>
    </row>
    <row r="468" spans="1:16" x14ac:dyDescent="0.25">
      <c r="A468" t="s">
        <v>32</v>
      </c>
      <c r="B468" s="73" t="str">
        <f>VLOOKUP(C468,'Büyükşehir List'!$C$2:$D$31,2,FALSE)</f>
        <v>ANTALYA BÜYÜKŞEHİR</v>
      </c>
      <c r="C468" t="s">
        <v>40</v>
      </c>
      <c r="D468" s="73" t="str">
        <f t="shared" si="11"/>
        <v>ANTALYA BÜYÜKŞEHİR/ANTALYA</v>
      </c>
      <c r="E468" t="s">
        <v>1852</v>
      </c>
      <c r="F468" t="s">
        <v>1852</v>
      </c>
      <c r="G468" t="s">
        <v>3367</v>
      </c>
      <c r="H468">
        <v>2583.85</v>
      </c>
      <c r="I468">
        <v>258.38</v>
      </c>
      <c r="J468">
        <v>160.30000000000001</v>
      </c>
      <c r="K468">
        <v>16.03</v>
      </c>
      <c r="L468">
        <v>2423.5500000000002</v>
      </c>
      <c r="M468">
        <v>242.35</v>
      </c>
      <c r="O468" s="79">
        <f>IFERROR(VLOOKUP(D468,'KAPANAN BLD.'!$C$2:$D$793,2,FALSE),0)</f>
        <v>0</v>
      </c>
      <c r="P468" s="79">
        <v>0</v>
      </c>
    </row>
    <row r="469" spans="1:16" x14ac:dyDescent="0.25">
      <c r="A469" t="s">
        <v>32</v>
      </c>
      <c r="B469" s="73" t="str">
        <f>VLOOKUP(C469,'Büyükşehir List'!$C$2:$D$31,2,FALSE)</f>
        <v>ANTALYA BÜYÜKŞEHİR</v>
      </c>
      <c r="C469" t="s">
        <v>40</v>
      </c>
      <c r="D469" s="73" t="str">
        <f t="shared" si="11"/>
        <v>ANTALYA BÜYÜKŞEHİR/ANTALYA</v>
      </c>
      <c r="E469" t="s">
        <v>1852</v>
      </c>
      <c r="F469" t="s">
        <v>1852</v>
      </c>
      <c r="G469" t="s">
        <v>3366</v>
      </c>
      <c r="H469">
        <v>9.6</v>
      </c>
      <c r="I469">
        <v>0.96</v>
      </c>
      <c r="J469">
        <v>0</v>
      </c>
      <c r="K469">
        <v>0</v>
      </c>
      <c r="L469">
        <v>9.6</v>
      </c>
      <c r="M469">
        <v>0.96</v>
      </c>
      <c r="O469" s="79">
        <f>IFERROR(VLOOKUP(D469,'KAPANAN BLD.'!$C$2:$D$793,2,FALSE),0)</f>
        <v>0</v>
      </c>
      <c r="P469" s="79">
        <v>0</v>
      </c>
    </row>
    <row r="470" spans="1:16" x14ac:dyDescent="0.25">
      <c r="A470" t="s">
        <v>32</v>
      </c>
      <c r="B470" s="73" t="str">
        <f>VLOOKUP(C470,'Büyükşehir List'!$C$2:$D$31,2,FALSE)</f>
        <v>ANTALYA BÜYÜKŞEHİR</v>
      </c>
      <c r="C470" t="s">
        <v>40</v>
      </c>
      <c r="D470" s="73" t="str">
        <f t="shared" si="11"/>
        <v>ANTALYA BÜYÜKŞEHİR/ANTALYA</v>
      </c>
      <c r="E470" t="s">
        <v>1852</v>
      </c>
      <c r="F470" t="s">
        <v>1852</v>
      </c>
      <c r="G470" t="s">
        <v>3367</v>
      </c>
      <c r="H470">
        <v>27.9</v>
      </c>
      <c r="I470">
        <v>2.79</v>
      </c>
      <c r="J470">
        <v>0</v>
      </c>
      <c r="K470">
        <v>0</v>
      </c>
      <c r="L470">
        <v>27.9</v>
      </c>
      <c r="M470">
        <v>2.79</v>
      </c>
      <c r="O470" s="79">
        <f>IFERROR(VLOOKUP(D470,'KAPANAN BLD.'!$C$2:$D$793,2,FALSE),0)</f>
        <v>0</v>
      </c>
      <c r="P470" s="79">
        <v>0</v>
      </c>
    </row>
    <row r="471" spans="1:16" x14ac:dyDescent="0.25">
      <c r="A471" t="s">
        <v>32</v>
      </c>
      <c r="B471" s="73" t="str">
        <f>VLOOKUP(C471,'Büyükşehir List'!$C$2:$D$31,2,FALSE)</f>
        <v>ANTALYA BÜYÜKŞEHİR</v>
      </c>
      <c r="C471" t="s">
        <v>40</v>
      </c>
      <c r="D471" s="73" t="str">
        <f t="shared" si="11"/>
        <v>ANTALYA BÜYÜKŞEHİR/ANTALYA</v>
      </c>
      <c r="E471" t="s">
        <v>1852</v>
      </c>
      <c r="F471" t="s">
        <v>1852</v>
      </c>
      <c r="G471" t="s">
        <v>3367</v>
      </c>
      <c r="H471">
        <v>2170.1</v>
      </c>
      <c r="I471">
        <v>217.01</v>
      </c>
      <c r="J471">
        <v>14.9</v>
      </c>
      <c r="K471">
        <v>1.49</v>
      </c>
      <c r="L471">
        <v>2155.1999999999998</v>
      </c>
      <c r="M471">
        <v>215.52</v>
      </c>
      <c r="O471" s="79">
        <f>IFERROR(VLOOKUP(D471,'KAPANAN BLD.'!$C$2:$D$793,2,FALSE),0)</f>
        <v>0</v>
      </c>
      <c r="P471" s="79">
        <v>0</v>
      </c>
    </row>
    <row r="472" spans="1:16" x14ac:dyDescent="0.25">
      <c r="A472" t="s">
        <v>32</v>
      </c>
      <c r="B472" s="73" t="str">
        <f>VLOOKUP(C472,'Büyükşehir List'!$C$2:$D$31,2,FALSE)</f>
        <v>ANTALYA BÜYÜKŞEHİR</v>
      </c>
      <c r="C472" t="s">
        <v>40</v>
      </c>
      <c r="D472" s="73" t="str">
        <f t="shared" si="11"/>
        <v>ANTALYA BÜYÜKŞEHİR/ANTALYA</v>
      </c>
      <c r="E472" t="s">
        <v>1852</v>
      </c>
      <c r="F472" t="s">
        <v>1852</v>
      </c>
      <c r="G472" t="s">
        <v>3366</v>
      </c>
      <c r="H472">
        <v>2631.2</v>
      </c>
      <c r="I472">
        <v>263.12</v>
      </c>
      <c r="J472">
        <v>168.5</v>
      </c>
      <c r="K472">
        <v>16.850000000000001</v>
      </c>
      <c r="L472">
        <v>2462.6999999999998</v>
      </c>
      <c r="M472">
        <v>246.27</v>
      </c>
      <c r="O472" s="79">
        <f>IFERROR(VLOOKUP(D472,'KAPANAN BLD.'!$C$2:$D$793,2,FALSE),0)</f>
        <v>0</v>
      </c>
      <c r="P472" s="79">
        <v>0</v>
      </c>
    </row>
    <row r="473" spans="1:16" x14ac:dyDescent="0.25">
      <c r="A473" t="s">
        <v>32</v>
      </c>
      <c r="B473" s="73" t="str">
        <f>VLOOKUP(C473,'Büyükşehir List'!$C$2:$D$31,2,FALSE)</f>
        <v>ANTALYA BÜYÜKŞEHİR</v>
      </c>
      <c r="C473" t="s">
        <v>40</v>
      </c>
      <c r="D473" s="73" t="str">
        <f t="shared" si="11"/>
        <v>ANTALYA BÜYÜKŞEHİR/ANTALYA</v>
      </c>
      <c r="E473" t="s">
        <v>1852</v>
      </c>
      <c r="F473" t="s">
        <v>1852</v>
      </c>
      <c r="G473" t="s">
        <v>3367</v>
      </c>
      <c r="H473">
        <v>1218.8</v>
      </c>
      <c r="I473">
        <v>121.88</v>
      </c>
      <c r="J473">
        <v>0</v>
      </c>
      <c r="K473">
        <v>0</v>
      </c>
      <c r="L473">
        <v>1218.8</v>
      </c>
      <c r="M473">
        <v>121.88</v>
      </c>
      <c r="O473" s="79">
        <f>IFERROR(VLOOKUP(D473,'KAPANAN BLD.'!$C$2:$D$793,2,FALSE),0)</f>
        <v>0</v>
      </c>
      <c r="P473" s="79">
        <v>0</v>
      </c>
    </row>
    <row r="474" spans="1:16" x14ac:dyDescent="0.25">
      <c r="A474" t="s">
        <v>32</v>
      </c>
      <c r="B474" s="73" t="str">
        <f>VLOOKUP(C474,'Büyükşehir List'!$C$2:$D$31,2,FALSE)</f>
        <v>ANTALYA BÜYÜKŞEHİR</v>
      </c>
      <c r="C474" t="s">
        <v>40</v>
      </c>
      <c r="D474" s="73" t="str">
        <f t="shared" si="11"/>
        <v>ANTALYA BÜYÜKŞEHİR/ANTALYA</v>
      </c>
      <c r="E474" t="s">
        <v>1852</v>
      </c>
      <c r="F474" t="s">
        <v>1852</v>
      </c>
      <c r="G474" t="s">
        <v>3366</v>
      </c>
      <c r="H474">
        <v>1347.6</v>
      </c>
      <c r="I474">
        <v>134.76</v>
      </c>
      <c r="J474">
        <v>0</v>
      </c>
      <c r="K474">
        <v>0</v>
      </c>
      <c r="L474">
        <v>1347.6</v>
      </c>
      <c r="M474">
        <v>134.76</v>
      </c>
      <c r="O474" s="79">
        <f>IFERROR(VLOOKUP(D474,'KAPANAN BLD.'!$C$2:$D$793,2,FALSE),0)</f>
        <v>0</v>
      </c>
      <c r="P474" s="79">
        <v>0</v>
      </c>
    </row>
    <row r="475" spans="1:16" x14ac:dyDescent="0.25">
      <c r="A475" t="s">
        <v>32</v>
      </c>
      <c r="B475" s="73" t="str">
        <f>VLOOKUP(C475,'Büyükşehir List'!$C$2:$D$31,2,FALSE)</f>
        <v>ANTALYA BÜYÜKŞEHİR</v>
      </c>
      <c r="C475" t="s">
        <v>40</v>
      </c>
      <c r="D475" s="73" t="str">
        <f t="shared" si="11"/>
        <v>ANTALYA BÜYÜKŞEHİR/ANTALYA</v>
      </c>
      <c r="E475" t="s">
        <v>1852</v>
      </c>
      <c r="F475" t="s">
        <v>1852</v>
      </c>
      <c r="G475" t="s">
        <v>3366</v>
      </c>
      <c r="H475">
        <v>7169.2</v>
      </c>
      <c r="I475">
        <v>716.92</v>
      </c>
      <c r="J475">
        <v>0</v>
      </c>
      <c r="K475">
        <v>0</v>
      </c>
      <c r="L475">
        <v>7169.2</v>
      </c>
      <c r="M475">
        <v>716.92</v>
      </c>
      <c r="O475" s="79">
        <f>IFERROR(VLOOKUP(D475,'KAPANAN BLD.'!$C$2:$D$793,2,FALSE),0)</f>
        <v>0</v>
      </c>
      <c r="P475" s="79">
        <v>0</v>
      </c>
    </row>
    <row r="476" spans="1:16" x14ac:dyDescent="0.25">
      <c r="A476" t="s">
        <v>32</v>
      </c>
      <c r="B476" s="73" t="str">
        <f>VLOOKUP(C476,'Büyükşehir List'!$C$2:$D$31,2,FALSE)</f>
        <v>ANTALYA BÜYÜKŞEHİR</v>
      </c>
      <c r="C476" t="s">
        <v>40</v>
      </c>
      <c r="D476" s="73" t="str">
        <f t="shared" si="11"/>
        <v>ANTALYA BÜYÜKŞEHİR/ANTALYA</v>
      </c>
      <c r="E476" t="s">
        <v>1852</v>
      </c>
      <c r="F476" t="s">
        <v>1852</v>
      </c>
      <c r="G476" t="s">
        <v>3367</v>
      </c>
      <c r="H476">
        <v>7203.3</v>
      </c>
      <c r="I476">
        <v>720.33</v>
      </c>
      <c r="J476">
        <v>0</v>
      </c>
      <c r="K476">
        <v>0</v>
      </c>
      <c r="L476">
        <v>7203.3</v>
      </c>
      <c r="M476">
        <v>720.33</v>
      </c>
      <c r="O476" s="79">
        <f>IFERROR(VLOOKUP(D476,'KAPANAN BLD.'!$C$2:$D$793,2,FALSE),0)</f>
        <v>0</v>
      </c>
      <c r="P476" s="79">
        <v>0</v>
      </c>
    </row>
    <row r="477" spans="1:16" x14ac:dyDescent="0.25">
      <c r="A477" t="s">
        <v>32</v>
      </c>
      <c r="B477" s="73" t="str">
        <f>VLOOKUP(C477,'Büyükşehir List'!$C$2:$D$31,2,FALSE)</f>
        <v>ANTALYA BÜYÜKŞEHİR</v>
      </c>
      <c r="C477" t="s">
        <v>40</v>
      </c>
      <c r="D477" s="73" t="str">
        <f t="shared" si="11"/>
        <v>ANTALYA BÜYÜKŞEHİR/ANTALYA</v>
      </c>
      <c r="E477" t="s">
        <v>1852</v>
      </c>
      <c r="F477" t="s">
        <v>1852</v>
      </c>
      <c r="G477" t="s">
        <v>3366</v>
      </c>
      <c r="H477">
        <v>2164.1</v>
      </c>
      <c r="I477">
        <v>216.41</v>
      </c>
      <c r="J477">
        <v>0</v>
      </c>
      <c r="K477">
        <v>0</v>
      </c>
      <c r="L477">
        <v>2164.1</v>
      </c>
      <c r="M477">
        <v>216.41</v>
      </c>
      <c r="O477" s="79">
        <f>IFERROR(VLOOKUP(D477,'KAPANAN BLD.'!$C$2:$D$793,2,FALSE),0)</f>
        <v>0</v>
      </c>
      <c r="P477" s="79">
        <v>0</v>
      </c>
    </row>
    <row r="478" spans="1:16" x14ac:dyDescent="0.25">
      <c r="A478" t="s">
        <v>32</v>
      </c>
      <c r="B478" s="73" t="str">
        <f>VLOOKUP(C478,'Büyükşehir List'!$C$2:$D$31,2,FALSE)</f>
        <v>ANTALYA BÜYÜKŞEHİR</v>
      </c>
      <c r="C478" t="s">
        <v>40</v>
      </c>
      <c r="D478" s="73" t="str">
        <f t="shared" si="11"/>
        <v>ANTALYA BÜYÜKŞEHİR/ANTALYA</v>
      </c>
      <c r="E478" t="s">
        <v>1852</v>
      </c>
      <c r="F478" t="s">
        <v>1852</v>
      </c>
      <c r="G478" t="s">
        <v>3367</v>
      </c>
      <c r="H478">
        <v>375.6</v>
      </c>
      <c r="I478">
        <v>37.56</v>
      </c>
      <c r="J478">
        <v>0</v>
      </c>
      <c r="K478">
        <v>0</v>
      </c>
      <c r="L478">
        <v>375.6</v>
      </c>
      <c r="M478">
        <v>37.56</v>
      </c>
      <c r="O478" s="79">
        <f>IFERROR(VLOOKUP(D478,'KAPANAN BLD.'!$C$2:$D$793,2,FALSE),0)</f>
        <v>0</v>
      </c>
      <c r="P478" s="79">
        <v>0</v>
      </c>
    </row>
    <row r="479" spans="1:16" x14ac:dyDescent="0.25">
      <c r="A479" t="s">
        <v>32</v>
      </c>
      <c r="B479" s="73" t="str">
        <f>VLOOKUP(C479,'Büyükşehir List'!$C$2:$D$31,2,FALSE)</f>
        <v>ANTALYA BÜYÜKŞEHİR</v>
      </c>
      <c r="C479" t="s">
        <v>40</v>
      </c>
      <c r="D479" s="73" t="str">
        <f t="shared" si="11"/>
        <v>ANTALYA BÜYÜKŞEHİR/ANTALYA</v>
      </c>
      <c r="E479" t="s">
        <v>1852</v>
      </c>
      <c r="F479" t="s">
        <v>1852</v>
      </c>
      <c r="G479" t="s">
        <v>3366</v>
      </c>
      <c r="H479">
        <v>109</v>
      </c>
      <c r="I479">
        <v>10.9</v>
      </c>
      <c r="J479">
        <v>0</v>
      </c>
      <c r="K479">
        <v>0</v>
      </c>
      <c r="L479">
        <v>109</v>
      </c>
      <c r="M479">
        <v>10.9</v>
      </c>
      <c r="O479" s="79">
        <f>IFERROR(VLOOKUP(D479,'KAPANAN BLD.'!$C$2:$D$793,2,FALSE),0)</f>
        <v>0</v>
      </c>
      <c r="P479" s="79">
        <v>0</v>
      </c>
    </row>
    <row r="480" spans="1:16" x14ac:dyDescent="0.25">
      <c r="A480" t="s">
        <v>32</v>
      </c>
      <c r="B480" s="73" t="str">
        <f>VLOOKUP(C480,'Büyükşehir List'!$C$2:$D$31,2,FALSE)</f>
        <v>ANTALYA BÜYÜKŞEHİR</v>
      </c>
      <c r="C480" t="s">
        <v>40</v>
      </c>
      <c r="D480" s="73" t="str">
        <f t="shared" si="11"/>
        <v>ANTALYA BÜYÜKŞEHİR/ANTALYA</v>
      </c>
      <c r="E480" t="s">
        <v>1852</v>
      </c>
      <c r="F480" t="s">
        <v>1852</v>
      </c>
      <c r="G480" t="s">
        <v>3367</v>
      </c>
      <c r="H480">
        <v>149.80000000000001</v>
      </c>
      <c r="I480">
        <v>14.98</v>
      </c>
      <c r="J480">
        <v>0</v>
      </c>
      <c r="K480">
        <v>0</v>
      </c>
      <c r="L480">
        <v>149.80000000000001</v>
      </c>
      <c r="M480">
        <v>14.98</v>
      </c>
      <c r="O480" s="79">
        <f>IFERROR(VLOOKUP(D480,'KAPANAN BLD.'!$C$2:$D$793,2,FALSE),0)</f>
        <v>0</v>
      </c>
      <c r="P480" s="79">
        <v>0</v>
      </c>
    </row>
    <row r="481" spans="1:16" x14ac:dyDescent="0.25">
      <c r="A481" t="s">
        <v>32</v>
      </c>
      <c r="B481" s="73" t="str">
        <f>VLOOKUP(C481,'Büyükşehir List'!$C$2:$D$31,2,FALSE)</f>
        <v>ANTALYA BÜYÜKŞEHİR</v>
      </c>
      <c r="C481" t="s">
        <v>40</v>
      </c>
      <c r="D481" s="73" t="str">
        <f t="shared" si="11"/>
        <v>ANTALYA BÜYÜKŞEHİR/ANTALYA</v>
      </c>
      <c r="E481" t="s">
        <v>1852</v>
      </c>
      <c r="F481" t="s">
        <v>1852</v>
      </c>
      <c r="G481" t="s">
        <v>3367</v>
      </c>
      <c r="H481">
        <v>1614.84</v>
      </c>
      <c r="I481">
        <v>161.47999999999999</v>
      </c>
      <c r="J481">
        <v>0</v>
      </c>
      <c r="K481">
        <v>0</v>
      </c>
      <c r="L481">
        <v>1614.84</v>
      </c>
      <c r="M481">
        <v>161.47999999999999</v>
      </c>
      <c r="O481" s="79">
        <f>IFERROR(VLOOKUP(D481,'KAPANAN BLD.'!$C$2:$D$793,2,FALSE),0)</f>
        <v>0</v>
      </c>
      <c r="P481" s="79">
        <v>0</v>
      </c>
    </row>
    <row r="482" spans="1:16" x14ac:dyDescent="0.25">
      <c r="A482" t="s">
        <v>32</v>
      </c>
      <c r="B482" s="73" t="str">
        <f>VLOOKUP(C482,'Büyükşehir List'!$C$2:$D$31,2,FALSE)</f>
        <v>ANTALYA BÜYÜKŞEHİR</v>
      </c>
      <c r="C482" t="s">
        <v>40</v>
      </c>
      <c r="D482" s="73" t="str">
        <f t="shared" si="11"/>
        <v>ANTALYA BÜYÜKŞEHİR/ANTALYA</v>
      </c>
      <c r="E482" t="s">
        <v>1852</v>
      </c>
      <c r="F482" t="s">
        <v>1852</v>
      </c>
      <c r="G482" t="s">
        <v>3366</v>
      </c>
      <c r="H482">
        <v>965.92</v>
      </c>
      <c r="I482">
        <v>96.59</v>
      </c>
      <c r="J482">
        <v>0</v>
      </c>
      <c r="K482">
        <v>0</v>
      </c>
      <c r="L482">
        <v>965.92</v>
      </c>
      <c r="M482">
        <v>96.59</v>
      </c>
      <c r="O482" s="79">
        <f>IFERROR(VLOOKUP(D482,'KAPANAN BLD.'!$C$2:$D$793,2,FALSE),0)</f>
        <v>0</v>
      </c>
      <c r="P482" s="79">
        <v>0</v>
      </c>
    </row>
    <row r="483" spans="1:16" x14ac:dyDescent="0.25">
      <c r="A483" t="s">
        <v>32</v>
      </c>
      <c r="B483" s="73" t="str">
        <f t="shared" ref="B483:B501" si="12">F483</f>
        <v>ÇILDIR</v>
      </c>
      <c r="C483" t="s">
        <v>313</v>
      </c>
      <c r="D483" s="73" t="str">
        <f t="shared" si="11"/>
        <v>ÇILDIR/ARDAHAN</v>
      </c>
      <c r="E483" t="s">
        <v>2625</v>
      </c>
      <c r="F483" t="s">
        <v>2625</v>
      </c>
      <c r="G483" t="s">
        <v>3367</v>
      </c>
      <c r="H483">
        <v>70.7</v>
      </c>
      <c r="I483">
        <v>7.07</v>
      </c>
      <c r="J483">
        <v>0</v>
      </c>
      <c r="K483">
        <v>0</v>
      </c>
      <c r="L483">
        <v>70.7</v>
      </c>
      <c r="M483">
        <v>7.07</v>
      </c>
      <c r="O483" s="79">
        <f>IFERROR(VLOOKUP(D483,'KAPANAN BLD.'!$C$2:$D$793,2,FALSE),0)</f>
        <v>0</v>
      </c>
      <c r="P483" s="79">
        <v>0</v>
      </c>
    </row>
    <row r="484" spans="1:16" x14ac:dyDescent="0.25">
      <c r="A484" t="s">
        <v>32</v>
      </c>
      <c r="B484" s="73" t="str">
        <f t="shared" si="12"/>
        <v>DAMAL</v>
      </c>
      <c r="C484" t="s">
        <v>313</v>
      </c>
      <c r="D484" s="73" t="str">
        <f t="shared" si="11"/>
        <v>DAMAL/ARDAHAN</v>
      </c>
      <c r="E484" t="s">
        <v>2885</v>
      </c>
      <c r="F484" t="s">
        <v>2885</v>
      </c>
      <c r="G484" t="s">
        <v>3367</v>
      </c>
      <c r="H484">
        <v>288.7</v>
      </c>
      <c r="I484">
        <v>28.87</v>
      </c>
      <c r="J484">
        <v>0</v>
      </c>
      <c r="K484">
        <v>0</v>
      </c>
      <c r="L484">
        <v>288.7</v>
      </c>
      <c r="M484">
        <v>28.87</v>
      </c>
      <c r="O484" s="79">
        <f>IFERROR(VLOOKUP(D484,'KAPANAN BLD.'!$C$2:$D$793,2,FALSE),0)</f>
        <v>0</v>
      </c>
      <c r="P484" s="79">
        <v>0</v>
      </c>
    </row>
    <row r="485" spans="1:16" x14ac:dyDescent="0.25">
      <c r="A485" t="s">
        <v>32</v>
      </c>
      <c r="B485" s="73" t="str">
        <f t="shared" si="12"/>
        <v>DAMAL</v>
      </c>
      <c r="C485" t="s">
        <v>313</v>
      </c>
      <c r="D485" s="73" t="str">
        <f t="shared" si="11"/>
        <v>DAMAL/ARDAHAN</v>
      </c>
      <c r="E485" t="s">
        <v>2885</v>
      </c>
      <c r="F485" t="s">
        <v>2885</v>
      </c>
      <c r="G485" t="s">
        <v>3366</v>
      </c>
      <c r="H485">
        <v>186.4</v>
      </c>
      <c r="I485">
        <v>18.64</v>
      </c>
      <c r="J485">
        <v>0</v>
      </c>
      <c r="K485">
        <v>0</v>
      </c>
      <c r="L485">
        <v>186.4</v>
      </c>
      <c r="M485">
        <v>18.64</v>
      </c>
      <c r="O485" s="79">
        <f>IFERROR(VLOOKUP(D485,'KAPANAN BLD.'!$C$2:$D$793,2,FALSE),0)</f>
        <v>0</v>
      </c>
      <c r="P485" s="79">
        <v>0</v>
      </c>
    </row>
    <row r="486" spans="1:16" x14ac:dyDescent="0.25">
      <c r="A486" t="s">
        <v>32</v>
      </c>
      <c r="B486" s="73" t="str">
        <f t="shared" si="12"/>
        <v>GÖLE</v>
      </c>
      <c r="C486" t="s">
        <v>313</v>
      </c>
      <c r="D486" s="73" t="str">
        <f t="shared" si="11"/>
        <v>GÖLE/ARDAHAN</v>
      </c>
      <c r="E486" t="s">
        <v>514</v>
      </c>
      <c r="F486" t="s">
        <v>514</v>
      </c>
      <c r="G486" t="s">
        <v>3367</v>
      </c>
      <c r="H486">
        <v>1702.7</v>
      </c>
      <c r="I486">
        <v>170.27</v>
      </c>
      <c r="J486">
        <v>0</v>
      </c>
      <c r="K486">
        <v>0</v>
      </c>
      <c r="L486">
        <v>1702.7</v>
      </c>
      <c r="M486">
        <v>170.27</v>
      </c>
      <c r="O486" s="79">
        <f>IFERROR(VLOOKUP(D486,'KAPANAN BLD.'!$C$2:$D$793,2,FALSE),0)</f>
        <v>0</v>
      </c>
      <c r="P486" s="79">
        <v>0</v>
      </c>
    </row>
    <row r="487" spans="1:16" x14ac:dyDescent="0.25">
      <c r="A487" t="s">
        <v>32</v>
      </c>
      <c r="B487" s="73" t="str">
        <f t="shared" si="12"/>
        <v>GÖLE</v>
      </c>
      <c r="C487" t="s">
        <v>313</v>
      </c>
      <c r="D487" s="73" t="str">
        <f t="shared" si="11"/>
        <v>GÖLE/ARDAHAN</v>
      </c>
      <c r="E487" t="s">
        <v>514</v>
      </c>
      <c r="F487" t="s">
        <v>514</v>
      </c>
      <c r="G487" t="s">
        <v>3366</v>
      </c>
      <c r="H487">
        <v>502.7</v>
      </c>
      <c r="I487">
        <v>50.27</v>
      </c>
      <c r="J487">
        <v>0</v>
      </c>
      <c r="K487">
        <v>0</v>
      </c>
      <c r="L487">
        <v>502.7</v>
      </c>
      <c r="M487">
        <v>50.27</v>
      </c>
      <c r="O487" s="79">
        <f>IFERROR(VLOOKUP(D487,'KAPANAN BLD.'!$C$2:$D$793,2,FALSE),0)</f>
        <v>0</v>
      </c>
      <c r="P487" s="79">
        <v>0</v>
      </c>
    </row>
    <row r="488" spans="1:16" x14ac:dyDescent="0.25">
      <c r="A488" t="s">
        <v>32</v>
      </c>
      <c r="B488" s="73" t="str">
        <f t="shared" si="12"/>
        <v>HANAK</v>
      </c>
      <c r="C488" t="s">
        <v>313</v>
      </c>
      <c r="D488" s="73" t="str">
        <f t="shared" si="11"/>
        <v>HANAK/ARDAHAN</v>
      </c>
      <c r="E488" t="s">
        <v>2849</v>
      </c>
      <c r="F488" t="s">
        <v>2849</v>
      </c>
      <c r="G488" t="s">
        <v>3367</v>
      </c>
      <c r="H488">
        <v>455.8</v>
      </c>
      <c r="I488">
        <v>45.58</v>
      </c>
      <c r="J488">
        <v>0</v>
      </c>
      <c r="K488">
        <v>0</v>
      </c>
      <c r="L488">
        <v>455.8</v>
      </c>
      <c r="M488">
        <v>45.58</v>
      </c>
      <c r="O488" s="79">
        <f>IFERROR(VLOOKUP(D488,'KAPANAN BLD.'!$C$2:$D$793,2,FALSE),0)</f>
        <v>0</v>
      </c>
      <c r="P488" s="79">
        <v>0</v>
      </c>
    </row>
    <row r="489" spans="1:16" x14ac:dyDescent="0.25">
      <c r="A489" t="s">
        <v>32</v>
      </c>
      <c r="B489" s="73" t="str">
        <f t="shared" si="12"/>
        <v>HANAK</v>
      </c>
      <c r="C489" t="s">
        <v>313</v>
      </c>
      <c r="D489" s="73" t="str">
        <f t="shared" si="11"/>
        <v>HANAK/ARDAHAN</v>
      </c>
      <c r="E489" t="s">
        <v>2849</v>
      </c>
      <c r="F489" t="s">
        <v>2849</v>
      </c>
      <c r="G489" t="s">
        <v>3366</v>
      </c>
      <c r="H489">
        <v>45.8</v>
      </c>
      <c r="I489">
        <v>4.58</v>
      </c>
      <c r="J489">
        <v>0</v>
      </c>
      <c r="K489">
        <v>0</v>
      </c>
      <c r="L489">
        <v>45.8</v>
      </c>
      <c r="M489">
        <v>4.58</v>
      </c>
      <c r="O489" s="79">
        <f>IFERROR(VLOOKUP(D489,'KAPANAN BLD.'!$C$2:$D$793,2,FALSE),0)</f>
        <v>0</v>
      </c>
      <c r="P489" s="79">
        <v>0</v>
      </c>
    </row>
    <row r="490" spans="1:16" x14ac:dyDescent="0.25">
      <c r="A490" t="s">
        <v>32</v>
      </c>
      <c r="B490" s="73" t="str">
        <f t="shared" si="12"/>
        <v>MERKEZ</v>
      </c>
      <c r="C490" t="s">
        <v>313</v>
      </c>
      <c r="D490" s="73" t="str">
        <f t="shared" si="11"/>
        <v>MERKEZ/ARDAHAN</v>
      </c>
      <c r="E490" t="s">
        <v>34</v>
      </c>
      <c r="F490" t="s">
        <v>34</v>
      </c>
      <c r="G490" t="s">
        <v>3367</v>
      </c>
      <c r="H490">
        <v>4355</v>
      </c>
      <c r="I490">
        <v>435.5</v>
      </c>
      <c r="J490">
        <v>1738.6</v>
      </c>
      <c r="K490">
        <v>173.86</v>
      </c>
      <c r="L490">
        <v>2616.4</v>
      </c>
      <c r="M490">
        <v>261.64</v>
      </c>
      <c r="O490" s="79">
        <f>IFERROR(VLOOKUP(D490,'KAPANAN BLD.'!$C$2:$D$793,2,FALSE),0)</f>
        <v>0</v>
      </c>
      <c r="P490" s="79">
        <v>0</v>
      </c>
    </row>
    <row r="491" spans="1:16" x14ac:dyDescent="0.25">
      <c r="A491" t="s">
        <v>32</v>
      </c>
      <c r="B491" s="73" t="str">
        <f t="shared" si="12"/>
        <v>MERKEZ</v>
      </c>
      <c r="C491" t="s">
        <v>313</v>
      </c>
      <c r="D491" s="73" t="str">
        <f t="shared" si="11"/>
        <v>MERKEZ/ARDAHAN</v>
      </c>
      <c r="E491" t="s">
        <v>34</v>
      </c>
      <c r="F491" t="s">
        <v>34</v>
      </c>
      <c r="G491" t="s">
        <v>3366</v>
      </c>
      <c r="H491">
        <v>2429.3000000000002</v>
      </c>
      <c r="I491">
        <v>242.93</v>
      </c>
      <c r="J491">
        <v>28.3</v>
      </c>
      <c r="K491">
        <v>2.83</v>
      </c>
      <c r="L491">
        <v>2401</v>
      </c>
      <c r="M491">
        <v>240.1</v>
      </c>
      <c r="O491" s="79">
        <f>IFERROR(VLOOKUP(D491,'KAPANAN BLD.'!$C$2:$D$793,2,FALSE),0)</f>
        <v>0</v>
      </c>
      <c r="P491" s="79">
        <v>0</v>
      </c>
    </row>
    <row r="492" spans="1:16" x14ac:dyDescent="0.25">
      <c r="A492" t="s">
        <v>32</v>
      </c>
      <c r="B492" s="73" t="str">
        <f t="shared" si="12"/>
        <v>POSOF</v>
      </c>
      <c r="C492" t="s">
        <v>313</v>
      </c>
      <c r="D492" s="73" t="str">
        <f t="shared" si="11"/>
        <v>POSOF/ARDAHAN</v>
      </c>
      <c r="E492" t="s">
        <v>433</v>
      </c>
      <c r="F492" t="s">
        <v>433</v>
      </c>
      <c r="G492" t="s">
        <v>3367</v>
      </c>
      <c r="H492">
        <v>4.5999999999999996</v>
      </c>
      <c r="I492">
        <v>0.46</v>
      </c>
      <c r="J492">
        <v>0</v>
      </c>
      <c r="K492">
        <v>0</v>
      </c>
      <c r="L492">
        <v>4.5999999999999996</v>
      </c>
      <c r="M492">
        <v>0.46</v>
      </c>
      <c r="O492" s="79">
        <f>IFERROR(VLOOKUP(D492,'KAPANAN BLD.'!$C$2:$D$793,2,FALSE),0)</f>
        <v>0</v>
      </c>
      <c r="P492" s="79">
        <v>0</v>
      </c>
    </row>
    <row r="493" spans="1:16" x14ac:dyDescent="0.25">
      <c r="A493" t="s">
        <v>32</v>
      </c>
      <c r="B493" s="73" t="str">
        <f t="shared" si="12"/>
        <v>POSOF</v>
      </c>
      <c r="C493" t="s">
        <v>313</v>
      </c>
      <c r="D493" s="73" t="str">
        <f t="shared" si="11"/>
        <v>POSOF/ARDAHAN</v>
      </c>
      <c r="E493" t="s">
        <v>433</v>
      </c>
      <c r="F493" t="s">
        <v>433</v>
      </c>
      <c r="G493" t="s">
        <v>3366</v>
      </c>
      <c r="H493">
        <v>478.5</v>
      </c>
      <c r="I493">
        <v>47.85</v>
      </c>
      <c r="J493">
        <v>0</v>
      </c>
      <c r="K493">
        <v>0</v>
      </c>
      <c r="L493">
        <v>478.5</v>
      </c>
      <c r="M493">
        <v>47.85</v>
      </c>
      <c r="O493" s="79">
        <f>IFERROR(VLOOKUP(D493,'KAPANAN BLD.'!$C$2:$D$793,2,FALSE),0)</f>
        <v>0</v>
      </c>
      <c r="P493" s="79">
        <v>0</v>
      </c>
    </row>
    <row r="494" spans="1:16" x14ac:dyDescent="0.25">
      <c r="A494" t="s">
        <v>32</v>
      </c>
      <c r="B494" s="73" t="str">
        <f t="shared" si="12"/>
        <v>ARHAVİ</v>
      </c>
      <c r="C494" t="s">
        <v>2</v>
      </c>
      <c r="D494" s="73" t="str">
        <f t="shared" si="11"/>
        <v>ARHAVİ/ARTVİN</v>
      </c>
      <c r="E494" t="s">
        <v>2108</v>
      </c>
      <c r="F494" t="s">
        <v>2108</v>
      </c>
      <c r="G494" t="s">
        <v>3366</v>
      </c>
      <c r="H494">
        <v>433.3</v>
      </c>
      <c r="I494">
        <v>43.33</v>
      </c>
      <c r="J494">
        <v>0</v>
      </c>
      <c r="K494">
        <v>0</v>
      </c>
      <c r="L494">
        <v>433.3</v>
      </c>
      <c r="M494">
        <v>43.33</v>
      </c>
      <c r="O494" s="79">
        <f>IFERROR(VLOOKUP(D494,'KAPANAN BLD.'!$C$2:$D$793,2,FALSE),0)</f>
        <v>0</v>
      </c>
      <c r="P494" s="79">
        <v>0</v>
      </c>
    </row>
    <row r="495" spans="1:16" x14ac:dyDescent="0.25">
      <c r="A495" t="s">
        <v>32</v>
      </c>
      <c r="B495" s="73" t="str">
        <f t="shared" si="12"/>
        <v>ARHAVİ</v>
      </c>
      <c r="C495" t="s">
        <v>2</v>
      </c>
      <c r="D495" s="73" t="str">
        <f t="shared" si="11"/>
        <v>ARHAVİ/ARTVİN</v>
      </c>
      <c r="E495" t="s">
        <v>2108</v>
      </c>
      <c r="F495" t="s">
        <v>2108</v>
      </c>
      <c r="G495" t="s">
        <v>3367</v>
      </c>
      <c r="H495">
        <v>178.6</v>
      </c>
      <c r="I495">
        <v>17.86</v>
      </c>
      <c r="J495">
        <v>0</v>
      </c>
      <c r="K495">
        <v>0</v>
      </c>
      <c r="L495">
        <v>178.6</v>
      </c>
      <c r="M495">
        <v>17.86</v>
      </c>
      <c r="O495" s="79">
        <f>IFERROR(VLOOKUP(D495,'KAPANAN BLD.'!$C$2:$D$793,2,FALSE),0)</f>
        <v>0</v>
      </c>
      <c r="P495" s="79">
        <v>0</v>
      </c>
    </row>
    <row r="496" spans="1:16" x14ac:dyDescent="0.25">
      <c r="A496" t="s">
        <v>32</v>
      </c>
      <c r="B496" s="73" t="str">
        <f t="shared" si="12"/>
        <v>HOPA</v>
      </c>
      <c r="C496" t="s">
        <v>2</v>
      </c>
      <c r="D496" s="73" t="str">
        <f t="shared" si="11"/>
        <v>HOPA/ARTVİN</v>
      </c>
      <c r="E496" t="s">
        <v>515</v>
      </c>
      <c r="F496" t="s">
        <v>515</v>
      </c>
      <c r="G496" t="s">
        <v>3366</v>
      </c>
      <c r="H496">
        <v>1052.9000000000001</v>
      </c>
      <c r="I496">
        <v>105.29</v>
      </c>
      <c r="J496">
        <v>0</v>
      </c>
      <c r="K496">
        <v>0</v>
      </c>
      <c r="L496">
        <v>1052.9000000000001</v>
      </c>
      <c r="M496">
        <v>105.29</v>
      </c>
      <c r="O496" s="79">
        <f>IFERROR(VLOOKUP(D496,'KAPANAN BLD.'!$C$2:$D$793,2,FALSE),0)</f>
        <v>0</v>
      </c>
      <c r="P496" s="79">
        <v>0</v>
      </c>
    </row>
    <row r="497" spans="1:16" x14ac:dyDescent="0.25">
      <c r="A497" t="s">
        <v>32</v>
      </c>
      <c r="B497" s="73" t="str">
        <f t="shared" si="12"/>
        <v>HOPA</v>
      </c>
      <c r="C497" t="s">
        <v>2</v>
      </c>
      <c r="D497" s="73" t="str">
        <f t="shared" si="11"/>
        <v>HOPA/ARTVİN</v>
      </c>
      <c r="E497" t="s">
        <v>515</v>
      </c>
      <c r="F497" t="s">
        <v>515</v>
      </c>
      <c r="G497" t="s">
        <v>3367</v>
      </c>
      <c r="H497">
        <v>2585.6999999999998</v>
      </c>
      <c r="I497">
        <v>258.57</v>
      </c>
      <c r="J497">
        <v>998.5</v>
      </c>
      <c r="K497">
        <v>99.85</v>
      </c>
      <c r="L497">
        <v>1587.2</v>
      </c>
      <c r="M497">
        <v>158.72</v>
      </c>
      <c r="O497" s="79">
        <f>IFERROR(VLOOKUP(D497,'KAPANAN BLD.'!$C$2:$D$793,2,FALSE),0)</f>
        <v>0</v>
      </c>
      <c r="P497" s="79">
        <v>0</v>
      </c>
    </row>
    <row r="498" spans="1:16" x14ac:dyDescent="0.25">
      <c r="A498" t="s">
        <v>32</v>
      </c>
      <c r="B498" s="73" t="str">
        <f t="shared" si="12"/>
        <v>MERKEZ</v>
      </c>
      <c r="C498" t="s">
        <v>2</v>
      </c>
      <c r="D498" s="73" t="str">
        <f t="shared" si="11"/>
        <v>MERKEZ/ARTVİN</v>
      </c>
      <c r="E498" t="s">
        <v>34</v>
      </c>
      <c r="F498" t="s">
        <v>34</v>
      </c>
      <c r="G498" t="s">
        <v>3366</v>
      </c>
      <c r="H498">
        <v>2736.7</v>
      </c>
      <c r="I498">
        <v>273.67</v>
      </c>
      <c r="J498">
        <v>2192.6</v>
      </c>
      <c r="K498">
        <v>219.26</v>
      </c>
      <c r="L498">
        <v>544.1</v>
      </c>
      <c r="M498">
        <v>54.41</v>
      </c>
      <c r="O498" s="79">
        <f>IFERROR(VLOOKUP(D498,'KAPANAN BLD.'!$C$2:$D$793,2,FALSE),0)</f>
        <v>0</v>
      </c>
      <c r="P498" s="79">
        <v>0</v>
      </c>
    </row>
    <row r="499" spans="1:16" x14ac:dyDescent="0.25">
      <c r="A499" t="s">
        <v>32</v>
      </c>
      <c r="B499" s="73" t="str">
        <f t="shared" si="12"/>
        <v>MERKEZ</v>
      </c>
      <c r="C499" t="s">
        <v>2</v>
      </c>
      <c r="D499" s="73" t="str">
        <f t="shared" si="11"/>
        <v>MERKEZ/ARTVİN</v>
      </c>
      <c r="E499" t="s">
        <v>34</v>
      </c>
      <c r="F499" t="s">
        <v>34</v>
      </c>
      <c r="G499" t="s">
        <v>3367</v>
      </c>
      <c r="H499">
        <v>1202.2</v>
      </c>
      <c r="I499">
        <v>120.22</v>
      </c>
      <c r="J499">
        <v>714.6</v>
      </c>
      <c r="K499">
        <v>71.459999999999994</v>
      </c>
      <c r="L499">
        <v>487.6</v>
      </c>
      <c r="M499">
        <v>48.76</v>
      </c>
      <c r="O499" s="79">
        <f>IFERROR(VLOOKUP(D499,'KAPANAN BLD.'!$C$2:$D$793,2,FALSE),0)</f>
        <v>0</v>
      </c>
      <c r="P499" s="79">
        <v>0</v>
      </c>
    </row>
    <row r="500" spans="1:16" x14ac:dyDescent="0.25">
      <c r="A500" t="s">
        <v>32</v>
      </c>
      <c r="B500" s="73" t="str">
        <f t="shared" si="12"/>
        <v>YUSUFELİ</v>
      </c>
      <c r="C500" t="s">
        <v>2</v>
      </c>
      <c r="D500" s="73" t="str">
        <f t="shared" si="11"/>
        <v>YUSUFELİ/ARTVİN</v>
      </c>
      <c r="E500" t="s">
        <v>2264</v>
      </c>
      <c r="F500" t="s">
        <v>2264</v>
      </c>
      <c r="G500" t="s">
        <v>3366</v>
      </c>
      <c r="H500">
        <v>240.3</v>
      </c>
      <c r="I500">
        <v>24.03</v>
      </c>
      <c r="J500">
        <v>0</v>
      </c>
      <c r="K500">
        <v>0</v>
      </c>
      <c r="L500">
        <v>240.3</v>
      </c>
      <c r="M500">
        <v>24.03</v>
      </c>
      <c r="O500" s="79">
        <f>IFERROR(VLOOKUP(D500,'KAPANAN BLD.'!$C$2:$D$793,2,FALSE),0)</f>
        <v>0</v>
      </c>
      <c r="P500" s="79">
        <v>0</v>
      </c>
    </row>
    <row r="501" spans="1:16" x14ac:dyDescent="0.25">
      <c r="A501" t="s">
        <v>32</v>
      </c>
      <c r="B501" s="73" t="str">
        <f t="shared" si="12"/>
        <v>YUSUFELİ</v>
      </c>
      <c r="C501" t="s">
        <v>2</v>
      </c>
      <c r="D501" s="73" t="str">
        <f t="shared" si="11"/>
        <v>YUSUFELİ/ARTVİN</v>
      </c>
      <c r="E501" t="s">
        <v>2264</v>
      </c>
      <c r="F501" t="s">
        <v>2264</v>
      </c>
      <c r="G501" t="s">
        <v>3367</v>
      </c>
      <c r="H501">
        <v>507.2</v>
      </c>
      <c r="I501">
        <v>50.72</v>
      </c>
      <c r="J501">
        <v>0</v>
      </c>
      <c r="K501">
        <v>0</v>
      </c>
      <c r="L501">
        <v>507.2</v>
      </c>
      <c r="M501">
        <v>50.72</v>
      </c>
      <c r="O501" s="79">
        <f>IFERROR(VLOOKUP(D501,'KAPANAN BLD.'!$C$2:$D$793,2,FALSE),0)</f>
        <v>0</v>
      </c>
      <c r="P501" s="79">
        <v>0</v>
      </c>
    </row>
    <row r="502" spans="1:16" x14ac:dyDescent="0.25">
      <c r="A502" t="s">
        <v>32</v>
      </c>
      <c r="B502" s="73" t="str">
        <f>VLOOKUP(C502,'Büyükşehir List'!$C$2:$D$31,2,FALSE)</f>
        <v>AYDIN BÜYÜKŞEHİR</v>
      </c>
      <c r="C502" t="s">
        <v>42</v>
      </c>
      <c r="D502" s="73" t="str">
        <f t="shared" si="11"/>
        <v>AYDIN BÜYÜKŞEHİR/AYDIN</v>
      </c>
      <c r="E502" t="s">
        <v>3732</v>
      </c>
      <c r="F502" t="s">
        <v>3732</v>
      </c>
      <c r="G502" t="s">
        <v>3367</v>
      </c>
      <c r="H502">
        <v>1604.6</v>
      </c>
      <c r="I502">
        <v>160.46</v>
      </c>
      <c r="J502">
        <v>347.4</v>
      </c>
      <c r="K502">
        <v>34.74</v>
      </c>
      <c r="L502">
        <v>1257.2</v>
      </c>
      <c r="M502">
        <v>125.72</v>
      </c>
      <c r="O502" s="79">
        <f>IFERROR(VLOOKUP(D502,'KAPANAN BLD.'!$C$2:$D$793,2,FALSE),0)</f>
        <v>0</v>
      </c>
      <c r="P502" s="79">
        <v>0</v>
      </c>
    </row>
    <row r="503" spans="1:16" x14ac:dyDescent="0.25">
      <c r="A503" t="s">
        <v>32</v>
      </c>
      <c r="B503" s="73" t="str">
        <f>VLOOKUP(C503,'Büyükşehir List'!$C$2:$D$31,2,FALSE)</f>
        <v>AYDIN BÜYÜKŞEHİR</v>
      </c>
      <c r="C503" t="s">
        <v>42</v>
      </c>
      <c r="D503" s="73" t="str">
        <f t="shared" si="11"/>
        <v>AYDIN BÜYÜKŞEHİR/AYDIN</v>
      </c>
      <c r="E503" t="s">
        <v>3732</v>
      </c>
      <c r="F503" t="s">
        <v>3732</v>
      </c>
      <c r="G503" t="s">
        <v>3366</v>
      </c>
      <c r="H503">
        <v>1122.7</v>
      </c>
      <c r="I503">
        <v>112.27</v>
      </c>
      <c r="J503">
        <v>0</v>
      </c>
      <c r="K503">
        <v>0</v>
      </c>
      <c r="L503">
        <v>1122.7</v>
      </c>
      <c r="M503">
        <v>112.27</v>
      </c>
      <c r="O503" s="79">
        <f>IFERROR(VLOOKUP(D503,'KAPANAN BLD.'!$C$2:$D$793,2,FALSE),0)</f>
        <v>0</v>
      </c>
      <c r="P503" s="79">
        <v>0</v>
      </c>
    </row>
    <row r="504" spans="1:16" x14ac:dyDescent="0.25">
      <c r="A504" t="s">
        <v>32</v>
      </c>
      <c r="B504" s="73" t="str">
        <f>VLOOKUP(C504,'Büyükşehir List'!$C$2:$D$31,2,FALSE)</f>
        <v>AYDIN BÜYÜKŞEHİR</v>
      </c>
      <c r="C504" t="s">
        <v>42</v>
      </c>
      <c r="D504" s="73" t="str">
        <f t="shared" si="11"/>
        <v>AYDIN BÜYÜKŞEHİR/AYDIN</v>
      </c>
      <c r="E504" t="s">
        <v>140</v>
      </c>
      <c r="F504" t="s">
        <v>140</v>
      </c>
      <c r="G504" t="s">
        <v>3367</v>
      </c>
      <c r="H504">
        <v>4365.8999999999996</v>
      </c>
      <c r="I504">
        <v>436.59</v>
      </c>
      <c r="J504">
        <v>84.4</v>
      </c>
      <c r="K504">
        <v>8.44</v>
      </c>
      <c r="L504">
        <v>4281.5</v>
      </c>
      <c r="M504">
        <v>428.15</v>
      </c>
      <c r="O504" s="79">
        <f>IFERROR(VLOOKUP(D504,'KAPANAN BLD.'!$C$2:$D$793,2,FALSE),0)</f>
        <v>0</v>
      </c>
      <c r="P504" s="79">
        <v>0</v>
      </c>
    </row>
    <row r="505" spans="1:16" x14ac:dyDescent="0.25">
      <c r="A505" t="s">
        <v>32</v>
      </c>
      <c r="B505" s="73" t="str">
        <f>VLOOKUP(C505,'Büyükşehir List'!$C$2:$D$31,2,FALSE)</f>
        <v>AYDIN BÜYÜKŞEHİR</v>
      </c>
      <c r="C505" t="s">
        <v>42</v>
      </c>
      <c r="D505" s="73" t="str">
        <f t="shared" si="11"/>
        <v>AYDIN BÜYÜKŞEHİR/AYDIN</v>
      </c>
      <c r="E505" t="s">
        <v>140</v>
      </c>
      <c r="F505" t="s">
        <v>140</v>
      </c>
      <c r="G505" t="s">
        <v>3366</v>
      </c>
      <c r="H505">
        <v>1627</v>
      </c>
      <c r="I505">
        <v>162.69999999999999</v>
      </c>
      <c r="J505">
        <v>0</v>
      </c>
      <c r="K505">
        <v>0</v>
      </c>
      <c r="L505">
        <v>1627</v>
      </c>
      <c r="M505">
        <v>162.69999999999999</v>
      </c>
      <c r="O505" s="79">
        <f>IFERROR(VLOOKUP(D505,'KAPANAN BLD.'!$C$2:$D$793,2,FALSE),0)</f>
        <v>0</v>
      </c>
      <c r="P505" s="79">
        <v>0</v>
      </c>
    </row>
    <row r="506" spans="1:16" x14ac:dyDescent="0.25">
      <c r="A506" t="s">
        <v>32</v>
      </c>
      <c r="B506" s="73" t="str">
        <f>VLOOKUP(C506,'Büyükşehir List'!$C$2:$D$31,2,FALSE)</f>
        <v>AYDIN BÜYÜKŞEHİR</v>
      </c>
      <c r="C506" t="s">
        <v>42</v>
      </c>
      <c r="D506" s="73" t="str">
        <f t="shared" si="11"/>
        <v>AYDIN BÜYÜKŞEHİR/AYDIN</v>
      </c>
      <c r="E506" t="s">
        <v>3733</v>
      </c>
      <c r="F506" t="s">
        <v>3733</v>
      </c>
      <c r="G506" t="s">
        <v>3367</v>
      </c>
      <c r="H506">
        <v>1306.5</v>
      </c>
      <c r="I506">
        <v>130.65</v>
      </c>
      <c r="J506">
        <v>4.0999999999999996</v>
      </c>
      <c r="K506">
        <v>0.41</v>
      </c>
      <c r="L506">
        <v>1302.4000000000001</v>
      </c>
      <c r="M506">
        <v>130.24</v>
      </c>
      <c r="O506" s="79">
        <f>IFERROR(VLOOKUP(D506,'KAPANAN BLD.'!$C$2:$D$793,2,FALSE),0)</f>
        <v>0</v>
      </c>
      <c r="P506" s="79">
        <v>0</v>
      </c>
    </row>
    <row r="507" spans="1:16" x14ac:dyDescent="0.25">
      <c r="A507" t="s">
        <v>32</v>
      </c>
      <c r="B507" s="73" t="str">
        <f>VLOOKUP(C507,'Büyükşehir List'!$C$2:$D$31,2,FALSE)</f>
        <v>AYDIN BÜYÜKŞEHİR</v>
      </c>
      <c r="C507" t="s">
        <v>42</v>
      </c>
      <c r="D507" s="73" t="str">
        <f t="shared" si="11"/>
        <v>AYDIN BÜYÜKŞEHİR/AYDIN</v>
      </c>
      <c r="E507" t="s">
        <v>3733</v>
      </c>
      <c r="F507" t="s">
        <v>3733</v>
      </c>
      <c r="G507" t="s">
        <v>3366</v>
      </c>
      <c r="H507">
        <v>0</v>
      </c>
      <c r="I507">
        <v>0</v>
      </c>
      <c r="J507">
        <v>75.2</v>
      </c>
      <c r="K507">
        <v>7.52</v>
      </c>
      <c r="L507">
        <v>-75.2</v>
      </c>
      <c r="M507">
        <v>-7.52</v>
      </c>
      <c r="O507" s="79">
        <f>IFERROR(VLOOKUP(D507,'KAPANAN BLD.'!$C$2:$D$793,2,FALSE),0)</f>
        <v>0</v>
      </c>
      <c r="P507" s="79">
        <v>0</v>
      </c>
    </row>
    <row r="508" spans="1:16" x14ac:dyDescent="0.25">
      <c r="A508" t="s">
        <v>32</v>
      </c>
      <c r="B508" s="73" t="str">
        <f>VLOOKUP(C508,'Büyükşehir List'!$C$2:$D$31,2,FALSE)</f>
        <v>AYDIN BÜYÜKŞEHİR</v>
      </c>
      <c r="C508" t="s">
        <v>42</v>
      </c>
      <c r="D508" s="73" t="str">
        <f t="shared" si="11"/>
        <v>AYDIN BÜYÜKŞEHİR/AYDIN</v>
      </c>
      <c r="E508" t="s">
        <v>3734</v>
      </c>
      <c r="F508" t="s">
        <v>3734</v>
      </c>
      <c r="G508" t="s">
        <v>3367</v>
      </c>
      <c r="H508">
        <v>3060.4</v>
      </c>
      <c r="I508">
        <v>306.04000000000002</v>
      </c>
      <c r="J508">
        <v>9.8000000000000007</v>
      </c>
      <c r="K508">
        <v>0.98</v>
      </c>
      <c r="L508">
        <v>3050.6</v>
      </c>
      <c r="M508">
        <v>305.06</v>
      </c>
      <c r="O508" s="79">
        <f>IFERROR(VLOOKUP(D508,'KAPANAN BLD.'!$C$2:$D$793,2,FALSE),0)</f>
        <v>0</v>
      </c>
      <c r="P508" s="79">
        <v>0</v>
      </c>
    </row>
    <row r="509" spans="1:16" x14ac:dyDescent="0.25">
      <c r="A509" t="s">
        <v>32</v>
      </c>
      <c r="B509" s="73" t="str">
        <f>VLOOKUP(C509,'Büyükşehir List'!$C$2:$D$31,2,FALSE)</f>
        <v>AYDIN BÜYÜKŞEHİR</v>
      </c>
      <c r="C509" t="s">
        <v>42</v>
      </c>
      <c r="D509" s="73" t="str">
        <f t="shared" si="11"/>
        <v>AYDIN BÜYÜKŞEHİR/AYDIN</v>
      </c>
      <c r="E509" t="s">
        <v>3734</v>
      </c>
      <c r="F509" t="s">
        <v>3734</v>
      </c>
      <c r="G509" t="s">
        <v>3366</v>
      </c>
      <c r="H509">
        <v>4752.8</v>
      </c>
      <c r="I509">
        <v>475.28</v>
      </c>
      <c r="J509">
        <v>187.4</v>
      </c>
      <c r="K509">
        <v>18.739999999999998</v>
      </c>
      <c r="L509">
        <v>4565.3999999999996</v>
      </c>
      <c r="M509">
        <v>456.54</v>
      </c>
      <c r="O509" s="79">
        <f>IFERROR(VLOOKUP(D509,'KAPANAN BLD.'!$C$2:$D$793,2,FALSE),0)</f>
        <v>0</v>
      </c>
      <c r="P509" s="79">
        <v>0</v>
      </c>
    </row>
    <row r="510" spans="1:16" x14ac:dyDescent="0.25">
      <c r="A510" t="s">
        <v>32</v>
      </c>
      <c r="B510" s="73" t="str">
        <f>VLOOKUP(C510,'Büyükşehir List'!$C$2:$D$31,2,FALSE)</f>
        <v>AYDIN BÜYÜKŞEHİR</v>
      </c>
      <c r="C510" t="s">
        <v>42</v>
      </c>
      <c r="D510" s="73" t="str">
        <f t="shared" si="11"/>
        <v>AYDIN BÜYÜKŞEHİR/AYDIN</v>
      </c>
      <c r="E510" t="s">
        <v>1857</v>
      </c>
      <c r="F510" t="s">
        <v>1857</v>
      </c>
      <c r="G510" t="s">
        <v>3367</v>
      </c>
      <c r="H510">
        <v>219.1</v>
      </c>
      <c r="I510">
        <v>21.91</v>
      </c>
      <c r="J510">
        <v>0</v>
      </c>
      <c r="K510">
        <v>0</v>
      </c>
      <c r="L510">
        <v>219.1</v>
      </c>
      <c r="M510">
        <v>21.91</v>
      </c>
      <c r="O510" s="79">
        <f>IFERROR(VLOOKUP(D510,'KAPANAN BLD.'!$C$2:$D$793,2,FALSE),0)</f>
        <v>0</v>
      </c>
      <c r="P510" s="79">
        <v>0</v>
      </c>
    </row>
    <row r="511" spans="1:16" x14ac:dyDescent="0.25">
      <c r="A511" t="s">
        <v>32</v>
      </c>
      <c r="B511" s="73" t="str">
        <f>VLOOKUP(C511,'Büyükşehir List'!$C$2:$D$31,2,FALSE)</f>
        <v>AYDIN BÜYÜKŞEHİR</v>
      </c>
      <c r="C511" t="s">
        <v>42</v>
      </c>
      <c r="D511" s="73" t="str">
        <f t="shared" si="11"/>
        <v>AYDIN BÜYÜKŞEHİR/AYDIN</v>
      </c>
      <c r="E511" t="s">
        <v>1857</v>
      </c>
      <c r="F511" t="s">
        <v>1857</v>
      </c>
      <c r="G511" t="s">
        <v>3366</v>
      </c>
      <c r="H511">
        <v>61.5</v>
      </c>
      <c r="I511">
        <v>6.15</v>
      </c>
      <c r="J511">
        <v>0</v>
      </c>
      <c r="K511">
        <v>0</v>
      </c>
      <c r="L511">
        <v>61.5</v>
      </c>
      <c r="M511">
        <v>6.15</v>
      </c>
      <c r="O511" s="79">
        <f>IFERROR(VLOOKUP(D511,'KAPANAN BLD.'!$C$2:$D$793,2,FALSE),0)</f>
        <v>0</v>
      </c>
      <c r="P511" s="79">
        <v>0</v>
      </c>
    </row>
    <row r="512" spans="1:16" x14ac:dyDescent="0.25">
      <c r="A512" t="s">
        <v>32</v>
      </c>
      <c r="B512" s="73" t="str">
        <f>VLOOKUP(C512,'Büyükşehir List'!$C$2:$D$31,2,FALSE)</f>
        <v>AYDIN BÜYÜKŞEHİR</v>
      </c>
      <c r="C512" t="s">
        <v>42</v>
      </c>
      <c r="D512" s="73" t="str">
        <f t="shared" si="11"/>
        <v>AYDIN BÜYÜKŞEHİR/AYDIN</v>
      </c>
      <c r="E512" t="s">
        <v>3735</v>
      </c>
      <c r="F512" t="s">
        <v>3735</v>
      </c>
      <c r="G512" t="s">
        <v>3367</v>
      </c>
      <c r="H512">
        <v>339.3</v>
      </c>
      <c r="I512">
        <v>33.93</v>
      </c>
      <c r="J512">
        <v>0</v>
      </c>
      <c r="K512">
        <v>0</v>
      </c>
      <c r="L512">
        <v>339.3</v>
      </c>
      <c r="M512">
        <v>33.93</v>
      </c>
      <c r="O512" s="79">
        <f>IFERROR(VLOOKUP(D512,'KAPANAN BLD.'!$C$2:$D$793,2,FALSE),0)</f>
        <v>0</v>
      </c>
      <c r="P512" s="79">
        <v>0</v>
      </c>
    </row>
    <row r="513" spans="1:16" x14ac:dyDescent="0.25">
      <c r="A513" t="s">
        <v>32</v>
      </c>
      <c r="B513" s="73" t="str">
        <f>VLOOKUP(C513,'Büyükşehir List'!$C$2:$D$31,2,FALSE)</f>
        <v>AYDIN BÜYÜKŞEHİR</v>
      </c>
      <c r="C513" t="s">
        <v>42</v>
      </c>
      <c r="D513" s="73" t="str">
        <f t="shared" si="11"/>
        <v>AYDIN BÜYÜKŞEHİR/AYDIN</v>
      </c>
      <c r="E513" t="s">
        <v>3735</v>
      </c>
      <c r="F513" t="s">
        <v>3735</v>
      </c>
      <c r="G513" t="s">
        <v>3366</v>
      </c>
      <c r="H513">
        <v>245.1</v>
      </c>
      <c r="I513">
        <v>24.51</v>
      </c>
      <c r="J513">
        <v>0</v>
      </c>
      <c r="K513">
        <v>0</v>
      </c>
      <c r="L513">
        <v>245.1</v>
      </c>
      <c r="M513">
        <v>24.51</v>
      </c>
      <c r="O513" s="79">
        <f>IFERROR(VLOOKUP(D513,'KAPANAN BLD.'!$C$2:$D$793,2,FALSE),0)</f>
        <v>0</v>
      </c>
      <c r="P513" s="79">
        <v>0</v>
      </c>
    </row>
    <row r="514" spans="1:16" x14ac:dyDescent="0.25">
      <c r="A514" t="s">
        <v>32</v>
      </c>
      <c r="B514" s="73" t="str">
        <f>VLOOKUP(C514,'Büyükşehir List'!$C$2:$D$31,2,FALSE)</f>
        <v>AYDIN BÜYÜKŞEHİR</v>
      </c>
      <c r="C514" t="s">
        <v>42</v>
      </c>
      <c r="D514" s="73" t="str">
        <f t="shared" si="11"/>
        <v>AYDIN BÜYÜKŞEHİR/AYDIN</v>
      </c>
      <c r="E514" t="s">
        <v>4450</v>
      </c>
      <c r="F514" t="s">
        <v>4450</v>
      </c>
      <c r="G514" t="s">
        <v>3366</v>
      </c>
      <c r="H514">
        <v>77.8</v>
      </c>
      <c r="I514">
        <v>7.78</v>
      </c>
      <c r="J514">
        <v>0</v>
      </c>
      <c r="K514">
        <v>0</v>
      </c>
      <c r="L514">
        <v>77.8</v>
      </c>
      <c r="M514">
        <v>7.78</v>
      </c>
      <c r="O514" s="79">
        <f>IFERROR(VLOOKUP(D514,'KAPANAN BLD.'!$C$2:$D$793,2,FALSE),0)</f>
        <v>0</v>
      </c>
      <c r="P514" s="79">
        <v>0</v>
      </c>
    </row>
    <row r="515" spans="1:16" x14ac:dyDescent="0.25">
      <c r="A515" t="s">
        <v>32</v>
      </c>
      <c r="B515" s="73" t="str">
        <f>VLOOKUP(C515,'Büyükşehir List'!$C$2:$D$31,2,FALSE)</f>
        <v>AYDIN BÜYÜKŞEHİR</v>
      </c>
      <c r="C515" t="s">
        <v>42</v>
      </c>
      <c r="D515" s="73" t="str">
        <f t="shared" ref="D515:D578" si="13">CONCATENATE(B515,"/",C515)</f>
        <v>AYDIN BÜYÜKŞEHİR/AYDIN</v>
      </c>
      <c r="E515" t="s">
        <v>4450</v>
      </c>
      <c r="F515" t="s">
        <v>4450</v>
      </c>
      <c r="G515" t="s">
        <v>3367</v>
      </c>
      <c r="H515">
        <v>196.1</v>
      </c>
      <c r="I515">
        <v>19.61</v>
      </c>
      <c r="J515">
        <v>0</v>
      </c>
      <c r="K515">
        <v>0</v>
      </c>
      <c r="L515">
        <v>196.1</v>
      </c>
      <c r="M515">
        <v>19.61</v>
      </c>
      <c r="O515" s="79">
        <f>IFERROR(VLOOKUP(D515,'KAPANAN BLD.'!$C$2:$D$793,2,FALSE),0)</f>
        <v>0</v>
      </c>
      <c r="P515" s="79">
        <v>0</v>
      </c>
    </row>
    <row r="516" spans="1:16" x14ac:dyDescent="0.25">
      <c r="A516" t="s">
        <v>32</v>
      </c>
      <c r="B516" s="73" t="str">
        <f>VLOOKUP(C516,'Büyükşehir List'!$C$2:$D$31,2,FALSE)</f>
        <v>AYDIN BÜYÜKŞEHİR</v>
      </c>
      <c r="C516" t="s">
        <v>42</v>
      </c>
      <c r="D516" s="73" t="str">
        <f t="shared" si="13"/>
        <v>AYDIN BÜYÜKŞEHİR/AYDIN</v>
      </c>
      <c r="E516" t="s">
        <v>4374</v>
      </c>
      <c r="F516" t="s">
        <v>4374</v>
      </c>
      <c r="G516" t="s">
        <v>3366</v>
      </c>
      <c r="H516">
        <v>212.4</v>
      </c>
      <c r="I516">
        <v>21.24</v>
      </c>
      <c r="J516">
        <v>0</v>
      </c>
      <c r="K516">
        <v>0</v>
      </c>
      <c r="L516">
        <v>212.4</v>
      </c>
      <c r="M516">
        <v>21.24</v>
      </c>
      <c r="O516" s="79">
        <f>IFERROR(VLOOKUP(D516,'KAPANAN BLD.'!$C$2:$D$793,2,FALSE),0)</f>
        <v>0</v>
      </c>
      <c r="P516" s="79">
        <v>0</v>
      </c>
    </row>
    <row r="517" spans="1:16" x14ac:dyDescent="0.25">
      <c r="A517" t="s">
        <v>32</v>
      </c>
      <c r="B517" s="73" t="str">
        <f>VLOOKUP(C517,'Büyükşehir List'!$C$2:$D$31,2,FALSE)</f>
        <v>AYDIN BÜYÜKŞEHİR</v>
      </c>
      <c r="C517" t="s">
        <v>42</v>
      </c>
      <c r="D517" s="73" t="str">
        <f t="shared" si="13"/>
        <v>AYDIN BÜYÜKŞEHİR/AYDIN</v>
      </c>
      <c r="E517" t="s">
        <v>4374</v>
      </c>
      <c r="F517" t="s">
        <v>4374</v>
      </c>
      <c r="G517" t="s">
        <v>3367</v>
      </c>
      <c r="H517">
        <v>450.5</v>
      </c>
      <c r="I517">
        <v>45.05</v>
      </c>
      <c r="J517">
        <v>0</v>
      </c>
      <c r="K517">
        <v>0</v>
      </c>
      <c r="L517">
        <v>450.5</v>
      </c>
      <c r="M517">
        <v>45.05</v>
      </c>
      <c r="O517" s="79">
        <f>IFERROR(VLOOKUP(D517,'KAPANAN BLD.'!$C$2:$D$793,2,FALSE),0)</f>
        <v>0</v>
      </c>
      <c r="P517" s="79">
        <v>0</v>
      </c>
    </row>
    <row r="518" spans="1:16" x14ac:dyDescent="0.25">
      <c r="A518" t="s">
        <v>32</v>
      </c>
      <c r="B518" s="73" t="str">
        <f>VLOOKUP(C518,'Büyükşehir List'!$C$2:$D$31,2,FALSE)</f>
        <v>AYDIN BÜYÜKŞEHİR</v>
      </c>
      <c r="C518" t="s">
        <v>42</v>
      </c>
      <c r="D518" s="73" t="str">
        <f t="shared" si="13"/>
        <v>AYDIN BÜYÜKŞEHİR/AYDIN</v>
      </c>
      <c r="E518" t="s">
        <v>518</v>
      </c>
      <c r="F518" t="s">
        <v>518</v>
      </c>
      <c r="G518" t="s">
        <v>3367</v>
      </c>
      <c r="H518">
        <v>222.6</v>
      </c>
      <c r="I518">
        <v>22.26</v>
      </c>
      <c r="J518">
        <v>0</v>
      </c>
      <c r="K518">
        <v>0</v>
      </c>
      <c r="L518">
        <v>222.6</v>
      </c>
      <c r="M518">
        <v>22.26</v>
      </c>
      <c r="O518" s="79">
        <f>IFERROR(VLOOKUP(D518,'KAPANAN BLD.'!$C$2:$D$793,2,FALSE),0)</f>
        <v>0</v>
      </c>
      <c r="P518" s="79">
        <v>0</v>
      </c>
    </row>
    <row r="519" spans="1:16" x14ac:dyDescent="0.25">
      <c r="A519" t="s">
        <v>32</v>
      </c>
      <c r="B519" s="73" t="str">
        <f>VLOOKUP(C519,'Büyükşehir List'!$C$2:$D$31,2,FALSE)</f>
        <v>AYDIN BÜYÜKŞEHİR</v>
      </c>
      <c r="C519" t="s">
        <v>42</v>
      </c>
      <c r="D519" s="73" t="str">
        <f t="shared" si="13"/>
        <v>AYDIN BÜYÜKŞEHİR/AYDIN</v>
      </c>
      <c r="E519" t="s">
        <v>518</v>
      </c>
      <c r="F519" t="s">
        <v>518</v>
      </c>
      <c r="G519" t="s">
        <v>3366</v>
      </c>
      <c r="H519">
        <v>49.8</v>
      </c>
      <c r="I519">
        <v>4.9800000000000004</v>
      </c>
      <c r="J519">
        <v>0</v>
      </c>
      <c r="K519">
        <v>0</v>
      </c>
      <c r="L519">
        <v>49.8</v>
      </c>
      <c r="M519">
        <v>4.9800000000000004</v>
      </c>
      <c r="O519" s="79">
        <f>IFERROR(VLOOKUP(D519,'KAPANAN BLD.'!$C$2:$D$793,2,FALSE),0)</f>
        <v>0</v>
      </c>
      <c r="P519" s="79">
        <v>0</v>
      </c>
    </row>
    <row r="520" spans="1:16" x14ac:dyDescent="0.25">
      <c r="A520" t="s">
        <v>32</v>
      </c>
      <c r="B520" s="73" t="str">
        <f>VLOOKUP(C520,'Büyükşehir List'!$C$2:$D$31,2,FALSE)</f>
        <v>AYDIN BÜYÜKŞEHİR</v>
      </c>
      <c r="C520" t="s">
        <v>42</v>
      </c>
      <c r="D520" s="73" t="str">
        <f t="shared" si="13"/>
        <v>AYDIN BÜYÜKŞEHİR/AYDIN</v>
      </c>
      <c r="E520" t="s">
        <v>353</v>
      </c>
      <c r="F520" t="s">
        <v>353</v>
      </c>
      <c r="G520" t="s">
        <v>3366</v>
      </c>
      <c r="H520">
        <v>70.5</v>
      </c>
      <c r="I520">
        <v>7.05</v>
      </c>
      <c r="J520">
        <v>0</v>
      </c>
      <c r="K520">
        <v>0</v>
      </c>
      <c r="L520">
        <v>70.5</v>
      </c>
      <c r="M520">
        <v>7.05</v>
      </c>
      <c r="O520" s="79">
        <f>IFERROR(VLOOKUP(D520,'KAPANAN BLD.'!$C$2:$D$793,2,FALSE),0)</f>
        <v>0</v>
      </c>
      <c r="P520" s="79">
        <v>0</v>
      </c>
    </row>
    <row r="521" spans="1:16" x14ac:dyDescent="0.25">
      <c r="A521" t="s">
        <v>32</v>
      </c>
      <c r="B521" s="73" t="str">
        <f>VLOOKUP(C521,'Büyükşehir List'!$C$2:$D$31,2,FALSE)</f>
        <v>AYDIN BÜYÜKŞEHİR</v>
      </c>
      <c r="C521" t="s">
        <v>42</v>
      </c>
      <c r="D521" s="73" t="str">
        <f t="shared" si="13"/>
        <v>AYDIN BÜYÜKŞEHİR/AYDIN</v>
      </c>
      <c r="E521" t="s">
        <v>353</v>
      </c>
      <c r="F521" t="s">
        <v>353</v>
      </c>
      <c r="G521" t="s">
        <v>3367</v>
      </c>
      <c r="H521">
        <v>804.2</v>
      </c>
      <c r="I521">
        <v>80.42</v>
      </c>
      <c r="J521">
        <v>663.7</v>
      </c>
      <c r="K521">
        <v>66.37</v>
      </c>
      <c r="L521">
        <v>140.5</v>
      </c>
      <c r="M521">
        <v>14.05</v>
      </c>
      <c r="O521" s="79">
        <f>IFERROR(VLOOKUP(D521,'KAPANAN BLD.'!$C$2:$D$793,2,FALSE),0)</f>
        <v>0</v>
      </c>
      <c r="P521" s="79">
        <v>0</v>
      </c>
    </row>
    <row r="522" spans="1:16" x14ac:dyDescent="0.25">
      <c r="A522" t="s">
        <v>32</v>
      </c>
      <c r="B522" s="73" t="str">
        <f>VLOOKUP(C522,'Büyükşehir List'!$C$2:$D$31,2,FALSE)</f>
        <v>AYDIN BÜYÜKŞEHİR</v>
      </c>
      <c r="C522" t="s">
        <v>42</v>
      </c>
      <c r="D522" s="73" t="str">
        <f t="shared" si="13"/>
        <v>AYDIN BÜYÜKŞEHİR/AYDIN</v>
      </c>
      <c r="E522" t="s">
        <v>197</v>
      </c>
      <c r="F522" t="s">
        <v>197</v>
      </c>
      <c r="G522" t="s">
        <v>3367</v>
      </c>
      <c r="H522">
        <v>14151.96</v>
      </c>
      <c r="I522">
        <v>1415.2</v>
      </c>
      <c r="J522">
        <v>653.29999999999995</v>
      </c>
      <c r="K522">
        <v>65.33</v>
      </c>
      <c r="L522">
        <v>13498.66</v>
      </c>
      <c r="M522">
        <v>1349.87</v>
      </c>
      <c r="O522" s="79">
        <f>IFERROR(VLOOKUP(D522,'KAPANAN BLD.'!$C$2:$D$793,2,FALSE),0)</f>
        <v>0</v>
      </c>
      <c r="P522" s="79">
        <v>0</v>
      </c>
    </row>
    <row r="523" spans="1:16" x14ac:dyDescent="0.25">
      <c r="A523" t="s">
        <v>32</v>
      </c>
      <c r="B523" s="73" t="str">
        <f>VLOOKUP(C523,'Büyükşehir List'!$C$2:$D$31,2,FALSE)</f>
        <v>AYDIN BÜYÜKŞEHİR</v>
      </c>
      <c r="C523" t="s">
        <v>42</v>
      </c>
      <c r="D523" s="73" t="str">
        <f t="shared" si="13"/>
        <v>AYDIN BÜYÜKŞEHİR/AYDIN</v>
      </c>
      <c r="E523" t="s">
        <v>197</v>
      </c>
      <c r="F523" t="s">
        <v>197</v>
      </c>
      <c r="G523" t="s">
        <v>3366</v>
      </c>
      <c r="H523">
        <v>20350.740000000002</v>
      </c>
      <c r="I523">
        <v>2035.07</v>
      </c>
      <c r="J523">
        <v>245</v>
      </c>
      <c r="K523">
        <v>24.5</v>
      </c>
      <c r="L523">
        <v>20105.740000000002</v>
      </c>
      <c r="M523">
        <v>2010.57</v>
      </c>
      <c r="O523" s="79">
        <f>IFERROR(VLOOKUP(D523,'KAPANAN BLD.'!$C$2:$D$793,2,FALSE),0)</f>
        <v>0</v>
      </c>
      <c r="P523" s="79">
        <v>0</v>
      </c>
    </row>
    <row r="524" spans="1:16" x14ac:dyDescent="0.25">
      <c r="A524" t="s">
        <v>32</v>
      </c>
      <c r="B524" s="73" t="str">
        <f>VLOOKUP(C524,'Büyükşehir List'!$C$2:$D$31,2,FALSE)</f>
        <v>AYDIN BÜYÜKŞEHİR</v>
      </c>
      <c r="C524" t="s">
        <v>42</v>
      </c>
      <c r="D524" s="73" t="str">
        <f t="shared" si="13"/>
        <v>AYDIN BÜYÜKŞEHİR/AYDIN</v>
      </c>
      <c r="E524" t="s">
        <v>172</v>
      </c>
      <c r="F524" t="s">
        <v>172</v>
      </c>
      <c r="G524" t="s">
        <v>3366</v>
      </c>
      <c r="H524">
        <v>4427.3</v>
      </c>
      <c r="I524">
        <v>442.73</v>
      </c>
      <c r="J524">
        <v>506.1</v>
      </c>
      <c r="K524">
        <v>50.61</v>
      </c>
      <c r="L524">
        <v>3921.2</v>
      </c>
      <c r="M524">
        <v>392.12</v>
      </c>
      <c r="O524" s="79">
        <f>IFERROR(VLOOKUP(D524,'KAPANAN BLD.'!$C$2:$D$793,2,FALSE),0)</f>
        <v>0</v>
      </c>
      <c r="P524" s="79">
        <v>0</v>
      </c>
    </row>
    <row r="525" spans="1:16" x14ac:dyDescent="0.25">
      <c r="A525" t="s">
        <v>32</v>
      </c>
      <c r="B525" s="73" t="str">
        <f>VLOOKUP(C525,'Büyükşehir List'!$C$2:$D$31,2,FALSE)</f>
        <v>AYDIN BÜYÜKŞEHİR</v>
      </c>
      <c r="C525" t="s">
        <v>42</v>
      </c>
      <c r="D525" s="73" t="str">
        <f t="shared" si="13"/>
        <v>AYDIN BÜYÜKŞEHİR/AYDIN</v>
      </c>
      <c r="E525" t="s">
        <v>172</v>
      </c>
      <c r="F525" t="s">
        <v>172</v>
      </c>
      <c r="G525" t="s">
        <v>3367</v>
      </c>
      <c r="H525">
        <v>2921.6</v>
      </c>
      <c r="I525">
        <v>292.16000000000003</v>
      </c>
      <c r="J525">
        <v>50.4</v>
      </c>
      <c r="K525">
        <v>5.04</v>
      </c>
      <c r="L525">
        <v>2871.2</v>
      </c>
      <c r="M525">
        <v>287.12</v>
      </c>
      <c r="O525" s="79">
        <f>IFERROR(VLOOKUP(D525,'KAPANAN BLD.'!$C$2:$D$793,2,FALSE),0)</f>
        <v>0</v>
      </c>
      <c r="P525" s="79">
        <v>0</v>
      </c>
    </row>
    <row r="526" spans="1:16" x14ac:dyDescent="0.25">
      <c r="A526" t="s">
        <v>32</v>
      </c>
      <c r="B526" s="73" t="str">
        <f>VLOOKUP(C526,'Büyükşehir List'!$C$2:$D$31,2,FALSE)</f>
        <v>AYDIN BÜYÜKŞEHİR</v>
      </c>
      <c r="C526" t="s">
        <v>42</v>
      </c>
      <c r="D526" s="73" t="str">
        <f t="shared" si="13"/>
        <v>AYDIN BÜYÜKŞEHİR/AYDIN</v>
      </c>
      <c r="E526" t="s">
        <v>3</v>
      </c>
      <c r="F526" t="s">
        <v>3</v>
      </c>
      <c r="G526" t="s">
        <v>3367</v>
      </c>
      <c r="H526">
        <v>221.5</v>
      </c>
      <c r="I526">
        <v>22.15</v>
      </c>
      <c r="J526">
        <v>0</v>
      </c>
      <c r="K526">
        <v>0</v>
      </c>
      <c r="L526">
        <v>221.5</v>
      </c>
      <c r="M526">
        <v>22.15</v>
      </c>
      <c r="O526" s="79">
        <f>IFERROR(VLOOKUP(D526,'KAPANAN BLD.'!$C$2:$D$793,2,FALSE),0)</f>
        <v>0</v>
      </c>
      <c r="P526" s="79">
        <v>0</v>
      </c>
    </row>
    <row r="527" spans="1:16" x14ac:dyDescent="0.25">
      <c r="A527" t="s">
        <v>32</v>
      </c>
      <c r="B527" s="73" t="str">
        <f>VLOOKUP(C527,'Büyükşehir List'!$C$2:$D$31,2,FALSE)</f>
        <v>AYDIN BÜYÜKŞEHİR</v>
      </c>
      <c r="C527" t="s">
        <v>42</v>
      </c>
      <c r="D527" s="73" t="str">
        <f t="shared" si="13"/>
        <v>AYDIN BÜYÜKŞEHİR/AYDIN</v>
      </c>
      <c r="E527" t="s">
        <v>4298</v>
      </c>
      <c r="F527" t="s">
        <v>4298</v>
      </c>
      <c r="G527" t="s">
        <v>3367</v>
      </c>
      <c r="H527">
        <v>85.1</v>
      </c>
      <c r="I527">
        <v>8.51</v>
      </c>
      <c r="J527">
        <v>0</v>
      </c>
      <c r="K527">
        <v>0</v>
      </c>
      <c r="L527">
        <v>85.1</v>
      </c>
      <c r="M527">
        <v>8.51</v>
      </c>
      <c r="O527" s="79">
        <f>IFERROR(VLOOKUP(D527,'KAPANAN BLD.'!$C$2:$D$793,2,FALSE),0)</f>
        <v>0</v>
      </c>
      <c r="P527" s="79">
        <v>0</v>
      </c>
    </row>
    <row r="528" spans="1:16" x14ac:dyDescent="0.25">
      <c r="A528" t="s">
        <v>32</v>
      </c>
      <c r="B528" s="73" t="str">
        <f>VLOOKUP(C528,'Büyükşehir List'!$C$2:$D$31,2,FALSE)</f>
        <v>AYDIN BÜYÜKŞEHİR</v>
      </c>
      <c r="C528" t="s">
        <v>42</v>
      </c>
      <c r="D528" s="73" t="str">
        <f t="shared" si="13"/>
        <v>AYDIN BÜYÜKŞEHİR/AYDIN</v>
      </c>
      <c r="E528" t="s">
        <v>233</v>
      </c>
      <c r="F528" t="s">
        <v>233</v>
      </c>
      <c r="G528" t="s">
        <v>3367</v>
      </c>
      <c r="H528">
        <v>10771.95</v>
      </c>
      <c r="I528">
        <v>1077.19</v>
      </c>
      <c r="J528">
        <v>1482.4</v>
      </c>
      <c r="K528">
        <v>148.24</v>
      </c>
      <c r="L528">
        <v>9289.5499999999993</v>
      </c>
      <c r="M528">
        <v>928.95</v>
      </c>
      <c r="O528" s="79">
        <f>IFERROR(VLOOKUP(D528,'KAPANAN BLD.'!$C$2:$D$793,2,FALSE),0)</f>
        <v>0</v>
      </c>
      <c r="P528" s="79">
        <v>0</v>
      </c>
    </row>
    <row r="529" spans="1:16" x14ac:dyDescent="0.25">
      <c r="A529" t="s">
        <v>32</v>
      </c>
      <c r="B529" s="73" t="str">
        <f>VLOOKUP(C529,'Büyükşehir List'!$C$2:$D$31,2,FALSE)</f>
        <v>AYDIN BÜYÜKŞEHİR</v>
      </c>
      <c r="C529" t="s">
        <v>42</v>
      </c>
      <c r="D529" s="73" t="str">
        <f t="shared" si="13"/>
        <v>AYDIN BÜYÜKŞEHİR/AYDIN</v>
      </c>
      <c r="E529" t="s">
        <v>233</v>
      </c>
      <c r="F529" t="s">
        <v>233</v>
      </c>
      <c r="G529" t="s">
        <v>3366</v>
      </c>
      <c r="H529">
        <v>7006.74</v>
      </c>
      <c r="I529">
        <v>700.67</v>
      </c>
      <c r="J529">
        <v>6558.3</v>
      </c>
      <c r="K529">
        <v>655.83</v>
      </c>
      <c r="L529">
        <v>448.44</v>
      </c>
      <c r="M529">
        <v>44.84</v>
      </c>
      <c r="O529" s="79">
        <f>IFERROR(VLOOKUP(D529,'KAPANAN BLD.'!$C$2:$D$793,2,FALSE),0)</f>
        <v>0</v>
      </c>
      <c r="P529" s="79">
        <v>0</v>
      </c>
    </row>
    <row r="530" spans="1:16" x14ac:dyDescent="0.25">
      <c r="A530" t="s">
        <v>32</v>
      </c>
      <c r="B530" s="73" t="str">
        <f>VLOOKUP(C530,'Büyükşehir List'!$C$2:$D$31,2,FALSE)</f>
        <v>AYDIN BÜYÜKŞEHİR</v>
      </c>
      <c r="C530" t="s">
        <v>42</v>
      </c>
      <c r="D530" s="73" t="str">
        <f t="shared" si="13"/>
        <v>AYDIN BÜYÜKŞEHİR/AYDIN</v>
      </c>
      <c r="E530" t="s">
        <v>4451</v>
      </c>
      <c r="F530" t="s">
        <v>4451</v>
      </c>
      <c r="G530" t="s">
        <v>3367</v>
      </c>
      <c r="H530">
        <v>36.200000000000003</v>
      </c>
      <c r="I530">
        <v>3.62</v>
      </c>
      <c r="J530">
        <v>0</v>
      </c>
      <c r="K530">
        <v>0</v>
      </c>
      <c r="L530">
        <v>36.200000000000003</v>
      </c>
      <c r="M530">
        <v>3.62</v>
      </c>
      <c r="O530" s="79">
        <f>IFERROR(VLOOKUP(D530,'KAPANAN BLD.'!$C$2:$D$793,2,FALSE),0)</f>
        <v>0</v>
      </c>
      <c r="P530" s="79">
        <v>0</v>
      </c>
    </row>
    <row r="531" spans="1:16" x14ac:dyDescent="0.25">
      <c r="A531" t="s">
        <v>32</v>
      </c>
      <c r="B531" s="73" t="str">
        <f>VLOOKUP(C531,'Büyükşehir List'!$C$2:$D$31,2,FALSE)</f>
        <v>AYDIN BÜYÜKŞEHİR</v>
      </c>
      <c r="C531" t="s">
        <v>42</v>
      </c>
      <c r="D531" s="73" t="str">
        <f t="shared" si="13"/>
        <v>AYDIN BÜYÜKŞEHİR/AYDIN</v>
      </c>
      <c r="E531" t="s">
        <v>4452</v>
      </c>
      <c r="F531" t="s">
        <v>4452</v>
      </c>
      <c r="G531" t="s">
        <v>3366</v>
      </c>
      <c r="H531">
        <v>103.3</v>
      </c>
      <c r="I531">
        <v>10.33</v>
      </c>
      <c r="J531">
        <v>0</v>
      </c>
      <c r="K531">
        <v>0</v>
      </c>
      <c r="L531">
        <v>103.3</v>
      </c>
      <c r="M531">
        <v>10.33</v>
      </c>
      <c r="O531" s="79">
        <f>IFERROR(VLOOKUP(D531,'KAPANAN BLD.'!$C$2:$D$793,2,FALSE),0)</f>
        <v>0</v>
      </c>
      <c r="P531" s="79">
        <v>0</v>
      </c>
    </row>
    <row r="532" spans="1:16" x14ac:dyDescent="0.25">
      <c r="A532" t="s">
        <v>32</v>
      </c>
      <c r="B532" s="73" t="str">
        <f>VLOOKUP(C532,'Büyükşehir List'!$C$2:$D$31,2,FALSE)</f>
        <v>AYDIN BÜYÜKŞEHİR</v>
      </c>
      <c r="C532" t="s">
        <v>42</v>
      </c>
      <c r="D532" s="73" t="str">
        <f t="shared" si="13"/>
        <v>AYDIN BÜYÜKŞEHİR/AYDIN</v>
      </c>
      <c r="E532" t="s">
        <v>4452</v>
      </c>
      <c r="F532" t="s">
        <v>4452</v>
      </c>
      <c r="G532" t="s">
        <v>3367</v>
      </c>
      <c r="H532">
        <v>5.4</v>
      </c>
      <c r="I532">
        <v>0.54</v>
      </c>
      <c r="J532">
        <v>0</v>
      </c>
      <c r="K532">
        <v>0</v>
      </c>
      <c r="L532">
        <v>5.4</v>
      </c>
      <c r="M532">
        <v>0.54</v>
      </c>
      <c r="O532" s="79">
        <f>IFERROR(VLOOKUP(D532,'KAPANAN BLD.'!$C$2:$D$793,2,FALSE),0)</f>
        <v>0</v>
      </c>
      <c r="P532" s="79">
        <v>0</v>
      </c>
    </row>
    <row r="533" spans="1:16" x14ac:dyDescent="0.25">
      <c r="A533" t="s">
        <v>32</v>
      </c>
      <c r="B533" s="73" t="str">
        <f>VLOOKUP(C533,'Büyükşehir List'!$C$2:$D$31,2,FALSE)</f>
        <v>AYDIN BÜYÜKŞEHİR</v>
      </c>
      <c r="C533" t="s">
        <v>42</v>
      </c>
      <c r="D533" s="73" t="str">
        <f t="shared" si="13"/>
        <v>AYDIN BÜYÜKŞEHİR/AYDIN</v>
      </c>
      <c r="E533" t="s">
        <v>314</v>
      </c>
      <c r="F533" t="s">
        <v>314</v>
      </c>
      <c r="G533" t="s">
        <v>3366</v>
      </c>
      <c r="H533">
        <v>516.5</v>
      </c>
      <c r="I533">
        <v>51.65</v>
      </c>
      <c r="J533">
        <v>103.3</v>
      </c>
      <c r="K533">
        <v>10.33</v>
      </c>
      <c r="L533">
        <v>413.2</v>
      </c>
      <c r="M533">
        <v>41.32</v>
      </c>
      <c r="O533" s="79">
        <f>IFERROR(VLOOKUP(D533,'KAPANAN BLD.'!$C$2:$D$793,2,FALSE),0)</f>
        <v>0</v>
      </c>
      <c r="P533" s="79">
        <v>0</v>
      </c>
    </row>
    <row r="534" spans="1:16" x14ac:dyDescent="0.25">
      <c r="A534" t="s">
        <v>32</v>
      </c>
      <c r="B534" s="73" t="str">
        <f>VLOOKUP(C534,'Büyükşehir List'!$C$2:$D$31,2,FALSE)</f>
        <v>AYDIN BÜYÜKŞEHİR</v>
      </c>
      <c r="C534" t="s">
        <v>42</v>
      </c>
      <c r="D534" s="73" t="str">
        <f t="shared" si="13"/>
        <v>AYDIN BÜYÜKŞEHİR/AYDIN</v>
      </c>
      <c r="E534" t="s">
        <v>314</v>
      </c>
      <c r="F534" t="s">
        <v>314</v>
      </c>
      <c r="G534" t="s">
        <v>3367</v>
      </c>
      <c r="H534">
        <v>369.1</v>
      </c>
      <c r="I534">
        <v>36.909999999999997</v>
      </c>
      <c r="J534">
        <v>5.4</v>
      </c>
      <c r="K534">
        <v>0.54</v>
      </c>
      <c r="L534">
        <v>363.7</v>
      </c>
      <c r="M534">
        <v>36.369999999999997</v>
      </c>
      <c r="O534" s="79">
        <f>IFERROR(VLOOKUP(D534,'KAPANAN BLD.'!$C$2:$D$793,2,FALSE),0)</f>
        <v>0</v>
      </c>
      <c r="P534" s="79">
        <v>0</v>
      </c>
    </row>
    <row r="535" spans="1:16" x14ac:dyDescent="0.25">
      <c r="A535" t="s">
        <v>32</v>
      </c>
      <c r="B535" s="73" t="str">
        <f>VLOOKUP(C535,'Büyükşehir List'!$C$2:$D$31,2,FALSE)</f>
        <v>AYDIN BÜYÜKŞEHİR</v>
      </c>
      <c r="C535" t="s">
        <v>42</v>
      </c>
      <c r="D535" s="73" t="str">
        <f t="shared" si="13"/>
        <v>AYDIN BÜYÜKŞEHİR/AYDIN</v>
      </c>
      <c r="E535" t="s">
        <v>3736</v>
      </c>
      <c r="F535" t="s">
        <v>3736</v>
      </c>
      <c r="G535" t="s">
        <v>3366</v>
      </c>
      <c r="H535">
        <v>379.8</v>
      </c>
      <c r="I535">
        <v>37.979999999999997</v>
      </c>
      <c r="J535">
        <v>1442.8</v>
      </c>
      <c r="K535">
        <v>144.28</v>
      </c>
      <c r="L535">
        <v>-1063</v>
      </c>
      <c r="M535">
        <v>-106.3</v>
      </c>
      <c r="O535" s="79">
        <f>IFERROR(VLOOKUP(D535,'KAPANAN BLD.'!$C$2:$D$793,2,FALSE),0)</f>
        <v>0</v>
      </c>
      <c r="P535" s="79">
        <v>0</v>
      </c>
    </row>
    <row r="536" spans="1:16" x14ac:dyDescent="0.25">
      <c r="A536" t="s">
        <v>32</v>
      </c>
      <c r="B536" s="73" t="str">
        <f>VLOOKUP(C536,'Büyükşehir List'!$C$2:$D$31,2,FALSE)</f>
        <v>AYDIN BÜYÜKŞEHİR</v>
      </c>
      <c r="C536" t="s">
        <v>42</v>
      </c>
      <c r="D536" s="73" t="str">
        <f t="shared" si="13"/>
        <v>AYDIN BÜYÜKŞEHİR/AYDIN</v>
      </c>
      <c r="E536" t="s">
        <v>3736</v>
      </c>
      <c r="F536" t="s">
        <v>3736</v>
      </c>
      <c r="G536" t="s">
        <v>3367</v>
      </c>
      <c r="H536">
        <v>2615.4</v>
      </c>
      <c r="I536">
        <v>261.54000000000002</v>
      </c>
      <c r="J536">
        <v>3623.1</v>
      </c>
      <c r="K536">
        <v>362.31</v>
      </c>
      <c r="L536">
        <v>-1007.7</v>
      </c>
      <c r="M536">
        <v>-100.77</v>
      </c>
      <c r="O536" s="79">
        <f>IFERROR(VLOOKUP(D536,'KAPANAN BLD.'!$C$2:$D$793,2,FALSE),0)</f>
        <v>0</v>
      </c>
      <c r="P536" s="79">
        <v>0</v>
      </c>
    </row>
    <row r="537" spans="1:16" x14ac:dyDescent="0.25">
      <c r="A537" t="s">
        <v>32</v>
      </c>
      <c r="B537" s="73" t="str">
        <f>VLOOKUP(C537,'Büyükşehir List'!$C$2:$D$31,2,FALSE)</f>
        <v>AYDIN BÜYÜKŞEHİR</v>
      </c>
      <c r="C537" t="s">
        <v>42</v>
      </c>
      <c r="D537" s="73" t="str">
        <f t="shared" si="13"/>
        <v>AYDIN BÜYÜKŞEHİR/AYDIN</v>
      </c>
      <c r="E537" t="s">
        <v>354</v>
      </c>
      <c r="F537" t="s">
        <v>354</v>
      </c>
      <c r="G537" t="s">
        <v>3367</v>
      </c>
      <c r="H537">
        <v>422.1</v>
      </c>
      <c r="I537">
        <v>42.21</v>
      </c>
      <c r="J537">
        <v>0</v>
      </c>
      <c r="K537">
        <v>0</v>
      </c>
      <c r="L537">
        <v>422.1</v>
      </c>
      <c r="M537">
        <v>42.21</v>
      </c>
      <c r="O537" s="79">
        <f>IFERROR(VLOOKUP(D537,'KAPANAN BLD.'!$C$2:$D$793,2,FALSE),0)</f>
        <v>0</v>
      </c>
      <c r="P537" s="79">
        <v>0</v>
      </c>
    </row>
    <row r="538" spans="1:16" x14ac:dyDescent="0.25">
      <c r="A538" t="s">
        <v>32</v>
      </c>
      <c r="B538" s="73" t="str">
        <f>VLOOKUP(C538,'Büyükşehir List'!$C$2:$D$31,2,FALSE)</f>
        <v>AYDIN BÜYÜKŞEHİR</v>
      </c>
      <c r="C538" t="s">
        <v>42</v>
      </c>
      <c r="D538" s="73" t="str">
        <f t="shared" si="13"/>
        <v>AYDIN BÜYÜKŞEHİR/AYDIN</v>
      </c>
      <c r="E538" t="s">
        <v>354</v>
      </c>
      <c r="F538" t="s">
        <v>354</v>
      </c>
      <c r="G538" t="s">
        <v>3366</v>
      </c>
      <c r="H538">
        <v>311.39999999999998</v>
      </c>
      <c r="I538">
        <v>31.14</v>
      </c>
      <c r="J538">
        <v>0</v>
      </c>
      <c r="K538">
        <v>0</v>
      </c>
      <c r="L538">
        <v>311.39999999999998</v>
      </c>
      <c r="M538">
        <v>31.14</v>
      </c>
      <c r="O538" s="79">
        <f>IFERROR(VLOOKUP(D538,'KAPANAN BLD.'!$C$2:$D$793,2,FALSE),0)</f>
        <v>0</v>
      </c>
      <c r="P538" s="79">
        <v>0</v>
      </c>
    </row>
    <row r="539" spans="1:16" x14ac:dyDescent="0.25">
      <c r="A539" t="s">
        <v>32</v>
      </c>
      <c r="B539" s="73" t="str">
        <f>VLOOKUP(C539,'Büyükşehir List'!$C$2:$D$31,2,FALSE)</f>
        <v>AYDIN BÜYÜKŞEHİR</v>
      </c>
      <c r="C539" t="s">
        <v>42</v>
      </c>
      <c r="D539" s="73" t="str">
        <f t="shared" si="13"/>
        <v>AYDIN BÜYÜKŞEHİR/AYDIN</v>
      </c>
      <c r="E539" t="s">
        <v>519</v>
      </c>
      <c r="F539" t="s">
        <v>519</v>
      </c>
      <c r="G539" t="s">
        <v>3366</v>
      </c>
      <c r="H539">
        <v>379.4</v>
      </c>
      <c r="I539">
        <v>37.94</v>
      </c>
      <c r="J539">
        <v>0</v>
      </c>
      <c r="K539">
        <v>0</v>
      </c>
      <c r="L539">
        <v>379.4</v>
      </c>
      <c r="M539">
        <v>37.94</v>
      </c>
      <c r="O539" s="79">
        <f>IFERROR(VLOOKUP(D539,'KAPANAN BLD.'!$C$2:$D$793,2,FALSE),0)</f>
        <v>0</v>
      </c>
      <c r="P539" s="79">
        <v>0</v>
      </c>
    </row>
    <row r="540" spans="1:16" x14ac:dyDescent="0.25">
      <c r="A540" t="s">
        <v>32</v>
      </c>
      <c r="B540" s="73" t="str">
        <f>VLOOKUP(C540,'Büyükşehir List'!$C$2:$D$31,2,FALSE)</f>
        <v>AYDIN BÜYÜKŞEHİR</v>
      </c>
      <c r="C540" t="s">
        <v>42</v>
      </c>
      <c r="D540" s="73" t="str">
        <f t="shared" si="13"/>
        <v>AYDIN BÜYÜKŞEHİR/AYDIN</v>
      </c>
      <c r="E540" t="s">
        <v>519</v>
      </c>
      <c r="F540" t="s">
        <v>519</v>
      </c>
      <c r="G540" t="s">
        <v>3367</v>
      </c>
      <c r="H540">
        <v>2801.3</v>
      </c>
      <c r="I540">
        <v>280.13</v>
      </c>
      <c r="J540">
        <v>0</v>
      </c>
      <c r="K540">
        <v>0</v>
      </c>
      <c r="L540">
        <v>2801.3</v>
      </c>
      <c r="M540">
        <v>280.13</v>
      </c>
      <c r="O540" s="79">
        <f>IFERROR(VLOOKUP(D540,'KAPANAN BLD.'!$C$2:$D$793,2,FALSE),0)</f>
        <v>0</v>
      </c>
      <c r="P540" s="79">
        <v>0</v>
      </c>
    </row>
    <row r="541" spans="1:16" x14ac:dyDescent="0.25">
      <c r="A541" t="s">
        <v>32</v>
      </c>
      <c r="B541" s="73" t="str">
        <f>VLOOKUP(C541,'Büyükşehir List'!$C$2:$D$31,2,FALSE)</f>
        <v>AYDIN BÜYÜKŞEHİR</v>
      </c>
      <c r="C541" t="s">
        <v>42</v>
      </c>
      <c r="D541" s="73" t="str">
        <f t="shared" si="13"/>
        <v>AYDIN BÜYÜKŞEHİR/AYDIN</v>
      </c>
      <c r="E541" t="s">
        <v>43</v>
      </c>
      <c r="F541" t="s">
        <v>43</v>
      </c>
      <c r="G541" t="s">
        <v>3366</v>
      </c>
      <c r="H541">
        <v>5376.24</v>
      </c>
      <c r="I541">
        <v>537.63</v>
      </c>
      <c r="J541">
        <v>1003.6</v>
      </c>
      <c r="K541">
        <v>100.36</v>
      </c>
      <c r="L541">
        <v>4372.6400000000003</v>
      </c>
      <c r="M541">
        <v>437.27</v>
      </c>
      <c r="O541" s="79">
        <f>IFERROR(VLOOKUP(D541,'KAPANAN BLD.'!$C$2:$D$793,2,FALSE),0)</f>
        <v>0</v>
      </c>
      <c r="P541" s="79">
        <v>0</v>
      </c>
    </row>
    <row r="542" spans="1:16" x14ac:dyDescent="0.25">
      <c r="A542" t="s">
        <v>32</v>
      </c>
      <c r="B542" s="73" t="str">
        <f>VLOOKUP(C542,'Büyükşehir List'!$C$2:$D$31,2,FALSE)</f>
        <v>AYDIN BÜYÜKŞEHİR</v>
      </c>
      <c r="C542" t="s">
        <v>42</v>
      </c>
      <c r="D542" s="73" t="str">
        <f t="shared" si="13"/>
        <v>AYDIN BÜYÜKŞEHİR/AYDIN</v>
      </c>
      <c r="E542" t="s">
        <v>43</v>
      </c>
      <c r="F542" t="s">
        <v>43</v>
      </c>
      <c r="G542" t="s">
        <v>3367</v>
      </c>
      <c r="H542">
        <v>10928.87</v>
      </c>
      <c r="I542">
        <v>1092.8900000000001</v>
      </c>
      <c r="J542">
        <v>2685.5</v>
      </c>
      <c r="K542">
        <v>268.55</v>
      </c>
      <c r="L542">
        <v>8243.3700000000008</v>
      </c>
      <c r="M542">
        <v>824.34</v>
      </c>
      <c r="O542" s="79">
        <f>IFERROR(VLOOKUP(D542,'KAPANAN BLD.'!$C$2:$D$793,2,FALSE),0)</f>
        <v>0</v>
      </c>
      <c r="P542" s="79">
        <v>0</v>
      </c>
    </row>
    <row r="543" spans="1:16" x14ac:dyDescent="0.25">
      <c r="A543" t="s">
        <v>32</v>
      </c>
      <c r="B543" s="73" t="str">
        <f>VLOOKUP(C543,'Büyükşehir List'!$C$2:$D$31,2,FALSE)</f>
        <v>AYDIN BÜYÜKŞEHİR</v>
      </c>
      <c r="C543" t="s">
        <v>42</v>
      </c>
      <c r="D543" s="73" t="str">
        <f t="shared" si="13"/>
        <v>AYDIN BÜYÜKŞEHİR/AYDIN</v>
      </c>
      <c r="E543" t="s">
        <v>520</v>
      </c>
      <c r="F543" t="s">
        <v>520</v>
      </c>
      <c r="G543" t="s">
        <v>3367</v>
      </c>
      <c r="H543">
        <v>356.9</v>
      </c>
      <c r="I543">
        <v>35.69</v>
      </c>
      <c r="J543">
        <v>0</v>
      </c>
      <c r="K543">
        <v>0</v>
      </c>
      <c r="L543">
        <v>356.9</v>
      </c>
      <c r="M543">
        <v>35.69</v>
      </c>
      <c r="O543" s="79">
        <f>IFERROR(VLOOKUP(D543,'KAPANAN BLD.'!$C$2:$D$793,2,FALSE),0)</f>
        <v>0</v>
      </c>
      <c r="P543" s="79">
        <v>0</v>
      </c>
    </row>
    <row r="544" spans="1:16" x14ac:dyDescent="0.25">
      <c r="A544" t="s">
        <v>32</v>
      </c>
      <c r="B544" s="73" t="str">
        <f>VLOOKUP(C544,'Büyükşehir List'!$C$2:$D$31,2,FALSE)</f>
        <v>AYDIN BÜYÜKŞEHİR</v>
      </c>
      <c r="C544" t="s">
        <v>42</v>
      </c>
      <c r="D544" s="73" t="str">
        <f t="shared" si="13"/>
        <v>AYDIN BÜYÜKŞEHİR/AYDIN</v>
      </c>
      <c r="E544" t="s">
        <v>520</v>
      </c>
      <c r="F544" t="s">
        <v>520</v>
      </c>
      <c r="G544" t="s">
        <v>3366</v>
      </c>
      <c r="H544">
        <v>280.89999999999998</v>
      </c>
      <c r="I544">
        <v>28.09</v>
      </c>
      <c r="J544">
        <v>0</v>
      </c>
      <c r="K544">
        <v>0</v>
      </c>
      <c r="L544">
        <v>280.89999999999998</v>
      </c>
      <c r="M544">
        <v>28.09</v>
      </c>
      <c r="O544" s="79">
        <f>IFERROR(VLOOKUP(D544,'KAPANAN BLD.'!$C$2:$D$793,2,FALSE),0)</f>
        <v>0</v>
      </c>
      <c r="P544" s="79">
        <v>0</v>
      </c>
    </row>
    <row r="545" spans="1:16" x14ac:dyDescent="0.25">
      <c r="A545" t="s">
        <v>32</v>
      </c>
      <c r="B545" s="73" t="str">
        <f>VLOOKUP(C545,'Büyükşehir List'!$C$2:$D$31,2,FALSE)</f>
        <v>AYDIN BÜYÜKŞEHİR</v>
      </c>
      <c r="C545" t="s">
        <v>42</v>
      </c>
      <c r="D545" s="73" t="str">
        <f t="shared" si="13"/>
        <v>AYDIN BÜYÜKŞEHİR/AYDIN</v>
      </c>
      <c r="E545" t="s">
        <v>34</v>
      </c>
      <c r="F545" t="s">
        <v>34</v>
      </c>
      <c r="G545" t="s">
        <v>3367</v>
      </c>
      <c r="H545">
        <v>35369.919999999998</v>
      </c>
      <c r="I545">
        <v>3537</v>
      </c>
      <c r="J545">
        <v>1833.51</v>
      </c>
      <c r="K545">
        <v>183.35</v>
      </c>
      <c r="L545">
        <v>33536.410000000003</v>
      </c>
      <c r="M545">
        <v>3353.65</v>
      </c>
      <c r="O545" s="79">
        <f>IFERROR(VLOOKUP(D545,'KAPANAN BLD.'!$C$2:$D$793,2,FALSE),0)</f>
        <v>0</v>
      </c>
      <c r="P545" s="79">
        <v>0</v>
      </c>
    </row>
    <row r="546" spans="1:16" x14ac:dyDescent="0.25">
      <c r="A546" t="s">
        <v>32</v>
      </c>
      <c r="B546" s="73" t="str">
        <f>VLOOKUP(C546,'Büyükşehir List'!$C$2:$D$31,2,FALSE)</f>
        <v>AYDIN BÜYÜKŞEHİR</v>
      </c>
      <c r="C546" t="s">
        <v>42</v>
      </c>
      <c r="D546" s="73" t="str">
        <f t="shared" si="13"/>
        <v>AYDIN BÜYÜKŞEHİR/AYDIN</v>
      </c>
      <c r="E546" t="s">
        <v>34</v>
      </c>
      <c r="F546" t="s">
        <v>34</v>
      </c>
      <c r="G546" t="s">
        <v>3366</v>
      </c>
      <c r="H546">
        <v>38397.29</v>
      </c>
      <c r="I546">
        <v>3839.74</v>
      </c>
      <c r="J546">
        <v>5808.41</v>
      </c>
      <c r="K546">
        <v>580.84</v>
      </c>
      <c r="L546">
        <v>32588.880000000001</v>
      </c>
      <c r="M546">
        <v>3258.9</v>
      </c>
      <c r="O546" s="79">
        <f>IFERROR(VLOOKUP(D546,'KAPANAN BLD.'!$C$2:$D$793,2,FALSE),0)</f>
        <v>0</v>
      </c>
      <c r="P546" s="79">
        <v>0</v>
      </c>
    </row>
    <row r="547" spans="1:16" x14ac:dyDescent="0.25">
      <c r="A547" t="s">
        <v>32</v>
      </c>
      <c r="B547" s="73" t="str">
        <f>VLOOKUP(C547,'Büyükşehir List'!$C$2:$D$31,2,FALSE)</f>
        <v>AYDIN BÜYÜKŞEHİR</v>
      </c>
      <c r="C547" t="s">
        <v>42</v>
      </c>
      <c r="D547" s="73" t="str">
        <f t="shared" si="13"/>
        <v>AYDIN BÜYÜKŞEHİR/AYDIN</v>
      </c>
      <c r="E547" t="s">
        <v>3867</v>
      </c>
      <c r="F547" t="s">
        <v>3867</v>
      </c>
      <c r="G547" t="s">
        <v>3367</v>
      </c>
      <c r="H547">
        <v>297.39999999999998</v>
      </c>
      <c r="I547">
        <v>29.74</v>
      </c>
      <c r="J547">
        <v>117.4</v>
      </c>
      <c r="K547">
        <v>11.74</v>
      </c>
      <c r="L547">
        <v>180</v>
      </c>
      <c r="M547">
        <v>18</v>
      </c>
      <c r="O547" s="79">
        <f>IFERROR(VLOOKUP(D547,'KAPANAN BLD.'!$C$2:$D$793,2,FALSE),0)</f>
        <v>0</v>
      </c>
      <c r="P547" s="79">
        <v>0</v>
      </c>
    </row>
    <row r="548" spans="1:16" x14ac:dyDescent="0.25">
      <c r="A548" t="s">
        <v>32</v>
      </c>
      <c r="B548" s="73" t="str">
        <f>VLOOKUP(C548,'Büyükşehir List'!$C$2:$D$31,2,FALSE)</f>
        <v>AYDIN BÜYÜKŞEHİR</v>
      </c>
      <c r="C548" t="s">
        <v>42</v>
      </c>
      <c r="D548" s="73" t="str">
        <f t="shared" si="13"/>
        <v>AYDIN BÜYÜKŞEHİR/AYDIN</v>
      </c>
      <c r="E548" t="s">
        <v>3867</v>
      </c>
      <c r="F548" t="s">
        <v>3867</v>
      </c>
      <c r="G548" t="s">
        <v>3366</v>
      </c>
      <c r="H548">
        <v>1716.6</v>
      </c>
      <c r="I548">
        <v>171.66</v>
      </c>
      <c r="J548">
        <v>105.4</v>
      </c>
      <c r="K548">
        <v>10.54</v>
      </c>
      <c r="L548">
        <v>1611.2</v>
      </c>
      <c r="M548">
        <v>161.12</v>
      </c>
      <c r="O548" s="79">
        <f>IFERROR(VLOOKUP(D548,'KAPANAN BLD.'!$C$2:$D$793,2,FALSE),0)</f>
        <v>0</v>
      </c>
      <c r="P548" s="79">
        <v>0</v>
      </c>
    </row>
    <row r="549" spans="1:16" x14ac:dyDescent="0.25">
      <c r="A549" t="s">
        <v>32</v>
      </c>
      <c r="B549" s="73" t="str">
        <f>VLOOKUP(C549,'Büyükşehir List'!$C$2:$D$31,2,FALSE)</f>
        <v>AYDIN BÜYÜKŞEHİR</v>
      </c>
      <c r="C549" t="s">
        <v>42</v>
      </c>
      <c r="D549" s="73" t="str">
        <f t="shared" si="13"/>
        <v>AYDIN BÜYÜKŞEHİR/AYDIN</v>
      </c>
      <c r="E549" t="s">
        <v>86</v>
      </c>
      <c r="F549" t="s">
        <v>86</v>
      </c>
      <c r="G549" t="s">
        <v>3366</v>
      </c>
      <c r="H549">
        <v>942.6</v>
      </c>
      <c r="I549">
        <v>94.26</v>
      </c>
      <c r="J549">
        <v>0</v>
      </c>
      <c r="K549">
        <v>0</v>
      </c>
      <c r="L549">
        <v>942.6</v>
      </c>
      <c r="M549">
        <v>94.26</v>
      </c>
      <c r="O549" s="79">
        <f>IFERROR(VLOOKUP(D549,'KAPANAN BLD.'!$C$2:$D$793,2,FALSE),0)</f>
        <v>0</v>
      </c>
      <c r="P549" s="79">
        <v>0</v>
      </c>
    </row>
    <row r="550" spans="1:16" x14ac:dyDescent="0.25">
      <c r="A550" t="s">
        <v>32</v>
      </c>
      <c r="B550" s="73" t="str">
        <f>VLOOKUP(C550,'Büyükşehir List'!$C$2:$D$31,2,FALSE)</f>
        <v>AYDIN BÜYÜKŞEHİR</v>
      </c>
      <c r="C550" t="s">
        <v>42</v>
      </c>
      <c r="D550" s="73" t="str">
        <f t="shared" si="13"/>
        <v>AYDIN BÜYÜKŞEHİR/AYDIN</v>
      </c>
      <c r="E550" t="s">
        <v>86</v>
      </c>
      <c r="F550" t="s">
        <v>86</v>
      </c>
      <c r="G550" t="s">
        <v>3367</v>
      </c>
      <c r="H550">
        <v>2185.1</v>
      </c>
      <c r="I550">
        <v>218.51</v>
      </c>
      <c r="J550">
        <v>0</v>
      </c>
      <c r="K550">
        <v>0</v>
      </c>
      <c r="L550">
        <v>2185.1</v>
      </c>
      <c r="M550">
        <v>218.51</v>
      </c>
      <c r="O550" s="79">
        <f>IFERROR(VLOOKUP(D550,'KAPANAN BLD.'!$C$2:$D$793,2,FALSE),0)</f>
        <v>0</v>
      </c>
      <c r="P550" s="79">
        <v>0</v>
      </c>
    </row>
    <row r="551" spans="1:16" x14ac:dyDescent="0.25">
      <c r="A551" t="s">
        <v>32</v>
      </c>
      <c r="B551" s="73" t="str">
        <f>VLOOKUP(C551,'Büyükşehir List'!$C$2:$D$31,2,FALSE)</f>
        <v>AYDIN BÜYÜKŞEHİR</v>
      </c>
      <c r="C551" t="s">
        <v>42</v>
      </c>
      <c r="D551" s="73" t="str">
        <f t="shared" si="13"/>
        <v>AYDIN BÜYÜKŞEHİR/AYDIN</v>
      </c>
      <c r="E551" t="s">
        <v>4019</v>
      </c>
      <c r="F551" t="s">
        <v>4019</v>
      </c>
      <c r="G551" t="s">
        <v>3367</v>
      </c>
      <c r="H551">
        <v>80.099999999999994</v>
      </c>
      <c r="I551">
        <v>8.01</v>
      </c>
      <c r="J551">
        <v>0</v>
      </c>
      <c r="K551">
        <v>0</v>
      </c>
      <c r="L551">
        <v>80.099999999999994</v>
      </c>
      <c r="M551">
        <v>8.01</v>
      </c>
      <c r="O551" s="79">
        <f>IFERROR(VLOOKUP(D551,'KAPANAN BLD.'!$C$2:$D$793,2,FALSE),0)</f>
        <v>0</v>
      </c>
      <c r="P551" s="79">
        <v>0</v>
      </c>
    </row>
    <row r="552" spans="1:16" x14ac:dyDescent="0.25">
      <c r="A552" t="s">
        <v>32</v>
      </c>
      <c r="B552" s="73" t="str">
        <f>VLOOKUP(C552,'Büyükşehir List'!$C$2:$D$31,2,FALSE)</f>
        <v>AYDIN BÜYÜKŞEHİR</v>
      </c>
      <c r="C552" t="s">
        <v>42</v>
      </c>
      <c r="D552" s="73" t="str">
        <f t="shared" si="13"/>
        <v>AYDIN BÜYÜKŞEHİR/AYDIN</v>
      </c>
      <c r="E552" t="s">
        <v>4019</v>
      </c>
      <c r="F552" t="s">
        <v>4019</v>
      </c>
      <c r="G552" t="s">
        <v>3366</v>
      </c>
      <c r="H552">
        <v>7.5</v>
      </c>
      <c r="I552">
        <v>0.75</v>
      </c>
      <c r="J552">
        <v>0</v>
      </c>
      <c r="K552">
        <v>0</v>
      </c>
      <c r="L552">
        <v>7.5</v>
      </c>
      <c r="M552">
        <v>0.75</v>
      </c>
      <c r="O552" s="79">
        <f>IFERROR(VLOOKUP(D552,'KAPANAN BLD.'!$C$2:$D$793,2,FALSE),0)</f>
        <v>0</v>
      </c>
      <c r="P552" s="79">
        <v>0</v>
      </c>
    </row>
    <row r="553" spans="1:16" x14ac:dyDescent="0.25">
      <c r="A553" t="s">
        <v>32</v>
      </c>
      <c r="B553" s="73" t="str">
        <f>VLOOKUP(C553,'Büyükşehir List'!$C$2:$D$31,2,FALSE)</f>
        <v>AYDIN BÜYÜKŞEHİR</v>
      </c>
      <c r="C553" t="s">
        <v>42</v>
      </c>
      <c r="D553" s="73" t="str">
        <f t="shared" si="13"/>
        <v>AYDIN BÜYÜKŞEHİR/AYDIN</v>
      </c>
      <c r="E553" t="s">
        <v>3737</v>
      </c>
      <c r="F553" t="s">
        <v>3737</v>
      </c>
      <c r="G553" t="s">
        <v>3366</v>
      </c>
      <c r="H553">
        <v>1374</v>
      </c>
      <c r="I553">
        <v>137.4</v>
      </c>
      <c r="J553">
        <v>0</v>
      </c>
      <c r="K553">
        <v>0</v>
      </c>
      <c r="L553">
        <v>1374</v>
      </c>
      <c r="M553">
        <v>137.4</v>
      </c>
      <c r="O553" s="79">
        <f>IFERROR(VLOOKUP(D553,'KAPANAN BLD.'!$C$2:$D$793,2,FALSE),0)</f>
        <v>0</v>
      </c>
      <c r="P553" s="79">
        <v>0</v>
      </c>
    </row>
    <row r="554" spans="1:16" x14ac:dyDescent="0.25">
      <c r="A554" t="s">
        <v>32</v>
      </c>
      <c r="B554" s="73" t="str">
        <f>VLOOKUP(C554,'Büyükşehir List'!$C$2:$D$31,2,FALSE)</f>
        <v>AYDIN BÜYÜKŞEHİR</v>
      </c>
      <c r="C554" t="s">
        <v>42</v>
      </c>
      <c r="D554" s="73" t="str">
        <f t="shared" si="13"/>
        <v>AYDIN BÜYÜKŞEHİR/AYDIN</v>
      </c>
      <c r="E554" t="s">
        <v>3737</v>
      </c>
      <c r="F554" t="s">
        <v>3737</v>
      </c>
      <c r="G554" t="s">
        <v>3367</v>
      </c>
      <c r="H554">
        <v>852.9</v>
      </c>
      <c r="I554">
        <v>85.29</v>
      </c>
      <c r="J554">
        <v>0</v>
      </c>
      <c r="K554">
        <v>0</v>
      </c>
      <c r="L554">
        <v>852.9</v>
      </c>
      <c r="M554">
        <v>85.29</v>
      </c>
      <c r="O554" s="79">
        <f>IFERROR(VLOOKUP(D554,'KAPANAN BLD.'!$C$2:$D$793,2,FALSE),0)</f>
        <v>0</v>
      </c>
      <c r="P554" s="79">
        <v>0</v>
      </c>
    </row>
    <row r="555" spans="1:16" x14ac:dyDescent="0.25">
      <c r="A555" t="s">
        <v>32</v>
      </c>
      <c r="B555" s="73" t="str">
        <f>VLOOKUP(C555,'Büyükşehir List'!$C$2:$D$31,2,FALSE)</f>
        <v>AYDIN BÜYÜKŞEHİR</v>
      </c>
      <c r="C555" t="s">
        <v>42</v>
      </c>
      <c r="D555" s="73" t="str">
        <f t="shared" si="13"/>
        <v>AYDIN BÜYÜKŞEHİR/AYDIN</v>
      </c>
      <c r="E555" t="s">
        <v>3738</v>
      </c>
      <c r="F555" t="s">
        <v>3738</v>
      </c>
      <c r="G555" t="s">
        <v>3367</v>
      </c>
      <c r="H555">
        <v>281.89999999999998</v>
      </c>
      <c r="I555">
        <v>28.19</v>
      </c>
      <c r="J555">
        <v>0</v>
      </c>
      <c r="K555">
        <v>0</v>
      </c>
      <c r="L555">
        <v>281.89999999999998</v>
      </c>
      <c r="M555">
        <v>28.19</v>
      </c>
      <c r="O555" s="79">
        <f>IFERROR(VLOOKUP(D555,'KAPANAN BLD.'!$C$2:$D$793,2,FALSE),0)</f>
        <v>0</v>
      </c>
      <c r="P555" s="79">
        <v>0</v>
      </c>
    </row>
    <row r="556" spans="1:16" x14ac:dyDescent="0.25">
      <c r="A556" t="s">
        <v>32</v>
      </c>
      <c r="B556" s="73" t="str">
        <f>VLOOKUP(C556,'Büyükşehir List'!$C$2:$D$31,2,FALSE)</f>
        <v>AYDIN BÜYÜKŞEHİR</v>
      </c>
      <c r="C556" t="s">
        <v>42</v>
      </c>
      <c r="D556" s="73" t="str">
        <f t="shared" si="13"/>
        <v>AYDIN BÜYÜKŞEHİR/AYDIN</v>
      </c>
      <c r="E556" t="s">
        <v>3738</v>
      </c>
      <c r="F556" t="s">
        <v>3738</v>
      </c>
      <c r="G556" t="s">
        <v>3366</v>
      </c>
      <c r="H556">
        <v>91.6</v>
      </c>
      <c r="I556">
        <v>9.16</v>
      </c>
      <c r="J556">
        <v>0</v>
      </c>
      <c r="K556">
        <v>0</v>
      </c>
      <c r="L556">
        <v>91.6</v>
      </c>
      <c r="M556">
        <v>9.16</v>
      </c>
      <c r="O556" s="79">
        <f>IFERROR(VLOOKUP(D556,'KAPANAN BLD.'!$C$2:$D$793,2,FALSE),0)</f>
        <v>0</v>
      </c>
      <c r="P556" s="79">
        <v>0</v>
      </c>
    </row>
    <row r="557" spans="1:16" x14ac:dyDescent="0.25">
      <c r="A557" t="s">
        <v>32</v>
      </c>
      <c r="B557" s="73" t="str">
        <f>VLOOKUP(C557,'Büyükşehir List'!$C$2:$D$31,2,FALSE)</f>
        <v>AYDIN BÜYÜKŞEHİR</v>
      </c>
      <c r="C557" t="s">
        <v>42</v>
      </c>
      <c r="D557" s="73" t="str">
        <f t="shared" si="13"/>
        <v>AYDIN BÜYÜKŞEHİR/AYDIN</v>
      </c>
      <c r="E557" t="s">
        <v>3739</v>
      </c>
      <c r="F557" t="s">
        <v>3739</v>
      </c>
      <c r="G557" t="s">
        <v>3367</v>
      </c>
      <c r="H557">
        <v>187.7</v>
      </c>
      <c r="I557">
        <v>18.77</v>
      </c>
      <c r="J557">
        <v>0</v>
      </c>
      <c r="K557">
        <v>0</v>
      </c>
      <c r="L557">
        <v>187.7</v>
      </c>
      <c r="M557">
        <v>18.77</v>
      </c>
      <c r="O557" s="79">
        <f>IFERROR(VLOOKUP(D557,'KAPANAN BLD.'!$C$2:$D$793,2,FALSE),0)</f>
        <v>0</v>
      </c>
      <c r="P557" s="79">
        <v>0</v>
      </c>
    </row>
    <row r="558" spans="1:16" x14ac:dyDescent="0.25">
      <c r="A558" t="s">
        <v>32</v>
      </c>
      <c r="B558" s="73" t="str">
        <f>VLOOKUP(C558,'Büyükşehir List'!$C$2:$D$31,2,FALSE)</f>
        <v>AYDIN BÜYÜKŞEHİR</v>
      </c>
      <c r="C558" t="s">
        <v>42</v>
      </c>
      <c r="D558" s="73" t="str">
        <f t="shared" si="13"/>
        <v>AYDIN BÜYÜKŞEHİR/AYDIN</v>
      </c>
      <c r="E558" t="s">
        <v>3739</v>
      </c>
      <c r="F558" t="s">
        <v>3739</v>
      </c>
      <c r="G558" t="s">
        <v>3366</v>
      </c>
      <c r="H558">
        <v>182.6</v>
      </c>
      <c r="I558">
        <v>18.260000000000002</v>
      </c>
      <c r="J558">
        <v>0</v>
      </c>
      <c r="K558">
        <v>0</v>
      </c>
      <c r="L558">
        <v>182.6</v>
      </c>
      <c r="M558">
        <v>18.260000000000002</v>
      </c>
      <c r="O558" s="79">
        <f>IFERROR(VLOOKUP(D558,'KAPANAN BLD.'!$C$2:$D$793,2,FALSE),0)</f>
        <v>0</v>
      </c>
      <c r="P558" s="79">
        <v>0</v>
      </c>
    </row>
    <row r="559" spans="1:16" x14ac:dyDescent="0.25">
      <c r="A559" t="s">
        <v>32</v>
      </c>
      <c r="B559" s="73" t="str">
        <f>VLOOKUP(C559,'Büyükşehir List'!$C$2:$D$31,2,FALSE)</f>
        <v>AYDIN BÜYÜKŞEHİR</v>
      </c>
      <c r="C559" t="s">
        <v>42</v>
      </c>
      <c r="D559" s="73" t="str">
        <f t="shared" si="13"/>
        <v>AYDIN BÜYÜKŞEHİR/AYDIN</v>
      </c>
      <c r="E559" t="s">
        <v>3740</v>
      </c>
      <c r="F559" t="s">
        <v>3740</v>
      </c>
      <c r="G559" t="s">
        <v>3366</v>
      </c>
      <c r="H559">
        <v>31325.1</v>
      </c>
      <c r="I559">
        <v>3132.51</v>
      </c>
      <c r="J559">
        <v>0</v>
      </c>
      <c r="K559">
        <v>0</v>
      </c>
      <c r="L559">
        <v>31325.1</v>
      </c>
      <c r="M559">
        <v>3132.51</v>
      </c>
      <c r="O559" s="79">
        <f>IFERROR(VLOOKUP(D559,'KAPANAN BLD.'!$C$2:$D$793,2,FALSE),0)</f>
        <v>0</v>
      </c>
      <c r="P559" s="79">
        <v>0</v>
      </c>
    </row>
    <row r="560" spans="1:16" x14ac:dyDescent="0.25">
      <c r="A560" t="s">
        <v>32</v>
      </c>
      <c r="B560" s="73" t="str">
        <f>VLOOKUP(C560,'Büyükşehir List'!$C$2:$D$31,2,FALSE)</f>
        <v>AYDIN BÜYÜKŞEHİR</v>
      </c>
      <c r="C560" t="s">
        <v>42</v>
      </c>
      <c r="D560" s="73" t="str">
        <f t="shared" si="13"/>
        <v>AYDIN BÜYÜKŞEHİR/AYDIN</v>
      </c>
      <c r="E560" t="s">
        <v>3740</v>
      </c>
      <c r="F560" t="s">
        <v>3740</v>
      </c>
      <c r="G560" t="s">
        <v>3367</v>
      </c>
      <c r="H560">
        <v>979.5</v>
      </c>
      <c r="I560">
        <v>97.95</v>
      </c>
      <c r="J560">
        <v>0</v>
      </c>
      <c r="K560">
        <v>0</v>
      </c>
      <c r="L560">
        <v>979.5</v>
      </c>
      <c r="M560">
        <v>97.95</v>
      </c>
      <c r="O560" s="79">
        <f>IFERROR(VLOOKUP(D560,'KAPANAN BLD.'!$C$2:$D$793,2,FALSE),0)</f>
        <v>0</v>
      </c>
      <c r="P560" s="79">
        <v>0</v>
      </c>
    </row>
    <row r="561" spans="1:16" x14ac:dyDescent="0.25">
      <c r="A561" t="s">
        <v>32</v>
      </c>
      <c r="B561" s="73" t="str">
        <f>VLOOKUP(C561,'Büyükşehir List'!$C$2:$D$31,2,FALSE)</f>
        <v>AYDIN BÜYÜKŞEHİR</v>
      </c>
      <c r="C561" t="s">
        <v>42</v>
      </c>
      <c r="D561" s="73" t="str">
        <f t="shared" si="13"/>
        <v>AYDIN BÜYÜKŞEHİR/AYDIN</v>
      </c>
      <c r="E561" t="s">
        <v>166</v>
      </c>
      <c r="F561" t="s">
        <v>166</v>
      </c>
      <c r="G561" t="s">
        <v>3366</v>
      </c>
      <c r="H561">
        <v>396.5</v>
      </c>
      <c r="I561">
        <v>39.65</v>
      </c>
      <c r="J561">
        <v>184.5</v>
      </c>
      <c r="K561">
        <v>18.45</v>
      </c>
      <c r="L561">
        <v>212</v>
      </c>
      <c r="M561">
        <v>21.2</v>
      </c>
      <c r="O561" s="79">
        <f>IFERROR(VLOOKUP(D561,'KAPANAN BLD.'!$C$2:$D$793,2,FALSE),0)</f>
        <v>0</v>
      </c>
      <c r="P561" s="79">
        <v>0</v>
      </c>
    </row>
    <row r="562" spans="1:16" x14ac:dyDescent="0.25">
      <c r="A562" t="s">
        <v>32</v>
      </c>
      <c r="B562" s="73" t="str">
        <f>VLOOKUP(C562,'Büyükşehir List'!$C$2:$D$31,2,FALSE)</f>
        <v>AYDIN BÜYÜKŞEHİR</v>
      </c>
      <c r="C562" t="s">
        <v>42</v>
      </c>
      <c r="D562" s="73" t="str">
        <f t="shared" si="13"/>
        <v>AYDIN BÜYÜKŞEHİR/AYDIN</v>
      </c>
      <c r="E562" t="s">
        <v>166</v>
      </c>
      <c r="F562" t="s">
        <v>166</v>
      </c>
      <c r="G562" t="s">
        <v>3367</v>
      </c>
      <c r="H562">
        <v>896</v>
      </c>
      <c r="I562">
        <v>89.6</v>
      </c>
      <c r="J562">
        <v>203.6</v>
      </c>
      <c r="K562">
        <v>20.36</v>
      </c>
      <c r="L562">
        <v>692.4</v>
      </c>
      <c r="M562">
        <v>69.239999999999995</v>
      </c>
      <c r="O562" s="79">
        <f>IFERROR(VLOOKUP(D562,'KAPANAN BLD.'!$C$2:$D$793,2,FALSE),0)</f>
        <v>0</v>
      </c>
      <c r="P562" s="79">
        <v>0</v>
      </c>
    </row>
    <row r="563" spans="1:16" x14ac:dyDescent="0.25">
      <c r="A563" t="s">
        <v>32</v>
      </c>
      <c r="B563" s="73" t="str">
        <f>VLOOKUP(C563,'Büyükşehir List'!$C$2:$D$31,2,FALSE)</f>
        <v>AYDIN BÜYÜKŞEHİR</v>
      </c>
      <c r="C563" t="s">
        <v>42</v>
      </c>
      <c r="D563" s="73" t="str">
        <f t="shared" si="13"/>
        <v>AYDIN BÜYÜKŞEHİR/AYDIN</v>
      </c>
      <c r="E563" t="s">
        <v>522</v>
      </c>
      <c r="F563" t="s">
        <v>522</v>
      </c>
      <c r="G563" t="s">
        <v>3367</v>
      </c>
      <c r="H563">
        <v>45</v>
      </c>
      <c r="I563">
        <v>4.5</v>
      </c>
      <c r="J563">
        <v>0</v>
      </c>
      <c r="K563">
        <v>0</v>
      </c>
      <c r="L563">
        <v>45</v>
      </c>
      <c r="M563">
        <v>4.5</v>
      </c>
      <c r="O563" s="79">
        <f>IFERROR(VLOOKUP(D563,'KAPANAN BLD.'!$C$2:$D$793,2,FALSE),0)</f>
        <v>0</v>
      </c>
      <c r="P563" s="79">
        <v>0</v>
      </c>
    </row>
    <row r="564" spans="1:16" x14ac:dyDescent="0.25">
      <c r="A564" t="s">
        <v>32</v>
      </c>
      <c r="B564" s="73" t="str">
        <f>VLOOKUP(C564,'Büyükşehir List'!$C$2:$D$31,2,FALSE)</f>
        <v>AYDIN BÜYÜKŞEHİR</v>
      </c>
      <c r="C564" t="s">
        <v>42</v>
      </c>
      <c r="D564" s="73" t="str">
        <f t="shared" si="13"/>
        <v>AYDIN BÜYÜKŞEHİR/AYDIN</v>
      </c>
      <c r="E564" t="s">
        <v>522</v>
      </c>
      <c r="F564" t="s">
        <v>522</v>
      </c>
      <c r="G564" t="s">
        <v>3366</v>
      </c>
      <c r="H564">
        <v>402.8</v>
      </c>
      <c r="I564">
        <v>40.28</v>
      </c>
      <c r="J564">
        <v>0</v>
      </c>
      <c r="K564">
        <v>0</v>
      </c>
      <c r="L564">
        <v>402.8</v>
      </c>
      <c r="M564">
        <v>40.28</v>
      </c>
      <c r="O564" s="79">
        <f>IFERROR(VLOOKUP(D564,'KAPANAN BLD.'!$C$2:$D$793,2,FALSE),0)</f>
        <v>0</v>
      </c>
      <c r="P564" s="79">
        <v>0</v>
      </c>
    </row>
    <row r="565" spans="1:16" x14ac:dyDescent="0.25">
      <c r="A565" t="s">
        <v>32</v>
      </c>
      <c r="B565" s="73" t="str">
        <f>VLOOKUP(C565,'Büyükşehir List'!$C$2:$D$31,2,FALSE)</f>
        <v>BALIKESİR BÜYÜKŞEHİR</v>
      </c>
      <c r="C565" t="s">
        <v>44</v>
      </c>
      <c r="D565" s="73" t="str">
        <f t="shared" si="13"/>
        <v>BALIKESİR BÜYÜKŞEHİR/BALIKESİR</v>
      </c>
      <c r="E565" t="s">
        <v>286</v>
      </c>
      <c r="F565" t="s">
        <v>286</v>
      </c>
      <c r="G565" t="s">
        <v>3367</v>
      </c>
      <c r="H565">
        <v>5820.6</v>
      </c>
      <c r="I565">
        <v>582.05999999999995</v>
      </c>
      <c r="J565">
        <v>872.9</v>
      </c>
      <c r="K565">
        <v>87.29</v>
      </c>
      <c r="L565">
        <v>4947.7</v>
      </c>
      <c r="M565">
        <v>494.77</v>
      </c>
      <c r="O565" s="79">
        <f>IFERROR(VLOOKUP(D565,'KAPANAN BLD.'!$C$2:$D$793,2,FALSE),0)</f>
        <v>0</v>
      </c>
      <c r="P565" s="79">
        <v>0</v>
      </c>
    </row>
    <row r="566" spans="1:16" x14ac:dyDescent="0.25">
      <c r="A566" t="s">
        <v>32</v>
      </c>
      <c r="B566" s="73" t="str">
        <f>VLOOKUP(C566,'Büyükşehir List'!$C$2:$D$31,2,FALSE)</f>
        <v>BALIKESİR BÜYÜKŞEHİR</v>
      </c>
      <c r="C566" t="s">
        <v>44</v>
      </c>
      <c r="D566" s="73" t="str">
        <f t="shared" si="13"/>
        <v>BALIKESİR BÜYÜKŞEHİR/BALIKESİR</v>
      </c>
      <c r="E566" t="s">
        <v>286</v>
      </c>
      <c r="F566" t="s">
        <v>286</v>
      </c>
      <c r="G566" t="s">
        <v>3366</v>
      </c>
      <c r="H566">
        <v>2295</v>
      </c>
      <c r="I566">
        <v>229.5</v>
      </c>
      <c r="J566">
        <v>10148.200000000001</v>
      </c>
      <c r="K566">
        <v>1014.82</v>
      </c>
      <c r="L566">
        <v>-7853.2</v>
      </c>
      <c r="M566">
        <v>-785.32</v>
      </c>
      <c r="O566" s="79">
        <f>IFERROR(VLOOKUP(D566,'KAPANAN BLD.'!$C$2:$D$793,2,FALSE),0)</f>
        <v>0</v>
      </c>
      <c r="P566" s="79">
        <v>0</v>
      </c>
    </row>
    <row r="567" spans="1:16" x14ac:dyDescent="0.25">
      <c r="A567" t="s">
        <v>32</v>
      </c>
      <c r="B567" s="73" t="str">
        <f>VLOOKUP(C567,'Büyükşehir List'!$C$2:$D$31,2,FALSE)</f>
        <v>BALIKESİR BÜYÜKŞEHİR</v>
      </c>
      <c r="C567" t="s">
        <v>44</v>
      </c>
      <c r="D567" s="73" t="str">
        <f t="shared" si="13"/>
        <v>BALIKESİR BÜYÜKŞEHİR/BALIKESİR</v>
      </c>
      <c r="E567" t="s">
        <v>3741</v>
      </c>
      <c r="F567" t="s">
        <v>3741</v>
      </c>
      <c r="G567" t="s">
        <v>3366</v>
      </c>
      <c r="H567">
        <v>10833.6</v>
      </c>
      <c r="I567">
        <v>1083.3599999999999</v>
      </c>
      <c r="J567">
        <v>459.4</v>
      </c>
      <c r="K567">
        <v>45.94</v>
      </c>
      <c r="L567">
        <v>10374.200000000001</v>
      </c>
      <c r="M567">
        <v>1037.42</v>
      </c>
      <c r="O567" s="79">
        <f>IFERROR(VLOOKUP(D567,'KAPANAN BLD.'!$C$2:$D$793,2,FALSE),0)</f>
        <v>0</v>
      </c>
      <c r="P567" s="79">
        <v>0</v>
      </c>
    </row>
    <row r="568" spans="1:16" x14ac:dyDescent="0.25">
      <c r="A568" t="s">
        <v>32</v>
      </c>
      <c r="B568" s="73" t="str">
        <f>VLOOKUP(C568,'Büyükşehir List'!$C$2:$D$31,2,FALSE)</f>
        <v>BALIKESİR BÜYÜKŞEHİR</v>
      </c>
      <c r="C568" t="s">
        <v>44</v>
      </c>
      <c r="D568" s="73" t="str">
        <f t="shared" si="13"/>
        <v>BALIKESİR BÜYÜKŞEHİR/BALIKESİR</v>
      </c>
      <c r="E568" t="s">
        <v>3741</v>
      </c>
      <c r="F568" t="s">
        <v>3741</v>
      </c>
      <c r="G568" t="s">
        <v>3367</v>
      </c>
      <c r="H568">
        <v>3020.5</v>
      </c>
      <c r="I568">
        <v>302.05</v>
      </c>
      <c r="J568">
        <v>329.7</v>
      </c>
      <c r="K568">
        <v>32.97</v>
      </c>
      <c r="L568">
        <v>2690.8</v>
      </c>
      <c r="M568">
        <v>269.08</v>
      </c>
      <c r="O568" s="79">
        <f>IFERROR(VLOOKUP(D568,'KAPANAN BLD.'!$C$2:$D$793,2,FALSE),0)</f>
        <v>0</v>
      </c>
      <c r="P568" s="79">
        <v>0</v>
      </c>
    </row>
    <row r="569" spans="1:16" x14ac:dyDescent="0.25">
      <c r="A569" t="s">
        <v>32</v>
      </c>
      <c r="B569" s="73" t="str">
        <f>VLOOKUP(C569,'Büyükşehir List'!$C$2:$D$31,2,FALSE)</f>
        <v>BALIKESİR BÜYÜKŞEHİR</v>
      </c>
      <c r="C569" t="s">
        <v>44</v>
      </c>
      <c r="D569" s="73" t="str">
        <f t="shared" si="13"/>
        <v>BALIKESİR BÜYÜKŞEHİR/BALIKESİR</v>
      </c>
      <c r="E569" t="s">
        <v>157</v>
      </c>
      <c r="F569" t="s">
        <v>157</v>
      </c>
      <c r="G569" t="s">
        <v>3366</v>
      </c>
      <c r="H569">
        <v>5281</v>
      </c>
      <c r="I569">
        <v>528.1</v>
      </c>
      <c r="J569">
        <v>1143.3</v>
      </c>
      <c r="K569">
        <v>114.33</v>
      </c>
      <c r="L569">
        <v>4137.7</v>
      </c>
      <c r="M569">
        <v>413.77</v>
      </c>
      <c r="O569" s="79">
        <f>IFERROR(VLOOKUP(D569,'KAPANAN BLD.'!$C$2:$D$793,2,FALSE),0)</f>
        <v>0</v>
      </c>
      <c r="P569" s="79">
        <v>0</v>
      </c>
    </row>
    <row r="570" spans="1:16" x14ac:dyDescent="0.25">
      <c r="A570" t="s">
        <v>32</v>
      </c>
      <c r="B570" s="73" t="str">
        <f>VLOOKUP(C570,'Büyükşehir List'!$C$2:$D$31,2,FALSE)</f>
        <v>BALIKESİR BÜYÜKŞEHİR</v>
      </c>
      <c r="C570" t="s">
        <v>44</v>
      </c>
      <c r="D570" s="73" t="str">
        <f t="shared" si="13"/>
        <v>BALIKESİR BÜYÜKŞEHİR/BALIKESİR</v>
      </c>
      <c r="E570" t="s">
        <v>157</v>
      </c>
      <c r="F570" t="s">
        <v>157</v>
      </c>
      <c r="G570" t="s">
        <v>3367</v>
      </c>
      <c r="H570">
        <v>8361.7999999999993</v>
      </c>
      <c r="I570">
        <v>836.18</v>
      </c>
      <c r="J570">
        <v>3648.9</v>
      </c>
      <c r="K570">
        <v>364.89</v>
      </c>
      <c r="L570">
        <v>4712.8999999999996</v>
      </c>
      <c r="M570">
        <v>471.29</v>
      </c>
      <c r="O570" s="79">
        <f>IFERROR(VLOOKUP(D570,'KAPANAN BLD.'!$C$2:$D$793,2,FALSE),0)</f>
        <v>0</v>
      </c>
      <c r="P570" s="79">
        <v>0</v>
      </c>
    </row>
    <row r="571" spans="1:16" x14ac:dyDescent="0.25">
      <c r="A571" t="s">
        <v>32</v>
      </c>
      <c r="B571" s="73" t="str">
        <f>VLOOKUP(C571,'Büyükşehir List'!$C$2:$D$31,2,FALSE)</f>
        <v>BALIKESİR BÜYÜKŞEHİR</v>
      </c>
      <c r="C571" t="s">
        <v>44</v>
      </c>
      <c r="D571" s="73" t="str">
        <f t="shared" si="13"/>
        <v>BALIKESİR BÜYÜKŞEHİR/BALIKESİR</v>
      </c>
      <c r="E571" t="s">
        <v>183</v>
      </c>
      <c r="F571" t="s">
        <v>183</v>
      </c>
      <c r="G571" t="s">
        <v>3367</v>
      </c>
      <c r="H571">
        <v>3258.6</v>
      </c>
      <c r="I571">
        <v>325.86</v>
      </c>
      <c r="J571">
        <v>259.2</v>
      </c>
      <c r="K571">
        <v>25.92</v>
      </c>
      <c r="L571">
        <v>2999.4</v>
      </c>
      <c r="M571">
        <v>299.94</v>
      </c>
      <c r="O571" s="79">
        <f>IFERROR(VLOOKUP(D571,'KAPANAN BLD.'!$C$2:$D$793,2,FALSE),0)</f>
        <v>0</v>
      </c>
      <c r="P571" s="79">
        <v>0</v>
      </c>
    </row>
    <row r="572" spans="1:16" x14ac:dyDescent="0.25">
      <c r="A572" t="s">
        <v>32</v>
      </c>
      <c r="B572" s="73" t="str">
        <f>VLOOKUP(C572,'Büyükşehir List'!$C$2:$D$31,2,FALSE)</f>
        <v>BALIKESİR BÜYÜKŞEHİR</v>
      </c>
      <c r="C572" t="s">
        <v>44</v>
      </c>
      <c r="D572" s="73" t="str">
        <f t="shared" si="13"/>
        <v>BALIKESİR BÜYÜKŞEHİR/BALIKESİR</v>
      </c>
      <c r="E572" t="s">
        <v>183</v>
      </c>
      <c r="F572" t="s">
        <v>183</v>
      </c>
      <c r="G572" t="s">
        <v>3366</v>
      </c>
      <c r="H572">
        <v>2886.7</v>
      </c>
      <c r="I572">
        <v>288.67</v>
      </c>
      <c r="J572">
        <v>810.4</v>
      </c>
      <c r="K572">
        <v>81.040000000000006</v>
      </c>
      <c r="L572">
        <v>2076.3000000000002</v>
      </c>
      <c r="M572">
        <v>207.63</v>
      </c>
      <c r="O572" s="79">
        <f>IFERROR(VLOOKUP(D572,'KAPANAN BLD.'!$C$2:$D$793,2,FALSE),0)</f>
        <v>0</v>
      </c>
      <c r="P572" s="79">
        <v>0</v>
      </c>
    </row>
    <row r="573" spans="1:16" x14ac:dyDescent="0.25">
      <c r="A573" t="s">
        <v>32</v>
      </c>
      <c r="B573" s="73" t="str">
        <f>VLOOKUP(C573,'Büyükşehir List'!$C$2:$D$31,2,FALSE)</f>
        <v>BALIKESİR BÜYÜKŞEHİR</v>
      </c>
      <c r="C573" t="s">
        <v>44</v>
      </c>
      <c r="D573" s="73" t="str">
        <f t="shared" si="13"/>
        <v>BALIKESİR BÜYÜKŞEHİR/BALIKESİR</v>
      </c>
      <c r="E573" t="s">
        <v>3742</v>
      </c>
      <c r="F573" t="s">
        <v>3742</v>
      </c>
      <c r="G573" t="s">
        <v>3366</v>
      </c>
      <c r="H573">
        <v>1338.4</v>
      </c>
      <c r="I573">
        <v>133.84</v>
      </c>
      <c r="J573">
        <v>206.4</v>
      </c>
      <c r="K573">
        <v>20.64</v>
      </c>
      <c r="L573">
        <v>1132</v>
      </c>
      <c r="M573">
        <v>113.2</v>
      </c>
      <c r="O573" s="79">
        <f>IFERROR(VLOOKUP(D573,'KAPANAN BLD.'!$C$2:$D$793,2,FALSE),0)</f>
        <v>0</v>
      </c>
      <c r="P573" s="79">
        <v>0</v>
      </c>
    </row>
    <row r="574" spans="1:16" x14ac:dyDescent="0.25">
      <c r="A574" t="s">
        <v>32</v>
      </c>
      <c r="B574" s="73" t="str">
        <f>VLOOKUP(C574,'Büyükşehir List'!$C$2:$D$31,2,FALSE)</f>
        <v>BALIKESİR BÜYÜKŞEHİR</v>
      </c>
      <c r="C574" t="s">
        <v>44</v>
      </c>
      <c r="D574" s="73" t="str">
        <f t="shared" si="13"/>
        <v>BALIKESİR BÜYÜKŞEHİR/BALIKESİR</v>
      </c>
      <c r="E574" t="s">
        <v>3742</v>
      </c>
      <c r="F574" t="s">
        <v>3742</v>
      </c>
      <c r="G574" t="s">
        <v>3367</v>
      </c>
      <c r="H574">
        <v>2631.9</v>
      </c>
      <c r="I574">
        <v>263.19</v>
      </c>
      <c r="J574">
        <v>276</v>
      </c>
      <c r="K574">
        <v>27.6</v>
      </c>
      <c r="L574">
        <v>2355.9</v>
      </c>
      <c r="M574">
        <v>235.59</v>
      </c>
      <c r="O574" s="79">
        <f>IFERROR(VLOOKUP(D574,'KAPANAN BLD.'!$C$2:$D$793,2,FALSE),0)</f>
        <v>0</v>
      </c>
      <c r="P574" s="79">
        <v>0</v>
      </c>
    </row>
    <row r="575" spans="1:16" x14ac:dyDescent="0.25">
      <c r="A575" t="s">
        <v>32</v>
      </c>
      <c r="B575" s="73" t="str">
        <f>VLOOKUP(C575,'Büyükşehir List'!$C$2:$D$31,2,FALSE)</f>
        <v>BALIKESİR BÜYÜKŞEHİR</v>
      </c>
      <c r="C575" t="s">
        <v>44</v>
      </c>
      <c r="D575" s="73" t="str">
        <f t="shared" si="13"/>
        <v>BALIKESİR BÜYÜKŞEHİR/BALIKESİR</v>
      </c>
      <c r="E575" t="s">
        <v>45</v>
      </c>
      <c r="F575" t="s">
        <v>45</v>
      </c>
      <c r="G575" t="s">
        <v>3367</v>
      </c>
      <c r="H575">
        <v>15209.45</v>
      </c>
      <c r="I575">
        <v>1520.95</v>
      </c>
      <c r="J575">
        <v>406.55</v>
      </c>
      <c r="K575">
        <v>40.659999999999997</v>
      </c>
      <c r="L575">
        <v>14802.9</v>
      </c>
      <c r="M575">
        <v>1480.29</v>
      </c>
      <c r="O575" s="79">
        <f>IFERROR(VLOOKUP(D575,'KAPANAN BLD.'!$C$2:$D$793,2,FALSE),0)</f>
        <v>0</v>
      </c>
      <c r="P575" s="79">
        <v>0</v>
      </c>
    </row>
    <row r="576" spans="1:16" x14ac:dyDescent="0.25">
      <c r="A576" t="s">
        <v>32</v>
      </c>
      <c r="B576" s="73" t="str">
        <f>VLOOKUP(C576,'Büyükşehir List'!$C$2:$D$31,2,FALSE)</f>
        <v>BALIKESİR BÜYÜKŞEHİR</v>
      </c>
      <c r="C576" t="s">
        <v>44</v>
      </c>
      <c r="D576" s="73" t="str">
        <f t="shared" si="13"/>
        <v>BALIKESİR BÜYÜKŞEHİR/BALIKESİR</v>
      </c>
      <c r="E576" t="s">
        <v>45</v>
      </c>
      <c r="F576" t="s">
        <v>45</v>
      </c>
      <c r="G576" t="s">
        <v>3366</v>
      </c>
      <c r="H576">
        <v>11669.14</v>
      </c>
      <c r="I576">
        <v>1166.9100000000001</v>
      </c>
      <c r="J576">
        <v>194.64</v>
      </c>
      <c r="K576">
        <v>19.46</v>
      </c>
      <c r="L576">
        <v>11474.5</v>
      </c>
      <c r="M576">
        <v>1147.45</v>
      </c>
      <c r="O576" s="79">
        <f>IFERROR(VLOOKUP(D576,'KAPANAN BLD.'!$C$2:$D$793,2,FALSE),0)</f>
        <v>0</v>
      </c>
      <c r="P576" s="79">
        <v>0</v>
      </c>
    </row>
    <row r="577" spans="1:16" x14ac:dyDescent="0.25">
      <c r="A577" t="s">
        <v>32</v>
      </c>
      <c r="B577" s="73" t="str">
        <f>VLOOKUP(C577,'Büyükşehir List'!$C$2:$D$31,2,FALSE)</f>
        <v>BALIKESİR BÜYÜKŞEHİR</v>
      </c>
      <c r="C577" t="s">
        <v>44</v>
      </c>
      <c r="D577" s="73" t="str">
        <f t="shared" si="13"/>
        <v>BALIKESİR BÜYÜKŞEHİR/BALIKESİR</v>
      </c>
      <c r="E577" t="s">
        <v>523</v>
      </c>
      <c r="F577" t="s">
        <v>523</v>
      </c>
      <c r="G577" t="s">
        <v>3366</v>
      </c>
      <c r="H577">
        <v>908.9</v>
      </c>
      <c r="I577">
        <v>90.89</v>
      </c>
      <c r="J577">
        <v>0</v>
      </c>
      <c r="K577">
        <v>0</v>
      </c>
      <c r="L577">
        <v>908.9</v>
      </c>
      <c r="M577">
        <v>90.89</v>
      </c>
      <c r="O577" s="79">
        <f>IFERROR(VLOOKUP(D577,'KAPANAN BLD.'!$C$2:$D$793,2,FALSE),0)</f>
        <v>0</v>
      </c>
      <c r="P577" s="79">
        <v>0</v>
      </c>
    </row>
    <row r="578" spans="1:16" x14ac:dyDescent="0.25">
      <c r="A578" t="s">
        <v>32</v>
      </c>
      <c r="B578" s="73" t="str">
        <f>VLOOKUP(C578,'Büyükşehir List'!$C$2:$D$31,2,FALSE)</f>
        <v>BALIKESİR BÜYÜKŞEHİR</v>
      </c>
      <c r="C578" t="s">
        <v>44</v>
      </c>
      <c r="D578" s="73" t="str">
        <f t="shared" si="13"/>
        <v>BALIKESİR BÜYÜKŞEHİR/BALIKESİR</v>
      </c>
      <c r="E578" t="s">
        <v>523</v>
      </c>
      <c r="F578" t="s">
        <v>523</v>
      </c>
      <c r="G578" t="s">
        <v>3367</v>
      </c>
      <c r="H578">
        <v>95.4</v>
      </c>
      <c r="I578">
        <v>9.5399999999999991</v>
      </c>
      <c r="J578">
        <v>0</v>
      </c>
      <c r="K578">
        <v>0</v>
      </c>
      <c r="L578">
        <v>95.4</v>
      </c>
      <c r="M578">
        <v>9.5399999999999991</v>
      </c>
      <c r="O578" s="79">
        <f>IFERROR(VLOOKUP(D578,'KAPANAN BLD.'!$C$2:$D$793,2,FALSE),0)</f>
        <v>0</v>
      </c>
      <c r="P578" s="79">
        <v>0</v>
      </c>
    </row>
    <row r="579" spans="1:16" x14ac:dyDescent="0.25">
      <c r="A579" t="s">
        <v>32</v>
      </c>
      <c r="B579" s="73" t="str">
        <f>VLOOKUP(C579,'Büyükşehir List'!$C$2:$D$31,2,FALSE)</f>
        <v>BALIKESİR BÜYÜKŞEHİR</v>
      </c>
      <c r="C579" t="s">
        <v>44</v>
      </c>
      <c r="D579" s="73" t="str">
        <f t="shared" ref="D579:D642" si="14">CONCATENATE(B579,"/",C579)</f>
        <v>BALIKESİR BÜYÜKŞEHİR/BALIKESİR</v>
      </c>
      <c r="E579" t="s">
        <v>198</v>
      </c>
      <c r="F579" t="s">
        <v>198</v>
      </c>
      <c r="G579" t="s">
        <v>3367</v>
      </c>
      <c r="H579">
        <v>5230.43</v>
      </c>
      <c r="I579">
        <v>523.04</v>
      </c>
      <c r="J579">
        <v>217.3</v>
      </c>
      <c r="K579">
        <v>21.73</v>
      </c>
      <c r="L579">
        <v>5013.13</v>
      </c>
      <c r="M579">
        <v>501.31</v>
      </c>
      <c r="O579" s="79">
        <f>IFERROR(VLOOKUP(D579,'KAPANAN BLD.'!$C$2:$D$793,2,FALSE),0)</f>
        <v>0</v>
      </c>
      <c r="P579" s="79">
        <v>0</v>
      </c>
    </row>
    <row r="580" spans="1:16" x14ac:dyDescent="0.25">
      <c r="A580" t="s">
        <v>32</v>
      </c>
      <c r="B580" s="73" t="str">
        <f>VLOOKUP(C580,'Büyükşehir List'!$C$2:$D$31,2,FALSE)</f>
        <v>BALIKESİR BÜYÜKŞEHİR</v>
      </c>
      <c r="C580" t="s">
        <v>44</v>
      </c>
      <c r="D580" s="73" t="str">
        <f t="shared" si="14"/>
        <v>BALIKESİR BÜYÜKŞEHİR/BALIKESİR</v>
      </c>
      <c r="E580" t="s">
        <v>198</v>
      </c>
      <c r="F580" t="s">
        <v>198</v>
      </c>
      <c r="G580" t="s">
        <v>3366</v>
      </c>
      <c r="H580">
        <v>10254.17</v>
      </c>
      <c r="I580">
        <v>1025.42</v>
      </c>
      <c r="J580">
        <v>513.4</v>
      </c>
      <c r="K580">
        <v>51.34</v>
      </c>
      <c r="L580">
        <v>9740.77</v>
      </c>
      <c r="M580">
        <v>974.08</v>
      </c>
      <c r="O580" s="79">
        <f>IFERROR(VLOOKUP(D580,'KAPANAN BLD.'!$C$2:$D$793,2,FALSE),0)</f>
        <v>0</v>
      </c>
      <c r="P580" s="79">
        <v>0</v>
      </c>
    </row>
    <row r="581" spans="1:16" x14ac:dyDescent="0.25">
      <c r="A581" t="s">
        <v>32</v>
      </c>
      <c r="B581" s="73" t="str">
        <f>VLOOKUP(C581,'Büyükşehir List'!$C$2:$D$31,2,FALSE)</f>
        <v>BALIKESİR BÜYÜKŞEHİR</v>
      </c>
      <c r="C581" t="s">
        <v>44</v>
      </c>
      <c r="D581" s="73" t="str">
        <f t="shared" si="14"/>
        <v>BALIKESİR BÜYÜKŞEHİR/BALIKESİR</v>
      </c>
      <c r="E581" t="s">
        <v>524</v>
      </c>
      <c r="F581" t="s">
        <v>524</v>
      </c>
      <c r="G581" t="s">
        <v>3366</v>
      </c>
      <c r="H581">
        <v>805.6</v>
      </c>
      <c r="I581">
        <v>80.56</v>
      </c>
      <c r="J581">
        <v>0</v>
      </c>
      <c r="K581">
        <v>0</v>
      </c>
      <c r="L581">
        <v>805.6</v>
      </c>
      <c r="M581">
        <v>80.56</v>
      </c>
      <c r="O581" s="79">
        <f>IFERROR(VLOOKUP(D581,'KAPANAN BLD.'!$C$2:$D$793,2,FALSE),0)</f>
        <v>0</v>
      </c>
      <c r="P581" s="79">
        <v>0</v>
      </c>
    </row>
    <row r="582" spans="1:16" x14ac:dyDescent="0.25">
      <c r="A582" t="s">
        <v>32</v>
      </c>
      <c r="B582" s="73" t="str">
        <f>VLOOKUP(C582,'Büyükşehir List'!$C$2:$D$31,2,FALSE)</f>
        <v>BALIKESİR BÜYÜKŞEHİR</v>
      </c>
      <c r="C582" t="s">
        <v>44</v>
      </c>
      <c r="D582" s="73" t="str">
        <f t="shared" si="14"/>
        <v>BALIKESİR BÜYÜKŞEHİR/BALIKESİR</v>
      </c>
      <c r="E582" t="s">
        <v>524</v>
      </c>
      <c r="F582" t="s">
        <v>524</v>
      </c>
      <c r="G582" t="s">
        <v>3367</v>
      </c>
      <c r="H582">
        <v>90</v>
      </c>
      <c r="I582">
        <v>9</v>
      </c>
      <c r="J582">
        <v>0</v>
      </c>
      <c r="K582">
        <v>0</v>
      </c>
      <c r="L582">
        <v>90</v>
      </c>
      <c r="M582">
        <v>9</v>
      </c>
      <c r="O582" s="79">
        <f>IFERROR(VLOOKUP(D582,'KAPANAN BLD.'!$C$2:$D$793,2,FALSE),0)</f>
        <v>0</v>
      </c>
      <c r="P582" s="79">
        <v>0</v>
      </c>
    </row>
    <row r="583" spans="1:16" x14ac:dyDescent="0.25">
      <c r="A583" t="s">
        <v>32</v>
      </c>
      <c r="B583" s="73" t="str">
        <f>VLOOKUP(C583,'Büyükşehir List'!$C$2:$D$31,2,FALSE)</f>
        <v>BALIKESİR BÜYÜKŞEHİR</v>
      </c>
      <c r="C583" t="s">
        <v>44</v>
      </c>
      <c r="D583" s="73" t="str">
        <f t="shared" si="14"/>
        <v>BALIKESİR BÜYÜKŞEHİR/BALIKESİR</v>
      </c>
      <c r="E583" t="s">
        <v>46</v>
      </c>
      <c r="F583" t="s">
        <v>46</v>
      </c>
      <c r="G583" t="s">
        <v>3367</v>
      </c>
      <c r="H583">
        <v>4260.8999999999996</v>
      </c>
      <c r="I583">
        <v>426.09</v>
      </c>
      <c r="J583">
        <v>335.3</v>
      </c>
      <c r="K583">
        <v>33.53</v>
      </c>
      <c r="L583">
        <v>3925.6</v>
      </c>
      <c r="M583">
        <v>392.56</v>
      </c>
      <c r="O583" s="79">
        <f>IFERROR(VLOOKUP(D583,'KAPANAN BLD.'!$C$2:$D$793,2,FALSE),0)</f>
        <v>0</v>
      </c>
      <c r="P583" s="79">
        <v>0</v>
      </c>
    </row>
    <row r="584" spans="1:16" x14ac:dyDescent="0.25">
      <c r="A584" t="s">
        <v>32</v>
      </c>
      <c r="B584" s="73" t="str">
        <f>VLOOKUP(C584,'Büyükşehir List'!$C$2:$D$31,2,FALSE)</f>
        <v>BALIKESİR BÜYÜKŞEHİR</v>
      </c>
      <c r="C584" t="s">
        <v>44</v>
      </c>
      <c r="D584" s="73" t="str">
        <f t="shared" si="14"/>
        <v>BALIKESİR BÜYÜKŞEHİR/BALIKESİR</v>
      </c>
      <c r="E584" t="s">
        <v>46</v>
      </c>
      <c r="F584" t="s">
        <v>46</v>
      </c>
      <c r="G584" t="s">
        <v>3366</v>
      </c>
      <c r="H584">
        <v>1192</v>
      </c>
      <c r="I584">
        <v>119.2</v>
      </c>
      <c r="J584">
        <v>181.9</v>
      </c>
      <c r="K584">
        <v>18.190000000000001</v>
      </c>
      <c r="L584">
        <v>1010.1</v>
      </c>
      <c r="M584">
        <v>101.01</v>
      </c>
      <c r="O584" s="79">
        <f>IFERROR(VLOOKUP(D584,'KAPANAN BLD.'!$C$2:$D$793,2,FALSE),0)</f>
        <v>0</v>
      </c>
      <c r="P584" s="79">
        <v>0</v>
      </c>
    </row>
    <row r="585" spans="1:16" x14ac:dyDescent="0.25">
      <c r="A585" t="s">
        <v>32</v>
      </c>
      <c r="B585" s="73" t="str">
        <f>VLOOKUP(C585,'Büyükşehir List'!$C$2:$D$31,2,FALSE)</f>
        <v>BALIKESİR BÜYÜKŞEHİR</v>
      </c>
      <c r="C585" t="s">
        <v>44</v>
      </c>
      <c r="D585" s="73" t="str">
        <f t="shared" si="14"/>
        <v>BALIKESİR BÜYÜKŞEHİR/BALIKESİR</v>
      </c>
      <c r="E585" t="s">
        <v>4284</v>
      </c>
      <c r="F585" t="s">
        <v>4284</v>
      </c>
      <c r="G585" t="s">
        <v>3366</v>
      </c>
      <c r="H585">
        <v>402.8</v>
      </c>
      <c r="I585">
        <v>40.28</v>
      </c>
      <c r="J585">
        <v>0</v>
      </c>
      <c r="K585">
        <v>0</v>
      </c>
      <c r="L585">
        <v>402.8</v>
      </c>
      <c r="M585">
        <v>40.28</v>
      </c>
      <c r="O585" s="79">
        <f>IFERROR(VLOOKUP(D585,'KAPANAN BLD.'!$C$2:$D$793,2,FALSE),0)</f>
        <v>0</v>
      </c>
      <c r="P585" s="79">
        <v>0</v>
      </c>
    </row>
    <row r="586" spans="1:16" x14ac:dyDescent="0.25">
      <c r="A586" t="s">
        <v>32</v>
      </c>
      <c r="B586" s="73" t="str">
        <f>VLOOKUP(C586,'Büyükşehir List'!$C$2:$D$31,2,FALSE)</f>
        <v>BALIKESİR BÜYÜKŞEHİR</v>
      </c>
      <c r="C586" t="s">
        <v>44</v>
      </c>
      <c r="D586" s="73" t="str">
        <f t="shared" si="14"/>
        <v>BALIKESİR BÜYÜKŞEHİR/BALIKESİR</v>
      </c>
      <c r="E586" t="s">
        <v>4284</v>
      </c>
      <c r="F586" t="s">
        <v>4284</v>
      </c>
      <c r="G586" t="s">
        <v>3367</v>
      </c>
      <c r="H586">
        <v>45</v>
      </c>
      <c r="I586">
        <v>4.5</v>
      </c>
      <c r="J586">
        <v>0</v>
      </c>
      <c r="K586">
        <v>0</v>
      </c>
      <c r="L586">
        <v>45</v>
      </c>
      <c r="M586">
        <v>4.5</v>
      </c>
      <c r="O586" s="79">
        <f>IFERROR(VLOOKUP(D586,'KAPANAN BLD.'!$C$2:$D$793,2,FALSE),0)</f>
        <v>0</v>
      </c>
      <c r="P586" s="79">
        <v>0</v>
      </c>
    </row>
    <row r="587" spans="1:16" x14ac:dyDescent="0.25">
      <c r="A587" t="s">
        <v>32</v>
      </c>
      <c r="B587" s="73" t="str">
        <f>VLOOKUP(C587,'Büyükşehir List'!$C$2:$D$31,2,FALSE)</f>
        <v>BALIKESİR BÜYÜKŞEHİR</v>
      </c>
      <c r="C587" t="s">
        <v>44</v>
      </c>
      <c r="D587" s="73" t="str">
        <f t="shared" si="14"/>
        <v>BALIKESİR BÜYÜKŞEHİR/BALIKESİR</v>
      </c>
      <c r="E587" t="s">
        <v>434</v>
      </c>
      <c r="F587" t="s">
        <v>434</v>
      </c>
      <c r="G587" t="s">
        <v>3366</v>
      </c>
      <c r="H587">
        <v>232</v>
      </c>
      <c r="I587">
        <v>23.2</v>
      </c>
      <c r="J587">
        <v>0</v>
      </c>
      <c r="K587">
        <v>0</v>
      </c>
      <c r="L587">
        <v>232</v>
      </c>
      <c r="M587">
        <v>23.2</v>
      </c>
      <c r="O587" s="79">
        <f>IFERROR(VLOOKUP(D587,'KAPANAN BLD.'!$C$2:$D$793,2,FALSE),0)</f>
        <v>0</v>
      </c>
      <c r="P587" s="79">
        <v>0</v>
      </c>
    </row>
    <row r="588" spans="1:16" x14ac:dyDescent="0.25">
      <c r="A588" t="s">
        <v>32</v>
      </c>
      <c r="B588" s="73" t="str">
        <f>VLOOKUP(C588,'Büyükşehir List'!$C$2:$D$31,2,FALSE)</f>
        <v>BALIKESİR BÜYÜKŞEHİR</v>
      </c>
      <c r="C588" t="s">
        <v>44</v>
      </c>
      <c r="D588" s="73" t="str">
        <f t="shared" si="14"/>
        <v>BALIKESİR BÜYÜKŞEHİR/BALIKESİR</v>
      </c>
      <c r="E588" t="s">
        <v>434</v>
      </c>
      <c r="F588" t="s">
        <v>434</v>
      </c>
      <c r="G588" t="s">
        <v>3367</v>
      </c>
      <c r="H588">
        <v>194.2</v>
      </c>
      <c r="I588">
        <v>19.420000000000002</v>
      </c>
      <c r="J588">
        <v>0</v>
      </c>
      <c r="K588">
        <v>0</v>
      </c>
      <c r="L588">
        <v>194.2</v>
      </c>
      <c r="M588">
        <v>19.420000000000002</v>
      </c>
      <c r="O588" s="79">
        <f>IFERROR(VLOOKUP(D588,'KAPANAN BLD.'!$C$2:$D$793,2,FALSE),0)</f>
        <v>0</v>
      </c>
      <c r="P588" s="79">
        <v>0</v>
      </c>
    </row>
    <row r="589" spans="1:16" x14ac:dyDescent="0.25">
      <c r="A589" t="s">
        <v>32</v>
      </c>
      <c r="B589" s="73" t="str">
        <f>VLOOKUP(C589,'Büyükşehir List'!$C$2:$D$31,2,FALSE)</f>
        <v>BALIKESİR BÜYÜKŞEHİR</v>
      </c>
      <c r="C589" t="s">
        <v>44</v>
      </c>
      <c r="D589" s="73" t="str">
        <f t="shared" si="14"/>
        <v>BALIKESİR BÜYÜKŞEHİR/BALIKESİR</v>
      </c>
      <c r="E589" t="s">
        <v>3743</v>
      </c>
      <c r="F589" t="s">
        <v>3743</v>
      </c>
      <c r="G589" t="s">
        <v>3367</v>
      </c>
      <c r="H589">
        <v>7847.06</v>
      </c>
      <c r="I589">
        <v>784.71</v>
      </c>
      <c r="J589">
        <v>212.3</v>
      </c>
      <c r="K589">
        <v>21.23</v>
      </c>
      <c r="L589">
        <v>7634.76</v>
      </c>
      <c r="M589">
        <v>763.48</v>
      </c>
      <c r="O589" s="79">
        <f>IFERROR(VLOOKUP(D589,'KAPANAN BLD.'!$C$2:$D$793,2,FALSE),0)</f>
        <v>0</v>
      </c>
      <c r="P589" s="79">
        <v>0</v>
      </c>
    </row>
    <row r="590" spans="1:16" x14ac:dyDescent="0.25">
      <c r="A590" t="s">
        <v>32</v>
      </c>
      <c r="B590" s="73" t="str">
        <f>VLOOKUP(C590,'Büyükşehir List'!$C$2:$D$31,2,FALSE)</f>
        <v>BALIKESİR BÜYÜKŞEHİR</v>
      </c>
      <c r="C590" t="s">
        <v>44</v>
      </c>
      <c r="D590" s="73" t="str">
        <f t="shared" si="14"/>
        <v>BALIKESİR BÜYÜKŞEHİR/BALIKESİR</v>
      </c>
      <c r="E590" t="s">
        <v>3743</v>
      </c>
      <c r="F590" t="s">
        <v>3743</v>
      </c>
      <c r="G590" t="s">
        <v>3366</v>
      </c>
      <c r="H590">
        <v>8725.7999999999993</v>
      </c>
      <c r="I590">
        <v>872.58</v>
      </c>
      <c r="J590">
        <v>151.9</v>
      </c>
      <c r="K590">
        <v>15.19</v>
      </c>
      <c r="L590">
        <v>8573.9</v>
      </c>
      <c r="M590">
        <v>857.39</v>
      </c>
      <c r="O590" s="79">
        <f>IFERROR(VLOOKUP(D590,'KAPANAN BLD.'!$C$2:$D$793,2,FALSE),0)</f>
        <v>0</v>
      </c>
      <c r="P590" s="79">
        <v>0</v>
      </c>
    </row>
    <row r="591" spans="1:16" x14ac:dyDescent="0.25">
      <c r="A591" t="s">
        <v>32</v>
      </c>
      <c r="B591" s="73" t="str">
        <f>VLOOKUP(C591,'Büyükşehir List'!$C$2:$D$31,2,FALSE)</f>
        <v>BALIKESİR BÜYÜKŞEHİR</v>
      </c>
      <c r="C591" t="s">
        <v>44</v>
      </c>
      <c r="D591" s="73" t="str">
        <f t="shared" si="14"/>
        <v>BALIKESİR BÜYÜKŞEHİR/BALIKESİR</v>
      </c>
      <c r="E591" t="s">
        <v>47</v>
      </c>
      <c r="F591" t="s">
        <v>47</v>
      </c>
      <c r="G591" t="s">
        <v>3367</v>
      </c>
      <c r="H591">
        <v>3461.3</v>
      </c>
      <c r="I591">
        <v>346.13</v>
      </c>
      <c r="J591">
        <v>548.5</v>
      </c>
      <c r="K591">
        <v>54.85</v>
      </c>
      <c r="L591">
        <v>2912.8</v>
      </c>
      <c r="M591">
        <v>291.27999999999997</v>
      </c>
      <c r="O591" s="79">
        <f>IFERROR(VLOOKUP(D591,'KAPANAN BLD.'!$C$2:$D$793,2,FALSE),0)</f>
        <v>0</v>
      </c>
      <c r="P591" s="79">
        <v>0</v>
      </c>
    </row>
    <row r="592" spans="1:16" x14ac:dyDescent="0.25">
      <c r="A592" t="s">
        <v>32</v>
      </c>
      <c r="B592" s="73" t="str">
        <f>VLOOKUP(C592,'Büyükşehir List'!$C$2:$D$31,2,FALSE)</f>
        <v>BALIKESİR BÜYÜKŞEHİR</v>
      </c>
      <c r="C592" t="s">
        <v>44</v>
      </c>
      <c r="D592" s="73" t="str">
        <f t="shared" si="14"/>
        <v>BALIKESİR BÜYÜKŞEHİR/BALIKESİR</v>
      </c>
      <c r="E592" t="s">
        <v>47</v>
      </c>
      <c r="F592" t="s">
        <v>47</v>
      </c>
      <c r="G592" t="s">
        <v>3366</v>
      </c>
      <c r="H592">
        <v>1922.6</v>
      </c>
      <c r="I592">
        <v>192.26</v>
      </c>
      <c r="J592">
        <v>901.6</v>
      </c>
      <c r="K592">
        <v>90.16</v>
      </c>
      <c r="L592">
        <v>1021</v>
      </c>
      <c r="M592">
        <v>102.1</v>
      </c>
      <c r="O592" s="79">
        <f>IFERROR(VLOOKUP(D592,'KAPANAN BLD.'!$C$2:$D$793,2,FALSE),0)</f>
        <v>0</v>
      </c>
      <c r="P592" s="79">
        <v>0</v>
      </c>
    </row>
    <row r="593" spans="1:16" x14ac:dyDescent="0.25">
      <c r="A593" t="s">
        <v>32</v>
      </c>
      <c r="B593" s="73" t="str">
        <f>VLOOKUP(C593,'Büyükşehir List'!$C$2:$D$31,2,FALSE)</f>
        <v>BALIKESİR BÜYÜKŞEHİR</v>
      </c>
      <c r="C593" t="s">
        <v>44</v>
      </c>
      <c r="D593" s="73" t="str">
        <f t="shared" si="14"/>
        <v>BALIKESİR BÜYÜKŞEHİR/BALIKESİR</v>
      </c>
      <c r="E593" t="s">
        <v>158</v>
      </c>
      <c r="F593" t="s">
        <v>158</v>
      </c>
      <c r="G593" t="s">
        <v>3367</v>
      </c>
      <c r="H593">
        <v>1771.6</v>
      </c>
      <c r="I593">
        <v>177.16</v>
      </c>
      <c r="J593">
        <v>122.3</v>
      </c>
      <c r="K593">
        <v>12.23</v>
      </c>
      <c r="L593">
        <v>1649.3</v>
      </c>
      <c r="M593">
        <v>164.93</v>
      </c>
      <c r="O593" s="79">
        <f>IFERROR(VLOOKUP(D593,'KAPANAN BLD.'!$C$2:$D$793,2,FALSE),0)</f>
        <v>0</v>
      </c>
      <c r="P593" s="79">
        <v>0</v>
      </c>
    </row>
    <row r="594" spans="1:16" x14ac:dyDescent="0.25">
      <c r="A594" t="s">
        <v>32</v>
      </c>
      <c r="B594" s="73" t="str">
        <f>VLOOKUP(C594,'Büyükşehir List'!$C$2:$D$31,2,FALSE)</f>
        <v>BALIKESİR BÜYÜKŞEHİR</v>
      </c>
      <c r="C594" t="s">
        <v>44</v>
      </c>
      <c r="D594" s="73" t="str">
        <f t="shared" si="14"/>
        <v>BALIKESİR BÜYÜKŞEHİR/BALIKESİR</v>
      </c>
      <c r="E594" t="s">
        <v>158</v>
      </c>
      <c r="F594" t="s">
        <v>158</v>
      </c>
      <c r="G594" t="s">
        <v>3366</v>
      </c>
      <c r="H594">
        <v>1587.5</v>
      </c>
      <c r="I594">
        <v>158.75</v>
      </c>
      <c r="J594">
        <v>529.5</v>
      </c>
      <c r="K594">
        <v>52.95</v>
      </c>
      <c r="L594">
        <v>1058</v>
      </c>
      <c r="M594">
        <v>105.8</v>
      </c>
      <c r="O594" s="79">
        <f>IFERROR(VLOOKUP(D594,'KAPANAN BLD.'!$C$2:$D$793,2,FALSE),0)</f>
        <v>0</v>
      </c>
      <c r="P594" s="79">
        <v>0</v>
      </c>
    </row>
    <row r="595" spans="1:16" x14ac:dyDescent="0.25">
      <c r="A595" t="s">
        <v>32</v>
      </c>
      <c r="B595" s="73" t="str">
        <f>VLOOKUP(C595,'Büyükşehir List'!$C$2:$D$31,2,FALSE)</f>
        <v>BALIKESİR BÜYÜKŞEHİR</v>
      </c>
      <c r="C595" t="s">
        <v>44</v>
      </c>
      <c r="D595" s="73" t="str">
        <f t="shared" si="14"/>
        <v>BALIKESİR BÜYÜKŞEHİR/BALIKESİR</v>
      </c>
      <c r="E595" t="s">
        <v>4047</v>
      </c>
      <c r="F595" t="s">
        <v>4047</v>
      </c>
      <c r="G595" t="s">
        <v>3366</v>
      </c>
      <c r="H595">
        <v>103.3</v>
      </c>
      <c r="I595">
        <v>10.33</v>
      </c>
      <c r="J595">
        <v>0</v>
      </c>
      <c r="K595">
        <v>0</v>
      </c>
      <c r="L595">
        <v>103.3</v>
      </c>
      <c r="M595">
        <v>10.33</v>
      </c>
      <c r="O595" s="79">
        <f>IFERROR(VLOOKUP(D595,'KAPANAN BLD.'!$C$2:$D$793,2,FALSE),0)</f>
        <v>0</v>
      </c>
      <c r="P595" s="79">
        <v>0</v>
      </c>
    </row>
    <row r="596" spans="1:16" x14ac:dyDescent="0.25">
      <c r="A596" t="s">
        <v>32</v>
      </c>
      <c r="B596" s="73" t="str">
        <f>VLOOKUP(C596,'Büyükşehir List'!$C$2:$D$31,2,FALSE)</f>
        <v>BALIKESİR BÜYÜKŞEHİR</v>
      </c>
      <c r="C596" t="s">
        <v>44</v>
      </c>
      <c r="D596" s="73" t="str">
        <f t="shared" si="14"/>
        <v>BALIKESİR BÜYÜKŞEHİR/BALIKESİR</v>
      </c>
      <c r="E596" t="s">
        <v>4047</v>
      </c>
      <c r="F596" t="s">
        <v>4047</v>
      </c>
      <c r="G596" t="s">
        <v>3367</v>
      </c>
      <c r="H596">
        <v>5.4</v>
      </c>
      <c r="I596">
        <v>0.54</v>
      </c>
      <c r="J596">
        <v>0</v>
      </c>
      <c r="K596">
        <v>0</v>
      </c>
      <c r="L596">
        <v>5.4</v>
      </c>
      <c r="M596">
        <v>0.54</v>
      </c>
      <c r="O596" s="79">
        <f>IFERROR(VLOOKUP(D596,'KAPANAN BLD.'!$C$2:$D$793,2,FALSE),0)</f>
        <v>0</v>
      </c>
      <c r="P596" s="79">
        <v>0</v>
      </c>
    </row>
    <row r="597" spans="1:16" x14ac:dyDescent="0.25">
      <c r="A597" t="s">
        <v>32</v>
      </c>
      <c r="B597" s="73" t="str">
        <f>VLOOKUP(C597,'Büyükşehir List'!$C$2:$D$31,2,FALSE)</f>
        <v>BALIKESİR BÜYÜKŞEHİR</v>
      </c>
      <c r="C597" t="s">
        <v>44</v>
      </c>
      <c r="D597" s="73" t="str">
        <f t="shared" si="14"/>
        <v>BALIKESİR BÜYÜKŞEHİR/BALIKESİR</v>
      </c>
      <c r="E597" t="s">
        <v>3744</v>
      </c>
      <c r="F597" t="s">
        <v>3744</v>
      </c>
      <c r="G597" t="s">
        <v>3367</v>
      </c>
      <c r="H597">
        <v>1850.6</v>
      </c>
      <c r="I597">
        <v>185.06</v>
      </c>
      <c r="J597">
        <v>4.0999999999999996</v>
      </c>
      <c r="K597">
        <v>0.41</v>
      </c>
      <c r="L597">
        <v>1846.5</v>
      </c>
      <c r="M597">
        <v>184.65</v>
      </c>
      <c r="O597" s="79">
        <f>IFERROR(VLOOKUP(D597,'KAPANAN BLD.'!$C$2:$D$793,2,FALSE),0)</f>
        <v>0</v>
      </c>
      <c r="P597" s="79">
        <v>0</v>
      </c>
    </row>
    <row r="598" spans="1:16" x14ac:dyDescent="0.25">
      <c r="A598" t="s">
        <v>32</v>
      </c>
      <c r="B598" s="73" t="str">
        <f>VLOOKUP(C598,'Büyükşehir List'!$C$2:$D$31,2,FALSE)</f>
        <v>BALIKESİR BÜYÜKŞEHİR</v>
      </c>
      <c r="C598" t="s">
        <v>44</v>
      </c>
      <c r="D598" s="73" t="str">
        <f t="shared" si="14"/>
        <v>BALIKESİR BÜYÜKŞEHİR/BALIKESİR</v>
      </c>
      <c r="E598" t="s">
        <v>3744</v>
      </c>
      <c r="F598" t="s">
        <v>3744</v>
      </c>
      <c r="G598" t="s">
        <v>3366</v>
      </c>
      <c r="H598">
        <v>1296.9000000000001</v>
      </c>
      <c r="I598">
        <v>129.69</v>
      </c>
      <c r="J598">
        <v>132.9</v>
      </c>
      <c r="K598">
        <v>13.29</v>
      </c>
      <c r="L598">
        <v>1164</v>
      </c>
      <c r="M598">
        <v>116.4</v>
      </c>
      <c r="O598" s="79">
        <f>IFERROR(VLOOKUP(D598,'KAPANAN BLD.'!$C$2:$D$793,2,FALSE),0)</f>
        <v>0</v>
      </c>
      <c r="P598" s="79">
        <v>0</v>
      </c>
    </row>
    <row r="599" spans="1:16" x14ac:dyDescent="0.25">
      <c r="A599" t="s">
        <v>32</v>
      </c>
      <c r="B599" s="73" t="str">
        <f>VLOOKUP(C599,'Büyükşehir List'!$C$2:$D$31,2,FALSE)</f>
        <v>BALIKESİR BÜYÜKŞEHİR</v>
      </c>
      <c r="C599" t="s">
        <v>44</v>
      </c>
      <c r="D599" s="73" t="str">
        <f t="shared" si="14"/>
        <v>BALIKESİR BÜYÜKŞEHİR/BALIKESİR</v>
      </c>
      <c r="E599" t="s">
        <v>257</v>
      </c>
      <c r="F599" t="s">
        <v>257</v>
      </c>
      <c r="G599" t="s">
        <v>3367</v>
      </c>
      <c r="H599">
        <v>20281.54</v>
      </c>
      <c r="I599">
        <v>2028.15</v>
      </c>
      <c r="J599">
        <v>9647.9</v>
      </c>
      <c r="K599">
        <v>964.79</v>
      </c>
      <c r="L599">
        <v>10633.64</v>
      </c>
      <c r="M599">
        <v>1063.3599999999999</v>
      </c>
      <c r="O599" s="79">
        <f>IFERROR(VLOOKUP(D599,'KAPANAN BLD.'!$C$2:$D$793,2,FALSE),0)</f>
        <v>0</v>
      </c>
      <c r="P599" s="79">
        <v>0</v>
      </c>
    </row>
    <row r="600" spans="1:16" x14ac:dyDescent="0.25">
      <c r="A600" t="s">
        <v>32</v>
      </c>
      <c r="B600" s="73" t="str">
        <f>VLOOKUP(C600,'Büyükşehir List'!$C$2:$D$31,2,FALSE)</f>
        <v>BALIKESİR BÜYÜKŞEHİR</v>
      </c>
      <c r="C600" t="s">
        <v>44</v>
      </c>
      <c r="D600" s="73" t="str">
        <f t="shared" si="14"/>
        <v>BALIKESİR BÜYÜKŞEHİR/BALIKESİR</v>
      </c>
      <c r="E600" t="s">
        <v>257</v>
      </c>
      <c r="F600" t="s">
        <v>257</v>
      </c>
      <c r="G600" t="s">
        <v>3366</v>
      </c>
      <c r="H600">
        <v>25817.81</v>
      </c>
      <c r="I600">
        <v>2581.7800000000002</v>
      </c>
      <c r="J600">
        <v>3837.7</v>
      </c>
      <c r="K600">
        <v>383.77</v>
      </c>
      <c r="L600">
        <v>21980.11</v>
      </c>
      <c r="M600">
        <v>2198.0100000000002</v>
      </c>
      <c r="O600" s="79">
        <f>IFERROR(VLOOKUP(D600,'KAPANAN BLD.'!$C$2:$D$793,2,FALSE),0)</f>
        <v>0</v>
      </c>
      <c r="P600" s="79">
        <v>0</v>
      </c>
    </row>
    <row r="601" spans="1:16" x14ac:dyDescent="0.25">
      <c r="A601" t="s">
        <v>32</v>
      </c>
      <c r="B601" s="73" t="str">
        <f>VLOOKUP(C601,'Büyükşehir List'!$C$2:$D$31,2,FALSE)</f>
        <v>BALIKESİR BÜYÜKŞEHİR</v>
      </c>
      <c r="C601" t="s">
        <v>44</v>
      </c>
      <c r="D601" s="73" t="str">
        <f t="shared" si="14"/>
        <v>BALIKESİR BÜYÜKŞEHİR/BALIKESİR</v>
      </c>
      <c r="E601" t="s">
        <v>70</v>
      </c>
      <c r="F601" t="s">
        <v>70</v>
      </c>
      <c r="G601" t="s">
        <v>3366</v>
      </c>
      <c r="H601">
        <v>8406.1</v>
      </c>
      <c r="I601">
        <v>840.61</v>
      </c>
      <c r="J601">
        <v>0</v>
      </c>
      <c r="K601">
        <v>0</v>
      </c>
      <c r="L601">
        <v>8406.1</v>
      </c>
      <c r="M601">
        <v>840.61</v>
      </c>
      <c r="O601" s="79">
        <f>IFERROR(VLOOKUP(D601,'KAPANAN BLD.'!$C$2:$D$793,2,FALSE),0)</f>
        <v>0</v>
      </c>
      <c r="P601" s="79">
        <v>0</v>
      </c>
    </row>
    <row r="602" spans="1:16" x14ac:dyDescent="0.25">
      <c r="A602" t="s">
        <v>32</v>
      </c>
      <c r="B602" s="73" t="str">
        <f>VLOOKUP(C602,'Büyükşehir List'!$C$2:$D$31,2,FALSE)</f>
        <v>BALIKESİR BÜYÜKŞEHİR</v>
      </c>
      <c r="C602" t="s">
        <v>44</v>
      </c>
      <c r="D602" s="73" t="str">
        <f t="shared" si="14"/>
        <v>BALIKESİR BÜYÜKŞEHİR/BALIKESİR</v>
      </c>
      <c r="E602" t="s">
        <v>70</v>
      </c>
      <c r="F602" t="s">
        <v>70</v>
      </c>
      <c r="G602" t="s">
        <v>3367</v>
      </c>
      <c r="H602">
        <v>4770.2</v>
      </c>
      <c r="I602">
        <v>477.02</v>
      </c>
      <c r="J602">
        <v>104.5</v>
      </c>
      <c r="K602">
        <v>10.45</v>
      </c>
      <c r="L602">
        <v>4665.7</v>
      </c>
      <c r="M602">
        <v>466.57</v>
      </c>
      <c r="O602" s="79">
        <f>IFERROR(VLOOKUP(D602,'KAPANAN BLD.'!$C$2:$D$793,2,FALSE),0)</f>
        <v>0</v>
      </c>
      <c r="P602" s="79">
        <v>0</v>
      </c>
    </row>
    <row r="603" spans="1:16" x14ac:dyDescent="0.25">
      <c r="A603" t="s">
        <v>32</v>
      </c>
      <c r="B603" s="73" t="str">
        <f>VLOOKUP(C603,'Büyükşehir List'!$C$2:$D$31,2,FALSE)</f>
        <v>BALIKESİR BÜYÜKŞEHİR</v>
      </c>
      <c r="C603" t="s">
        <v>44</v>
      </c>
      <c r="D603" s="73" t="str">
        <f t="shared" si="14"/>
        <v>BALIKESİR BÜYÜKŞEHİR/BALIKESİR</v>
      </c>
      <c r="E603" t="s">
        <v>4299</v>
      </c>
      <c r="F603" t="s">
        <v>4299</v>
      </c>
      <c r="G603" t="s">
        <v>3366</v>
      </c>
      <c r="H603">
        <v>402.8</v>
      </c>
      <c r="I603">
        <v>40.28</v>
      </c>
      <c r="J603">
        <v>0</v>
      </c>
      <c r="K603">
        <v>0</v>
      </c>
      <c r="L603">
        <v>402.8</v>
      </c>
      <c r="M603">
        <v>40.28</v>
      </c>
      <c r="O603" s="79">
        <f>IFERROR(VLOOKUP(D603,'KAPANAN BLD.'!$C$2:$D$793,2,FALSE),0)</f>
        <v>0</v>
      </c>
      <c r="P603" s="79">
        <v>0</v>
      </c>
    </row>
    <row r="604" spans="1:16" x14ac:dyDescent="0.25">
      <c r="A604" t="s">
        <v>32</v>
      </c>
      <c r="B604" s="73" t="str">
        <f>VLOOKUP(C604,'Büyükşehir List'!$C$2:$D$31,2,FALSE)</f>
        <v>BALIKESİR BÜYÜKŞEHİR</v>
      </c>
      <c r="C604" t="s">
        <v>44</v>
      </c>
      <c r="D604" s="73" t="str">
        <f t="shared" si="14"/>
        <v>BALIKESİR BÜYÜKŞEHİR/BALIKESİR</v>
      </c>
      <c r="E604" t="s">
        <v>4299</v>
      </c>
      <c r="F604" t="s">
        <v>4299</v>
      </c>
      <c r="G604" t="s">
        <v>3367</v>
      </c>
      <c r="H604">
        <v>45</v>
      </c>
      <c r="I604">
        <v>4.5</v>
      </c>
      <c r="J604">
        <v>0</v>
      </c>
      <c r="K604">
        <v>0</v>
      </c>
      <c r="L604">
        <v>45</v>
      </c>
      <c r="M604">
        <v>4.5</v>
      </c>
      <c r="O604" s="79">
        <f>IFERROR(VLOOKUP(D604,'KAPANAN BLD.'!$C$2:$D$793,2,FALSE),0)</f>
        <v>0</v>
      </c>
      <c r="P604" s="79">
        <v>0</v>
      </c>
    </row>
    <row r="605" spans="1:16" x14ac:dyDescent="0.25">
      <c r="A605" t="s">
        <v>32</v>
      </c>
      <c r="B605" s="73" t="str">
        <f>VLOOKUP(C605,'Büyükşehir List'!$C$2:$D$31,2,FALSE)</f>
        <v>BALIKESİR BÜYÜKŞEHİR</v>
      </c>
      <c r="C605" t="s">
        <v>44</v>
      </c>
      <c r="D605" s="73" t="str">
        <f t="shared" si="14"/>
        <v>BALIKESİR BÜYÜKŞEHİR/BALIKESİR</v>
      </c>
      <c r="E605" t="s">
        <v>4007</v>
      </c>
      <c r="F605" t="s">
        <v>4007</v>
      </c>
      <c r="G605" t="s">
        <v>3366</v>
      </c>
      <c r="H605">
        <v>1671</v>
      </c>
      <c r="I605">
        <v>167.1</v>
      </c>
      <c r="J605">
        <v>0</v>
      </c>
      <c r="K605">
        <v>0</v>
      </c>
      <c r="L605">
        <v>1671</v>
      </c>
      <c r="M605">
        <v>167.1</v>
      </c>
      <c r="O605" s="79">
        <f>IFERROR(VLOOKUP(D605,'KAPANAN BLD.'!$C$2:$D$793,2,FALSE),0)</f>
        <v>0</v>
      </c>
      <c r="P605" s="79">
        <v>0</v>
      </c>
    </row>
    <row r="606" spans="1:16" x14ac:dyDescent="0.25">
      <c r="A606" t="s">
        <v>32</v>
      </c>
      <c r="B606" s="73" t="str">
        <f>VLOOKUP(C606,'Büyükşehir List'!$C$2:$D$31,2,FALSE)</f>
        <v>BALIKESİR BÜYÜKŞEHİR</v>
      </c>
      <c r="C606" t="s">
        <v>44</v>
      </c>
      <c r="D606" s="73" t="str">
        <f t="shared" si="14"/>
        <v>BALIKESİR BÜYÜKŞEHİR/BALIKESİR</v>
      </c>
      <c r="E606" t="s">
        <v>4007</v>
      </c>
      <c r="F606" t="s">
        <v>4007</v>
      </c>
      <c r="G606" t="s">
        <v>3367</v>
      </c>
      <c r="H606">
        <v>184.4</v>
      </c>
      <c r="I606">
        <v>18.440000000000001</v>
      </c>
      <c r="J606">
        <v>0</v>
      </c>
      <c r="K606">
        <v>0</v>
      </c>
      <c r="L606">
        <v>184.4</v>
      </c>
      <c r="M606">
        <v>18.440000000000001</v>
      </c>
      <c r="O606" s="79">
        <f>IFERROR(VLOOKUP(D606,'KAPANAN BLD.'!$C$2:$D$793,2,FALSE),0)</f>
        <v>0</v>
      </c>
      <c r="P606" s="79">
        <v>0</v>
      </c>
    </row>
    <row r="607" spans="1:16" x14ac:dyDescent="0.25">
      <c r="A607" t="s">
        <v>32</v>
      </c>
      <c r="B607" s="73" t="str">
        <f>VLOOKUP(C607,'Büyükşehir List'!$C$2:$D$31,2,FALSE)</f>
        <v>BALIKESİR BÜYÜKŞEHİR</v>
      </c>
      <c r="C607" t="s">
        <v>44</v>
      </c>
      <c r="D607" s="73" t="str">
        <f t="shared" si="14"/>
        <v>BALIKESİR BÜYÜKŞEHİR/BALIKESİR</v>
      </c>
      <c r="E607" t="s">
        <v>4453</v>
      </c>
      <c r="F607" t="s">
        <v>4453</v>
      </c>
      <c r="G607" t="s">
        <v>3367</v>
      </c>
      <c r="H607">
        <v>172.2</v>
      </c>
      <c r="I607">
        <v>17.22</v>
      </c>
      <c r="J607">
        <v>0</v>
      </c>
      <c r="K607">
        <v>0</v>
      </c>
      <c r="L607">
        <v>172.2</v>
      </c>
      <c r="M607">
        <v>17.22</v>
      </c>
      <c r="O607" s="79">
        <f>IFERROR(VLOOKUP(D607,'KAPANAN BLD.'!$C$2:$D$793,2,FALSE),0)</f>
        <v>0</v>
      </c>
      <c r="P607" s="79">
        <v>0</v>
      </c>
    </row>
    <row r="608" spans="1:16" x14ac:dyDescent="0.25">
      <c r="A608" t="s">
        <v>32</v>
      </c>
      <c r="B608" s="73" t="str">
        <f>VLOOKUP(C608,'Büyükşehir List'!$C$2:$D$31,2,FALSE)</f>
        <v>BALIKESİR BÜYÜKŞEHİR</v>
      </c>
      <c r="C608" t="s">
        <v>44</v>
      </c>
      <c r="D608" s="73" t="str">
        <f t="shared" si="14"/>
        <v>BALIKESİR BÜYÜKŞEHİR/BALIKESİR</v>
      </c>
      <c r="E608" t="s">
        <v>287</v>
      </c>
      <c r="F608" t="s">
        <v>287</v>
      </c>
      <c r="G608" t="s">
        <v>3366</v>
      </c>
      <c r="H608">
        <v>7091.8</v>
      </c>
      <c r="I608">
        <v>709.18</v>
      </c>
      <c r="J608">
        <v>904.7</v>
      </c>
      <c r="K608">
        <v>90.47</v>
      </c>
      <c r="L608">
        <v>6187.1</v>
      </c>
      <c r="M608">
        <v>618.71</v>
      </c>
      <c r="O608" s="79">
        <f>IFERROR(VLOOKUP(D608,'KAPANAN BLD.'!$C$2:$D$793,2,FALSE),0)</f>
        <v>0</v>
      </c>
      <c r="P608" s="79">
        <v>0</v>
      </c>
    </row>
    <row r="609" spans="1:16" x14ac:dyDescent="0.25">
      <c r="A609" t="s">
        <v>32</v>
      </c>
      <c r="B609" s="73" t="str">
        <f>VLOOKUP(C609,'Büyükşehir List'!$C$2:$D$31,2,FALSE)</f>
        <v>BALIKESİR BÜYÜKŞEHİR</v>
      </c>
      <c r="C609" t="s">
        <v>44</v>
      </c>
      <c r="D609" s="73" t="str">
        <f t="shared" si="14"/>
        <v>BALIKESİR BÜYÜKŞEHİR/BALIKESİR</v>
      </c>
      <c r="E609" t="s">
        <v>287</v>
      </c>
      <c r="F609" t="s">
        <v>287</v>
      </c>
      <c r="G609" t="s">
        <v>3367</v>
      </c>
      <c r="H609">
        <v>2584.1</v>
      </c>
      <c r="I609">
        <v>258.41000000000003</v>
      </c>
      <c r="J609">
        <v>480.9</v>
      </c>
      <c r="K609">
        <v>48.09</v>
      </c>
      <c r="L609">
        <v>2103.1999999999998</v>
      </c>
      <c r="M609">
        <v>210.32</v>
      </c>
      <c r="O609" s="79">
        <f>IFERROR(VLOOKUP(D609,'KAPANAN BLD.'!$C$2:$D$793,2,FALSE),0)</f>
        <v>0</v>
      </c>
      <c r="P609" s="79">
        <v>0</v>
      </c>
    </row>
    <row r="610" spans="1:16" x14ac:dyDescent="0.25">
      <c r="A610" t="s">
        <v>32</v>
      </c>
      <c r="B610" s="73" t="str">
        <f>VLOOKUP(C610,'Büyükşehir List'!$C$2:$D$31,2,FALSE)</f>
        <v>BALIKESİR BÜYÜKŞEHİR</v>
      </c>
      <c r="C610" t="s">
        <v>44</v>
      </c>
      <c r="D610" s="73" t="str">
        <f t="shared" si="14"/>
        <v>BALIKESİR BÜYÜKŞEHİR/BALIKESİR</v>
      </c>
      <c r="E610" t="s">
        <v>48</v>
      </c>
      <c r="F610" t="s">
        <v>48</v>
      </c>
      <c r="G610" t="s">
        <v>3366</v>
      </c>
      <c r="H610">
        <v>955.3</v>
      </c>
      <c r="I610">
        <v>95.53</v>
      </c>
      <c r="J610">
        <v>4.2</v>
      </c>
      <c r="K610">
        <v>0.42</v>
      </c>
      <c r="L610">
        <v>951.1</v>
      </c>
      <c r="M610">
        <v>95.11</v>
      </c>
      <c r="O610" s="79">
        <f>IFERROR(VLOOKUP(D610,'KAPANAN BLD.'!$C$2:$D$793,2,FALSE),0)</f>
        <v>0</v>
      </c>
      <c r="P610" s="79">
        <v>0</v>
      </c>
    </row>
    <row r="611" spans="1:16" x14ac:dyDescent="0.25">
      <c r="A611" t="s">
        <v>32</v>
      </c>
      <c r="B611" s="73" t="str">
        <f>VLOOKUP(C611,'Büyükşehir List'!$C$2:$D$31,2,FALSE)</f>
        <v>BALIKESİR BÜYÜKŞEHİR</v>
      </c>
      <c r="C611" t="s">
        <v>44</v>
      </c>
      <c r="D611" s="73" t="str">
        <f t="shared" si="14"/>
        <v>BALIKESİR BÜYÜKŞEHİR/BALIKESİR</v>
      </c>
      <c r="E611" t="s">
        <v>48</v>
      </c>
      <c r="F611" t="s">
        <v>48</v>
      </c>
      <c r="G611" t="s">
        <v>3367</v>
      </c>
      <c r="H611">
        <v>2418.6</v>
      </c>
      <c r="I611">
        <v>241.86</v>
      </c>
      <c r="J611">
        <v>7.6</v>
      </c>
      <c r="K611">
        <v>0.76</v>
      </c>
      <c r="L611">
        <v>2411</v>
      </c>
      <c r="M611">
        <v>241.1</v>
      </c>
      <c r="O611" s="79">
        <f>IFERROR(VLOOKUP(D611,'KAPANAN BLD.'!$C$2:$D$793,2,FALSE),0)</f>
        <v>0</v>
      </c>
      <c r="P611" s="79">
        <v>0</v>
      </c>
    </row>
    <row r="612" spans="1:16" x14ac:dyDescent="0.25">
      <c r="A612" t="s">
        <v>32</v>
      </c>
      <c r="B612" s="73" t="str">
        <f>VLOOKUP(C612,'Büyükşehir List'!$C$2:$D$31,2,FALSE)</f>
        <v>BALIKESİR BÜYÜKŞEHİR</v>
      </c>
      <c r="C612" t="s">
        <v>44</v>
      </c>
      <c r="D612" s="73" t="str">
        <f t="shared" si="14"/>
        <v>BALIKESİR BÜYÜKŞEHİR/BALIKESİR</v>
      </c>
      <c r="E612" t="s">
        <v>3745</v>
      </c>
      <c r="F612" t="s">
        <v>3745</v>
      </c>
      <c r="G612" t="s">
        <v>3367</v>
      </c>
      <c r="H612">
        <v>30.4</v>
      </c>
      <c r="I612">
        <v>3.04</v>
      </c>
      <c r="J612">
        <v>0</v>
      </c>
      <c r="K612">
        <v>0</v>
      </c>
      <c r="L612">
        <v>30.4</v>
      </c>
      <c r="M612">
        <v>3.04</v>
      </c>
      <c r="O612" s="79">
        <f>IFERROR(VLOOKUP(D612,'KAPANAN BLD.'!$C$2:$D$793,2,FALSE),0)</f>
        <v>0</v>
      </c>
      <c r="P612" s="79">
        <v>0</v>
      </c>
    </row>
    <row r="613" spans="1:16" x14ac:dyDescent="0.25">
      <c r="A613" t="s">
        <v>32</v>
      </c>
      <c r="B613" s="73" t="str">
        <f>VLOOKUP(C613,'Büyükşehir List'!$C$2:$D$31,2,FALSE)</f>
        <v>BALIKESİR BÜYÜKŞEHİR</v>
      </c>
      <c r="C613" t="s">
        <v>44</v>
      </c>
      <c r="D613" s="73" t="str">
        <f t="shared" si="14"/>
        <v>BALIKESİR BÜYÜKŞEHİR/BALIKESİR</v>
      </c>
      <c r="E613" t="s">
        <v>3746</v>
      </c>
      <c r="F613" t="s">
        <v>3746</v>
      </c>
      <c r="G613" t="s">
        <v>3366</v>
      </c>
      <c r="H613">
        <v>3422</v>
      </c>
      <c r="I613">
        <v>342.2</v>
      </c>
      <c r="J613">
        <v>34.9</v>
      </c>
      <c r="K613">
        <v>3.49</v>
      </c>
      <c r="L613">
        <v>3387.1</v>
      </c>
      <c r="M613">
        <v>338.71</v>
      </c>
      <c r="O613" s="79">
        <f>IFERROR(VLOOKUP(D613,'KAPANAN BLD.'!$C$2:$D$793,2,FALSE),0)</f>
        <v>0</v>
      </c>
      <c r="P613" s="79">
        <v>0</v>
      </c>
    </row>
    <row r="614" spans="1:16" x14ac:dyDescent="0.25">
      <c r="A614" t="s">
        <v>32</v>
      </c>
      <c r="B614" s="73" t="str">
        <f>VLOOKUP(C614,'Büyükşehir List'!$C$2:$D$31,2,FALSE)</f>
        <v>BALIKESİR BÜYÜKŞEHİR</v>
      </c>
      <c r="C614" t="s">
        <v>44</v>
      </c>
      <c r="D614" s="73" t="str">
        <f t="shared" si="14"/>
        <v>BALIKESİR BÜYÜKŞEHİR/BALIKESİR</v>
      </c>
      <c r="E614" t="s">
        <v>3746</v>
      </c>
      <c r="F614" t="s">
        <v>3746</v>
      </c>
      <c r="G614" t="s">
        <v>3367</v>
      </c>
      <c r="H614">
        <v>1276.2</v>
      </c>
      <c r="I614">
        <v>127.62</v>
      </c>
      <c r="J614">
        <v>85.1</v>
      </c>
      <c r="K614">
        <v>8.51</v>
      </c>
      <c r="L614">
        <v>1191.0999999999999</v>
      </c>
      <c r="M614">
        <v>119.11</v>
      </c>
      <c r="O614" s="79">
        <f>IFERROR(VLOOKUP(D614,'KAPANAN BLD.'!$C$2:$D$793,2,FALSE),0)</f>
        <v>0</v>
      </c>
      <c r="P614" s="79">
        <v>0</v>
      </c>
    </row>
    <row r="615" spans="1:16" x14ac:dyDescent="0.25">
      <c r="A615" t="s">
        <v>32</v>
      </c>
      <c r="B615" s="73" t="str">
        <f>VLOOKUP(C615,'Büyükşehir List'!$C$2:$D$31,2,FALSE)</f>
        <v>BALIKESİR BÜYÜKŞEHİR</v>
      </c>
      <c r="C615" t="s">
        <v>44</v>
      </c>
      <c r="D615" s="73" t="str">
        <f t="shared" si="14"/>
        <v>BALIKESİR BÜYÜKŞEHİR/BALIKESİR</v>
      </c>
      <c r="E615" t="s">
        <v>355</v>
      </c>
      <c r="F615" t="s">
        <v>355</v>
      </c>
      <c r="G615" t="s">
        <v>3367</v>
      </c>
      <c r="H615">
        <v>113.8</v>
      </c>
      <c r="I615">
        <v>11.38</v>
      </c>
      <c r="J615">
        <v>0.4</v>
      </c>
      <c r="K615">
        <v>0.04</v>
      </c>
      <c r="L615">
        <v>113.4</v>
      </c>
      <c r="M615">
        <v>11.34</v>
      </c>
      <c r="O615" s="79">
        <f>IFERROR(VLOOKUP(D615,'KAPANAN BLD.'!$C$2:$D$793,2,FALSE),0)</f>
        <v>0</v>
      </c>
      <c r="P615" s="79">
        <v>0</v>
      </c>
    </row>
    <row r="616" spans="1:16" x14ac:dyDescent="0.25">
      <c r="A616" t="s">
        <v>32</v>
      </c>
      <c r="B616" s="73" t="str">
        <f>VLOOKUP(C616,'Büyükşehir List'!$C$2:$D$31,2,FALSE)</f>
        <v>BALIKESİR BÜYÜKŞEHİR</v>
      </c>
      <c r="C616" t="s">
        <v>44</v>
      </c>
      <c r="D616" s="73" t="str">
        <f t="shared" si="14"/>
        <v>BALIKESİR BÜYÜKŞEHİR/BALIKESİR</v>
      </c>
      <c r="E616" t="s">
        <v>355</v>
      </c>
      <c r="F616" t="s">
        <v>355</v>
      </c>
      <c r="G616" t="s">
        <v>3366</v>
      </c>
      <c r="H616">
        <v>805.6</v>
      </c>
      <c r="I616">
        <v>80.56</v>
      </c>
      <c r="J616">
        <v>5.7</v>
      </c>
      <c r="K616">
        <v>0.56999999999999995</v>
      </c>
      <c r="L616">
        <v>799.9</v>
      </c>
      <c r="M616">
        <v>79.989999999999995</v>
      </c>
      <c r="O616" s="79">
        <f>IFERROR(VLOOKUP(D616,'KAPANAN BLD.'!$C$2:$D$793,2,FALSE),0)</f>
        <v>0</v>
      </c>
      <c r="P616" s="79">
        <v>0</v>
      </c>
    </row>
    <row r="617" spans="1:16" x14ac:dyDescent="0.25">
      <c r="A617" t="s">
        <v>32</v>
      </c>
      <c r="B617" s="73" t="str">
        <f>VLOOKUP(C617,'Büyükşehir List'!$C$2:$D$31,2,FALSE)</f>
        <v>BALIKESİR BÜYÜKŞEHİR</v>
      </c>
      <c r="C617" t="s">
        <v>44</v>
      </c>
      <c r="D617" s="73" t="str">
        <f t="shared" si="14"/>
        <v>BALIKESİR BÜYÜKŞEHİR/BALIKESİR</v>
      </c>
      <c r="E617" t="s">
        <v>4222</v>
      </c>
      <c r="F617" t="s">
        <v>4222</v>
      </c>
      <c r="G617" t="s">
        <v>3366</v>
      </c>
      <c r="H617">
        <v>454.4</v>
      </c>
      <c r="I617">
        <v>45.44</v>
      </c>
      <c r="J617">
        <v>0</v>
      </c>
      <c r="K617">
        <v>0</v>
      </c>
      <c r="L617">
        <v>454.4</v>
      </c>
      <c r="M617">
        <v>45.44</v>
      </c>
      <c r="O617" s="79">
        <f>IFERROR(VLOOKUP(D617,'KAPANAN BLD.'!$C$2:$D$793,2,FALSE),0)</f>
        <v>0</v>
      </c>
      <c r="P617" s="79">
        <v>0</v>
      </c>
    </row>
    <row r="618" spans="1:16" x14ac:dyDescent="0.25">
      <c r="A618" t="s">
        <v>32</v>
      </c>
      <c r="B618" s="73" t="str">
        <f>VLOOKUP(C618,'Büyükşehir List'!$C$2:$D$31,2,FALSE)</f>
        <v>BALIKESİR BÜYÜKŞEHİR</v>
      </c>
      <c r="C618" t="s">
        <v>44</v>
      </c>
      <c r="D618" s="73" t="str">
        <f t="shared" si="14"/>
        <v>BALIKESİR BÜYÜKŞEHİR/BALIKESİR</v>
      </c>
      <c r="E618" t="s">
        <v>4222</v>
      </c>
      <c r="F618" t="s">
        <v>4222</v>
      </c>
      <c r="G618" t="s">
        <v>3367</v>
      </c>
      <c r="H618">
        <v>446.2</v>
      </c>
      <c r="I618">
        <v>44.62</v>
      </c>
      <c r="J618">
        <v>0</v>
      </c>
      <c r="K618">
        <v>0</v>
      </c>
      <c r="L618">
        <v>446.2</v>
      </c>
      <c r="M618">
        <v>44.62</v>
      </c>
      <c r="O618" s="79">
        <f>IFERROR(VLOOKUP(D618,'KAPANAN BLD.'!$C$2:$D$793,2,FALSE),0)</f>
        <v>0</v>
      </c>
      <c r="P618" s="79">
        <v>0</v>
      </c>
    </row>
    <row r="619" spans="1:16" x14ac:dyDescent="0.25">
      <c r="A619" t="s">
        <v>32</v>
      </c>
      <c r="B619" s="73" t="str">
        <f>VLOOKUP(C619,'Büyükşehir List'!$C$2:$D$31,2,FALSE)</f>
        <v>BALIKESİR BÜYÜKŞEHİR</v>
      </c>
      <c r="C619" t="s">
        <v>44</v>
      </c>
      <c r="D619" s="73" t="str">
        <f t="shared" si="14"/>
        <v>BALIKESİR BÜYÜKŞEHİR/BALIKESİR</v>
      </c>
      <c r="E619" t="s">
        <v>4454</v>
      </c>
      <c r="F619" t="s">
        <v>4454</v>
      </c>
      <c r="G619" t="s">
        <v>3367</v>
      </c>
      <c r="H619">
        <v>211</v>
      </c>
      <c r="I619">
        <v>21.1</v>
      </c>
      <c r="J619">
        <v>0</v>
      </c>
      <c r="K619">
        <v>0</v>
      </c>
      <c r="L619">
        <v>211</v>
      </c>
      <c r="M619">
        <v>21.1</v>
      </c>
      <c r="O619" s="79">
        <f>IFERROR(VLOOKUP(D619,'KAPANAN BLD.'!$C$2:$D$793,2,FALSE),0)</f>
        <v>0</v>
      </c>
      <c r="P619" s="79">
        <v>0</v>
      </c>
    </row>
    <row r="620" spans="1:16" x14ac:dyDescent="0.25">
      <c r="A620" t="s">
        <v>32</v>
      </c>
      <c r="B620" s="73" t="str">
        <f>VLOOKUP(C620,'Büyükşehir List'!$C$2:$D$31,2,FALSE)</f>
        <v>BALIKESİR BÜYÜKŞEHİR</v>
      </c>
      <c r="C620" t="s">
        <v>44</v>
      </c>
      <c r="D620" s="73" t="str">
        <f t="shared" si="14"/>
        <v>BALIKESİR BÜYÜKŞEHİR/BALIKESİR</v>
      </c>
      <c r="E620" t="s">
        <v>4454</v>
      </c>
      <c r="F620" t="s">
        <v>4454</v>
      </c>
      <c r="G620" t="s">
        <v>3366</v>
      </c>
      <c r="H620">
        <v>1599.3</v>
      </c>
      <c r="I620">
        <v>159.93</v>
      </c>
      <c r="J620">
        <v>0</v>
      </c>
      <c r="K620">
        <v>0</v>
      </c>
      <c r="L620">
        <v>1599.3</v>
      </c>
      <c r="M620">
        <v>159.93</v>
      </c>
      <c r="O620" s="79">
        <f>IFERROR(VLOOKUP(D620,'KAPANAN BLD.'!$C$2:$D$793,2,FALSE),0)</f>
        <v>0</v>
      </c>
      <c r="P620" s="79">
        <v>0</v>
      </c>
    </row>
    <row r="621" spans="1:16" x14ac:dyDescent="0.25">
      <c r="A621" t="s">
        <v>32</v>
      </c>
      <c r="B621" s="73" t="str">
        <f>VLOOKUP(C621,'Büyükşehir List'!$C$2:$D$31,2,FALSE)</f>
        <v>BALIKESİR BÜYÜKŞEHİR</v>
      </c>
      <c r="C621" t="s">
        <v>44</v>
      </c>
      <c r="D621" s="73" t="str">
        <f t="shared" si="14"/>
        <v>BALIKESİR BÜYÜKŞEHİR/BALIKESİR</v>
      </c>
      <c r="E621" t="s">
        <v>111</v>
      </c>
      <c r="F621" t="s">
        <v>111</v>
      </c>
      <c r="G621" t="s">
        <v>3367</v>
      </c>
      <c r="H621">
        <v>5919.55</v>
      </c>
      <c r="I621">
        <v>591.95000000000005</v>
      </c>
      <c r="J621">
        <v>188.7</v>
      </c>
      <c r="K621">
        <v>18.87</v>
      </c>
      <c r="L621">
        <v>5730.85</v>
      </c>
      <c r="M621">
        <v>573.08000000000004</v>
      </c>
      <c r="O621" s="79">
        <f>IFERROR(VLOOKUP(D621,'KAPANAN BLD.'!$C$2:$D$793,2,FALSE),0)</f>
        <v>0</v>
      </c>
      <c r="P621" s="79">
        <v>0</v>
      </c>
    </row>
    <row r="622" spans="1:16" x14ac:dyDescent="0.25">
      <c r="A622" t="s">
        <v>32</v>
      </c>
      <c r="B622" s="73" t="str">
        <f>VLOOKUP(C622,'Büyükşehir List'!$C$2:$D$31,2,FALSE)</f>
        <v>BALIKESİR BÜYÜKŞEHİR</v>
      </c>
      <c r="C622" t="s">
        <v>44</v>
      </c>
      <c r="D622" s="73" t="str">
        <f t="shared" si="14"/>
        <v>BALIKESİR BÜYÜKŞEHİR/BALIKESİR</v>
      </c>
      <c r="E622" t="s">
        <v>111</v>
      </c>
      <c r="F622" t="s">
        <v>111</v>
      </c>
      <c r="G622" t="s">
        <v>3366</v>
      </c>
      <c r="H622">
        <v>6592.48</v>
      </c>
      <c r="I622">
        <v>659.25</v>
      </c>
      <c r="J622">
        <v>46</v>
      </c>
      <c r="K622">
        <v>4.5999999999999996</v>
      </c>
      <c r="L622">
        <v>6546.48</v>
      </c>
      <c r="M622">
        <v>654.65</v>
      </c>
      <c r="O622" s="79">
        <f>IFERROR(VLOOKUP(D622,'KAPANAN BLD.'!$C$2:$D$793,2,FALSE),0)</f>
        <v>0</v>
      </c>
      <c r="P622" s="79">
        <v>0</v>
      </c>
    </row>
    <row r="623" spans="1:16" x14ac:dyDescent="0.25">
      <c r="A623" t="s">
        <v>32</v>
      </c>
      <c r="B623" s="73" t="str">
        <f>VLOOKUP(C623,'Büyükşehir List'!$C$2:$D$31,2,FALSE)</f>
        <v>BALIKESİR BÜYÜKŞEHİR</v>
      </c>
      <c r="C623" t="s">
        <v>44</v>
      </c>
      <c r="D623" s="73" t="str">
        <f t="shared" si="14"/>
        <v>BALIKESİR BÜYÜKŞEHİR/BALIKESİR</v>
      </c>
      <c r="E623" t="s">
        <v>4455</v>
      </c>
      <c r="F623" t="s">
        <v>4455</v>
      </c>
      <c r="G623" t="s">
        <v>3367</v>
      </c>
      <c r="H623">
        <v>5.4</v>
      </c>
      <c r="I623">
        <v>0.54</v>
      </c>
      <c r="J623">
        <v>0</v>
      </c>
      <c r="K623">
        <v>0</v>
      </c>
      <c r="L623">
        <v>5.4</v>
      </c>
      <c r="M623">
        <v>0.54</v>
      </c>
      <c r="O623" s="79">
        <f>IFERROR(VLOOKUP(D623,'KAPANAN BLD.'!$C$2:$D$793,2,FALSE),0)</f>
        <v>0</v>
      </c>
      <c r="P623" s="79">
        <v>0</v>
      </c>
    </row>
    <row r="624" spans="1:16" x14ac:dyDescent="0.25">
      <c r="A624" t="s">
        <v>32</v>
      </c>
      <c r="B624" s="73" t="str">
        <f>VLOOKUP(C624,'Büyükşehir List'!$C$2:$D$31,2,FALSE)</f>
        <v>BALIKESİR BÜYÜKŞEHİR</v>
      </c>
      <c r="C624" t="s">
        <v>44</v>
      </c>
      <c r="D624" s="73" t="str">
        <f t="shared" si="14"/>
        <v>BALIKESİR BÜYÜKŞEHİR/BALIKESİR</v>
      </c>
      <c r="E624" t="s">
        <v>4455</v>
      </c>
      <c r="F624" t="s">
        <v>4455</v>
      </c>
      <c r="G624" t="s">
        <v>3366</v>
      </c>
      <c r="H624">
        <v>103.3</v>
      </c>
      <c r="I624">
        <v>10.33</v>
      </c>
      <c r="J624">
        <v>0</v>
      </c>
      <c r="K624">
        <v>0</v>
      </c>
      <c r="L624">
        <v>103.3</v>
      </c>
      <c r="M624">
        <v>10.33</v>
      </c>
      <c r="O624" s="79">
        <f>IFERROR(VLOOKUP(D624,'KAPANAN BLD.'!$C$2:$D$793,2,FALSE),0)</f>
        <v>0</v>
      </c>
      <c r="P624" s="79">
        <v>0</v>
      </c>
    </row>
    <row r="625" spans="1:16" x14ac:dyDescent="0.25">
      <c r="A625" t="s">
        <v>32</v>
      </c>
      <c r="B625" s="73" t="str">
        <f>VLOOKUP(C625,'Büyükşehir List'!$C$2:$D$31,2,FALSE)</f>
        <v>BALIKESİR BÜYÜKŞEHİR</v>
      </c>
      <c r="C625" t="s">
        <v>44</v>
      </c>
      <c r="D625" s="73" t="str">
        <f t="shared" si="14"/>
        <v>BALIKESİR BÜYÜKŞEHİR/BALIKESİR</v>
      </c>
      <c r="E625" t="s">
        <v>3747</v>
      </c>
      <c r="F625" t="s">
        <v>3747</v>
      </c>
      <c r="G625" t="s">
        <v>3367</v>
      </c>
      <c r="H625">
        <v>738.5</v>
      </c>
      <c r="I625">
        <v>73.849999999999994</v>
      </c>
      <c r="J625">
        <v>0</v>
      </c>
      <c r="K625">
        <v>0</v>
      </c>
      <c r="L625">
        <v>738.5</v>
      </c>
      <c r="M625">
        <v>73.849999999999994</v>
      </c>
      <c r="O625" s="79">
        <f>IFERROR(VLOOKUP(D625,'KAPANAN BLD.'!$C$2:$D$793,2,FALSE),0)</f>
        <v>0</v>
      </c>
      <c r="P625" s="79">
        <v>0</v>
      </c>
    </row>
    <row r="626" spans="1:16" x14ac:dyDescent="0.25">
      <c r="A626" t="s">
        <v>32</v>
      </c>
      <c r="B626" s="73" t="str">
        <f>VLOOKUP(C626,'Büyükşehir List'!$C$2:$D$31,2,FALSE)</f>
        <v>BALIKESİR BÜYÜKŞEHİR</v>
      </c>
      <c r="C626" t="s">
        <v>44</v>
      </c>
      <c r="D626" s="73" t="str">
        <f t="shared" si="14"/>
        <v>BALIKESİR BÜYÜKŞEHİR/BALIKESİR</v>
      </c>
      <c r="E626" t="s">
        <v>3747</v>
      </c>
      <c r="F626" t="s">
        <v>3747</v>
      </c>
      <c r="G626" t="s">
        <v>3366</v>
      </c>
      <c r="H626">
        <v>663.8</v>
      </c>
      <c r="I626">
        <v>66.38</v>
      </c>
      <c r="J626">
        <v>0</v>
      </c>
      <c r="K626">
        <v>0</v>
      </c>
      <c r="L626">
        <v>663.8</v>
      </c>
      <c r="M626">
        <v>66.38</v>
      </c>
      <c r="O626" s="79">
        <f>IFERROR(VLOOKUP(D626,'KAPANAN BLD.'!$C$2:$D$793,2,FALSE),0)</f>
        <v>0</v>
      </c>
      <c r="P626" s="79">
        <v>0</v>
      </c>
    </row>
    <row r="627" spans="1:16" x14ac:dyDescent="0.25">
      <c r="A627" t="s">
        <v>32</v>
      </c>
      <c r="B627" s="73" t="str">
        <f>VLOOKUP(C627,'Büyükşehir List'!$C$2:$D$31,2,FALSE)</f>
        <v>BALIKESİR BÜYÜKŞEHİR</v>
      </c>
      <c r="C627" t="s">
        <v>44</v>
      </c>
      <c r="D627" s="73" t="str">
        <f t="shared" si="14"/>
        <v>BALIKESİR BÜYÜKŞEHİR/BALIKESİR</v>
      </c>
      <c r="E627" t="s">
        <v>34</v>
      </c>
      <c r="F627" t="s">
        <v>34</v>
      </c>
      <c r="G627" t="s">
        <v>3367</v>
      </c>
      <c r="H627">
        <v>34188.75</v>
      </c>
      <c r="I627">
        <v>3418.87</v>
      </c>
      <c r="J627">
        <v>716</v>
      </c>
      <c r="K627">
        <v>71.599999999999994</v>
      </c>
      <c r="L627">
        <v>33472.75</v>
      </c>
      <c r="M627">
        <v>3347.27</v>
      </c>
      <c r="O627" s="79">
        <f>IFERROR(VLOOKUP(D627,'KAPANAN BLD.'!$C$2:$D$793,2,FALSE),0)</f>
        <v>0</v>
      </c>
      <c r="P627" s="79">
        <v>0</v>
      </c>
    </row>
    <row r="628" spans="1:16" x14ac:dyDescent="0.25">
      <c r="A628" t="s">
        <v>32</v>
      </c>
      <c r="B628" s="73" t="str">
        <f>VLOOKUP(C628,'Büyükşehir List'!$C$2:$D$31,2,FALSE)</f>
        <v>BALIKESİR BÜYÜKŞEHİR</v>
      </c>
      <c r="C628" t="s">
        <v>44</v>
      </c>
      <c r="D628" s="73" t="str">
        <f t="shared" si="14"/>
        <v>BALIKESİR BÜYÜKŞEHİR/BALIKESİR</v>
      </c>
      <c r="E628" t="s">
        <v>34</v>
      </c>
      <c r="F628" t="s">
        <v>34</v>
      </c>
      <c r="G628" t="s">
        <v>3366</v>
      </c>
      <c r="H628">
        <v>27761.200000000001</v>
      </c>
      <c r="I628">
        <v>2776.12</v>
      </c>
      <c r="J628">
        <v>2268</v>
      </c>
      <c r="K628">
        <v>226.8</v>
      </c>
      <c r="L628">
        <v>25493.200000000001</v>
      </c>
      <c r="M628">
        <v>2549.3200000000002</v>
      </c>
      <c r="O628" s="79">
        <f>IFERROR(VLOOKUP(D628,'KAPANAN BLD.'!$C$2:$D$793,2,FALSE),0)</f>
        <v>0</v>
      </c>
      <c r="P628" s="79">
        <v>0</v>
      </c>
    </row>
    <row r="629" spans="1:16" x14ac:dyDescent="0.25">
      <c r="A629" t="s">
        <v>32</v>
      </c>
      <c r="B629" s="73" t="str">
        <f>VLOOKUP(C629,'Büyükşehir List'!$C$2:$D$31,2,FALSE)</f>
        <v>BALIKESİR BÜYÜKŞEHİR</v>
      </c>
      <c r="C629" t="s">
        <v>44</v>
      </c>
      <c r="D629" s="73" t="str">
        <f t="shared" si="14"/>
        <v>BALIKESİR BÜYÜKŞEHİR/BALIKESİR</v>
      </c>
      <c r="E629" t="s">
        <v>526</v>
      </c>
      <c r="F629" t="s">
        <v>526</v>
      </c>
      <c r="G629" t="s">
        <v>3366</v>
      </c>
      <c r="H629">
        <v>9400.7999999999993</v>
      </c>
      <c r="I629">
        <v>940.08</v>
      </c>
      <c r="J629">
        <v>122.3</v>
      </c>
      <c r="K629">
        <v>12.23</v>
      </c>
      <c r="L629">
        <v>9278.5</v>
      </c>
      <c r="M629">
        <v>927.85</v>
      </c>
      <c r="O629" s="79">
        <f>IFERROR(VLOOKUP(D629,'KAPANAN BLD.'!$C$2:$D$793,2,FALSE),0)</f>
        <v>0</v>
      </c>
      <c r="P629" s="79">
        <v>0</v>
      </c>
    </row>
    <row r="630" spans="1:16" x14ac:dyDescent="0.25">
      <c r="A630" t="s">
        <v>32</v>
      </c>
      <c r="B630" s="73" t="str">
        <f>VLOOKUP(C630,'Büyükşehir List'!$C$2:$D$31,2,FALSE)</f>
        <v>BALIKESİR BÜYÜKŞEHİR</v>
      </c>
      <c r="C630" t="s">
        <v>44</v>
      </c>
      <c r="D630" s="73" t="str">
        <f t="shared" si="14"/>
        <v>BALIKESİR BÜYÜKŞEHİR/BALIKESİR</v>
      </c>
      <c r="E630" t="s">
        <v>526</v>
      </c>
      <c r="F630" t="s">
        <v>526</v>
      </c>
      <c r="G630" t="s">
        <v>3367</v>
      </c>
      <c r="H630">
        <v>1737.6</v>
      </c>
      <c r="I630">
        <v>173.76</v>
      </c>
      <c r="J630">
        <v>38.1</v>
      </c>
      <c r="K630">
        <v>3.81</v>
      </c>
      <c r="L630">
        <v>1699.5</v>
      </c>
      <c r="M630">
        <v>169.95</v>
      </c>
      <c r="O630" s="79">
        <f>IFERROR(VLOOKUP(D630,'KAPANAN BLD.'!$C$2:$D$793,2,FALSE),0)</f>
        <v>0</v>
      </c>
      <c r="P630" s="79">
        <v>0</v>
      </c>
    </row>
    <row r="631" spans="1:16" x14ac:dyDescent="0.25">
      <c r="A631" t="s">
        <v>32</v>
      </c>
      <c r="B631" s="73" t="str">
        <f>VLOOKUP(C631,'Büyükşehir List'!$C$2:$D$31,2,FALSE)</f>
        <v>BALIKESİR BÜYÜKŞEHİR</v>
      </c>
      <c r="C631" t="s">
        <v>44</v>
      </c>
      <c r="D631" s="73" t="str">
        <f t="shared" si="14"/>
        <v>BALIKESİR BÜYÜKŞEHİR/BALIKESİR</v>
      </c>
      <c r="E631" t="s">
        <v>3748</v>
      </c>
      <c r="F631" t="s">
        <v>3748</v>
      </c>
      <c r="G631" t="s">
        <v>3367</v>
      </c>
      <c r="H631">
        <v>8399</v>
      </c>
      <c r="I631">
        <v>839.9</v>
      </c>
      <c r="J631">
        <v>670.5</v>
      </c>
      <c r="K631">
        <v>67.05</v>
      </c>
      <c r="L631">
        <v>7728.5</v>
      </c>
      <c r="M631">
        <v>772.85</v>
      </c>
      <c r="O631" s="79">
        <f>IFERROR(VLOOKUP(D631,'KAPANAN BLD.'!$C$2:$D$793,2,FALSE),0)</f>
        <v>0</v>
      </c>
      <c r="P631" s="79">
        <v>0</v>
      </c>
    </row>
    <row r="632" spans="1:16" x14ac:dyDescent="0.25">
      <c r="A632" t="s">
        <v>32</v>
      </c>
      <c r="B632" s="73" t="str">
        <f>VLOOKUP(C632,'Büyükşehir List'!$C$2:$D$31,2,FALSE)</f>
        <v>BALIKESİR BÜYÜKŞEHİR</v>
      </c>
      <c r="C632" t="s">
        <v>44</v>
      </c>
      <c r="D632" s="73" t="str">
        <f t="shared" si="14"/>
        <v>BALIKESİR BÜYÜKŞEHİR/BALIKESİR</v>
      </c>
      <c r="E632" t="s">
        <v>3748</v>
      </c>
      <c r="F632" t="s">
        <v>3748</v>
      </c>
      <c r="G632" t="s">
        <v>3366</v>
      </c>
      <c r="H632">
        <v>6884.9</v>
      </c>
      <c r="I632">
        <v>688.49</v>
      </c>
      <c r="J632">
        <v>271.3</v>
      </c>
      <c r="K632">
        <v>27.13</v>
      </c>
      <c r="L632">
        <v>6613.6</v>
      </c>
      <c r="M632">
        <v>661.36</v>
      </c>
      <c r="O632" s="79">
        <f>IFERROR(VLOOKUP(D632,'KAPANAN BLD.'!$C$2:$D$793,2,FALSE),0)</f>
        <v>0</v>
      </c>
      <c r="P632" s="79">
        <v>0</v>
      </c>
    </row>
    <row r="633" spans="1:16" x14ac:dyDescent="0.25">
      <c r="A633" t="s">
        <v>32</v>
      </c>
      <c r="B633" s="73" t="str">
        <f>VLOOKUP(C633,'Büyükşehir List'!$C$2:$D$31,2,FALSE)</f>
        <v>BALIKESİR BÜYÜKŞEHİR</v>
      </c>
      <c r="C633" t="s">
        <v>44</v>
      </c>
      <c r="D633" s="73" t="str">
        <f t="shared" si="14"/>
        <v>BALIKESİR BÜYÜKŞEHİR/BALIKESİR</v>
      </c>
      <c r="E633" t="s">
        <v>4020</v>
      </c>
      <c r="F633" t="s">
        <v>4020</v>
      </c>
      <c r="G633" t="s">
        <v>3367</v>
      </c>
      <c r="H633">
        <v>160.30000000000001</v>
      </c>
      <c r="I633">
        <v>16.03</v>
      </c>
      <c r="J633">
        <v>0</v>
      </c>
      <c r="K633">
        <v>0</v>
      </c>
      <c r="L633">
        <v>160.30000000000001</v>
      </c>
      <c r="M633">
        <v>16.03</v>
      </c>
      <c r="O633" s="79">
        <f>IFERROR(VLOOKUP(D633,'KAPANAN BLD.'!$C$2:$D$793,2,FALSE),0)</f>
        <v>0</v>
      </c>
      <c r="P633" s="79">
        <v>0</v>
      </c>
    </row>
    <row r="634" spans="1:16" x14ac:dyDescent="0.25">
      <c r="A634" t="s">
        <v>32</v>
      </c>
      <c r="B634" s="73" t="str">
        <f>VLOOKUP(C634,'Büyükşehir List'!$C$2:$D$31,2,FALSE)</f>
        <v>BALIKESİR BÜYÜKŞEHİR</v>
      </c>
      <c r="C634" t="s">
        <v>44</v>
      </c>
      <c r="D634" s="73" t="str">
        <f t="shared" si="14"/>
        <v>BALIKESİR BÜYÜKŞEHİR/BALIKESİR</v>
      </c>
      <c r="E634" t="s">
        <v>3749</v>
      </c>
      <c r="F634" t="s">
        <v>3749</v>
      </c>
      <c r="G634" t="s">
        <v>3366</v>
      </c>
      <c r="H634">
        <v>2367.8000000000002</v>
      </c>
      <c r="I634">
        <v>236.78</v>
      </c>
      <c r="J634">
        <v>784.7</v>
      </c>
      <c r="K634">
        <v>78.47</v>
      </c>
      <c r="L634">
        <v>1583.1</v>
      </c>
      <c r="M634">
        <v>158.31</v>
      </c>
      <c r="O634" s="79">
        <f>IFERROR(VLOOKUP(D634,'KAPANAN BLD.'!$C$2:$D$793,2,FALSE),0)</f>
        <v>0</v>
      </c>
      <c r="P634" s="79">
        <v>0</v>
      </c>
    </row>
    <row r="635" spans="1:16" x14ac:dyDescent="0.25">
      <c r="A635" t="s">
        <v>32</v>
      </c>
      <c r="B635" s="73" t="str">
        <f>VLOOKUP(C635,'Büyükşehir List'!$C$2:$D$31,2,FALSE)</f>
        <v>BALIKESİR BÜYÜKŞEHİR</v>
      </c>
      <c r="C635" t="s">
        <v>44</v>
      </c>
      <c r="D635" s="73" t="str">
        <f t="shared" si="14"/>
        <v>BALIKESİR BÜYÜKŞEHİR/BALIKESİR</v>
      </c>
      <c r="E635" t="s">
        <v>3749</v>
      </c>
      <c r="F635" t="s">
        <v>3749</v>
      </c>
      <c r="G635" t="s">
        <v>3367</v>
      </c>
      <c r="H635">
        <v>2255.1</v>
      </c>
      <c r="I635">
        <v>225.51</v>
      </c>
      <c r="J635">
        <v>12.1</v>
      </c>
      <c r="K635">
        <v>1.21</v>
      </c>
      <c r="L635">
        <v>2243</v>
      </c>
      <c r="M635">
        <v>224.3</v>
      </c>
      <c r="O635" s="79">
        <f>IFERROR(VLOOKUP(D635,'KAPANAN BLD.'!$C$2:$D$793,2,FALSE),0)</f>
        <v>0</v>
      </c>
      <c r="P635" s="79">
        <v>0</v>
      </c>
    </row>
    <row r="636" spans="1:16" x14ac:dyDescent="0.25">
      <c r="A636" t="s">
        <v>32</v>
      </c>
      <c r="B636" s="73" t="str">
        <f>VLOOKUP(C636,'Büyükşehir List'!$C$2:$D$31,2,FALSE)</f>
        <v>BALIKESİR BÜYÜKŞEHİR</v>
      </c>
      <c r="C636" t="s">
        <v>44</v>
      </c>
      <c r="D636" s="73" t="str">
        <f t="shared" si="14"/>
        <v>BALIKESİR BÜYÜKŞEHİR/BALIKESİR</v>
      </c>
      <c r="E636" t="s">
        <v>3750</v>
      </c>
      <c r="F636" t="s">
        <v>3750</v>
      </c>
      <c r="G636" t="s">
        <v>3367</v>
      </c>
      <c r="H636">
        <v>350.7</v>
      </c>
      <c r="I636">
        <v>35.07</v>
      </c>
      <c r="J636">
        <v>1331.2</v>
      </c>
      <c r="K636">
        <v>133.12</v>
      </c>
      <c r="L636">
        <v>-980.5</v>
      </c>
      <c r="M636">
        <v>-98.05</v>
      </c>
      <c r="O636" s="79">
        <f>IFERROR(VLOOKUP(D636,'KAPANAN BLD.'!$C$2:$D$793,2,FALSE),0)</f>
        <v>0</v>
      </c>
      <c r="P636" s="79">
        <v>0</v>
      </c>
    </row>
    <row r="637" spans="1:16" x14ac:dyDescent="0.25">
      <c r="A637" t="s">
        <v>32</v>
      </c>
      <c r="B637" s="73" t="str">
        <f>VLOOKUP(C637,'Büyükşehir List'!$C$2:$D$31,2,FALSE)</f>
        <v>BALIKESİR BÜYÜKŞEHİR</v>
      </c>
      <c r="C637" t="s">
        <v>44</v>
      </c>
      <c r="D637" s="73" t="str">
        <f t="shared" si="14"/>
        <v>BALIKESİR BÜYÜKŞEHİR/BALIKESİR</v>
      </c>
      <c r="E637" t="s">
        <v>3750</v>
      </c>
      <c r="F637" t="s">
        <v>3750</v>
      </c>
      <c r="G637" t="s">
        <v>3366</v>
      </c>
      <c r="H637">
        <v>2105</v>
      </c>
      <c r="I637">
        <v>210.5</v>
      </c>
      <c r="J637">
        <v>630.70000000000005</v>
      </c>
      <c r="K637">
        <v>63.07</v>
      </c>
      <c r="L637">
        <v>1474.3</v>
      </c>
      <c r="M637">
        <v>147.43</v>
      </c>
      <c r="O637" s="79">
        <f>IFERROR(VLOOKUP(D637,'KAPANAN BLD.'!$C$2:$D$793,2,FALSE),0)</f>
        <v>0</v>
      </c>
      <c r="P637" s="79">
        <v>0</v>
      </c>
    </row>
    <row r="638" spans="1:16" x14ac:dyDescent="0.25">
      <c r="A638" t="s">
        <v>32</v>
      </c>
      <c r="B638" s="73" t="str">
        <f>VLOOKUP(C638,'Büyükşehir List'!$C$2:$D$31,2,FALSE)</f>
        <v>BALIKESİR BÜYÜKŞEHİR</v>
      </c>
      <c r="C638" t="s">
        <v>44</v>
      </c>
      <c r="D638" s="73" t="str">
        <f t="shared" si="14"/>
        <v>BALIKESİR BÜYÜKŞEHİR/BALIKESİR</v>
      </c>
      <c r="E638" t="s">
        <v>357</v>
      </c>
      <c r="F638" t="s">
        <v>357</v>
      </c>
      <c r="G638" t="s">
        <v>3366</v>
      </c>
      <c r="H638">
        <v>764.3</v>
      </c>
      <c r="I638">
        <v>76.430000000000007</v>
      </c>
      <c r="J638">
        <v>0</v>
      </c>
      <c r="K638">
        <v>0</v>
      </c>
      <c r="L638">
        <v>764.3</v>
      </c>
      <c r="M638">
        <v>76.430000000000007</v>
      </c>
      <c r="O638" s="79">
        <f>IFERROR(VLOOKUP(D638,'KAPANAN BLD.'!$C$2:$D$793,2,FALSE),0)</f>
        <v>0</v>
      </c>
      <c r="P638" s="79">
        <v>0</v>
      </c>
    </row>
    <row r="639" spans="1:16" x14ac:dyDescent="0.25">
      <c r="A639" t="s">
        <v>32</v>
      </c>
      <c r="B639" s="73" t="str">
        <f>VLOOKUP(C639,'Büyükşehir List'!$C$2:$D$31,2,FALSE)</f>
        <v>BALIKESİR BÜYÜKŞEHİR</v>
      </c>
      <c r="C639" t="s">
        <v>44</v>
      </c>
      <c r="D639" s="73" t="str">
        <f t="shared" si="14"/>
        <v>BALIKESİR BÜYÜKŞEHİR/BALIKESİR</v>
      </c>
      <c r="E639" t="s">
        <v>357</v>
      </c>
      <c r="F639" t="s">
        <v>357</v>
      </c>
      <c r="G639" t="s">
        <v>3367</v>
      </c>
      <c r="H639">
        <v>1260.7</v>
      </c>
      <c r="I639">
        <v>126.07</v>
      </c>
      <c r="J639">
        <v>0</v>
      </c>
      <c r="K639">
        <v>0</v>
      </c>
      <c r="L639">
        <v>1260.7</v>
      </c>
      <c r="M639">
        <v>126.07</v>
      </c>
      <c r="O639" s="79">
        <f>IFERROR(VLOOKUP(D639,'KAPANAN BLD.'!$C$2:$D$793,2,FALSE),0)</f>
        <v>0</v>
      </c>
      <c r="P639" s="79">
        <v>0</v>
      </c>
    </row>
    <row r="640" spans="1:16" x14ac:dyDescent="0.25">
      <c r="A640" t="s">
        <v>32</v>
      </c>
      <c r="B640" s="73" t="str">
        <f>VLOOKUP(C640,'Büyükşehir List'!$C$2:$D$31,2,FALSE)</f>
        <v>BALIKESİR BÜYÜKŞEHİR</v>
      </c>
      <c r="C640" t="s">
        <v>44</v>
      </c>
      <c r="D640" s="73" t="str">
        <f t="shared" si="14"/>
        <v>BALIKESİR BÜYÜKŞEHİR/BALIKESİR</v>
      </c>
      <c r="E640" t="s">
        <v>315</v>
      </c>
      <c r="F640" t="s">
        <v>315</v>
      </c>
      <c r="G640" t="s">
        <v>3366</v>
      </c>
      <c r="H640">
        <v>1710.1</v>
      </c>
      <c r="I640">
        <v>171.01</v>
      </c>
      <c r="J640">
        <v>505.9</v>
      </c>
      <c r="K640">
        <v>50.59</v>
      </c>
      <c r="L640">
        <v>1204.2</v>
      </c>
      <c r="M640">
        <v>120.42</v>
      </c>
      <c r="O640" s="79">
        <f>IFERROR(VLOOKUP(D640,'KAPANAN BLD.'!$C$2:$D$793,2,FALSE),0)</f>
        <v>0</v>
      </c>
      <c r="P640" s="79">
        <v>0</v>
      </c>
    </row>
    <row r="641" spans="1:16" x14ac:dyDescent="0.25">
      <c r="A641" t="s">
        <v>32</v>
      </c>
      <c r="B641" s="73" t="str">
        <f>VLOOKUP(C641,'Büyükşehir List'!$C$2:$D$31,2,FALSE)</f>
        <v>BALIKESİR BÜYÜKŞEHİR</v>
      </c>
      <c r="C641" t="s">
        <v>44</v>
      </c>
      <c r="D641" s="73" t="str">
        <f t="shared" si="14"/>
        <v>BALIKESİR BÜYÜKŞEHİR/BALIKESİR</v>
      </c>
      <c r="E641" t="s">
        <v>315</v>
      </c>
      <c r="F641" t="s">
        <v>315</v>
      </c>
      <c r="G641" t="s">
        <v>3367</v>
      </c>
      <c r="H641">
        <v>2604.4</v>
      </c>
      <c r="I641">
        <v>260.44</v>
      </c>
      <c r="J641">
        <v>46</v>
      </c>
      <c r="K641">
        <v>4.5999999999999996</v>
      </c>
      <c r="L641">
        <v>2558.4</v>
      </c>
      <c r="M641">
        <v>255.84</v>
      </c>
      <c r="O641" s="79">
        <f>IFERROR(VLOOKUP(D641,'KAPANAN BLD.'!$C$2:$D$793,2,FALSE),0)</f>
        <v>0</v>
      </c>
      <c r="P641" s="79">
        <v>0</v>
      </c>
    </row>
    <row r="642" spans="1:16" x14ac:dyDescent="0.25">
      <c r="A642" t="s">
        <v>32</v>
      </c>
      <c r="B642" s="73" t="str">
        <f t="shared" ref="B642:B705" si="15">F642</f>
        <v>AMASRA</v>
      </c>
      <c r="C642" t="s">
        <v>67</v>
      </c>
      <c r="D642" s="73" t="str">
        <f t="shared" si="14"/>
        <v>AMASRA/BARTIN</v>
      </c>
      <c r="E642" t="s">
        <v>2315</v>
      </c>
      <c r="F642" t="s">
        <v>2315</v>
      </c>
      <c r="G642" t="s">
        <v>3366</v>
      </c>
      <c r="H642">
        <v>21.2</v>
      </c>
      <c r="I642">
        <v>2.12</v>
      </c>
      <c r="J642">
        <v>0</v>
      </c>
      <c r="K642">
        <v>0</v>
      </c>
      <c r="L642">
        <v>21.2</v>
      </c>
      <c r="M642">
        <v>2.12</v>
      </c>
      <c r="O642" s="79">
        <f>IFERROR(VLOOKUP(D642,'KAPANAN BLD.'!$C$2:$D$793,2,FALSE),0)</f>
        <v>0</v>
      </c>
      <c r="P642" s="79">
        <v>0</v>
      </c>
    </row>
    <row r="643" spans="1:16" x14ac:dyDescent="0.25">
      <c r="A643" t="s">
        <v>32</v>
      </c>
      <c r="B643" s="73" t="str">
        <f t="shared" si="15"/>
        <v>AMASRA</v>
      </c>
      <c r="C643" t="s">
        <v>67</v>
      </c>
      <c r="D643" s="73" t="str">
        <f t="shared" ref="D643:D706" si="16">CONCATENATE(B643,"/",C643)</f>
        <v>AMASRA/BARTIN</v>
      </c>
      <c r="E643" t="s">
        <v>2315</v>
      </c>
      <c r="F643" t="s">
        <v>2315</v>
      </c>
      <c r="G643" t="s">
        <v>3367</v>
      </c>
      <c r="H643">
        <v>73.3</v>
      </c>
      <c r="I643">
        <v>7.33</v>
      </c>
      <c r="J643">
        <v>1.3</v>
      </c>
      <c r="K643">
        <v>0.13</v>
      </c>
      <c r="L643">
        <v>72</v>
      </c>
      <c r="M643">
        <v>7.2</v>
      </c>
      <c r="O643" s="79">
        <f>IFERROR(VLOOKUP(D643,'KAPANAN BLD.'!$C$2:$D$793,2,FALSE),0)</f>
        <v>0</v>
      </c>
      <c r="P643" s="79">
        <v>0</v>
      </c>
    </row>
    <row r="644" spans="1:16" x14ac:dyDescent="0.25">
      <c r="A644" t="s">
        <v>32</v>
      </c>
      <c r="B644" s="73" t="str">
        <f t="shared" si="15"/>
        <v>MERKEZ</v>
      </c>
      <c r="C644" t="s">
        <v>67</v>
      </c>
      <c r="D644" s="73" t="str">
        <f t="shared" si="16"/>
        <v>MERKEZ/BARTIN</v>
      </c>
      <c r="E644" s="9" t="s">
        <v>34</v>
      </c>
      <c r="F644" s="9" t="s">
        <v>34</v>
      </c>
      <c r="G644" t="s">
        <v>3367</v>
      </c>
      <c r="H644">
        <v>411.5</v>
      </c>
      <c r="I644">
        <v>41.15</v>
      </c>
      <c r="J644">
        <v>916.7</v>
      </c>
      <c r="K644">
        <v>91.67</v>
      </c>
      <c r="L644">
        <v>-505.2</v>
      </c>
      <c r="M644">
        <v>-50.52</v>
      </c>
      <c r="O644" s="79">
        <f>IFERROR(VLOOKUP(D644,'KAPANAN BLD.'!$C$2:$D$793,2,FALSE),0)</f>
        <v>0</v>
      </c>
      <c r="P644" s="79">
        <v>0</v>
      </c>
    </row>
    <row r="645" spans="1:16" x14ac:dyDescent="0.25">
      <c r="A645" t="s">
        <v>32</v>
      </c>
      <c r="B645" s="73" t="str">
        <f t="shared" si="15"/>
        <v>MERKEZ</v>
      </c>
      <c r="C645" t="s">
        <v>67</v>
      </c>
      <c r="D645" s="73" t="str">
        <f t="shared" si="16"/>
        <v>MERKEZ/BARTIN</v>
      </c>
      <c r="E645" s="9" t="s">
        <v>34</v>
      </c>
      <c r="F645" s="9" t="s">
        <v>34</v>
      </c>
      <c r="G645" t="s">
        <v>3366</v>
      </c>
      <c r="H645">
        <v>147.69999999999999</v>
      </c>
      <c r="I645">
        <v>14.77</v>
      </c>
      <c r="J645">
        <v>757.2</v>
      </c>
      <c r="K645">
        <v>75.72</v>
      </c>
      <c r="L645">
        <v>-609.5</v>
      </c>
      <c r="M645">
        <v>-60.95</v>
      </c>
      <c r="O645" s="79">
        <f>IFERROR(VLOOKUP(D645,'KAPANAN BLD.'!$C$2:$D$793,2,FALSE),0)</f>
        <v>0</v>
      </c>
      <c r="P645" s="79">
        <v>0</v>
      </c>
    </row>
    <row r="646" spans="1:16" x14ac:dyDescent="0.25">
      <c r="A646" t="s">
        <v>32</v>
      </c>
      <c r="B646" s="73" t="str">
        <f t="shared" si="15"/>
        <v>MERKEZ</v>
      </c>
      <c r="C646" t="s">
        <v>67</v>
      </c>
      <c r="D646" s="73" t="str">
        <f t="shared" si="16"/>
        <v>MERKEZ/BARTIN</v>
      </c>
      <c r="E646" s="9" t="s">
        <v>34</v>
      </c>
      <c r="F646" s="9" t="s">
        <v>34</v>
      </c>
      <c r="G646" t="s">
        <v>3366</v>
      </c>
      <c r="H646">
        <v>4666.2</v>
      </c>
      <c r="I646">
        <v>466.62</v>
      </c>
      <c r="J646">
        <v>2521.6</v>
      </c>
      <c r="K646">
        <v>252.16</v>
      </c>
      <c r="L646">
        <v>2144.6</v>
      </c>
      <c r="M646">
        <v>214.46</v>
      </c>
      <c r="O646" s="79">
        <f>IFERROR(VLOOKUP(D646,'KAPANAN BLD.'!$C$2:$D$793,2,FALSE),0)</f>
        <v>0</v>
      </c>
      <c r="P646" s="79">
        <v>0</v>
      </c>
    </row>
    <row r="647" spans="1:16" x14ac:dyDescent="0.25">
      <c r="A647" t="s">
        <v>32</v>
      </c>
      <c r="B647" s="73" t="str">
        <f t="shared" si="15"/>
        <v>MERKEZ</v>
      </c>
      <c r="C647" t="s">
        <v>67</v>
      </c>
      <c r="D647" s="73" t="str">
        <f t="shared" si="16"/>
        <v>MERKEZ/BARTIN</v>
      </c>
      <c r="E647" s="9" t="s">
        <v>34</v>
      </c>
      <c r="F647" s="9" t="s">
        <v>34</v>
      </c>
      <c r="G647" t="s">
        <v>3367</v>
      </c>
      <c r="H647">
        <v>3366.8</v>
      </c>
      <c r="I647">
        <v>336.68</v>
      </c>
      <c r="J647">
        <v>838.1</v>
      </c>
      <c r="K647">
        <v>83.81</v>
      </c>
      <c r="L647">
        <v>2528.6999999999998</v>
      </c>
      <c r="M647">
        <v>252.87</v>
      </c>
      <c r="O647" s="79">
        <f>IFERROR(VLOOKUP(D647,'KAPANAN BLD.'!$C$2:$D$793,2,FALSE),0)</f>
        <v>0</v>
      </c>
      <c r="P647" s="79">
        <v>0</v>
      </c>
    </row>
    <row r="648" spans="1:16" x14ac:dyDescent="0.25">
      <c r="A648" t="s">
        <v>32</v>
      </c>
      <c r="B648" s="73" t="str">
        <f t="shared" si="15"/>
        <v>ULUS</v>
      </c>
      <c r="C648" t="s">
        <v>67</v>
      </c>
      <c r="D648" s="73" t="str">
        <f t="shared" si="16"/>
        <v>ULUS/BARTIN</v>
      </c>
      <c r="E648" s="9" t="s">
        <v>1816</v>
      </c>
      <c r="F648" s="9" t="s">
        <v>1816</v>
      </c>
      <c r="G648" t="s">
        <v>3366</v>
      </c>
      <c r="H648">
        <v>5131.7</v>
      </c>
      <c r="I648">
        <v>513.16999999999996</v>
      </c>
      <c r="J648">
        <v>0</v>
      </c>
      <c r="K648">
        <v>0</v>
      </c>
      <c r="L648">
        <v>5131.7</v>
      </c>
      <c r="M648">
        <v>513.16999999999996</v>
      </c>
      <c r="O648" s="79">
        <f>IFERROR(VLOOKUP(D648,'KAPANAN BLD.'!$C$2:$D$793,2,FALSE),0)</f>
        <v>0</v>
      </c>
      <c r="P648" s="79">
        <v>0</v>
      </c>
    </row>
    <row r="649" spans="1:16" x14ac:dyDescent="0.25">
      <c r="A649" t="s">
        <v>32</v>
      </c>
      <c r="B649" s="73" t="str">
        <f t="shared" si="15"/>
        <v>ULUS</v>
      </c>
      <c r="C649" t="s">
        <v>67</v>
      </c>
      <c r="D649" s="73" t="str">
        <f t="shared" si="16"/>
        <v>ULUS/BARTIN</v>
      </c>
      <c r="E649" s="9" t="s">
        <v>1816</v>
      </c>
      <c r="F649" s="9" t="s">
        <v>1816</v>
      </c>
      <c r="G649" t="s">
        <v>3367</v>
      </c>
      <c r="H649">
        <v>3054.1</v>
      </c>
      <c r="I649">
        <v>305.41000000000003</v>
      </c>
      <c r="J649">
        <v>0</v>
      </c>
      <c r="K649">
        <v>0</v>
      </c>
      <c r="L649">
        <v>3054.1</v>
      </c>
      <c r="M649">
        <v>305.41000000000003</v>
      </c>
      <c r="O649" s="79">
        <f>IFERROR(VLOOKUP(D649,'KAPANAN BLD.'!$C$2:$D$793,2,FALSE),0)</f>
        <v>0</v>
      </c>
      <c r="P649" s="79">
        <v>0</v>
      </c>
    </row>
    <row r="650" spans="1:16" x14ac:dyDescent="0.25">
      <c r="A650" t="s">
        <v>32</v>
      </c>
      <c r="B650" s="73" t="str">
        <f t="shared" si="15"/>
        <v>KURUCAŞİLE</v>
      </c>
      <c r="C650" t="s">
        <v>67</v>
      </c>
      <c r="D650" s="73" t="str">
        <f t="shared" si="16"/>
        <v>KURUCAŞİLE/BARTIN</v>
      </c>
      <c r="E650" t="s">
        <v>2317</v>
      </c>
      <c r="F650" t="s">
        <v>2317</v>
      </c>
      <c r="G650" t="s">
        <v>3366</v>
      </c>
      <c r="H650">
        <v>34</v>
      </c>
      <c r="I650">
        <v>3.4</v>
      </c>
      <c r="J650">
        <v>0</v>
      </c>
      <c r="K650">
        <v>0</v>
      </c>
      <c r="L650">
        <v>34</v>
      </c>
      <c r="M650">
        <v>3.4</v>
      </c>
      <c r="O650" s="79">
        <f>IFERROR(VLOOKUP(D650,'KAPANAN BLD.'!$C$2:$D$793,2,FALSE),0)</f>
        <v>0</v>
      </c>
      <c r="P650" s="79">
        <v>0</v>
      </c>
    </row>
    <row r="651" spans="1:16" x14ac:dyDescent="0.25">
      <c r="A651" t="s">
        <v>32</v>
      </c>
      <c r="B651" s="73" t="str">
        <f t="shared" si="15"/>
        <v>KURUCAŞİLE</v>
      </c>
      <c r="C651" t="s">
        <v>67</v>
      </c>
      <c r="D651" s="73" t="str">
        <f t="shared" si="16"/>
        <v>KURUCAŞİLE/BARTIN</v>
      </c>
      <c r="E651" t="s">
        <v>2317</v>
      </c>
      <c r="F651" t="s">
        <v>2317</v>
      </c>
      <c r="G651" t="s">
        <v>3367</v>
      </c>
      <c r="H651">
        <v>84.7</v>
      </c>
      <c r="I651">
        <v>8.4700000000000006</v>
      </c>
      <c r="J651">
        <v>0</v>
      </c>
      <c r="K651">
        <v>0</v>
      </c>
      <c r="L651">
        <v>84.7</v>
      </c>
      <c r="M651">
        <v>8.4700000000000006</v>
      </c>
      <c r="O651" s="79">
        <f>IFERROR(VLOOKUP(D651,'KAPANAN BLD.'!$C$2:$D$793,2,FALSE),0)</f>
        <v>0</v>
      </c>
      <c r="P651" s="79">
        <v>0</v>
      </c>
    </row>
    <row r="652" spans="1:16" x14ac:dyDescent="0.25">
      <c r="A652" t="s">
        <v>32</v>
      </c>
      <c r="B652" s="73" t="str">
        <f t="shared" si="15"/>
        <v>MERKEZ</v>
      </c>
      <c r="C652" t="s">
        <v>67</v>
      </c>
      <c r="D652" s="73" t="str">
        <f t="shared" si="16"/>
        <v>MERKEZ/BARTIN</v>
      </c>
      <c r="E652" t="s">
        <v>34</v>
      </c>
      <c r="F652" t="s">
        <v>34</v>
      </c>
      <c r="G652" t="s">
        <v>3367</v>
      </c>
      <c r="H652">
        <v>343.1</v>
      </c>
      <c r="I652">
        <v>34.31</v>
      </c>
      <c r="J652">
        <v>880.1</v>
      </c>
      <c r="K652">
        <v>88.01</v>
      </c>
      <c r="L652">
        <v>-537</v>
      </c>
      <c r="M652">
        <v>-53.7</v>
      </c>
      <c r="O652" s="79">
        <f>IFERROR(VLOOKUP(D652,'KAPANAN BLD.'!$C$2:$D$793,2,FALSE),0)</f>
        <v>0</v>
      </c>
      <c r="P652" s="79">
        <v>0</v>
      </c>
    </row>
    <row r="653" spans="1:16" x14ac:dyDescent="0.25">
      <c r="A653" t="s">
        <v>32</v>
      </c>
      <c r="B653" s="73" t="str">
        <f t="shared" si="15"/>
        <v>MERKEZ</v>
      </c>
      <c r="C653" t="s">
        <v>67</v>
      </c>
      <c r="D653" s="73" t="str">
        <f t="shared" si="16"/>
        <v>MERKEZ/BARTIN</v>
      </c>
      <c r="E653" t="s">
        <v>34</v>
      </c>
      <c r="F653" t="s">
        <v>34</v>
      </c>
      <c r="G653" t="s">
        <v>3366</v>
      </c>
      <c r="H653">
        <v>61.4</v>
      </c>
      <c r="I653">
        <v>6.14</v>
      </c>
      <c r="J653">
        <v>2861.2</v>
      </c>
      <c r="K653">
        <v>286.12</v>
      </c>
      <c r="L653">
        <v>-2799.8</v>
      </c>
      <c r="M653">
        <v>-279.98</v>
      </c>
      <c r="O653" s="79">
        <f>IFERROR(VLOOKUP(D653,'KAPANAN BLD.'!$C$2:$D$793,2,FALSE),0)</f>
        <v>0</v>
      </c>
      <c r="P653" s="79">
        <v>0</v>
      </c>
    </row>
    <row r="654" spans="1:16" x14ac:dyDescent="0.25">
      <c r="A654" t="s">
        <v>32</v>
      </c>
      <c r="B654" s="73" t="str">
        <f t="shared" si="15"/>
        <v>MERKEZ</v>
      </c>
      <c r="C654" t="s">
        <v>67</v>
      </c>
      <c r="D654" s="73" t="str">
        <f t="shared" si="16"/>
        <v>MERKEZ/BARTIN</v>
      </c>
      <c r="E654" t="s">
        <v>34</v>
      </c>
      <c r="F654" t="s">
        <v>34</v>
      </c>
      <c r="G654" t="s">
        <v>3366</v>
      </c>
      <c r="H654">
        <v>3794.6</v>
      </c>
      <c r="I654">
        <v>379.47</v>
      </c>
      <c r="J654">
        <v>0</v>
      </c>
      <c r="K654">
        <v>0</v>
      </c>
      <c r="L654">
        <v>3794.6</v>
      </c>
      <c r="M654">
        <v>379.47</v>
      </c>
      <c r="O654" s="79">
        <f>IFERROR(VLOOKUP(D654,'KAPANAN BLD.'!$C$2:$D$793,2,FALSE),0)</f>
        <v>0</v>
      </c>
      <c r="P654" s="79">
        <v>0</v>
      </c>
    </row>
    <row r="655" spans="1:16" x14ac:dyDescent="0.25">
      <c r="A655" t="s">
        <v>32</v>
      </c>
      <c r="B655" s="73" t="str">
        <f t="shared" si="15"/>
        <v>MERKEZ</v>
      </c>
      <c r="C655" t="s">
        <v>67</v>
      </c>
      <c r="D655" s="73" t="str">
        <f t="shared" si="16"/>
        <v>MERKEZ/BARTIN</v>
      </c>
      <c r="E655" t="s">
        <v>34</v>
      </c>
      <c r="F655" t="s">
        <v>34</v>
      </c>
      <c r="G655" t="s">
        <v>3367</v>
      </c>
      <c r="H655">
        <v>621</v>
      </c>
      <c r="I655">
        <v>62.1</v>
      </c>
      <c r="J655">
        <v>25.6</v>
      </c>
      <c r="K655">
        <v>2.56</v>
      </c>
      <c r="L655">
        <v>595.4</v>
      </c>
      <c r="M655">
        <v>59.54</v>
      </c>
      <c r="O655" s="79">
        <f>IFERROR(VLOOKUP(D655,'KAPANAN BLD.'!$C$2:$D$793,2,FALSE),0)</f>
        <v>0</v>
      </c>
      <c r="P655" s="79">
        <v>0</v>
      </c>
    </row>
    <row r="656" spans="1:16" x14ac:dyDescent="0.25">
      <c r="A656" t="s">
        <v>32</v>
      </c>
      <c r="B656" s="73" t="str">
        <f t="shared" si="15"/>
        <v>ULUS</v>
      </c>
      <c r="C656" t="s">
        <v>67</v>
      </c>
      <c r="D656" s="73" t="str">
        <f t="shared" si="16"/>
        <v>ULUS/BARTIN</v>
      </c>
      <c r="E656" t="s">
        <v>1816</v>
      </c>
      <c r="F656" t="s">
        <v>1816</v>
      </c>
      <c r="G656" t="s">
        <v>3367</v>
      </c>
      <c r="H656">
        <v>25.3</v>
      </c>
      <c r="I656">
        <v>2.5299999999999998</v>
      </c>
      <c r="J656">
        <v>0</v>
      </c>
      <c r="K656">
        <v>0</v>
      </c>
      <c r="L656">
        <v>25.3</v>
      </c>
      <c r="M656">
        <v>2.5299999999999998</v>
      </c>
      <c r="O656" s="79">
        <f>IFERROR(VLOOKUP(D656,'KAPANAN BLD.'!$C$2:$D$793,2,FALSE),0)</f>
        <v>0</v>
      </c>
      <c r="P656" s="79">
        <v>0</v>
      </c>
    </row>
    <row r="657" spans="1:16" x14ac:dyDescent="0.25">
      <c r="A657" t="s">
        <v>32</v>
      </c>
      <c r="B657" s="73" t="str">
        <f t="shared" si="15"/>
        <v>ULUS</v>
      </c>
      <c r="C657" t="s">
        <v>67</v>
      </c>
      <c r="D657" s="73" t="str">
        <f t="shared" si="16"/>
        <v>ULUS/BARTIN</v>
      </c>
      <c r="E657" t="s">
        <v>1816</v>
      </c>
      <c r="F657" t="s">
        <v>1816</v>
      </c>
      <c r="G657" t="s">
        <v>3366</v>
      </c>
      <c r="H657">
        <v>482.7</v>
      </c>
      <c r="I657">
        <v>48.27</v>
      </c>
      <c r="J657">
        <v>0</v>
      </c>
      <c r="K657">
        <v>0</v>
      </c>
      <c r="L657">
        <v>482.7</v>
      </c>
      <c r="M657">
        <v>48.27</v>
      </c>
      <c r="O657" s="79">
        <f>IFERROR(VLOOKUP(D657,'KAPANAN BLD.'!$C$2:$D$793,2,FALSE),0)</f>
        <v>0</v>
      </c>
      <c r="P657" s="79">
        <v>0</v>
      </c>
    </row>
    <row r="658" spans="1:16" x14ac:dyDescent="0.25">
      <c r="A658" t="s">
        <v>32</v>
      </c>
      <c r="B658" s="73" t="str">
        <f t="shared" si="15"/>
        <v>MERKEZ</v>
      </c>
      <c r="C658" t="s">
        <v>49</v>
      </c>
      <c r="D658" s="73" t="str">
        <f t="shared" si="16"/>
        <v>MERKEZ/BATMAN</v>
      </c>
      <c r="E658" s="9" t="s">
        <v>34</v>
      </c>
      <c r="F658" s="9" t="s">
        <v>34</v>
      </c>
      <c r="G658" t="s">
        <v>3367</v>
      </c>
      <c r="H658">
        <v>8510</v>
      </c>
      <c r="I658">
        <v>851</v>
      </c>
      <c r="J658">
        <v>5065.8</v>
      </c>
      <c r="K658">
        <v>506.58</v>
      </c>
      <c r="L658">
        <v>3444.2</v>
      </c>
      <c r="M658">
        <v>344.42</v>
      </c>
      <c r="O658" s="79">
        <f>IFERROR(VLOOKUP(D658,'KAPANAN BLD.'!$C$2:$D$793,2,FALSE),0)</f>
        <v>0</v>
      </c>
      <c r="P658" s="79">
        <v>0</v>
      </c>
    </row>
    <row r="659" spans="1:16" x14ac:dyDescent="0.25">
      <c r="A659" t="s">
        <v>32</v>
      </c>
      <c r="B659" s="73" t="str">
        <f t="shared" si="15"/>
        <v>MERKEZ</v>
      </c>
      <c r="C659" t="s">
        <v>49</v>
      </c>
      <c r="D659" s="73" t="str">
        <f t="shared" si="16"/>
        <v>MERKEZ/BATMAN</v>
      </c>
      <c r="E659" s="9" t="s">
        <v>34</v>
      </c>
      <c r="F659" s="9" t="s">
        <v>34</v>
      </c>
      <c r="G659" t="s">
        <v>3366</v>
      </c>
      <c r="H659">
        <v>7446.8</v>
      </c>
      <c r="I659">
        <v>744.68</v>
      </c>
      <c r="J659">
        <v>6663.9</v>
      </c>
      <c r="K659">
        <v>666.39</v>
      </c>
      <c r="L659">
        <v>782.9</v>
      </c>
      <c r="M659">
        <v>78.290000000000006</v>
      </c>
      <c r="O659" s="79">
        <f>IFERROR(VLOOKUP(D659,'KAPANAN BLD.'!$C$2:$D$793,2,FALSE),0)</f>
        <v>0</v>
      </c>
      <c r="P659" s="79">
        <v>0</v>
      </c>
    </row>
    <row r="660" spans="1:16" x14ac:dyDescent="0.25">
      <c r="A660" t="s">
        <v>32</v>
      </c>
      <c r="B660" s="73" t="str">
        <f t="shared" si="15"/>
        <v>GERCÜŞ</v>
      </c>
      <c r="C660" t="s">
        <v>49</v>
      </c>
      <c r="D660" s="73" t="str">
        <f t="shared" si="16"/>
        <v>GERCÜŞ/BATMAN</v>
      </c>
      <c r="E660" t="s">
        <v>2243</v>
      </c>
      <c r="F660" t="s">
        <v>2243</v>
      </c>
      <c r="G660" t="s">
        <v>3366</v>
      </c>
      <c r="H660">
        <v>957.8</v>
      </c>
      <c r="I660">
        <v>95.78</v>
      </c>
      <c r="J660">
        <v>0</v>
      </c>
      <c r="K660">
        <v>0</v>
      </c>
      <c r="L660">
        <v>957.8</v>
      </c>
      <c r="M660">
        <v>95.78</v>
      </c>
      <c r="O660" s="79">
        <f>IFERROR(VLOOKUP(D660,'KAPANAN BLD.'!$C$2:$D$793,2,FALSE),0)</f>
        <v>0</v>
      </c>
      <c r="P660" s="79">
        <v>0</v>
      </c>
    </row>
    <row r="661" spans="1:16" x14ac:dyDescent="0.25">
      <c r="A661" t="s">
        <v>32</v>
      </c>
      <c r="B661" s="73" t="str">
        <f t="shared" si="15"/>
        <v>GERCÜŞ</v>
      </c>
      <c r="C661" t="s">
        <v>49</v>
      </c>
      <c r="D661" s="73" t="str">
        <f t="shared" si="16"/>
        <v>GERCÜŞ/BATMAN</v>
      </c>
      <c r="E661" t="s">
        <v>2243</v>
      </c>
      <c r="F661" t="s">
        <v>2243</v>
      </c>
      <c r="G661" t="s">
        <v>3367</v>
      </c>
      <c r="H661">
        <v>6.1</v>
      </c>
      <c r="I661">
        <v>0.61</v>
      </c>
      <c r="J661">
        <v>0</v>
      </c>
      <c r="K661">
        <v>0</v>
      </c>
      <c r="L661">
        <v>6.1</v>
      </c>
      <c r="M661">
        <v>0.61</v>
      </c>
      <c r="O661" s="79">
        <f>IFERROR(VLOOKUP(D661,'KAPANAN BLD.'!$C$2:$D$793,2,FALSE),0)</f>
        <v>0</v>
      </c>
      <c r="P661" s="79">
        <v>0</v>
      </c>
    </row>
    <row r="662" spans="1:16" x14ac:dyDescent="0.25">
      <c r="A662" t="s">
        <v>32</v>
      </c>
      <c r="B662" s="73" t="str">
        <f t="shared" si="15"/>
        <v>BEŞİRİ</v>
      </c>
      <c r="C662" t="s">
        <v>49</v>
      </c>
      <c r="D662" s="73" t="str">
        <f t="shared" si="16"/>
        <v>BEŞİRİ/BATMAN</v>
      </c>
      <c r="E662" s="9" t="s">
        <v>527</v>
      </c>
      <c r="F662" s="9" t="s">
        <v>527</v>
      </c>
      <c r="G662" t="s">
        <v>3366</v>
      </c>
      <c r="H662">
        <v>4700.6000000000004</v>
      </c>
      <c r="I662">
        <v>470.06</v>
      </c>
      <c r="J662">
        <v>0</v>
      </c>
      <c r="K662">
        <v>0</v>
      </c>
      <c r="L662">
        <v>4700.6000000000004</v>
      </c>
      <c r="M662">
        <v>470.06</v>
      </c>
      <c r="O662" s="79">
        <f>IFERROR(VLOOKUP(D662,'KAPANAN BLD.'!$C$2:$D$793,2,FALSE),0)</f>
        <v>0</v>
      </c>
      <c r="P662" s="79">
        <v>0</v>
      </c>
    </row>
    <row r="663" spans="1:16" x14ac:dyDescent="0.25">
      <c r="A663" t="s">
        <v>32</v>
      </c>
      <c r="B663" s="73" t="str">
        <f t="shared" si="15"/>
        <v>BEŞİRİ</v>
      </c>
      <c r="C663" t="s">
        <v>49</v>
      </c>
      <c r="D663" s="73" t="str">
        <f t="shared" si="16"/>
        <v>BEŞİRİ/BATMAN</v>
      </c>
      <c r="E663" s="9" t="s">
        <v>527</v>
      </c>
      <c r="F663" s="9" t="s">
        <v>527</v>
      </c>
      <c r="G663" t="s">
        <v>3367</v>
      </c>
      <c r="H663">
        <v>7693</v>
      </c>
      <c r="I663">
        <v>769.3</v>
      </c>
      <c r="J663">
        <v>0</v>
      </c>
      <c r="K663">
        <v>0</v>
      </c>
      <c r="L663">
        <v>7693</v>
      </c>
      <c r="M663">
        <v>769.3</v>
      </c>
      <c r="O663" s="79">
        <f>IFERROR(VLOOKUP(D663,'KAPANAN BLD.'!$C$2:$D$793,2,FALSE),0)</f>
        <v>0</v>
      </c>
      <c r="P663" s="79">
        <v>0</v>
      </c>
    </row>
    <row r="664" spans="1:16" x14ac:dyDescent="0.25">
      <c r="A664" t="s">
        <v>32</v>
      </c>
      <c r="B664" s="73" t="str">
        <f t="shared" si="15"/>
        <v>MERKEZ</v>
      </c>
      <c r="C664" t="s">
        <v>49</v>
      </c>
      <c r="D664" s="73" t="str">
        <f t="shared" si="16"/>
        <v>MERKEZ/BATMAN</v>
      </c>
      <c r="E664" t="s">
        <v>34</v>
      </c>
      <c r="F664" t="s">
        <v>34</v>
      </c>
      <c r="G664" t="s">
        <v>3366</v>
      </c>
      <c r="H664">
        <v>7122.4</v>
      </c>
      <c r="I664">
        <v>712.24</v>
      </c>
      <c r="J664">
        <v>1957.4</v>
      </c>
      <c r="K664">
        <v>195.74</v>
      </c>
      <c r="L664">
        <v>5165</v>
      </c>
      <c r="M664">
        <v>516.5</v>
      </c>
      <c r="O664" s="79">
        <f>IFERROR(VLOOKUP(D664,'KAPANAN BLD.'!$C$2:$D$793,2,FALSE),0)</f>
        <v>0</v>
      </c>
      <c r="P664" s="79">
        <v>0</v>
      </c>
    </row>
    <row r="665" spans="1:16" x14ac:dyDescent="0.25">
      <c r="A665" t="s">
        <v>32</v>
      </c>
      <c r="B665" s="73" t="str">
        <f t="shared" si="15"/>
        <v>MERKEZ</v>
      </c>
      <c r="C665" t="s">
        <v>49</v>
      </c>
      <c r="D665" s="73" t="str">
        <f t="shared" si="16"/>
        <v>MERKEZ/BATMAN</v>
      </c>
      <c r="E665" t="s">
        <v>34</v>
      </c>
      <c r="F665" t="s">
        <v>34</v>
      </c>
      <c r="G665" t="s">
        <v>3367</v>
      </c>
      <c r="H665">
        <v>3210.9</v>
      </c>
      <c r="I665">
        <v>321.08999999999997</v>
      </c>
      <c r="J665">
        <v>563.4</v>
      </c>
      <c r="K665">
        <v>56.34</v>
      </c>
      <c r="L665">
        <v>2647.5</v>
      </c>
      <c r="M665">
        <v>264.75</v>
      </c>
      <c r="O665" s="79">
        <f>IFERROR(VLOOKUP(D665,'KAPANAN BLD.'!$C$2:$D$793,2,FALSE),0)</f>
        <v>0</v>
      </c>
      <c r="P665" s="79">
        <v>0</v>
      </c>
    </row>
    <row r="666" spans="1:16" x14ac:dyDescent="0.25">
      <c r="A666" t="s">
        <v>32</v>
      </c>
      <c r="B666" s="73" t="str">
        <f t="shared" si="15"/>
        <v>MERKEZ</v>
      </c>
      <c r="C666" t="s">
        <v>529</v>
      </c>
      <c r="D666" s="73" t="str">
        <f t="shared" si="16"/>
        <v>MERKEZ/BAYBURT</v>
      </c>
      <c r="E666" s="9" t="s">
        <v>34</v>
      </c>
      <c r="F666" s="9" t="s">
        <v>34</v>
      </c>
      <c r="G666" t="s">
        <v>3367</v>
      </c>
      <c r="H666">
        <v>15.6</v>
      </c>
      <c r="I666">
        <v>1.56</v>
      </c>
      <c r="J666">
        <v>0</v>
      </c>
      <c r="K666">
        <v>0</v>
      </c>
      <c r="L666">
        <v>15.6</v>
      </c>
      <c r="M666">
        <v>1.56</v>
      </c>
      <c r="O666" s="79">
        <f>IFERROR(VLOOKUP(D666,'KAPANAN BLD.'!$C$2:$D$793,2,FALSE),0)</f>
        <v>0</v>
      </c>
      <c r="P666" s="79">
        <v>0</v>
      </c>
    </row>
    <row r="667" spans="1:16" x14ac:dyDescent="0.25">
      <c r="A667" t="s">
        <v>32</v>
      </c>
      <c r="B667" s="73" t="str">
        <f t="shared" si="15"/>
        <v>MERKEZ</v>
      </c>
      <c r="C667" t="s">
        <v>529</v>
      </c>
      <c r="D667" s="73" t="str">
        <f t="shared" si="16"/>
        <v>MERKEZ/BAYBURT</v>
      </c>
      <c r="E667" s="9" t="s">
        <v>34</v>
      </c>
      <c r="F667" s="9" t="s">
        <v>34</v>
      </c>
      <c r="G667" t="s">
        <v>3366</v>
      </c>
      <c r="H667">
        <v>94.4</v>
      </c>
      <c r="I667">
        <v>9.44</v>
      </c>
      <c r="J667">
        <v>0</v>
      </c>
      <c r="K667">
        <v>0</v>
      </c>
      <c r="L667">
        <v>94.4</v>
      </c>
      <c r="M667">
        <v>9.44</v>
      </c>
      <c r="O667" s="79">
        <f>IFERROR(VLOOKUP(D667,'KAPANAN BLD.'!$C$2:$D$793,2,FALSE),0)</f>
        <v>0</v>
      </c>
      <c r="P667" s="79">
        <v>0</v>
      </c>
    </row>
    <row r="668" spans="1:16" x14ac:dyDescent="0.25">
      <c r="A668" t="s">
        <v>32</v>
      </c>
      <c r="B668" s="73" t="str">
        <f t="shared" si="15"/>
        <v>MERKEZ</v>
      </c>
      <c r="C668" t="s">
        <v>50</v>
      </c>
      <c r="D668" s="73" t="str">
        <f t="shared" si="16"/>
        <v>MERKEZ/BİLECİK</v>
      </c>
      <c r="E668" s="9" t="s">
        <v>34</v>
      </c>
      <c r="F668" s="9" t="s">
        <v>34</v>
      </c>
      <c r="G668" t="s">
        <v>3366</v>
      </c>
      <c r="H668">
        <v>560.9</v>
      </c>
      <c r="I668">
        <v>56.09</v>
      </c>
      <c r="J668">
        <v>402.8</v>
      </c>
      <c r="K668">
        <v>40.28</v>
      </c>
      <c r="L668">
        <v>158.1</v>
      </c>
      <c r="M668">
        <v>15.81</v>
      </c>
      <c r="O668" s="79">
        <f>IFERROR(VLOOKUP(D668,'KAPANAN BLD.'!$C$2:$D$793,2,FALSE),0)</f>
        <v>0</v>
      </c>
      <c r="P668" s="79">
        <v>0</v>
      </c>
    </row>
    <row r="669" spans="1:16" x14ac:dyDescent="0.25">
      <c r="A669" t="s">
        <v>32</v>
      </c>
      <c r="B669" s="73" t="str">
        <f t="shared" si="15"/>
        <v>MERKEZ</v>
      </c>
      <c r="C669" t="s">
        <v>50</v>
      </c>
      <c r="D669" s="73" t="str">
        <f t="shared" si="16"/>
        <v>MERKEZ/BİLECİK</v>
      </c>
      <c r="E669" s="9" t="s">
        <v>34</v>
      </c>
      <c r="F669" s="9" t="s">
        <v>34</v>
      </c>
      <c r="G669" t="s">
        <v>3367</v>
      </c>
      <c r="H669">
        <v>341.8</v>
      </c>
      <c r="I669">
        <v>34.18</v>
      </c>
      <c r="J669">
        <v>45</v>
      </c>
      <c r="K669">
        <v>4.5</v>
      </c>
      <c r="L669">
        <v>296.8</v>
      </c>
      <c r="M669">
        <v>29.68</v>
      </c>
      <c r="O669" s="79">
        <f>IFERROR(VLOOKUP(D669,'KAPANAN BLD.'!$C$2:$D$793,2,FALSE),0)</f>
        <v>0</v>
      </c>
      <c r="P669" s="79">
        <v>0</v>
      </c>
    </row>
    <row r="670" spans="1:16" x14ac:dyDescent="0.25">
      <c r="A670" t="s">
        <v>32</v>
      </c>
      <c r="B670" s="73" t="str">
        <f t="shared" si="15"/>
        <v>BOZÜYÜK</v>
      </c>
      <c r="C670" t="s">
        <v>50</v>
      </c>
      <c r="D670" s="73" t="str">
        <f t="shared" si="16"/>
        <v>BOZÜYÜK/BİLECİK</v>
      </c>
      <c r="E670" t="s">
        <v>167</v>
      </c>
      <c r="F670" t="s">
        <v>167</v>
      </c>
      <c r="G670" t="s">
        <v>3366</v>
      </c>
      <c r="H670">
        <v>798.9</v>
      </c>
      <c r="I670">
        <v>79.89</v>
      </c>
      <c r="J670">
        <v>146.4</v>
      </c>
      <c r="K670">
        <v>14.64</v>
      </c>
      <c r="L670">
        <v>652.5</v>
      </c>
      <c r="M670">
        <v>65.25</v>
      </c>
      <c r="O670" s="79">
        <f>IFERROR(VLOOKUP(D670,'KAPANAN BLD.'!$C$2:$D$793,2,FALSE),0)</f>
        <v>0</v>
      </c>
      <c r="P670" s="79">
        <v>0</v>
      </c>
    </row>
    <row r="671" spans="1:16" x14ac:dyDescent="0.25">
      <c r="A671" t="s">
        <v>32</v>
      </c>
      <c r="B671" s="73" t="str">
        <f t="shared" si="15"/>
        <v>BOZÜYÜK</v>
      </c>
      <c r="C671" t="s">
        <v>50</v>
      </c>
      <c r="D671" s="73" t="str">
        <f t="shared" si="16"/>
        <v>BOZÜYÜK/BİLECİK</v>
      </c>
      <c r="E671" t="s">
        <v>167</v>
      </c>
      <c r="F671" t="s">
        <v>167</v>
      </c>
      <c r="G671" t="s">
        <v>3367</v>
      </c>
      <c r="H671">
        <v>397.6</v>
      </c>
      <c r="I671">
        <v>39.76</v>
      </c>
      <c r="J671">
        <v>16.3</v>
      </c>
      <c r="K671">
        <v>1.63</v>
      </c>
      <c r="L671">
        <v>381.3</v>
      </c>
      <c r="M671">
        <v>38.130000000000003</v>
      </c>
      <c r="O671" s="79">
        <f>IFERROR(VLOOKUP(D671,'KAPANAN BLD.'!$C$2:$D$793,2,FALSE),0)</f>
        <v>0</v>
      </c>
      <c r="P671" s="79">
        <v>0</v>
      </c>
    </row>
    <row r="672" spans="1:16" x14ac:dyDescent="0.25">
      <c r="A672" t="s">
        <v>32</v>
      </c>
      <c r="B672" s="73" t="str">
        <f t="shared" si="15"/>
        <v>BOZÜYÜK</v>
      </c>
      <c r="C672" t="s">
        <v>50</v>
      </c>
      <c r="D672" s="73" t="str">
        <f t="shared" si="16"/>
        <v>BOZÜYÜK/BİLECİK</v>
      </c>
      <c r="E672" s="9" t="s">
        <v>167</v>
      </c>
      <c r="F672" s="9" t="s">
        <v>167</v>
      </c>
      <c r="G672" t="s">
        <v>3367</v>
      </c>
      <c r="H672">
        <v>83.5</v>
      </c>
      <c r="I672">
        <v>8.35</v>
      </c>
      <c r="J672">
        <v>0</v>
      </c>
      <c r="K672">
        <v>0</v>
      </c>
      <c r="L672">
        <v>83.5</v>
      </c>
      <c r="M672">
        <v>8.35</v>
      </c>
      <c r="O672" s="79">
        <f>IFERROR(VLOOKUP(D672,'KAPANAN BLD.'!$C$2:$D$793,2,FALSE),0)</f>
        <v>0</v>
      </c>
      <c r="P672" s="79">
        <v>0</v>
      </c>
    </row>
    <row r="673" spans="1:16" x14ac:dyDescent="0.25">
      <c r="A673" t="s">
        <v>32</v>
      </c>
      <c r="B673" s="73" t="str">
        <f t="shared" si="15"/>
        <v>BOZÜYÜK</v>
      </c>
      <c r="C673" t="s">
        <v>50</v>
      </c>
      <c r="D673" s="73" t="str">
        <f t="shared" si="16"/>
        <v>BOZÜYÜK/BİLECİK</v>
      </c>
      <c r="E673" s="9" t="s">
        <v>167</v>
      </c>
      <c r="F673" s="9" t="s">
        <v>167</v>
      </c>
      <c r="G673" t="s">
        <v>3366</v>
      </c>
      <c r="H673">
        <v>4.7</v>
      </c>
      <c r="I673">
        <v>0.47</v>
      </c>
      <c r="J673">
        <v>0</v>
      </c>
      <c r="K673">
        <v>0</v>
      </c>
      <c r="L673">
        <v>4.7</v>
      </c>
      <c r="M673">
        <v>0.47</v>
      </c>
      <c r="O673" s="79">
        <f>IFERROR(VLOOKUP(D673,'KAPANAN BLD.'!$C$2:$D$793,2,FALSE),0)</f>
        <v>0</v>
      </c>
      <c r="P673" s="79">
        <v>0</v>
      </c>
    </row>
    <row r="674" spans="1:16" x14ac:dyDescent="0.25">
      <c r="A674" t="s">
        <v>32</v>
      </c>
      <c r="B674" s="73" t="str">
        <f t="shared" si="15"/>
        <v>SÖĞÜT</v>
      </c>
      <c r="C674" t="s">
        <v>50</v>
      </c>
      <c r="D674" s="73" t="str">
        <f t="shared" si="16"/>
        <v>SÖĞÜT/BİLECİK</v>
      </c>
      <c r="E674" s="9" t="s">
        <v>532</v>
      </c>
      <c r="F674" s="9" t="s">
        <v>532</v>
      </c>
      <c r="G674" t="s">
        <v>3367</v>
      </c>
      <c r="H674">
        <v>98.4</v>
      </c>
      <c r="I674">
        <v>9.84</v>
      </c>
      <c r="J674">
        <v>0</v>
      </c>
      <c r="K674">
        <v>0</v>
      </c>
      <c r="L674">
        <v>98.4</v>
      </c>
      <c r="M674">
        <v>9.84</v>
      </c>
      <c r="O674" s="79">
        <f>IFERROR(VLOOKUP(D674,'KAPANAN BLD.'!$C$2:$D$793,2,FALSE),0)</f>
        <v>0</v>
      </c>
      <c r="P674" s="79">
        <v>0</v>
      </c>
    </row>
    <row r="675" spans="1:16" x14ac:dyDescent="0.25">
      <c r="A675" t="s">
        <v>32</v>
      </c>
      <c r="B675" s="73" t="str">
        <f t="shared" si="15"/>
        <v>SÖĞÜT</v>
      </c>
      <c r="C675" t="s">
        <v>50</v>
      </c>
      <c r="D675" s="73" t="str">
        <f t="shared" si="16"/>
        <v>SÖĞÜT/BİLECİK</v>
      </c>
      <c r="E675" s="9" t="s">
        <v>532</v>
      </c>
      <c r="F675" s="9" t="s">
        <v>532</v>
      </c>
      <c r="G675" t="s">
        <v>3366</v>
      </c>
      <c r="H675">
        <v>888.9</v>
      </c>
      <c r="I675">
        <v>88.89</v>
      </c>
      <c r="J675">
        <v>0</v>
      </c>
      <c r="K675">
        <v>0</v>
      </c>
      <c r="L675">
        <v>888.9</v>
      </c>
      <c r="M675">
        <v>88.89</v>
      </c>
      <c r="O675" s="79">
        <f>IFERROR(VLOOKUP(D675,'KAPANAN BLD.'!$C$2:$D$793,2,FALSE),0)</f>
        <v>0</v>
      </c>
      <c r="P675" s="79">
        <v>0</v>
      </c>
    </row>
    <row r="676" spans="1:16" x14ac:dyDescent="0.25">
      <c r="A676" t="s">
        <v>32</v>
      </c>
      <c r="B676" s="73" t="str">
        <f t="shared" si="15"/>
        <v>BOZÜYÜK</v>
      </c>
      <c r="C676" t="s">
        <v>50</v>
      </c>
      <c r="D676" s="73" t="str">
        <f t="shared" si="16"/>
        <v>BOZÜYÜK/BİLECİK</v>
      </c>
      <c r="E676" s="9" t="s">
        <v>167</v>
      </c>
      <c r="F676" s="9" t="s">
        <v>167</v>
      </c>
      <c r="G676" t="s">
        <v>3366</v>
      </c>
      <c r="H676">
        <v>4073.5</v>
      </c>
      <c r="I676">
        <v>407.35</v>
      </c>
      <c r="J676">
        <v>1351.2</v>
      </c>
      <c r="K676">
        <v>135.12</v>
      </c>
      <c r="L676">
        <v>2722.3</v>
      </c>
      <c r="M676">
        <v>272.23</v>
      </c>
      <c r="O676" s="79">
        <f>IFERROR(VLOOKUP(D676,'KAPANAN BLD.'!$C$2:$D$793,2,FALSE),0)</f>
        <v>0</v>
      </c>
      <c r="P676" s="79">
        <v>0</v>
      </c>
    </row>
    <row r="677" spans="1:16" x14ac:dyDescent="0.25">
      <c r="A677" t="s">
        <v>32</v>
      </c>
      <c r="B677" s="73" t="str">
        <f t="shared" si="15"/>
        <v>BOZÜYÜK</v>
      </c>
      <c r="C677" t="s">
        <v>50</v>
      </c>
      <c r="D677" s="73" t="str">
        <f t="shared" si="16"/>
        <v>BOZÜYÜK/BİLECİK</v>
      </c>
      <c r="E677" s="9" t="s">
        <v>167</v>
      </c>
      <c r="F677" s="9" t="s">
        <v>167</v>
      </c>
      <c r="G677" t="s">
        <v>3367</v>
      </c>
      <c r="H677">
        <v>1317.2</v>
      </c>
      <c r="I677">
        <v>131.72</v>
      </c>
      <c r="J677">
        <v>176.3</v>
      </c>
      <c r="K677">
        <v>17.63</v>
      </c>
      <c r="L677">
        <v>1140.9000000000001</v>
      </c>
      <c r="M677">
        <v>114.09</v>
      </c>
      <c r="O677" s="79">
        <f>IFERROR(VLOOKUP(D677,'KAPANAN BLD.'!$C$2:$D$793,2,FALSE),0)</f>
        <v>0</v>
      </c>
      <c r="P677" s="79">
        <v>0</v>
      </c>
    </row>
    <row r="678" spans="1:16" x14ac:dyDescent="0.25">
      <c r="A678" t="s">
        <v>32</v>
      </c>
      <c r="B678" s="73" t="str">
        <f t="shared" si="15"/>
        <v>GÖLPAZARI</v>
      </c>
      <c r="C678" t="s">
        <v>50</v>
      </c>
      <c r="D678" s="73" t="str">
        <f t="shared" si="16"/>
        <v>GÖLPAZARI/BİLECİK</v>
      </c>
      <c r="E678" t="s">
        <v>279</v>
      </c>
      <c r="F678" t="s">
        <v>279</v>
      </c>
      <c r="G678" t="s">
        <v>3366</v>
      </c>
      <c r="H678">
        <v>508.2</v>
      </c>
      <c r="I678">
        <v>50.82</v>
      </c>
      <c r="J678">
        <v>0</v>
      </c>
      <c r="K678">
        <v>0</v>
      </c>
      <c r="L678">
        <v>508.2</v>
      </c>
      <c r="M678">
        <v>50.82</v>
      </c>
      <c r="O678" s="79">
        <f>IFERROR(VLOOKUP(D678,'KAPANAN BLD.'!$C$2:$D$793,2,FALSE),0)</f>
        <v>0</v>
      </c>
      <c r="P678" s="79">
        <v>0</v>
      </c>
    </row>
    <row r="679" spans="1:16" x14ac:dyDescent="0.25">
      <c r="A679" t="s">
        <v>32</v>
      </c>
      <c r="B679" s="73" t="str">
        <f t="shared" si="15"/>
        <v>GÖLPAZARI</v>
      </c>
      <c r="C679" t="s">
        <v>50</v>
      </c>
      <c r="D679" s="73" t="str">
        <f t="shared" si="16"/>
        <v>GÖLPAZARI/BİLECİK</v>
      </c>
      <c r="E679" t="s">
        <v>279</v>
      </c>
      <c r="F679" t="s">
        <v>279</v>
      </c>
      <c r="G679" t="s">
        <v>3367</v>
      </c>
      <c r="H679">
        <v>162.4</v>
      </c>
      <c r="I679">
        <v>16.239999999999998</v>
      </c>
      <c r="J679">
        <v>0</v>
      </c>
      <c r="K679">
        <v>0</v>
      </c>
      <c r="L679">
        <v>162.4</v>
      </c>
      <c r="M679">
        <v>16.239999999999998</v>
      </c>
      <c r="O679" s="79">
        <f>IFERROR(VLOOKUP(D679,'KAPANAN BLD.'!$C$2:$D$793,2,FALSE),0)</f>
        <v>0</v>
      </c>
      <c r="P679" s="79">
        <v>0</v>
      </c>
    </row>
    <row r="680" spans="1:16" x14ac:dyDescent="0.25">
      <c r="A680" t="s">
        <v>32</v>
      </c>
      <c r="B680" s="73" t="str">
        <f t="shared" si="15"/>
        <v>SÖĞÜT</v>
      </c>
      <c r="C680" t="s">
        <v>50</v>
      </c>
      <c r="D680" s="73" t="str">
        <f t="shared" si="16"/>
        <v>SÖĞÜT/BİLECİK</v>
      </c>
      <c r="E680" s="9" t="s">
        <v>532</v>
      </c>
      <c r="F680" s="9" t="s">
        <v>532</v>
      </c>
      <c r="G680" t="s">
        <v>3367</v>
      </c>
      <c r="H680">
        <v>200.2</v>
      </c>
      <c r="I680">
        <v>20.02</v>
      </c>
      <c r="J680">
        <v>0</v>
      </c>
      <c r="K680">
        <v>0</v>
      </c>
      <c r="L680">
        <v>200.2</v>
      </c>
      <c r="M680">
        <v>20.02</v>
      </c>
      <c r="O680" s="79">
        <f>IFERROR(VLOOKUP(D680,'KAPANAN BLD.'!$C$2:$D$793,2,FALSE),0)</f>
        <v>0</v>
      </c>
      <c r="P680" s="79">
        <v>0</v>
      </c>
    </row>
    <row r="681" spans="1:16" x14ac:dyDescent="0.25">
      <c r="A681" t="s">
        <v>32</v>
      </c>
      <c r="B681" s="73" t="str">
        <f t="shared" si="15"/>
        <v>SÖĞÜT</v>
      </c>
      <c r="C681" t="s">
        <v>50</v>
      </c>
      <c r="D681" s="73" t="str">
        <f t="shared" si="16"/>
        <v>SÖĞÜT/BİLECİK</v>
      </c>
      <c r="E681" s="9" t="s">
        <v>532</v>
      </c>
      <c r="F681" s="9" t="s">
        <v>532</v>
      </c>
      <c r="G681" t="s">
        <v>3366</v>
      </c>
      <c r="H681">
        <v>1392.7</v>
      </c>
      <c r="I681">
        <v>139.27000000000001</v>
      </c>
      <c r="J681">
        <v>0</v>
      </c>
      <c r="K681">
        <v>0</v>
      </c>
      <c r="L681">
        <v>1392.7</v>
      </c>
      <c r="M681">
        <v>139.27000000000001</v>
      </c>
      <c r="O681" s="79">
        <f>IFERROR(VLOOKUP(D681,'KAPANAN BLD.'!$C$2:$D$793,2,FALSE),0)</f>
        <v>0</v>
      </c>
      <c r="P681" s="79">
        <v>0</v>
      </c>
    </row>
    <row r="682" spans="1:16" x14ac:dyDescent="0.25">
      <c r="A682" t="s">
        <v>32</v>
      </c>
      <c r="B682" s="73" t="str">
        <f t="shared" si="15"/>
        <v>MERKEZ</v>
      </c>
      <c r="C682" t="s">
        <v>50</v>
      </c>
      <c r="D682" s="73" t="str">
        <f t="shared" si="16"/>
        <v>MERKEZ/BİLECİK</v>
      </c>
      <c r="E682" t="s">
        <v>34</v>
      </c>
      <c r="F682" t="s">
        <v>34</v>
      </c>
      <c r="G682" t="s">
        <v>3367</v>
      </c>
      <c r="H682">
        <v>338.9</v>
      </c>
      <c r="I682">
        <v>33.89</v>
      </c>
      <c r="J682">
        <v>33.799999999999997</v>
      </c>
      <c r="K682">
        <v>3.38</v>
      </c>
      <c r="L682">
        <v>305.10000000000002</v>
      </c>
      <c r="M682">
        <v>30.51</v>
      </c>
      <c r="O682" s="79">
        <f>IFERROR(VLOOKUP(D682,'KAPANAN BLD.'!$C$2:$D$793,2,FALSE),0)</f>
        <v>0</v>
      </c>
      <c r="P682" s="79">
        <v>0</v>
      </c>
    </row>
    <row r="683" spans="1:16" x14ac:dyDescent="0.25">
      <c r="A683" t="s">
        <v>32</v>
      </c>
      <c r="B683" s="73" t="str">
        <f t="shared" si="15"/>
        <v>MERKEZ</v>
      </c>
      <c r="C683" t="s">
        <v>50</v>
      </c>
      <c r="D683" s="73" t="str">
        <f t="shared" si="16"/>
        <v>MERKEZ/BİLECİK</v>
      </c>
      <c r="E683" t="s">
        <v>34</v>
      </c>
      <c r="F683" t="s">
        <v>34</v>
      </c>
      <c r="G683" t="s">
        <v>3366</v>
      </c>
      <c r="H683">
        <v>919.7</v>
      </c>
      <c r="I683">
        <v>91.97</v>
      </c>
      <c r="J683">
        <v>302.10000000000002</v>
      </c>
      <c r="K683">
        <v>30.21</v>
      </c>
      <c r="L683">
        <v>617.6</v>
      </c>
      <c r="M683">
        <v>61.76</v>
      </c>
      <c r="O683" s="79">
        <f>IFERROR(VLOOKUP(D683,'KAPANAN BLD.'!$C$2:$D$793,2,FALSE),0)</f>
        <v>0</v>
      </c>
      <c r="P683" s="79">
        <v>0</v>
      </c>
    </row>
    <row r="684" spans="1:16" x14ac:dyDescent="0.25">
      <c r="A684" t="s">
        <v>32</v>
      </c>
      <c r="B684" s="73" t="str">
        <f t="shared" si="15"/>
        <v>OSMANELİ</v>
      </c>
      <c r="C684" t="s">
        <v>50</v>
      </c>
      <c r="D684" s="73" t="str">
        <f t="shared" si="16"/>
        <v>OSMANELİ/BİLECİK</v>
      </c>
      <c r="E684" t="s">
        <v>531</v>
      </c>
      <c r="F684" t="s">
        <v>531</v>
      </c>
      <c r="G684" t="s">
        <v>3366</v>
      </c>
      <c r="H684">
        <v>714</v>
      </c>
      <c r="I684">
        <v>71.400000000000006</v>
      </c>
      <c r="J684">
        <v>0</v>
      </c>
      <c r="K684">
        <v>0</v>
      </c>
      <c r="L684">
        <v>714</v>
      </c>
      <c r="M684">
        <v>71.400000000000006</v>
      </c>
      <c r="O684" s="79">
        <f>IFERROR(VLOOKUP(D684,'KAPANAN BLD.'!$C$2:$D$793,2,FALSE),0)</f>
        <v>0</v>
      </c>
      <c r="P684" s="79">
        <v>0</v>
      </c>
    </row>
    <row r="685" spans="1:16" x14ac:dyDescent="0.25">
      <c r="A685" t="s">
        <v>32</v>
      </c>
      <c r="B685" s="73" t="str">
        <f t="shared" si="15"/>
        <v>OSMANELİ</v>
      </c>
      <c r="C685" t="s">
        <v>50</v>
      </c>
      <c r="D685" s="73" t="str">
        <f t="shared" si="16"/>
        <v>OSMANELİ/BİLECİK</v>
      </c>
      <c r="E685" t="s">
        <v>531</v>
      </c>
      <c r="F685" t="s">
        <v>531</v>
      </c>
      <c r="G685" t="s">
        <v>3367</v>
      </c>
      <c r="H685">
        <v>788.1</v>
      </c>
      <c r="I685">
        <v>78.81</v>
      </c>
      <c r="J685">
        <v>0</v>
      </c>
      <c r="K685">
        <v>0</v>
      </c>
      <c r="L685">
        <v>788.1</v>
      </c>
      <c r="M685">
        <v>78.81</v>
      </c>
      <c r="O685" s="79">
        <f>IFERROR(VLOOKUP(D685,'KAPANAN BLD.'!$C$2:$D$793,2,FALSE),0)</f>
        <v>0</v>
      </c>
      <c r="P685" s="79">
        <v>0</v>
      </c>
    </row>
    <row r="686" spans="1:16" x14ac:dyDescent="0.25">
      <c r="A686" t="s">
        <v>32</v>
      </c>
      <c r="B686" s="73" t="str">
        <f t="shared" si="15"/>
        <v>MERKEZ</v>
      </c>
      <c r="C686" t="s">
        <v>50</v>
      </c>
      <c r="D686" s="73" t="str">
        <f t="shared" si="16"/>
        <v>MERKEZ/BİLECİK</v>
      </c>
      <c r="E686" s="9" t="s">
        <v>34</v>
      </c>
      <c r="F686" s="9" t="s">
        <v>34</v>
      </c>
      <c r="G686" t="s">
        <v>3367</v>
      </c>
      <c r="H686">
        <v>131.69999999999999</v>
      </c>
      <c r="I686">
        <v>13.17</v>
      </c>
      <c r="J686">
        <v>0</v>
      </c>
      <c r="K686">
        <v>0</v>
      </c>
      <c r="L686">
        <v>131.69999999999999</v>
      </c>
      <c r="M686">
        <v>13.17</v>
      </c>
      <c r="O686" s="79">
        <f>IFERROR(VLOOKUP(D686,'KAPANAN BLD.'!$C$2:$D$793,2,FALSE),0)</f>
        <v>0</v>
      </c>
      <c r="P686" s="79">
        <v>0</v>
      </c>
    </row>
    <row r="687" spans="1:16" x14ac:dyDescent="0.25">
      <c r="A687" t="s">
        <v>32</v>
      </c>
      <c r="B687" s="73" t="str">
        <f t="shared" si="15"/>
        <v>MERKEZ</v>
      </c>
      <c r="C687" t="s">
        <v>50</v>
      </c>
      <c r="D687" s="73" t="str">
        <f t="shared" si="16"/>
        <v>MERKEZ/BİLECİK</v>
      </c>
      <c r="E687" s="9" t="s">
        <v>34</v>
      </c>
      <c r="F687" s="9" t="s">
        <v>34</v>
      </c>
      <c r="G687" t="s">
        <v>3366</v>
      </c>
      <c r="H687">
        <v>908.9</v>
      </c>
      <c r="I687">
        <v>90.89</v>
      </c>
      <c r="J687">
        <v>0</v>
      </c>
      <c r="K687">
        <v>0</v>
      </c>
      <c r="L687">
        <v>908.9</v>
      </c>
      <c r="M687">
        <v>90.89</v>
      </c>
      <c r="O687" s="79">
        <f>IFERROR(VLOOKUP(D687,'KAPANAN BLD.'!$C$2:$D$793,2,FALSE),0)</f>
        <v>0</v>
      </c>
      <c r="P687" s="79">
        <v>0</v>
      </c>
    </row>
    <row r="688" spans="1:16" x14ac:dyDescent="0.25">
      <c r="A688" t="s">
        <v>32</v>
      </c>
      <c r="B688" s="73" t="str">
        <f t="shared" si="15"/>
        <v>MERKEZ</v>
      </c>
      <c r="C688" t="s">
        <v>199</v>
      </c>
      <c r="D688" s="73" t="str">
        <f t="shared" si="16"/>
        <v>MERKEZ/BİNGÖL</v>
      </c>
      <c r="E688" s="9" t="s">
        <v>34</v>
      </c>
      <c r="F688" s="9" t="s">
        <v>34</v>
      </c>
      <c r="G688" t="s">
        <v>3367</v>
      </c>
      <c r="H688">
        <v>144.5</v>
      </c>
      <c r="I688">
        <v>14.45</v>
      </c>
      <c r="J688">
        <v>5509.5</v>
      </c>
      <c r="K688">
        <v>550.95000000000005</v>
      </c>
      <c r="L688">
        <v>-5365</v>
      </c>
      <c r="M688">
        <v>-536.5</v>
      </c>
      <c r="O688" s="79">
        <f>IFERROR(VLOOKUP(D688,'KAPANAN BLD.'!$C$2:$D$793,2,FALSE),0)</f>
        <v>0</v>
      </c>
      <c r="P688" s="79">
        <v>0</v>
      </c>
    </row>
    <row r="689" spans="1:16" x14ac:dyDescent="0.25">
      <c r="A689" t="s">
        <v>32</v>
      </c>
      <c r="B689" s="73" t="str">
        <f t="shared" si="15"/>
        <v>MERKEZ</v>
      </c>
      <c r="C689" t="s">
        <v>199</v>
      </c>
      <c r="D689" s="73" t="str">
        <f t="shared" si="16"/>
        <v>MERKEZ/BİNGÖL</v>
      </c>
      <c r="E689" s="9" t="s">
        <v>34</v>
      </c>
      <c r="F689" s="9" t="s">
        <v>34</v>
      </c>
      <c r="G689" t="s">
        <v>3366</v>
      </c>
      <c r="H689">
        <v>250.1</v>
      </c>
      <c r="I689">
        <v>25.01</v>
      </c>
      <c r="J689">
        <v>1540.9</v>
      </c>
      <c r="K689">
        <v>154.09</v>
      </c>
      <c r="L689">
        <v>-1290.8</v>
      </c>
      <c r="M689">
        <v>-129.08000000000001</v>
      </c>
      <c r="O689" s="79">
        <f>IFERROR(VLOOKUP(D689,'KAPANAN BLD.'!$C$2:$D$793,2,FALSE),0)</f>
        <v>0</v>
      </c>
      <c r="P689" s="79">
        <v>0</v>
      </c>
    </row>
    <row r="690" spans="1:16" x14ac:dyDescent="0.25">
      <c r="A690" t="s">
        <v>32</v>
      </c>
      <c r="B690" s="73" t="str">
        <f t="shared" si="15"/>
        <v>KARLIOVA</v>
      </c>
      <c r="C690" t="s">
        <v>199</v>
      </c>
      <c r="D690" s="73" t="str">
        <f t="shared" si="16"/>
        <v>KARLIOVA/BİNGÖL</v>
      </c>
      <c r="E690" t="s">
        <v>258</v>
      </c>
      <c r="F690" t="s">
        <v>258</v>
      </c>
      <c r="G690" t="s">
        <v>3367</v>
      </c>
      <c r="H690">
        <v>917.5</v>
      </c>
      <c r="I690">
        <v>91.75</v>
      </c>
      <c r="J690">
        <v>0</v>
      </c>
      <c r="K690">
        <v>0</v>
      </c>
      <c r="L690">
        <v>917.5</v>
      </c>
      <c r="M690">
        <v>91.75</v>
      </c>
      <c r="O690" s="79">
        <f>IFERROR(VLOOKUP(D690,'KAPANAN BLD.'!$C$2:$D$793,2,FALSE),0)</f>
        <v>0</v>
      </c>
      <c r="P690" s="79">
        <v>0</v>
      </c>
    </row>
    <row r="691" spans="1:16" x14ac:dyDescent="0.25">
      <c r="A691" t="s">
        <v>32</v>
      </c>
      <c r="B691" s="73" t="str">
        <f t="shared" si="15"/>
        <v>MERKEZ</v>
      </c>
      <c r="C691" t="s">
        <v>199</v>
      </c>
      <c r="D691" s="73" t="str">
        <f t="shared" si="16"/>
        <v>MERKEZ/BİNGÖL</v>
      </c>
      <c r="E691" t="s">
        <v>34</v>
      </c>
      <c r="F691" t="s">
        <v>34</v>
      </c>
      <c r="G691" t="s">
        <v>3367</v>
      </c>
      <c r="H691">
        <v>153.80000000000001</v>
      </c>
      <c r="I691">
        <v>15.38</v>
      </c>
      <c r="J691">
        <v>12.6</v>
      </c>
      <c r="K691">
        <v>1.26</v>
      </c>
      <c r="L691">
        <v>141.19999999999999</v>
      </c>
      <c r="M691">
        <v>14.12</v>
      </c>
      <c r="O691" s="79">
        <f>IFERROR(VLOOKUP(D691,'KAPANAN BLD.'!$C$2:$D$793,2,FALSE),0)</f>
        <v>0</v>
      </c>
      <c r="P691" s="79">
        <v>0</v>
      </c>
    </row>
    <row r="692" spans="1:16" x14ac:dyDescent="0.25">
      <c r="A692" t="s">
        <v>32</v>
      </c>
      <c r="B692" s="73" t="str">
        <f t="shared" si="15"/>
        <v>MERKEZ</v>
      </c>
      <c r="C692" t="s">
        <v>199</v>
      </c>
      <c r="D692" s="73" t="str">
        <f t="shared" si="16"/>
        <v>MERKEZ/BİNGÖL</v>
      </c>
      <c r="E692" t="s">
        <v>34</v>
      </c>
      <c r="F692" t="s">
        <v>34</v>
      </c>
      <c r="G692" t="s">
        <v>3366</v>
      </c>
      <c r="H692">
        <v>53.6</v>
      </c>
      <c r="I692">
        <v>5.36</v>
      </c>
      <c r="J692">
        <v>95.2</v>
      </c>
      <c r="K692">
        <v>9.52</v>
      </c>
      <c r="L692">
        <v>-41.6</v>
      </c>
      <c r="M692">
        <v>-4.16</v>
      </c>
      <c r="O692" s="79">
        <f>IFERROR(VLOOKUP(D692,'KAPANAN BLD.'!$C$2:$D$793,2,FALSE),0)</f>
        <v>0</v>
      </c>
      <c r="P692" s="79">
        <v>0</v>
      </c>
    </row>
    <row r="693" spans="1:16" x14ac:dyDescent="0.25">
      <c r="A693" t="s">
        <v>32</v>
      </c>
      <c r="B693" s="73" t="str">
        <f t="shared" si="15"/>
        <v>MERKEZ</v>
      </c>
      <c r="C693" t="s">
        <v>199</v>
      </c>
      <c r="D693" s="73" t="str">
        <f t="shared" si="16"/>
        <v>MERKEZ/BİNGÖL</v>
      </c>
      <c r="E693" s="9" t="s">
        <v>34</v>
      </c>
      <c r="F693" s="9" t="s">
        <v>34</v>
      </c>
      <c r="G693" t="s">
        <v>3367</v>
      </c>
      <c r="H693">
        <v>15157.2</v>
      </c>
      <c r="I693">
        <v>1515.72</v>
      </c>
      <c r="J693">
        <v>0</v>
      </c>
      <c r="K693">
        <v>0</v>
      </c>
      <c r="L693">
        <v>15157.2</v>
      </c>
      <c r="M693">
        <v>1515.72</v>
      </c>
      <c r="O693" s="79">
        <f>IFERROR(VLOOKUP(D693,'KAPANAN BLD.'!$C$2:$D$793,2,FALSE),0)</f>
        <v>0</v>
      </c>
      <c r="P693" s="79">
        <v>0</v>
      </c>
    </row>
    <row r="694" spans="1:16" x14ac:dyDescent="0.25">
      <c r="A694" t="s">
        <v>32</v>
      </c>
      <c r="B694" s="73" t="str">
        <f t="shared" si="15"/>
        <v>MERKEZ</v>
      </c>
      <c r="C694" t="s">
        <v>199</v>
      </c>
      <c r="D694" s="73" t="str">
        <f t="shared" si="16"/>
        <v>MERKEZ/BİNGÖL</v>
      </c>
      <c r="E694" s="9" t="s">
        <v>34</v>
      </c>
      <c r="F694" s="9" t="s">
        <v>34</v>
      </c>
      <c r="G694" t="s">
        <v>3366</v>
      </c>
      <c r="H694">
        <v>5680.2</v>
      </c>
      <c r="I694">
        <v>568.02</v>
      </c>
      <c r="J694">
        <v>0</v>
      </c>
      <c r="K694">
        <v>0</v>
      </c>
      <c r="L694">
        <v>5680.2</v>
      </c>
      <c r="M694">
        <v>568.02</v>
      </c>
      <c r="O694" s="79">
        <f>IFERROR(VLOOKUP(D694,'KAPANAN BLD.'!$C$2:$D$793,2,FALSE),0)</f>
        <v>0</v>
      </c>
      <c r="P694" s="79">
        <v>0</v>
      </c>
    </row>
    <row r="695" spans="1:16" x14ac:dyDescent="0.25">
      <c r="A695" t="s">
        <v>32</v>
      </c>
      <c r="B695" s="73" t="str">
        <f t="shared" si="15"/>
        <v>MERKEZ</v>
      </c>
      <c r="C695" t="s">
        <v>358</v>
      </c>
      <c r="D695" s="73" t="str">
        <f t="shared" si="16"/>
        <v>MERKEZ/BİTLİS</v>
      </c>
      <c r="E695" t="s">
        <v>34</v>
      </c>
      <c r="F695" t="s">
        <v>34</v>
      </c>
      <c r="G695" t="s">
        <v>3366</v>
      </c>
      <c r="H695">
        <v>11699.4</v>
      </c>
      <c r="I695">
        <v>1169.94</v>
      </c>
      <c r="J695">
        <v>8164.9</v>
      </c>
      <c r="K695">
        <v>816.49</v>
      </c>
      <c r="L695">
        <v>3534.5</v>
      </c>
      <c r="M695">
        <v>353.45</v>
      </c>
      <c r="O695" s="79">
        <f>IFERROR(VLOOKUP(D695,'KAPANAN BLD.'!$C$2:$D$793,2,FALSE),0)</f>
        <v>0</v>
      </c>
      <c r="P695" s="79">
        <v>0</v>
      </c>
    </row>
    <row r="696" spans="1:16" x14ac:dyDescent="0.25">
      <c r="A696" t="s">
        <v>32</v>
      </c>
      <c r="B696" s="73" t="str">
        <f t="shared" si="15"/>
        <v>MERKEZ</v>
      </c>
      <c r="C696" t="s">
        <v>358</v>
      </c>
      <c r="D696" s="73" t="str">
        <f t="shared" si="16"/>
        <v>MERKEZ/BİTLİS</v>
      </c>
      <c r="E696" t="s">
        <v>34</v>
      </c>
      <c r="F696" t="s">
        <v>34</v>
      </c>
      <c r="G696" t="s">
        <v>3367</v>
      </c>
      <c r="H696">
        <v>1065.5999999999999</v>
      </c>
      <c r="I696">
        <v>106.56</v>
      </c>
      <c r="J696">
        <v>439.2</v>
      </c>
      <c r="K696">
        <v>43.92</v>
      </c>
      <c r="L696">
        <v>626.4</v>
      </c>
      <c r="M696">
        <v>62.64</v>
      </c>
      <c r="O696" s="79">
        <f>IFERROR(VLOOKUP(D696,'KAPANAN BLD.'!$C$2:$D$793,2,FALSE),0)</f>
        <v>0</v>
      </c>
      <c r="P696" s="79">
        <v>0</v>
      </c>
    </row>
    <row r="697" spans="1:16" x14ac:dyDescent="0.25">
      <c r="A697" t="s">
        <v>32</v>
      </c>
      <c r="B697" s="73" t="str">
        <f t="shared" si="15"/>
        <v>AHLAT</v>
      </c>
      <c r="C697" t="s">
        <v>358</v>
      </c>
      <c r="D697" s="73" t="str">
        <f t="shared" si="16"/>
        <v>AHLAT/BİTLİS</v>
      </c>
      <c r="E697" s="9" t="s">
        <v>2307</v>
      </c>
      <c r="F697" s="9" t="s">
        <v>2307</v>
      </c>
      <c r="G697" t="s">
        <v>3367</v>
      </c>
      <c r="H697">
        <v>273.5</v>
      </c>
      <c r="I697">
        <v>27.35</v>
      </c>
      <c r="J697">
        <v>0</v>
      </c>
      <c r="K697">
        <v>0</v>
      </c>
      <c r="L697">
        <v>273.5</v>
      </c>
      <c r="M697">
        <v>27.35</v>
      </c>
      <c r="O697" s="79">
        <f>IFERROR(VLOOKUP(D697,'KAPANAN BLD.'!$C$2:$D$793,2,FALSE),0)</f>
        <v>0</v>
      </c>
      <c r="P697" s="79">
        <v>0</v>
      </c>
    </row>
    <row r="698" spans="1:16" x14ac:dyDescent="0.25">
      <c r="A698" t="s">
        <v>32</v>
      </c>
      <c r="B698" s="73" t="str">
        <f t="shared" si="15"/>
        <v>AHLAT</v>
      </c>
      <c r="C698" t="s">
        <v>358</v>
      </c>
      <c r="D698" s="73" t="str">
        <f t="shared" si="16"/>
        <v>AHLAT/BİTLİS</v>
      </c>
      <c r="E698" s="9" t="s">
        <v>2307</v>
      </c>
      <c r="F698" s="9" t="s">
        <v>2307</v>
      </c>
      <c r="G698" t="s">
        <v>3366</v>
      </c>
      <c r="H698">
        <v>247.8</v>
      </c>
      <c r="I698">
        <v>24.78</v>
      </c>
      <c r="J698">
        <v>0</v>
      </c>
      <c r="K698">
        <v>0</v>
      </c>
      <c r="L698">
        <v>247.8</v>
      </c>
      <c r="M698">
        <v>24.78</v>
      </c>
      <c r="O698" s="79">
        <f>IFERROR(VLOOKUP(D698,'KAPANAN BLD.'!$C$2:$D$793,2,FALSE),0)</f>
        <v>0</v>
      </c>
      <c r="P698" s="79">
        <v>0</v>
      </c>
    </row>
    <row r="699" spans="1:16" x14ac:dyDescent="0.25">
      <c r="A699" t="s">
        <v>32</v>
      </c>
      <c r="B699" s="73" t="str">
        <f t="shared" si="15"/>
        <v>TATVAN</v>
      </c>
      <c r="C699" t="s">
        <v>358</v>
      </c>
      <c r="D699" s="73" t="str">
        <f t="shared" si="16"/>
        <v>TATVAN/BİTLİS</v>
      </c>
      <c r="E699" t="s">
        <v>359</v>
      </c>
      <c r="F699" t="s">
        <v>359</v>
      </c>
      <c r="G699" t="s">
        <v>3367</v>
      </c>
      <c r="H699">
        <v>902.6</v>
      </c>
      <c r="I699">
        <v>90.26</v>
      </c>
      <c r="J699">
        <v>317.60000000000002</v>
      </c>
      <c r="K699">
        <v>31.76</v>
      </c>
      <c r="L699">
        <v>585</v>
      </c>
      <c r="M699">
        <v>58.5</v>
      </c>
      <c r="O699" s="79">
        <f>IFERROR(VLOOKUP(D699,'KAPANAN BLD.'!$C$2:$D$793,2,FALSE),0)</f>
        <v>0</v>
      </c>
      <c r="P699" s="79">
        <v>0</v>
      </c>
    </row>
    <row r="700" spans="1:16" x14ac:dyDescent="0.25">
      <c r="A700" t="s">
        <v>32</v>
      </c>
      <c r="B700" s="73" t="str">
        <f t="shared" si="15"/>
        <v>TATVAN</v>
      </c>
      <c r="C700" t="s">
        <v>358</v>
      </c>
      <c r="D700" s="73" t="str">
        <f t="shared" si="16"/>
        <v>TATVAN/BİTLİS</v>
      </c>
      <c r="E700" t="s">
        <v>359</v>
      </c>
      <c r="F700" t="s">
        <v>359</v>
      </c>
      <c r="G700" t="s">
        <v>3366</v>
      </c>
      <c r="H700">
        <v>249.7</v>
      </c>
      <c r="I700">
        <v>24.97</v>
      </c>
      <c r="J700">
        <v>196</v>
      </c>
      <c r="K700">
        <v>19.600000000000001</v>
      </c>
      <c r="L700">
        <v>53.7</v>
      </c>
      <c r="M700">
        <v>5.37</v>
      </c>
      <c r="O700" s="79">
        <f>IFERROR(VLOOKUP(D700,'KAPANAN BLD.'!$C$2:$D$793,2,FALSE),0)</f>
        <v>0</v>
      </c>
      <c r="P700" s="79">
        <v>0</v>
      </c>
    </row>
    <row r="701" spans="1:16" x14ac:dyDescent="0.25">
      <c r="A701" t="s">
        <v>32</v>
      </c>
      <c r="B701" s="73" t="str">
        <f t="shared" si="15"/>
        <v>MERKEZ</v>
      </c>
      <c r="C701" t="s">
        <v>358</v>
      </c>
      <c r="D701" s="73" t="str">
        <f t="shared" si="16"/>
        <v>MERKEZ/BİTLİS</v>
      </c>
      <c r="E701" s="9" t="s">
        <v>34</v>
      </c>
      <c r="F701" s="9" t="s">
        <v>34</v>
      </c>
      <c r="G701" t="s">
        <v>3366</v>
      </c>
      <c r="H701">
        <v>1352.8</v>
      </c>
      <c r="I701">
        <v>135.28</v>
      </c>
      <c r="J701">
        <v>0</v>
      </c>
      <c r="K701">
        <v>0</v>
      </c>
      <c r="L701">
        <v>1352.8</v>
      </c>
      <c r="M701">
        <v>135.28</v>
      </c>
      <c r="O701" s="79">
        <f>IFERROR(VLOOKUP(D701,'KAPANAN BLD.'!$C$2:$D$793,2,FALSE),0)</f>
        <v>0</v>
      </c>
      <c r="P701" s="79">
        <v>0</v>
      </c>
    </row>
    <row r="702" spans="1:16" x14ac:dyDescent="0.25">
      <c r="A702" t="s">
        <v>32</v>
      </c>
      <c r="B702" s="73" t="str">
        <f t="shared" si="15"/>
        <v>MERKEZ</v>
      </c>
      <c r="C702" t="s">
        <v>358</v>
      </c>
      <c r="D702" s="73" t="str">
        <f t="shared" si="16"/>
        <v>MERKEZ/BİTLİS</v>
      </c>
      <c r="E702" s="9" t="s">
        <v>34</v>
      </c>
      <c r="F702" s="9" t="s">
        <v>34</v>
      </c>
      <c r="G702" t="s">
        <v>3367</v>
      </c>
      <c r="H702">
        <v>250.3</v>
      </c>
      <c r="I702">
        <v>25.03</v>
      </c>
      <c r="J702">
        <v>0</v>
      </c>
      <c r="K702">
        <v>0</v>
      </c>
      <c r="L702">
        <v>250.3</v>
      </c>
      <c r="M702">
        <v>25.03</v>
      </c>
      <c r="O702" s="79">
        <f>IFERROR(VLOOKUP(D702,'KAPANAN BLD.'!$C$2:$D$793,2,FALSE),0)</f>
        <v>0</v>
      </c>
      <c r="P702" s="79">
        <v>0</v>
      </c>
    </row>
    <row r="703" spans="1:16" x14ac:dyDescent="0.25">
      <c r="A703" t="s">
        <v>32</v>
      </c>
      <c r="B703" s="73" t="str">
        <f t="shared" si="15"/>
        <v>GEREDE</v>
      </c>
      <c r="C703" t="s">
        <v>51</v>
      </c>
      <c r="D703" s="73" t="str">
        <f t="shared" si="16"/>
        <v>GEREDE/BOLU</v>
      </c>
      <c r="E703" t="s">
        <v>316</v>
      </c>
      <c r="F703" t="s">
        <v>316</v>
      </c>
      <c r="G703" t="s">
        <v>3366</v>
      </c>
      <c r="H703">
        <v>3.4</v>
      </c>
      <c r="I703">
        <v>0.34</v>
      </c>
      <c r="J703">
        <v>0</v>
      </c>
      <c r="K703">
        <v>0</v>
      </c>
      <c r="L703">
        <v>3.4</v>
      </c>
      <c r="M703">
        <v>0.34</v>
      </c>
      <c r="O703" s="79">
        <f>IFERROR(VLOOKUP(D703,'KAPANAN BLD.'!$C$2:$D$793,2,FALSE),0)</f>
        <v>0</v>
      </c>
      <c r="P703" s="79">
        <v>0</v>
      </c>
    </row>
    <row r="704" spans="1:16" x14ac:dyDescent="0.25">
      <c r="A704" t="s">
        <v>32</v>
      </c>
      <c r="B704" s="73" t="str">
        <f t="shared" si="15"/>
        <v>GEREDE</v>
      </c>
      <c r="C704" t="s">
        <v>51</v>
      </c>
      <c r="D704" s="73" t="str">
        <f t="shared" si="16"/>
        <v>GEREDE/BOLU</v>
      </c>
      <c r="E704" t="s">
        <v>316</v>
      </c>
      <c r="F704" t="s">
        <v>316</v>
      </c>
      <c r="G704" t="s">
        <v>3367</v>
      </c>
      <c r="H704">
        <v>166.6</v>
      </c>
      <c r="I704">
        <v>16.66</v>
      </c>
      <c r="J704">
        <v>0</v>
      </c>
      <c r="K704">
        <v>0</v>
      </c>
      <c r="L704">
        <v>166.6</v>
      </c>
      <c r="M704">
        <v>16.66</v>
      </c>
      <c r="O704" s="79">
        <f>IFERROR(VLOOKUP(D704,'KAPANAN BLD.'!$C$2:$D$793,2,FALSE),0)</f>
        <v>0</v>
      </c>
      <c r="P704" s="79">
        <v>0</v>
      </c>
    </row>
    <row r="705" spans="1:16" x14ac:dyDescent="0.25">
      <c r="A705" t="s">
        <v>32</v>
      </c>
      <c r="B705" s="73" t="str">
        <f t="shared" si="15"/>
        <v>GÖYNÜK</v>
      </c>
      <c r="C705" t="s">
        <v>51</v>
      </c>
      <c r="D705" s="73" t="str">
        <f t="shared" si="16"/>
        <v>GÖYNÜK/BOLU</v>
      </c>
      <c r="E705" t="s">
        <v>317</v>
      </c>
      <c r="F705" t="s">
        <v>317</v>
      </c>
      <c r="G705" t="s">
        <v>3366</v>
      </c>
      <c r="H705">
        <v>103.3</v>
      </c>
      <c r="I705">
        <v>10.33</v>
      </c>
      <c r="J705">
        <v>0</v>
      </c>
      <c r="K705">
        <v>0</v>
      </c>
      <c r="L705">
        <v>103.3</v>
      </c>
      <c r="M705">
        <v>10.33</v>
      </c>
      <c r="O705" s="79">
        <f>IFERROR(VLOOKUP(D705,'KAPANAN BLD.'!$C$2:$D$793,2,FALSE),0)</f>
        <v>0</v>
      </c>
      <c r="P705" s="79">
        <v>0</v>
      </c>
    </row>
    <row r="706" spans="1:16" x14ac:dyDescent="0.25">
      <c r="A706" t="s">
        <v>32</v>
      </c>
      <c r="B706" s="73" t="str">
        <f t="shared" ref="B706:B742" si="17">F706</f>
        <v>GÖYNÜK</v>
      </c>
      <c r="C706" t="s">
        <v>51</v>
      </c>
      <c r="D706" s="73" t="str">
        <f t="shared" si="16"/>
        <v>GÖYNÜK/BOLU</v>
      </c>
      <c r="E706" t="s">
        <v>317</v>
      </c>
      <c r="F706" t="s">
        <v>317</v>
      </c>
      <c r="G706" t="s">
        <v>3367</v>
      </c>
      <c r="H706">
        <v>5.4</v>
      </c>
      <c r="I706">
        <v>0.54</v>
      </c>
      <c r="J706">
        <v>0</v>
      </c>
      <c r="K706">
        <v>0</v>
      </c>
      <c r="L706">
        <v>5.4</v>
      </c>
      <c r="M706">
        <v>0.54</v>
      </c>
      <c r="O706" s="79">
        <f>IFERROR(VLOOKUP(D706,'KAPANAN BLD.'!$C$2:$D$793,2,FALSE),0)</f>
        <v>0</v>
      </c>
      <c r="P706" s="79">
        <v>0</v>
      </c>
    </row>
    <row r="707" spans="1:16" x14ac:dyDescent="0.25">
      <c r="A707" t="s">
        <v>32</v>
      </c>
      <c r="B707" s="73" t="str">
        <f t="shared" si="17"/>
        <v>MERKEZ</v>
      </c>
      <c r="C707" t="s">
        <v>51</v>
      </c>
      <c r="D707" s="73" t="str">
        <f t="shared" ref="D707:D770" si="18">CONCATENATE(B707,"/",C707)</f>
        <v>MERKEZ/BOLU</v>
      </c>
      <c r="E707" s="9" t="s">
        <v>34</v>
      </c>
      <c r="F707" s="9" t="s">
        <v>34</v>
      </c>
      <c r="G707" t="s">
        <v>3367</v>
      </c>
      <c r="H707">
        <v>23617.31</v>
      </c>
      <c r="I707">
        <v>2361.7399999999998</v>
      </c>
      <c r="J707">
        <v>316.8</v>
      </c>
      <c r="K707">
        <v>31.68</v>
      </c>
      <c r="L707">
        <v>23300.51</v>
      </c>
      <c r="M707">
        <v>2330.06</v>
      </c>
      <c r="O707" s="79">
        <f>IFERROR(VLOOKUP(D707,'KAPANAN BLD.'!$C$2:$D$793,2,FALSE),0)</f>
        <v>0</v>
      </c>
      <c r="P707" s="79">
        <v>0</v>
      </c>
    </row>
    <row r="708" spans="1:16" x14ac:dyDescent="0.25">
      <c r="A708" t="s">
        <v>32</v>
      </c>
      <c r="B708" s="73" t="str">
        <f t="shared" si="17"/>
        <v>MERKEZ</v>
      </c>
      <c r="C708" t="s">
        <v>51</v>
      </c>
      <c r="D708" s="73" t="str">
        <f t="shared" si="18"/>
        <v>MERKEZ/BOLU</v>
      </c>
      <c r="E708" s="9" t="s">
        <v>34</v>
      </c>
      <c r="F708" s="9" t="s">
        <v>34</v>
      </c>
      <c r="G708" t="s">
        <v>3366</v>
      </c>
      <c r="H708">
        <v>38900.6</v>
      </c>
      <c r="I708">
        <v>3890.05</v>
      </c>
      <c r="J708">
        <v>648</v>
      </c>
      <c r="K708">
        <v>64.8</v>
      </c>
      <c r="L708">
        <v>38252.6</v>
      </c>
      <c r="M708">
        <v>3825.25</v>
      </c>
      <c r="O708" s="79">
        <f>IFERROR(VLOOKUP(D708,'KAPANAN BLD.'!$C$2:$D$793,2,FALSE),0)</f>
        <v>0</v>
      </c>
      <c r="P708" s="79">
        <v>0</v>
      </c>
    </row>
    <row r="709" spans="1:16" x14ac:dyDescent="0.25">
      <c r="A709" t="s">
        <v>32</v>
      </c>
      <c r="B709" s="73" t="str">
        <f t="shared" si="17"/>
        <v>MERKEZ</v>
      </c>
      <c r="C709" t="s">
        <v>51</v>
      </c>
      <c r="D709" s="73" t="str">
        <f t="shared" si="18"/>
        <v>MERKEZ/BOLU</v>
      </c>
      <c r="E709" t="s">
        <v>34</v>
      </c>
      <c r="F709" t="s">
        <v>34</v>
      </c>
      <c r="G709" t="s">
        <v>3367</v>
      </c>
      <c r="H709">
        <v>28281.05</v>
      </c>
      <c r="I709">
        <v>2828.09</v>
      </c>
      <c r="J709">
        <v>273.8</v>
      </c>
      <c r="K709">
        <v>27.38</v>
      </c>
      <c r="L709">
        <v>28007.25</v>
      </c>
      <c r="M709">
        <v>2800.71</v>
      </c>
      <c r="O709" s="79">
        <f>IFERROR(VLOOKUP(D709,'KAPANAN BLD.'!$C$2:$D$793,2,FALSE),0)</f>
        <v>0</v>
      </c>
      <c r="P709" s="79">
        <v>0</v>
      </c>
    </row>
    <row r="710" spans="1:16" x14ac:dyDescent="0.25">
      <c r="A710" t="s">
        <v>32</v>
      </c>
      <c r="B710" s="73" t="str">
        <f t="shared" si="17"/>
        <v>MERKEZ</v>
      </c>
      <c r="C710" t="s">
        <v>51</v>
      </c>
      <c r="D710" s="73" t="str">
        <f t="shared" si="18"/>
        <v>MERKEZ/BOLU</v>
      </c>
      <c r="E710" t="s">
        <v>34</v>
      </c>
      <c r="F710" t="s">
        <v>34</v>
      </c>
      <c r="G710" t="s">
        <v>3366</v>
      </c>
      <c r="H710">
        <v>30987.19</v>
      </c>
      <c r="I710">
        <v>3098.71</v>
      </c>
      <c r="J710">
        <v>49.1</v>
      </c>
      <c r="K710">
        <v>4.91</v>
      </c>
      <c r="L710">
        <v>30938.09</v>
      </c>
      <c r="M710">
        <v>3093.8</v>
      </c>
      <c r="O710" s="79">
        <f>IFERROR(VLOOKUP(D710,'KAPANAN BLD.'!$C$2:$D$793,2,FALSE),0)</f>
        <v>0</v>
      </c>
      <c r="P710" s="79">
        <v>0</v>
      </c>
    </row>
    <row r="711" spans="1:16" x14ac:dyDescent="0.25">
      <c r="A711" t="s">
        <v>32</v>
      </c>
      <c r="B711" s="73" t="str">
        <f t="shared" si="17"/>
        <v>MUDURNU</v>
      </c>
      <c r="C711" t="s">
        <v>51</v>
      </c>
      <c r="D711" s="73" t="str">
        <f t="shared" si="18"/>
        <v>MUDURNU/BOLU</v>
      </c>
      <c r="E711" s="9" t="s">
        <v>437</v>
      </c>
      <c r="F711" s="9" t="s">
        <v>437</v>
      </c>
      <c r="G711" t="s">
        <v>3367</v>
      </c>
      <c r="H711">
        <v>1.3</v>
      </c>
      <c r="I711">
        <v>0.13</v>
      </c>
      <c r="J711">
        <v>0</v>
      </c>
      <c r="K711">
        <v>0</v>
      </c>
      <c r="L711">
        <v>1.3</v>
      </c>
      <c r="M711">
        <v>0.13</v>
      </c>
      <c r="O711" s="79">
        <f>IFERROR(VLOOKUP(D711,'KAPANAN BLD.'!$C$2:$D$793,2,FALSE),0)</f>
        <v>0</v>
      </c>
      <c r="P711" s="79">
        <v>0</v>
      </c>
    </row>
    <row r="712" spans="1:16" x14ac:dyDescent="0.25">
      <c r="A712" t="s">
        <v>32</v>
      </c>
      <c r="B712" s="73" t="str">
        <f t="shared" si="17"/>
        <v>MUDURNU</v>
      </c>
      <c r="C712" t="s">
        <v>51</v>
      </c>
      <c r="D712" s="73" t="str">
        <f t="shared" si="18"/>
        <v>MUDURNU/BOLU</v>
      </c>
      <c r="E712" s="9" t="s">
        <v>437</v>
      </c>
      <c r="F712" s="9" t="s">
        <v>437</v>
      </c>
      <c r="G712" t="s">
        <v>3366</v>
      </c>
      <c r="H712">
        <v>7</v>
      </c>
      <c r="I712">
        <v>0.7</v>
      </c>
      <c r="J712">
        <v>0</v>
      </c>
      <c r="K712">
        <v>0</v>
      </c>
      <c r="L712">
        <v>7</v>
      </c>
      <c r="M712">
        <v>0.7</v>
      </c>
      <c r="O712" s="79">
        <f>IFERROR(VLOOKUP(D712,'KAPANAN BLD.'!$C$2:$D$793,2,FALSE),0)</f>
        <v>0</v>
      </c>
      <c r="P712" s="79">
        <v>0</v>
      </c>
    </row>
    <row r="713" spans="1:16" x14ac:dyDescent="0.25">
      <c r="A713" t="s">
        <v>32</v>
      </c>
      <c r="B713" s="73" t="str">
        <f t="shared" si="17"/>
        <v>YENİÇAĞA</v>
      </c>
      <c r="C713" t="s">
        <v>51</v>
      </c>
      <c r="D713" s="73" t="str">
        <f t="shared" si="18"/>
        <v>YENİÇAĞA/BOLU</v>
      </c>
      <c r="E713" t="s">
        <v>535</v>
      </c>
      <c r="F713" t="s">
        <v>535</v>
      </c>
      <c r="G713" t="s">
        <v>3366</v>
      </c>
      <c r="H713">
        <v>103.3</v>
      </c>
      <c r="I713">
        <v>10.33</v>
      </c>
      <c r="J713">
        <v>0</v>
      </c>
      <c r="K713">
        <v>0</v>
      </c>
      <c r="L713">
        <v>103.3</v>
      </c>
      <c r="M713">
        <v>10.33</v>
      </c>
      <c r="O713" s="79">
        <f>IFERROR(VLOOKUP(D713,'KAPANAN BLD.'!$C$2:$D$793,2,FALSE),0)</f>
        <v>0</v>
      </c>
      <c r="P713" s="79">
        <v>0</v>
      </c>
    </row>
    <row r="714" spans="1:16" x14ac:dyDescent="0.25">
      <c r="A714" t="s">
        <v>32</v>
      </c>
      <c r="B714" s="73" t="str">
        <f t="shared" si="17"/>
        <v>YENİÇAĞA</v>
      </c>
      <c r="C714" t="s">
        <v>51</v>
      </c>
      <c r="D714" s="73" t="str">
        <f t="shared" si="18"/>
        <v>YENİÇAĞA/BOLU</v>
      </c>
      <c r="E714" t="s">
        <v>535</v>
      </c>
      <c r="F714" t="s">
        <v>535</v>
      </c>
      <c r="G714" t="s">
        <v>3367</v>
      </c>
      <c r="H714">
        <v>5.4</v>
      </c>
      <c r="I714">
        <v>0.54</v>
      </c>
      <c r="J714">
        <v>0</v>
      </c>
      <c r="K714">
        <v>0</v>
      </c>
      <c r="L714">
        <v>5.4</v>
      </c>
      <c r="M714">
        <v>0.54</v>
      </c>
      <c r="O714" s="79">
        <f>IFERROR(VLOOKUP(D714,'KAPANAN BLD.'!$C$2:$D$793,2,FALSE),0)</f>
        <v>0</v>
      </c>
      <c r="P714" s="79">
        <v>0</v>
      </c>
    </row>
    <row r="715" spans="1:16" x14ac:dyDescent="0.25">
      <c r="A715" t="s">
        <v>32</v>
      </c>
      <c r="B715" s="73" t="str">
        <f t="shared" si="17"/>
        <v>ALTINYAYLA</v>
      </c>
      <c r="C715" t="s">
        <v>69</v>
      </c>
      <c r="D715" s="73" t="str">
        <f t="shared" si="18"/>
        <v>ALTINYAYLA/BURDUR</v>
      </c>
      <c r="E715" t="s">
        <v>360</v>
      </c>
      <c r="F715" t="s">
        <v>360</v>
      </c>
      <c r="G715" t="s">
        <v>3367</v>
      </c>
      <c r="H715">
        <v>15</v>
      </c>
      <c r="I715">
        <v>1.5</v>
      </c>
      <c r="J715">
        <v>0</v>
      </c>
      <c r="K715">
        <v>0</v>
      </c>
      <c r="L715">
        <v>15</v>
      </c>
      <c r="M715">
        <v>1.5</v>
      </c>
      <c r="O715" s="79">
        <f>IFERROR(VLOOKUP(D715,'KAPANAN BLD.'!$C$2:$D$793,2,FALSE),0)</f>
        <v>0</v>
      </c>
      <c r="P715" s="79">
        <v>0</v>
      </c>
    </row>
    <row r="716" spans="1:16" x14ac:dyDescent="0.25">
      <c r="A716" t="s">
        <v>32</v>
      </c>
      <c r="B716" s="73" t="str">
        <f t="shared" si="17"/>
        <v>ALTINYAYLA</v>
      </c>
      <c r="C716" t="s">
        <v>69</v>
      </c>
      <c r="D716" s="73" t="str">
        <f t="shared" si="18"/>
        <v>ALTINYAYLA/BURDUR</v>
      </c>
      <c r="E716" t="s">
        <v>360</v>
      </c>
      <c r="F716" t="s">
        <v>360</v>
      </c>
      <c r="G716" t="s">
        <v>3366</v>
      </c>
      <c r="H716">
        <v>8.3000000000000007</v>
      </c>
      <c r="I716">
        <v>0.83</v>
      </c>
      <c r="J716">
        <v>0</v>
      </c>
      <c r="K716">
        <v>0</v>
      </c>
      <c r="L716">
        <v>8.3000000000000007</v>
      </c>
      <c r="M716">
        <v>0.83</v>
      </c>
      <c r="O716" s="79">
        <f>IFERROR(VLOOKUP(D716,'KAPANAN BLD.'!$C$2:$D$793,2,FALSE),0)</f>
        <v>0</v>
      </c>
      <c r="P716" s="79">
        <v>0</v>
      </c>
    </row>
    <row r="717" spans="1:16" x14ac:dyDescent="0.25">
      <c r="A717" t="s">
        <v>32</v>
      </c>
      <c r="B717" s="73" t="str">
        <f t="shared" si="17"/>
        <v>ÇAVDIR</v>
      </c>
      <c r="C717" t="s">
        <v>69</v>
      </c>
      <c r="D717" s="73" t="str">
        <f t="shared" si="18"/>
        <v>ÇAVDIR/BURDUR</v>
      </c>
      <c r="E717" s="9" t="s">
        <v>2053</v>
      </c>
      <c r="F717" s="9" t="s">
        <v>2053</v>
      </c>
      <c r="G717" t="s">
        <v>3366</v>
      </c>
      <c r="H717">
        <v>253.9</v>
      </c>
      <c r="I717">
        <v>25.39</v>
      </c>
      <c r="J717">
        <v>0</v>
      </c>
      <c r="K717">
        <v>0</v>
      </c>
      <c r="L717">
        <v>253.9</v>
      </c>
      <c r="M717">
        <v>25.39</v>
      </c>
      <c r="O717" s="79">
        <f>IFERROR(VLOOKUP(D717,'KAPANAN BLD.'!$C$2:$D$793,2,FALSE),0)</f>
        <v>0</v>
      </c>
      <c r="P717" s="79">
        <v>0</v>
      </c>
    </row>
    <row r="718" spans="1:16" x14ac:dyDescent="0.25">
      <c r="A718" t="s">
        <v>32</v>
      </c>
      <c r="B718" s="73" t="str">
        <f t="shared" si="17"/>
        <v>ÇAVDIR</v>
      </c>
      <c r="C718" t="s">
        <v>69</v>
      </c>
      <c r="D718" s="73" t="str">
        <f t="shared" si="18"/>
        <v>ÇAVDIR/BURDUR</v>
      </c>
      <c r="E718" s="9" t="s">
        <v>2053</v>
      </c>
      <c r="F718" s="9" t="s">
        <v>2053</v>
      </c>
      <c r="G718" t="s">
        <v>3367</v>
      </c>
      <c r="H718">
        <v>335.2</v>
      </c>
      <c r="I718">
        <v>33.520000000000003</v>
      </c>
      <c r="J718">
        <v>0</v>
      </c>
      <c r="K718">
        <v>0</v>
      </c>
      <c r="L718">
        <v>335.2</v>
      </c>
      <c r="M718">
        <v>33.520000000000003</v>
      </c>
      <c r="O718" s="79">
        <f>IFERROR(VLOOKUP(D718,'KAPANAN BLD.'!$C$2:$D$793,2,FALSE),0)</f>
        <v>0</v>
      </c>
      <c r="P718" s="79">
        <v>0</v>
      </c>
    </row>
    <row r="719" spans="1:16" x14ac:dyDescent="0.25">
      <c r="A719" t="s">
        <v>32</v>
      </c>
      <c r="B719" s="73" t="str">
        <f t="shared" si="17"/>
        <v>BUCAK</v>
      </c>
      <c r="C719" t="s">
        <v>69</v>
      </c>
      <c r="D719" s="73" t="str">
        <f t="shared" si="18"/>
        <v>BUCAK/BURDUR</v>
      </c>
      <c r="E719" t="s">
        <v>268</v>
      </c>
      <c r="F719" t="s">
        <v>268</v>
      </c>
      <c r="G719" t="s">
        <v>3367</v>
      </c>
      <c r="H719">
        <v>94.2</v>
      </c>
      <c r="I719">
        <v>9.42</v>
      </c>
      <c r="J719">
        <v>0</v>
      </c>
      <c r="K719">
        <v>0</v>
      </c>
      <c r="L719">
        <v>94.2</v>
      </c>
      <c r="M719">
        <v>9.42</v>
      </c>
      <c r="O719" s="79">
        <f>IFERROR(VLOOKUP(D719,'KAPANAN BLD.'!$C$2:$D$793,2,FALSE),0)</f>
        <v>0</v>
      </c>
      <c r="P719" s="79">
        <v>0</v>
      </c>
    </row>
    <row r="720" spans="1:16" x14ac:dyDescent="0.25">
      <c r="A720" t="s">
        <v>32</v>
      </c>
      <c r="B720" s="73" t="str">
        <f t="shared" si="17"/>
        <v>BUCAK</v>
      </c>
      <c r="C720" t="s">
        <v>69</v>
      </c>
      <c r="D720" s="73" t="str">
        <f t="shared" si="18"/>
        <v>BUCAK/BURDUR</v>
      </c>
      <c r="E720" t="s">
        <v>268</v>
      </c>
      <c r="F720" t="s">
        <v>268</v>
      </c>
      <c r="G720" t="s">
        <v>3366</v>
      </c>
      <c r="H720">
        <v>146.19999999999999</v>
      </c>
      <c r="I720">
        <v>14.62</v>
      </c>
      <c r="J720">
        <v>0</v>
      </c>
      <c r="K720">
        <v>0</v>
      </c>
      <c r="L720">
        <v>146.19999999999999</v>
      </c>
      <c r="M720">
        <v>14.62</v>
      </c>
      <c r="O720" s="79">
        <f>IFERROR(VLOOKUP(D720,'KAPANAN BLD.'!$C$2:$D$793,2,FALSE),0)</f>
        <v>0</v>
      </c>
      <c r="P720" s="79">
        <v>0</v>
      </c>
    </row>
    <row r="721" spans="1:16" x14ac:dyDescent="0.25">
      <c r="A721" t="s">
        <v>32</v>
      </c>
      <c r="B721" s="73" t="str">
        <f t="shared" si="17"/>
        <v>BUCAK</v>
      </c>
      <c r="C721" t="s">
        <v>69</v>
      </c>
      <c r="D721" s="73" t="str">
        <f t="shared" si="18"/>
        <v>BUCAK/BURDUR</v>
      </c>
      <c r="E721" t="s">
        <v>268</v>
      </c>
      <c r="F721" t="s">
        <v>268</v>
      </c>
      <c r="G721" t="s">
        <v>3366</v>
      </c>
      <c r="H721">
        <v>515.4</v>
      </c>
      <c r="I721">
        <v>51.54</v>
      </c>
      <c r="J721">
        <v>0</v>
      </c>
      <c r="K721">
        <v>0</v>
      </c>
      <c r="L721">
        <v>515.4</v>
      </c>
      <c r="M721">
        <v>51.54</v>
      </c>
      <c r="O721" s="79">
        <f>IFERROR(VLOOKUP(D721,'KAPANAN BLD.'!$C$2:$D$793,2,FALSE),0)</f>
        <v>0</v>
      </c>
      <c r="P721" s="79">
        <v>0</v>
      </c>
    </row>
    <row r="722" spans="1:16" x14ac:dyDescent="0.25">
      <c r="A722" t="s">
        <v>32</v>
      </c>
      <c r="B722" s="73" t="str">
        <f t="shared" si="17"/>
        <v>BUCAK</v>
      </c>
      <c r="C722" t="s">
        <v>69</v>
      </c>
      <c r="D722" s="73" t="str">
        <f t="shared" si="18"/>
        <v>BUCAK/BURDUR</v>
      </c>
      <c r="E722" t="s">
        <v>268</v>
      </c>
      <c r="F722" t="s">
        <v>268</v>
      </c>
      <c r="G722" t="s">
        <v>3367</v>
      </c>
      <c r="H722">
        <v>476.5</v>
      </c>
      <c r="I722">
        <v>47.65</v>
      </c>
      <c r="J722">
        <v>0</v>
      </c>
      <c r="K722">
        <v>0</v>
      </c>
      <c r="L722">
        <v>476.5</v>
      </c>
      <c r="M722">
        <v>47.65</v>
      </c>
      <c r="O722" s="79">
        <f>IFERROR(VLOOKUP(D722,'KAPANAN BLD.'!$C$2:$D$793,2,FALSE),0)</f>
        <v>0</v>
      </c>
      <c r="P722" s="79">
        <v>0</v>
      </c>
    </row>
    <row r="723" spans="1:16" x14ac:dyDescent="0.25">
      <c r="A723" t="s">
        <v>32</v>
      </c>
      <c r="B723" s="73" t="str">
        <f t="shared" si="17"/>
        <v>ÇAVDIR</v>
      </c>
      <c r="C723" t="s">
        <v>69</v>
      </c>
      <c r="D723" s="73" t="str">
        <f t="shared" si="18"/>
        <v>ÇAVDIR/BURDUR</v>
      </c>
      <c r="E723" t="s">
        <v>2053</v>
      </c>
      <c r="F723" t="s">
        <v>2053</v>
      </c>
      <c r="G723" t="s">
        <v>3366</v>
      </c>
      <c r="H723">
        <v>295.8</v>
      </c>
      <c r="I723">
        <v>29.58</v>
      </c>
      <c r="J723">
        <v>0</v>
      </c>
      <c r="K723">
        <v>0</v>
      </c>
      <c r="L723">
        <v>295.8</v>
      </c>
      <c r="M723">
        <v>29.58</v>
      </c>
      <c r="O723" s="79">
        <f>IFERROR(VLOOKUP(D723,'KAPANAN BLD.'!$C$2:$D$793,2,FALSE),0)</f>
        <v>0</v>
      </c>
      <c r="P723" s="79">
        <v>0</v>
      </c>
    </row>
    <row r="724" spans="1:16" x14ac:dyDescent="0.25">
      <c r="A724" t="s">
        <v>32</v>
      </c>
      <c r="B724" s="73" t="str">
        <f t="shared" si="17"/>
        <v>ÇAVDIR</v>
      </c>
      <c r="C724" t="s">
        <v>69</v>
      </c>
      <c r="D724" s="73" t="str">
        <f t="shared" si="18"/>
        <v>ÇAVDIR/BURDUR</v>
      </c>
      <c r="E724" t="s">
        <v>2053</v>
      </c>
      <c r="F724" t="s">
        <v>2053</v>
      </c>
      <c r="G724" t="s">
        <v>3367</v>
      </c>
      <c r="H724">
        <v>403.1</v>
      </c>
      <c r="I724">
        <v>40.31</v>
      </c>
      <c r="J724">
        <v>0</v>
      </c>
      <c r="K724">
        <v>0</v>
      </c>
      <c r="L724">
        <v>403.1</v>
      </c>
      <c r="M724">
        <v>40.31</v>
      </c>
      <c r="O724" s="79">
        <f>IFERROR(VLOOKUP(D724,'KAPANAN BLD.'!$C$2:$D$793,2,FALSE),0)</f>
        <v>0</v>
      </c>
      <c r="P724" s="79">
        <v>0</v>
      </c>
    </row>
    <row r="725" spans="1:16" x14ac:dyDescent="0.25">
      <c r="A725" t="s">
        <v>32</v>
      </c>
      <c r="B725" s="73" t="str">
        <f t="shared" si="17"/>
        <v>BUCAK</v>
      </c>
      <c r="C725" t="s">
        <v>69</v>
      </c>
      <c r="D725" s="73" t="str">
        <f t="shared" si="18"/>
        <v>BUCAK/BURDUR</v>
      </c>
      <c r="E725" s="9" t="s">
        <v>268</v>
      </c>
      <c r="F725" s="9" t="s">
        <v>268</v>
      </c>
      <c r="G725" t="s">
        <v>3366</v>
      </c>
      <c r="H725">
        <v>1333.2</v>
      </c>
      <c r="I725">
        <v>133.32</v>
      </c>
      <c r="J725">
        <v>0</v>
      </c>
      <c r="K725">
        <v>0</v>
      </c>
      <c r="L725">
        <v>1333.2</v>
      </c>
      <c r="M725">
        <v>133.32</v>
      </c>
      <c r="O725" s="79">
        <f>IFERROR(VLOOKUP(D725,'KAPANAN BLD.'!$C$2:$D$793,2,FALSE),0)</f>
        <v>0</v>
      </c>
      <c r="P725" s="79">
        <v>0</v>
      </c>
    </row>
    <row r="726" spans="1:16" x14ac:dyDescent="0.25">
      <c r="A726" t="s">
        <v>32</v>
      </c>
      <c r="B726" s="73" t="str">
        <f t="shared" si="17"/>
        <v>BUCAK</v>
      </c>
      <c r="C726" t="s">
        <v>69</v>
      </c>
      <c r="D726" s="73" t="str">
        <f t="shared" si="18"/>
        <v>BUCAK/BURDUR</v>
      </c>
      <c r="E726" s="9" t="s">
        <v>268</v>
      </c>
      <c r="F726" s="9" t="s">
        <v>268</v>
      </c>
      <c r="G726" t="s">
        <v>3367</v>
      </c>
      <c r="H726">
        <v>1131.5999999999999</v>
      </c>
      <c r="I726">
        <v>113.16</v>
      </c>
      <c r="J726">
        <v>0</v>
      </c>
      <c r="K726">
        <v>0</v>
      </c>
      <c r="L726">
        <v>1131.5999999999999</v>
      </c>
      <c r="M726">
        <v>113.16</v>
      </c>
      <c r="O726" s="79">
        <f>IFERROR(VLOOKUP(D726,'KAPANAN BLD.'!$C$2:$D$793,2,FALSE),0)</f>
        <v>0</v>
      </c>
      <c r="P726" s="79">
        <v>0</v>
      </c>
    </row>
    <row r="727" spans="1:16" x14ac:dyDescent="0.25">
      <c r="A727" t="s">
        <v>32</v>
      </c>
      <c r="B727" s="73" t="str">
        <f t="shared" si="17"/>
        <v>GÖLHİSAR</v>
      </c>
      <c r="C727" t="s">
        <v>69</v>
      </c>
      <c r="D727" s="73" t="str">
        <f t="shared" si="18"/>
        <v>GÖLHİSAR/BURDUR</v>
      </c>
      <c r="E727" s="9" t="s">
        <v>2155</v>
      </c>
      <c r="F727" s="9" t="s">
        <v>2155</v>
      </c>
      <c r="G727" t="s">
        <v>3367</v>
      </c>
      <c r="H727">
        <v>3.3</v>
      </c>
      <c r="I727">
        <v>0.33</v>
      </c>
      <c r="J727">
        <v>0</v>
      </c>
      <c r="K727">
        <v>0</v>
      </c>
      <c r="L727">
        <v>3.3</v>
      </c>
      <c r="M727">
        <v>0.33</v>
      </c>
      <c r="O727" s="79">
        <f>IFERROR(VLOOKUP(D727,'KAPANAN BLD.'!$C$2:$D$793,2,FALSE),0)</f>
        <v>0</v>
      </c>
      <c r="P727" s="79">
        <v>0</v>
      </c>
    </row>
    <row r="728" spans="1:16" x14ac:dyDescent="0.25">
      <c r="A728" t="s">
        <v>32</v>
      </c>
      <c r="B728" s="73" t="str">
        <f t="shared" si="17"/>
        <v>GÖLHİSAR</v>
      </c>
      <c r="C728" t="s">
        <v>69</v>
      </c>
      <c r="D728" s="73" t="str">
        <f t="shared" si="18"/>
        <v>GÖLHİSAR/BURDUR</v>
      </c>
      <c r="E728" s="9" t="s">
        <v>2155</v>
      </c>
      <c r="F728" s="9" t="s">
        <v>2155</v>
      </c>
      <c r="G728" t="s">
        <v>3366</v>
      </c>
      <c r="H728">
        <v>121.3</v>
      </c>
      <c r="I728">
        <v>12.13</v>
      </c>
      <c r="J728">
        <v>0</v>
      </c>
      <c r="K728">
        <v>0</v>
      </c>
      <c r="L728">
        <v>121.3</v>
      </c>
      <c r="M728">
        <v>12.13</v>
      </c>
      <c r="O728" s="79">
        <f>IFERROR(VLOOKUP(D728,'KAPANAN BLD.'!$C$2:$D$793,2,FALSE),0)</f>
        <v>0</v>
      </c>
      <c r="P728" s="79">
        <v>0</v>
      </c>
    </row>
    <row r="729" spans="1:16" x14ac:dyDescent="0.25">
      <c r="A729" t="s">
        <v>32</v>
      </c>
      <c r="B729" s="73" t="str">
        <f t="shared" si="17"/>
        <v>KARAMANLI</v>
      </c>
      <c r="C729" t="s">
        <v>69</v>
      </c>
      <c r="D729" s="73" t="str">
        <f t="shared" si="18"/>
        <v>KARAMANLI/BURDUR</v>
      </c>
      <c r="E729" t="s">
        <v>302</v>
      </c>
      <c r="F729" t="s">
        <v>302</v>
      </c>
      <c r="G729" t="s">
        <v>3366</v>
      </c>
      <c r="H729">
        <v>76.400000000000006</v>
      </c>
      <c r="I729">
        <v>7.64</v>
      </c>
      <c r="J729">
        <v>0</v>
      </c>
      <c r="K729">
        <v>0</v>
      </c>
      <c r="L729">
        <v>76.400000000000006</v>
      </c>
      <c r="M729">
        <v>7.64</v>
      </c>
      <c r="O729" s="79">
        <f>IFERROR(VLOOKUP(D729,'KAPANAN BLD.'!$C$2:$D$793,2,FALSE),0)</f>
        <v>0</v>
      </c>
      <c r="P729" s="79">
        <v>0</v>
      </c>
    </row>
    <row r="730" spans="1:16" x14ac:dyDescent="0.25">
      <c r="A730" t="s">
        <v>32</v>
      </c>
      <c r="B730" s="73" t="str">
        <f t="shared" si="17"/>
        <v>KARAMANLI</v>
      </c>
      <c r="C730" t="s">
        <v>69</v>
      </c>
      <c r="D730" s="73" t="str">
        <f t="shared" si="18"/>
        <v>KARAMANLI/BURDUR</v>
      </c>
      <c r="E730" t="s">
        <v>302</v>
      </c>
      <c r="F730" t="s">
        <v>302</v>
      </c>
      <c r="G730" t="s">
        <v>3367</v>
      </c>
      <c r="H730">
        <v>0.5</v>
      </c>
      <c r="I730">
        <v>0.05</v>
      </c>
      <c r="J730">
        <v>0</v>
      </c>
      <c r="K730">
        <v>0</v>
      </c>
      <c r="L730">
        <v>0.5</v>
      </c>
      <c r="M730">
        <v>0.05</v>
      </c>
      <c r="O730" s="79">
        <f>IFERROR(VLOOKUP(D730,'KAPANAN BLD.'!$C$2:$D$793,2,FALSE),0)</f>
        <v>0</v>
      </c>
      <c r="P730" s="79">
        <v>0</v>
      </c>
    </row>
    <row r="731" spans="1:16" x14ac:dyDescent="0.25">
      <c r="A731" t="s">
        <v>32</v>
      </c>
      <c r="B731" s="73" t="str">
        <f t="shared" si="17"/>
        <v>MERKEZ</v>
      </c>
      <c r="C731" t="s">
        <v>69</v>
      </c>
      <c r="D731" s="73" t="str">
        <f t="shared" si="18"/>
        <v>MERKEZ/BURDUR</v>
      </c>
      <c r="E731" s="9" t="s">
        <v>34</v>
      </c>
      <c r="F731" s="9" t="s">
        <v>34</v>
      </c>
      <c r="G731" t="s">
        <v>3367</v>
      </c>
      <c r="H731">
        <v>305.39999999999998</v>
      </c>
      <c r="I731">
        <v>30.54</v>
      </c>
      <c r="J731">
        <v>0</v>
      </c>
      <c r="K731">
        <v>0</v>
      </c>
      <c r="L731">
        <v>305.39999999999998</v>
      </c>
      <c r="M731">
        <v>30.54</v>
      </c>
      <c r="O731" s="79">
        <f>IFERROR(VLOOKUP(D731,'KAPANAN BLD.'!$C$2:$D$793,2,FALSE),0)</f>
        <v>0</v>
      </c>
      <c r="P731" s="79">
        <v>0</v>
      </c>
    </row>
    <row r="732" spans="1:16" x14ac:dyDescent="0.25">
      <c r="A732" t="s">
        <v>32</v>
      </c>
      <c r="B732" s="73" t="str">
        <f t="shared" si="17"/>
        <v>MERKEZ</v>
      </c>
      <c r="C732" t="s">
        <v>69</v>
      </c>
      <c r="D732" s="73" t="str">
        <f t="shared" si="18"/>
        <v>MERKEZ/BURDUR</v>
      </c>
      <c r="E732" s="9" t="s">
        <v>34</v>
      </c>
      <c r="F732" s="9" t="s">
        <v>34</v>
      </c>
      <c r="G732" t="s">
        <v>3366</v>
      </c>
      <c r="H732">
        <v>3321.2</v>
      </c>
      <c r="I732">
        <v>332.12</v>
      </c>
      <c r="J732">
        <v>0</v>
      </c>
      <c r="K732">
        <v>0</v>
      </c>
      <c r="L732">
        <v>3321.2</v>
      </c>
      <c r="M732">
        <v>332.12</v>
      </c>
      <c r="O732" s="79">
        <f>IFERROR(VLOOKUP(D732,'KAPANAN BLD.'!$C$2:$D$793,2,FALSE),0)</f>
        <v>0</v>
      </c>
      <c r="P732" s="79">
        <v>0</v>
      </c>
    </row>
    <row r="733" spans="1:16" x14ac:dyDescent="0.25">
      <c r="A733" t="s">
        <v>32</v>
      </c>
      <c r="B733" s="73" t="str">
        <f t="shared" si="17"/>
        <v>BUCAK</v>
      </c>
      <c r="C733" t="s">
        <v>69</v>
      </c>
      <c r="D733" s="73" t="str">
        <f t="shared" si="18"/>
        <v>BUCAK/BURDUR</v>
      </c>
      <c r="E733" s="9" t="s">
        <v>268</v>
      </c>
      <c r="F733" s="9" t="s">
        <v>268</v>
      </c>
      <c r="G733" t="s">
        <v>3366</v>
      </c>
      <c r="H733">
        <v>1192.7</v>
      </c>
      <c r="I733">
        <v>119.27</v>
      </c>
      <c r="J733">
        <v>8468.9</v>
      </c>
      <c r="K733">
        <v>846.89</v>
      </c>
      <c r="L733">
        <v>-7276.2</v>
      </c>
      <c r="M733">
        <v>-727.62</v>
      </c>
      <c r="O733" s="79">
        <f>IFERROR(VLOOKUP(D733,'KAPANAN BLD.'!$C$2:$D$793,2,FALSE),0)</f>
        <v>0</v>
      </c>
      <c r="P733" s="79">
        <v>0</v>
      </c>
    </row>
    <row r="734" spans="1:16" x14ac:dyDescent="0.25">
      <c r="A734" t="s">
        <v>32</v>
      </c>
      <c r="B734" s="73" t="str">
        <f t="shared" si="17"/>
        <v>BUCAK</v>
      </c>
      <c r="C734" t="s">
        <v>69</v>
      </c>
      <c r="D734" s="73" t="str">
        <f t="shared" si="18"/>
        <v>BUCAK/BURDUR</v>
      </c>
      <c r="E734" s="9" t="s">
        <v>268</v>
      </c>
      <c r="F734" s="9" t="s">
        <v>268</v>
      </c>
      <c r="G734" t="s">
        <v>3367</v>
      </c>
      <c r="H734">
        <v>199.3</v>
      </c>
      <c r="I734">
        <v>19.93</v>
      </c>
      <c r="J734">
        <v>446</v>
      </c>
      <c r="K734">
        <v>44.6</v>
      </c>
      <c r="L734">
        <v>-246.7</v>
      </c>
      <c r="M734">
        <v>-24.67</v>
      </c>
      <c r="O734" s="79">
        <f>IFERROR(VLOOKUP(D734,'KAPANAN BLD.'!$C$2:$D$793,2,FALSE),0)</f>
        <v>0</v>
      </c>
      <c r="P734" s="79">
        <v>0</v>
      </c>
    </row>
    <row r="735" spans="1:16" x14ac:dyDescent="0.25">
      <c r="A735" t="s">
        <v>32</v>
      </c>
      <c r="B735" s="73" t="str">
        <f t="shared" si="17"/>
        <v>MERKEZ</v>
      </c>
      <c r="C735" t="s">
        <v>69</v>
      </c>
      <c r="D735" s="73" t="str">
        <f t="shared" si="18"/>
        <v>MERKEZ/BURDUR</v>
      </c>
      <c r="E735" s="9" t="s">
        <v>34</v>
      </c>
      <c r="F735" s="9" t="s">
        <v>34</v>
      </c>
      <c r="G735" t="s">
        <v>3366</v>
      </c>
      <c r="H735">
        <v>931.8</v>
      </c>
      <c r="I735">
        <v>93.18</v>
      </c>
      <c r="J735">
        <v>59.4</v>
      </c>
      <c r="K735">
        <v>5.94</v>
      </c>
      <c r="L735">
        <v>872.4</v>
      </c>
      <c r="M735">
        <v>87.24</v>
      </c>
      <c r="O735" s="79">
        <f>IFERROR(VLOOKUP(D735,'KAPANAN BLD.'!$C$2:$D$793,2,FALSE),0)</f>
        <v>0</v>
      </c>
      <c r="P735" s="79">
        <v>0</v>
      </c>
    </row>
    <row r="736" spans="1:16" x14ac:dyDescent="0.25">
      <c r="A736" t="s">
        <v>32</v>
      </c>
      <c r="B736" s="73" t="str">
        <f t="shared" si="17"/>
        <v>MERKEZ</v>
      </c>
      <c r="C736" t="s">
        <v>69</v>
      </c>
      <c r="D736" s="73" t="str">
        <f t="shared" si="18"/>
        <v>MERKEZ/BURDUR</v>
      </c>
      <c r="E736" s="9" t="s">
        <v>34</v>
      </c>
      <c r="F736" s="9" t="s">
        <v>34</v>
      </c>
      <c r="G736" t="s">
        <v>3367</v>
      </c>
      <c r="H736">
        <v>274.39999999999998</v>
      </c>
      <c r="I736">
        <v>27.44</v>
      </c>
      <c r="J736">
        <v>75.3</v>
      </c>
      <c r="K736">
        <v>7.53</v>
      </c>
      <c r="L736">
        <v>199.1</v>
      </c>
      <c r="M736">
        <v>19.91</v>
      </c>
      <c r="O736" s="79">
        <f>IFERROR(VLOOKUP(D736,'KAPANAN BLD.'!$C$2:$D$793,2,FALSE),0)</f>
        <v>0</v>
      </c>
      <c r="P736" s="79">
        <v>0</v>
      </c>
    </row>
    <row r="737" spans="1:16" x14ac:dyDescent="0.25">
      <c r="A737" t="s">
        <v>32</v>
      </c>
      <c r="B737" s="73" t="str">
        <f t="shared" si="17"/>
        <v>MERKEZ</v>
      </c>
      <c r="C737" t="s">
        <v>69</v>
      </c>
      <c r="D737" s="73" t="str">
        <f t="shared" si="18"/>
        <v>MERKEZ/BURDUR</v>
      </c>
      <c r="E737" t="s">
        <v>34</v>
      </c>
      <c r="F737" t="s">
        <v>34</v>
      </c>
      <c r="G737" t="s">
        <v>3367</v>
      </c>
      <c r="H737">
        <v>4034.3</v>
      </c>
      <c r="I737">
        <v>403.43</v>
      </c>
      <c r="J737">
        <v>49.3</v>
      </c>
      <c r="K737">
        <v>4.93</v>
      </c>
      <c r="L737">
        <v>3985</v>
      </c>
      <c r="M737">
        <v>398.5</v>
      </c>
      <c r="O737" s="79">
        <f>IFERROR(VLOOKUP(D737,'KAPANAN BLD.'!$C$2:$D$793,2,FALSE),0)</f>
        <v>0</v>
      </c>
      <c r="P737" s="79">
        <v>0</v>
      </c>
    </row>
    <row r="738" spans="1:16" x14ac:dyDescent="0.25">
      <c r="A738" t="s">
        <v>32</v>
      </c>
      <c r="B738" s="73" t="str">
        <f t="shared" si="17"/>
        <v>MERKEZ</v>
      </c>
      <c r="C738" t="s">
        <v>69</v>
      </c>
      <c r="D738" s="73" t="str">
        <f t="shared" si="18"/>
        <v>MERKEZ/BURDUR</v>
      </c>
      <c r="E738" t="s">
        <v>34</v>
      </c>
      <c r="F738" t="s">
        <v>34</v>
      </c>
      <c r="G738" t="s">
        <v>3366</v>
      </c>
      <c r="H738">
        <v>4042.8</v>
      </c>
      <c r="I738">
        <v>404.28</v>
      </c>
      <c r="J738">
        <v>402.8</v>
      </c>
      <c r="K738">
        <v>40.28</v>
      </c>
      <c r="L738">
        <v>3640</v>
      </c>
      <c r="M738">
        <v>364</v>
      </c>
      <c r="O738" s="79">
        <f>IFERROR(VLOOKUP(D738,'KAPANAN BLD.'!$C$2:$D$793,2,FALSE),0)</f>
        <v>0</v>
      </c>
      <c r="P738" s="79">
        <v>0</v>
      </c>
    </row>
    <row r="739" spans="1:16" x14ac:dyDescent="0.25">
      <c r="A739" t="s">
        <v>32</v>
      </c>
      <c r="B739" s="73" t="str">
        <f t="shared" si="17"/>
        <v>MERKEZ</v>
      </c>
      <c r="C739" t="s">
        <v>69</v>
      </c>
      <c r="D739" s="73" t="str">
        <f t="shared" si="18"/>
        <v>MERKEZ/BURDUR</v>
      </c>
      <c r="E739" t="s">
        <v>34</v>
      </c>
      <c r="F739" t="s">
        <v>34</v>
      </c>
      <c r="G739" t="s">
        <v>3367</v>
      </c>
      <c r="H739">
        <v>590.6</v>
      </c>
      <c r="I739">
        <v>59.06</v>
      </c>
      <c r="J739">
        <v>45</v>
      </c>
      <c r="K739">
        <v>4.5</v>
      </c>
      <c r="L739">
        <v>545.6</v>
      </c>
      <c r="M739">
        <v>54.56</v>
      </c>
      <c r="O739" s="79">
        <f>IFERROR(VLOOKUP(D739,'KAPANAN BLD.'!$C$2:$D$793,2,FALSE),0)</f>
        <v>0</v>
      </c>
      <c r="P739" s="79">
        <v>0</v>
      </c>
    </row>
    <row r="740" spans="1:16" x14ac:dyDescent="0.25">
      <c r="A740" t="s">
        <v>32</v>
      </c>
      <c r="B740" s="73" t="str">
        <f t="shared" si="17"/>
        <v>MERKEZ</v>
      </c>
      <c r="C740" t="s">
        <v>69</v>
      </c>
      <c r="D740" s="73" t="str">
        <f t="shared" si="18"/>
        <v>MERKEZ/BURDUR</v>
      </c>
      <c r="E740" t="s">
        <v>34</v>
      </c>
      <c r="F740" t="s">
        <v>34</v>
      </c>
      <c r="G740" t="s">
        <v>3366</v>
      </c>
      <c r="H740">
        <v>2669.7</v>
      </c>
      <c r="I740">
        <v>266.97000000000003</v>
      </c>
      <c r="J740">
        <v>402.8</v>
      </c>
      <c r="K740">
        <v>40.28</v>
      </c>
      <c r="L740">
        <v>2266.9</v>
      </c>
      <c r="M740">
        <v>226.69</v>
      </c>
      <c r="O740" s="79">
        <f>IFERROR(VLOOKUP(D740,'KAPANAN BLD.'!$C$2:$D$793,2,FALSE),0)</f>
        <v>0</v>
      </c>
      <c r="P740" s="79">
        <v>0</v>
      </c>
    </row>
    <row r="741" spans="1:16" x14ac:dyDescent="0.25">
      <c r="A741" t="s">
        <v>32</v>
      </c>
      <c r="B741" s="73" t="str">
        <f t="shared" si="17"/>
        <v>BUCAK</v>
      </c>
      <c r="C741" t="s">
        <v>69</v>
      </c>
      <c r="D741" s="73" t="str">
        <f t="shared" si="18"/>
        <v>BUCAK/BURDUR</v>
      </c>
      <c r="E741" s="9" t="s">
        <v>268</v>
      </c>
      <c r="F741" s="9" t="s">
        <v>268</v>
      </c>
      <c r="G741" t="s">
        <v>3366</v>
      </c>
      <c r="H741">
        <v>715</v>
      </c>
      <c r="I741">
        <v>71.5</v>
      </c>
      <c r="J741">
        <v>0</v>
      </c>
      <c r="K741">
        <v>0</v>
      </c>
      <c r="L741">
        <v>715</v>
      </c>
      <c r="M741">
        <v>71.5</v>
      </c>
      <c r="O741" s="79">
        <f>IFERROR(VLOOKUP(D741,'KAPANAN BLD.'!$C$2:$D$793,2,FALSE),0)</f>
        <v>0</v>
      </c>
      <c r="P741" s="79">
        <v>0</v>
      </c>
    </row>
    <row r="742" spans="1:16" x14ac:dyDescent="0.25">
      <c r="A742" t="s">
        <v>32</v>
      </c>
      <c r="B742" s="73" t="str">
        <f t="shared" si="17"/>
        <v>BUCAK</v>
      </c>
      <c r="C742" t="s">
        <v>69</v>
      </c>
      <c r="D742" s="73" t="str">
        <f t="shared" si="18"/>
        <v>BUCAK/BURDUR</v>
      </c>
      <c r="E742" s="9" t="s">
        <v>268</v>
      </c>
      <c r="F742" s="9" t="s">
        <v>268</v>
      </c>
      <c r="G742" t="s">
        <v>3367</v>
      </c>
      <c r="H742">
        <v>86.9</v>
      </c>
      <c r="I742">
        <v>8.69</v>
      </c>
      <c r="J742">
        <v>0</v>
      </c>
      <c r="K742">
        <v>0</v>
      </c>
      <c r="L742">
        <v>86.9</v>
      </c>
      <c r="M742">
        <v>8.69</v>
      </c>
      <c r="O742" s="79">
        <f>IFERROR(VLOOKUP(D742,'KAPANAN BLD.'!$C$2:$D$793,2,FALSE),0)</f>
        <v>0</v>
      </c>
      <c r="P742" s="79">
        <v>0</v>
      </c>
    </row>
    <row r="743" spans="1:16" x14ac:dyDescent="0.25">
      <c r="A743" t="s">
        <v>32</v>
      </c>
      <c r="B743" s="73" t="str">
        <f>VLOOKUP(C743,'Büyükşehir List'!$C$2:$D$31,2,FALSE)</f>
        <v>BURSA BÜYÜKŞEHİR</v>
      </c>
      <c r="C743" t="s">
        <v>52</v>
      </c>
      <c r="D743" s="73" t="str">
        <f t="shared" si="18"/>
        <v>BURSA BÜYÜKŞEHİR/BURSA</v>
      </c>
      <c r="E743" t="s">
        <v>2773</v>
      </c>
      <c r="F743" t="s">
        <v>2773</v>
      </c>
      <c r="G743" t="s">
        <v>3367</v>
      </c>
      <c r="H743">
        <v>460.7</v>
      </c>
      <c r="I743">
        <v>46.07</v>
      </c>
      <c r="J743">
        <v>0</v>
      </c>
      <c r="K743">
        <v>0</v>
      </c>
      <c r="L743">
        <v>460.7</v>
      </c>
      <c r="M743">
        <v>46.07</v>
      </c>
      <c r="O743" s="79">
        <f>IFERROR(VLOOKUP(D743,'KAPANAN BLD.'!$C$2:$D$793,2,FALSE),0)</f>
        <v>0</v>
      </c>
      <c r="P743" s="79">
        <v>0</v>
      </c>
    </row>
    <row r="744" spans="1:16" x14ac:dyDescent="0.25">
      <c r="A744" t="s">
        <v>32</v>
      </c>
      <c r="B744" s="73" t="str">
        <f>VLOOKUP(C744,'Büyükşehir List'!$C$2:$D$31,2,FALSE)</f>
        <v>BURSA BÜYÜKŞEHİR</v>
      </c>
      <c r="C744" t="s">
        <v>52</v>
      </c>
      <c r="D744" s="73" t="str">
        <f t="shared" si="18"/>
        <v>BURSA BÜYÜKŞEHİR/BURSA</v>
      </c>
      <c r="E744" t="s">
        <v>2773</v>
      </c>
      <c r="F744" t="s">
        <v>2773</v>
      </c>
      <c r="G744" t="s">
        <v>3366</v>
      </c>
      <c r="H744">
        <v>209.3</v>
      </c>
      <c r="I744">
        <v>20.93</v>
      </c>
      <c r="J744">
        <v>0</v>
      </c>
      <c r="K744">
        <v>0</v>
      </c>
      <c r="L744">
        <v>209.3</v>
      </c>
      <c r="M744">
        <v>20.93</v>
      </c>
      <c r="O744" s="79">
        <f>IFERROR(VLOOKUP(D744,'KAPANAN BLD.'!$C$2:$D$793,2,FALSE),0)</f>
        <v>0</v>
      </c>
      <c r="P744" s="79">
        <v>0</v>
      </c>
    </row>
    <row r="745" spans="1:16" x14ac:dyDescent="0.25">
      <c r="A745" t="s">
        <v>32</v>
      </c>
      <c r="B745" s="73" t="str">
        <f>VLOOKUP(C745,'Büyükşehir List'!$C$2:$D$31,2,FALSE)</f>
        <v>BURSA BÜYÜKŞEHİR</v>
      </c>
      <c r="C745" t="s">
        <v>52</v>
      </c>
      <c r="D745" s="73" t="str">
        <f t="shared" si="18"/>
        <v>BURSA BÜYÜKŞEHİR/BURSA</v>
      </c>
      <c r="E745" t="s">
        <v>3751</v>
      </c>
      <c r="F745" t="s">
        <v>3751</v>
      </c>
      <c r="G745" t="s">
        <v>3366</v>
      </c>
      <c r="H745">
        <v>407.8</v>
      </c>
      <c r="I745">
        <v>40.78</v>
      </c>
      <c r="J745">
        <v>0</v>
      </c>
      <c r="K745">
        <v>0</v>
      </c>
      <c r="L745">
        <v>407.8</v>
      </c>
      <c r="M745">
        <v>40.78</v>
      </c>
      <c r="O745" s="79">
        <f>IFERROR(VLOOKUP(D745,'KAPANAN BLD.'!$C$2:$D$793,2,FALSE),0)</f>
        <v>0</v>
      </c>
      <c r="P745" s="79">
        <v>0</v>
      </c>
    </row>
    <row r="746" spans="1:16" x14ac:dyDescent="0.25">
      <c r="A746" t="s">
        <v>32</v>
      </c>
      <c r="B746" s="73" t="str">
        <f>VLOOKUP(C746,'Büyükşehir List'!$C$2:$D$31,2,FALSE)</f>
        <v>BURSA BÜYÜKŞEHİR</v>
      </c>
      <c r="C746" t="s">
        <v>52</v>
      </c>
      <c r="D746" s="73" t="str">
        <f t="shared" si="18"/>
        <v>BURSA BÜYÜKŞEHİR/BURSA</v>
      </c>
      <c r="E746" t="s">
        <v>3751</v>
      </c>
      <c r="F746" t="s">
        <v>3751</v>
      </c>
      <c r="G746" t="s">
        <v>3367</v>
      </c>
      <c r="H746">
        <v>118</v>
      </c>
      <c r="I746">
        <v>11.8</v>
      </c>
      <c r="J746">
        <v>0</v>
      </c>
      <c r="K746">
        <v>0</v>
      </c>
      <c r="L746">
        <v>118</v>
      </c>
      <c r="M746">
        <v>11.8</v>
      </c>
      <c r="O746" s="79">
        <f>IFERROR(VLOOKUP(D746,'KAPANAN BLD.'!$C$2:$D$793,2,FALSE),0)</f>
        <v>0</v>
      </c>
      <c r="P746" s="79">
        <v>0</v>
      </c>
    </row>
    <row r="747" spans="1:16" x14ac:dyDescent="0.25">
      <c r="A747" t="s">
        <v>32</v>
      </c>
      <c r="B747" s="73" t="str">
        <f>VLOOKUP(C747,'Büyükşehir List'!$C$2:$D$31,2,FALSE)</f>
        <v>BURSA BÜYÜKŞEHİR</v>
      </c>
      <c r="C747" t="s">
        <v>52</v>
      </c>
      <c r="D747" s="73" t="str">
        <f t="shared" si="18"/>
        <v>BURSA BÜYÜKŞEHİR/BURSA</v>
      </c>
      <c r="E747" t="s">
        <v>3752</v>
      </c>
      <c r="F747" t="s">
        <v>3752</v>
      </c>
      <c r="G747" t="s">
        <v>3367</v>
      </c>
      <c r="H747">
        <v>1528.2</v>
      </c>
      <c r="I747">
        <v>152.82</v>
      </c>
      <c r="J747">
        <v>374.4</v>
      </c>
      <c r="K747">
        <v>37.44</v>
      </c>
      <c r="L747">
        <v>1153.8</v>
      </c>
      <c r="M747">
        <v>115.38</v>
      </c>
      <c r="O747" s="79">
        <f>IFERROR(VLOOKUP(D747,'KAPANAN BLD.'!$C$2:$D$793,2,FALSE),0)</f>
        <v>0</v>
      </c>
      <c r="P747" s="79">
        <v>0</v>
      </c>
    </row>
    <row r="748" spans="1:16" x14ac:dyDescent="0.25">
      <c r="A748" t="s">
        <v>32</v>
      </c>
      <c r="B748" s="73" t="str">
        <f>VLOOKUP(C748,'Büyükşehir List'!$C$2:$D$31,2,FALSE)</f>
        <v>BURSA BÜYÜKŞEHİR</v>
      </c>
      <c r="C748" t="s">
        <v>52</v>
      </c>
      <c r="D748" s="73" t="str">
        <f t="shared" si="18"/>
        <v>BURSA BÜYÜKŞEHİR/BURSA</v>
      </c>
      <c r="E748" t="s">
        <v>3752</v>
      </c>
      <c r="F748" t="s">
        <v>3752</v>
      </c>
      <c r="G748" t="s">
        <v>3366</v>
      </c>
      <c r="H748">
        <v>387.9</v>
      </c>
      <c r="I748">
        <v>38.79</v>
      </c>
      <c r="J748">
        <v>0</v>
      </c>
      <c r="K748">
        <v>0</v>
      </c>
      <c r="L748">
        <v>387.9</v>
      </c>
      <c r="M748">
        <v>38.79</v>
      </c>
      <c r="O748" s="79">
        <f>IFERROR(VLOOKUP(D748,'KAPANAN BLD.'!$C$2:$D$793,2,FALSE),0)</f>
        <v>0</v>
      </c>
      <c r="P748" s="79">
        <v>0</v>
      </c>
    </row>
    <row r="749" spans="1:16" x14ac:dyDescent="0.25">
      <c r="A749" t="s">
        <v>32</v>
      </c>
      <c r="B749" s="73" t="str">
        <f>VLOOKUP(C749,'Büyükşehir List'!$C$2:$D$31,2,FALSE)</f>
        <v>BURSA BÜYÜKŞEHİR</v>
      </c>
      <c r="C749" t="s">
        <v>52</v>
      </c>
      <c r="D749" s="73" t="str">
        <f t="shared" si="18"/>
        <v>BURSA BÜYÜKŞEHİR/BURSA</v>
      </c>
      <c r="E749" t="s">
        <v>2109</v>
      </c>
      <c r="F749" t="s">
        <v>2109</v>
      </c>
      <c r="G749" t="s">
        <v>3366</v>
      </c>
      <c r="H749">
        <v>851.4</v>
      </c>
      <c r="I749">
        <v>85.14</v>
      </c>
      <c r="J749">
        <v>0</v>
      </c>
      <c r="K749">
        <v>0</v>
      </c>
      <c r="L749">
        <v>851.4</v>
      </c>
      <c r="M749">
        <v>85.14</v>
      </c>
      <c r="O749" s="79">
        <f>IFERROR(VLOOKUP(D749,'KAPANAN BLD.'!$C$2:$D$793,2,FALSE),0)</f>
        <v>0</v>
      </c>
      <c r="P749" s="79">
        <v>0</v>
      </c>
    </row>
    <row r="750" spans="1:16" x14ac:dyDescent="0.25">
      <c r="A750" t="s">
        <v>32</v>
      </c>
      <c r="B750" s="73" t="str">
        <f>VLOOKUP(C750,'Büyükşehir List'!$C$2:$D$31,2,FALSE)</f>
        <v>BURSA BÜYÜKŞEHİR</v>
      </c>
      <c r="C750" t="s">
        <v>52</v>
      </c>
      <c r="D750" s="73" t="str">
        <f t="shared" si="18"/>
        <v>BURSA BÜYÜKŞEHİR/BURSA</v>
      </c>
      <c r="E750" t="s">
        <v>2109</v>
      </c>
      <c r="F750" t="s">
        <v>2109</v>
      </c>
      <c r="G750" t="s">
        <v>3367</v>
      </c>
      <c r="H750">
        <v>60.8</v>
      </c>
      <c r="I750">
        <v>6.08</v>
      </c>
      <c r="J750">
        <v>0</v>
      </c>
      <c r="K750">
        <v>0</v>
      </c>
      <c r="L750">
        <v>60.8</v>
      </c>
      <c r="M750">
        <v>6.08</v>
      </c>
      <c r="O750" s="79">
        <f>IFERROR(VLOOKUP(D750,'KAPANAN BLD.'!$C$2:$D$793,2,FALSE),0)</f>
        <v>0</v>
      </c>
      <c r="P750" s="79">
        <v>0</v>
      </c>
    </row>
    <row r="751" spans="1:16" x14ac:dyDescent="0.25">
      <c r="A751" t="s">
        <v>32</v>
      </c>
      <c r="B751" s="73" t="str">
        <f>VLOOKUP(C751,'Büyükşehir List'!$C$2:$D$31,2,FALSE)</f>
        <v>BURSA BÜYÜKŞEHİR</v>
      </c>
      <c r="C751" t="s">
        <v>52</v>
      </c>
      <c r="D751" s="73" t="str">
        <f t="shared" si="18"/>
        <v>BURSA BÜYÜKŞEHİR/BURSA</v>
      </c>
      <c r="E751" t="s">
        <v>3753</v>
      </c>
      <c r="F751" t="s">
        <v>3753</v>
      </c>
      <c r="G751" t="s">
        <v>3366</v>
      </c>
      <c r="H751">
        <v>783.9</v>
      </c>
      <c r="I751">
        <v>78.39</v>
      </c>
      <c r="J751">
        <v>0</v>
      </c>
      <c r="K751">
        <v>0</v>
      </c>
      <c r="L751">
        <v>783.9</v>
      </c>
      <c r="M751">
        <v>78.39</v>
      </c>
      <c r="O751" s="79">
        <f>IFERROR(VLOOKUP(D751,'KAPANAN BLD.'!$C$2:$D$793,2,FALSE),0)</f>
        <v>0</v>
      </c>
      <c r="P751" s="79">
        <v>0</v>
      </c>
    </row>
    <row r="752" spans="1:16" x14ac:dyDescent="0.25">
      <c r="A752" t="s">
        <v>32</v>
      </c>
      <c r="B752" s="73" t="str">
        <f>VLOOKUP(C752,'Büyükşehir List'!$C$2:$D$31,2,FALSE)</f>
        <v>BURSA BÜYÜKŞEHİR</v>
      </c>
      <c r="C752" t="s">
        <v>52</v>
      </c>
      <c r="D752" s="73" t="str">
        <f t="shared" si="18"/>
        <v>BURSA BÜYÜKŞEHİR/BURSA</v>
      </c>
      <c r="E752" t="s">
        <v>3753</v>
      </c>
      <c r="F752" t="s">
        <v>3753</v>
      </c>
      <c r="G752" t="s">
        <v>3367</v>
      </c>
      <c r="H752">
        <v>255.9</v>
      </c>
      <c r="I752">
        <v>25.59</v>
      </c>
      <c r="J752">
        <v>0</v>
      </c>
      <c r="K752">
        <v>0</v>
      </c>
      <c r="L752">
        <v>255.9</v>
      </c>
      <c r="M752">
        <v>25.59</v>
      </c>
      <c r="O752" s="79">
        <f>IFERROR(VLOOKUP(D752,'KAPANAN BLD.'!$C$2:$D$793,2,FALSE),0)</f>
        <v>0</v>
      </c>
      <c r="P752" s="79">
        <v>0</v>
      </c>
    </row>
    <row r="753" spans="1:16" x14ac:dyDescent="0.25">
      <c r="A753" t="s">
        <v>32</v>
      </c>
      <c r="B753" s="73" t="str">
        <f>VLOOKUP(C753,'Büyükşehir List'!$C$2:$D$31,2,FALSE)</f>
        <v>BURSA BÜYÜKŞEHİR</v>
      </c>
      <c r="C753" t="s">
        <v>52</v>
      </c>
      <c r="D753" s="73" t="str">
        <f t="shared" si="18"/>
        <v>BURSA BÜYÜKŞEHİR/BURSA</v>
      </c>
      <c r="E753" t="s">
        <v>1859</v>
      </c>
      <c r="F753" t="s">
        <v>1859</v>
      </c>
      <c r="G753" t="s">
        <v>3367</v>
      </c>
      <c r="H753">
        <v>14303.74</v>
      </c>
      <c r="I753">
        <v>1430.37</v>
      </c>
      <c r="J753">
        <v>1749.4</v>
      </c>
      <c r="K753">
        <v>174.94</v>
      </c>
      <c r="L753">
        <v>12554.34</v>
      </c>
      <c r="M753">
        <v>1255.43</v>
      </c>
      <c r="O753" s="79">
        <f>IFERROR(VLOOKUP(D753,'KAPANAN BLD.'!$C$2:$D$793,2,FALSE),0)</f>
        <v>0</v>
      </c>
      <c r="P753" s="79">
        <v>0</v>
      </c>
    </row>
    <row r="754" spans="1:16" x14ac:dyDescent="0.25">
      <c r="A754" t="s">
        <v>32</v>
      </c>
      <c r="B754" s="73" t="str">
        <f>VLOOKUP(C754,'Büyükşehir List'!$C$2:$D$31,2,FALSE)</f>
        <v>BURSA BÜYÜKŞEHİR</v>
      </c>
      <c r="C754" t="s">
        <v>52</v>
      </c>
      <c r="D754" s="73" t="str">
        <f t="shared" si="18"/>
        <v>BURSA BÜYÜKŞEHİR/BURSA</v>
      </c>
      <c r="E754" t="s">
        <v>1859</v>
      </c>
      <c r="F754" t="s">
        <v>1859</v>
      </c>
      <c r="G754" t="s">
        <v>3366</v>
      </c>
      <c r="H754">
        <v>8162.64</v>
      </c>
      <c r="I754">
        <v>816.28</v>
      </c>
      <c r="J754">
        <v>637.76</v>
      </c>
      <c r="K754">
        <v>63.78</v>
      </c>
      <c r="L754">
        <v>7524.88</v>
      </c>
      <c r="M754">
        <v>752.5</v>
      </c>
      <c r="O754" s="79">
        <f>IFERROR(VLOOKUP(D754,'KAPANAN BLD.'!$C$2:$D$793,2,FALSE),0)</f>
        <v>0</v>
      </c>
      <c r="P754" s="79">
        <v>0</v>
      </c>
    </row>
    <row r="755" spans="1:16" x14ac:dyDescent="0.25">
      <c r="A755" t="s">
        <v>32</v>
      </c>
      <c r="B755" s="73" t="str">
        <f>VLOOKUP(C755,'Büyükşehir List'!$C$2:$D$31,2,FALSE)</f>
        <v>BURSA BÜYÜKŞEHİR</v>
      </c>
      <c r="C755" t="s">
        <v>52</v>
      </c>
      <c r="D755" s="73" t="str">
        <f t="shared" si="18"/>
        <v>BURSA BÜYÜKŞEHİR/BURSA</v>
      </c>
      <c r="E755" t="s">
        <v>1859</v>
      </c>
      <c r="F755" t="s">
        <v>1859</v>
      </c>
      <c r="G755" t="s">
        <v>3367</v>
      </c>
      <c r="H755">
        <v>1461.4</v>
      </c>
      <c r="I755">
        <v>146.13999999999999</v>
      </c>
      <c r="J755">
        <v>357.4</v>
      </c>
      <c r="K755">
        <v>35.74</v>
      </c>
      <c r="L755">
        <v>1104</v>
      </c>
      <c r="M755">
        <v>110.4</v>
      </c>
      <c r="O755" s="79">
        <f>IFERROR(VLOOKUP(D755,'KAPANAN BLD.'!$C$2:$D$793,2,FALSE),0)</f>
        <v>0</v>
      </c>
      <c r="P755" s="79">
        <v>0</v>
      </c>
    </row>
    <row r="756" spans="1:16" x14ac:dyDescent="0.25">
      <c r="A756" t="s">
        <v>32</v>
      </c>
      <c r="B756" s="73" t="str">
        <f>VLOOKUP(C756,'Büyükşehir List'!$C$2:$D$31,2,FALSE)</f>
        <v>BURSA BÜYÜKŞEHİR</v>
      </c>
      <c r="C756" t="s">
        <v>52</v>
      </c>
      <c r="D756" s="73" t="str">
        <f t="shared" si="18"/>
        <v>BURSA BÜYÜKŞEHİR/BURSA</v>
      </c>
      <c r="E756" t="s">
        <v>1859</v>
      </c>
      <c r="F756" t="s">
        <v>1859</v>
      </c>
      <c r="G756" t="s">
        <v>3366</v>
      </c>
      <c r="H756">
        <v>3461.5</v>
      </c>
      <c r="I756">
        <v>346.15</v>
      </c>
      <c r="J756">
        <v>237</v>
      </c>
      <c r="K756">
        <v>23.7</v>
      </c>
      <c r="L756">
        <v>3224.5</v>
      </c>
      <c r="M756">
        <v>322.45</v>
      </c>
      <c r="O756" s="79">
        <f>IFERROR(VLOOKUP(D756,'KAPANAN BLD.'!$C$2:$D$793,2,FALSE),0)</f>
        <v>0</v>
      </c>
      <c r="P756" s="79">
        <v>0</v>
      </c>
    </row>
    <row r="757" spans="1:16" x14ac:dyDescent="0.25">
      <c r="A757" t="s">
        <v>32</v>
      </c>
      <c r="B757" s="73" t="str">
        <f>VLOOKUP(C757,'Büyükşehir List'!$C$2:$D$31,2,FALSE)</f>
        <v>BURSA BÜYÜKŞEHİR</v>
      </c>
      <c r="C757" t="s">
        <v>52</v>
      </c>
      <c r="D757" s="73" t="str">
        <f t="shared" si="18"/>
        <v>BURSA BÜYÜKŞEHİR/BURSA</v>
      </c>
      <c r="E757" t="s">
        <v>537</v>
      </c>
      <c r="F757" t="s">
        <v>537</v>
      </c>
      <c r="G757" t="s">
        <v>3367</v>
      </c>
      <c r="H757">
        <v>5.4</v>
      </c>
      <c r="I757">
        <v>0.54</v>
      </c>
      <c r="J757">
        <v>0</v>
      </c>
      <c r="K757">
        <v>0</v>
      </c>
      <c r="L757">
        <v>5.4</v>
      </c>
      <c r="M757">
        <v>0.54</v>
      </c>
      <c r="O757" s="79">
        <f>IFERROR(VLOOKUP(D757,'KAPANAN BLD.'!$C$2:$D$793,2,FALSE),0)</f>
        <v>0</v>
      </c>
      <c r="P757" s="79">
        <v>0</v>
      </c>
    </row>
    <row r="758" spans="1:16" x14ac:dyDescent="0.25">
      <c r="A758" t="s">
        <v>32</v>
      </c>
      <c r="B758" s="73" t="str">
        <f>VLOOKUP(C758,'Büyükşehir List'!$C$2:$D$31,2,FALSE)</f>
        <v>BURSA BÜYÜKŞEHİR</v>
      </c>
      <c r="C758" t="s">
        <v>52</v>
      </c>
      <c r="D758" s="73" t="str">
        <f t="shared" si="18"/>
        <v>BURSA BÜYÜKŞEHİR/BURSA</v>
      </c>
      <c r="E758" t="s">
        <v>537</v>
      </c>
      <c r="F758" t="s">
        <v>537</v>
      </c>
      <c r="G758" t="s">
        <v>3366</v>
      </c>
      <c r="H758">
        <v>103.3</v>
      </c>
      <c r="I758">
        <v>10.33</v>
      </c>
      <c r="J758">
        <v>0</v>
      </c>
      <c r="K758">
        <v>0</v>
      </c>
      <c r="L758">
        <v>103.3</v>
      </c>
      <c r="M758">
        <v>10.33</v>
      </c>
      <c r="O758" s="79">
        <f>IFERROR(VLOOKUP(D758,'KAPANAN BLD.'!$C$2:$D$793,2,FALSE),0)</f>
        <v>0</v>
      </c>
      <c r="P758" s="79">
        <v>0</v>
      </c>
    </row>
    <row r="759" spans="1:16" x14ac:dyDescent="0.25">
      <c r="A759" t="s">
        <v>32</v>
      </c>
      <c r="B759" s="73" t="str">
        <f>VLOOKUP(C759,'Büyükşehir List'!$C$2:$D$31,2,FALSE)</f>
        <v>BURSA BÜYÜKŞEHİR</v>
      </c>
      <c r="C759" t="s">
        <v>52</v>
      </c>
      <c r="D759" s="73" t="str">
        <f t="shared" si="18"/>
        <v>BURSA BÜYÜKŞEHİR/BURSA</v>
      </c>
      <c r="E759" t="s">
        <v>54</v>
      </c>
      <c r="F759" t="s">
        <v>54</v>
      </c>
      <c r="G759" t="s">
        <v>3366</v>
      </c>
      <c r="H759">
        <v>3781.37</v>
      </c>
      <c r="I759">
        <v>378.14</v>
      </c>
      <c r="J759">
        <v>0</v>
      </c>
      <c r="K759">
        <v>0</v>
      </c>
      <c r="L759">
        <v>3781.37</v>
      </c>
      <c r="M759">
        <v>378.14</v>
      </c>
      <c r="O759" s="79">
        <f>IFERROR(VLOOKUP(D759,'KAPANAN BLD.'!$C$2:$D$793,2,FALSE),0)</f>
        <v>0</v>
      </c>
      <c r="P759" s="79">
        <v>0</v>
      </c>
    </row>
    <row r="760" spans="1:16" x14ac:dyDescent="0.25">
      <c r="A760" t="s">
        <v>32</v>
      </c>
      <c r="B760" s="73" t="str">
        <f>VLOOKUP(C760,'Büyükşehir List'!$C$2:$D$31,2,FALSE)</f>
        <v>BURSA BÜYÜKŞEHİR</v>
      </c>
      <c r="C760" t="s">
        <v>52</v>
      </c>
      <c r="D760" s="73" t="str">
        <f t="shared" si="18"/>
        <v>BURSA BÜYÜKŞEHİR/BURSA</v>
      </c>
      <c r="E760" t="s">
        <v>54</v>
      </c>
      <c r="F760" t="s">
        <v>54</v>
      </c>
      <c r="G760" t="s">
        <v>3367</v>
      </c>
      <c r="H760">
        <v>1360.12</v>
      </c>
      <c r="I760">
        <v>136.01</v>
      </c>
      <c r="J760">
        <v>0</v>
      </c>
      <c r="K760">
        <v>0</v>
      </c>
      <c r="L760">
        <v>1360.12</v>
      </c>
      <c r="M760">
        <v>136.01</v>
      </c>
      <c r="O760" s="79">
        <f>IFERROR(VLOOKUP(D760,'KAPANAN BLD.'!$C$2:$D$793,2,FALSE),0)</f>
        <v>0</v>
      </c>
      <c r="P760" s="79">
        <v>0</v>
      </c>
    </row>
    <row r="761" spans="1:16" x14ac:dyDescent="0.25">
      <c r="A761" t="s">
        <v>32</v>
      </c>
      <c r="B761" s="73" t="str">
        <f>VLOOKUP(C761,'Büyükşehir List'!$C$2:$D$31,2,FALSE)</f>
        <v>BURSA BÜYÜKŞEHİR</v>
      </c>
      <c r="C761" t="s">
        <v>52</v>
      </c>
      <c r="D761" s="73" t="str">
        <f t="shared" si="18"/>
        <v>BURSA BÜYÜKŞEHİR/BURSA</v>
      </c>
      <c r="E761" t="s">
        <v>303</v>
      </c>
      <c r="F761" t="s">
        <v>303</v>
      </c>
      <c r="G761" t="s">
        <v>3366</v>
      </c>
      <c r="H761">
        <v>3342.7</v>
      </c>
      <c r="I761">
        <v>334.27</v>
      </c>
      <c r="J761">
        <v>0</v>
      </c>
      <c r="K761">
        <v>0</v>
      </c>
      <c r="L761">
        <v>3342.7</v>
      </c>
      <c r="M761">
        <v>334.27</v>
      </c>
      <c r="O761" s="79">
        <f>IFERROR(VLOOKUP(D761,'KAPANAN BLD.'!$C$2:$D$793,2,FALSE),0)</f>
        <v>0</v>
      </c>
      <c r="P761" s="79">
        <v>0</v>
      </c>
    </row>
    <row r="762" spans="1:16" x14ac:dyDescent="0.25">
      <c r="A762" t="s">
        <v>32</v>
      </c>
      <c r="B762" s="73" t="str">
        <f>VLOOKUP(C762,'Büyükşehir List'!$C$2:$D$31,2,FALSE)</f>
        <v>BURSA BÜYÜKŞEHİR</v>
      </c>
      <c r="C762" t="s">
        <v>52</v>
      </c>
      <c r="D762" s="73" t="str">
        <f t="shared" si="18"/>
        <v>BURSA BÜYÜKŞEHİR/BURSA</v>
      </c>
      <c r="E762" t="s">
        <v>303</v>
      </c>
      <c r="F762" t="s">
        <v>303</v>
      </c>
      <c r="G762" t="s">
        <v>3367</v>
      </c>
      <c r="H762">
        <v>1561</v>
      </c>
      <c r="I762">
        <v>156.1</v>
      </c>
      <c r="J762">
        <v>0</v>
      </c>
      <c r="K762">
        <v>0</v>
      </c>
      <c r="L762">
        <v>1561</v>
      </c>
      <c r="M762">
        <v>156.1</v>
      </c>
      <c r="O762" s="79">
        <f>IFERROR(VLOOKUP(D762,'KAPANAN BLD.'!$C$2:$D$793,2,FALSE),0)</f>
        <v>0</v>
      </c>
      <c r="P762" s="79">
        <v>0</v>
      </c>
    </row>
    <row r="763" spans="1:16" x14ac:dyDescent="0.25">
      <c r="A763" t="s">
        <v>32</v>
      </c>
      <c r="B763" s="73" t="str">
        <f>VLOOKUP(C763,'Büyükşehir List'!$C$2:$D$31,2,FALSE)</f>
        <v>BURSA BÜYÜKŞEHİR</v>
      </c>
      <c r="C763" t="s">
        <v>52</v>
      </c>
      <c r="D763" s="73" t="str">
        <f t="shared" si="18"/>
        <v>BURSA BÜYÜKŞEHİR/BURSA</v>
      </c>
      <c r="E763" t="s">
        <v>361</v>
      </c>
      <c r="F763" t="s">
        <v>361</v>
      </c>
      <c r="G763" t="s">
        <v>3366</v>
      </c>
      <c r="H763">
        <v>53901.97</v>
      </c>
      <c r="I763">
        <v>5390.2</v>
      </c>
      <c r="J763">
        <v>19661.400000000001</v>
      </c>
      <c r="K763">
        <v>1966.14</v>
      </c>
      <c r="L763">
        <v>34240.57</v>
      </c>
      <c r="M763">
        <v>3424.06</v>
      </c>
      <c r="O763" s="79">
        <f>IFERROR(VLOOKUP(D763,'KAPANAN BLD.'!$C$2:$D$793,2,FALSE),0)</f>
        <v>0</v>
      </c>
      <c r="P763" s="79">
        <v>0</v>
      </c>
    </row>
    <row r="764" spans="1:16" x14ac:dyDescent="0.25">
      <c r="A764" t="s">
        <v>32</v>
      </c>
      <c r="B764" s="73" t="str">
        <f>VLOOKUP(C764,'Büyükşehir List'!$C$2:$D$31,2,FALSE)</f>
        <v>BURSA BÜYÜKŞEHİR</v>
      </c>
      <c r="C764" t="s">
        <v>52</v>
      </c>
      <c r="D764" s="73" t="str">
        <f t="shared" si="18"/>
        <v>BURSA BÜYÜKŞEHİR/BURSA</v>
      </c>
      <c r="E764" t="s">
        <v>361</v>
      </c>
      <c r="F764" t="s">
        <v>361</v>
      </c>
      <c r="G764" t="s">
        <v>3367</v>
      </c>
      <c r="H764">
        <v>40726.65</v>
      </c>
      <c r="I764">
        <v>4072.66</v>
      </c>
      <c r="J764">
        <v>27255</v>
      </c>
      <c r="K764">
        <v>2725.5</v>
      </c>
      <c r="L764">
        <v>13471.65</v>
      </c>
      <c r="M764">
        <v>1347.16</v>
      </c>
      <c r="O764" s="79">
        <f>IFERROR(VLOOKUP(D764,'KAPANAN BLD.'!$C$2:$D$793,2,FALSE),0)</f>
        <v>0</v>
      </c>
      <c r="P764" s="79">
        <v>0</v>
      </c>
    </row>
    <row r="765" spans="1:16" x14ac:dyDescent="0.25">
      <c r="A765" t="s">
        <v>32</v>
      </c>
      <c r="B765" s="73" t="str">
        <f>VLOOKUP(C765,'Büyükşehir List'!$C$2:$D$31,2,FALSE)</f>
        <v>BURSA BÜYÜKŞEHİR</v>
      </c>
      <c r="C765" t="s">
        <v>52</v>
      </c>
      <c r="D765" s="73" t="str">
        <f t="shared" si="18"/>
        <v>BURSA BÜYÜKŞEHİR/BURSA</v>
      </c>
      <c r="E765" t="s">
        <v>4346</v>
      </c>
      <c r="F765" t="s">
        <v>4346</v>
      </c>
      <c r="G765" t="s">
        <v>3367</v>
      </c>
      <c r="H765">
        <v>10.8</v>
      </c>
      <c r="I765">
        <v>1.08</v>
      </c>
      <c r="J765">
        <v>0</v>
      </c>
      <c r="K765">
        <v>0</v>
      </c>
      <c r="L765">
        <v>10.8</v>
      </c>
      <c r="M765">
        <v>1.08</v>
      </c>
      <c r="O765" s="79">
        <f>IFERROR(VLOOKUP(D765,'KAPANAN BLD.'!$C$2:$D$793,2,FALSE),0)</f>
        <v>0</v>
      </c>
      <c r="P765" s="79">
        <v>0</v>
      </c>
    </row>
    <row r="766" spans="1:16" x14ac:dyDescent="0.25">
      <c r="A766" t="s">
        <v>32</v>
      </c>
      <c r="B766" s="73" t="str">
        <f>VLOOKUP(C766,'Büyükşehir List'!$C$2:$D$31,2,FALSE)</f>
        <v>BURSA BÜYÜKŞEHİR</v>
      </c>
      <c r="C766" t="s">
        <v>52</v>
      </c>
      <c r="D766" s="73" t="str">
        <f t="shared" si="18"/>
        <v>BURSA BÜYÜKŞEHİR/BURSA</v>
      </c>
      <c r="E766" t="s">
        <v>4346</v>
      </c>
      <c r="F766" t="s">
        <v>4346</v>
      </c>
      <c r="G766" t="s">
        <v>3366</v>
      </c>
      <c r="H766">
        <v>206.6</v>
      </c>
      <c r="I766">
        <v>20.66</v>
      </c>
      <c r="J766">
        <v>0</v>
      </c>
      <c r="K766">
        <v>0</v>
      </c>
      <c r="L766">
        <v>206.6</v>
      </c>
      <c r="M766">
        <v>20.66</v>
      </c>
      <c r="O766" s="79">
        <f>IFERROR(VLOOKUP(D766,'KAPANAN BLD.'!$C$2:$D$793,2,FALSE),0)</f>
        <v>0</v>
      </c>
      <c r="P766" s="79">
        <v>0</v>
      </c>
    </row>
    <row r="767" spans="1:16" x14ac:dyDescent="0.25">
      <c r="A767" t="s">
        <v>32</v>
      </c>
      <c r="B767" s="73" t="str">
        <f>VLOOKUP(C767,'Büyükşehir List'!$C$2:$D$31,2,FALSE)</f>
        <v>BURSA BÜYÜKŞEHİR</v>
      </c>
      <c r="C767" t="s">
        <v>52</v>
      </c>
      <c r="D767" s="73" t="str">
        <f t="shared" si="18"/>
        <v>BURSA BÜYÜKŞEHİR/BURSA</v>
      </c>
      <c r="E767" t="s">
        <v>1859</v>
      </c>
      <c r="F767" t="s">
        <v>1859</v>
      </c>
      <c r="G767" t="s">
        <v>3366</v>
      </c>
      <c r="H767">
        <v>70339.72</v>
      </c>
      <c r="I767">
        <v>7033.96</v>
      </c>
      <c r="J767">
        <v>1088.2</v>
      </c>
      <c r="K767">
        <v>108.82</v>
      </c>
      <c r="L767">
        <v>69251.520000000004</v>
      </c>
      <c r="M767">
        <v>6925.14</v>
      </c>
      <c r="O767" s="79">
        <f>IFERROR(VLOOKUP(D767,'KAPANAN BLD.'!$C$2:$D$793,2,FALSE),0)</f>
        <v>0</v>
      </c>
      <c r="P767" s="79">
        <v>0</v>
      </c>
    </row>
    <row r="768" spans="1:16" x14ac:dyDescent="0.25">
      <c r="A768" t="s">
        <v>32</v>
      </c>
      <c r="B768" s="73" t="str">
        <f>VLOOKUP(C768,'Büyükşehir List'!$C$2:$D$31,2,FALSE)</f>
        <v>BURSA BÜYÜKŞEHİR</v>
      </c>
      <c r="C768" t="s">
        <v>52</v>
      </c>
      <c r="D768" s="73" t="str">
        <f t="shared" si="18"/>
        <v>BURSA BÜYÜKŞEHİR/BURSA</v>
      </c>
      <c r="E768" t="s">
        <v>1859</v>
      </c>
      <c r="F768" t="s">
        <v>1859</v>
      </c>
      <c r="G768" t="s">
        <v>3367</v>
      </c>
      <c r="H768">
        <v>75196.210000000006</v>
      </c>
      <c r="I768">
        <v>7519.62</v>
      </c>
      <c r="J768">
        <v>1470.98</v>
      </c>
      <c r="K768">
        <v>147.1</v>
      </c>
      <c r="L768">
        <v>73725.23</v>
      </c>
      <c r="M768">
        <v>7372.52</v>
      </c>
      <c r="O768" s="79">
        <f>IFERROR(VLOOKUP(D768,'KAPANAN BLD.'!$C$2:$D$793,2,FALSE),0)</f>
        <v>0</v>
      </c>
      <c r="P768" s="79">
        <v>0</v>
      </c>
    </row>
    <row r="769" spans="1:16" x14ac:dyDescent="0.25">
      <c r="A769" t="s">
        <v>32</v>
      </c>
      <c r="B769" s="73" t="str">
        <f>VLOOKUP(C769,'Büyükşehir List'!$C$2:$D$31,2,FALSE)</f>
        <v>BURSA BÜYÜKŞEHİR</v>
      </c>
      <c r="C769" t="s">
        <v>52</v>
      </c>
      <c r="D769" s="73" t="str">
        <f t="shared" si="18"/>
        <v>BURSA BÜYÜKŞEHİR/BURSA</v>
      </c>
      <c r="E769" t="s">
        <v>543</v>
      </c>
      <c r="F769" t="s">
        <v>543</v>
      </c>
      <c r="G769" t="s">
        <v>3366</v>
      </c>
      <c r="H769">
        <v>63.3</v>
      </c>
      <c r="I769">
        <v>6.33</v>
      </c>
      <c r="J769">
        <v>0</v>
      </c>
      <c r="K769">
        <v>0</v>
      </c>
      <c r="L769">
        <v>63.3</v>
      </c>
      <c r="M769">
        <v>6.33</v>
      </c>
      <c r="O769" s="79">
        <f>IFERROR(VLOOKUP(D769,'KAPANAN BLD.'!$C$2:$D$793,2,FALSE),0)</f>
        <v>0</v>
      </c>
      <c r="P769" s="79">
        <v>0</v>
      </c>
    </row>
    <row r="770" spans="1:16" x14ac:dyDescent="0.25">
      <c r="A770" t="s">
        <v>32</v>
      </c>
      <c r="B770" s="73" t="str">
        <f>VLOOKUP(C770,'Büyükşehir List'!$C$2:$D$31,2,FALSE)</f>
        <v>BURSA BÜYÜKŞEHİR</v>
      </c>
      <c r="C770" t="s">
        <v>52</v>
      </c>
      <c r="D770" s="73" t="str">
        <f t="shared" si="18"/>
        <v>BURSA BÜYÜKŞEHİR/BURSA</v>
      </c>
      <c r="E770" t="s">
        <v>543</v>
      </c>
      <c r="F770" t="s">
        <v>543</v>
      </c>
      <c r="G770" t="s">
        <v>3367</v>
      </c>
      <c r="H770">
        <v>143.9</v>
      </c>
      <c r="I770">
        <v>14.39</v>
      </c>
      <c r="J770">
        <v>0</v>
      </c>
      <c r="K770">
        <v>0</v>
      </c>
      <c r="L770">
        <v>143.9</v>
      </c>
      <c r="M770">
        <v>14.39</v>
      </c>
      <c r="O770" s="79">
        <f>IFERROR(VLOOKUP(D770,'KAPANAN BLD.'!$C$2:$D$793,2,FALSE),0)</f>
        <v>0</v>
      </c>
      <c r="P770" s="79">
        <v>0</v>
      </c>
    </row>
    <row r="771" spans="1:16" x14ac:dyDescent="0.25">
      <c r="A771" t="s">
        <v>32</v>
      </c>
      <c r="B771" s="73" t="str">
        <f>VLOOKUP(C771,'Büyükşehir List'!$C$2:$D$31,2,FALSE)</f>
        <v>BURSA BÜYÜKŞEHİR</v>
      </c>
      <c r="C771" t="s">
        <v>52</v>
      </c>
      <c r="D771" s="73" t="str">
        <f t="shared" ref="D771:D834" si="19">CONCATENATE(B771,"/",C771)</f>
        <v>BURSA BÜYÜKŞEHİR/BURSA</v>
      </c>
      <c r="E771" t="s">
        <v>1859</v>
      </c>
      <c r="F771" t="s">
        <v>1859</v>
      </c>
      <c r="G771" t="s">
        <v>3367</v>
      </c>
      <c r="H771">
        <v>8970.85</v>
      </c>
      <c r="I771">
        <v>897.08</v>
      </c>
      <c r="J771">
        <v>61.7</v>
      </c>
      <c r="K771">
        <v>6.17</v>
      </c>
      <c r="L771">
        <v>8909.15</v>
      </c>
      <c r="M771">
        <v>890.91</v>
      </c>
      <c r="O771" s="79">
        <f>IFERROR(VLOOKUP(D771,'KAPANAN BLD.'!$C$2:$D$793,2,FALSE),0)</f>
        <v>0</v>
      </c>
      <c r="P771" s="79">
        <v>0</v>
      </c>
    </row>
    <row r="772" spans="1:16" x14ac:dyDescent="0.25">
      <c r="A772" t="s">
        <v>32</v>
      </c>
      <c r="B772" s="73" t="str">
        <f>VLOOKUP(C772,'Büyükşehir List'!$C$2:$D$31,2,FALSE)</f>
        <v>BURSA BÜYÜKŞEHİR</v>
      </c>
      <c r="C772" t="s">
        <v>52</v>
      </c>
      <c r="D772" s="73" t="str">
        <f t="shared" si="19"/>
        <v>BURSA BÜYÜKŞEHİR/BURSA</v>
      </c>
      <c r="E772" t="s">
        <v>1859</v>
      </c>
      <c r="F772" t="s">
        <v>1859</v>
      </c>
      <c r="G772" t="s">
        <v>3366</v>
      </c>
      <c r="H772">
        <v>3134.13</v>
      </c>
      <c r="I772">
        <v>313.41000000000003</v>
      </c>
      <c r="J772">
        <v>0.1</v>
      </c>
      <c r="K772">
        <v>0.01</v>
      </c>
      <c r="L772">
        <v>3134.03</v>
      </c>
      <c r="M772">
        <v>313.39999999999998</v>
      </c>
      <c r="O772" s="79">
        <f>IFERROR(VLOOKUP(D772,'KAPANAN BLD.'!$C$2:$D$793,2,FALSE),0)</f>
        <v>0</v>
      </c>
      <c r="P772" s="79">
        <v>0</v>
      </c>
    </row>
    <row r="773" spans="1:16" x14ac:dyDescent="0.25">
      <c r="A773" t="s">
        <v>32</v>
      </c>
      <c r="B773" s="73" t="str">
        <f>VLOOKUP(C773,'Büyükşehir List'!$C$2:$D$31,2,FALSE)</f>
        <v>BURSA BÜYÜKŞEHİR</v>
      </c>
      <c r="C773" t="s">
        <v>52</v>
      </c>
      <c r="D773" s="73" t="str">
        <f t="shared" si="19"/>
        <v>BURSA BÜYÜKŞEHİR/BURSA</v>
      </c>
      <c r="E773" t="s">
        <v>94</v>
      </c>
      <c r="F773" t="s">
        <v>94</v>
      </c>
      <c r="G773" t="s">
        <v>3367</v>
      </c>
      <c r="H773">
        <v>2502.8000000000002</v>
      </c>
      <c r="I773">
        <v>250.28</v>
      </c>
      <c r="J773">
        <v>170.18</v>
      </c>
      <c r="K773">
        <v>17.02</v>
      </c>
      <c r="L773">
        <v>2332.62</v>
      </c>
      <c r="M773">
        <v>233.26</v>
      </c>
      <c r="O773" s="79">
        <f>IFERROR(VLOOKUP(D773,'KAPANAN BLD.'!$C$2:$D$793,2,FALSE),0)</f>
        <v>0</v>
      </c>
      <c r="P773" s="79">
        <v>0</v>
      </c>
    </row>
    <row r="774" spans="1:16" x14ac:dyDescent="0.25">
      <c r="A774" t="s">
        <v>32</v>
      </c>
      <c r="B774" s="73" t="str">
        <f>VLOOKUP(C774,'Büyükşehir List'!$C$2:$D$31,2,FALSE)</f>
        <v>BURSA BÜYÜKŞEHİR</v>
      </c>
      <c r="C774" t="s">
        <v>52</v>
      </c>
      <c r="D774" s="73" t="str">
        <f t="shared" si="19"/>
        <v>BURSA BÜYÜKŞEHİR/BURSA</v>
      </c>
      <c r="E774" t="s">
        <v>94</v>
      </c>
      <c r="F774" t="s">
        <v>94</v>
      </c>
      <c r="G774" t="s">
        <v>3366</v>
      </c>
      <c r="H774">
        <v>63.3</v>
      </c>
      <c r="I774">
        <v>6.33</v>
      </c>
      <c r="J774">
        <v>302.10000000000002</v>
      </c>
      <c r="K774">
        <v>30.21</v>
      </c>
      <c r="L774">
        <v>-238.8</v>
      </c>
      <c r="M774">
        <v>-23.88</v>
      </c>
      <c r="O774" s="79">
        <f>IFERROR(VLOOKUP(D774,'KAPANAN BLD.'!$C$2:$D$793,2,FALSE),0)</f>
        <v>0</v>
      </c>
      <c r="P774" s="79">
        <v>0</v>
      </c>
    </row>
    <row r="775" spans="1:16" x14ac:dyDescent="0.25">
      <c r="A775" t="s">
        <v>32</v>
      </c>
      <c r="B775" s="73" t="str">
        <f>VLOOKUP(C775,'Büyükşehir List'!$C$2:$D$31,2,FALSE)</f>
        <v>BURSA BÜYÜKŞEHİR</v>
      </c>
      <c r="C775" t="s">
        <v>52</v>
      </c>
      <c r="D775" s="73" t="str">
        <f t="shared" si="19"/>
        <v>BURSA BÜYÜKŞEHİR/BURSA</v>
      </c>
      <c r="E775" t="s">
        <v>1869</v>
      </c>
      <c r="F775" t="s">
        <v>1869</v>
      </c>
      <c r="G775" t="s">
        <v>3366</v>
      </c>
      <c r="H775">
        <v>2094.3000000000002</v>
      </c>
      <c r="I775">
        <v>209.43</v>
      </c>
      <c r="J775">
        <v>0</v>
      </c>
      <c r="K775">
        <v>0</v>
      </c>
      <c r="L775">
        <v>2094.3000000000002</v>
      </c>
      <c r="M775">
        <v>209.43</v>
      </c>
      <c r="O775" s="79">
        <f>IFERROR(VLOOKUP(D775,'KAPANAN BLD.'!$C$2:$D$793,2,FALSE),0)</f>
        <v>0</v>
      </c>
      <c r="P775" s="79">
        <v>0</v>
      </c>
    </row>
    <row r="776" spans="1:16" x14ac:dyDescent="0.25">
      <c r="A776" t="s">
        <v>32</v>
      </c>
      <c r="B776" s="73" t="str">
        <f>VLOOKUP(C776,'Büyükşehir List'!$C$2:$D$31,2,FALSE)</f>
        <v>BURSA BÜYÜKŞEHİR</v>
      </c>
      <c r="C776" t="s">
        <v>52</v>
      </c>
      <c r="D776" s="73" t="str">
        <f t="shared" si="19"/>
        <v>BURSA BÜYÜKŞEHİR/BURSA</v>
      </c>
      <c r="E776" t="s">
        <v>1869</v>
      </c>
      <c r="F776" t="s">
        <v>1869</v>
      </c>
      <c r="G776" t="s">
        <v>3367</v>
      </c>
      <c r="H776">
        <v>1609.4</v>
      </c>
      <c r="I776">
        <v>160.94</v>
      </c>
      <c r="J776">
        <v>0</v>
      </c>
      <c r="K776">
        <v>0</v>
      </c>
      <c r="L776">
        <v>1609.4</v>
      </c>
      <c r="M776">
        <v>160.94</v>
      </c>
      <c r="O776" s="79">
        <f>IFERROR(VLOOKUP(D776,'KAPANAN BLD.'!$C$2:$D$793,2,FALSE),0)</f>
        <v>0</v>
      </c>
      <c r="P776" s="79">
        <v>0</v>
      </c>
    </row>
    <row r="777" spans="1:16" x14ac:dyDescent="0.25">
      <c r="A777" t="s">
        <v>32</v>
      </c>
      <c r="B777" s="73" t="str">
        <f>VLOOKUP(C777,'Büyükşehir List'!$C$2:$D$31,2,FALSE)</f>
        <v>BURSA BÜYÜKŞEHİR</v>
      </c>
      <c r="C777" t="s">
        <v>52</v>
      </c>
      <c r="D777" s="73" t="str">
        <f t="shared" si="19"/>
        <v>BURSA BÜYÜKŞEHİR/BURSA</v>
      </c>
      <c r="E777" t="s">
        <v>1859</v>
      </c>
      <c r="F777" t="s">
        <v>1859</v>
      </c>
      <c r="G777" t="s">
        <v>3367</v>
      </c>
      <c r="H777">
        <v>122857.73</v>
      </c>
      <c r="I777">
        <v>12285.82</v>
      </c>
      <c r="J777">
        <v>19930.349999999999</v>
      </c>
      <c r="K777">
        <v>1993.03</v>
      </c>
      <c r="L777">
        <v>102927.38</v>
      </c>
      <c r="M777">
        <v>10292.790000000001</v>
      </c>
      <c r="O777" s="79">
        <f>IFERROR(VLOOKUP(D777,'KAPANAN BLD.'!$C$2:$D$793,2,FALSE),0)</f>
        <v>0</v>
      </c>
      <c r="P777" s="79">
        <v>0</v>
      </c>
    </row>
    <row r="778" spans="1:16" x14ac:dyDescent="0.25">
      <c r="A778" t="s">
        <v>32</v>
      </c>
      <c r="B778" s="73" t="str">
        <f>VLOOKUP(C778,'Büyükşehir List'!$C$2:$D$31,2,FALSE)</f>
        <v>BURSA BÜYÜKŞEHİR</v>
      </c>
      <c r="C778" t="s">
        <v>52</v>
      </c>
      <c r="D778" s="73" t="str">
        <f t="shared" si="19"/>
        <v>BURSA BÜYÜKŞEHİR/BURSA</v>
      </c>
      <c r="E778" t="s">
        <v>1859</v>
      </c>
      <c r="F778" t="s">
        <v>1859</v>
      </c>
      <c r="G778" t="s">
        <v>3366</v>
      </c>
      <c r="H778">
        <v>135128.29</v>
      </c>
      <c r="I778">
        <v>13512.84</v>
      </c>
      <c r="J778">
        <v>16270.1</v>
      </c>
      <c r="K778">
        <v>1627.01</v>
      </c>
      <c r="L778">
        <v>118858.19</v>
      </c>
      <c r="M778">
        <v>11885.83</v>
      </c>
      <c r="O778" s="79">
        <f>IFERROR(VLOOKUP(D778,'KAPANAN BLD.'!$C$2:$D$793,2,FALSE),0)</f>
        <v>0</v>
      </c>
      <c r="P778" s="79">
        <v>0</v>
      </c>
    </row>
    <row r="779" spans="1:16" x14ac:dyDescent="0.25">
      <c r="A779" t="s">
        <v>32</v>
      </c>
      <c r="B779" s="73" t="str">
        <f>VLOOKUP(C779,'Büyükşehir List'!$C$2:$D$31,2,FALSE)</f>
        <v>BURSA BÜYÜKŞEHİR</v>
      </c>
      <c r="C779" t="s">
        <v>52</v>
      </c>
      <c r="D779" s="73" t="str">
        <f t="shared" si="19"/>
        <v>BURSA BÜYÜKŞEHİR/BURSA</v>
      </c>
      <c r="E779" t="s">
        <v>169</v>
      </c>
      <c r="F779" t="s">
        <v>169</v>
      </c>
      <c r="G779" t="s">
        <v>3366</v>
      </c>
      <c r="H779">
        <v>506.1</v>
      </c>
      <c r="I779">
        <v>50.61</v>
      </c>
      <c r="J779">
        <v>0</v>
      </c>
      <c r="K779">
        <v>0</v>
      </c>
      <c r="L779">
        <v>506.1</v>
      </c>
      <c r="M779">
        <v>50.61</v>
      </c>
      <c r="O779" s="79">
        <f>IFERROR(VLOOKUP(D779,'KAPANAN BLD.'!$C$2:$D$793,2,FALSE),0)</f>
        <v>0</v>
      </c>
      <c r="P779" s="79">
        <v>0</v>
      </c>
    </row>
    <row r="780" spans="1:16" x14ac:dyDescent="0.25">
      <c r="A780" t="s">
        <v>32</v>
      </c>
      <c r="B780" s="73" t="str">
        <f>VLOOKUP(C780,'Büyükşehir List'!$C$2:$D$31,2,FALSE)</f>
        <v>BURSA BÜYÜKŞEHİR</v>
      </c>
      <c r="C780" t="s">
        <v>52</v>
      </c>
      <c r="D780" s="73" t="str">
        <f t="shared" si="19"/>
        <v>BURSA BÜYÜKŞEHİR/BURSA</v>
      </c>
      <c r="E780" t="s">
        <v>169</v>
      </c>
      <c r="F780" t="s">
        <v>169</v>
      </c>
      <c r="G780" t="s">
        <v>3367</v>
      </c>
      <c r="H780">
        <v>444</v>
      </c>
      <c r="I780">
        <v>44.4</v>
      </c>
      <c r="J780">
        <v>304.8</v>
      </c>
      <c r="K780">
        <v>30.48</v>
      </c>
      <c r="L780">
        <v>139.19999999999999</v>
      </c>
      <c r="M780">
        <v>13.92</v>
      </c>
      <c r="O780" s="79">
        <f>IFERROR(VLOOKUP(D780,'KAPANAN BLD.'!$C$2:$D$793,2,FALSE),0)</f>
        <v>0</v>
      </c>
      <c r="P780" s="79">
        <v>0</v>
      </c>
    </row>
    <row r="781" spans="1:16" x14ac:dyDescent="0.25">
      <c r="A781" t="s">
        <v>32</v>
      </c>
      <c r="B781" s="73" t="str">
        <f>VLOOKUP(C781,'Büyükşehir List'!$C$2:$D$31,2,FALSE)</f>
        <v>BURSA BÜYÜKŞEHİR</v>
      </c>
      <c r="C781" t="s">
        <v>52</v>
      </c>
      <c r="D781" s="73" t="str">
        <f t="shared" si="19"/>
        <v>BURSA BÜYÜKŞEHİR/BURSA</v>
      </c>
      <c r="E781" t="s">
        <v>1859</v>
      </c>
      <c r="F781" t="s">
        <v>1859</v>
      </c>
      <c r="G781" t="s">
        <v>3366</v>
      </c>
      <c r="H781">
        <v>392512.82</v>
      </c>
      <c r="I781">
        <v>39251.29</v>
      </c>
      <c r="J781">
        <v>37211.35</v>
      </c>
      <c r="K781">
        <v>3721.13</v>
      </c>
      <c r="L781">
        <v>355301.47</v>
      </c>
      <c r="M781">
        <v>35530.160000000003</v>
      </c>
      <c r="O781" s="79">
        <f>IFERROR(VLOOKUP(D781,'KAPANAN BLD.'!$C$2:$D$793,2,FALSE),0)</f>
        <v>0</v>
      </c>
      <c r="P781" s="79">
        <v>0</v>
      </c>
    </row>
    <row r="782" spans="1:16" x14ac:dyDescent="0.25">
      <c r="A782" t="s">
        <v>32</v>
      </c>
      <c r="B782" s="73" t="str">
        <f>VLOOKUP(C782,'Büyükşehir List'!$C$2:$D$31,2,FALSE)</f>
        <v>BURSA BÜYÜKŞEHİR</v>
      </c>
      <c r="C782" t="s">
        <v>52</v>
      </c>
      <c r="D782" s="73" t="str">
        <f t="shared" si="19"/>
        <v>BURSA BÜYÜKŞEHİR/BURSA</v>
      </c>
      <c r="E782" t="s">
        <v>1859</v>
      </c>
      <c r="F782" t="s">
        <v>1859</v>
      </c>
      <c r="G782" t="s">
        <v>3367</v>
      </c>
      <c r="H782">
        <v>66118.05</v>
      </c>
      <c r="I782">
        <v>6611.81</v>
      </c>
      <c r="J782">
        <v>24292.23</v>
      </c>
      <c r="K782">
        <v>2429.2199999999998</v>
      </c>
      <c r="L782">
        <v>41825.82</v>
      </c>
      <c r="M782">
        <v>4182.59</v>
      </c>
      <c r="O782" s="79">
        <f>IFERROR(VLOOKUP(D782,'KAPANAN BLD.'!$C$2:$D$793,2,FALSE),0)</f>
        <v>0</v>
      </c>
      <c r="P782" s="79">
        <v>0</v>
      </c>
    </row>
    <row r="783" spans="1:16" x14ac:dyDescent="0.25">
      <c r="A783" t="s">
        <v>32</v>
      </c>
      <c r="B783" s="73" t="str">
        <f>VLOOKUP(C783,'Büyükşehir List'!$C$2:$D$31,2,FALSE)</f>
        <v>BURSA BÜYÜKŞEHİR</v>
      </c>
      <c r="C783" t="s">
        <v>52</v>
      </c>
      <c r="D783" s="73" t="str">
        <f t="shared" si="19"/>
        <v>BURSA BÜYÜKŞEHİR/BURSA</v>
      </c>
      <c r="E783" t="s">
        <v>3971</v>
      </c>
      <c r="F783" t="s">
        <v>3971</v>
      </c>
      <c r="G783" t="s">
        <v>3367</v>
      </c>
      <c r="H783">
        <v>2075.3000000000002</v>
      </c>
      <c r="I783">
        <v>207.53</v>
      </c>
      <c r="J783">
        <v>0</v>
      </c>
      <c r="K783">
        <v>0</v>
      </c>
      <c r="L783">
        <v>2075.3000000000002</v>
      </c>
      <c r="M783">
        <v>207.53</v>
      </c>
      <c r="O783" s="79">
        <f>IFERROR(VLOOKUP(D783,'KAPANAN BLD.'!$C$2:$D$793,2,FALSE),0)</f>
        <v>0</v>
      </c>
      <c r="P783" s="79">
        <v>0</v>
      </c>
    </row>
    <row r="784" spans="1:16" x14ac:dyDescent="0.25">
      <c r="A784" t="s">
        <v>32</v>
      </c>
      <c r="B784" s="73" t="str">
        <f>VLOOKUP(C784,'Büyükşehir List'!$C$2:$D$31,2,FALSE)</f>
        <v>BURSA BÜYÜKŞEHİR</v>
      </c>
      <c r="C784" t="s">
        <v>52</v>
      </c>
      <c r="D784" s="73" t="str">
        <f t="shared" si="19"/>
        <v>BURSA BÜYÜKŞEHİR/BURSA</v>
      </c>
      <c r="E784" t="s">
        <v>3971</v>
      </c>
      <c r="F784" t="s">
        <v>3971</v>
      </c>
      <c r="G784" t="s">
        <v>3366</v>
      </c>
      <c r="H784">
        <v>958</v>
      </c>
      <c r="I784">
        <v>95.8</v>
      </c>
      <c r="J784">
        <v>0</v>
      </c>
      <c r="K784">
        <v>0</v>
      </c>
      <c r="L784">
        <v>958</v>
      </c>
      <c r="M784">
        <v>95.8</v>
      </c>
      <c r="O784" s="79">
        <f>IFERROR(VLOOKUP(D784,'KAPANAN BLD.'!$C$2:$D$793,2,FALSE),0)</f>
        <v>0</v>
      </c>
      <c r="P784" s="79">
        <v>0</v>
      </c>
    </row>
    <row r="785" spans="1:16" x14ac:dyDescent="0.25">
      <c r="A785" t="s">
        <v>32</v>
      </c>
      <c r="B785" s="73" t="str">
        <f>VLOOKUP(C785,'Büyükşehir List'!$C$2:$D$31,2,FALSE)</f>
        <v>BURSA BÜYÜKŞEHİR</v>
      </c>
      <c r="C785" t="s">
        <v>52</v>
      </c>
      <c r="D785" s="73" t="str">
        <f t="shared" si="19"/>
        <v>BURSA BÜYÜKŞEHİR/BURSA</v>
      </c>
      <c r="E785" t="s">
        <v>3754</v>
      </c>
      <c r="F785" t="s">
        <v>3754</v>
      </c>
      <c r="G785" t="s">
        <v>3367</v>
      </c>
      <c r="H785">
        <v>1427</v>
      </c>
      <c r="I785">
        <v>142.69999999999999</v>
      </c>
      <c r="J785">
        <v>0</v>
      </c>
      <c r="K785">
        <v>0</v>
      </c>
      <c r="L785">
        <v>1427</v>
      </c>
      <c r="M785">
        <v>142.69999999999999</v>
      </c>
      <c r="O785" s="79">
        <f>IFERROR(VLOOKUP(D785,'KAPANAN BLD.'!$C$2:$D$793,2,FALSE),0)</f>
        <v>0</v>
      </c>
      <c r="P785" s="79">
        <v>0</v>
      </c>
    </row>
    <row r="786" spans="1:16" x14ac:dyDescent="0.25">
      <c r="A786" t="s">
        <v>32</v>
      </c>
      <c r="B786" s="73" t="str">
        <f>VLOOKUP(C786,'Büyükşehir List'!$C$2:$D$31,2,FALSE)</f>
        <v>BURSA BÜYÜKŞEHİR</v>
      </c>
      <c r="C786" t="s">
        <v>52</v>
      </c>
      <c r="D786" s="73" t="str">
        <f t="shared" si="19"/>
        <v>BURSA BÜYÜKŞEHİR/BURSA</v>
      </c>
      <c r="E786" t="s">
        <v>3754</v>
      </c>
      <c r="F786" t="s">
        <v>3754</v>
      </c>
      <c r="G786" t="s">
        <v>3366</v>
      </c>
      <c r="H786">
        <v>828.5</v>
      </c>
      <c r="I786">
        <v>82.85</v>
      </c>
      <c r="J786">
        <v>0</v>
      </c>
      <c r="K786">
        <v>0</v>
      </c>
      <c r="L786">
        <v>828.5</v>
      </c>
      <c r="M786">
        <v>82.85</v>
      </c>
      <c r="O786" s="79">
        <f>IFERROR(VLOOKUP(D786,'KAPANAN BLD.'!$C$2:$D$793,2,FALSE),0)</f>
        <v>0</v>
      </c>
      <c r="P786" s="79">
        <v>0</v>
      </c>
    </row>
    <row r="787" spans="1:16" x14ac:dyDescent="0.25">
      <c r="A787" t="s">
        <v>32</v>
      </c>
      <c r="B787" s="73" t="str">
        <f>VLOOKUP(C787,'Büyükşehir List'!$C$2:$D$31,2,FALSE)</f>
        <v>BURSA BÜYÜKŞEHİR</v>
      </c>
      <c r="C787" t="s">
        <v>52</v>
      </c>
      <c r="D787" s="73" t="str">
        <f t="shared" si="19"/>
        <v>BURSA BÜYÜKŞEHİR/BURSA</v>
      </c>
      <c r="E787" t="s">
        <v>438</v>
      </c>
      <c r="F787" t="s">
        <v>438</v>
      </c>
      <c r="G787" t="s">
        <v>3366</v>
      </c>
      <c r="H787">
        <v>506.1</v>
      </c>
      <c r="I787">
        <v>50.61</v>
      </c>
      <c r="J787">
        <v>176</v>
      </c>
      <c r="K787">
        <v>17.600000000000001</v>
      </c>
      <c r="L787">
        <v>330.1</v>
      </c>
      <c r="M787">
        <v>33.01</v>
      </c>
      <c r="O787" s="79">
        <f>IFERROR(VLOOKUP(D787,'KAPANAN BLD.'!$C$2:$D$793,2,FALSE),0)</f>
        <v>0</v>
      </c>
      <c r="P787" s="79">
        <v>0</v>
      </c>
    </row>
    <row r="788" spans="1:16" x14ac:dyDescent="0.25">
      <c r="A788" t="s">
        <v>32</v>
      </c>
      <c r="B788" s="73" t="str">
        <f>VLOOKUP(C788,'Büyükşehir List'!$C$2:$D$31,2,FALSE)</f>
        <v>BURSA BÜYÜKŞEHİR</v>
      </c>
      <c r="C788" t="s">
        <v>52</v>
      </c>
      <c r="D788" s="73" t="str">
        <f t="shared" si="19"/>
        <v>BURSA BÜYÜKŞEHİR/BURSA</v>
      </c>
      <c r="E788" t="s">
        <v>438</v>
      </c>
      <c r="F788" t="s">
        <v>438</v>
      </c>
      <c r="G788" t="s">
        <v>3367</v>
      </c>
      <c r="H788">
        <v>926.4</v>
      </c>
      <c r="I788">
        <v>92.64</v>
      </c>
      <c r="J788">
        <v>243.2</v>
      </c>
      <c r="K788">
        <v>24.32</v>
      </c>
      <c r="L788">
        <v>683.2</v>
      </c>
      <c r="M788">
        <v>68.319999999999993</v>
      </c>
      <c r="O788" s="79">
        <f>IFERROR(VLOOKUP(D788,'KAPANAN BLD.'!$C$2:$D$793,2,FALSE),0)</f>
        <v>0</v>
      </c>
      <c r="P788" s="79">
        <v>0</v>
      </c>
    </row>
    <row r="789" spans="1:16" x14ac:dyDescent="0.25">
      <c r="A789" t="s">
        <v>32</v>
      </c>
      <c r="B789" s="73" t="str">
        <f>VLOOKUP(C789,'Büyükşehir List'!$C$2:$D$31,2,FALSE)</f>
        <v>BURSA BÜYÜKŞEHİR</v>
      </c>
      <c r="C789" t="s">
        <v>52</v>
      </c>
      <c r="D789" s="73" t="str">
        <f t="shared" si="19"/>
        <v>BURSA BÜYÜKŞEHİR/BURSA</v>
      </c>
      <c r="E789" t="s">
        <v>1781</v>
      </c>
      <c r="F789" t="s">
        <v>1781</v>
      </c>
      <c r="G789" t="s">
        <v>3366</v>
      </c>
      <c r="H789">
        <v>3394.8</v>
      </c>
      <c r="I789">
        <v>339.48</v>
      </c>
      <c r="J789">
        <v>0</v>
      </c>
      <c r="K789">
        <v>0</v>
      </c>
      <c r="L789">
        <v>3394.8</v>
      </c>
      <c r="M789">
        <v>339.48</v>
      </c>
      <c r="O789" s="79">
        <f>IFERROR(VLOOKUP(D789,'KAPANAN BLD.'!$C$2:$D$793,2,FALSE),0)</f>
        <v>0</v>
      </c>
      <c r="P789" s="79">
        <v>0</v>
      </c>
    </row>
    <row r="790" spans="1:16" x14ac:dyDescent="0.25">
      <c r="A790" t="s">
        <v>32</v>
      </c>
      <c r="B790" s="73" t="str">
        <f>VLOOKUP(C790,'Büyükşehir List'!$C$2:$D$31,2,FALSE)</f>
        <v>BURSA BÜYÜKŞEHİR</v>
      </c>
      <c r="C790" t="s">
        <v>52</v>
      </c>
      <c r="D790" s="73" t="str">
        <f t="shared" si="19"/>
        <v>BURSA BÜYÜKŞEHİR/BURSA</v>
      </c>
      <c r="E790" t="s">
        <v>1781</v>
      </c>
      <c r="F790" t="s">
        <v>1781</v>
      </c>
      <c r="G790" t="s">
        <v>3367</v>
      </c>
      <c r="H790">
        <v>516.5</v>
      </c>
      <c r="I790">
        <v>51.65</v>
      </c>
      <c r="J790">
        <v>0</v>
      </c>
      <c r="K790">
        <v>0</v>
      </c>
      <c r="L790">
        <v>516.5</v>
      </c>
      <c r="M790">
        <v>51.65</v>
      </c>
      <c r="O790" s="79">
        <f>IFERROR(VLOOKUP(D790,'KAPANAN BLD.'!$C$2:$D$793,2,FALSE),0)</f>
        <v>0</v>
      </c>
      <c r="P790" s="79">
        <v>0</v>
      </c>
    </row>
    <row r="791" spans="1:16" x14ac:dyDescent="0.25">
      <c r="A791" t="s">
        <v>32</v>
      </c>
      <c r="B791" s="73" t="str">
        <f>VLOOKUP(C791,'Büyükşehir List'!$C$2:$D$31,2,FALSE)</f>
        <v>BURSA BÜYÜKŞEHİR</v>
      </c>
      <c r="C791" t="s">
        <v>52</v>
      </c>
      <c r="D791" s="73" t="str">
        <f t="shared" si="19"/>
        <v>BURSA BÜYÜKŞEHİR/BURSA</v>
      </c>
      <c r="E791" t="s">
        <v>3898</v>
      </c>
      <c r="F791" t="s">
        <v>3898</v>
      </c>
      <c r="G791" t="s">
        <v>3367</v>
      </c>
      <c r="H791">
        <v>271.2</v>
      </c>
      <c r="I791">
        <v>27.12</v>
      </c>
      <c r="J791">
        <v>33.799999999999997</v>
      </c>
      <c r="K791">
        <v>3.38</v>
      </c>
      <c r="L791">
        <v>237.4</v>
      </c>
      <c r="M791">
        <v>23.74</v>
      </c>
      <c r="O791" s="79">
        <f>IFERROR(VLOOKUP(D791,'KAPANAN BLD.'!$C$2:$D$793,2,FALSE),0)</f>
        <v>0</v>
      </c>
      <c r="P791" s="79">
        <v>0</v>
      </c>
    </row>
    <row r="792" spans="1:16" x14ac:dyDescent="0.25">
      <c r="A792" t="s">
        <v>32</v>
      </c>
      <c r="B792" s="73" t="str">
        <f>VLOOKUP(C792,'Büyükşehir List'!$C$2:$D$31,2,FALSE)</f>
        <v>BURSA BÜYÜKŞEHİR</v>
      </c>
      <c r="C792" t="s">
        <v>52</v>
      </c>
      <c r="D792" s="73" t="str">
        <f t="shared" si="19"/>
        <v>BURSA BÜYÜKŞEHİR/BURSA</v>
      </c>
      <c r="E792" t="s">
        <v>3898</v>
      </c>
      <c r="F792" t="s">
        <v>3898</v>
      </c>
      <c r="G792" t="s">
        <v>3366</v>
      </c>
      <c r="H792">
        <v>568.4</v>
      </c>
      <c r="I792">
        <v>56.84</v>
      </c>
      <c r="J792">
        <v>302.10000000000002</v>
      </c>
      <c r="K792">
        <v>30.21</v>
      </c>
      <c r="L792">
        <v>266.3</v>
      </c>
      <c r="M792">
        <v>26.63</v>
      </c>
      <c r="O792" s="79">
        <f>IFERROR(VLOOKUP(D792,'KAPANAN BLD.'!$C$2:$D$793,2,FALSE),0)</f>
        <v>0</v>
      </c>
      <c r="P792" s="79">
        <v>0</v>
      </c>
    </row>
    <row r="793" spans="1:16" x14ac:dyDescent="0.25">
      <c r="A793" t="s">
        <v>32</v>
      </c>
      <c r="B793" s="73" t="str">
        <f>VLOOKUP(C793,'Büyükşehir List'!$C$2:$D$31,2,FALSE)</f>
        <v>BURSA BÜYÜKŞEHİR</v>
      </c>
      <c r="C793" t="s">
        <v>52</v>
      </c>
      <c r="D793" s="73" t="str">
        <f t="shared" si="19"/>
        <v>BURSA BÜYÜKŞEHİR/BURSA</v>
      </c>
      <c r="E793" t="s">
        <v>90</v>
      </c>
      <c r="F793" t="s">
        <v>90</v>
      </c>
      <c r="G793" t="s">
        <v>3366</v>
      </c>
      <c r="H793">
        <v>3988.5</v>
      </c>
      <c r="I793">
        <v>398.85</v>
      </c>
      <c r="J793">
        <v>0</v>
      </c>
      <c r="K793">
        <v>0</v>
      </c>
      <c r="L793">
        <v>3988.5</v>
      </c>
      <c r="M793">
        <v>398.85</v>
      </c>
      <c r="O793" s="79">
        <f>IFERROR(VLOOKUP(D793,'KAPANAN BLD.'!$C$2:$D$793,2,FALSE),0)</f>
        <v>0</v>
      </c>
      <c r="P793" s="79">
        <v>0</v>
      </c>
    </row>
    <row r="794" spans="1:16" x14ac:dyDescent="0.25">
      <c r="A794" t="s">
        <v>32</v>
      </c>
      <c r="B794" s="73" t="str">
        <f>VLOOKUP(C794,'Büyükşehir List'!$C$2:$D$31,2,FALSE)</f>
        <v>BURSA BÜYÜKŞEHİR</v>
      </c>
      <c r="C794" t="s">
        <v>52</v>
      </c>
      <c r="D794" s="73" t="str">
        <f t="shared" si="19"/>
        <v>BURSA BÜYÜKŞEHİR/BURSA</v>
      </c>
      <c r="E794" t="s">
        <v>90</v>
      </c>
      <c r="F794" t="s">
        <v>90</v>
      </c>
      <c r="G794" t="s">
        <v>3367</v>
      </c>
      <c r="H794">
        <v>1493.9</v>
      </c>
      <c r="I794">
        <v>149.38999999999999</v>
      </c>
      <c r="J794">
        <v>0</v>
      </c>
      <c r="K794">
        <v>0</v>
      </c>
      <c r="L794">
        <v>1493.9</v>
      </c>
      <c r="M794">
        <v>149.38999999999999</v>
      </c>
      <c r="O794" s="79">
        <f>IFERROR(VLOOKUP(D794,'KAPANAN BLD.'!$C$2:$D$793,2,FALSE),0)</f>
        <v>0</v>
      </c>
      <c r="P794" s="79">
        <v>0</v>
      </c>
    </row>
    <row r="795" spans="1:16" x14ac:dyDescent="0.25">
      <c r="A795" t="s">
        <v>32</v>
      </c>
      <c r="B795" s="73" t="str">
        <f>VLOOKUP(C795,'Büyükşehir List'!$C$2:$D$31,2,FALSE)</f>
        <v>BURSA BÜYÜKŞEHİR</v>
      </c>
      <c r="C795" t="s">
        <v>52</v>
      </c>
      <c r="D795" s="73" t="str">
        <f t="shared" si="19"/>
        <v>BURSA BÜYÜKŞEHİR/BURSA</v>
      </c>
      <c r="E795" t="s">
        <v>3461</v>
      </c>
      <c r="F795" t="s">
        <v>3461</v>
      </c>
      <c r="G795" t="s">
        <v>3366</v>
      </c>
      <c r="H795">
        <v>1310.9</v>
      </c>
      <c r="I795">
        <v>131.09</v>
      </c>
      <c r="J795">
        <v>425.9</v>
      </c>
      <c r="K795">
        <v>42.59</v>
      </c>
      <c r="L795">
        <v>885</v>
      </c>
      <c r="M795">
        <v>88.5</v>
      </c>
      <c r="O795" s="79">
        <f>IFERROR(VLOOKUP(D795,'KAPANAN BLD.'!$C$2:$D$793,2,FALSE),0)</f>
        <v>0</v>
      </c>
      <c r="P795" s="79">
        <v>0</v>
      </c>
    </row>
    <row r="796" spans="1:16" x14ac:dyDescent="0.25">
      <c r="A796" t="s">
        <v>32</v>
      </c>
      <c r="B796" s="73" t="str">
        <f>VLOOKUP(C796,'Büyükşehir List'!$C$2:$D$31,2,FALSE)</f>
        <v>BURSA BÜYÜKŞEHİR</v>
      </c>
      <c r="C796" t="s">
        <v>52</v>
      </c>
      <c r="D796" s="73" t="str">
        <f t="shared" si="19"/>
        <v>BURSA BÜYÜKŞEHİR/BURSA</v>
      </c>
      <c r="E796" t="s">
        <v>3461</v>
      </c>
      <c r="F796" t="s">
        <v>3461</v>
      </c>
      <c r="G796" t="s">
        <v>3367</v>
      </c>
      <c r="H796">
        <v>78.400000000000006</v>
      </c>
      <c r="I796">
        <v>7.84</v>
      </c>
      <c r="J796">
        <v>804.2</v>
      </c>
      <c r="K796">
        <v>80.42</v>
      </c>
      <c r="L796">
        <v>-725.8</v>
      </c>
      <c r="M796">
        <v>-72.58</v>
      </c>
      <c r="O796" s="79">
        <f>IFERROR(VLOOKUP(D796,'KAPANAN BLD.'!$C$2:$D$793,2,FALSE),0)</f>
        <v>0</v>
      </c>
      <c r="P796" s="79">
        <v>0</v>
      </c>
    </row>
    <row r="797" spans="1:16" x14ac:dyDescent="0.25">
      <c r="A797" t="s">
        <v>32</v>
      </c>
      <c r="B797" s="73" t="str">
        <f>VLOOKUP(C797,'Büyükşehir List'!$C$2:$D$31,2,FALSE)</f>
        <v>BURSA BÜYÜKŞEHİR</v>
      </c>
      <c r="C797" t="s">
        <v>52</v>
      </c>
      <c r="D797" s="73" t="str">
        <f t="shared" si="19"/>
        <v>BURSA BÜYÜKŞEHİR/BURSA</v>
      </c>
      <c r="E797" t="s">
        <v>3877</v>
      </c>
      <c r="F797" t="s">
        <v>3877</v>
      </c>
      <c r="G797" t="s">
        <v>3367</v>
      </c>
      <c r="H797">
        <v>198.5</v>
      </c>
      <c r="I797">
        <v>19.850000000000001</v>
      </c>
      <c r="J797">
        <v>564.4</v>
      </c>
      <c r="K797">
        <v>56.44</v>
      </c>
      <c r="L797">
        <v>-365.9</v>
      </c>
      <c r="M797">
        <v>-36.590000000000003</v>
      </c>
      <c r="O797" s="79">
        <f>IFERROR(VLOOKUP(D797,'KAPANAN BLD.'!$C$2:$D$793,2,FALSE),0)</f>
        <v>0</v>
      </c>
      <c r="P797" s="79">
        <v>0</v>
      </c>
    </row>
    <row r="798" spans="1:16" x14ac:dyDescent="0.25">
      <c r="A798" t="s">
        <v>32</v>
      </c>
      <c r="B798" s="73" t="str">
        <f>VLOOKUP(C798,'Büyükşehir List'!$C$2:$D$31,2,FALSE)</f>
        <v>BURSA BÜYÜKŞEHİR</v>
      </c>
      <c r="C798" t="s">
        <v>52</v>
      </c>
      <c r="D798" s="73" t="str">
        <f t="shared" si="19"/>
        <v>BURSA BÜYÜKŞEHİR/BURSA</v>
      </c>
      <c r="E798" t="s">
        <v>3877</v>
      </c>
      <c r="F798" t="s">
        <v>3877</v>
      </c>
      <c r="G798" t="s">
        <v>3366</v>
      </c>
      <c r="H798">
        <v>273.89999999999998</v>
      </c>
      <c r="I798">
        <v>27.39</v>
      </c>
      <c r="J798">
        <v>303.60000000000002</v>
      </c>
      <c r="K798">
        <v>30.36</v>
      </c>
      <c r="L798">
        <v>-29.7</v>
      </c>
      <c r="M798">
        <v>-2.97</v>
      </c>
      <c r="O798" s="79">
        <f>IFERROR(VLOOKUP(D798,'KAPANAN BLD.'!$C$2:$D$793,2,FALSE),0)</f>
        <v>0</v>
      </c>
      <c r="P798" s="79">
        <v>0</v>
      </c>
    </row>
    <row r="799" spans="1:16" x14ac:dyDescent="0.25">
      <c r="A799" t="s">
        <v>32</v>
      </c>
      <c r="B799" s="73" t="str">
        <f>VLOOKUP(C799,'Büyükşehir List'!$C$2:$D$31,2,FALSE)</f>
        <v>BURSA BÜYÜKŞEHİR</v>
      </c>
      <c r="C799" t="s">
        <v>52</v>
      </c>
      <c r="D799" s="73" t="str">
        <f t="shared" si="19"/>
        <v>BURSA BÜYÜKŞEHİR/BURSA</v>
      </c>
      <c r="E799" t="s">
        <v>56</v>
      </c>
      <c r="F799" t="s">
        <v>56</v>
      </c>
      <c r="G799" t="s">
        <v>3366</v>
      </c>
      <c r="H799">
        <v>1870.7</v>
      </c>
      <c r="I799">
        <v>187.07</v>
      </c>
      <c r="J799">
        <v>0</v>
      </c>
      <c r="K799">
        <v>0</v>
      </c>
      <c r="L799">
        <v>1870.7</v>
      </c>
      <c r="M799">
        <v>187.07</v>
      </c>
      <c r="O799" s="79">
        <f>IFERROR(VLOOKUP(D799,'KAPANAN BLD.'!$C$2:$D$793,2,FALSE),0)</f>
        <v>0</v>
      </c>
      <c r="P799" s="79">
        <v>0</v>
      </c>
    </row>
    <row r="800" spans="1:16" x14ac:dyDescent="0.25">
      <c r="A800" t="s">
        <v>32</v>
      </c>
      <c r="B800" s="73" t="str">
        <f>VLOOKUP(C800,'Büyükşehir List'!$C$2:$D$31,2,FALSE)</f>
        <v>BURSA BÜYÜKŞEHİR</v>
      </c>
      <c r="C800" t="s">
        <v>52</v>
      </c>
      <c r="D800" s="73" t="str">
        <f t="shared" si="19"/>
        <v>BURSA BÜYÜKŞEHİR/BURSA</v>
      </c>
      <c r="E800" t="s">
        <v>56</v>
      </c>
      <c r="F800" t="s">
        <v>56</v>
      </c>
      <c r="G800" t="s">
        <v>3367</v>
      </c>
      <c r="H800">
        <v>473</v>
      </c>
      <c r="I800">
        <v>47.3</v>
      </c>
      <c r="J800">
        <v>0</v>
      </c>
      <c r="K800">
        <v>0</v>
      </c>
      <c r="L800">
        <v>473</v>
      </c>
      <c r="M800">
        <v>47.3</v>
      </c>
      <c r="O800" s="79">
        <f>IFERROR(VLOOKUP(D800,'KAPANAN BLD.'!$C$2:$D$793,2,FALSE),0)</f>
        <v>0</v>
      </c>
      <c r="P800" s="79">
        <v>0</v>
      </c>
    </row>
    <row r="801" spans="1:16" x14ac:dyDescent="0.25">
      <c r="A801" t="s">
        <v>32</v>
      </c>
      <c r="B801" s="73" t="str">
        <f>VLOOKUP(C801,'Büyükşehir List'!$C$2:$D$31,2,FALSE)</f>
        <v>BURSA BÜYÜKŞEHİR</v>
      </c>
      <c r="C801" t="s">
        <v>52</v>
      </c>
      <c r="D801" s="73" t="str">
        <f t="shared" si="19"/>
        <v>BURSA BÜYÜKŞEHİR/BURSA</v>
      </c>
      <c r="E801" t="s">
        <v>2263</v>
      </c>
      <c r="F801" t="s">
        <v>2263</v>
      </c>
      <c r="G801" t="s">
        <v>3366</v>
      </c>
      <c r="H801">
        <v>1012.2</v>
      </c>
      <c r="I801">
        <v>101.22</v>
      </c>
      <c r="J801">
        <v>302.10000000000002</v>
      </c>
      <c r="K801">
        <v>30.21</v>
      </c>
      <c r="L801">
        <v>710.1</v>
      </c>
      <c r="M801">
        <v>71.010000000000005</v>
      </c>
      <c r="O801" s="79">
        <f>IFERROR(VLOOKUP(D801,'KAPANAN BLD.'!$C$2:$D$793,2,FALSE),0)</f>
        <v>0</v>
      </c>
      <c r="P801" s="79">
        <v>0</v>
      </c>
    </row>
    <row r="802" spans="1:16" x14ac:dyDescent="0.25">
      <c r="A802" t="s">
        <v>32</v>
      </c>
      <c r="B802" s="73" t="str">
        <f>VLOOKUP(C802,'Büyükşehir List'!$C$2:$D$31,2,FALSE)</f>
        <v>BURSA BÜYÜKŞEHİR</v>
      </c>
      <c r="C802" t="s">
        <v>52</v>
      </c>
      <c r="D802" s="73" t="str">
        <f t="shared" si="19"/>
        <v>BURSA BÜYÜKŞEHİR/BURSA</v>
      </c>
      <c r="E802" t="s">
        <v>2263</v>
      </c>
      <c r="F802" t="s">
        <v>2263</v>
      </c>
      <c r="G802" t="s">
        <v>3367</v>
      </c>
      <c r="H802">
        <v>293.5</v>
      </c>
      <c r="I802">
        <v>29.35</v>
      </c>
      <c r="J802">
        <v>33.799999999999997</v>
      </c>
      <c r="K802">
        <v>3.38</v>
      </c>
      <c r="L802">
        <v>259.7</v>
      </c>
      <c r="M802">
        <v>25.97</v>
      </c>
      <c r="O802" s="79">
        <f>IFERROR(VLOOKUP(D802,'KAPANAN BLD.'!$C$2:$D$793,2,FALSE),0)</f>
        <v>0</v>
      </c>
      <c r="P802" s="79">
        <v>0</v>
      </c>
    </row>
    <row r="803" spans="1:16" x14ac:dyDescent="0.25">
      <c r="A803" t="s">
        <v>32</v>
      </c>
      <c r="B803" s="73" t="str">
        <f>VLOOKUP(C803,'Büyükşehir List'!$C$2:$D$31,2,FALSE)</f>
        <v>BURSA BÜYÜKŞEHİR</v>
      </c>
      <c r="C803" t="s">
        <v>52</v>
      </c>
      <c r="D803" s="73" t="str">
        <f t="shared" si="19"/>
        <v>BURSA BÜYÜKŞEHİR/BURSA</v>
      </c>
      <c r="E803" t="s">
        <v>1859</v>
      </c>
      <c r="F803" t="s">
        <v>1859</v>
      </c>
      <c r="G803" t="s">
        <v>3366</v>
      </c>
      <c r="H803">
        <v>144193.29999999999</v>
      </c>
      <c r="I803">
        <v>14419.33</v>
      </c>
      <c r="J803">
        <v>49945.5</v>
      </c>
      <c r="K803">
        <v>4994.55</v>
      </c>
      <c r="L803">
        <v>94247.8</v>
      </c>
      <c r="M803">
        <v>9424.7800000000007</v>
      </c>
      <c r="O803" s="79">
        <f>IFERROR(VLOOKUP(D803,'KAPANAN BLD.'!$C$2:$D$793,2,FALSE),0)</f>
        <v>0</v>
      </c>
      <c r="P803" s="79">
        <v>0</v>
      </c>
    </row>
    <row r="804" spans="1:16" x14ac:dyDescent="0.25">
      <c r="A804" t="s">
        <v>32</v>
      </c>
      <c r="B804" s="73" t="str">
        <f>VLOOKUP(C804,'Büyükşehir List'!$C$2:$D$31,2,FALSE)</f>
        <v>BURSA BÜYÜKŞEHİR</v>
      </c>
      <c r="C804" t="s">
        <v>52</v>
      </c>
      <c r="D804" s="73" t="str">
        <f t="shared" si="19"/>
        <v>BURSA BÜYÜKŞEHİR/BURSA</v>
      </c>
      <c r="E804" t="s">
        <v>1859</v>
      </c>
      <c r="F804" t="s">
        <v>1859</v>
      </c>
      <c r="G804" t="s">
        <v>3367</v>
      </c>
      <c r="H804">
        <v>76325.84</v>
      </c>
      <c r="I804">
        <v>7632.59</v>
      </c>
      <c r="J804">
        <v>36890.6</v>
      </c>
      <c r="K804">
        <v>3689.06</v>
      </c>
      <c r="L804">
        <v>39435.24</v>
      </c>
      <c r="M804">
        <v>3943.53</v>
      </c>
      <c r="O804" s="79">
        <f>IFERROR(VLOOKUP(D804,'KAPANAN BLD.'!$C$2:$D$793,2,FALSE),0)</f>
        <v>0</v>
      </c>
      <c r="P804" s="79">
        <v>0</v>
      </c>
    </row>
    <row r="805" spans="1:16" x14ac:dyDescent="0.25">
      <c r="A805" t="s">
        <v>32</v>
      </c>
      <c r="B805" s="73" t="str">
        <f>VLOOKUP(C805,'Büyükşehir List'!$C$2:$D$31,2,FALSE)</f>
        <v>BURSA BÜYÜKŞEHİR</v>
      </c>
      <c r="C805" t="s">
        <v>52</v>
      </c>
      <c r="D805" s="73" t="str">
        <f t="shared" si="19"/>
        <v>BURSA BÜYÜKŞEHİR/BURSA</v>
      </c>
      <c r="E805" t="s">
        <v>3755</v>
      </c>
      <c r="F805" t="s">
        <v>3755</v>
      </c>
      <c r="G805" t="s">
        <v>3366</v>
      </c>
      <c r="H805">
        <v>6518</v>
      </c>
      <c r="I805">
        <v>651.79999999999995</v>
      </c>
      <c r="J805">
        <v>490</v>
      </c>
      <c r="K805">
        <v>49</v>
      </c>
      <c r="L805">
        <v>6028</v>
      </c>
      <c r="M805">
        <v>602.79999999999995</v>
      </c>
      <c r="O805" s="79">
        <f>IFERROR(VLOOKUP(D805,'KAPANAN BLD.'!$C$2:$D$793,2,FALSE),0)</f>
        <v>0</v>
      </c>
      <c r="P805" s="79">
        <v>0</v>
      </c>
    </row>
    <row r="806" spans="1:16" x14ac:dyDescent="0.25">
      <c r="A806" t="s">
        <v>32</v>
      </c>
      <c r="B806" s="73" t="str">
        <f>VLOOKUP(C806,'Büyükşehir List'!$C$2:$D$31,2,FALSE)</f>
        <v>BURSA BÜYÜKŞEHİR</v>
      </c>
      <c r="C806" t="s">
        <v>52</v>
      </c>
      <c r="D806" s="73" t="str">
        <f t="shared" si="19"/>
        <v>BURSA BÜYÜKŞEHİR/BURSA</v>
      </c>
      <c r="E806" t="s">
        <v>3755</v>
      </c>
      <c r="F806" t="s">
        <v>3755</v>
      </c>
      <c r="G806" t="s">
        <v>3367</v>
      </c>
      <c r="H806">
        <v>5956.33</v>
      </c>
      <c r="I806">
        <v>595.63</v>
      </c>
      <c r="J806">
        <v>351.2</v>
      </c>
      <c r="K806">
        <v>35.119999999999997</v>
      </c>
      <c r="L806">
        <v>5605.13</v>
      </c>
      <c r="M806">
        <v>560.51</v>
      </c>
      <c r="O806" s="79">
        <f>IFERROR(VLOOKUP(D806,'KAPANAN BLD.'!$C$2:$D$793,2,FALSE),0)</f>
        <v>0</v>
      </c>
      <c r="P806" s="79">
        <v>0</v>
      </c>
    </row>
    <row r="807" spans="1:16" x14ac:dyDescent="0.25">
      <c r="A807" t="s">
        <v>32</v>
      </c>
      <c r="B807" s="73" t="str">
        <f t="shared" ref="B807:B870" si="20">F807</f>
        <v>YENİCE</v>
      </c>
      <c r="C807" t="s">
        <v>55</v>
      </c>
      <c r="D807" s="73" t="str">
        <f t="shared" si="19"/>
        <v>YENİCE/ÇANAKKALE</v>
      </c>
      <c r="E807" s="9" t="s">
        <v>90</v>
      </c>
      <c r="F807" s="9" t="s">
        <v>90</v>
      </c>
      <c r="G807" t="s">
        <v>3367</v>
      </c>
      <c r="H807">
        <v>42.5</v>
      </c>
      <c r="I807">
        <v>4.25</v>
      </c>
      <c r="J807">
        <v>0</v>
      </c>
      <c r="K807">
        <v>0</v>
      </c>
      <c r="L807">
        <v>42.5</v>
      </c>
      <c r="M807">
        <v>4.25</v>
      </c>
      <c r="O807" s="79">
        <f>IFERROR(VLOOKUP(D807,'KAPANAN BLD.'!$C$2:$D$793,2,FALSE),0)</f>
        <v>0</v>
      </c>
      <c r="P807" s="79">
        <v>0</v>
      </c>
    </row>
    <row r="808" spans="1:16" x14ac:dyDescent="0.25">
      <c r="A808" t="s">
        <v>32</v>
      </c>
      <c r="B808" s="73" t="str">
        <f t="shared" si="20"/>
        <v>AYVACIK</v>
      </c>
      <c r="C808" t="s">
        <v>55</v>
      </c>
      <c r="D808" s="73" t="str">
        <f t="shared" si="19"/>
        <v>AYVACIK/ÇANAKKALE</v>
      </c>
      <c r="E808" t="s">
        <v>4</v>
      </c>
      <c r="F808" t="s">
        <v>4</v>
      </c>
      <c r="G808" t="s">
        <v>3367</v>
      </c>
      <c r="H808">
        <v>8725.2000000000007</v>
      </c>
      <c r="I808">
        <v>872.52</v>
      </c>
      <c r="J808">
        <v>51.6</v>
      </c>
      <c r="K808">
        <v>5.16</v>
      </c>
      <c r="L808">
        <v>8673.6</v>
      </c>
      <c r="M808">
        <v>867.36</v>
      </c>
      <c r="O808" s="79">
        <f>IFERROR(VLOOKUP(D808,'KAPANAN BLD.'!$C$2:$D$793,2,FALSE),0)</f>
        <v>0</v>
      </c>
      <c r="P808" s="79">
        <v>0</v>
      </c>
    </row>
    <row r="809" spans="1:16" x14ac:dyDescent="0.25">
      <c r="A809" t="s">
        <v>32</v>
      </c>
      <c r="B809" s="73" t="str">
        <f t="shared" si="20"/>
        <v>AYVACIK</v>
      </c>
      <c r="C809" t="s">
        <v>55</v>
      </c>
      <c r="D809" s="73" t="str">
        <f t="shared" si="19"/>
        <v>AYVACIK/ÇANAKKALE</v>
      </c>
      <c r="E809" t="s">
        <v>4</v>
      </c>
      <c r="F809" t="s">
        <v>4</v>
      </c>
      <c r="G809" t="s">
        <v>3366</v>
      </c>
      <c r="H809">
        <v>1653.3</v>
      </c>
      <c r="I809">
        <v>165.33</v>
      </c>
      <c r="J809">
        <v>31.2</v>
      </c>
      <c r="K809">
        <v>3.12</v>
      </c>
      <c r="L809">
        <v>1622.1</v>
      </c>
      <c r="M809">
        <v>162.21</v>
      </c>
      <c r="O809" s="79">
        <f>IFERROR(VLOOKUP(D809,'KAPANAN BLD.'!$C$2:$D$793,2,FALSE),0)</f>
        <v>0</v>
      </c>
      <c r="P809" s="79">
        <v>0</v>
      </c>
    </row>
    <row r="810" spans="1:16" x14ac:dyDescent="0.25">
      <c r="A810" t="s">
        <v>32</v>
      </c>
      <c r="B810" s="73" t="str">
        <f t="shared" si="20"/>
        <v>AYVACIK</v>
      </c>
      <c r="C810" t="s">
        <v>55</v>
      </c>
      <c r="D810" s="73" t="str">
        <f t="shared" si="19"/>
        <v>AYVACIK/ÇANAKKALE</v>
      </c>
      <c r="E810" t="s">
        <v>4</v>
      </c>
      <c r="F810" t="s">
        <v>4</v>
      </c>
      <c r="G810" t="s">
        <v>3366</v>
      </c>
      <c r="H810">
        <v>514.9</v>
      </c>
      <c r="I810">
        <v>51.49</v>
      </c>
      <c r="J810">
        <v>314.5</v>
      </c>
      <c r="K810">
        <v>31.45</v>
      </c>
      <c r="L810">
        <v>200.4</v>
      </c>
      <c r="M810">
        <v>20.04</v>
      </c>
      <c r="O810" s="79">
        <f>IFERROR(VLOOKUP(D810,'KAPANAN BLD.'!$C$2:$D$793,2,FALSE),0)</f>
        <v>0</v>
      </c>
      <c r="P810" s="79">
        <v>0</v>
      </c>
    </row>
    <row r="811" spans="1:16" x14ac:dyDescent="0.25">
      <c r="A811" t="s">
        <v>32</v>
      </c>
      <c r="B811" s="73" t="str">
        <f t="shared" si="20"/>
        <v>AYVACIK</v>
      </c>
      <c r="C811" t="s">
        <v>55</v>
      </c>
      <c r="D811" s="73" t="str">
        <f t="shared" si="19"/>
        <v>AYVACIK/ÇANAKKALE</v>
      </c>
      <c r="E811" t="s">
        <v>4</v>
      </c>
      <c r="F811" t="s">
        <v>4</v>
      </c>
      <c r="G811" t="s">
        <v>3367</v>
      </c>
      <c r="H811">
        <v>1073.2</v>
      </c>
      <c r="I811">
        <v>107.32</v>
      </c>
      <c r="J811">
        <v>35.1</v>
      </c>
      <c r="K811">
        <v>3.51</v>
      </c>
      <c r="L811">
        <v>1038.0999999999999</v>
      </c>
      <c r="M811">
        <v>103.81</v>
      </c>
      <c r="O811" s="79">
        <f>IFERROR(VLOOKUP(D811,'KAPANAN BLD.'!$C$2:$D$793,2,FALSE),0)</f>
        <v>0</v>
      </c>
      <c r="P811" s="79">
        <v>0</v>
      </c>
    </row>
    <row r="812" spans="1:16" x14ac:dyDescent="0.25">
      <c r="A812" t="s">
        <v>32</v>
      </c>
      <c r="B812" s="73" t="str">
        <f t="shared" si="20"/>
        <v>BAYRAMİÇ</v>
      </c>
      <c r="C812" t="s">
        <v>55</v>
      </c>
      <c r="D812" s="73" t="str">
        <f t="shared" si="19"/>
        <v>BAYRAMİÇ/ÇANAKKALE</v>
      </c>
      <c r="E812" t="s">
        <v>439</v>
      </c>
      <c r="F812" t="s">
        <v>439</v>
      </c>
      <c r="G812" t="s">
        <v>3367</v>
      </c>
      <c r="H812">
        <v>20</v>
      </c>
      <c r="I812">
        <v>2</v>
      </c>
      <c r="J812">
        <v>0</v>
      </c>
      <c r="K812">
        <v>0</v>
      </c>
      <c r="L812">
        <v>20</v>
      </c>
      <c r="M812">
        <v>2</v>
      </c>
      <c r="O812" s="79">
        <f>IFERROR(VLOOKUP(D812,'KAPANAN BLD.'!$C$2:$D$793,2,FALSE),0)</f>
        <v>0</v>
      </c>
      <c r="P812" s="79">
        <v>0</v>
      </c>
    </row>
    <row r="813" spans="1:16" x14ac:dyDescent="0.25">
      <c r="A813" t="s">
        <v>32</v>
      </c>
      <c r="B813" s="73" t="str">
        <f t="shared" si="20"/>
        <v>BAYRAMİÇ</v>
      </c>
      <c r="C813" t="s">
        <v>55</v>
      </c>
      <c r="D813" s="73" t="str">
        <f t="shared" si="19"/>
        <v>BAYRAMİÇ/ÇANAKKALE</v>
      </c>
      <c r="E813" t="s">
        <v>439</v>
      </c>
      <c r="F813" t="s">
        <v>439</v>
      </c>
      <c r="G813" t="s">
        <v>3366</v>
      </c>
      <c r="H813">
        <v>209.3</v>
      </c>
      <c r="I813">
        <v>20.93</v>
      </c>
      <c r="J813">
        <v>0</v>
      </c>
      <c r="K813">
        <v>0</v>
      </c>
      <c r="L813">
        <v>209.3</v>
      </c>
      <c r="M813">
        <v>20.93</v>
      </c>
      <c r="O813" s="79">
        <f>IFERROR(VLOOKUP(D813,'KAPANAN BLD.'!$C$2:$D$793,2,FALSE),0)</f>
        <v>0</v>
      </c>
      <c r="P813" s="79">
        <v>0</v>
      </c>
    </row>
    <row r="814" spans="1:16" x14ac:dyDescent="0.25">
      <c r="A814" t="s">
        <v>32</v>
      </c>
      <c r="B814" s="73" t="str">
        <f t="shared" si="20"/>
        <v>BİGA</v>
      </c>
      <c r="C814" t="s">
        <v>55</v>
      </c>
      <c r="D814" s="73" t="str">
        <f t="shared" si="19"/>
        <v>BİGA/ÇANAKKALE</v>
      </c>
      <c r="E814" t="s">
        <v>153</v>
      </c>
      <c r="F814" t="s">
        <v>153</v>
      </c>
      <c r="G814" t="s">
        <v>3366</v>
      </c>
      <c r="H814">
        <v>2785.4</v>
      </c>
      <c r="I814">
        <v>278.54000000000002</v>
      </c>
      <c r="J814">
        <v>402.8</v>
      </c>
      <c r="K814">
        <v>40.28</v>
      </c>
      <c r="L814">
        <v>2382.6</v>
      </c>
      <c r="M814">
        <v>238.26</v>
      </c>
      <c r="O814" s="79">
        <f>IFERROR(VLOOKUP(D814,'KAPANAN BLD.'!$C$2:$D$793,2,FALSE),0)</f>
        <v>0</v>
      </c>
      <c r="P814" s="79">
        <v>0</v>
      </c>
    </row>
    <row r="815" spans="1:16" x14ac:dyDescent="0.25">
      <c r="A815" t="s">
        <v>32</v>
      </c>
      <c r="B815" s="73" t="str">
        <f t="shared" si="20"/>
        <v>BİGA</v>
      </c>
      <c r="C815" t="s">
        <v>55</v>
      </c>
      <c r="D815" s="73" t="str">
        <f t="shared" si="19"/>
        <v>BİGA/ÇANAKKALE</v>
      </c>
      <c r="E815" t="s">
        <v>153</v>
      </c>
      <c r="F815" t="s">
        <v>153</v>
      </c>
      <c r="G815" t="s">
        <v>3367</v>
      </c>
      <c r="H815">
        <v>407.4</v>
      </c>
      <c r="I815">
        <v>40.74</v>
      </c>
      <c r="J815">
        <v>45</v>
      </c>
      <c r="K815">
        <v>4.5</v>
      </c>
      <c r="L815">
        <v>362.4</v>
      </c>
      <c r="M815">
        <v>36.24</v>
      </c>
      <c r="O815" s="79">
        <f>IFERROR(VLOOKUP(D815,'KAPANAN BLD.'!$C$2:$D$793,2,FALSE),0)</f>
        <v>0</v>
      </c>
      <c r="P815" s="79">
        <v>0</v>
      </c>
    </row>
    <row r="816" spans="1:16" x14ac:dyDescent="0.25">
      <c r="A816" t="s">
        <v>32</v>
      </c>
      <c r="B816" s="73" t="str">
        <f t="shared" si="20"/>
        <v>BİGA</v>
      </c>
      <c r="C816" t="s">
        <v>55</v>
      </c>
      <c r="D816" s="73" t="str">
        <f t="shared" si="19"/>
        <v>BİGA/ÇANAKKALE</v>
      </c>
      <c r="E816" t="s">
        <v>153</v>
      </c>
      <c r="F816" t="s">
        <v>153</v>
      </c>
      <c r="G816" t="s">
        <v>3366</v>
      </c>
      <c r="H816">
        <v>444.6</v>
      </c>
      <c r="I816">
        <v>44.46</v>
      </c>
      <c r="J816">
        <v>0</v>
      </c>
      <c r="K816">
        <v>0</v>
      </c>
      <c r="L816">
        <v>444.6</v>
      </c>
      <c r="M816">
        <v>44.46</v>
      </c>
      <c r="O816" s="79">
        <f>IFERROR(VLOOKUP(D816,'KAPANAN BLD.'!$C$2:$D$793,2,FALSE),0)</f>
        <v>0</v>
      </c>
      <c r="P816" s="79">
        <v>0</v>
      </c>
    </row>
    <row r="817" spans="1:16" x14ac:dyDescent="0.25">
      <c r="A817" t="s">
        <v>32</v>
      </c>
      <c r="B817" s="73" t="str">
        <f t="shared" si="20"/>
        <v>BİGA</v>
      </c>
      <c r="C817" t="s">
        <v>55</v>
      </c>
      <c r="D817" s="73" t="str">
        <f t="shared" si="19"/>
        <v>BİGA/ÇANAKKALE</v>
      </c>
      <c r="E817" t="s">
        <v>153</v>
      </c>
      <c r="F817" t="s">
        <v>153</v>
      </c>
      <c r="G817" t="s">
        <v>3367</v>
      </c>
      <c r="H817">
        <v>1316.7</v>
      </c>
      <c r="I817">
        <v>131.66999999999999</v>
      </c>
      <c r="J817">
        <v>0</v>
      </c>
      <c r="K817">
        <v>0</v>
      </c>
      <c r="L817">
        <v>1316.7</v>
      </c>
      <c r="M817">
        <v>131.66999999999999</v>
      </c>
      <c r="O817" s="79">
        <f>IFERROR(VLOOKUP(D817,'KAPANAN BLD.'!$C$2:$D$793,2,FALSE),0)</f>
        <v>0</v>
      </c>
      <c r="P817" s="79">
        <v>0</v>
      </c>
    </row>
    <row r="818" spans="1:16" x14ac:dyDescent="0.25">
      <c r="A818" t="s">
        <v>32</v>
      </c>
      <c r="B818" s="73" t="str">
        <f t="shared" si="20"/>
        <v>BOZCAADA</v>
      </c>
      <c r="C818" t="s">
        <v>55</v>
      </c>
      <c r="D818" s="73" t="str">
        <f t="shared" si="19"/>
        <v>BOZCAADA/ÇANAKKALE</v>
      </c>
      <c r="E818" t="s">
        <v>68</v>
      </c>
      <c r="F818" t="s">
        <v>68</v>
      </c>
      <c r="G818" t="s">
        <v>3367</v>
      </c>
      <c r="H818">
        <v>3451.5</v>
      </c>
      <c r="I818">
        <v>345.15</v>
      </c>
      <c r="J818">
        <v>171.8</v>
      </c>
      <c r="K818">
        <v>17.18</v>
      </c>
      <c r="L818">
        <v>3279.7</v>
      </c>
      <c r="M818">
        <v>327.97</v>
      </c>
      <c r="O818" s="79">
        <f>IFERROR(VLOOKUP(D818,'KAPANAN BLD.'!$C$2:$D$793,2,FALSE),0)</f>
        <v>0</v>
      </c>
      <c r="P818" s="79">
        <v>0</v>
      </c>
    </row>
    <row r="819" spans="1:16" x14ac:dyDescent="0.25">
      <c r="A819" t="s">
        <v>32</v>
      </c>
      <c r="B819" s="73" t="str">
        <f t="shared" si="20"/>
        <v>BOZCAADA</v>
      </c>
      <c r="C819" t="s">
        <v>55</v>
      </c>
      <c r="D819" s="73" t="str">
        <f t="shared" si="19"/>
        <v>BOZCAADA/ÇANAKKALE</v>
      </c>
      <c r="E819" t="s">
        <v>68</v>
      </c>
      <c r="F819" t="s">
        <v>68</v>
      </c>
      <c r="G819" t="s">
        <v>3366</v>
      </c>
      <c r="H819">
        <v>5728.3</v>
      </c>
      <c r="I819">
        <v>572.83000000000004</v>
      </c>
      <c r="J819">
        <v>1389.1</v>
      </c>
      <c r="K819">
        <v>138.91</v>
      </c>
      <c r="L819">
        <v>4339.2</v>
      </c>
      <c r="M819">
        <v>433.92</v>
      </c>
      <c r="O819" s="79">
        <f>IFERROR(VLOOKUP(D819,'KAPANAN BLD.'!$C$2:$D$793,2,FALSE),0)</f>
        <v>0</v>
      </c>
      <c r="P819" s="79">
        <v>0</v>
      </c>
    </row>
    <row r="820" spans="1:16" x14ac:dyDescent="0.25">
      <c r="A820" t="s">
        <v>32</v>
      </c>
      <c r="B820" s="73" t="str">
        <f t="shared" si="20"/>
        <v>ÇAN</v>
      </c>
      <c r="C820" t="s">
        <v>55</v>
      </c>
      <c r="D820" s="73" t="str">
        <f t="shared" si="19"/>
        <v>ÇAN/ÇANAKKALE</v>
      </c>
      <c r="E820" t="s">
        <v>341</v>
      </c>
      <c r="F820" t="s">
        <v>341</v>
      </c>
      <c r="G820" t="s">
        <v>3367</v>
      </c>
      <c r="H820">
        <v>685.8</v>
      </c>
      <c r="I820">
        <v>68.58</v>
      </c>
      <c r="J820">
        <v>0</v>
      </c>
      <c r="K820">
        <v>0</v>
      </c>
      <c r="L820">
        <v>685.8</v>
      </c>
      <c r="M820">
        <v>68.58</v>
      </c>
      <c r="O820" s="79">
        <f>IFERROR(VLOOKUP(D820,'KAPANAN BLD.'!$C$2:$D$793,2,FALSE),0)</f>
        <v>0</v>
      </c>
      <c r="P820" s="79">
        <v>0</v>
      </c>
    </row>
    <row r="821" spans="1:16" x14ac:dyDescent="0.25">
      <c r="A821" t="s">
        <v>32</v>
      </c>
      <c r="B821" s="73" t="str">
        <f t="shared" si="20"/>
        <v>ÇAN</v>
      </c>
      <c r="C821" t="s">
        <v>55</v>
      </c>
      <c r="D821" s="73" t="str">
        <f t="shared" si="19"/>
        <v>ÇAN/ÇANAKKALE</v>
      </c>
      <c r="E821" t="s">
        <v>341</v>
      </c>
      <c r="F821" t="s">
        <v>341</v>
      </c>
      <c r="G821" t="s">
        <v>3366</v>
      </c>
      <c r="H821">
        <v>2248.3000000000002</v>
      </c>
      <c r="I821">
        <v>224.83</v>
      </c>
      <c r="J821">
        <v>0</v>
      </c>
      <c r="K821">
        <v>0</v>
      </c>
      <c r="L821">
        <v>2248.3000000000002</v>
      </c>
      <c r="M821">
        <v>224.83</v>
      </c>
      <c r="O821" s="79">
        <f>IFERROR(VLOOKUP(D821,'KAPANAN BLD.'!$C$2:$D$793,2,FALSE),0)</f>
        <v>0</v>
      </c>
      <c r="P821" s="79">
        <v>0</v>
      </c>
    </row>
    <row r="822" spans="1:16" x14ac:dyDescent="0.25">
      <c r="A822" t="s">
        <v>32</v>
      </c>
      <c r="B822" s="73" t="str">
        <f t="shared" si="20"/>
        <v>LAPSEKİ</v>
      </c>
      <c r="C822" t="s">
        <v>55</v>
      </c>
      <c r="D822" s="73" t="str">
        <f t="shared" si="19"/>
        <v>LAPSEKİ/ÇANAKKALE</v>
      </c>
      <c r="E822" s="9" t="s">
        <v>541</v>
      </c>
      <c r="F822" s="9" t="s">
        <v>541</v>
      </c>
      <c r="G822" t="s">
        <v>3367</v>
      </c>
      <c r="H822">
        <v>1210.4000000000001</v>
      </c>
      <c r="I822">
        <v>121.04</v>
      </c>
      <c r="J822">
        <v>0</v>
      </c>
      <c r="K822">
        <v>0</v>
      </c>
      <c r="L822">
        <v>1210.4000000000001</v>
      </c>
      <c r="M822">
        <v>121.04</v>
      </c>
      <c r="O822" s="79">
        <f>IFERROR(VLOOKUP(D822,'KAPANAN BLD.'!$C$2:$D$793,2,FALSE),0)</f>
        <v>0</v>
      </c>
      <c r="P822" s="79">
        <v>0</v>
      </c>
    </row>
    <row r="823" spans="1:16" x14ac:dyDescent="0.25">
      <c r="A823" t="s">
        <v>32</v>
      </c>
      <c r="B823" s="73" t="str">
        <f t="shared" si="20"/>
        <v>LAPSEKİ</v>
      </c>
      <c r="C823" t="s">
        <v>55</v>
      </c>
      <c r="D823" s="73" t="str">
        <f t="shared" si="19"/>
        <v>LAPSEKİ/ÇANAKKALE</v>
      </c>
      <c r="E823" s="9" t="s">
        <v>541</v>
      </c>
      <c r="F823" s="9" t="s">
        <v>541</v>
      </c>
      <c r="G823" t="s">
        <v>3366</v>
      </c>
      <c r="H823">
        <v>5508</v>
      </c>
      <c r="I823">
        <v>550.79999999999995</v>
      </c>
      <c r="J823">
        <v>0</v>
      </c>
      <c r="K823">
        <v>0</v>
      </c>
      <c r="L823">
        <v>5508</v>
      </c>
      <c r="M823">
        <v>550.79999999999995</v>
      </c>
      <c r="O823" s="79">
        <f>IFERROR(VLOOKUP(D823,'KAPANAN BLD.'!$C$2:$D$793,2,FALSE),0)</f>
        <v>0</v>
      </c>
      <c r="P823" s="79">
        <v>0</v>
      </c>
    </row>
    <row r="824" spans="1:16" x14ac:dyDescent="0.25">
      <c r="A824" t="s">
        <v>32</v>
      </c>
      <c r="B824" s="73" t="str">
        <f t="shared" si="20"/>
        <v>ECEABAT</v>
      </c>
      <c r="C824" t="s">
        <v>55</v>
      </c>
      <c r="D824" s="73" t="str">
        <f t="shared" si="19"/>
        <v>ECEABAT/ÇANAKKALE</v>
      </c>
      <c r="E824" t="s">
        <v>97</v>
      </c>
      <c r="F824" t="s">
        <v>97</v>
      </c>
      <c r="G824" t="s">
        <v>3367</v>
      </c>
      <c r="H824">
        <v>2889.3</v>
      </c>
      <c r="I824">
        <v>288.93</v>
      </c>
      <c r="J824">
        <v>45</v>
      </c>
      <c r="K824">
        <v>4.5</v>
      </c>
      <c r="L824">
        <v>2844.3</v>
      </c>
      <c r="M824">
        <v>284.43</v>
      </c>
      <c r="O824" s="79">
        <f>IFERROR(VLOOKUP(D824,'KAPANAN BLD.'!$C$2:$D$793,2,FALSE),0)</f>
        <v>0</v>
      </c>
      <c r="P824" s="79">
        <v>0</v>
      </c>
    </row>
    <row r="825" spans="1:16" x14ac:dyDescent="0.25">
      <c r="A825" t="s">
        <v>32</v>
      </c>
      <c r="B825" s="73" t="str">
        <f t="shared" si="20"/>
        <v>ECEABAT</v>
      </c>
      <c r="C825" t="s">
        <v>55</v>
      </c>
      <c r="D825" s="73" t="str">
        <f t="shared" si="19"/>
        <v>ECEABAT/ÇANAKKALE</v>
      </c>
      <c r="E825" t="s">
        <v>97</v>
      </c>
      <c r="F825" t="s">
        <v>97</v>
      </c>
      <c r="G825" t="s">
        <v>3366</v>
      </c>
      <c r="H825">
        <v>2239.6</v>
      </c>
      <c r="I825">
        <v>223.96</v>
      </c>
      <c r="J825">
        <v>402.8</v>
      </c>
      <c r="K825">
        <v>40.28</v>
      </c>
      <c r="L825">
        <v>1836.8</v>
      </c>
      <c r="M825">
        <v>183.68</v>
      </c>
      <c r="O825" s="79">
        <f>IFERROR(VLOOKUP(D825,'KAPANAN BLD.'!$C$2:$D$793,2,FALSE),0)</f>
        <v>0</v>
      </c>
      <c r="P825" s="79">
        <v>0</v>
      </c>
    </row>
    <row r="826" spans="1:16" x14ac:dyDescent="0.25">
      <c r="A826" t="s">
        <v>32</v>
      </c>
      <c r="B826" s="73" t="str">
        <f t="shared" si="20"/>
        <v>GELİBOLU</v>
      </c>
      <c r="C826" t="s">
        <v>55</v>
      </c>
      <c r="D826" s="73" t="str">
        <f t="shared" si="19"/>
        <v>GELİBOLU/ÇANAKKALE</v>
      </c>
      <c r="E826" s="9" t="s">
        <v>200</v>
      </c>
      <c r="F826" s="9" t="s">
        <v>200</v>
      </c>
      <c r="G826" t="s">
        <v>3367</v>
      </c>
      <c r="H826">
        <v>789.3</v>
      </c>
      <c r="I826">
        <v>78.930000000000007</v>
      </c>
      <c r="J826">
        <v>39.299999999999997</v>
      </c>
      <c r="K826">
        <v>3.93</v>
      </c>
      <c r="L826">
        <v>750</v>
      </c>
      <c r="M826">
        <v>75</v>
      </c>
      <c r="O826" s="79">
        <f>IFERROR(VLOOKUP(D826,'KAPANAN BLD.'!$C$2:$D$793,2,FALSE),0)</f>
        <v>0</v>
      </c>
      <c r="P826" s="79">
        <v>0</v>
      </c>
    </row>
    <row r="827" spans="1:16" x14ac:dyDescent="0.25">
      <c r="A827" t="s">
        <v>32</v>
      </c>
      <c r="B827" s="73" t="str">
        <f t="shared" si="20"/>
        <v>GELİBOLU</v>
      </c>
      <c r="C827" t="s">
        <v>55</v>
      </c>
      <c r="D827" s="73" t="str">
        <f t="shared" si="19"/>
        <v>GELİBOLU/ÇANAKKALE</v>
      </c>
      <c r="E827" s="9" t="s">
        <v>200</v>
      </c>
      <c r="F827" s="9" t="s">
        <v>200</v>
      </c>
      <c r="G827" t="s">
        <v>3366</v>
      </c>
      <c r="H827">
        <v>953</v>
      </c>
      <c r="I827">
        <v>95.3</v>
      </c>
      <c r="J827">
        <v>0</v>
      </c>
      <c r="K827">
        <v>0</v>
      </c>
      <c r="L827">
        <v>953</v>
      </c>
      <c r="M827">
        <v>95.3</v>
      </c>
      <c r="O827" s="79">
        <f>IFERROR(VLOOKUP(D827,'KAPANAN BLD.'!$C$2:$D$793,2,FALSE),0)</f>
        <v>0</v>
      </c>
      <c r="P827" s="79">
        <v>0</v>
      </c>
    </row>
    <row r="828" spans="1:16" x14ac:dyDescent="0.25">
      <c r="A828" t="s">
        <v>32</v>
      </c>
      <c r="B828" s="73" t="str">
        <f t="shared" si="20"/>
        <v>EZİNE</v>
      </c>
      <c r="C828" t="s">
        <v>55</v>
      </c>
      <c r="D828" s="73" t="str">
        <f t="shared" si="19"/>
        <v>EZİNE/ÇANAKKALE</v>
      </c>
      <c r="E828" t="s">
        <v>218</v>
      </c>
      <c r="F828" t="s">
        <v>218</v>
      </c>
      <c r="G828" t="s">
        <v>3366</v>
      </c>
      <c r="H828">
        <v>2051.1999999999998</v>
      </c>
      <c r="I828">
        <v>205.12</v>
      </c>
      <c r="J828">
        <v>810.8</v>
      </c>
      <c r="K828">
        <v>81.08</v>
      </c>
      <c r="L828">
        <v>1240.4000000000001</v>
      </c>
      <c r="M828">
        <v>124.04</v>
      </c>
      <c r="O828" s="79">
        <f>IFERROR(VLOOKUP(D828,'KAPANAN BLD.'!$C$2:$D$793,2,FALSE),0)</f>
        <v>0</v>
      </c>
      <c r="P828" s="79">
        <v>0</v>
      </c>
    </row>
    <row r="829" spans="1:16" x14ac:dyDescent="0.25">
      <c r="A829" t="s">
        <v>32</v>
      </c>
      <c r="B829" s="73" t="str">
        <f t="shared" si="20"/>
        <v>EZİNE</v>
      </c>
      <c r="C829" t="s">
        <v>55</v>
      </c>
      <c r="D829" s="73" t="str">
        <f t="shared" si="19"/>
        <v>EZİNE/ÇANAKKALE</v>
      </c>
      <c r="E829" t="s">
        <v>218</v>
      </c>
      <c r="F829" t="s">
        <v>218</v>
      </c>
      <c r="G829" t="s">
        <v>3367</v>
      </c>
      <c r="H829">
        <v>755.6</v>
      </c>
      <c r="I829">
        <v>75.56</v>
      </c>
      <c r="J829">
        <v>91</v>
      </c>
      <c r="K829">
        <v>9.1</v>
      </c>
      <c r="L829">
        <v>664.6</v>
      </c>
      <c r="M829">
        <v>66.459999999999994</v>
      </c>
      <c r="O829" s="79">
        <f>IFERROR(VLOOKUP(D829,'KAPANAN BLD.'!$C$2:$D$793,2,FALSE),0)</f>
        <v>0</v>
      </c>
      <c r="P829" s="79">
        <v>0</v>
      </c>
    </row>
    <row r="830" spans="1:16" x14ac:dyDescent="0.25">
      <c r="A830" t="s">
        <v>32</v>
      </c>
      <c r="B830" s="73" t="str">
        <f t="shared" si="20"/>
        <v>GELİBOLU</v>
      </c>
      <c r="C830" t="s">
        <v>55</v>
      </c>
      <c r="D830" s="73" t="str">
        <f t="shared" si="19"/>
        <v>GELİBOLU/ÇANAKKALE</v>
      </c>
      <c r="E830" t="s">
        <v>200</v>
      </c>
      <c r="F830" t="s">
        <v>200</v>
      </c>
      <c r="G830" t="s">
        <v>3367</v>
      </c>
      <c r="H830">
        <v>1931.6</v>
      </c>
      <c r="I830">
        <v>193.16</v>
      </c>
      <c r="J830">
        <v>8949.5</v>
      </c>
      <c r="K830">
        <v>894.95</v>
      </c>
      <c r="L830">
        <v>-7017.9</v>
      </c>
      <c r="M830">
        <v>-701.79</v>
      </c>
      <c r="O830" s="79">
        <f>IFERROR(VLOOKUP(D830,'KAPANAN BLD.'!$C$2:$D$793,2,FALSE),0)</f>
        <v>0</v>
      </c>
      <c r="P830" s="79">
        <v>0</v>
      </c>
    </row>
    <row r="831" spans="1:16" x14ac:dyDescent="0.25">
      <c r="A831" t="s">
        <v>32</v>
      </c>
      <c r="B831" s="73" t="str">
        <f t="shared" si="20"/>
        <v>GELİBOLU</v>
      </c>
      <c r="C831" t="s">
        <v>55</v>
      </c>
      <c r="D831" s="73" t="str">
        <f t="shared" si="19"/>
        <v>GELİBOLU/ÇANAKKALE</v>
      </c>
      <c r="E831" t="s">
        <v>200</v>
      </c>
      <c r="F831" t="s">
        <v>200</v>
      </c>
      <c r="G831" t="s">
        <v>3366</v>
      </c>
      <c r="H831">
        <v>1845.1</v>
      </c>
      <c r="I831">
        <v>184.51</v>
      </c>
      <c r="J831">
        <v>2600.8000000000002</v>
      </c>
      <c r="K831">
        <v>260.08</v>
      </c>
      <c r="L831">
        <v>-755.7</v>
      </c>
      <c r="M831">
        <v>-75.569999999999993</v>
      </c>
      <c r="O831" s="79">
        <f>IFERROR(VLOOKUP(D831,'KAPANAN BLD.'!$C$2:$D$793,2,FALSE),0)</f>
        <v>0</v>
      </c>
      <c r="P831" s="79">
        <v>0</v>
      </c>
    </row>
    <row r="832" spans="1:16" x14ac:dyDescent="0.25">
      <c r="A832" t="s">
        <v>32</v>
      </c>
      <c r="B832" s="73" t="str">
        <f t="shared" si="20"/>
        <v>GELİBOLU</v>
      </c>
      <c r="C832" t="s">
        <v>55</v>
      </c>
      <c r="D832" s="73" t="str">
        <f t="shared" si="19"/>
        <v>GELİBOLU/ÇANAKKALE</v>
      </c>
      <c r="E832" t="s">
        <v>200</v>
      </c>
      <c r="F832" t="s">
        <v>200</v>
      </c>
      <c r="G832" t="s">
        <v>3366</v>
      </c>
      <c r="H832">
        <v>1140.0999999999999</v>
      </c>
      <c r="I832">
        <v>114.01</v>
      </c>
      <c r="J832">
        <v>0.4</v>
      </c>
      <c r="K832">
        <v>0.04</v>
      </c>
      <c r="L832">
        <v>1139.7</v>
      </c>
      <c r="M832">
        <v>113.97</v>
      </c>
      <c r="O832" s="79">
        <f>IFERROR(VLOOKUP(D832,'KAPANAN BLD.'!$C$2:$D$793,2,FALSE),0)</f>
        <v>0</v>
      </c>
      <c r="P832" s="79">
        <v>0</v>
      </c>
    </row>
    <row r="833" spans="1:16" x14ac:dyDescent="0.25">
      <c r="A833" t="s">
        <v>32</v>
      </c>
      <c r="B833" s="73" t="str">
        <f t="shared" si="20"/>
        <v>GELİBOLU</v>
      </c>
      <c r="C833" t="s">
        <v>55</v>
      </c>
      <c r="D833" s="73" t="str">
        <f t="shared" si="19"/>
        <v>GELİBOLU/ÇANAKKALE</v>
      </c>
      <c r="E833" t="s">
        <v>200</v>
      </c>
      <c r="F833" t="s">
        <v>200</v>
      </c>
      <c r="G833" t="s">
        <v>3367</v>
      </c>
      <c r="H833">
        <v>2182.1</v>
      </c>
      <c r="I833">
        <v>218.21</v>
      </c>
      <c r="J833">
        <v>23.9</v>
      </c>
      <c r="K833">
        <v>2.39</v>
      </c>
      <c r="L833">
        <v>2158.1999999999998</v>
      </c>
      <c r="M833">
        <v>215.82</v>
      </c>
      <c r="O833" s="79">
        <f>IFERROR(VLOOKUP(D833,'KAPANAN BLD.'!$C$2:$D$793,2,FALSE),0)</f>
        <v>0</v>
      </c>
      <c r="P833" s="79">
        <v>0</v>
      </c>
    </row>
    <row r="834" spans="1:16" x14ac:dyDescent="0.25">
      <c r="A834" t="s">
        <v>32</v>
      </c>
      <c r="B834" s="73" t="str">
        <f t="shared" si="20"/>
        <v>EZİNE</v>
      </c>
      <c r="C834" t="s">
        <v>55</v>
      </c>
      <c r="D834" s="73" t="str">
        <f t="shared" si="19"/>
        <v>EZİNE/ÇANAKKALE</v>
      </c>
      <c r="E834" s="9" t="s">
        <v>218</v>
      </c>
      <c r="F834" s="9" t="s">
        <v>218</v>
      </c>
      <c r="G834" t="s">
        <v>3366</v>
      </c>
      <c r="H834">
        <v>1110.2</v>
      </c>
      <c r="I834">
        <v>111.02</v>
      </c>
      <c r="J834">
        <v>108.2</v>
      </c>
      <c r="K834">
        <v>10.82</v>
      </c>
      <c r="L834">
        <v>1002</v>
      </c>
      <c r="M834">
        <v>100.2</v>
      </c>
      <c r="O834" s="79">
        <f>IFERROR(VLOOKUP(D834,'KAPANAN BLD.'!$C$2:$D$793,2,FALSE),0)</f>
        <v>0</v>
      </c>
      <c r="P834" s="79">
        <v>0</v>
      </c>
    </row>
    <row r="835" spans="1:16" x14ac:dyDescent="0.25">
      <c r="A835" t="s">
        <v>32</v>
      </c>
      <c r="B835" s="73" t="str">
        <f t="shared" si="20"/>
        <v>EZİNE</v>
      </c>
      <c r="C835" t="s">
        <v>55</v>
      </c>
      <c r="D835" s="73" t="str">
        <f t="shared" ref="D835:D898" si="21">CONCATENATE(B835,"/",C835)</f>
        <v>EZİNE/ÇANAKKALE</v>
      </c>
      <c r="E835" s="9" t="s">
        <v>218</v>
      </c>
      <c r="F835" s="9" t="s">
        <v>218</v>
      </c>
      <c r="G835" t="s">
        <v>3367</v>
      </c>
      <c r="H835">
        <v>944.3</v>
      </c>
      <c r="I835">
        <v>94.43</v>
      </c>
      <c r="J835">
        <v>242.8</v>
      </c>
      <c r="K835">
        <v>24.28</v>
      </c>
      <c r="L835">
        <v>701.5</v>
      </c>
      <c r="M835">
        <v>70.150000000000006</v>
      </c>
      <c r="O835" s="79">
        <f>IFERROR(VLOOKUP(D835,'KAPANAN BLD.'!$C$2:$D$793,2,FALSE),0)</f>
        <v>0</v>
      </c>
      <c r="P835" s="79">
        <v>0</v>
      </c>
    </row>
    <row r="836" spans="1:16" x14ac:dyDescent="0.25">
      <c r="A836" t="s">
        <v>32</v>
      </c>
      <c r="B836" s="73" t="str">
        <f t="shared" si="20"/>
        <v>GÖKÇEADA</v>
      </c>
      <c r="C836" t="s">
        <v>55</v>
      </c>
      <c r="D836" s="73" t="str">
        <f t="shared" si="21"/>
        <v>GÖKÇEADA/ÇANAKKALE</v>
      </c>
      <c r="E836" t="s">
        <v>540</v>
      </c>
      <c r="F836" t="s">
        <v>540</v>
      </c>
      <c r="G836" t="s">
        <v>3366</v>
      </c>
      <c r="H836">
        <v>1011.5</v>
      </c>
      <c r="I836">
        <v>101.15</v>
      </c>
      <c r="J836">
        <v>97.5</v>
      </c>
      <c r="K836">
        <v>9.75</v>
      </c>
      <c r="L836">
        <v>914</v>
      </c>
      <c r="M836">
        <v>91.4</v>
      </c>
      <c r="O836" s="79">
        <f>IFERROR(VLOOKUP(D836,'KAPANAN BLD.'!$C$2:$D$793,2,FALSE),0)</f>
        <v>0</v>
      </c>
      <c r="P836" s="79">
        <v>0</v>
      </c>
    </row>
    <row r="837" spans="1:16" x14ac:dyDescent="0.25">
      <c r="A837" t="s">
        <v>32</v>
      </c>
      <c r="B837" s="73" t="str">
        <f t="shared" si="20"/>
        <v>GÖKÇEADA</v>
      </c>
      <c r="C837" t="s">
        <v>55</v>
      </c>
      <c r="D837" s="73" t="str">
        <f t="shared" si="21"/>
        <v>GÖKÇEADA/ÇANAKKALE</v>
      </c>
      <c r="E837" t="s">
        <v>540</v>
      </c>
      <c r="F837" t="s">
        <v>540</v>
      </c>
      <c r="G837" t="s">
        <v>3367</v>
      </c>
      <c r="H837">
        <v>1980.4</v>
      </c>
      <c r="I837">
        <v>198.04</v>
      </c>
      <c r="J837">
        <v>143.19999999999999</v>
      </c>
      <c r="K837">
        <v>14.32</v>
      </c>
      <c r="L837">
        <v>1837.2</v>
      </c>
      <c r="M837">
        <v>183.72</v>
      </c>
      <c r="O837" s="79">
        <f>IFERROR(VLOOKUP(D837,'KAPANAN BLD.'!$C$2:$D$793,2,FALSE),0)</f>
        <v>0</v>
      </c>
      <c r="P837" s="79">
        <v>0</v>
      </c>
    </row>
    <row r="838" spans="1:16" x14ac:dyDescent="0.25">
      <c r="A838" t="s">
        <v>32</v>
      </c>
      <c r="B838" s="73" t="str">
        <f t="shared" si="20"/>
        <v>BİGA</v>
      </c>
      <c r="C838" t="s">
        <v>55</v>
      </c>
      <c r="D838" s="73" t="str">
        <f t="shared" si="21"/>
        <v>BİGA/ÇANAKKALE</v>
      </c>
      <c r="E838" s="9" t="s">
        <v>153</v>
      </c>
      <c r="F838" s="9" t="s">
        <v>153</v>
      </c>
      <c r="G838" t="s">
        <v>3367</v>
      </c>
      <c r="H838">
        <v>49.3</v>
      </c>
      <c r="I838">
        <v>4.93</v>
      </c>
      <c r="J838">
        <v>0</v>
      </c>
      <c r="K838">
        <v>0</v>
      </c>
      <c r="L838">
        <v>49.3</v>
      </c>
      <c r="M838">
        <v>4.93</v>
      </c>
      <c r="O838" s="79">
        <f>IFERROR(VLOOKUP(D838,'KAPANAN BLD.'!$C$2:$D$793,2,FALSE),0)</f>
        <v>0</v>
      </c>
      <c r="P838" s="79">
        <v>0</v>
      </c>
    </row>
    <row r="839" spans="1:16" x14ac:dyDescent="0.25">
      <c r="A839" t="s">
        <v>32</v>
      </c>
      <c r="B839" s="73" t="str">
        <f t="shared" si="20"/>
        <v>YENİCE</v>
      </c>
      <c r="C839" t="s">
        <v>55</v>
      </c>
      <c r="D839" s="73" t="str">
        <f t="shared" si="21"/>
        <v>YENİCE/ÇANAKKALE</v>
      </c>
      <c r="E839" s="9" t="s">
        <v>90</v>
      </c>
      <c r="F839" s="9" t="s">
        <v>90</v>
      </c>
      <c r="G839" t="s">
        <v>3366</v>
      </c>
      <c r="H839">
        <v>224.7</v>
      </c>
      <c r="I839">
        <v>22.47</v>
      </c>
      <c r="J839">
        <v>0</v>
      </c>
      <c r="K839">
        <v>0</v>
      </c>
      <c r="L839">
        <v>224.7</v>
      </c>
      <c r="M839">
        <v>22.47</v>
      </c>
      <c r="O839" s="79">
        <f>IFERROR(VLOOKUP(D839,'KAPANAN BLD.'!$C$2:$D$793,2,FALSE),0)</f>
        <v>0</v>
      </c>
      <c r="P839" s="79">
        <v>0</v>
      </c>
    </row>
    <row r="840" spans="1:16" x14ac:dyDescent="0.25">
      <c r="A840" t="s">
        <v>32</v>
      </c>
      <c r="B840" s="73" t="str">
        <f t="shared" si="20"/>
        <v>YENİCE</v>
      </c>
      <c r="C840" t="s">
        <v>55</v>
      </c>
      <c r="D840" s="73" t="str">
        <f t="shared" si="21"/>
        <v>YENİCE/ÇANAKKALE</v>
      </c>
      <c r="E840" s="9" t="s">
        <v>90</v>
      </c>
      <c r="F840" s="9" t="s">
        <v>90</v>
      </c>
      <c r="G840" t="s">
        <v>3367</v>
      </c>
      <c r="H840">
        <v>352.4</v>
      </c>
      <c r="I840">
        <v>35.24</v>
      </c>
      <c r="J840">
        <v>0</v>
      </c>
      <c r="K840">
        <v>0</v>
      </c>
      <c r="L840">
        <v>352.4</v>
      </c>
      <c r="M840">
        <v>35.24</v>
      </c>
      <c r="O840" s="79">
        <f>IFERROR(VLOOKUP(D840,'KAPANAN BLD.'!$C$2:$D$793,2,FALSE),0)</f>
        <v>0</v>
      </c>
      <c r="P840" s="79">
        <v>0</v>
      </c>
    </row>
    <row r="841" spans="1:16" x14ac:dyDescent="0.25">
      <c r="A841" t="s">
        <v>32</v>
      </c>
      <c r="B841" s="73" t="str">
        <f t="shared" si="20"/>
        <v>BİGA</v>
      </c>
      <c r="C841" t="s">
        <v>55</v>
      </c>
      <c r="D841" s="73" t="str">
        <f t="shared" si="21"/>
        <v>BİGA/ÇANAKKALE</v>
      </c>
      <c r="E841" s="9" t="s">
        <v>153</v>
      </c>
      <c r="F841" s="9" t="s">
        <v>153</v>
      </c>
      <c r="G841" t="s">
        <v>3367</v>
      </c>
      <c r="H841">
        <v>138.6</v>
      </c>
      <c r="I841">
        <v>13.86</v>
      </c>
      <c r="J841">
        <v>0</v>
      </c>
      <c r="K841">
        <v>0</v>
      </c>
      <c r="L841">
        <v>138.6</v>
      </c>
      <c r="M841">
        <v>13.86</v>
      </c>
      <c r="O841" s="79">
        <f>IFERROR(VLOOKUP(D841,'KAPANAN BLD.'!$C$2:$D$793,2,FALSE),0)</f>
        <v>0</v>
      </c>
      <c r="P841" s="79">
        <v>0</v>
      </c>
    </row>
    <row r="842" spans="1:16" x14ac:dyDescent="0.25">
      <c r="A842" t="s">
        <v>32</v>
      </c>
      <c r="B842" s="73" t="str">
        <f t="shared" si="20"/>
        <v>BİGA</v>
      </c>
      <c r="C842" t="s">
        <v>55</v>
      </c>
      <c r="D842" s="73" t="str">
        <f t="shared" si="21"/>
        <v>BİGA/ÇANAKKALE</v>
      </c>
      <c r="E842" s="9" t="s">
        <v>153</v>
      </c>
      <c r="F842" s="9" t="s">
        <v>153</v>
      </c>
      <c r="G842" t="s">
        <v>3366</v>
      </c>
      <c r="H842">
        <v>1623.3</v>
      </c>
      <c r="I842">
        <v>162.33000000000001</v>
      </c>
      <c r="J842">
        <v>0</v>
      </c>
      <c r="K842">
        <v>0</v>
      </c>
      <c r="L842">
        <v>1623.3</v>
      </c>
      <c r="M842">
        <v>162.33000000000001</v>
      </c>
      <c r="O842" s="79">
        <f>IFERROR(VLOOKUP(D842,'KAPANAN BLD.'!$C$2:$D$793,2,FALSE),0)</f>
        <v>0</v>
      </c>
      <c r="P842" s="79">
        <v>0</v>
      </c>
    </row>
    <row r="843" spans="1:16" x14ac:dyDescent="0.25">
      <c r="A843" t="s">
        <v>32</v>
      </c>
      <c r="B843" s="73" t="str">
        <f t="shared" si="20"/>
        <v>GELİBOLU</v>
      </c>
      <c r="C843" t="s">
        <v>55</v>
      </c>
      <c r="D843" s="73" t="str">
        <f t="shared" si="21"/>
        <v>GELİBOLU/ÇANAKKALE</v>
      </c>
      <c r="E843" s="9" t="s">
        <v>200</v>
      </c>
      <c r="F843" s="9" t="s">
        <v>200</v>
      </c>
      <c r="G843" t="s">
        <v>3366</v>
      </c>
      <c r="H843">
        <v>1533.4</v>
      </c>
      <c r="I843">
        <v>153.34</v>
      </c>
      <c r="J843">
        <v>0</v>
      </c>
      <c r="K843">
        <v>0</v>
      </c>
      <c r="L843">
        <v>1533.4</v>
      </c>
      <c r="M843">
        <v>153.34</v>
      </c>
      <c r="O843" s="79">
        <f>IFERROR(VLOOKUP(D843,'KAPANAN BLD.'!$C$2:$D$793,2,FALSE),0)</f>
        <v>0</v>
      </c>
      <c r="P843" s="79">
        <v>0</v>
      </c>
    </row>
    <row r="844" spans="1:16" x14ac:dyDescent="0.25">
      <c r="A844" t="s">
        <v>32</v>
      </c>
      <c r="B844" s="73" t="str">
        <f t="shared" si="20"/>
        <v>GELİBOLU</v>
      </c>
      <c r="C844" t="s">
        <v>55</v>
      </c>
      <c r="D844" s="73" t="str">
        <f t="shared" si="21"/>
        <v>GELİBOLU/ÇANAKKALE</v>
      </c>
      <c r="E844" s="9" t="s">
        <v>200</v>
      </c>
      <c r="F844" s="9" t="s">
        <v>200</v>
      </c>
      <c r="G844" t="s">
        <v>3367</v>
      </c>
      <c r="H844">
        <v>2046.6</v>
      </c>
      <c r="I844">
        <v>204.66</v>
      </c>
      <c r="J844">
        <v>0</v>
      </c>
      <c r="K844">
        <v>0</v>
      </c>
      <c r="L844">
        <v>2046.6</v>
      </c>
      <c r="M844">
        <v>204.66</v>
      </c>
      <c r="O844" s="79">
        <f>IFERROR(VLOOKUP(D844,'KAPANAN BLD.'!$C$2:$D$793,2,FALSE),0)</f>
        <v>0</v>
      </c>
      <c r="P844" s="79">
        <v>0</v>
      </c>
    </row>
    <row r="845" spans="1:16" x14ac:dyDescent="0.25">
      <c r="A845" t="s">
        <v>32</v>
      </c>
      <c r="B845" s="73" t="str">
        <f t="shared" si="20"/>
        <v>BİGA</v>
      </c>
      <c r="C845" t="s">
        <v>55</v>
      </c>
      <c r="D845" s="73" t="str">
        <f t="shared" si="21"/>
        <v>BİGA/ÇANAKKALE</v>
      </c>
      <c r="E845" s="9" t="s">
        <v>153</v>
      </c>
      <c r="F845" s="9" t="s">
        <v>153</v>
      </c>
      <c r="G845" t="s">
        <v>3367</v>
      </c>
      <c r="H845">
        <v>161.6</v>
      </c>
      <c r="I845">
        <v>16.16</v>
      </c>
      <c r="J845">
        <v>41.2</v>
      </c>
      <c r="K845">
        <v>4.12</v>
      </c>
      <c r="L845">
        <v>120.4</v>
      </c>
      <c r="M845">
        <v>12.04</v>
      </c>
      <c r="O845" s="79">
        <f>IFERROR(VLOOKUP(D845,'KAPANAN BLD.'!$C$2:$D$793,2,FALSE),0)</f>
        <v>0</v>
      </c>
      <c r="P845" s="79">
        <v>0</v>
      </c>
    </row>
    <row r="846" spans="1:16" x14ac:dyDescent="0.25">
      <c r="A846" t="s">
        <v>32</v>
      </c>
      <c r="B846" s="73" t="str">
        <f t="shared" si="20"/>
        <v>BİGA</v>
      </c>
      <c r="C846" t="s">
        <v>55</v>
      </c>
      <c r="D846" s="73" t="str">
        <f t="shared" si="21"/>
        <v>BİGA/ÇANAKKALE</v>
      </c>
      <c r="E846" s="9" t="s">
        <v>153</v>
      </c>
      <c r="F846" s="9" t="s">
        <v>153</v>
      </c>
      <c r="G846" t="s">
        <v>3366</v>
      </c>
      <c r="H846">
        <v>174.9</v>
      </c>
      <c r="I846">
        <v>17.489999999999998</v>
      </c>
      <c r="J846">
        <v>368.6</v>
      </c>
      <c r="K846">
        <v>36.86</v>
      </c>
      <c r="L846">
        <v>-193.7</v>
      </c>
      <c r="M846">
        <v>-19.37</v>
      </c>
      <c r="O846" s="79">
        <f>IFERROR(VLOOKUP(D846,'KAPANAN BLD.'!$C$2:$D$793,2,FALSE),0)</f>
        <v>0</v>
      </c>
      <c r="P846" s="79">
        <v>0</v>
      </c>
    </row>
    <row r="847" spans="1:16" x14ac:dyDescent="0.25">
      <c r="A847" t="s">
        <v>32</v>
      </c>
      <c r="B847" s="73" t="str">
        <f t="shared" si="20"/>
        <v>MERKEZ</v>
      </c>
      <c r="C847" t="s">
        <v>55</v>
      </c>
      <c r="D847" s="73" t="str">
        <f t="shared" si="21"/>
        <v>MERKEZ/ÇANAKKALE</v>
      </c>
      <c r="E847" s="9" t="s">
        <v>34</v>
      </c>
      <c r="F847" s="9" t="s">
        <v>34</v>
      </c>
      <c r="G847" t="s">
        <v>3367</v>
      </c>
      <c r="H847">
        <v>9428.7199999999993</v>
      </c>
      <c r="I847">
        <v>942.87</v>
      </c>
      <c r="J847">
        <v>3806.1</v>
      </c>
      <c r="K847">
        <v>380.61</v>
      </c>
      <c r="L847">
        <v>5622.62</v>
      </c>
      <c r="M847">
        <v>562.26</v>
      </c>
      <c r="O847" s="79">
        <f>IFERROR(VLOOKUP(D847,'KAPANAN BLD.'!$C$2:$D$793,2,FALSE),0)</f>
        <v>0</v>
      </c>
      <c r="P847" s="79">
        <v>0</v>
      </c>
    </row>
    <row r="848" spans="1:16" x14ac:dyDescent="0.25">
      <c r="A848" t="s">
        <v>32</v>
      </c>
      <c r="B848" s="73" t="str">
        <f t="shared" si="20"/>
        <v>MERKEZ</v>
      </c>
      <c r="C848" t="s">
        <v>55</v>
      </c>
      <c r="D848" s="73" t="str">
        <f t="shared" si="21"/>
        <v>MERKEZ/ÇANAKKALE</v>
      </c>
      <c r="E848" s="9" t="s">
        <v>34</v>
      </c>
      <c r="F848" s="9" t="s">
        <v>34</v>
      </c>
      <c r="G848" t="s">
        <v>3366</v>
      </c>
      <c r="H848">
        <v>15305.94</v>
      </c>
      <c r="I848">
        <v>1530.59</v>
      </c>
      <c r="J848">
        <v>12142.9</v>
      </c>
      <c r="K848">
        <v>1214.29</v>
      </c>
      <c r="L848">
        <v>3163.04</v>
      </c>
      <c r="M848">
        <v>316.3</v>
      </c>
      <c r="O848" s="79">
        <f>IFERROR(VLOOKUP(D848,'KAPANAN BLD.'!$C$2:$D$793,2,FALSE),0)</f>
        <v>0</v>
      </c>
      <c r="P848" s="79">
        <v>0</v>
      </c>
    </row>
    <row r="849" spans="1:16" x14ac:dyDescent="0.25">
      <c r="A849" t="s">
        <v>32</v>
      </c>
      <c r="B849" s="73" t="str">
        <f t="shared" si="20"/>
        <v>AYVACIK</v>
      </c>
      <c r="C849" t="s">
        <v>55</v>
      </c>
      <c r="D849" s="73" t="str">
        <f t="shared" si="21"/>
        <v>AYVACIK/ÇANAKKALE</v>
      </c>
      <c r="E849" s="9" t="s">
        <v>4</v>
      </c>
      <c r="F849" s="9" t="s">
        <v>4</v>
      </c>
      <c r="G849" t="s">
        <v>3367</v>
      </c>
      <c r="H849">
        <v>2540</v>
      </c>
      <c r="I849">
        <v>254</v>
      </c>
      <c r="J849">
        <v>131.19999999999999</v>
      </c>
      <c r="K849">
        <v>13.12</v>
      </c>
      <c r="L849">
        <v>2408.8000000000002</v>
      </c>
      <c r="M849">
        <v>240.88</v>
      </c>
      <c r="O849" s="79">
        <f>IFERROR(VLOOKUP(D849,'KAPANAN BLD.'!$C$2:$D$793,2,FALSE),0)</f>
        <v>0</v>
      </c>
      <c r="P849" s="79">
        <v>0</v>
      </c>
    </row>
    <row r="850" spans="1:16" x14ac:dyDescent="0.25">
      <c r="A850" t="s">
        <v>32</v>
      </c>
      <c r="B850" s="73" t="str">
        <f t="shared" si="20"/>
        <v>AYVACIK</v>
      </c>
      <c r="C850" t="s">
        <v>55</v>
      </c>
      <c r="D850" s="73" t="str">
        <f t="shared" si="21"/>
        <v>AYVACIK/ÇANAKKALE</v>
      </c>
      <c r="E850" s="9" t="s">
        <v>4</v>
      </c>
      <c r="F850" s="9" t="s">
        <v>4</v>
      </c>
      <c r="G850" t="s">
        <v>3366</v>
      </c>
      <c r="H850">
        <v>3094</v>
      </c>
      <c r="I850">
        <v>309.39999999999998</v>
      </c>
      <c r="J850">
        <v>95.8</v>
      </c>
      <c r="K850">
        <v>9.58</v>
      </c>
      <c r="L850">
        <v>2998.2</v>
      </c>
      <c r="M850">
        <v>299.82</v>
      </c>
      <c r="O850" s="79">
        <f>IFERROR(VLOOKUP(D850,'KAPANAN BLD.'!$C$2:$D$793,2,FALSE),0)</f>
        <v>0</v>
      </c>
      <c r="P850" s="79">
        <v>0</v>
      </c>
    </row>
    <row r="851" spans="1:16" x14ac:dyDescent="0.25">
      <c r="A851" t="s">
        <v>32</v>
      </c>
      <c r="B851" s="73" t="str">
        <f t="shared" si="20"/>
        <v>LAPSEKİ</v>
      </c>
      <c r="C851" t="s">
        <v>55</v>
      </c>
      <c r="D851" s="73" t="str">
        <f t="shared" si="21"/>
        <v>LAPSEKİ/ÇANAKKALE</v>
      </c>
      <c r="E851" t="s">
        <v>541</v>
      </c>
      <c r="F851" t="s">
        <v>541</v>
      </c>
      <c r="G851" t="s">
        <v>3366</v>
      </c>
      <c r="H851">
        <v>296.7</v>
      </c>
      <c r="I851">
        <v>29.67</v>
      </c>
      <c r="J851">
        <v>0</v>
      </c>
      <c r="K851">
        <v>0</v>
      </c>
      <c r="L851">
        <v>296.7</v>
      </c>
      <c r="M851">
        <v>29.67</v>
      </c>
      <c r="O851" s="79">
        <f>IFERROR(VLOOKUP(D851,'KAPANAN BLD.'!$C$2:$D$793,2,FALSE),0)</f>
        <v>0</v>
      </c>
      <c r="P851" s="79">
        <v>0</v>
      </c>
    </row>
    <row r="852" spans="1:16" x14ac:dyDescent="0.25">
      <c r="A852" t="s">
        <v>32</v>
      </c>
      <c r="B852" s="73" t="str">
        <f t="shared" si="20"/>
        <v>LAPSEKİ</v>
      </c>
      <c r="C852" t="s">
        <v>55</v>
      </c>
      <c r="D852" s="73" t="str">
        <f t="shared" si="21"/>
        <v>LAPSEKİ/ÇANAKKALE</v>
      </c>
      <c r="E852" t="s">
        <v>541</v>
      </c>
      <c r="F852" t="s">
        <v>541</v>
      </c>
      <c r="G852" t="s">
        <v>3367</v>
      </c>
      <c r="H852">
        <v>549.70000000000005</v>
      </c>
      <c r="I852">
        <v>54.97</v>
      </c>
      <c r="J852">
        <v>0</v>
      </c>
      <c r="K852">
        <v>0</v>
      </c>
      <c r="L852">
        <v>549.70000000000005</v>
      </c>
      <c r="M852">
        <v>54.97</v>
      </c>
      <c r="O852" s="79">
        <f>IFERROR(VLOOKUP(D852,'KAPANAN BLD.'!$C$2:$D$793,2,FALSE),0)</f>
        <v>0</v>
      </c>
      <c r="P852" s="79">
        <v>0</v>
      </c>
    </row>
    <row r="853" spans="1:16" x14ac:dyDescent="0.25">
      <c r="A853" t="s">
        <v>32</v>
      </c>
      <c r="B853" s="73" t="str">
        <f t="shared" si="20"/>
        <v>EZİNE</v>
      </c>
      <c r="C853" t="s">
        <v>55</v>
      </c>
      <c r="D853" s="73" t="str">
        <f t="shared" si="21"/>
        <v>EZİNE/ÇANAKKALE</v>
      </c>
      <c r="E853" s="9" t="s">
        <v>218</v>
      </c>
      <c r="F853" s="9" t="s">
        <v>218</v>
      </c>
      <c r="G853" t="s">
        <v>3367</v>
      </c>
      <c r="H853">
        <v>255.4</v>
      </c>
      <c r="I853">
        <v>25.54</v>
      </c>
      <c r="J853">
        <v>36.700000000000003</v>
      </c>
      <c r="K853">
        <v>3.67</v>
      </c>
      <c r="L853">
        <v>218.7</v>
      </c>
      <c r="M853">
        <v>21.87</v>
      </c>
      <c r="O853" s="79">
        <f>IFERROR(VLOOKUP(D853,'KAPANAN BLD.'!$C$2:$D$793,2,FALSE),0)</f>
        <v>0</v>
      </c>
      <c r="P853" s="79">
        <v>0</v>
      </c>
    </row>
    <row r="854" spans="1:16" x14ac:dyDescent="0.25">
      <c r="A854" t="s">
        <v>32</v>
      </c>
      <c r="B854" s="73" t="str">
        <f t="shared" si="20"/>
        <v>EZİNE</v>
      </c>
      <c r="C854" t="s">
        <v>55</v>
      </c>
      <c r="D854" s="73" t="str">
        <f t="shared" si="21"/>
        <v>EZİNE/ÇANAKKALE</v>
      </c>
      <c r="E854" s="9" t="s">
        <v>218</v>
      </c>
      <c r="F854" s="9" t="s">
        <v>218</v>
      </c>
      <c r="G854" t="s">
        <v>3366</v>
      </c>
      <c r="H854">
        <v>532.9</v>
      </c>
      <c r="I854">
        <v>53.29</v>
      </c>
      <c r="J854">
        <v>312.3</v>
      </c>
      <c r="K854">
        <v>31.23</v>
      </c>
      <c r="L854">
        <v>220.6</v>
      </c>
      <c r="M854">
        <v>22.06</v>
      </c>
      <c r="O854" s="79">
        <f>IFERROR(VLOOKUP(D854,'KAPANAN BLD.'!$C$2:$D$793,2,FALSE),0)</f>
        <v>0</v>
      </c>
      <c r="P854" s="79">
        <v>0</v>
      </c>
    </row>
    <row r="855" spans="1:16" x14ac:dyDescent="0.25">
      <c r="A855" t="s">
        <v>32</v>
      </c>
      <c r="B855" s="73" t="str">
        <f t="shared" si="20"/>
        <v>MERKEZ</v>
      </c>
      <c r="C855" t="s">
        <v>55</v>
      </c>
      <c r="D855" s="73" t="str">
        <f t="shared" si="21"/>
        <v>MERKEZ/ÇANAKKALE</v>
      </c>
      <c r="E855" t="s">
        <v>34</v>
      </c>
      <c r="F855" t="s">
        <v>34</v>
      </c>
      <c r="G855" t="s">
        <v>3367</v>
      </c>
      <c r="H855">
        <v>14398.5</v>
      </c>
      <c r="I855">
        <v>1439.85</v>
      </c>
      <c r="J855">
        <v>4578.6000000000004</v>
      </c>
      <c r="K855">
        <v>457.86</v>
      </c>
      <c r="L855">
        <v>9819.9</v>
      </c>
      <c r="M855">
        <v>981.99</v>
      </c>
      <c r="O855" s="79">
        <f>IFERROR(VLOOKUP(D855,'KAPANAN BLD.'!$C$2:$D$793,2,FALSE),0)</f>
        <v>0</v>
      </c>
      <c r="P855" s="79">
        <v>0</v>
      </c>
    </row>
    <row r="856" spans="1:16" x14ac:dyDescent="0.25">
      <c r="A856" t="s">
        <v>32</v>
      </c>
      <c r="B856" s="73" t="str">
        <f t="shared" si="20"/>
        <v>MERKEZ</v>
      </c>
      <c r="C856" t="s">
        <v>55</v>
      </c>
      <c r="D856" s="73" t="str">
        <f t="shared" si="21"/>
        <v>MERKEZ/ÇANAKKALE</v>
      </c>
      <c r="E856" t="s">
        <v>34</v>
      </c>
      <c r="F856" t="s">
        <v>34</v>
      </c>
      <c r="G856" t="s">
        <v>3366</v>
      </c>
      <c r="H856">
        <v>13044.9</v>
      </c>
      <c r="I856">
        <v>1304.49</v>
      </c>
      <c r="J856">
        <v>3803.9</v>
      </c>
      <c r="K856">
        <v>380.39</v>
      </c>
      <c r="L856">
        <v>9241</v>
      </c>
      <c r="M856">
        <v>924.1</v>
      </c>
      <c r="O856" s="79">
        <f>IFERROR(VLOOKUP(D856,'KAPANAN BLD.'!$C$2:$D$793,2,FALSE),0)</f>
        <v>0</v>
      </c>
      <c r="P856" s="79">
        <v>0</v>
      </c>
    </row>
    <row r="857" spans="1:16" x14ac:dyDescent="0.25">
      <c r="A857" t="s">
        <v>32</v>
      </c>
      <c r="B857" s="73" t="str">
        <f t="shared" si="20"/>
        <v>MERKEZ</v>
      </c>
      <c r="C857" t="s">
        <v>55</v>
      </c>
      <c r="D857" s="73" t="str">
        <f t="shared" si="21"/>
        <v>MERKEZ/ÇANAKKALE</v>
      </c>
      <c r="E857" t="s">
        <v>34</v>
      </c>
      <c r="F857" t="s">
        <v>34</v>
      </c>
      <c r="G857" t="s">
        <v>3366</v>
      </c>
      <c r="H857">
        <v>10592.1</v>
      </c>
      <c r="I857">
        <v>1059.21</v>
      </c>
      <c r="J857">
        <v>24223.5</v>
      </c>
      <c r="K857">
        <v>2422.35</v>
      </c>
      <c r="L857">
        <v>-13631.4</v>
      </c>
      <c r="M857">
        <v>-1363.14</v>
      </c>
      <c r="O857" s="79">
        <f>IFERROR(VLOOKUP(D857,'KAPANAN BLD.'!$C$2:$D$793,2,FALSE),0)</f>
        <v>0</v>
      </c>
      <c r="P857" s="79">
        <v>0</v>
      </c>
    </row>
    <row r="858" spans="1:16" x14ac:dyDescent="0.25">
      <c r="A858" t="s">
        <v>32</v>
      </c>
      <c r="B858" s="73" t="str">
        <f t="shared" si="20"/>
        <v>MERKEZ</v>
      </c>
      <c r="C858" t="s">
        <v>55</v>
      </c>
      <c r="D858" s="73" t="str">
        <f t="shared" si="21"/>
        <v>MERKEZ/ÇANAKKALE</v>
      </c>
      <c r="E858" t="s">
        <v>34</v>
      </c>
      <c r="F858" t="s">
        <v>34</v>
      </c>
      <c r="G858" t="s">
        <v>3367</v>
      </c>
      <c r="H858">
        <v>2995.3</v>
      </c>
      <c r="I858">
        <v>299.52999999999997</v>
      </c>
      <c r="J858">
        <v>4364.8</v>
      </c>
      <c r="K858">
        <v>436.48</v>
      </c>
      <c r="L858">
        <v>-1369.5</v>
      </c>
      <c r="M858">
        <v>-136.94999999999999</v>
      </c>
      <c r="O858" s="79">
        <f>IFERROR(VLOOKUP(D858,'KAPANAN BLD.'!$C$2:$D$793,2,FALSE),0)</f>
        <v>0</v>
      </c>
      <c r="P858" s="79">
        <v>0</v>
      </c>
    </row>
    <row r="859" spans="1:16" x14ac:dyDescent="0.25">
      <c r="A859" t="s">
        <v>32</v>
      </c>
      <c r="B859" s="73" t="str">
        <f t="shared" si="20"/>
        <v>YENİCE</v>
      </c>
      <c r="C859" t="s">
        <v>55</v>
      </c>
      <c r="D859" s="73" t="str">
        <f t="shared" si="21"/>
        <v>YENİCE/ÇANAKKALE</v>
      </c>
      <c r="E859" s="9" t="s">
        <v>90</v>
      </c>
      <c r="F859" s="9" t="s">
        <v>90</v>
      </c>
      <c r="G859" t="s">
        <v>3367</v>
      </c>
      <c r="H859">
        <v>160.30000000000001</v>
      </c>
      <c r="I859">
        <v>16.03</v>
      </c>
      <c r="J859">
        <v>0</v>
      </c>
      <c r="K859">
        <v>0</v>
      </c>
      <c r="L859">
        <v>160.30000000000001</v>
      </c>
      <c r="M859">
        <v>16.03</v>
      </c>
      <c r="O859" s="79">
        <f>IFERROR(VLOOKUP(D859,'KAPANAN BLD.'!$C$2:$D$793,2,FALSE),0)</f>
        <v>0</v>
      </c>
      <c r="P859" s="79">
        <v>0</v>
      </c>
    </row>
    <row r="860" spans="1:16" x14ac:dyDescent="0.25">
      <c r="A860" t="s">
        <v>32</v>
      </c>
      <c r="B860" s="73" t="str">
        <f t="shared" si="20"/>
        <v>ÇAN</v>
      </c>
      <c r="C860" t="s">
        <v>55</v>
      </c>
      <c r="D860" s="73" t="str">
        <f t="shared" si="21"/>
        <v>ÇAN/ÇANAKKALE</v>
      </c>
      <c r="E860" s="9" t="s">
        <v>341</v>
      </c>
      <c r="F860" s="9" t="s">
        <v>341</v>
      </c>
      <c r="G860" t="s">
        <v>3367</v>
      </c>
      <c r="H860">
        <v>186.4</v>
      </c>
      <c r="I860">
        <v>18.64</v>
      </c>
      <c r="J860">
        <v>45</v>
      </c>
      <c r="K860">
        <v>4.5</v>
      </c>
      <c r="L860">
        <v>141.4</v>
      </c>
      <c r="M860">
        <v>14.14</v>
      </c>
      <c r="O860" s="79">
        <f>IFERROR(VLOOKUP(D860,'KAPANAN BLD.'!$C$2:$D$793,2,FALSE),0)</f>
        <v>0</v>
      </c>
      <c r="P860" s="79">
        <v>0</v>
      </c>
    </row>
    <row r="861" spans="1:16" x14ac:dyDescent="0.25">
      <c r="A861" t="s">
        <v>32</v>
      </c>
      <c r="B861" s="73" t="str">
        <f t="shared" si="20"/>
        <v>ÇAN</v>
      </c>
      <c r="C861" t="s">
        <v>55</v>
      </c>
      <c r="D861" s="73" t="str">
        <f t="shared" si="21"/>
        <v>ÇAN/ÇANAKKALE</v>
      </c>
      <c r="E861" s="9" t="s">
        <v>341</v>
      </c>
      <c r="F861" s="9" t="s">
        <v>341</v>
      </c>
      <c r="G861" t="s">
        <v>3366</v>
      </c>
      <c r="H861">
        <v>1172.2</v>
      </c>
      <c r="I861">
        <v>117.22</v>
      </c>
      <c r="J861">
        <v>402.8</v>
      </c>
      <c r="K861">
        <v>40.28</v>
      </c>
      <c r="L861">
        <v>769.4</v>
      </c>
      <c r="M861">
        <v>76.94</v>
      </c>
      <c r="O861" s="79">
        <f>IFERROR(VLOOKUP(D861,'KAPANAN BLD.'!$C$2:$D$793,2,FALSE),0)</f>
        <v>0</v>
      </c>
      <c r="P861" s="79">
        <v>0</v>
      </c>
    </row>
    <row r="862" spans="1:16" x14ac:dyDescent="0.25">
      <c r="A862" t="s">
        <v>32</v>
      </c>
      <c r="B862" s="73" t="str">
        <f t="shared" si="20"/>
        <v>LAPSEKİ</v>
      </c>
      <c r="C862" t="s">
        <v>55</v>
      </c>
      <c r="D862" s="73" t="str">
        <f t="shared" si="21"/>
        <v>LAPSEKİ/ÇANAKKALE</v>
      </c>
      <c r="E862" s="9" t="s">
        <v>541</v>
      </c>
      <c r="F862" s="9" t="s">
        <v>541</v>
      </c>
      <c r="G862" t="s">
        <v>3366</v>
      </c>
      <c r="H862">
        <v>484.3</v>
      </c>
      <c r="I862">
        <v>48.43</v>
      </c>
      <c r="J862">
        <v>0</v>
      </c>
      <c r="K862">
        <v>0</v>
      </c>
      <c r="L862">
        <v>484.3</v>
      </c>
      <c r="M862">
        <v>48.43</v>
      </c>
      <c r="O862" s="79">
        <f>IFERROR(VLOOKUP(D862,'KAPANAN BLD.'!$C$2:$D$793,2,FALSE),0)</f>
        <v>0</v>
      </c>
      <c r="P862" s="79">
        <v>0</v>
      </c>
    </row>
    <row r="863" spans="1:16" x14ac:dyDescent="0.25">
      <c r="A863" t="s">
        <v>32</v>
      </c>
      <c r="B863" s="73" t="str">
        <f t="shared" si="20"/>
        <v>LAPSEKİ</v>
      </c>
      <c r="C863" t="s">
        <v>55</v>
      </c>
      <c r="D863" s="73" t="str">
        <f t="shared" si="21"/>
        <v>LAPSEKİ/ÇANAKKALE</v>
      </c>
      <c r="E863" s="9" t="s">
        <v>541</v>
      </c>
      <c r="F863" s="9" t="s">
        <v>541</v>
      </c>
      <c r="G863" t="s">
        <v>3367</v>
      </c>
      <c r="H863">
        <v>598.20000000000005</v>
      </c>
      <c r="I863">
        <v>59.82</v>
      </c>
      <c r="J863">
        <v>0</v>
      </c>
      <c r="K863">
        <v>0</v>
      </c>
      <c r="L863">
        <v>598.20000000000005</v>
      </c>
      <c r="M863">
        <v>59.82</v>
      </c>
      <c r="O863" s="79">
        <f>IFERROR(VLOOKUP(D863,'KAPANAN BLD.'!$C$2:$D$793,2,FALSE),0)</f>
        <v>0</v>
      </c>
      <c r="P863" s="79">
        <v>0</v>
      </c>
    </row>
    <row r="864" spans="1:16" x14ac:dyDescent="0.25">
      <c r="A864" t="s">
        <v>32</v>
      </c>
      <c r="B864" s="73" t="str">
        <f t="shared" si="20"/>
        <v>BİGA</v>
      </c>
      <c r="C864" t="s">
        <v>55</v>
      </c>
      <c r="D864" s="73" t="str">
        <f t="shared" si="21"/>
        <v>BİGA/ÇANAKKALE</v>
      </c>
      <c r="E864" s="9" t="s">
        <v>153</v>
      </c>
      <c r="F864" s="9" t="s">
        <v>153</v>
      </c>
      <c r="G864" t="s">
        <v>3367</v>
      </c>
      <c r="H864">
        <v>555.70000000000005</v>
      </c>
      <c r="I864">
        <v>55.57</v>
      </c>
      <c r="J864">
        <v>30.7</v>
      </c>
      <c r="K864">
        <v>3.07</v>
      </c>
      <c r="L864">
        <v>525</v>
      </c>
      <c r="M864">
        <v>52.5</v>
      </c>
      <c r="O864" s="79">
        <f>IFERROR(VLOOKUP(D864,'KAPANAN BLD.'!$C$2:$D$793,2,FALSE),0)</f>
        <v>0</v>
      </c>
      <c r="P864" s="79">
        <v>0</v>
      </c>
    </row>
    <row r="865" spans="1:16" x14ac:dyDescent="0.25">
      <c r="A865" t="s">
        <v>32</v>
      </c>
      <c r="B865" s="73" t="str">
        <f t="shared" si="20"/>
        <v>BİGA</v>
      </c>
      <c r="C865" t="s">
        <v>55</v>
      </c>
      <c r="D865" s="73" t="str">
        <f t="shared" si="21"/>
        <v>BİGA/ÇANAKKALE</v>
      </c>
      <c r="E865" s="9" t="s">
        <v>153</v>
      </c>
      <c r="F865" s="9" t="s">
        <v>153</v>
      </c>
      <c r="G865" t="s">
        <v>3366</v>
      </c>
      <c r="H865">
        <v>2409.1</v>
      </c>
      <c r="I865">
        <v>240.91</v>
      </c>
      <c r="J865">
        <v>0</v>
      </c>
      <c r="K865">
        <v>0</v>
      </c>
      <c r="L865">
        <v>2409.1</v>
      </c>
      <c r="M865">
        <v>240.91</v>
      </c>
      <c r="O865" s="79">
        <f>IFERROR(VLOOKUP(D865,'KAPANAN BLD.'!$C$2:$D$793,2,FALSE),0)</f>
        <v>0</v>
      </c>
      <c r="P865" s="79">
        <v>0</v>
      </c>
    </row>
    <row r="866" spans="1:16" x14ac:dyDescent="0.25">
      <c r="A866" t="s">
        <v>32</v>
      </c>
      <c r="B866" s="73" t="str">
        <f t="shared" si="20"/>
        <v>ÇERKEŞ</v>
      </c>
      <c r="C866" t="s">
        <v>184</v>
      </c>
      <c r="D866" s="73" t="str">
        <f t="shared" si="21"/>
        <v>ÇERKEŞ/ÇANKIRI</v>
      </c>
      <c r="E866" t="s">
        <v>219</v>
      </c>
      <c r="F866" t="s">
        <v>219</v>
      </c>
      <c r="G866" t="s">
        <v>3367</v>
      </c>
      <c r="H866">
        <v>158</v>
      </c>
      <c r="I866">
        <v>15.8</v>
      </c>
      <c r="J866">
        <v>0</v>
      </c>
      <c r="K866">
        <v>0</v>
      </c>
      <c r="L866">
        <v>158</v>
      </c>
      <c r="M866">
        <v>15.8</v>
      </c>
      <c r="O866" s="79">
        <f>IFERROR(VLOOKUP(D866,'KAPANAN BLD.'!$C$2:$D$793,2,FALSE),0)</f>
        <v>0</v>
      </c>
      <c r="P866" s="79">
        <v>0</v>
      </c>
    </row>
    <row r="867" spans="1:16" x14ac:dyDescent="0.25">
      <c r="A867" t="s">
        <v>32</v>
      </c>
      <c r="B867" s="73" t="str">
        <f t="shared" si="20"/>
        <v>ÇERKEŞ</v>
      </c>
      <c r="C867" t="s">
        <v>184</v>
      </c>
      <c r="D867" s="73" t="str">
        <f t="shared" si="21"/>
        <v>ÇERKEŞ/ÇANKIRI</v>
      </c>
      <c r="E867" t="s">
        <v>219</v>
      </c>
      <c r="F867" t="s">
        <v>219</v>
      </c>
      <c r="G867" t="s">
        <v>3366</v>
      </c>
      <c r="H867">
        <v>565</v>
      </c>
      <c r="I867">
        <v>56.5</v>
      </c>
      <c r="J867">
        <v>0</v>
      </c>
      <c r="K867">
        <v>0</v>
      </c>
      <c r="L867">
        <v>565</v>
      </c>
      <c r="M867">
        <v>56.5</v>
      </c>
      <c r="O867" s="79">
        <f>IFERROR(VLOOKUP(D867,'KAPANAN BLD.'!$C$2:$D$793,2,FALSE),0)</f>
        <v>0</v>
      </c>
      <c r="P867" s="79">
        <v>0</v>
      </c>
    </row>
    <row r="868" spans="1:16" x14ac:dyDescent="0.25">
      <c r="A868" t="s">
        <v>32</v>
      </c>
      <c r="B868" s="73" t="str">
        <f t="shared" si="20"/>
        <v>ELDİVAN</v>
      </c>
      <c r="C868" t="s">
        <v>184</v>
      </c>
      <c r="D868" s="73" t="str">
        <f t="shared" si="21"/>
        <v>ELDİVAN/ÇANKIRI</v>
      </c>
      <c r="E868" t="s">
        <v>2311</v>
      </c>
      <c r="F868" t="s">
        <v>2311</v>
      </c>
      <c r="G868" t="s">
        <v>3366</v>
      </c>
      <c r="H868">
        <v>208.7</v>
      </c>
      <c r="I868">
        <v>20.87</v>
      </c>
      <c r="J868">
        <v>0</v>
      </c>
      <c r="K868">
        <v>0</v>
      </c>
      <c r="L868">
        <v>208.7</v>
      </c>
      <c r="M868">
        <v>20.87</v>
      </c>
      <c r="O868" s="79">
        <f>IFERROR(VLOOKUP(D868,'KAPANAN BLD.'!$C$2:$D$793,2,FALSE),0)</f>
        <v>0</v>
      </c>
      <c r="P868" s="79">
        <v>0</v>
      </c>
    </row>
    <row r="869" spans="1:16" x14ac:dyDescent="0.25">
      <c r="A869" t="s">
        <v>32</v>
      </c>
      <c r="B869" s="73" t="str">
        <f t="shared" si="20"/>
        <v>ELDİVAN</v>
      </c>
      <c r="C869" t="s">
        <v>184</v>
      </c>
      <c r="D869" s="73" t="str">
        <f t="shared" si="21"/>
        <v>ELDİVAN/ÇANKIRI</v>
      </c>
      <c r="E869" t="s">
        <v>2311</v>
      </c>
      <c r="F869" t="s">
        <v>2311</v>
      </c>
      <c r="G869" t="s">
        <v>3367</v>
      </c>
      <c r="H869">
        <v>122.8</v>
      </c>
      <c r="I869">
        <v>12.28</v>
      </c>
      <c r="J869">
        <v>0</v>
      </c>
      <c r="K869">
        <v>0</v>
      </c>
      <c r="L869">
        <v>122.8</v>
      </c>
      <c r="M869">
        <v>12.28</v>
      </c>
      <c r="O869" s="79">
        <f>IFERROR(VLOOKUP(D869,'KAPANAN BLD.'!$C$2:$D$793,2,FALSE),0)</f>
        <v>0</v>
      </c>
      <c r="P869" s="79">
        <v>0</v>
      </c>
    </row>
    <row r="870" spans="1:16" x14ac:dyDescent="0.25">
      <c r="A870" t="s">
        <v>32</v>
      </c>
      <c r="B870" s="73" t="str">
        <f t="shared" si="20"/>
        <v>ORTA</v>
      </c>
      <c r="C870" t="s">
        <v>184</v>
      </c>
      <c r="D870" s="73" t="str">
        <f t="shared" si="21"/>
        <v>ORTA/ÇANKIRI</v>
      </c>
      <c r="E870" s="9" t="s">
        <v>544</v>
      </c>
      <c r="F870" s="9" t="s">
        <v>544</v>
      </c>
      <c r="G870" t="s">
        <v>3367</v>
      </c>
      <c r="H870">
        <v>5.4</v>
      </c>
      <c r="I870">
        <v>0.54</v>
      </c>
      <c r="J870">
        <v>0</v>
      </c>
      <c r="K870">
        <v>0</v>
      </c>
      <c r="L870">
        <v>5.4</v>
      </c>
      <c r="M870">
        <v>0.54</v>
      </c>
      <c r="O870" s="79">
        <f>IFERROR(VLOOKUP(D870,'KAPANAN BLD.'!$C$2:$D$793,2,FALSE),0)</f>
        <v>0</v>
      </c>
      <c r="P870" s="79">
        <v>0</v>
      </c>
    </row>
    <row r="871" spans="1:16" x14ac:dyDescent="0.25">
      <c r="A871" t="s">
        <v>32</v>
      </c>
      <c r="B871" s="73" t="str">
        <f t="shared" ref="B871:B913" si="22">F871</f>
        <v>ORTA</v>
      </c>
      <c r="C871" t="s">
        <v>184</v>
      </c>
      <c r="D871" s="73" t="str">
        <f t="shared" si="21"/>
        <v>ORTA/ÇANKIRI</v>
      </c>
      <c r="E871" s="9" t="s">
        <v>544</v>
      </c>
      <c r="F871" s="9" t="s">
        <v>544</v>
      </c>
      <c r="G871" t="s">
        <v>3366</v>
      </c>
      <c r="H871">
        <v>103.3</v>
      </c>
      <c r="I871">
        <v>10.33</v>
      </c>
      <c r="J871">
        <v>0</v>
      </c>
      <c r="K871">
        <v>0</v>
      </c>
      <c r="L871">
        <v>103.3</v>
      </c>
      <c r="M871">
        <v>10.33</v>
      </c>
      <c r="O871" s="79">
        <f>IFERROR(VLOOKUP(D871,'KAPANAN BLD.'!$C$2:$D$793,2,FALSE),0)</f>
        <v>0</v>
      </c>
      <c r="P871" s="79">
        <v>0</v>
      </c>
    </row>
    <row r="872" spans="1:16" x14ac:dyDescent="0.25">
      <c r="A872" t="s">
        <v>32</v>
      </c>
      <c r="B872" s="73" t="str">
        <f t="shared" si="22"/>
        <v>ŞABANÖZÜ</v>
      </c>
      <c r="C872" t="s">
        <v>184</v>
      </c>
      <c r="D872" s="73" t="str">
        <f t="shared" si="21"/>
        <v>ŞABANÖZÜ/ÇANKIRI</v>
      </c>
      <c r="E872" s="9" t="s">
        <v>545</v>
      </c>
      <c r="F872" s="9" t="s">
        <v>545</v>
      </c>
      <c r="G872" t="s">
        <v>3367</v>
      </c>
      <c r="H872">
        <v>5.4</v>
      </c>
      <c r="I872">
        <v>0.54</v>
      </c>
      <c r="J872">
        <v>0</v>
      </c>
      <c r="K872">
        <v>0</v>
      </c>
      <c r="L872">
        <v>5.4</v>
      </c>
      <c r="M872">
        <v>0.54</v>
      </c>
      <c r="O872" s="79">
        <f>IFERROR(VLOOKUP(D872,'KAPANAN BLD.'!$C$2:$D$793,2,FALSE),0)</f>
        <v>0</v>
      </c>
      <c r="P872" s="79">
        <v>0</v>
      </c>
    </row>
    <row r="873" spans="1:16" x14ac:dyDescent="0.25">
      <c r="A873" t="s">
        <v>32</v>
      </c>
      <c r="B873" s="73" t="str">
        <f t="shared" si="22"/>
        <v>ŞABANÖZÜ</v>
      </c>
      <c r="C873" t="s">
        <v>184</v>
      </c>
      <c r="D873" s="73" t="str">
        <f t="shared" si="21"/>
        <v>ŞABANÖZÜ/ÇANKIRI</v>
      </c>
      <c r="E873" s="9" t="s">
        <v>545</v>
      </c>
      <c r="F873" s="9" t="s">
        <v>545</v>
      </c>
      <c r="G873" t="s">
        <v>3366</v>
      </c>
      <c r="H873">
        <v>103.3</v>
      </c>
      <c r="I873">
        <v>10.33</v>
      </c>
      <c r="J873">
        <v>0</v>
      </c>
      <c r="K873">
        <v>0</v>
      </c>
      <c r="L873">
        <v>103.3</v>
      </c>
      <c r="M873">
        <v>10.33</v>
      </c>
      <c r="O873" s="79">
        <f>IFERROR(VLOOKUP(D873,'KAPANAN BLD.'!$C$2:$D$793,2,FALSE),0)</f>
        <v>0</v>
      </c>
      <c r="P873" s="79">
        <v>0</v>
      </c>
    </row>
    <row r="874" spans="1:16" x14ac:dyDescent="0.25">
      <c r="A874" t="s">
        <v>32</v>
      </c>
      <c r="B874" s="73" t="str">
        <f t="shared" si="22"/>
        <v>MERKEZ</v>
      </c>
      <c r="C874" t="s">
        <v>184</v>
      </c>
      <c r="D874" s="73" t="str">
        <f t="shared" si="21"/>
        <v>MERKEZ/ÇANKIRI</v>
      </c>
      <c r="E874" t="s">
        <v>34</v>
      </c>
      <c r="F874" t="s">
        <v>34</v>
      </c>
      <c r="G874" t="s">
        <v>3366</v>
      </c>
      <c r="H874">
        <v>11323.2</v>
      </c>
      <c r="I874">
        <v>1132.32</v>
      </c>
      <c r="J874">
        <v>169.5</v>
      </c>
      <c r="K874">
        <v>16.95</v>
      </c>
      <c r="L874">
        <v>11153.7</v>
      </c>
      <c r="M874">
        <v>1115.3699999999999</v>
      </c>
      <c r="O874" s="79">
        <f>IFERROR(VLOOKUP(D874,'KAPANAN BLD.'!$C$2:$D$793,2,FALSE),0)</f>
        <v>0</v>
      </c>
      <c r="P874" s="79">
        <v>0</v>
      </c>
    </row>
    <row r="875" spans="1:16" x14ac:dyDescent="0.25">
      <c r="A875" t="s">
        <v>32</v>
      </c>
      <c r="B875" s="73" t="str">
        <f t="shared" si="22"/>
        <v>MERKEZ</v>
      </c>
      <c r="C875" t="s">
        <v>184</v>
      </c>
      <c r="D875" s="73" t="str">
        <f t="shared" si="21"/>
        <v>MERKEZ/ÇANKIRI</v>
      </c>
      <c r="E875" t="s">
        <v>34</v>
      </c>
      <c r="F875" t="s">
        <v>34</v>
      </c>
      <c r="G875" t="s">
        <v>3367</v>
      </c>
      <c r="H875">
        <v>1151</v>
      </c>
      <c r="I875">
        <v>115.1</v>
      </c>
      <c r="J875">
        <v>8.9</v>
      </c>
      <c r="K875">
        <v>0.89</v>
      </c>
      <c r="L875">
        <v>1142.0999999999999</v>
      </c>
      <c r="M875">
        <v>114.21</v>
      </c>
      <c r="O875" s="79">
        <f>IFERROR(VLOOKUP(D875,'KAPANAN BLD.'!$C$2:$D$793,2,FALSE),0)</f>
        <v>0</v>
      </c>
      <c r="P875" s="79">
        <v>0</v>
      </c>
    </row>
    <row r="876" spans="1:16" x14ac:dyDescent="0.25">
      <c r="A876" t="s">
        <v>32</v>
      </c>
      <c r="B876" s="73" t="str">
        <f t="shared" si="22"/>
        <v>ÇERKEŞ</v>
      </c>
      <c r="C876" t="s">
        <v>184</v>
      </c>
      <c r="D876" s="73" t="str">
        <f t="shared" si="21"/>
        <v>ÇERKEŞ/ÇANKIRI</v>
      </c>
      <c r="E876" s="9" t="s">
        <v>219</v>
      </c>
      <c r="F876" s="9" t="s">
        <v>219</v>
      </c>
      <c r="G876" t="s">
        <v>3366</v>
      </c>
      <c r="H876">
        <v>616.20000000000005</v>
      </c>
      <c r="I876">
        <v>61.62</v>
      </c>
      <c r="J876">
        <v>0</v>
      </c>
      <c r="K876">
        <v>0</v>
      </c>
      <c r="L876">
        <v>616.20000000000005</v>
      </c>
      <c r="M876">
        <v>61.62</v>
      </c>
      <c r="O876" s="79">
        <f>IFERROR(VLOOKUP(D876,'KAPANAN BLD.'!$C$2:$D$793,2,FALSE),0)</f>
        <v>0</v>
      </c>
      <c r="P876" s="79">
        <v>0</v>
      </c>
    </row>
    <row r="877" spans="1:16" x14ac:dyDescent="0.25">
      <c r="A877" t="s">
        <v>32</v>
      </c>
      <c r="B877" s="73" t="str">
        <f t="shared" si="22"/>
        <v>ÇERKEŞ</v>
      </c>
      <c r="C877" t="s">
        <v>184</v>
      </c>
      <c r="D877" s="73" t="str">
        <f t="shared" si="21"/>
        <v>ÇERKEŞ/ÇANKIRI</v>
      </c>
      <c r="E877" s="9" t="s">
        <v>219</v>
      </c>
      <c r="F877" s="9" t="s">
        <v>219</v>
      </c>
      <c r="G877" t="s">
        <v>3367</v>
      </c>
      <c r="H877">
        <v>1033</v>
      </c>
      <c r="I877">
        <v>103.3</v>
      </c>
      <c r="J877">
        <v>0</v>
      </c>
      <c r="K877">
        <v>0</v>
      </c>
      <c r="L877">
        <v>1033</v>
      </c>
      <c r="M877">
        <v>103.3</v>
      </c>
      <c r="O877" s="79">
        <f>IFERROR(VLOOKUP(D877,'KAPANAN BLD.'!$C$2:$D$793,2,FALSE),0)</f>
        <v>0</v>
      </c>
      <c r="P877" s="79">
        <v>0</v>
      </c>
    </row>
    <row r="878" spans="1:16" x14ac:dyDescent="0.25">
      <c r="A878" t="s">
        <v>32</v>
      </c>
      <c r="B878" s="73" t="str">
        <f t="shared" si="22"/>
        <v>ORTA</v>
      </c>
      <c r="C878" t="s">
        <v>184</v>
      </c>
      <c r="D878" s="73" t="str">
        <f t="shared" si="21"/>
        <v>ORTA/ÇANKIRI</v>
      </c>
      <c r="E878" s="9" t="s">
        <v>544</v>
      </c>
      <c r="F878" s="9" t="s">
        <v>544</v>
      </c>
      <c r="G878" t="s">
        <v>3366</v>
      </c>
      <c r="H878">
        <v>282.89999999999998</v>
      </c>
      <c r="I878">
        <v>28.29</v>
      </c>
      <c r="J878">
        <v>0</v>
      </c>
      <c r="K878">
        <v>0</v>
      </c>
      <c r="L878">
        <v>282.89999999999998</v>
      </c>
      <c r="M878">
        <v>28.29</v>
      </c>
      <c r="O878" s="79">
        <f>IFERROR(VLOOKUP(D878,'KAPANAN BLD.'!$C$2:$D$793,2,FALSE),0)</f>
        <v>0</v>
      </c>
      <c r="P878" s="79">
        <v>0</v>
      </c>
    </row>
    <row r="879" spans="1:16" x14ac:dyDescent="0.25">
      <c r="A879" t="s">
        <v>32</v>
      </c>
      <c r="B879" s="73" t="str">
        <f t="shared" si="22"/>
        <v>ORTA</v>
      </c>
      <c r="C879" t="s">
        <v>184</v>
      </c>
      <c r="D879" s="73" t="str">
        <f t="shared" si="21"/>
        <v>ORTA/ÇANKIRI</v>
      </c>
      <c r="E879" s="9" t="s">
        <v>544</v>
      </c>
      <c r="F879" s="9" t="s">
        <v>544</v>
      </c>
      <c r="G879" t="s">
        <v>3367</v>
      </c>
      <c r="H879">
        <v>508.7</v>
      </c>
      <c r="I879">
        <v>50.87</v>
      </c>
      <c r="J879">
        <v>0</v>
      </c>
      <c r="K879">
        <v>0</v>
      </c>
      <c r="L879">
        <v>508.7</v>
      </c>
      <c r="M879">
        <v>50.87</v>
      </c>
      <c r="O879" s="79">
        <f>IFERROR(VLOOKUP(D879,'KAPANAN BLD.'!$C$2:$D$793,2,FALSE),0)</f>
        <v>0</v>
      </c>
      <c r="P879" s="79">
        <v>0</v>
      </c>
    </row>
    <row r="880" spans="1:16" x14ac:dyDescent="0.25">
      <c r="A880" t="s">
        <v>32</v>
      </c>
      <c r="B880" s="73" t="str">
        <f t="shared" si="22"/>
        <v>ILGAZ</v>
      </c>
      <c r="C880" t="s">
        <v>184</v>
      </c>
      <c r="D880" s="73" t="str">
        <f t="shared" si="21"/>
        <v>ILGAZ/ÇANKIRI</v>
      </c>
      <c r="E880" s="9" t="s">
        <v>440</v>
      </c>
      <c r="F880" s="9" t="s">
        <v>440</v>
      </c>
      <c r="G880" t="s">
        <v>3366</v>
      </c>
      <c r="H880">
        <v>35.4</v>
      </c>
      <c r="I880">
        <v>3.54</v>
      </c>
      <c r="J880">
        <v>0</v>
      </c>
      <c r="K880">
        <v>0</v>
      </c>
      <c r="L880">
        <v>35.4</v>
      </c>
      <c r="M880">
        <v>3.54</v>
      </c>
      <c r="O880" s="79">
        <f>IFERROR(VLOOKUP(D880,'KAPANAN BLD.'!$C$2:$D$793,2,FALSE),0)</f>
        <v>0</v>
      </c>
      <c r="P880" s="79">
        <v>0</v>
      </c>
    </row>
    <row r="881" spans="1:16" x14ac:dyDescent="0.25">
      <c r="A881" t="s">
        <v>32</v>
      </c>
      <c r="B881" s="73" t="str">
        <f t="shared" si="22"/>
        <v>ILGAZ</v>
      </c>
      <c r="C881" t="s">
        <v>184</v>
      </c>
      <c r="D881" s="73" t="str">
        <f t="shared" si="21"/>
        <v>ILGAZ/ÇANKIRI</v>
      </c>
      <c r="E881" s="9" t="s">
        <v>440</v>
      </c>
      <c r="F881" s="9" t="s">
        <v>440</v>
      </c>
      <c r="G881" t="s">
        <v>3367</v>
      </c>
      <c r="H881">
        <v>58.9</v>
      </c>
      <c r="I881">
        <v>5.89</v>
      </c>
      <c r="J881">
        <v>0</v>
      </c>
      <c r="K881">
        <v>0</v>
      </c>
      <c r="L881">
        <v>58.9</v>
      </c>
      <c r="M881">
        <v>5.89</v>
      </c>
      <c r="O881" s="79">
        <f>IFERROR(VLOOKUP(D881,'KAPANAN BLD.'!$C$2:$D$793,2,FALSE),0)</f>
        <v>0</v>
      </c>
      <c r="P881" s="79">
        <v>0</v>
      </c>
    </row>
    <row r="882" spans="1:16" x14ac:dyDescent="0.25">
      <c r="A882" t="s">
        <v>32</v>
      </c>
      <c r="B882" s="73" t="str">
        <f t="shared" si="22"/>
        <v>SUNGURLU</v>
      </c>
      <c r="C882" t="s">
        <v>170</v>
      </c>
      <c r="D882" s="73" t="str">
        <f t="shared" si="21"/>
        <v>SUNGURLU/ÇORUM</v>
      </c>
      <c r="E882" s="9" t="s">
        <v>363</v>
      </c>
      <c r="F882" s="9" t="s">
        <v>363</v>
      </c>
      <c r="G882" t="s">
        <v>3367</v>
      </c>
      <c r="H882">
        <v>397.3</v>
      </c>
      <c r="I882">
        <v>39.729999999999997</v>
      </c>
      <c r="J882">
        <v>0</v>
      </c>
      <c r="K882">
        <v>0</v>
      </c>
      <c r="L882">
        <v>397.3</v>
      </c>
      <c r="M882">
        <v>39.729999999999997</v>
      </c>
      <c r="O882" s="79">
        <f>IFERROR(VLOOKUP(D882,'KAPANAN BLD.'!$C$2:$D$793,2,FALSE),0)</f>
        <v>0</v>
      </c>
      <c r="P882" s="79">
        <v>0</v>
      </c>
    </row>
    <row r="883" spans="1:16" x14ac:dyDescent="0.25">
      <c r="A883" t="s">
        <v>32</v>
      </c>
      <c r="B883" s="73" t="str">
        <f t="shared" si="22"/>
        <v>SUNGURLU</v>
      </c>
      <c r="C883" t="s">
        <v>170</v>
      </c>
      <c r="D883" s="73" t="str">
        <f t="shared" si="21"/>
        <v>SUNGURLU/ÇORUM</v>
      </c>
      <c r="E883" s="9" t="s">
        <v>363</v>
      </c>
      <c r="F883" s="9" t="s">
        <v>363</v>
      </c>
      <c r="G883" t="s">
        <v>3366</v>
      </c>
      <c r="H883">
        <v>1575.5</v>
      </c>
      <c r="I883">
        <v>157.55000000000001</v>
      </c>
      <c r="J883">
        <v>0</v>
      </c>
      <c r="K883">
        <v>0</v>
      </c>
      <c r="L883">
        <v>1575.5</v>
      </c>
      <c r="M883">
        <v>157.55000000000001</v>
      </c>
      <c r="O883" s="79">
        <f>IFERROR(VLOOKUP(D883,'KAPANAN BLD.'!$C$2:$D$793,2,FALSE),0)</f>
        <v>0</v>
      </c>
      <c r="P883" s="79">
        <v>0</v>
      </c>
    </row>
    <row r="884" spans="1:16" x14ac:dyDescent="0.25">
      <c r="A884" t="s">
        <v>32</v>
      </c>
      <c r="B884" s="73" t="str">
        <f t="shared" si="22"/>
        <v>DODURGA</v>
      </c>
      <c r="C884" t="s">
        <v>170</v>
      </c>
      <c r="D884" s="73" t="str">
        <f t="shared" si="21"/>
        <v>DODURGA/ÇORUM</v>
      </c>
      <c r="E884" t="s">
        <v>3264</v>
      </c>
      <c r="F884" t="s">
        <v>3264</v>
      </c>
      <c r="G884" t="s">
        <v>3366</v>
      </c>
      <c r="H884">
        <v>587.1</v>
      </c>
      <c r="I884">
        <v>58.71</v>
      </c>
      <c r="J884">
        <v>0</v>
      </c>
      <c r="K884">
        <v>0</v>
      </c>
      <c r="L884">
        <v>587.1</v>
      </c>
      <c r="M884">
        <v>58.71</v>
      </c>
      <c r="O884" s="79">
        <f>IFERROR(VLOOKUP(D884,'KAPANAN BLD.'!$C$2:$D$793,2,FALSE),0)</f>
        <v>0</v>
      </c>
      <c r="P884" s="79">
        <v>0</v>
      </c>
    </row>
    <row r="885" spans="1:16" x14ac:dyDescent="0.25">
      <c r="A885" t="s">
        <v>32</v>
      </c>
      <c r="B885" s="73" t="str">
        <f t="shared" si="22"/>
        <v>DODURGA</v>
      </c>
      <c r="C885" t="s">
        <v>170</v>
      </c>
      <c r="D885" s="73" t="str">
        <f t="shared" si="21"/>
        <v>DODURGA/ÇORUM</v>
      </c>
      <c r="E885" t="s">
        <v>3264</v>
      </c>
      <c r="F885" t="s">
        <v>3264</v>
      </c>
      <c r="G885" t="s">
        <v>3367</v>
      </c>
      <c r="H885">
        <v>110.2</v>
      </c>
      <c r="I885">
        <v>11.02</v>
      </c>
      <c r="J885">
        <v>0</v>
      </c>
      <c r="K885">
        <v>0</v>
      </c>
      <c r="L885">
        <v>110.2</v>
      </c>
      <c r="M885">
        <v>11.02</v>
      </c>
      <c r="O885" s="79">
        <f>IFERROR(VLOOKUP(D885,'KAPANAN BLD.'!$C$2:$D$793,2,FALSE),0)</f>
        <v>0</v>
      </c>
      <c r="P885" s="79">
        <v>0</v>
      </c>
    </row>
    <row r="886" spans="1:16" x14ac:dyDescent="0.25">
      <c r="A886" t="s">
        <v>32</v>
      </c>
      <c r="B886" s="73" t="str">
        <f t="shared" si="22"/>
        <v>MERKEZ</v>
      </c>
      <c r="C886" t="s">
        <v>170</v>
      </c>
      <c r="D886" s="73" t="str">
        <f t="shared" si="21"/>
        <v>MERKEZ/ÇORUM</v>
      </c>
      <c r="E886" s="9" t="s">
        <v>34</v>
      </c>
      <c r="F886" s="9" t="s">
        <v>34</v>
      </c>
      <c r="G886" t="s">
        <v>3366</v>
      </c>
      <c r="H886">
        <v>7802.3</v>
      </c>
      <c r="I886">
        <v>780.23</v>
      </c>
      <c r="J886">
        <v>3366.4</v>
      </c>
      <c r="K886">
        <v>336.64</v>
      </c>
      <c r="L886">
        <v>4435.8999999999996</v>
      </c>
      <c r="M886">
        <v>443.59</v>
      </c>
      <c r="O886" s="79">
        <f>IFERROR(VLOOKUP(D886,'KAPANAN BLD.'!$C$2:$D$793,2,FALSE),0)</f>
        <v>0</v>
      </c>
      <c r="P886" s="79">
        <v>0</v>
      </c>
    </row>
    <row r="887" spans="1:16" x14ac:dyDescent="0.25">
      <c r="A887" t="s">
        <v>32</v>
      </c>
      <c r="B887" s="73" t="str">
        <f t="shared" si="22"/>
        <v>MERKEZ</v>
      </c>
      <c r="C887" t="s">
        <v>170</v>
      </c>
      <c r="D887" s="73" t="str">
        <f t="shared" si="21"/>
        <v>MERKEZ/ÇORUM</v>
      </c>
      <c r="E887" s="9" t="s">
        <v>34</v>
      </c>
      <c r="F887" s="9" t="s">
        <v>34</v>
      </c>
      <c r="G887" t="s">
        <v>3367</v>
      </c>
      <c r="H887">
        <v>7162.8</v>
      </c>
      <c r="I887">
        <v>716.28</v>
      </c>
      <c r="J887">
        <v>2249.8000000000002</v>
      </c>
      <c r="K887">
        <v>224.98</v>
      </c>
      <c r="L887">
        <v>4913</v>
      </c>
      <c r="M887">
        <v>491.3</v>
      </c>
      <c r="O887" s="79">
        <f>IFERROR(VLOOKUP(D887,'KAPANAN BLD.'!$C$2:$D$793,2,FALSE),0)</f>
        <v>0</v>
      </c>
      <c r="P887" s="79">
        <v>0</v>
      </c>
    </row>
    <row r="888" spans="1:16" x14ac:dyDescent="0.25">
      <c r="A888" t="s">
        <v>32</v>
      </c>
      <c r="B888" s="73" t="str">
        <f t="shared" si="22"/>
        <v>MECİTÖZÜ</v>
      </c>
      <c r="C888" t="s">
        <v>170</v>
      </c>
      <c r="D888" s="73" t="str">
        <f t="shared" si="21"/>
        <v>MECİTÖZÜ/ÇORUM</v>
      </c>
      <c r="E888" s="9" t="s">
        <v>548</v>
      </c>
      <c r="F888" s="9" t="s">
        <v>548</v>
      </c>
      <c r="G888" t="s">
        <v>3367</v>
      </c>
      <c r="H888">
        <v>45</v>
      </c>
      <c r="I888">
        <v>4.5</v>
      </c>
      <c r="J888">
        <v>0</v>
      </c>
      <c r="K888">
        <v>0</v>
      </c>
      <c r="L888">
        <v>45</v>
      </c>
      <c r="M888">
        <v>4.5</v>
      </c>
      <c r="O888" s="79">
        <f>IFERROR(VLOOKUP(D888,'KAPANAN BLD.'!$C$2:$D$793,2,FALSE),0)</f>
        <v>0</v>
      </c>
      <c r="P888" s="79">
        <v>0</v>
      </c>
    </row>
    <row r="889" spans="1:16" x14ac:dyDescent="0.25">
      <c r="A889" t="s">
        <v>32</v>
      </c>
      <c r="B889" s="73" t="str">
        <f t="shared" si="22"/>
        <v>MECİTÖZÜ</v>
      </c>
      <c r="C889" t="s">
        <v>170</v>
      </c>
      <c r="D889" s="73" t="str">
        <f t="shared" si="21"/>
        <v>MECİTÖZÜ/ÇORUM</v>
      </c>
      <c r="E889" s="9" t="s">
        <v>548</v>
      </c>
      <c r="F889" s="9" t="s">
        <v>548</v>
      </c>
      <c r="G889" t="s">
        <v>3366</v>
      </c>
      <c r="H889">
        <v>402.8</v>
      </c>
      <c r="I889">
        <v>40.28</v>
      </c>
      <c r="J889">
        <v>0</v>
      </c>
      <c r="K889">
        <v>0</v>
      </c>
      <c r="L889">
        <v>402.8</v>
      </c>
      <c r="M889">
        <v>40.28</v>
      </c>
      <c r="O889" s="79">
        <f>IFERROR(VLOOKUP(D889,'KAPANAN BLD.'!$C$2:$D$793,2,FALSE),0)</f>
        <v>0</v>
      </c>
      <c r="P889" s="79">
        <v>0</v>
      </c>
    </row>
    <row r="890" spans="1:16" x14ac:dyDescent="0.25">
      <c r="A890" t="s">
        <v>32</v>
      </c>
      <c r="B890" s="73" t="str">
        <f t="shared" si="22"/>
        <v>İSKİLİP</v>
      </c>
      <c r="C890" t="s">
        <v>170</v>
      </c>
      <c r="D890" s="73" t="str">
        <f t="shared" si="21"/>
        <v>İSKİLİP/ÇORUM</v>
      </c>
      <c r="E890" t="s">
        <v>546</v>
      </c>
      <c r="F890" t="s">
        <v>546</v>
      </c>
      <c r="G890" t="s">
        <v>3366</v>
      </c>
      <c r="H890">
        <v>402.8</v>
      </c>
      <c r="I890">
        <v>40.28</v>
      </c>
      <c r="J890">
        <v>0</v>
      </c>
      <c r="K890">
        <v>0</v>
      </c>
      <c r="L890">
        <v>402.8</v>
      </c>
      <c r="M890">
        <v>40.28</v>
      </c>
      <c r="O890" s="79">
        <f>IFERROR(VLOOKUP(D890,'KAPANAN BLD.'!$C$2:$D$793,2,FALSE),0)</f>
        <v>0</v>
      </c>
      <c r="P890" s="79">
        <v>0</v>
      </c>
    </row>
    <row r="891" spans="1:16" x14ac:dyDescent="0.25">
      <c r="A891" t="s">
        <v>32</v>
      </c>
      <c r="B891" s="73" t="str">
        <f t="shared" si="22"/>
        <v>İSKİLİP</v>
      </c>
      <c r="C891" t="s">
        <v>170</v>
      </c>
      <c r="D891" s="73" t="str">
        <f t="shared" si="21"/>
        <v>İSKİLİP/ÇORUM</v>
      </c>
      <c r="E891" t="s">
        <v>546</v>
      </c>
      <c r="F891" t="s">
        <v>546</v>
      </c>
      <c r="G891" t="s">
        <v>3367</v>
      </c>
      <c r="H891">
        <v>45</v>
      </c>
      <c r="I891">
        <v>4.5</v>
      </c>
      <c r="J891">
        <v>0</v>
      </c>
      <c r="K891">
        <v>0</v>
      </c>
      <c r="L891">
        <v>45</v>
      </c>
      <c r="M891">
        <v>4.5</v>
      </c>
      <c r="O891" s="79">
        <f>IFERROR(VLOOKUP(D891,'KAPANAN BLD.'!$C$2:$D$793,2,FALSE),0)</f>
        <v>0</v>
      </c>
      <c r="P891" s="79">
        <v>0</v>
      </c>
    </row>
    <row r="892" spans="1:16" x14ac:dyDescent="0.25">
      <c r="A892" t="s">
        <v>32</v>
      </c>
      <c r="B892" s="73" t="str">
        <f t="shared" si="22"/>
        <v>KARGI</v>
      </c>
      <c r="C892" t="s">
        <v>170</v>
      </c>
      <c r="D892" s="73" t="str">
        <f t="shared" si="21"/>
        <v>KARGI/ÇORUM</v>
      </c>
      <c r="E892" t="s">
        <v>547</v>
      </c>
      <c r="F892" t="s">
        <v>547</v>
      </c>
      <c r="G892" t="s">
        <v>3366</v>
      </c>
      <c r="H892">
        <v>69.7</v>
      </c>
      <c r="I892">
        <v>6.97</v>
      </c>
      <c r="J892">
        <v>0</v>
      </c>
      <c r="K892">
        <v>0</v>
      </c>
      <c r="L892">
        <v>69.7</v>
      </c>
      <c r="M892">
        <v>6.97</v>
      </c>
      <c r="O892" s="79">
        <f>IFERROR(VLOOKUP(D892,'KAPANAN BLD.'!$C$2:$D$793,2,FALSE),0)</f>
        <v>0</v>
      </c>
      <c r="P892" s="79">
        <v>0</v>
      </c>
    </row>
    <row r="893" spans="1:16" x14ac:dyDescent="0.25">
      <c r="A893" t="s">
        <v>32</v>
      </c>
      <c r="B893" s="73" t="str">
        <f t="shared" si="22"/>
        <v>KARGI</v>
      </c>
      <c r="C893" t="s">
        <v>170</v>
      </c>
      <c r="D893" s="73" t="str">
        <f t="shared" si="21"/>
        <v>KARGI/ÇORUM</v>
      </c>
      <c r="E893" t="s">
        <v>547</v>
      </c>
      <c r="F893" t="s">
        <v>547</v>
      </c>
      <c r="G893" t="s">
        <v>3367</v>
      </c>
      <c r="H893">
        <v>130.80000000000001</v>
      </c>
      <c r="I893">
        <v>13.08</v>
      </c>
      <c r="J893">
        <v>0</v>
      </c>
      <c r="K893">
        <v>0</v>
      </c>
      <c r="L893">
        <v>130.80000000000001</v>
      </c>
      <c r="M893">
        <v>13.08</v>
      </c>
      <c r="O893" s="79">
        <f>IFERROR(VLOOKUP(D893,'KAPANAN BLD.'!$C$2:$D$793,2,FALSE),0)</f>
        <v>0</v>
      </c>
      <c r="P893" s="79">
        <v>0</v>
      </c>
    </row>
    <row r="894" spans="1:16" x14ac:dyDescent="0.25">
      <c r="A894" t="s">
        <v>32</v>
      </c>
      <c r="B894" s="73" t="str">
        <f t="shared" si="22"/>
        <v>SUNGURLU</v>
      </c>
      <c r="C894" t="s">
        <v>170</v>
      </c>
      <c r="D894" s="73" t="str">
        <f t="shared" si="21"/>
        <v>SUNGURLU/ÇORUM</v>
      </c>
      <c r="E894" s="9" t="s">
        <v>363</v>
      </c>
      <c r="F894" s="9" t="s">
        <v>363</v>
      </c>
      <c r="G894" t="s">
        <v>3367</v>
      </c>
      <c r="H894">
        <v>297</v>
      </c>
      <c r="I894">
        <v>29.7</v>
      </c>
      <c r="J894">
        <v>0</v>
      </c>
      <c r="K894">
        <v>0</v>
      </c>
      <c r="L894">
        <v>297</v>
      </c>
      <c r="M894">
        <v>29.7</v>
      </c>
      <c r="O894" s="79">
        <f>IFERROR(VLOOKUP(D894,'KAPANAN BLD.'!$C$2:$D$793,2,FALSE),0)</f>
        <v>0</v>
      </c>
      <c r="P894" s="79">
        <v>0</v>
      </c>
    </row>
    <row r="895" spans="1:16" x14ac:dyDescent="0.25">
      <c r="A895" t="s">
        <v>32</v>
      </c>
      <c r="B895" s="73" t="str">
        <f t="shared" si="22"/>
        <v>SUNGURLU</v>
      </c>
      <c r="C895" t="s">
        <v>170</v>
      </c>
      <c r="D895" s="73" t="str">
        <f t="shared" si="21"/>
        <v>SUNGURLU/ÇORUM</v>
      </c>
      <c r="E895" s="9" t="s">
        <v>363</v>
      </c>
      <c r="F895" s="9" t="s">
        <v>363</v>
      </c>
      <c r="G895" t="s">
        <v>3366</v>
      </c>
      <c r="H895">
        <v>262.3</v>
      </c>
      <c r="I895">
        <v>26.23</v>
      </c>
      <c r="J895">
        <v>0</v>
      </c>
      <c r="K895">
        <v>0</v>
      </c>
      <c r="L895">
        <v>262.3</v>
      </c>
      <c r="M895">
        <v>26.23</v>
      </c>
      <c r="O895" s="79">
        <f>IFERROR(VLOOKUP(D895,'KAPANAN BLD.'!$C$2:$D$793,2,FALSE),0)</f>
        <v>0</v>
      </c>
      <c r="P895" s="79">
        <v>0</v>
      </c>
    </row>
    <row r="896" spans="1:16" x14ac:dyDescent="0.25">
      <c r="A896" t="s">
        <v>32</v>
      </c>
      <c r="B896" s="73" t="str">
        <f t="shared" si="22"/>
        <v>MERKEZ</v>
      </c>
      <c r="C896" t="s">
        <v>170</v>
      </c>
      <c r="D896" s="73" t="str">
        <f t="shared" si="21"/>
        <v>MERKEZ/ÇORUM</v>
      </c>
      <c r="E896" s="9" t="s">
        <v>34</v>
      </c>
      <c r="F896" s="9" t="s">
        <v>34</v>
      </c>
      <c r="G896" t="s">
        <v>3366</v>
      </c>
      <c r="H896">
        <v>2378.4</v>
      </c>
      <c r="I896">
        <v>237.84</v>
      </c>
      <c r="J896">
        <v>0</v>
      </c>
      <c r="K896">
        <v>0</v>
      </c>
      <c r="L896">
        <v>2378.4</v>
      </c>
      <c r="M896">
        <v>237.84</v>
      </c>
      <c r="O896" s="79">
        <f>IFERROR(VLOOKUP(D896,'KAPANAN BLD.'!$C$2:$D$793,2,FALSE),0)</f>
        <v>0</v>
      </c>
      <c r="P896" s="79">
        <v>0</v>
      </c>
    </row>
    <row r="897" spans="1:16" x14ac:dyDescent="0.25">
      <c r="A897" t="s">
        <v>32</v>
      </c>
      <c r="B897" s="73" t="str">
        <f t="shared" si="22"/>
        <v>MERKEZ</v>
      </c>
      <c r="C897" t="s">
        <v>170</v>
      </c>
      <c r="D897" s="73" t="str">
        <f t="shared" si="21"/>
        <v>MERKEZ/ÇORUM</v>
      </c>
      <c r="E897" s="9" t="s">
        <v>34</v>
      </c>
      <c r="F897" s="9" t="s">
        <v>34</v>
      </c>
      <c r="G897" t="s">
        <v>3367</v>
      </c>
      <c r="H897">
        <v>4328.3999999999996</v>
      </c>
      <c r="I897">
        <v>432.84</v>
      </c>
      <c r="J897">
        <v>124.4</v>
      </c>
      <c r="K897">
        <v>12.44</v>
      </c>
      <c r="L897">
        <v>4204</v>
      </c>
      <c r="M897">
        <v>420.4</v>
      </c>
      <c r="O897" s="79">
        <f>IFERROR(VLOOKUP(D897,'KAPANAN BLD.'!$C$2:$D$793,2,FALSE),0)</f>
        <v>0</v>
      </c>
      <c r="P897" s="79">
        <v>0</v>
      </c>
    </row>
    <row r="898" spans="1:16" x14ac:dyDescent="0.25">
      <c r="A898" t="s">
        <v>32</v>
      </c>
      <c r="B898" s="73" t="str">
        <f t="shared" si="22"/>
        <v>MERKEZ</v>
      </c>
      <c r="C898" t="s">
        <v>170</v>
      </c>
      <c r="D898" s="73" t="str">
        <f t="shared" si="21"/>
        <v>MERKEZ/ÇORUM</v>
      </c>
      <c r="E898" t="s">
        <v>34</v>
      </c>
      <c r="F898" t="s">
        <v>34</v>
      </c>
      <c r="G898" t="s">
        <v>3367</v>
      </c>
      <c r="H898">
        <v>4340</v>
      </c>
      <c r="I898">
        <v>434</v>
      </c>
      <c r="J898">
        <v>622.5</v>
      </c>
      <c r="K898">
        <v>62.25</v>
      </c>
      <c r="L898">
        <v>3717.5</v>
      </c>
      <c r="M898">
        <v>371.75</v>
      </c>
      <c r="O898" s="79">
        <f>IFERROR(VLOOKUP(D898,'KAPANAN BLD.'!$C$2:$D$793,2,FALSE),0)</f>
        <v>0</v>
      </c>
      <c r="P898" s="79">
        <v>0</v>
      </c>
    </row>
    <row r="899" spans="1:16" x14ac:dyDescent="0.25">
      <c r="A899" t="s">
        <v>32</v>
      </c>
      <c r="B899" s="73" t="str">
        <f t="shared" si="22"/>
        <v>MERKEZ</v>
      </c>
      <c r="C899" t="s">
        <v>170</v>
      </c>
      <c r="D899" s="73" t="str">
        <f t="shared" ref="D899:D962" si="23">CONCATENATE(B899,"/",C899)</f>
        <v>MERKEZ/ÇORUM</v>
      </c>
      <c r="E899" t="s">
        <v>34</v>
      </c>
      <c r="F899" t="s">
        <v>34</v>
      </c>
      <c r="G899" t="s">
        <v>3366</v>
      </c>
      <c r="H899">
        <v>7539.4</v>
      </c>
      <c r="I899">
        <v>753.94</v>
      </c>
      <c r="J899">
        <v>2000.6</v>
      </c>
      <c r="K899">
        <v>200.06</v>
      </c>
      <c r="L899">
        <v>5538.8</v>
      </c>
      <c r="M899">
        <v>553.88</v>
      </c>
      <c r="O899" s="79">
        <f>IFERROR(VLOOKUP(D899,'KAPANAN BLD.'!$C$2:$D$793,2,FALSE),0)</f>
        <v>0</v>
      </c>
      <c r="P899" s="79">
        <v>0</v>
      </c>
    </row>
    <row r="900" spans="1:16" x14ac:dyDescent="0.25">
      <c r="A900" t="s">
        <v>32</v>
      </c>
      <c r="B900" s="73" t="str">
        <f t="shared" si="22"/>
        <v>MERKEZ</v>
      </c>
      <c r="C900" t="s">
        <v>170</v>
      </c>
      <c r="D900" s="73" t="str">
        <f t="shared" si="23"/>
        <v>MERKEZ/ÇORUM</v>
      </c>
      <c r="E900" t="s">
        <v>34</v>
      </c>
      <c r="F900" t="s">
        <v>34</v>
      </c>
      <c r="G900" t="s">
        <v>3366</v>
      </c>
      <c r="H900">
        <v>11615.18</v>
      </c>
      <c r="I900">
        <v>1161.52</v>
      </c>
      <c r="J900">
        <v>596.4</v>
      </c>
      <c r="K900">
        <v>59.64</v>
      </c>
      <c r="L900">
        <v>11018.78</v>
      </c>
      <c r="M900">
        <v>1101.8800000000001</v>
      </c>
      <c r="O900" s="79">
        <f>IFERROR(VLOOKUP(D900,'KAPANAN BLD.'!$C$2:$D$793,2,FALSE),0)</f>
        <v>0</v>
      </c>
      <c r="P900" s="79">
        <v>0</v>
      </c>
    </row>
    <row r="901" spans="1:16" x14ac:dyDescent="0.25">
      <c r="A901" t="s">
        <v>32</v>
      </c>
      <c r="B901" s="73" t="str">
        <f t="shared" si="22"/>
        <v>MERKEZ</v>
      </c>
      <c r="C901" t="s">
        <v>170</v>
      </c>
      <c r="D901" s="73" t="str">
        <f t="shared" si="23"/>
        <v>MERKEZ/ÇORUM</v>
      </c>
      <c r="E901" t="s">
        <v>34</v>
      </c>
      <c r="F901" t="s">
        <v>34</v>
      </c>
      <c r="G901" t="s">
        <v>3367</v>
      </c>
      <c r="H901">
        <v>12915.06</v>
      </c>
      <c r="I901">
        <v>1291.51</v>
      </c>
      <c r="J901">
        <v>5994.2</v>
      </c>
      <c r="K901">
        <v>599.41999999999996</v>
      </c>
      <c r="L901">
        <v>6920.86</v>
      </c>
      <c r="M901">
        <v>692.09</v>
      </c>
      <c r="O901" s="79">
        <f>IFERROR(VLOOKUP(D901,'KAPANAN BLD.'!$C$2:$D$793,2,FALSE),0)</f>
        <v>0</v>
      </c>
      <c r="P901" s="79">
        <v>0</v>
      </c>
    </row>
    <row r="902" spans="1:16" x14ac:dyDescent="0.25">
      <c r="A902" t="s">
        <v>32</v>
      </c>
      <c r="B902" s="73" t="str">
        <f t="shared" si="22"/>
        <v>OĞUZLAR</v>
      </c>
      <c r="C902" t="s">
        <v>170</v>
      </c>
      <c r="D902" s="73" t="str">
        <f t="shared" si="23"/>
        <v>OĞUZLAR/ÇORUM</v>
      </c>
      <c r="E902" t="s">
        <v>2821</v>
      </c>
      <c r="F902" t="s">
        <v>2821</v>
      </c>
      <c r="G902" t="s">
        <v>3366</v>
      </c>
      <c r="H902">
        <v>506.1</v>
      </c>
      <c r="I902">
        <v>50.61</v>
      </c>
      <c r="J902">
        <v>0</v>
      </c>
      <c r="K902">
        <v>0</v>
      </c>
      <c r="L902">
        <v>506.1</v>
      </c>
      <c r="M902">
        <v>50.61</v>
      </c>
      <c r="O902" s="79">
        <f>IFERROR(VLOOKUP(D902,'KAPANAN BLD.'!$C$2:$D$793,2,FALSE),0)</f>
        <v>0</v>
      </c>
      <c r="P902" s="79">
        <v>0</v>
      </c>
    </row>
    <row r="903" spans="1:16" x14ac:dyDescent="0.25">
      <c r="A903" t="s">
        <v>32</v>
      </c>
      <c r="B903" s="73" t="str">
        <f t="shared" si="22"/>
        <v>OĞUZLAR</v>
      </c>
      <c r="C903" t="s">
        <v>170</v>
      </c>
      <c r="D903" s="73" t="str">
        <f t="shared" si="23"/>
        <v>OĞUZLAR/ÇORUM</v>
      </c>
      <c r="E903" t="s">
        <v>2821</v>
      </c>
      <c r="F903" t="s">
        <v>2821</v>
      </c>
      <c r="G903" t="s">
        <v>3367</v>
      </c>
      <c r="H903">
        <v>50.4</v>
      </c>
      <c r="I903">
        <v>5.04</v>
      </c>
      <c r="J903">
        <v>0</v>
      </c>
      <c r="K903">
        <v>0</v>
      </c>
      <c r="L903">
        <v>50.4</v>
      </c>
      <c r="M903">
        <v>5.04</v>
      </c>
      <c r="O903" s="79">
        <f>IFERROR(VLOOKUP(D903,'KAPANAN BLD.'!$C$2:$D$793,2,FALSE),0)</f>
        <v>0</v>
      </c>
      <c r="P903" s="79">
        <v>0</v>
      </c>
    </row>
    <row r="904" spans="1:16" x14ac:dyDescent="0.25">
      <c r="A904" t="s">
        <v>32</v>
      </c>
      <c r="B904" s="73" t="str">
        <f t="shared" si="22"/>
        <v>OSMANCIK</v>
      </c>
      <c r="C904" t="s">
        <v>170</v>
      </c>
      <c r="D904" s="73" t="str">
        <f t="shared" si="23"/>
        <v>OSMANCIK/ÇORUM</v>
      </c>
      <c r="E904" t="s">
        <v>549</v>
      </c>
      <c r="F904" t="s">
        <v>549</v>
      </c>
      <c r="G904" t="s">
        <v>3367</v>
      </c>
      <c r="H904">
        <v>146.9</v>
      </c>
      <c r="I904">
        <v>14.69</v>
      </c>
      <c r="J904">
        <v>279</v>
      </c>
      <c r="K904">
        <v>27.9</v>
      </c>
      <c r="L904">
        <v>-132.1</v>
      </c>
      <c r="M904">
        <v>-13.21</v>
      </c>
      <c r="O904" s="79">
        <f>IFERROR(VLOOKUP(D904,'KAPANAN BLD.'!$C$2:$D$793,2,FALSE),0)</f>
        <v>0</v>
      </c>
      <c r="P904" s="79">
        <v>0</v>
      </c>
    </row>
    <row r="905" spans="1:16" x14ac:dyDescent="0.25">
      <c r="A905" t="s">
        <v>32</v>
      </c>
      <c r="B905" s="73" t="str">
        <f t="shared" si="22"/>
        <v>OSMANCIK</v>
      </c>
      <c r="C905" t="s">
        <v>170</v>
      </c>
      <c r="D905" s="73" t="str">
        <f t="shared" si="23"/>
        <v>OSMANCIK/ÇORUM</v>
      </c>
      <c r="E905" t="s">
        <v>549</v>
      </c>
      <c r="F905" t="s">
        <v>549</v>
      </c>
      <c r="G905" t="s">
        <v>3366</v>
      </c>
      <c r="H905">
        <v>402.8</v>
      </c>
      <c r="I905">
        <v>40.28</v>
      </c>
      <c r="J905">
        <v>524.4</v>
      </c>
      <c r="K905">
        <v>52.44</v>
      </c>
      <c r="L905">
        <v>-121.6</v>
      </c>
      <c r="M905">
        <v>-12.16</v>
      </c>
      <c r="O905" s="79">
        <f>IFERROR(VLOOKUP(D905,'KAPANAN BLD.'!$C$2:$D$793,2,FALSE),0)</f>
        <v>0</v>
      </c>
      <c r="P905" s="79">
        <v>0</v>
      </c>
    </row>
    <row r="906" spans="1:16" x14ac:dyDescent="0.25">
      <c r="A906" t="s">
        <v>32</v>
      </c>
      <c r="B906" s="73" t="str">
        <f t="shared" si="22"/>
        <v>OSMANCIK</v>
      </c>
      <c r="C906" t="s">
        <v>170</v>
      </c>
      <c r="D906" s="73" t="str">
        <f t="shared" si="23"/>
        <v>OSMANCIK/ÇORUM</v>
      </c>
      <c r="E906" t="s">
        <v>549</v>
      </c>
      <c r="F906" t="s">
        <v>549</v>
      </c>
      <c r="G906" t="s">
        <v>3367</v>
      </c>
      <c r="H906">
        <v>314.5</v>
      </c>
      <c r="I906">
        <v>31.45</v>
      </c>
      <c r="J906">
        <v>0</v>
      </c>
      <c r="K906">
        <v>0</v>
      </c>
      <c r="L906">
        <v>314.5</v>
      </c>
      <c r="M906">
        <v>31.45</v>
      </c>
      <c r="O906" s="79">
        <f>IFERROR(VLOOKUP(D906,'KAPANAN BLD.'!$C$2:$D$793,2,FALSE),0)</f>
        <v>0</v>
      </c>
      <c r="P906" s="79">
        <v>0</v>
      </c>
    </row>
    <row r="907" spans="1:16" x14ac:dyDescent="0.25">
      <c r="A907" t="s">
        <v>32</v>
      </c>
      <c r="B907" s="73" t="str">
        <f t="shared" si="22"/>
        <v>OSMANCIK</v>
      </c>
      <c r="C907" t="s">
        <v>170</v>
      </c>
      <c r="D907" s="73" t="str">
        <f t="shared" si="23"/>
        <v>OSMANCIK/ÇORUM</v>
      </c>
      <c r="E907" t="s">
        <v>549</v>
      </c>
      <c r="F907" t="s">
        <v>549</v>
      </c>
      <c r="G907" t="s">
        <v>3366</v>
      </c>
      <c r="H907">
        <v>1980.4</v>
      </c>
      <c r="I907">
        <v>198.04</v>
      </c>
      <c r="J907">
        <v>0</v>
      </c>
      <c r="K907">
        <v>0</v>
      </c>
      <c r="L907">
        <v>1980.4</v>
      </c>
      <c r="M907">
        <v>198.04</v>
      </c>
      <c r="O907" s="79">
        <f>IFERROR(VLOOKUP(D907,'KAPANAN BLD.'!$C$2:$D$793,2,FALSE),0)</f>
        <v>0</v>
      </c>
      <c r="P907" s="79">
        <v>0</v>
      </c>
    </row>
    <row r="908" spans="1:16" x14ac:dyDescent="0.25">
      <c r="A908" t="s">
        <v>32</v>
      </c>
      <c r="B908" s="73" t="str">
        <f t="shared" si="22"/>
        <v>SUNGURLU</v>
      </c>
      <c r="C908" t="s">
        <v>170</v>
      </c>
      <c r="D908" s="73" t="str">
        <f t="shared" si="23"/>
        <v>SUNGURLU/ÇORUM</v>
      </c>
      <c r="E908" t="s">
        <v>363</v>
      </c>
      <c r="F908" t="s">
        <v>363</v>
      </c>
      <c r="G908" t="s">
        <v>3367</v>
      </c>
      <c r="H908">
        <v>1989.1</v>
      </c>
      <c r="I908">
        <v>198.91</v>
      </c>
      <c r="J908">
        <v>0</v>
      </c>
      <c r="K908">
        <v>0</v>
      </c>
      <c r="L908">
        <v>1989.1</v>
      </c>
      <c r="M908">
        <v>198.91</v>
      </c>
      <c r="O908" s="79">
        <f>IFERROR(VLOOKUP(D908,'KAPANAN BLD.'!$C$2:$D$793,2,FALSE),0)</f>
        <v>0</v>
      </c>
      <c r="P908" s="79">
        <v>0</v>
      </c>
    </row>
    <row r="909" spans="1:16" x14ac:dyDescent="0.25">
      <c r="A909" t="s">
        <v>32</v>
      </c>
      <c r="B909" s="73" t="str">
        <f t="shared" si="22"/>
        <v>SUNGURLU</v>
      </c>
      <c r="C909" t="s">
        <v>170</v>
      </c>
      <c r="D909" s="73" t="str">
        <f t="shared" si="23"/>
        <v>SUNGURLU/ÇORUM</v>
      </c>
      <c r="E909" t="s">
        <v>363</v>
      </c>
      <c r="F909" t="s">
        <v>363</v>
      </c>
      <c r="G909" t="s">
        <v>3366</v>
      </c>
      <c r="H909">
        <v>1337</v>
      </c>
      <c r="I909">
        <v>133.69999999999999</v>
      </c>
      <c r="J909">
        <v>0</v>
      </c>
      <c r="K909">
        <v>0</v>
      </c>
      <c r="L909">
        <v>1337</v>
      </c>
      <c r="M909">
        <v>133.69999999999999</v>
      </c>
      <c r="O909" s="79">
        <f>IFERROR(VLOOKUP(D909,'KAPANAN BLD.'!$C$2:$D$793,2,FALSE),0)</f>
        <v>0</v>
      </c>
      <c r="P909" s="79">
        <v>0</v>
      </c>
    </row>
    <row r="910" spans="1:16" x14ac:dyDescent="0.25">
      <c r="A910" t="s">
        <v>32</v>
      </c>
      <c r="B910" s="73" t="str">
        <f t="shared" si="22"/>
        <v>SUNGURLU</v>
      </c>
      <c r="C910" t="s">
        <v>170</v>
      </c>
      <c r="D910" s="73" t="str">
        <f t="shared" si="23"/>
        <v>SUNGURLU/ÇORUM</v>
      </c>
      <c r="E910" t="s">
        <v>363</v>
      </c>
      <c r="F910" t="s">
        <v>363</v>
      </c>
      <c r="G910" t="s">
        <v>3366</v>
      </c>
      <c r="H910">
        <v>3919.2</v>
      </c>
      <c r="I910">
        <v>391.92</v>
      </c>
      <c r="J910">
        <v>0</v>
      </c>
      <c r="K910">
        <v>0</v>
      </c>
      <c r="L910">
        <v>3919.2</v>
      </c>
      <c r="M910">
        <v>391.92</v>
      </c>
      <c r="O910" s="79">
        <f>IFERROR(VLOOKUP(D910,'KAPANAN BLD.'!$C$2:$D$793,2,FALSE),0)</f>
        <v>0</v>
      </c>
      <c r="P910" s="79">
        <v>0</v>
      </c>
    </row>
    <row r="911" spans="1:16" x14ac:dyDescent="0.25">
      <c r="A911" t="s">
        <v>32</v>
      </c>
      <c r="B911" s="73" t="str">
        <f t="shared" si="22"/>
        <v>SUNGURLU</v>
      </c>
      <c r="C911" t="s">
        <v>170</v>
      </c>
      <c r="D911" s="73" t="str">
        <f t="shared" si="23"/>
        <v>SUNGURLU/ÇORUM</v>
      </c>
      <c r="E911" t="s">
        <v>363</v>
      </c>
      <c r="F911" t="s">
        <v>363</v>
      </c>
      <c r="G911" t="s">
        <v>3367</v>
      </c>
      <c r="H911">
        <v>110.4</v>
      </c>
      <c r="I911">
        <v>11.04</v>
      </c>
      <c r="J911">
        <v>0</v>
      </c>
      <c r="K911">
        <v>0</v>
      </c>
      <c r="L911">
        <v>110.4</v>
      </c>
      <c r="M911">
        <v>11.04</v>
      </c>
      <c r="O911" s="79">
        <f>IFERROR(VLOOKUP(D911,'KAPANAN BLD.'!$C$2:$D$793,2,FALSE),0)</f>
        <v>0</v>
      </c>
      <c r="P911" s="79">
        <v>0</v>
      </c>
    </row>
    <row r="912" spans="1:16" x14ac:dyDescent="0.25">
      <c r="A912" t="s">
        <v>32</v>
      </c>
      <c r="B912" s="73" t="str">
        <f t="shared" si="22"/>
        <v>SUNGURLU</v>
      </c>
      <c r="C912" t="s">
        <v>170</v>
      </c>
      <c r="D912" s="73" t="str">
        <f t="shared" si="23"/>
        <v>SUNGURLU/ÇORUM</v>
      </c>
      <c r="E912" s="9" t="s">
        <v>363</v>
      </c>
      <c r="F912" s="9" t="s">
        <v>363</v>
      </c>
      <c r="G912" t="s">
        <v>3366</v>
      </c>
      <c r="H912">
        <v>3043.6</v>
      </c>
      <c r="I912">
        <v>304.36</v>
      </c>
      <c r="J912">
        <v>0</v>
      </c>
      <c r="K912">
        <v>0</v>
      </c>
      <c r="L912">
        <v>3043.6</v>
      </c>
      <c r="M912">
        <v>304.36</v>
      </c>
      <c r="O912" s="79">
        <f>IFERROR(VLOOKUP(D912,'KAPANAN BLD.'!$C$2:$D$793,2,FALSE),0)</f>
        <v>0</v>
      </c>
      <c r="P912" s="79">
        <v>0</v>
      </c>
    </row>
    <row r="913" spans="1:16" x14ac:dyDescent="0.25">
      <c r="A913" t="s">
        <v>32</v>
      </c>
      <c r="B913" s="73" t="str">
        <f t="shared" si="22"/>
        <v>SUNGURLU</v>
      </c>
      <c r="C913" t="s">
        <v>170</v>
      </c>
      <c r="D913" s="73" t="str">
        <f t="shared" si="23"/>
        <v>SUNGURLU/ÇORUM</v>
      </c>
      <c r="E913" s="9" t="s">
        <v>363</v>
      </c>
      <c r="F913" s="9" t="s">
        <v>363</v>
      </c>
      <c r="G913" t="s">
        <v>3367</v>
      </c>
      <c r="H913">
        <v>2239.1999999999998</v>
      </c>
      <c r="I913">
        <v>223.92</v>
      </c>
      <c r="J913">
        <v>0</v>
      </c>
      <c r="K913">
        <v>0</v>
      </c>
      <c r="L913">
        <v>2239.1999999999998</v>
      </c>
      <c r="M913">
        <v>223.92</v>
      </c>
      <c r="O913" s="79">
        <f>IFERROR(VLOOKUP(D913,'KAPANAN BLD.'!$C$2:$D$793,2,FALSE),0)</f>
        <v>0</v>
      </c>
      <c r="P913" s="79">
        <v>0</v>
      </c>
    </row>
    <row r="914" spans="1:16" x14ac:dyDescent="0.25">
      <c r="A914" t="s">
        <v>32</v>
      </c>
      <c r="B914" s="73" t="str">
        <f>VLOOKUP(C914,'Büyükşehir List'!$C$2:$D$31,2,FALSE)</f>
        <v>DENİZLİ BÜYÜKŞEHİR</v>
      </c>
      <c r="C914" t="s">
        <v>57</v>
      </c>
      <c r="D914" s="73" t="str">
        <f t="shared" si="23"/>
        <v>DENİZLİ BÜYÜKŞEHİR/DENİZLİ</v>
      </c>
      <c r="E914" t="s">
        <v>649</v>
      </c>
      <c r="F914" t="s">
        <v>649</v>
      </c>
      <c r="G914" t="s">
        <v>3367</v>
      </c>
      <c r="H914">
        <v>2.7</v>
      </c>
      <c r="I914">
        <v>0.27</v>
      </c>
      <c r="J914">
        <v>0</v>
      </c>
      <c r="K914">
        <v>0</v>
      </c>
      <c r="L914">
        <v>2.7</v>
      </c>
      <c r="M914">
        <v>0.27</v>
      </c>
      <c r="O914" s="79">
        <f>IFERROR(VLOOKUP(D914,'KAPANAN BLD.'!$C$2:$D$793,2,FALSE),0)</f>
        <v>0</v>
      </c>
      <c r="P914" s="79">
        <v>0</v>
      </c>
    </row>
    <row r="915" spans="1:16" x14ac:dyDescent="0.25">
      <c r="A915" t="s">
        <v>32</v>
      </c>
      <c r="B915" s="73" t="str">
        <f>VLOOKUP(C915,'Büyükşehir List'!$C$2:$D$31,2,FALSE)</f>
        <v>DENİZLİ BÜYÜKŞEHİR</v>
      </c>
      <c r="C915" t="s">
        <v>57</v>
      </c>
      <c r="D915" s="73" t="str">
        <f t="shared" si="23"/>
        <v>DENİZLİ BÜYÜKŞEHİR/DENİZLİ</v>
      </c>
      <c r="E915" t="s">
        <v>649</v>
      </c>
      <c r="F915" t="s">
        <v>649</v>
      </c>
      <c r="G915" t="s">
        <v>3366</v>
      </c>
      <c r="H915">
        <v>957.5</v>
      </c>
      <c r="I915">
        <v>95.75</v>
      </c>
      <c r="J915">
        <v>0</v>
      </c>
      <c r="K915">
        <v>0</v>
      </c>
      <c r="L915">
        <v>957.5</v>
      </c>
      <c r="M915">
        <v>95.75</v>
      </c>
      <c r="O915" s="79">
        <f>IFERROR(VLOOKUP(D915,'KAPANAN BLD.'!$C$2:$D$793,2,FALSE),0)</f>
        <v>0</v>
      </c>
      <c r="P915" s="79">
        <v>0</v>
      </c>
    </row>
    <row r="916" spans="1:16" x14ac:dyDescent="0.25">
      <c r="A916" t="s">
        <v>32</v>
      </c>
      <c r="B916" s="73" t="str">
        <f>VLOOKUP(C916,'Büyükşehir List'!$C$2:$D$31,2,FALSE)</f>
        <v>DENİZLİ BÜYÜKŞEHİR</v>
      </c>
      <c r="C916" t="s">
        <v>57</v>
      </c>
      <c r="D916" s="73" t="str">
        <f t="shared" si="23"/>
        <v>DENİZLİ BÜYÜKŞEHİR/DENİZLİ</v>
      </c>
      <c r="E916" t="s">
        <v>4456</v>
      </c>
      <c r="F916" t="s">
        <v>4456</v>
      </c>
      <c r="G916" t="s">
        <v>3367</v>
      </c>
      <c r="H916">
        <v>347.7</v>
      </c>
      <c r="I916">
        <v>34.770000000000003</v>
      </c>
      <c r="J916">
        <v>0</v>
      </c>
      <c r="K916">
        <v>0</v>
      </c>
      <c r="L916">
        <v>347.7</v>
      </c>
      <c r="M916">
        <v>34.770000000000003</v>
      </c>
      <c r="O916" s="79">
        <f>IFERROR(VLOOKUP(D916,'KAPANAN BLD.'!$C$2:$D$793,2,FALSE),0)</f>
        <v>0</v>
      </c>
      <c r="P916" s="79">
        <v>0</v>
      </c>
    </row>
    <row r="917" spans="1:16" x14ac:dyDescent="0.25">
      <c r="A917" t="s">
        <v>32</v>
      </c>
      <c r="B917" s="73" t="str">
        <f>VLOOKUP(C917,'Büyükşehir List'!$C$2:$D$31,2,FALSE)</f>
        <v>DENİZLİ BÜYÜKŞEHİR</v>
      </c>
      <c r="C917" t="s">
        <v>57</v>
      </c>
      <c r="D917" s="73" t="str">
        <f t="shared" si="23"/>
        <v>DENİZLİ BÜYÜKŞEHİR/DENİZLİ</v>
      </c>
      <c r="E917" t="s">
        <v>4456</v>
      </c>
      <c r="F917" t="s">
        <v>4456</v>
      </c>
      <c r="G917" t="s">
        <v>3366</v>
      </c>
      <c r="H917">
        <v>132.5</v>
      </c>
      <c r="I917">
        <v>13.25</v>
      </c>
      <c r="J917">
        <v>0</v>
      </c>
      <c r="K917">
        <v>0</v>
      </c>
      <c r="L917">
        <v>132.5</v>
      </c>
      <c r="M917">
        <v>13.25</v>
      </c>
      <c r="O917" s="79">
        <f>IFERROR(VLOOKUP(D917,'KAPANAN BLD.'!$C$2:$D$793,2,FALSE),0)</f>
        <v>0</v>
      </c>
      <c r="P917" s="79">
        <v>0</v>
      </c>
    </row>
    <row r="918" spans="1:16" x14ac:dyDescent="0.25">
      <c r="A918" t="s">
        <v>32</v>
      </c>
      <c r="B918" s="73" t="str">
        <f>VLOOKUP(C918,'Büyükşehir List'!$C$2:$D$31,2,FALSE)</f>
        <v>DENİZLİ BÜYÜKŞEHİR</v>
      </c>
      <c r="C918" t="s">
        <v>57</v>
      </c>
      <c r="D918" s="73" t="str">
        <f t="shared" si="23"/>
        <v>DENİZLİ BÜYÜKŞEHİR/DENİZLİ</v>
      </c>
      <c r="E918" t="s">
        <v>552</v>
      </c>
      <c r="F918" t="s">
        <v>552</v>
      </c>
      <c r="G918" t="s">
        <v>3366</v>
      </c>
      <c r="H918">
        <v>13.3</v>
      </c>
      <c r="I918">
        <v>1.33</v>
      </c>
      <c r="J918">
        <v>0</v>
      </c>
      <c r="K918">
        <v>0</v>
      </c>
      <c r="L918">
        <v>13.3</v>
      </c>
      <c r="M918">
        <v>1.33</v>
      </c>
      <c r="O918" s="79">
        <f>IFERROR(VLOOKUP(D918,'KAPANAN BLD.'!$C$2:$D$793,2,FALSE),0)</f>
        <v>0</v>
      </c>
      <c r="P918" s="79">
        <v>0</v>
      </c>
    </row>
    <row r="919" spans="1:16" x14ac:dyDescent="0.25">
      <c r="A919" t="s">
        <v>32</v>
      </c>
      <c r="B919" s="73" t="str">
        <f>VLOOKUP(C919,'Büyükşehir List'!$C$2:$D$31,2,FALSE)</f>
        <v>DENİZLİ BÜYÜKŞEHİR</v>
      </c>
      <c r="C919" t="s">
        <v>57</v>
      </c>
      <c r="D919" s="73" t="str">
        <f t="shared" si="23"/>
        <v>DENİZLİ BÜYÜKŞEHİR/DENİZLİ</v>
      </c>
      <c r="E919" t="s">
        <v>552</v>
      </c>
      <c r="F919" t="s">
        <v>552</v>
      </c>
      <c r="G919" t="s">
        <v>3367</v>
      </c>
      <c r="H919">
        <v>27.3</v>
      </c>
      <c r="I919">
        <v>2.73</v>
      </c>
      <c r="J919">
        <v>0</v>
      </c>
      <c r="K919">
        <v>0</v>
      </c>
      <c r="L919">
        <v>27.3</v>
      </c>
      <c r="M919">
        <v>2.73</v>
      </c>
      <c r="O919" s="79">
        <f>IFERROR(VLOOKUP(D919,'KAPANAN BLD.'!$C$2:$D$793,2,FALSE),0)</f>
        <v>0</v>
      </c>
      <c r="P919" s="79">
        <v>0</v>
      </c>
    </row>
    <row r="920" spans="1:16" x14ac:dyDescent="0.25">
      <c r="A920" t="s">
        <v>32</v>
      </c>
      <c r="B920" s="73" t="str">
        <f>VLOOKUP(C920,'Büyükşehir List'!$C$2:$D$31,2,FALSE)</f>
        <v>DENİZLİ BÜYÜKŞEHİR</v>
      </c>
      <c r="C920" t="s">
        <v>57</v>
      </c>
      <c r="D920" s="73" t="str">
        <f t="shared" si="23"/>
        <v>DENİZLİ BÜYÜKŞEHİR/DENİZLİ</v>
      </c>
      <c r="E920" t="s">
        <v>3756</v>
      </c>
      <c r="F920" t="s">
        <v>3756</v>
      </c>
      <c r="G920" t="s">
        <v>3367</v>
      </c>
      <c r="H920">
        <v>2617.6999999999998</v>
      </c>
      <c r="I920">
        <v>261.77</v>
      </c>
      <c r="J920">
        <v>0</v>
      </c>
      <c r="K920">
        <v>0</v>
      </c>
      <c r="L920">
        <v>2617.6999999999998</v>
      </c>
      <c r="M920">
        <v>261.77</v>
      </c>
      <c r="O920" s="79">
        <f>IFERROR(VLOOKUP(D920,'KAPANAN BLD.'!$C$2:$D$793,2,FALSE),0)</f>
        <v>0</v>
      </c>
      <c r="P920" s="79">
        <v>0</v>
      </c>
    </row>
    <row r="921" spans="1:16" x14ac:dyDescent="0.25">
      <c r="A921" t="s">
        <v>32</v>
      </c>
      <c r="B921" s="73" t="str">
        <f>VLOOKUP(C921,'Büyükşehir List'!$C$2:$D$31,2,FALSE)</f>
        <v>DENİZLİ BÜYÜKŞEHİR</v>
      </c>
      <c r="C921" t="s">
        <v>57</v>
      </c>
      <c r="D921" s="73" t="str">
        <f t="shared" si="23"/>
        <v>DENİZLİ BÜYÜKŞEHİR/DENİZLİ</v>
      </c>
      <c r="E921" t="s">
        <v>3756</v>
      </c>
      <c r="F921" t="s">
        <v>3756</v>
      </c>
      <c r="G921" t="s">
        <v>3366</v>
      </c>
      <c r="H921">
        <v>2509.3000000000002</v>
      </c>
      <c r="I921">
        <v>250.93</v>
      </c>
      <c r="J921">
        <v>0</v>
      </c>
      <c r="K921">
        <v>0</v>
      </c>
      <c r="L921">
        <v>2509.3000000000002</v>
      </c>
      <c r="M921">
        <v>250.93</v>
      </c>
      <c r="O921" s="79">
        <f>IFERROR(VLOOKUP(D921,'KAPANAN BLD.'!$C$2:$D$793,2,FALSE),0)</f>
        <v>0</v>
      </c>
      <c r="P921" s="79">
        <v>0</v>
      </c>
    </row>
    <row r="922" spans="1:16" x14ac:dyDescent="0.25">
      <c r="A922" t="s">
        <v>32</v>
      </c>
      <c r="B922" s="73" t="str">
        <f>VLOOKUP(C922,'Büyükşehir List'!$C$2:$D$31,2,FALSE)</f>
        <v>DENİZLİ BÜYÜKŞEHİR</v>
      </c>
      <c r="C922" t="s">
        <v>57</v>
      </c>
      <c r="D922" s="73" t="str">
        <f t="shared" si="23"/>
        <v>DENİZLİ BÜYÜKŞEHİR/DENİZLİ</v>
      </c>
      <c r="E922" t="s">
        <v>4457</v>
      </c>
      <c r="F922" t="s">
        <v>4457</v>
      </c>
      <c r="G922" t="s">
        <v>3367</v>
      </c>
      <c r="H922">
        <v>76.900000000000006</v>
      </c>
      <c r="I922">
        <v>7.69</v>
      </c>
      <c r="J922">
        <v>0</v>
      </c>
      <c r="K922">
        <v>0</v>
      </c>
      <c r="L922">
        <v>76.900000000000006</v>
      </c>
      <c r="M922">
        <v>7.69</v>
      </c>
      <c r="O922" s="79">
        <f>IFERROR(VLOOKUP(D922,'KAPANAN BLD.'!$C$2:$D$793,2,FALSE),0)</f>
        <v>0</v>
      </c>
      <c r="P922" s="79">
        <v>0</v>
      </c>
    </row>
    <row r="923" spans="1:16" x14ac:dyDescent="0.25">
      <c r="A923" t="s">
        <v>32</v>
      </c>
      <c r="B923" s="73" t="str">
        <f>VLOOKUP(C923,'Büyükşehir List'!$C$2:$D$31,2,FALSE)</f>
        <v>DENİZLİ BÜYÜKŞEHİR</v>
      </c>
      <c r="C923" t="s">
        <v>57</v>
      </c>
      <c r="D923" s="73" t="str">
        <f t="shared" si="23"/>
        <v>DENİZLİ BÜYÜKŞEHİR/DENİZLİ</v>
      </c>
      <c r="E923" t="s">
        <v>4457</v>
      </c>
      <c r="F923" t="s">
        <v>4457</v>
      </c>
      <c r="G923" t="s">
        <v>3366</v>
      </c>
      <c r="H923">
        <v>28.2</v>
      </c>
      <c r="I923">
        <v>2.82</v>
      </c>
      <c r="J923">
        <v>0</v>
      </c>
      <c r="K923">
        <v>0</v>
      </c>
      <c r="L923">
        <v>28.2</v>
      </c>
      <c r="M923">
        <v>2.82</v>
      </c>
      <c r="O923" s="79">
        <f>IFERROR(VLOOKUP(D923,'KAPANAN BLD.'!$C$2:$D$793,2,FALSE),0)</f>
        <v>0</v>
      </c>
      <c r="P923" s="79">
        <v>0</v>
      </c>
    </row>
    <row r="924" spans="1:16" x14ac:dyDescent="0.25">
      <c r="A924" t="s">
        <v>32</v>
      </c>
      <c r="B924" s="73" t="str">
        <f>VLOOKUP(C924,'Büyükşehir List'!$C$2:$D$31,2,FALSE)</f>
        <v>DENİZLİ BÜYÜKŞEHİR</v>
      </c>
      <c r="C924" t="s">
        <v>57</v>
      </c>
      <c r="D924" s="73" t="str">
        <f t="shared" si="23"/>
        <v>DENİZLİ BÜYÜKŞEHİR/DENİZLİ</v>
      </c>
      <c r="E924" t="s">
        <v>4300</v>
      </c>
      <c r="F924" t="s">
        <v>4300</v>
      </c>
      <c r="G924" t="s">
        <v>3366</v>
      </c>
      <c r="H924">
        <v>1630.2</v>
      </c>
      <c r="I924">
        <v>163.02000000000001</v>
      </c>
      <c r="J924">
        <v>0</v>
      </c>
      <c r="K924">
        <v>0</v>
      </c>
      <c r="L924">
        <v>1630.2</v>
      </c>
      <c r="M924">
        <v>163.02000000000001</v>
      </c>
      <c r="O924" s="79">
        <f>IFERROR(VLOOKUP(D924,'KAPANAN BLD.'!$C$2:$D$793,2,FALSE),0)</f>
        <v>0</v>
      </c>
      <c r="P924" s="79">
        <v>0</v>
      </c>
    </row>
    <row r="925" spans="1:16" x14ac:dyDescent="0.25">
      <c r="A925" t="s">
        <v>32</v>
      </c>
      <c r="B925" s="73" t="str">
        <f>VLOOKUP(C925,'Büyükşehir List'!$C$2:$D$31,2,FALSE)</f>
        <v>DENİZLİ BÜYÜKŞEHİR</v>
      </c>
      <c r="C925" t="s">
        <v>57</v>
      </c>
      <c r="D925" s="73" t="str">
        <f t="shared" si="23"/>
        <v>DENİZLİ BÜYÜKŞEHİR/DENİZLİ</v>
      </c>
      <c r="E925" t="s">
        <v>4300</v>
      </c>
      <c r="F925" t="s">
        <v>4300</v>
      </c>
      <c r="G925" t="s">
        <v>3367</v>
      </c>
      <c r="H925">
        <v>653.9</v>
      </c>
      <c r="I925">
        <v>65.39</v>
      </c>
      <c r="J925">
        <v>0</v>
      </c>
      <c r="K925">
        <v>0</v>
      </c>
      <c r="L925">
        <v>653.9</v>
      </c>
      <c r="M925">
        <v>65.39</v>
      </c>
      <c r="O925" s="79">
        <f>IFERROR(VLOOKUP(D925,'KAPANAN BLD.'!$C$2:$D$793,2,FALSE),0)</f>
        <v>0</v>
      </c>
      <c r="P925" s="79">
        <v>0</v>
      </c>
    </row>
    <row r="926" spans="1:16" x14ac:dyDescent="0.25">
      <c r="A926" t="s">
        <v>32</v>
      </c>
      <c r="B926" s="73" t="str">
        <f>VLOOKUP(C926,'Büyükşehir List'!$C$2:$D$31,2,FALSE)</f>
        <v>DENİZLİ BÜYÜKŞEHİR</v>
      </c>
      <c r="C926" t="s">
        <v>57</v>
      </c>
      <c r="D926" s="73" t="str">
        <f t="shared" si="23"/>
        <v>DENİZLİ BÜYÜKŞEHİR/DENİZLİ</v>
      </c>
      <c r="E926" t="s">
        <v>4458</v>
      </c>
      <c r="F926" t="s">
        <v>4458</v>
      </c>
      <c r="G926" t="s">
        <v>3366</v>
      </c>
      <c r="H926">
        <v>402.8</v>
      </c>
      <c r="I926">
        <v>40.28</v>
      </c>
      <c r="J926">
        <v>0</v>
      </c>
      <c r="K926">
        <v>0</v>
      </c>
      <c r="L926">
        <v>402.8</v>
      </c>
      <c r="M926">
        <v>40.28</v>
      </c>
      <c r="O926" s="79">
        <f>IFERROR(VLOOKUP(D926,'KAPANAN BLD.'!$C$2:$D$793,2,FALSE),0)</f>
        <v>0</v>
      </c>
      <c r="P926" s="79">
        <v>0</v>
      </c>
    </row>
    <row r="927" spans="1:16" x14ac:dyDescent="0.25">
      <c r="A927" t="s">
        <v>32</v>
      </c>
      <c r="B927" s="73" t="str">
        <f>VLOOKUP(C927,'Büyükşehir List'!$C$2:$D$31,2,FALSE)</f>
        <v>DENİZLİ BÜYÜKŞEHİR</v>
      </c>
      <c r="C927" t="s">
        <v>57</v>
      </c>
      <c r="D927" s="73" t="str">
        <f t="shared" si="23"/>
        <v>DENİZLİ BÜYÜKŞEHİR/DENİZLİ</v>
      </c>
      <c r="E927" t="s">
        <v>4458</v>
      </c>
      <c r="F927" t="s">
        <v>4458</v>
      </c>
      <c r="G927" t="s">
        <v>3367</v>
      </c>
      <c r="H927">
        <v>45</v>
      </c>
      <c r="I927">
        <v>4.5</v>
      </c>
      <c r="J927">
        <v>0</v>
      </c>
      <c r="K927">
        <v>0</v>
      </c>
      <c r="L927">
        <v>45</v>
      </c>
      <c r="M927">
        <v>4.5</v>
      </c>
      <c r="O927" s="79">
        <f>IFERROR(VLOOKUP(D927,'KAPANAN BLD.'!$C$2:$D$793,2,FALSE),0)</f>
        <v>0</v>
      </c>
      <c r="P927" s="79">
        <v>0</v>
      </c>
    </row>
    <row r="928" spans="1:16" x14ac:dyDescent="0.25">
      <c r="A928" t="s">
        <v>32</v>
      </c>
      <c r="B928" s="73" t="str">
        <f>VLOOKUP(C928,'Büyükşehir List'!$C$2:$D$31,2,FALSE)</f>
        <v>DENİZLİ BÜYÜKŞEHİR</v>
      </c>
      <c r="C928" t="s">
        <v>57</v>
      </c>
      <c r="D928" s="73" t="str">
        <f t="shared" si="23"/>
        <v>DENİZLİ BÜYÜKŞEHİR/DENİZLİ</v>
      </c>
      <c r="E928" t="s">
        <v>553</v>
      </c>
      <c r="F928" t="s">
        <v>553</v>
      </c>
      <c r="G928" t="s">
        <v>3366</v>
      </c>
      <c r="H928">
        <v>919.1</v>
      </c>
      <c r="I928">
        <v>91.91</v>
      </c>
      <c r="J928">
        <v>0</v>
      </c>
      <c r="K928">
        <v>0</v>
      </c>
      <c r="L928">
        <v>919.1</v>
      </c>
      <c r="M928">
        <v>91.91</v>
      </c>
      <c r="O928" s="79">
        <f>IFERROR(VLOOKUP(D928,'KAPANAN BLD.'!$C$2:$D$793,2,FALSE),0)</f>
        <v>0</v>
      </c>
      <c r="P928" s="79">
        <v>0</v>
      </c>
    </row>
    <row r="929" spans="1:18" x14ac:dyDescent="0.25">
      <c r="A929" t="s">
        <v>32</v>
      </c>
      <c r="B929" s="73" t="str">
        <f>VLOOKUP(C929,'Büyükşehir List'!$C$2:$D$31,2,FALSE)</f>
        <v>DENİZLİ BÜYÜKŞEHİR</v>
      </c>
      <c r="C929" t="s">
        <v>57</v>
      </c>
      <c r="D929" s="73" t="str">
        <f t="shared" si="23"/>
        <v>DENİZLİ BÜYÜKŞEHİR/DENİZLİ</v>
      </c>
      <c r="E929" t="s">
        <v>553</v>
      </c>
      <c r="F929" t="s">
        <v>553</v>
      </c>
      <c r="G929" t="s">
        <v>3367</v>
      </c>
      <c r="H929">
        <v>229.9</v>
      </c>
      <c r="I929">
        <v>22.99</v>
      </c>
      <c r="J929">
        <v>0</v>
      </c>
      <c r="K929">
        <v>0</v>
      </c>
      <c r="L929">
        <v>229.9</v>
      </c>
      <c r="M929">
        <v>22.99</v>
      </c>
      <c r="O929" s="79">
        <f>IFERROR(VLOOKUP(D929,'KAPANAN BLD.'!$C$2:$D$793,2,FALSE),0)</f>
        <v>0</v>
      </c>
      <c r="P929" s="79">
        <v>0</v>
      </c>
    </row>
    <row r="930" spans="1:18" x14ac:dyDescent="0.25">
      <c r="A930" t="s">
        <v>32</v>
      </c>
      <c r="B930" s="73" t="str">
        <f>VLOOKUP(C930,'Büyükşehir List'!$C$2:$D$31,2,FALSE)</f>
        <v>DENİZLİ BÜYÜKŞEHİR</v>
      </c>
      <c r="C930" t="s">
        <v>57</v>
      </c>
      <c r="D930" s="73" t="str">
        <f t="shared" si="23"/>
        <v>DENİZLİ BÜYÜKŞEHİR/DENİZLİ</v>
      </c>
      <c r="E930" t="s">
        <v>4286</v>
      </c>
      <c r="F930" t="s">
        <v>4286</v>
      </c>
      <c r="G930" t="s">
        <v>3366</v>
      </c>
      <c r="H930">
        <v>840.3</v>
      </c>
      <c r="I930">
        <v>84.03</v>
      </c>
      <c r="J930">
        <v>0</v>
      </c>
      <c r="K930">
        <v>0</v>
      </c>
      <c r="L930">
        <v>840.3</v>
      </c>
      <c r="M930">
        <v>84.03</v>
      </c>
      <c r="O930" s="79">
        <f>IFERROR(VLOOKUP(D930,'KAPANAN BLD.'!$C$2:$D$793,2,FALSE),0)</f>
        <v>0</v>
      </c>
      <c r="P930" s="79">
        <v>0</v>
      </c>
    </row>
    <row r="931" spans="1:18" x14ac:dyDescent="0.25">
      <c r="A931" t="s">
        <v>32</v>
      </c>
      <c r="B931" s="73" t="str">
        <f>VLOOKUP(C931,'Büyükşehir List'!$C$2:$D$31,2,FALSE)</f>
        <v>DENİZLİ BÜYÜKŞEHİR</v>
      </c>
      <c r="C931" t="s">
        <v>57</v>
      </c>
      <c r="D931" s="73" t="str">
        <f t="shared" si="23"/>
        <v>DENİZLİ BÜYÜKŞEHİR/DENİZLİ</v>
      </c>
      <c r="E931" t="s">
        <v>4286</v>
      </c>
      <c r="F931" t="s">
        <v>4286</v>
      </c>
      <c r="G931" t="s">
        <v>3367</v>
      </c>
      <c r="H931">
        <v>4262.7</v>
      </c>
      <c r="I931">
        <v>426.27</v>
      </c>
      <c r="J931">
        <v>0</v>
      </c>
      <c r="K931">
        <v>0</v>
      </c>
      <c r="L931">
        <v>4262.7</v>
      </c>
      <c r="M931">
        <v>426.27</v>
      </c>
      <c r="O931" s="79">
        <f>IFERROR(VLOOKUP(D931,'KAPANAN BLD.'!$C$2:$D$793,2,FALSE),0)</f>
        <v>0</v>
      </c>
      <c r="P931" s="79">
        <v>0</v>
      </c>
    </row>
    <row r="932" spans="1:18" x14ac:dyDescent="0.25">
      <c r="A932" t="s">
        <v>32</v>
      </c>
      <c r="B932" s="73" t="str">
        <f>VLOOKUP(C932,'Büyükşehir List'!$C$2:$D$31,2,FALSE)</f>
        <v>DENİZLİ BÜYÜKŞEHİR</v>
      </c>
      <c r="C932" t="s">
        <v>57</v>
      </c>
      <c r="D932" s="73" t="str">
        <f t="shared" si="23"/>
        <v>DENİZLİ BÜYÜKŞEHİR/DENİZLİ</v>
      </c>
      <c r="E932" t="s">
        <v>4347</v>
      </c>
      <c r="F932" t="s">
        <v>4347</v>
      </c>
      <c r="G932" t="s">
        <v>3367</v>
      </c>
      <c r="H932">
        <v>348.5</v>
      </c>
      <c r="I932">
        <v>34.85</v>
      </c>
      <c r="J932">
        <v>0</v>
      </c>
      <c r="K932">
        <v>0</v>
      </c>
      <c r="L932">
        <v>348.5</v>
      </c>
      <c r="M932">
        <v>34.85</v>
      </c>
      <c r="O932" s="79">
        <f>IFERROR(VLOOKUP(D932,'KAPANAN BLD.'!$C$2:$D$793,2,FALSE),0)</f>
        <v>0</v>
      </c>
      <c r="P932" s="79">
        <v>0</v>
      </c>
    </row>
    <row r="933" spans="1:18" x14ac:dyDescent="0.25">
      <c r="A933" t="s">
        <v>32</v>
      </c>
      <c r="B933" s="73" t="str">
        <f>VLOOKUP(C933,'Büyükşehir List'!$C$2:$D$31,2,FALSE)</f>
        <v>DENİZLİ BÜYÜKŞEHİR</v>
      </c>
      <c r="C933" t="s">
        <v>57</v>
      </c>
      <c r="D933" s="73" t="str">
        <f t="shared" si="23"/>
        <v>DENİZLİ BÜYÜKŞEHİR/DENİZLİ</v>
      </c>
      <c r="E933" t="s">
        <v>4347</v>
      </c>
      <c r="F933" t="s">
        <v>4347</v>
      </c>
      <c r="G933" t="s">
        <v>3366</v>
      </c>
      <c r="H933">
        <v>87.5</v>
      </c>
      <c r="I933">
        <v>8.75</v>
      </c>
      <c r="J933">
        <v>0</v>
      </c>
      <c r="K933">
        <v>0</v>
      </c>
      <c r="L933">
        <v>87.5</v>
      </c>
      <c r="M933">
        <v>8.75</v>
      </c>
      <c r="O933" s="79">
        <f>IFERROR(VLOOKUP(D933,'KAPANAN BLD.'!$C$2:$D$793,2,FALSE),0)</f>
        <v>0</v>
      </c>
      <c r="P933" s="79">
        <v>0</v>
      </c>
    </row>
    <row r="934" spans="1:18" x14ac:dyDescent="0.25">
      <c r="A934" t="s">
        <v>32</v>
      </c>
      <c r="B934" s="73" t="str">
        <f>VLOOKUP(C934,'Büyükşehir List'!$C$2:$D$31,2,FALSE)</f>
        <v>DENİZLİ BÜYÜKŞEHİR</v>
      </c>
      <c r="C934" t="s">
        <v>57</v>
      </c>
      <c r="D934" s="73" t="str">
        <f t="shared" si="23"/>
        <v>DENİZLİ BÜYÜKŞEHİR/DENİZLİ</v>
      </c>
      <c r="E934" t="s">
        <v>4301</v>
      </c>
      <c r="F934" t="s">
        <v>4301</v>
      </c>
      <c r="G934" t="s">
        <v>3367</v>
      </c>
      <c r="H934">
        <v>57.7</v>
      </c>
      <c r="I934">
        <v>5.77</v>
      </c>
      <c r="J934">
        <v>37.799999999999997</v>
      </c>
      <c r="K934">
        <v>3.78</v>
      </c>
      <c r="L934">
        <v>19.899999999999999</v>
      </c>
      <c r="M934">
        <v>1.99</v>
      </c>
      <c r="O934" s="79">
        <f>IFERROR(VLOOKUP(D934,'KAPANAN BLD.'!$C$2:$D$793,2,FALSE),0)</f>
        <v>0</v>
      </c>
      <c r="P934" s="79">
        <v>0</v>
      </c>
    </row>
    <row r="935" spans="1:18" x14ac:dyDescent="0.25">
      <c r="A935" t="s">
        <v>32</v>
      </c>
      <c r="B935" s="73" t="str">
        <f>VLOOKUP(C935,'Büyükşehir List'!$C$2:$D$31,2,FALSE)</f>
        <v>DENİZLİ BÜYÜKŞEHİR</v>
      </c>
      <c r="C935" t="s">
        <v>57</v>
      </c>
      <c r="D935" s="73" t="str">
        <f t="shared" si="23"/>
        <v>DENİZLİ BÜYÜKŞEHİR/DENİZLİ</v>
      </c>
      <c r="E935" t="s">
        <v>4301</v>
      </c>
      <c r="F935" t="s">
        <v>4301</v>
      </c>
      <c r="G935" t="s">
        <v>3366</v>
      </c>
      <c r="H935">
        <v>0</v>
      </c>
      <c r="I935">
        <v>0</v>
      </c>
      <c r="J935">
        <v>631.9</v>
      </c>
      <c r="K935">
        <v>63.19</v>
      </c>
      <c r="L935">
        <v>-631.9</v>
      </c>
      <c r="M935">
        <v>-63.19</v>
      </c>
      <c r="O935" s="79">
        <f>IFERROR(VLOOKUP(D935,'KAPANAN BLD.'!$C$2:$D$793,2,FALSE),0)</f>
        <v>0</v>
      </c>
      <c r="P935" s="79">
        <v>0</v>
      </c>
    </row>
    <row r="936" spans="1:18" x14ac:dyDescent="0.25">
      <c r="A936" t="s">
        <v>32</v>
      </c>
      <c r="B936" s="73" t="str">
        <f>VLOOKUP(C936,'Büyükşehir List'!$C$2:$D$31,2,FALSE)</f>
        <v>DENİZLİ BÜYÜKŞEHİR</v>
      </c>
      <c r="C936" t="s">
        <v>57</v>
      </c>
      <c r="D936" s="73" t="str">
        <f t="shared" si="23"/>
        <v>DENİZLİ BÜYÜKŞEHİR/DENİZLİ</v>
      </c>
      <c r="E936" t="s">
        <v>4459</v>
      </c>
      <c r="F936" t="s">
        <v>4459</v>
      </c>
      <c r="G936" t="s">
        <v>3367</v>
      </c>
      <c r="H936">
        <v>1.1000000000000001</v>
      </c>
      <c r="I936">
        <v>0.11</v>
      </c>
      <c r="J936">
        <v>0</v>
      </c>
      <c r="K936">
        <v>0</v>
      </c>
      <c r="L936">
        <v>1.1000000000000001</v>
      </c>
      <c r="M936">
        <v>0.11</v>
      </c>
      <c r="O936" s="79">
        <f>IFERROR(VLOOKUP(D936,'KAPANAN BLD.'!$C$2:$D$793,2,FALSE),0)</f>
        <v>0</v>
      </c>
      <c r="P936" s="79">
        <v>0</v>
      </c>
    </row>
    <row r="937" spans="1:18" x14ac:dyDescent="0.25">
      <c r="A937" t="s">
        <v>32</v>
      </c>
      <c r="B937" s="73" t="str">
        <f>VLOOKUP(C937,'Büyükşehir List'!$C$2:$D$31,2,FALSE)</f>
        <v>DENİZLİ BÜYÜKŞEHİR</v>
      </c>
      <c r="C937" t="s">
        <v>57</v>
      </c>
      <c r="D937" s="73" t="str">
        <f t="shared" si="23"/>
        <v>DENİZLİ BÜYÜKŞEHİR/DENİZLİ</v>
      </c>
      <c r="E937" t="s">
        <v>4459</v>
      </c>
      <c r="F937" t="s">
        <v>4459</v>
      </c>
      <c r="G937" t="s">
        <v>3366</v>
      </c>
      <c r="H937">
        <v>1296.0999999999999</v>
      </c>
      <c r="I937">
        <v>129.61000000000001</v>
      </c>
      <c r="J937">
        <v>0</v>
      </c>
      <c r="K937">
        <v>0</v>
      </c>
      <c r="L937">
        <v>1296.0999999999999</v>
      </c>
      <c r="M937">
        <v>129.61000000000001</v>
      </c>
      <c r="O937" s="79">
        <f>IFERROR(VLOOKUP(D937,'KAPANAN BLD.'!$C$2:$D$793,2,FALSE),0)</f>
        <v>0</v>
      </c>
      <c r="P937" s="79">
        <v>0</v>
      </c>
    </row>
    <row r="938" spans="1:18" x14ac:dyDescent="0.25">
      <c r="A938" t="s">
        <v>32</v>
      </c>
      <c r="B938" s="73" t="str">
        <f>VLOOKUP(C938,'Büyükşehir List'!$C$2:$D$31,2,FALSE)</f>
        <v>DENİZLİ BÜYÜKŞEHİR</v>
      </c>
      <c r="C938" t="s">
        <v>57</v>
      </c>
      <c r="D938" s="73" t="str">
        <f t="shared" si="23"/>
        <v>DENİZLİ BÜYÜKŞEHİR/DENİZLİ</v>
      </c>
      <c r="E938" t="s">
        <v>3261</v>
      </c>
      <c r="F938" t="s">
        <v>3261</v>
      </c>
      <c r="G938" t="s">
        <v>3367</v>
      </c>
      <c r="H938">
        <v>87.5</v>
      </c>
      <c r="I938">
        <v>8.75</v>
      </c>
      <c r="J938">
        <v>0</v>
      </c>
      <c r="K938">
        <v>0</v>
      </c>
      <c r="L938">
        <v>87.5</v>
      </c>
      <c r="M938">
        <v>8.75</v>
      </c>
      <c r="O938" s="79">
        <f>IFERROR(VLOOKUP(D938,'KAPANAN BLD.'!$C$2:$D$793,2,FALSE),0)</f>
        <v>0</v>
      </c>
      <c r="P938" s="79">
        <v>0</v>
      </c>
    </row>
    <row r="939" spans="1:18" x14ac:dyDescent="0.25">
      <c r="A939" t="s">
        <v>32</v>
      </c>
      <c r="B939" s="73" t="str">
        <f>VLOOKUP(C939,'Büyükşehir List'!$C$2:$D$31,2,FALSE)</f>
        <v>DENİZLİ BÜYÜKŞEHİR</v>
      </c>
      <c r="C939" t="s">
        <v>57</v>
      </c>
      <c r="D939" s="73" t="str">
        <f t="shared" si="23"/>
        <v>DENİZLİ BÜYÜKŞEHİR/DENİZLİ</v>
      </c>
      <c r="E939" t="s">
        <v>3261</v>
      </c>
      <c r="F939" t="s">
        <v>3261</v>
      </c>
      <c r="G939" t="s">
        <v>3366</v>
      </c>
      <c r="H939">
        <v>154</v>
      </c>
      <c r="I939">
        <v>15.4</v>
      </c>
      <c r="J939">
        <v>0</v>
      </c>
      <c r="K939">
        <v>0</v>
      </c>
      <c r="L939">
        <v>154</v>
      </c>
      <c r="M939">
        <v>15.4</v>
      </c>
      <c r="O939" s="79">
        <f>IFERROR(VLOOKUP(D939,'KAPANAN BLD.'!$C$2:$D$793,2,FALSE),0)</f>
        <v>0</v>
      </c>
      <c r="P939" s="79">
        <v>0</v>
      </c>
    </row>
    <row r="940" spans="1:18" x14ac:dyDescent="0.25">
      <c r="A940" t="s">
        <v>32</v>
      </c>
      <c r="B940" s="73" t="str">
        <f>VLOOKUP(C940,'Büyükşehir List'!$C$2:$D$31,2,FALSE)</f>
        <v>DENİZLİ BÜYÜKŞEHİR</v>
      </c>
      <c r="C940" t="s">
        <v>57</v>
      </c>
      <c r="D940" s="73" t="str">
        <f t="shared" si="23"/>
        <v>DENİZLİ BÜYÜKŞEHİR/DENİZLİ</v>
      </c>
      <c r="E940" t="s">
        <v>4021</v>
      </c>
      <c r="F940" t="s">
        <v>4021</v>
      </c>
      <c r="G940" t="s">
        <v>3367</v>
      </c>
      <c r="H940">
        <v>17.3</v>
      </c>
      <c r="I940">
        <v>1.73</v>
      </c>
      <c r="J940">
        <v>0</v>
      </c>
      <c r="K940">
        <v>0</v>
      </c>
      <c r="L940">
        <v>17.3</v>
      </c>
      <c r="M940">
        <v>1.73</v>
      </c>
      <c r="O940" s="79">
        <f>IFERROR(VLOOKUP(D940,'KAPANAN BLD.'!$C$2:$D$793,2,FALSE),0)</f>
        <v>0</v>
      </c>
      <c r="P940" s="79">
        <v>0</v>
      </c>
      <c r="R940" s="79"/>
    </row>
    <row r="941" spans="1:18" x14ac:dyDescent="0.25">
      <c r="A941" t="s">
        <v>32</v>
      </c>
      <c r="B941" s="73" t="str">
        <f>VLOOKUP(C941,'Büyükşehir List'!$C$2:$D$31,2,FALSE)</f>
        <v>DENİZLİ BÜYÜKŞEHİR</v>
      </c>
      <c r="C941" t="s">
        <v>57</v>
      </c>
      <c r="D941" s="73" t="str">
        <f t="shared" si="23"/>
        <v>DENİZLİ BÜYÜKŞEHİR/DENİZLİ</v>
      </c>
      <c r="E941" t="s">
        <v>4460</v>
      </c>
      <c r="F941" t="s">
        <v>4460</v>
      </c>
      <c r="G941" t="s">
        <v>3367</v>
      </c>
      <c r="H941">
        <v>1.4</v>
      </c>
      <c r="I941">
        <v>0.14000000000000001</v>
      </c>
      <c r="J941">
        <v>0</v>
      </c>
      <c r="K941">
        <v>0</v>
      </c>
      <c r="L941">
        <v>1.4</v>
      </c>
      <c r="M941">
        <v>0.14000000000000001</v>
      </c>
      <c r="O941" s="79">
        <f>IFERROR(VLOOKUP(D941,'KAPANAN BLD.'!$C$2:$D$793,2,FALSE),0)</f>
        <v>0</v>
      </c>
      <c r="P941" s="79">
        <v>0</v>
      </c>
      <c r="R941" s="79"/>
    </row>
    <row r="942" spans="1:18" x14ac:dyDescent="0.25">
      <c r="A942" t="s">
        <v>32</v>
      </c>
      <c r="B942" s="73" t="str">
        <f>VLOOKUP(C942,'Büyükşehir List'!$C$2:$D$31,2,FALSE)</f>
        <v>DENİZLİ BÜYÜKŞEHİR</v>
      </c>
      <c r="C942" t="s">
        <v>57</v>
      </c>
      <c r="D942" s="73" t="str">
        <f t="shared" si="23"/>
        <v>DENİZLİ BÜYÜKŞEHİR/DENİZLİ</v>
      </c>
      <c r="E942" t="s">
        <v>4460</v>
      </c>
      <c r="F942" t="s">
        <v>4460</v>
      </c>
      <c r="G942" t="s">
        <v>3366</v>
      </c>
      <c r="H942">
        <v>225</v>
      </c>
      <c r="I942">
        <v>22.5</v>
      </c>
      <c r="J942">
        <v>0</v>
      </c>
      <c r="K942">
        <v>0</v>
      </c>
      <c r="L942">
        <v>225</v>
      </c>
      <c r="M942">
        <v>22.5</v>
      </c>
      <c r="O942" s="79">
        <f>IFERROR(VLOOKUP(D942,'KAPANAN BLD.'!$C$2:$D$793,2,FALSE),0)</f>
        <v>0</v>
      </c>
      <c r="P942" s="79">
        <v>0</v>
      </c>
      <c r="R942" s="79"/>
    </row>
    <row r="943" spans="1:18" x14ac:dyDescent="0.25">
      <c r="A943" t="s">
        <v>32</v>
      </c>
      <c r="B943" s="73" t="str">
        <f>VLOOKUP(C943,'Büyükşehir List'!$C$2:$D$31,2,FALSE)</f>
        <v>DENİZLİ BÜYÜKŞEHİR</v>
      </c>
      <c r="C943" t="s">
        <v>57</v>
      </c>
      <c r="D943" s="73" t="str">
        <f t="shared" si="23"/>
        <v>DENİZLİ BÜYÜKŞEHİR/DENİZLİ</v>
      </c>
      <c r="E943" t="s">
        <v>259</v>
      </c>
      <c r="F943" t="s">
        <v>259</v>
      </c>
      <c r="G943" t="s">
        <v>3366</v>
      </c>
      <c r="H943">
        <v>5761.03</v>
      </c>
      <c r="I943">
        <v>576.1</v>
      </c>
      <c r="J943">
        <v>0</v>
      </c>
      <c r="K943">
        <v>0</v>
      </c>
      <c r="L943">
        <v>5761.03</v>
      </c>
      <c r="M943">
        <v>576.1</v>
      </c>
      <c r="O943" s="79">
        <f>IFERROR(VLOOKUP(D943,'KAPANAN BLD.'!$C$2:$D$793,2,FALSE),0)</f>
        <v>0</v>
      </c>
      <c r="P943" s="79">
        <v>0</v>
      </c>
      <c r="R943" s="79"/>
    </row>
    <row r="944" spans="1:18" x14ac:dyDescent="0.25">
      <c r="A944" t="s">
        <v>32</v>
      </c>
      <c r="B944" s="73" t="str">
        <f>VLOOKUP(C944,'Büyükşehir List'!$C$2:$D$31,2,FALSE)</f>
        <v>DENİZLİ BÜYÜKŞEHİR</v>
      </c>
      <c r="C944" t="s">
        <v>57</v>
      </c>
      <c r="D944" s="73" t="str">
        <f t="shared" si="23"/>
        <v>DENİZLİ BÜYÜKŞEHİR/DENİZLİ</v>
      </c>
      <c r="E944" t="s">
        <v>259</v>
      </c>
      <c r="F944" t="s">
        <v>259</v>
      </c>
      <c r="G944" t="s">
        <v>3367</v>
      </c>
      <c r="H944">
        <v>24022.61</v>
      </c>
      <c r="I944">
        <v>2402.2600000000002</v>
      </c>
      <c r="J944">
        <v>0</v>
      </c>
      <c r="K944">
        <v>0</v>
      </c>
      <c r="L944">
        <v>24022.61</v>
      </c>
      <c r="M944">
        <v>2402.2600000000002</v>
      </c>
      <c r="O944" s="79">
        <f>IFERROR(VLOOKUP(D944,'KAPANAN BLD.'!$C$2:$D$793,2,FALSE),0)</f>
        <v>0</v>
      </c>
      <c r="P944" s="79">
        <v>0</v>
      </c>
      <c r="R944" s="79"/>
    </row>
    <row r="945" spans="1:18" x14ac:dyDescent="0.25">
      <c r="A945" t="s">
        <v>32</v>
      </c>
      <c r="B945" s="73" t="str">
        <f>VLOOKUP(C945,'Büyükşehir List'!$C$2:$D$31,2,FALSE)</f>
        <v>DENİZLİ BÜYÜKŞEHİR</v>
      </c>
      <c r="C945" t="s">
        <v>57</v>
      </c>
      <c r="D945" s="73" t="str">
        <f t="shared" si="23"/>
        <v>DENİZLİ BÜYÜKŞEHİR/DENİZLİ</v>
      </c>
      <c r="E945" t="s">
        <v>4461</v>
      </c>
      <c r="F945" t="s">
        <v>4461</v>
      </c>
      <c r="G945" t="s">
        <v>3367</v>
      </c>
      <c r="H945">
        <v>332.6</v>
      </c>
      <c r="I945">
        <v>33.26</v>
      </c>
      <c r="J945">
        <v>0</v>
      </c>
      <c r="K945">
        <v>0</v>
      </c>
      <c r="L945">
        <v>332.6</v>
      </c>
      <c r="M945">
        <v>33.26</v>
      </c>
      <c r="O945" s="79">
        <f>IFERROR(VLOOKUP(D945,'KAPANAN BLD.'!$C$2:$D$793,2,FALSE),0)</f>
        <v>0</v>
      </c>
      <c r="P945" s="79">
        <v>0</v>
      </c>
      <c r="R945" s="79"/>
    </row>
    <row r="946" spans="1:18" x14ac:dyDescent="0.25">
      <c r="A946" t="s">
        <v>32</v>
      </c>
      <c r="B946" s="73" t="str">
        <f>VLOOKUP(C946,'Büyükşehir List'!$C$2:$D$31,2,FALSE)</f>
        <v>DENİZLİ BÜYÜKŞEHİR</v>
      </c>
      <c r="C946" t="s">
        <v>57</v>
      </c>
      <c r="D946" s="73" t="str">
        <f t="shared" si="23"/>
        <v>DENİZLİ BÜYÜKŞEHİR/DENİZLİ</v>
      </c>
      <c r="E946" t="s">
        <v>4375</v>
      </c>
      <c r="F946" t="s">
        <v>4375</v>
      </c>
      <c r="G946" t="s">
        <v>3367</v>
      </c>
      <c r="H946">
        <v>336.3</v>
      </c>
      <c r="I946">
        <v>33.630000000000003</v>
      </c>
      <c r="J946">
        <v>0</v>
      </c>
      <c r="K946">
        <v>0</v>
      </c>
      <c r="L946">
        <v>336.3</v>
      </c>
      <c r="M946">
        <v>33.630000000000003</v>
      </c>
      <c r="O946" s="79">
        <f>IFERROR(VLOOKUP(D946,'KAPANAN BLD.'!$C$2:$D$793,2,FALSE),0)</f>
        <v>0</v>
      </c>
      <c r="P946" s="79">
        <v>0</v>
      </c>
      <c r="R946" s="79"/>
    </row>
    <row r="947" spans="1:18" x14ac:dyDescent="0.25">
      <c r="A947" t="s">
        <v>32</v>
      </c>
      <c r="B947" s="73" t="str">
        <f>VLOOKUP(C947,'Büyükşehir List'!$C$2:$D$31,2,FALSE)</f>
        <v>DENİZLİ BÜYÜKŞEHİR</v>
      </c>
      <c r="C947" t="s">
        <v>57</v>
      </c>
      <c r="D947" s="73" t="str">
        <f t="shared" si="23"/>
        <v>DENİZLİ BÜYÜKŞEHİR/DENİZLİ</v>
      </c>
      <c r="E947" t="s">
        <v>4375</v>
      </c>
      <c r="F947" t="s">
        <v>4375</v>
      </c>
      <c r="G947" t="s">
        <v>3366</v>
      </c>
      <c r="H947">
        <v>202.4</v>
      </c>
      <c r="I947">
        <v>20.239999999999998</v>
      </c>
      <c r="J947">
        <v>0</v>
      </c>
      <c r="K947">
        <v>0</v>
      </c>
      <c r="L947">
        <v>202.4</v>
      </c>
      <c r="M947">
        <v>20.239999999999998</v>
      </c>
      <c r="O947" s="79">
        <f>IFERROR(VLOOKUP(D947,'KAPANAN BLD.'!$C$2:$D$793,2,FALSE),0)</f>
        <v>0</v>
      </c>
      <c r="P947" s="79">
        <v>0</v>
      </c>
      <c r="R947" s="79"/>
    </row>
    <row r="948" spans="1:18" x14ac:dyDescent="0.25">
      <c r="A948" t="s">
        <v>32</v>
      </c>
      <c r="B948" s="73" t="str">
        <f>VLOOKUP(C948,'Büyükşehir List'!$C$2:$D$31,2,FALSE)</f>
        <v>DENİZLİ BÜYÜKŞEHİR</v>
      </c>
      <c r="C948" t="s">
        <v>57</v>
      </c>
      <c r="D948" s="73" t="str">
        <f t="shared" si="23"/>
        <v>DENİZLİ BÜYÜKŞEHİR/DENİZLİ</v>
      </c>
      <c r="E948" t="s">
        <v>3723</v>
      </c>
      <c r="F948" t="s">
        <v>3723</v>
      </c>
      <c r="G948" t="s">
        <v>3367</v>
      </c>
      <c r="H948">
        <v>108</v>
      </c>
      <c r="I948">
        <v>10.8</v>
      </c>
      <c r="J948">
        <v>0</v>
      </c>
      <c r="K948">
        <v>0</v>
      </c>
      <c r="L948">
        <v>108</v>
      </c>
      <c r="M948">
        <v>10.8</v>
      </c>
      <c r="O948" s="79">
        <f>IFERROR(VLOOKUP(D948,'KAPANAN BLD.'!$C$2:$D$793,2,FALSE),0)</f>
        <v>0</v>
      </c>
      <c r="P948" s="79">
        <v>0</v>
      </c>
      <c r="R948" s="79"/>
    </row>
    <row r="949" spans="1:18" x14ac:dyDescent="0.25">
      <c r="A949" t="s">
        <v>32</v>
      </c>
      <c r="B949" s="73" t="str">
        <f>VLOOKUP(C949,'Büyükşehir List'!$C$2:$D$31,2,FALSE)</f>
        <v>DENİZLİ BÜYÜKŞEHİR</v>
      </c>
      <c r="C949" t="s">
        <v>57</v>
      </c>
      <c r="D949" s="73" t="str">
        <f t="shared" si="23"/>
        <v>DENİZLİ BÜYÜKŞEHİR/DENİZLİ</v>
      </c>
      <c r="E949" t="s">
        <v>4462</v>
      </c>
      <c r="F949" t="s">
        <v>4462</v>
      </c>
      <c r="G949" t="s">
        <v>3367</v>
      </c>
      <c r="H949">
        <v>986.9</v>
      </c>
      <c r="I949">
        <v>98.69</v>
      </c>
      <c r="J949">
        <v>0</v>
      </c>
      <c r="K949">
        <v>0</v>
      </c>
      <c r="L949">
        <v>986.9</v>
      </c>
      <c r="M949">
        <v>98.69</v>
      </c>
      <c r="O949" s="79">
        <f>IFERROR(VLOOKUP(D949,'KAPANAN BLD.'!$C$2:$D$793,2,FALSE),0)</f>
        <v>0</v>
      </c>
      <c r="P949" s="79">
        <v>0</v>
      </c>
      <c r="R949" s="79"/>
    </row>
    <row r="950" spans="1:18" x14ac:dyDescent="0.25">
      <c r="A950" t="s">
        <v>32</v>
      </c>
      <c r="B950" s="73" t="str">
        <f>VLOOKUP(C950,'Büyükşehir List'!$C$2:$D$31,2,FALSE)</f>
        <v>DENİZLİ BÜYÜKŞEHİR</v>
      </c>
      <c r="C950" t="s">
        <v>57</v>
      </c>
      <c r="D950" s="73" t="str">
        <f t="shared" si="23"/>
        <v>DENİZLİ BÜYÜKŞEHİR/DENİZLİ</v>
      </c>
      <c r="E950" t="s">
        <v>4462</v>
      </c>
      <c r="F950" t="s">
        <v>4462</v>
      </c>
      <c r="G950" t="s">
        <v>3366</v>
      </c>
      <c r="H950">
        <v>737.3</v>
      </c>
      <c r="I950">
        <v>73.73</v>
      </c>
      <c r="J950">
        <v>0</v>
      </c>
      <c r="K950">
        <v>0</v>
      </c>
      <c r="L950">
        <v>737.3</v>
      </c>
      <c r="M950">
        <v>73.73</v>
      </c>
      <c r="O950" s="79">
        <f>IFERROR(VLOOKUP(D950,'KAPANAN BLD.'!$C$2:$D$793,2,FALSE),0)</f>
        <v>0</v>
      </c>
      <c r="P950" s="79">
        <v>0</v>
      </c>
      <c r="R950" s="79"/>
    </row>
    <row r="951" spans="1:18" x14ac:dyDescent="0.25">
      <c r="A951" t="s">
        <v>32</v>
      </c>
      <c r="B951" s="73" t="str">
        <f>VLOOKUP(C951,'Büyükşehir List'!$C$2:$D$31,2,FALSE)</f>
        <v>DENİZLİ BÜYÜKŞEHİR</v>
      </c>
      <c r="C951" t="s">
        <v>57</v>
      </c>
      <c r="D951" s="73" t="str">
        <f t="shared" si="23"/>
        <v>DENİZLİ BÜYÜKŞEHİR/DENİZLİ</v>
      </c>
      <c r="E951" t="s">
        <v>4348</v>
      </c>
      <c r="F951" t="s">
        <v>4348</v>
      </c>
      <c r="G951" t="s">
        <v>3367</v>
      </c>
      <c r="H951">
        <v>311.2</v>
      </c>
      <c r="I951">
        <v>31.12</v>
      </c>
      <c r="J951">
        <v>0</v>
      </c>
      <c r="K951">
        <v>0</v>
      </c>
      <c r="L951">
        <v>311.2</v>
      </c>
      <c r="M951">
        <v>31.12</v>
      </c>
      <c r="O951" s="79">
        <f>IFERROR(VLOOKUP(D951,'KAPANAN BLD.'!$C$2:$D$793,2,FALSE),0)</f>
        <v>0</v>
      </c>
      <c r="P951" s="79">
        <v>0</v>
      </c>
      <c r="R951" s="79"/>
    </row>
    <row r="952" spans="1:18" x14ac:dyDescent="0.25">
      <c r="A952" t="s">
        <v>32</v>
      </c>
      <c r="B952" s="73" t="str">
        <f>VLOOKUP(C952,'Büyükşehir List'!$C$2:$D$31,2,FALSE)</f>
        <v>DENİZLİ BÜYÜKŞEHİR</v>
      </c>
      <c r="C952" t="s">
        <v>57</v>
      </c>
      <c r="D952" s="73" t="str">
        <f t="shared" si="23"/>
        <v>DENİZLİ BÜYÜKŞEHİR/DENİZLİ</v>
      </c>
      <c r="E952" t="s">
        <v>4348</v>
      </c>
      <c r="F952" t="s">
        <v>4348</v>
      </c>
      <c r="G952" t="s">
        <v>3366</v>
      </c>
      <c r="H952">
        <v>140.19999999999999</v>
      </c>
      <c r="I952">
        <v>14.02</v>
      </c>
      <c r="J952">
        <v>0</v>
      </c>
      <c r="K952">
        <v>0</v>
      </c>
      <c r="L952">
        <v>140.19999999999999</v>
      </c>
      <c r="M952">
        <v>14.02</v>
      </c>
      <c r="O952" s="79">
        <f>IFERROR(VLOOKUP(D952,'KAPANAN BLD.'!$C$2:$D$793,2,FALSE),0)</f>
        <v>0</v>
      </c>
      <c r="P952" s="79">
        <v>0</v>
      </c>
      <c r="R952" s="79"/>
    </row>
    <row r="953" spans="1:18" x14ac:dyDescent="0.25">
      <c r="A953" t="s">
        <v>32</v>
      </c>
      <c r="B953" s="73" t="str">
        <f>VLOOKUP(C953,'Büyükşehir List'!$C$2:$D$31,2,FALSE)</f>
        <v>DENİZLİ BÜYÜKŞEHİR</v>
      </c>
      <c r="C953" t="s">
        <v>57</v>
      </c>
      <c r="D953" s="73" t="str">
        <f t="shared" si="23"/>
        <v>DENİZLİ BÜYÜKŞEHİR/DENİZLİ</v>
      </c>
      <c r="E953" t="s">
        <v>3247</v>
      </c>
      <c r="F953" t="s">
        <v>3247</v>
      </c>
      <c r="G953" t="s">
        <v>3367</v>
      </c>
      <c r="H953">
        <v>160.30000000000001</v>
      </c>
      <c r="I953">
        <v>16.03</v>
      </c>
      <c r="J953">
        <v>0</v>
      </c>
      <c r="K953">
        <v>0</v>
      </c>
      <c r="L953">
        <v>160.30000000000001</v>
      </c>
      <c r="M953">
        <v>16.03</v>
      </c>
      <c r="O953" s="79">
        <f>IFERROR(VLOOKUP(D953,'KAPANAN BLD.'!$C$2:$D$793,2,FALSE),0)</f>
        <v>0</v>
      </c>
      <c r="P953" s="79">
        <v>0</v>
      </c>
      <c r="R953" s="79"/>
    </row>
    <row r="954" spans="1:18" x14ac:dyDescent="0.25">
      <c r="A954" t="s">
        <v>32</v>
      </c>
      <c r="B954" s="73" t="str">
        <f>VLOOKUP(C954,'Büyükşehir List'!$C$2:$D$31,2,FALSE)</f>
        <v>DENİZLİ BÜYÜKŞEHİR</v>
      </c>
      <c r="C954" t="s">
        <v>57</v>
      </c>
      <c r="D954" s="73" t="str">
        <f t="shared" si="23"/>
        <v>DENİZLİ BÜYÜKŞEHİR/DENİZLİ</v>
      </c>
      <c r="E954" t="s">
        <v>2062</v>
      </c>
      <c r="F954" t="s">
        <v>2062</v>
      </c>
      <c r="G954" t="s">
        <v>3367</v>
      </c>
      <c r="H954">
        <v>140.6</v>
      </c>
      <c r="I954">
        <v>14.06</v>
      </c>
      <c r="J954">
        <v>0</v>
      </c>
      <c r="K954">
        <v>0</v>
      </c>
      <c r="L954">
        <v>140.6</v>
      </c>
      <c r="M954">
        <v>14.06</v>
      </c>
      <c r="O954" s="79">
        <f>IFERROR(VLOOKUP(D954,'KAPANAN BLD.'!$C$2:$D$793,2,FALSE),0)</f>
        <v>0</v>
      </c>
      <c r="P954" s="79">
        <v>0</v>
      </c>
      <c r="R954" s="79"/>
    </row>
    <row r="955" spans="1:18" x14ac:dyDescent="0.25">
      <c r="A955" t="s">
        <v>32</v>
      </c>
      <c r="B955" s="73" t="str">
        <f>VLOOKUP(C955,'Büyükşehir List'!$C$2:$D$31,2,FALSE)</f>
        <v>DENİZLİ BÜYÜKŞEHİR</v>
      </c>
      <c r="C955" t="s">
        <v>57</v>
      </c>
      <c r="D955" s="73" t="str">
        <f t="shared" si="23"/>
        <v>DENİZLİ BÜYÜKŞEHİR/DENİZLİ</v>
      </c>
      <c r="E955" t="s">
        <v>4463</v>
      </c>
      <c r="F955" t="s">
        <v>4463</v>
      </c>
      <c r="G955" t="s">
        <v>3367</v>
      </c>
      <c r="H955">
        <v>545.70000000000005</v>
      </c>
      <c r="I955">
        <v>54.57</v>
      </c>
      <c r="J955">
        <v>0</v>
      </c>
      <c r="K955">
        <v>0</v>
      </c>
      <c r="L955">
        <v>545.70000000000005</v>
      </c>
      <c r="M955">
        <v>54.57</v>
      </c>
      <c r="O955" s="79">
        <f>IFERROR(VLOOKUP(D955,'KAPANAN BLD.'!$C$2:$D$793,2,FALSE),0)</f>
        <v>0</v>
      </c>
      <c r="P955" s="79">
        <v>0</v>
      </c>
      <c r="R955" s="79"/>
    </row>
    <row r="956" spans="1:18" x14ac:dyDescent="0.25">
      <c r="A956" t="s">
        <v>32</v>
      </c>
      <c r="B956" s="73" t="str">
        <f>VLOOKUP(C956,'Büyükşehir List'!$C$2:$D$31,2,FALSE)</f>
        <v>DENİZLİ BÜYÜKŞEHİR</v>
      </c>
      <c r="C956" t="s">
        <v>57</v>
      </c>
      <c r="D956" s="73" t="str">
        <f t="shared" si="23"/>
        <v>DENİZLİ BÜYÜKŞEHİR/DENİZLİ</v>
      </c>
      <c r="E956" t="s">
        <v>4463</v>
      </c>
      <c r="F956" t="s">
        <v>4463</v>
      </c>
      <c r="G956" t="s">
        <v>3366</v>
      </c>
      <c r="H956">
        <v>125.3</v>
      </c>
      <c r="I956">
        <v>12.53</v>
      </c>
      <c r="J956">
        <v>0</v>
      </c>
      <c r="K956">
        <v>0</v>
      </c>
      <c r="L956">
        <v>125.3</v>
      </c>
      <c r="M956">
        <v>12.53</v>
      </c>
      <c r="O956" s="79">
        <f>IFERROR(VLOOKUP(D956,'KAPANAN BLD.'!$C$2:$D$793,2,FALSE),0)</f>
        <v>0</v>
      </c>
      <c r="P956" s="79">
        <v>0</v>
      </c>
      <c r="R956" s="79"/>
    </row>
    <row r="957" spans="1:18" x14ac:dyDescent="0.25">
      <c r="A957" t="s">
        <v>32</v>
      </c>
      <c r="B957" s="73" t="str">
        <f>VLOOKUP(C957,'Büyükşehir List'!$C$2:$D$31,2,FALSE)</f>
        <v>DENİZLİ BÜYÜKŞEHİR</v>
      </c>
      <c r="C957" t="s">
        <v>57</v>
      </c>
      <c r="D957" s="73" t="str">
        <f t="shared" si="23"/>
        <v>DENİZLİ BÜYÜKŞEHİR/DENİZLİ</v>
      </c>
      <c r="E957" t="s">
        <v>3757</v>
      </c>
      <c r="F957" t="s">
        <v>3757</v>
      </c>
      <c r="G957" t="s">
        <v>3366</v>
      </c>
      <c r="H957">
        <v>191905.34</v>
      </c>
      <c r="I957">
        <v>19190.53</v>
      </c>
      <c r="J957">
        <v>7612.7</v>
      </c>
      <c r="K957">
        <v>761.27</v>
      </c>
      <c r="L957">
        <v>184292.64</v>
      </c>
      <c r="M957">
        <v>18429.259999999998</v>
      </c>
      <c r="O957" s="79">
        <f>IFERROR(VLOOKUP(D957,'KAPANAN BLD.'!$C$2:$D$793,2,FALSE),0)</f>
        <v>0</v>
      </c>
      <c r="P957" s="79">
        <v>0</v>
      </c>
      <c r="R957" s="79"/>
    </row>
    <row r="958" spans="1:18" x14ac:dyDescent="0.25">
      <c r="A958" t="s">
        <v>32</v>
      </c>
      <c r="B958" s="73" t="str">
        <f>VLOOKUP(C958,'Büyükşehir List'!$C$2:$D$31,2,FALSE)</f>
        <v>DENİZLİ BÜYÜKŞEHİR</v>
      </c>
      <c r="C958" t="s">
        <v>57</v>
      </c>
      <c r="D958" s="73" t="str">
        <f t="shared" si="23"/>
        <v>DENİZLİ BÜYÜKŞEHİR/DENİZLİ</v>
      </c>
      <c r="E958" t="s">
        <v>3757</v>
      </c>
      <c r="F958" t="s">
        <v>3757</v>
      </c>
      <c r="G958" t="s">
        <v>3367</v>
      </c>
      <c r="H958">
        <v>243356.25</v>
      </c>
      <c r="I958">
        <v>24335.62</v>
      </c>
      <c r="J958">
        <v>13926</v>
      </c>
      <c r="K958">
        <v>1392.6</v>
      </c>
      <c r="L958">
        <v>229430.25</v>
      </c>
      <c r="M958">
        <v>22943.02</v>
      </c>
      <c r="O958" s="79">
        <f>IFERROR(VLOOKUP(D958,'KAPANAN BLD.'!$C$2:$D$793,2,FALSE),0)</f>
        <v>0</v>
      </c>
      <c r="P958" s="79">
        <v>0</v>
      </c>
      <c r="R958" s="79"/>
    </row>
    <row r="959" spans="1:18" x14ac:dyDescent="0.25">
      <c r="A959" t="s">
        <v>32</v>
      </c>
      <c r="B959" s="73" t="str">
        <f>VLOOKUP(C959,'Büyükşehir List'!$C$2:$D$31,2,FALSE)</f>
        <v>DENİZLİ BÜYÜKŞEHİR</v>
      </c>
      <c r="C959" t="s">
        <v>57</v>
      </c>
      <c r="D959" s="73" t="str">
        <f t="shared" si="23"/>
        <v>DENİZLİ BÜYÜKŞEHİR/DENİZLİ</v>
      </c>
      <c r="E959" t="s">
        <v>441</v>
      </c>
      <c r="F959" t="s">
        <v>441</v>
      </c>
      <c r="G959" t="s">
        <v>3367</v>
      </c>
      <c r="H959">
        <v>49981.74</v>
      </c>
      <c r="I959">
        <v>4998.17</v>
      </c>
      <c r="J959">
        <v>3043.5</v>
      </c>
      <c r="K959">
        <v>304.35000000000002</v>
      </c>
      <c r="L959">
        <v>46938.239999999998</v>
      </c>
      <c r="M959">
        <v>4693.82</v>
      </c>
      <c r="O959" s="79">
        <f>IFERROR(VLOOKUP(D959,'KAPANAN BLD.'!$C$2:$D$793,2,FALSE),0)</f>
        <v>0</v>
      </c>
      <c r="P959" s="79">
        <v>0</v>
      </c>
      <c r="R959" s="79"/>
    </row>
    <row r="960" spans="1:18" x14ac:dyDescent="0.25">
      <c r="A960" t="s">
        <v>32</v>
      </c>
      <c r="B960" s="73" t="str">
        <f>VLOOKUP(C960,'Büyükşehir List'!$C$2:$D$31,2,FALSE)</f>
        <v>DENİZLİ BÜYÜKŞEHİR</v>
      </c>
      <c r="C960" t="s">
        <v>57</v>
      </c>
      <c r="D960" s="73" t="str">
        <f t="shared" si="23"/>
        <v>DENİZLİ BÜYÜKŞEHİR/DENİZLİ</v>
      </c>
      <c r="E960" t="s">
        <v>441</v>
      </c>
      <c r="F960" t="s">
        <v>441</v>
      </c>
      <c r="G960" t="s">
        <v>3366</v>
      </c>
      <c r="H960">
        <v>80638.42</v>
      </c>
      <c r="I960">
        <v>8063.84</v>
      </c>
      <c r="J960">
        <v>1989.77</v>
      </c>
      <c r="K960">
        <v>198.98</v>
      </c>
      <c r="L960">
        <v>78648.649999999994</v>
      </c>
      <c r="M960">
        <v>7864.86</v>
      </c>
      <c r="O960" s="79">
        <f>IFERROR(VLOOKUP(D960,'KAPANAN BLD.'!$C$2:$D$793,2,FALSE),0)</f>
        <v>0</v>
      </c>
      <c r="P960" s="79">
        <v>0</v>
      </c>
      <c r="R960" s="79"/>
    </row>
    <row r="961" spans="1:18" x14ac:dyDescent="0.25">
      <c r="A961" t="s">
        <v>32</v>
      </c>
      <c r="B961" s="73" t="str">
        <f>VLOOKUP(C961,'Büyükşehir List'!$C$2:$D$31,2,FALSE)</f>
        <v>DENİZLİ BÜYÜKŞEHİR</v>
      </c>
      <c r="C961" t="s">
        <v>57</v>
      </c>
      <c r="D961" s="73" t="str">
        <f t="shared" si="23"/>
        <v>DENİZLİ BÜYÜKŞEHİR/DENİZLİ</v>
      </c>
      <c r="E961" t="s">
        <v>554</v>
      </c>
      <c r="F961" t="s">
        <v>554</v>
      </c>
      <c r="G961" t="s">
        <v>3367</v>
      </c>
      <c r="H961">
        <v>31.4</v>
      </c>
      <c r="I961">
        <v>3.14</v>
      </c>
      <c r="J961">
        <v>0</v>
      </c>
      <c r="K961">
        <v>0</v>
      </c>
      <c r="L961">
        <v>31.4</v>
      </c>
      <c r="M961">
        <v>3.14</v>
      </c>
      <c r="O961" s="79">
        <f>IFERROR(VLOOKUP(D961,'KAPANAN BLD.'!$C$2:$D$793,2,FALSE),0)</f>
        <v>0</v>
      </c>
      <c r="P961" s="79">
        <v>0</v>
      </c>
      <c r="R961" s="79"/>
    </row>
    <row r="962" spans="1:18" x14ac:dyDescent="0.25">
      <c r="A962" t="s">
        <v>32</v>
      </c>
      <c r="B962" s="73" t="str">
        <f>VLOOKUP(C962,'Büyükşehir List'!$C$2:$D$31,2,FALSE)</f>
        <v>DENİZLİ BÜYÜKŞEHİR</v>
      </c>
      <c r="C962" t="s">
        <v>57</v>
      </c>
      <c r="D962" s="73" t="str">
        <f t="shared" si="23"/>
        <v>DENİZLİ BÜYÜKŞEHİR/DENİZLİ</v>
      </c>
      <c r="E962" t="s">
        <v>554</v>
      </c>
      <c r="F962" t="s">
        <v>554</v>
      </c>
      <c r="G962" t="s">
        <v>3366</v>
      </c>
      <c r="H962">
        <v>2103.8000000000002</v>
      </c>
      <c r="I962">
        <v>210.38</v>
      </c>
      <c r="J962">
        <v>0</v>
      </c>
      <c r="K962">
        <v>0</v>
      </c>
      <c r="L962">
        <v>2103.8000000000002</v>
      </c>
      <c r="M962">
        <v>210.38</v>
      </c>
      <c r="O962" s="79">
        <f>IFERROR(VLOOKUP(D962,'KAPANAN BLD.'!$C$2:$D$793,2,FALSE),0)</f>
        <v>0</v>
      </c>
      <c r="P962" s="79">
        <v>0</v>
      </c>
      <c r="R962" s="79"/>
    </row>
    <row r="963" spans="1:18" x14ac:dyDescent="0.25">
      <c r="A963" t="s">
        <v>32</v>
      </c>
      <c r="B963" s="73" t="str">
        <f>VLOOKUP(C963,'Büyükşehir List'!$C$2:$D$31,2,FALSE)</f>
        <v>DENİZLİ BÜYÜKŞEHİR</v>
      </c>
      <c r="C963" t="s">
        <v>57</v>
      </c>
      <c r="D963" s="73" t="str">
        <f t="shared" ref="D963:D1026" si="24">CONCATENATE(B963,"/",C963)</f>
        <v>DENİZLİ BÜYÜKŞEHİR/DENİZLİ</v>
      </c>
      <c r="E963" t="s">
        <v>329</v>
      </c>
      <c r="F963" t="s">
        <v>329</v>
      </c>
      <c r="G963" t="s">
        <v>3366</v>
      </c>
      <c r="H963">
        <v>43.2</v>
      </c>
      <c r="I963">
        <v>4.32</v>
      </c>
      <c r="J963">
        <v>0</v>
      </c>
      <c r="K963">
        <v>0</v>
      </c>
      <c r="L963">
        <v>43.2</v>
      </c>
      <c r="M963">
        <v>4.32</v>
      </c>
      <c r="O963" s="79">
        <f>IFERROR(VLOOKUP(D963,'KAPANAN BLD.'!$C$2:$D$793,2,FALSE),0)</f>
        <v>0</v>
      </c>
      <c r="P963" s="79">
        <v>0</v>
      </c>
      <c r="R963" s="79"/>
    </row>
    <row r="964" spans="1:18" x14ac:dyDescent="0.25">
      <c r="A964" t="s">
        <v>32</v>
      </c>
      <c r="B964" s="73" t="str">
        <f>VLOOKUP(C964,'Büyükşehir List'!$C$2:$D$31,2,FALSE)</f>
        <v>DENİZLİ BÜYÜKŞEHİR</v>
      </c>
      <c r="C964" t="s">
        <v>57</v>
      </c>
      <c r="D964" s="73" t="str">
        <f t="shared" si="24"/>
        <v>DENİZLİ BÜYÜKŞEHİR/DENİZLİ</v>
      </c>
      <c r="E964" t="s">
        <v>329</v>
      </c>
      <c r="F964" t="s">
        <v>329</v>
      </c>
      <c r="G964" t="s">
        <v>3367</v>
      </c>
      <c r="H964">
        <v>102.1</v>
      </c>
      <c r="I964">
        <v>10.210000000000001</v>
      </c>
      <c r="J964">
        <v>0</v>
      </c>
      <c r="K964">
        <v>0</v>
      </c>
      <c r="L964">
        <v>102.1</v>
      </c>
      <c r="M964">
        <v>10.210000000000001</v>
      </c>
      <c r="O964" s="79">
        <f>IFERROR(VLOOKUP(D964,'KAPANAN BLD.'!$C$2:$D$793,2,FALSE),0)</f>
        <v>0</v>
      </c>
      <c r="P964" s="79">
        <v>0</v>
      </c>
      <c r="R964" s="79"/>
    </row>
    <row r="965" spans="1:18" x14ac:dyDescent="0.25">
      <c r="A965" t="s">
        <v>32</v>
      </c>
      <c r="B965" s="73" t="str">
        <f>VLOOKUP(C965,'Büyükşehir List'!$C$2:$D$31,2,FALSE)</f>
        <v>DENİZLİ BÜYÜKŞEHİR</v>
      </c>
      <c r="C965" t="s">
        <v>57</v>
      </c>
      <c r="D965" s="73" t="str">
        <f t="shared" si="24"/>
        <v>DENİZLİ BÜYÜKŞEHİR/DENİZLİ</v>
      </c>
      <c r="E965" t="s">
        <v>4464</v>
      </c>
      <c r="F965" t="s">
        <v>4464</v>
      </c>
      <c r="G965" t="s">
        <v>3367</v>
      </c>
      <c r="H965">
        <v>73.599999999999994</v>
      </c>
      <c r="I965">
        <v>7.36</v>
      </c>
      <c r="J965">
        <v>0</v>
      </c>
      <c r="K965">
        <v>0</v>
      </c>
      <c r="L965">
        <v>73.599999999999994</v>
      </c>
      <c r="M965">
        <v>7.36</v>
      </c>
      <c r="O965" s="79">
        <f>IFERROR(VLOOKUP(D965,'KAPANAN BLD.'!$C$2:$D$793,2,FALSE),0)</f>
        <v>0</v>
      </c>
      <c r="P965" s="79">
        <v>0</v>
      </c>
      <c r="R965" s="79"/>
    </row>
    <row r="966" spans="1:18" x14ac:dyDescent="0.25">
      <c r="A966" t="s">
        <v>32</v>
      </c>
      <c r="B966" s="73" t="str">
        <f>VLOOKUP(C966,'Büyükşehir List'!$C$2:$D$31,2,FALSE)</f>
        <v>DENİZLİ BÜYÜKŞEHİR</v>
      </c>
      <c r="C966" t="s">
        <v>57</v>
      </c>
      <c r="D966" s="73" t="str">
        <f t="shared" si="24"/>
        <v>DENİZLİ BÜYÜKŞEHİR/DENİZLİ</v>
      </c>
      <c r="E966" t="s">
        <v>4465</v>
      </c>
      <c r="F966" t="s">
        <v>4465</v>
      </c>
      <c r="G966" t="s">
        <v>3367</v>
      </c>
      <c r="H966">
        <v>482.8</v>
      </c>
      <c r="I966">
        <v>48.28</v>
      </c>
      <c r="J966">
        <v>0</v>
      </c>
      <c r="K966">
        <v>0</v>
      </c>
      <c r="L966">
        <v>482.8</v>
      </c>
      <c r="M966">
        <v>48.28</v>
      </c>
      <c r="O966" s="79">
        <f>IFERROR(VLOOKUP(D966,'KAPANAN BLD.'!$C$2:$D$793,2,FALSE),0)</f>
        <v>0</v>
      </c>
      <c r="P966" s="79">
        <v>0</v>
      </c>
      <c r="R966" s="79"/>
    </row>
    <row r="967" spans="1:18" x14ac:dyDescent="0.25">
      <c r="A967" t="s">
        <v>32</v>
      </c>
      <c r="B967" s="73" t="str">
        <f>VLOOKUP(C967,'Büyükşehir List'!$C$2:$D$31,2,FALSE)</f>
        <v>DENİZLİ BÜYÜKŞEHİR</v>
      </c>
      <c r="C967" t="s">
        <v>57</v>
      </c>
      <c r="D967" s="73" t="str">
        <f t="shared" si="24"/>
        <v>DENİZLİ BÜYÜKŞEHİR/DENİZLİ</v>
      </c>
      <c r="E967" t="s">
        <v>4465</v>
      </c>
      <c r="F967" t="s">
        <v>4465</v>
      </c>
      <c r="G967" t="s">
        <v>3366</v>
      </c>
      <c r="H967">
        <v>322.7</v>
      </c>
      <c r="I967">
        <v>32.270000000000003</v>
      </c>
      <c r="J967">
        <v>0</v>
      </c>
      <c r="K967">
        <v>0</v>
      </c>
      <c r="L967">
        <v>322.7</v>
      </c>
      <c r="M967">
        <v>32.270000000000003</v>
      </c>
      <c r="O967" s="79">
        <f>IFERROR(VLOOKUP(D967,'KAPANAN BLD.'!$C$2:$D$793,2,FALSE),0)</f>
        <v>0</v>
      </c>
      <c r="P967" s="79">
        <v>0</v>
      </c>
      <c r="R967" s="79"/>
    </row>
    <row r="968" spans="1:18" x14ac:dyDescent="0.25">
      <c r="A968" t="s">
        <v>32</v>
      </c>
      <c r="B968" s="73" t="str">
        <f>VLOOKUP(C968,'Büyükşehir List'!$C$2:$D$31,2,FALSE)</f>
        <v>DENİZLİ BÜYÜKŞEHİR</v>
      </c>
      <c r="C968" t="s">
        <v>57</v>
      </c>
      <c r="D968" s="73" t="str">
        <f t="shared" si="24"/>
        <v>DENİZLİ BÜYÜKŞEHİR/DENİZLİ</v>
      </c>
      <c r="E968" t="s">
        <v>4376</v>
      </c>
      <c r="F968" t="s">
        <v>4376</v>
      </c>
      <c r="G968" t="s">
        <v>3366</v>
      </c>
      <c r="H968">
        <v>24.9</v>
      </c>
      <c r="I968">
        <v>2.4900000000000002</v>
      </c>
      <c r="J968">
        <v>0</v>
      </c>
      <c r="K968">
        <v>0</v>
      </c>
      <c r="L968">
        <v>24.9</v>
      </c>
      <c r="M968">
        <v>2.4900000000000002</v>
      </c>
      <c r="O968" s="79">
        <f>IFERROR(VLOOKUP(D968,'KAPANAN BLD.'!$C$2:$D$793,2,FALSE),0)</f>
        <v>0</v>
      </c>
      <c r="P968" s="79">
        <v>0</v>
      </c>
      <c r="R968" s="79"/>
    </row>
    <row r="969" spans="1:18" x14ac:dyDescent="0.25">
      <c r="A969" t="s">
        <v>32</v>
      </c>
      <c r="B969" s="73" t="str">
        <f>VLOOKUP(C969,'Büyükşehir List'!$C$2:$D$31,2,FALSE)</f>
        <v>DENİZLİ BÜYÜKŞEHİR</v>
      </c>
      <c r="C969" t="s">
        <v>57</v>
      </c>
      <c r="D969" s="73" t="str">
        <f t="shared" si="24"/>
        <v>DENİZLİ BÜYÜKŞEHİR/DENİZLİ</v>
      </c>
      <c r="E969" t="s">
        <v>4376</v>
      </c>
      <c r="F969" t="s">
        <v>4376</v>
      </c>
      <c r="G969" t="s">
        <v>3367</v>
      </c>
      <c r="H969">
        <v>81.2</v>
      </c>
      <c r="I969">
        <v>8.1199999999999992</v>
      </c>
      <c r="J969">
        <v>0</v>
      </c>
      <c r="K969">
        <v>0</v>
      </c>
      <c r="L969">
        <v>81.2</v>
      </c>
      <c r="M969">
        <v>8.1199999999999992</v>
      </c>
      <c r="O969" s="79">
        <f>IFERROR(VLOOKUP(D969,'KAPANAN BLD.'!$C$2:$D$793,2,FALSE),0)</f>
        <v>0</v>
      </c>
      <c r="P969" s="79">
        <v>0</v>
      </c>
      <c r="R969" s="79"/>
    </row>
    <row r="970" spans="1:18" x14ac:dyDescent="0.25">
      <c r="A970" t="s">
        <v>32</v>
      </c>
      <c r="B970" s="73" t="str">
        <f>VLOOKUP(C970,'Büyükşehir List'!$C$2:$D$31,2,FALSE)</f>
        <v>DENİZLİ BÜYÜKŞEHİR</v>
      </c>
      <c r="C970" t="s">
        <v>57</v>
      </c>
      <c r="D970" s="73" t="str">
        <f t="shared" si="24"/>
        <v>DENİZLİ BÜYÜKŞEHİR/DENİZLİ</v>
      </c>
      <c r="E970" t="s">
        <v>282</v>
      </c>
      <c r="F970" t="s">
        <v>282</v>
      </c>
      <c r="G970" t="s">
        <v>3367</v>
      </c>
      <c r="H970">
        <v>0.3</v>
      </c>
      <c r="I970">
        <v>0.03</v>
      </c>
      <c r="J970">
        <v>0</v>
      </c>
      <c r="K970">
        <v>0</v>
      </c>
      <c r="L970">
        <v>0.3</v>
      </c>
      <c r="M970">
        <v>0.03</v>
      </c>
      <c r="O970" s="79">
        <f>IFERROR(VLOOKUP(D970,'KAPANAN BLD.'!$C$2:$D$793,2,FALSE),0)</f>
        <v>0</v>
      </c>
      <c r="P970" s="79">
        <v>0</v>
      </c>
      <c r="R970" s="79"/>
    </row>
    <row r="971" spans="1:18" x14ac:dyDescent="0.25">
      <c r="A971" t="s">
        <v>32</v>
      </c>
      <c r="B971" s="73" t="str">
        <f>VLOOKUP(C971,'Büyükşehir List'!$C$2:$D$31,2,FALSE)</f>
        <v>DENİZLİ BÜYÜKŞEHİR</v>
      </c>
      <c r="C971" t="s">
        <v>57</v>
      </c>
      <c r="D971" s="73" t="str">
        <f t="shared" si="24"/>
        <v>DENİZLİ BÜYÜKŞEHİR/DENİZLİ</v>
      </c>
      <c r="E971" t="s">
        <v>282</v>
      </c>
      <c r="F971" t="s">
        <v>282</v>
      </c>
      <c r="G971" t="s">
        <v>3366</v>
      </c>
      <c r="H971">
        <v>79.3</v>
      </c>
      <c r="I971">
        <v>7.93</v>
      </c>
      <c r="J971">
        <v>0</v>
      </c>
      <c r="K971">
        <v>0</v>
      </c>
      <c r="L971">
        <v>79.3</v>
      </c>
      <c r="M971">
        <v>7.93</v>
      </c>
      <c r="O971" s="79">
        <f>IFERROR(VLOOKUP(D971,'KAPANAN BLD.'!$C$2:$D$793,2,FALSE),0)</f>
        <v>0</v>
      </c>
      <c r="P971" s="79">
        <v>0</v>
      </c>
      <c r="R971" s="79"/>
    </row>
    <row r="972" spans="1:18" x14ac:dyDescent="0.25">
      <c r="A972" t="s">
        <v>32</v>
      </c>
      <c r="B972" s="73" t="str">
        <f>VLOOKUP(C972,'Büyükşehir List'!$C$2:$D$31,2,FALSE)</f>
        <v>DENİZLİ BÜYÜKŞEHİR</v>
      </c>
      <c r="C972" t="s">
        <v>57</v>
      </c>
      <c r="D972" s="73" t="str">
        <f t="shared" si="24"/>
        <v>DENİZLİ BÜYÜKŞEHİR/DENİZLİ</v>
      </c>
      <c r="E972" t="s">
        <v>4466</v>
      </c>
      <c r="F972" t="s">
        <v>4466</v>
      </c>
      <c r="G972" t="s">
        <v>3367</v>
      </c>
      <c r="H972">
        <v>358</v>
      </c>
      <c r="I972">
        <v>35.799999999999997</v>
      </c>
      <c r="J972">
        <v>0</v>
      </c>
      <c r="K972">
        <v>0</v>
      </c>
      <c r="L972">
        <v>358</v>
      </c>
      <c r="M972">
        <v>35.799999999999997</v>
      </c>
      <c r="O972" s="79">
        <f>IFERROR(VLOOKUP(D972,'KAPANAN BLD.'!$C$2:$D$793,2,FALSE),0)</f>
        <v>0</v>
      </c>
      <c r="P972" s="79">
        <v>0</v>
      </c>
      <c r="R972" s="79"/>
    </row>
    <row r="973" spans="1:18" x14ac:dyDescent="0.25">
      <c r="A973" t="s">
        <v>32</v>
      </c>
      <c r="B973" s="73" t="str">
        <f>VLOOKUP(C973,'Büyükşehir List'!$C$2:$D$31,2,FALSE)</f>
        <v>DENİZLİ BÜYÜKŞEHİR</v>
      </c>
      <c r="C973" t="s">
        <v>57</v>
      </c>
      <c r="D973" s="73" t="str">
        <f t="shared" si="24"/>
        <v>DENİZLİ BÜYÜKŞEHİR/DENİZLİ</v>
      </c>
      <c r="E973" t="s">
        <v>4466</v>
      </c>
      <c r="F973" t="s">
        <v>4466</v>
      </c>
      <c r="G973" t="s">
        <v>3366</v>
      </c>
      <c r="H973">
        <v>5.4</v>
      </c>
      <c r="I973">
        <v>0.54</v>
      </c>
      <c r="J973">
        <v>0</v>
      </c>
      <c r="K973">
        <v>0</v>
      </c>
      <c r="L973">
        <v>5.4</v>
      </c>
      <c r="M973">
        <v>0.54</v>
      </c>
      <c r="O973" s="79">
        <f>IFERROR(VLOOKUP(D973,'KAPANAN BLD.'!$C$2:$D$793,2,FALSE),0)</f>
        <v>0</v>
      </c>
      <c r="P973" s="79">
        <v>0</v>
      </c>
      <c r="R973" s="79"/>
    </row>
    <row r="974" spans="1:18" x14ac:dyDescent="0.25">
      <c r="A974" t="s">
        <v>32</v>
      </c>
      <c r="B974" s="73" t="str">
        <f>VLOOKUP(C974,'Büyükşehir List'!$C$2:$D$31,2,FALSE)</f>
        <v>DENİZLİ BÜYÜKŞEHİR</v>
      </c>
      <c r="C974" t="s">
        <v>57</v>
      </c>
      <c r="D974" s="73" t="str">
        <f t="shared" si="24"/>
        <v>DENİZLİ BÜYÜKŞEHİR/DENİZLİ</v>
      </c>
      <c r="E974" t="s">
        <v>3758</v>
      </c>
      <c r="F974" t="s">
        <v>3758</v>
      </c>
      <c r="G974" t="s">
        <v>3367</v>
      </c>
      <c r="H974">
        <v>697.8</v>
      </c>
      <c r="I974">
        <v>69.78</v>
      </c>
      <c r="J974">
        <v>0</v>
      </c>
      <c r="K974">
        <v>0</v>
      </c>
      <c r="L974">
        <v>697.8</v>
      </c>
      <c r="M974">
        <v>69.78</v>
      </c>
      <c r="O974" s="79">
        <f>IFERROR(VLOOKUP(D974,'KAPANAN BLD.'!$C$2:$D$793,2,FALSE),0)</f>
        <v>0</v>
      </c>
      <c r="P974" s="79">
        <v>0</v>
      </c>
      <c r="R974" s="79"/>
    </row>
    <row r="975" spans="1:18" x14ac:dyDescent="0.25">
      <c r="A975" t="s">
        <v>32</v>
      </c>
      <c r="B975" s="73" t="str">
        <f>VLOOKUP(C975,'Büyükşehir List'!$C$2:$D$31,2,FALSE)</f>
        <v>DENİZLİ BÜYÜKŞEHİR</v>
      </c>
      <c r="C975" t="s">
        <v>57</v>
      </c>
      <c r="D975" s="73" t="str">
        <f t="shared" si="24"/>
        <v>DENİZLİ BÜYÜKŞEHİR/DENİZLİ</v>
      </c>
      <c r="E975" t="s">
        <v>3758</v>
      </c>
      <c r="F975" t="s">
        <v>3758</v>
      </c>
      <c r="G975" t="s">
        <v>3366</v>
      </c>
      <c r="H975">
        <v>1753.5</v>
      </c>
      <c r="I975">
        <v>175.35</v>
      </c>
      <c r="J975">
        <v>0</v>
      </c>
      <c r="K975">
        <v>0</v>
      </c>
      <c r="L975">
        <v>1753.5</v>
      </c>
      <c r="M975">
        <v>175.35</v>
      </c>
      <c r="O975" s="79">
        <f>IFERROR(VLOOKUP(D975,'KAPANAN BLD.'!$C$2:$D$793,2,FALSE),0)</f>
        <v>0</v>
      </c>
      <c r="P975" s="79">
        <v>0</v>
      </c>
      <c r="R975" s="79"/>
    </row>
    <row r="976" spans="1:18" x14ac:dyDescent="0.25">
      <c r="A976" t="s">
        <v>32</v>
      </c>
      <c r="B976" s="73" t="str">
        <f>VLOOKUP(C976,'Büyükşehir List'!$C$2:$D$31,2,FALSE)</f>
        <v>DENİZLİ BÜYÜKŞEHİR</v>
      </c>
      <c r="C976" t="s">
        <v>57</v>
      </c>
      <c r="D976" s="73" t="str">
        <f t="shared" si="24"/>
        <v>DENİZLİ BÜYÜKŞEHİR/DENİZLİ</v>
      </c>
      <c r="E976" t="s">
        <v>3070</v>
      </c>
      <c r="F976" t="s">
        <v>3070</v>
      </c>
      <c r="G976" t="s">
        <v>3367</v>
      </c>
      <c r="H976">
        <v>9.6</v>
      </c>
      <c r="I976">
        <v>0.96</v>
      </c>
      <c r="J976">
        <v>0</v>
      </c>
      <c r="K976">
        <v>0</v>
      </c>
      <c r="L976">
        <v>9.6</v>
      </c>
      <c r="M976">
        <v>0.96</v>
      </c>
      <c r="O976" s="79">
        <f>IFERROR(VLOOKUP(D976,'KAPANAN BLD.'!$C$2:$D$793,2,FALSE),0)</f>
        <v>0</v>
      </c>
      <c r="P976" s="79">
        <v>0</v>
      </c>
      <c r="R976" s="79"/>
    </row>
    <row r="977" spans="1:18" x14ac:dyDescent="0.25">
      <c r="A977" t="s">
        <v>32</v>
      </c>
      <c r="B977" s="73" t="str">
        <f>VLOOKUP(C977,'Büyükşehir List'!$C$2:$D$31,2,FALSE)</f>
        <v>DENİZLİ BÜYÜKŞEHİR</v>
      </c>
      <c r="C977" t="s">
        <v>57</v>
      </c>
      <c r="D977" s="73" t="str">
        <f t="shared" si="24"/>
        <v>DENİZLİ BÜYÜKŞEHİR/DENİZLİ</v>
      </c>
      <c r="E977" t="s">
        <v>3070</v>
      </c>
      <c r="F977" t="s">
        <v>3070</v>
      </c>
      <c r="G977" t="s">
        <v>3366</v>
      </c>
      <c r="H977">
        <v>3.1</v>
      </c>
      <c r="I977">
        <v>0.31</v>
      </c>
      <c r="J977">
        <v>0</v>
      </c>
      <c r="K977">
        <v>0</v>
      </c>
      <c r="L977">
        <v>3.1</v>
      </c>
      <c r="M977">
        <v>0.31</v>
      </c>
      <c r="O977" s="79">
        <f>IFERROR(VLOOKUP(D977,'KAPANAN BLD.'!$C$2:$D$793,2,FALSE),0)</f>
        <v>0</v>
      </c>
      <c r="P977" s="79">
        <v>0</v>
      </c>
      <c r="R977" s="79"/>
    </row>
    <row r="978" spans="1:18" x14ac:dyDescent="0.25">
      <c r="A978" t="s">
        <v>32</v>
      </c>
      <c r="B978" s="73" t="str">
        <f>VLOOKUP(C978,'Büyükşehir List'!$C$2:$D$31,2,FALSE)</f>
        <v>DENİZLİ BÜYÜKŞEHİR</v>
      </c>
      <c r="C978" t="s">
        <v>57</v>
      </c>
      <c r="D978" s="73" t="str">
        <f t="shared" si="24"/>
        <v>DENİZLİ BÜYÜKŞEHİR/DENİZLİ</v>
      </c>
      <c r="E978" t="s">
        <v>4467</v>
      </c>
      <c r="F978" t="s">
        <v>4467</v>
      </c>
      <c r="G978" t="s">
        <v>3367</v>
      </c>
      <c r="H978">
        <v>72.400000000000006</v>
      </c>
      <c r="I978">
        <v>7.24</v>
      </c>
      <c r="J978">
        <v>0</v>
      </c>
      <c r="K978">
        <v>0</v>
      </c>
      <c r="L978">
        <v>72.400000000000006</v>
      </c>
      <c r="M978">
        <v>7.24</v>
      </c>
      <c r="O978" s="79">
        <f>IFERROR(VLOOKUP(D978,'KAPANAN BLD.'!$C$2:$D$793,2,FALSE),0)</f>
        <v>0</v>
      </c>
      <c r="P978" s="79">
        <v>0</v>
      </c>
      <c r="R978" s="79"/>
    </row>
    <row r="979" spans="1:18" x14ac:dyDescent="0.25">
      <c r="A979" t="s">
        <v>32</v>
      </c>
      <c r="B979" s="73" t="str">
        <f>VLOOKUP(C979,'Büyükşehir List'!$C$2:$D$31,2,FALSE)</f>
        <v>DENİZLİ BÜYÜKŞEHİR</v>
      </c>
      <c r="C979" t="s">
        <v>57</v>
      </c>
      <c r="D979" s="73" t="str">
        <f t="shared" si="24"/>
        <v>DENİZLİ BÜYÜKŞEHİR/DENİZLİ</v>
      </c>
      <c r="E979" t="s">
        <v>4467</v>
      </c>
      <c r="F979" t="s">
        <v>4467</v>
      </c>
      <c r="G979" t="s">
        <v>3366</v>
      </c>
      <c r="H979">
        <v>22.3</v>
      </c>
      <c r="I979">
        <v>2.23</v>
      </c>
      <c r="J979">
        <v>0</v>
      </c>
      <c r="K979">
        <v>0</v>
      </c>
      <c r="L979">
        <v>22.3</v>
      </c>
      <c r="M979">
        <v>2.23</v>
      </c>
      <c r="O979" s="79">
        <f>IFERROR(VLOOKUP(D979,'KAPANAN BLD.'!$C$2:$D$793,2,FALSE),0)</f>
        <v>0</v>
      </c>
      <c r="P979" s="79">
        <v>0</v>
      </c>
      <c r="R979" s="79"/>
    </row>
    <row r="980" spans="1:18" x14ac:dyDescent="0.25">
      <c r="A980" t="s">
        <v>32</v>
      </c>
      <c r="B980" s="73" t="str">
        <f>VLOOKUP(C980,'Büyükşehir List'!$C$2:$D$31,2,FALSE)</f>
        <v>DİYARBAKIR BÜYÜKŞEHİR</v>
      </c>
      <c r="C980" t="s">
        <v>58</v>
      </c>
      <c r="D980" s="73" t="str">
        <f t="shared" si="24"/>
        <v>DİYARBAKIR BÜYÜKŞEHİR/DİYARBAKIR</v>
      </c>
      <c r="E980" t="s">
        <v>1862</v>
      </c>
      <c r="F980" t="s">
        <v>1862</v>
      </c>
      <c r="G980" t="s">
        <v>3366</v>
      </c>
      <c r="H980">
        <v>9823.2000000000007</v>
      </c>
      <c r="I980">
        <v>982.32</v>
      </c>
      <c r="J980">
        <v>0</v>
      </c>
      <c r="K980">
        <v>0</v>
      </c>
      <c r="L980">
        <v>9823.2000000000007</v>
      </c>
      <c r="M980">
        <v>982.32</v>
      </c>
      <c r="O980" s="79">
        <f>IFERROR(VLOOKUP(D980,'KAPANAN BLD.'!$C$2:$D$793,2,FALSE),0)</f>
        <v>0</v>
      </c>
      <c r="P980" s="79">
        <v>0</v>
      </c>
      <c r="R980" s="79"/>
    </row>
    <row r="981" spans="1:18" x14ac:dyDescent="0.25">
      <c r="A981" t="s">
        <v>32</v>
      </c>
      <c r="B981" s="73" t="str">
        <f>VLOOKUP(C981,'Büyükşehir List'!$C$2:$D$31,2,FALSE)</f>
        <v>DİYARBAKIR BÜYÜKŞEHİR</v>
      </c>
      <c r="C981" t="s">
        <v>58</v>
      </c>
      <c r="D981" s="73" t="str">
        <f t="shared" si="24"/>
        <v>DİYARBAKIR BÜYÜKŞEHİR/DİYARBAKIR</v>
      </c>
      <c r="E981" t="s">
        <v>1862</v>
      </c>
      <c r="F981" t="s">
        <v>1862</v>
      </c>
      <c r="G981" t="s">
        <v>3367</v>
      </c>
      <c r="H981">
        <v>11472.8</v>
      </c>
      <c r="I981">
        <v>1147.28</v>
      </c>
      <c r="J981">
        <v>0</v>
      </c>
      <c r="K981">
        <v>0</v>
      </c>
      <c r="L981">
        <v>11472.8</v>
      </c>
      <c r="M981">
        <v>1147.28</v>
      </c>
      <c r="O981" s="79">
        <f>IFERROR(VLOOKUP(D981,'KAPANAN BLD.'!$C$2:$D$793,2,FALSE),0)</f>
        <v>0</v>
      </c>
      <c r="P981" s="79">
        <v>0</v>
      </c>
      <c r="R981" s="79"/>
    </row>
    <row r="982" spans="1:18" x14ac:dyDescent="0.25">
      <c r="A982" t="s">
        <v>32</v>
      </c>
      <c r="B982" s="73" t="str">
        <f>VLOOKUP(C982,'Büyükşehir List'!$C$2:$D$31,2,FALSE)</f>
        <v>DİYARBAKIR BÜYÜKŞEHİR</v>
      </c>
      <c r="C982" t="s">
        <v>58</v>
      </c>
      <c r="D982" s="73" t="str">
        <f t="shared" si="24"/>
        <v>DİYARBAKIR BÜYÜKŞEHİR/DİYARBAKIR</v>
      </c>
      <c r="E982" t="s">
        <v>4349</v>
      </c>
      <c r="F982" t="s">
        <v>4349</v>
      </c>
      <c r="G982" t="s">
        <v>3367</v>
      </c>
      <c r="H982">
        <v>108.9</v>
      </c>
      <c r="I982">
        <v>10.89</v>
      </c>
      <c r="J982">
        <v>0</v>
      </c>
      <c r="K982">
        <v>0</v>
      </c>
      <c r="L982">
        <v>108.9</v>
      </c>
      <c r="M982">
        <v>10.89</v>
      </c>
      <c r="O982" s="79">
        <f>IFERROR(VLOOKUP(D982,'KAPANAN BLD.'!$C$2:$D$793,2,FALSE),0)</f>
        <v>0</v>
      </c>
      <c r="P982" s="79">
        <v>0</v>
      </c>
      <c r="R982" s="79"/>
    </row>
    <row r="983" spans="1:18" x14ac:dyDescent="0.25">
      <c r="A983" t="s">
        <v>32</v>
      </c>
      <c r="B983" s="73" t="str">
        <f>VLOOKUP(C983,'Büyükşehir List'!$C$2:$D$31,2,FALSE)</f>
        <v>DİYARBAKIR BÜYÜKŞEHİR</v>
      </c>
      <c r="C983" t="s">
        <v>58</v>
      </c>
      <c r="D983" s="73" t="str">
        <f t="shared" si="24"/>
        <v>DİYARBAKIR BÜYÜKŞEHİR/DİYARBAKIR</v>
      </c>
      <c r="E983" t="s">
        <v>4349</v>
      </c>
      <c r="F983" t="s">
        <v>4349</v>
      </c>
      <c r="G983" t="s">
        <v>3366</v>
      </c>
      <c r="H983">
        <v>63.4</v>
      </c>
      <c r="I983">
        <v>6.34</v>
      </c>
      <c r="J983">
        <v>0</v>
      </c>
      <c r="K983">
        <v>0</v>
      </c>
      <c r="L983">
        <v>63.4</v>
      </c>
      <c r="M983">
        <v>6.34</v>
      </c>
      <c r="O983" s="79">
        <f>IFERROR(VLOOKUP(D983,'KAPANAN BLD.'!$C$2:$D$793,2,FALSE),0)</f>
        <v>0</v>
      </c>
      <c r="P983" s="79">
        <v>0</v>
      </c>
      <c r="R983" s="79"/>
    </row>
    <row r="984" spans="1:18" x14ac:dyDescent="0.25">
      <c r="A984" t="s">
        <v>32</v>
      </c>
      <c r="B984" s="73" t="str">
        <f>VLOOKUP(C984,'Büyükşehir List'!$C$2:$D$31,2,FALSE)</f>
        <v>DİYARBAKIR BÜYÜKŞEHİR</v>
      </c>
      <c r="C984" t="s">
        <v>58</v>
      </c>
      <c r="D984" s="73" t="str">
        <f t="shared" si="24"/>
        <v>DİYARBAKIR BÜYÜKŞEHİR/DİYARBAKIR</v>
      </c>
      <c r="E984" t="s">
        <v>253</v>
      </c>
      <c r="F984" t="s">
        <v>253</v>
      </c>
      <c r="G984" t="s">
        <v>3366</v>
      </c>
      <c r="H984">
        <v>402.8</v>
      </c>
      <c r="I984">
        <v>40.28</v>
      </c>
      <c r="J984">
        <v>296.89999999999998</v>
      </c>
      <c r="K984">
        <v>29.69</v>
      </c>
      <c r="L984">
        <v>105.9</v>
      </c>
      <c r="M984">
        <v>10.59</v>
      </c>
      <c r="O984" s="79">
        <f>IFERROR(VLOOKUP(D984,'KAPANAN BLD.'!$C$2:$D$793,2,FALSE),0)</f>
        <v>0</v>
      </c>
      <c r="P984" s="79">
        <v>0</v>
      </c>
      <c r="R984" s="79"/>
    </row>
    <row r="985" spans="1:18" x14ac:dyDescent="0.25">
      <c r="A985" t="s">
        <v>32</v>
      </c>
      <c r="B985" s="73" t="str">
        <f>VLOOKUP(C985,'Büyükşehir List'!$C$2:$D$31,2,FALSE)</f>
        <v>DİYARBAKIR BÜYÜKŞEHİR</v>
      </c>
      <c r="C985" t="s">
        <v>58</v>
      </c>
      <c r="D985" s="73" t="str">
        <f t="shared" si="24"/>
        <v>DİYARBAKIR BÜYÜKŞEHİR/DİYARBAKIR</v>
      </c>
      <c r="E985" t="s">
        <v>253</v>
      </c>
      <c r="F985" t="s">
        <v>253</v>
      </c>
      <c r="G985" t="s">
        <v>3367</v>
      </c>
      <c r="H985">
        <v>45</v>
      </c>
      <c r="I985">
        <v>4.5</v>
      </c>
      <c r="J985">
        <v>0.9</v>
      </c>
      <c r="K985">
        <v>0.09</v>
      </c>
      <c r="L985">
        <v>44.1</v>
      </c>
      <c r="M985">
        <v>4.41</v>
      </c>
      <c r="O985" s="79">
        <f>IFERROR(VLOOKUP(D985,'KAPANAN BLD.'!$C$2:$D$793,2,FALSE),0)</f>
        <v>0</v>
      </c>
      <c r="P985" s="79">
        <v>0</v>
      </c>
      <c r="R985" s="79"/>
    </row>
    <row r="986" spans="1:18" x14ac:dyDescent="0.25">
      <c r="A986" t="s">
        <v>32</v>
      </c>
      <c r="B986" s="73" t="str">
        <f>VLOOKUP(C986,'Büyükşehir List'!$C$2:$D$31,2,FALSE)</f>
        <v>DİYARBAKIR BÜYÜKŞEHİR</v>
      </c>
      <c r="C986" t="s">
        <v>58</v>
      </c>
      <c r="D986" s="73" t="str">
        <f t="shared" si="24"/>
        <v>DİYARBAKIR BÜYÜKŞEHİR/DİYARBAKIR</v>
      </c>
      <c r="E986" t="s">
        <v>556</v>
      </c>
      <c r="F986" t="s">
        <v>556</v>
      </c>
      <c r="G986" t="s">
        <v>3367</v>
      </c>
      <c r="H986">
        <v>56.5</v>
      </c>
      <c r="I986">
        <v>5.65</v>
      </c>
      <c r="J986">
        <v>0</v>
      </c>
      <c r="K986">
        <v>0</v>
      </c>
      <c r="L986">
        <v>56.5</v>
      </c>
      <c r="M986">
        <v>5.65</v>
      </c>
      <c r="O986" s="79">
        <f>IFERROR(VLOOKUP(D986,'KAPANAN BLD.'!$C$2:$D$793,2,FALSE),0)</f>
        <v>0</v>
      </c>
      <c r="P986" s="79">
        <v>0</v>
      </c>
      <c r="R986" s="79"/>
    </row>
    <row r="987" spans="1:18" x14ac:dyDescent="0.25">
      <c r="A987" t="s">
        <v>32</v>
      </c>
      <c r="B987" s="73" t="str">
        <f>VLOOKUP(C987,'Büyükşehir List'!$C$2:$D$31,2,FALSE)</f>
        <v>DİYARBAKIR BÜYÜKŞEHİR</v>
      </c>
      <c r="C987" t="s">
        <v>58</v>
      </c>
      <c r="D987" s="73" t="str">
        <f t="shared" si="24"/>
        <v>DİYARBAKIR BÜYÜKŞEHİR/DİYARBAKIR</v>
      </c>
      <c r="E987" t="s">
        <v>442</v>
      </c>
      <c r="F987" t="s">
        <v>442</v>
      </c>
      <c r="G987" t="s">
        <v>3367</v>
      </c>
      <c r="H987">
        <v>197.4</v>
      </c>
      <c r="I987">
        <v>19.739999999999998</v>
      </c>
      <c r="J987">
        <v>0</v>
      </c>
      <c r="K987">
        <v>0</v>
      </c>
      <c r="L987">
        <v>197.4</v>
      </c>
      <c r="M987">
        <v>19.739999999999998</v>
      </c>
      <c r="O987" s="79">
        <f>IFERROR(VLOOKUP(D987,'KAPANAN BLD.'!$C$2:$D$793,2,FALSE),0)</f>
        <v>0</v>
      </c>
      <c r="P987" s="79">
        <v>0</v>
      </c>
      <c r="R987" s="79"/>
    </row>
    <row r="988" spans="1:18" x14ac:dyDescent="0.25">
      <c r="A988" t="s">
        <v>32</v>
      </c>
      <c r="B988" s="73" t="str">
        <f>VLOOKUP(C988,'Büyükşehir List'!$C$2:$D$31,2,FALSE)</f>
        <v>DİYARBAKIR BÜYÜKŞEHİR</v>
      </c>
      <c r="C988" t="s">
        <v>58</v>
      </c>
      <c r="D988" s="73" t="str">
        <f t="shared" si="24"/>
        <v>DİYARBAKIR BÜYÜKŞEHİR/DİYARBAKIR</v>
      </c>
      <c r="E988" t="s">
        <v>1862</v>
      </c>
      <c r="F988" t="s">
        <v>1862</v>
      </c>
      <c r="G988" t="s">
        <v>3366</v>
      </c>
      <c r="H988">
        <v>44081.7</v>
      </c>
      <c r="I988">
        <v>4408.17</v>
      </c>
      <c r="J988">
        <v>832.5</v>
      </c>
      <c r="K988">
        <v>83.25</v>
      </c>
      <c r="L988">
        <v>43249.2</v>
      </c>
      <c r="M988">
        <v>4324.92</v>
      </c>
      <c r="O988" s="79">
        <f>IFERROR(VLOOKUP(D988,'KAPANAN BLD.'!$C$2:$D$793,2,FALSE),0)</f>
        <v>0</v>
      </c>
      <c r="P988" s="79">
        <v>0</v>
      </c>
      <c r="R988" s="79"/>
    </row>
    <row r="989" spans="1:18" x14ac:dyDescent="0.25">
      <c r="A989" t="s">
        <v>32</v>
      </c>
      <c r="B989" s="73" t="str">
        <f>VLOOKUP(C989,'Büyükşehir List'!$C$2:$D$31,2,FALSE)</f>
        <v>DİYARBAKIR BÜYÜKŞEHİR</v>
      </c>
      <c r="C989" t="s">
        <v>58</v>
      </c>
      <c r="D989" s="73" t="str">
        <f t="shared" si="24"/>
        <v>DİYARBAKIR BÜYÜKŞEHİR/DİYARBAKIR</v>
      </c>
      <c r="E989" t="s">
        <v>1862</v>
      </c>
      <c r="F989" t="s">
        <v>1862</v>
      </c>
      <c r="G989" t="s">
        <v>3367</v>
      </c>
      <c r="H989">
        <v>26216.1</v>
      </c>
      <c r="I989">
        <v>2621.61</v>
      </c>
      <c r="J989">
        <v>409</v>
      </c>
      <c r="K989">
        <v>40.9</v>
      </c>
      <c r="L989">
        <v>25807.1</v>
      </c>
      <c r="M989">
        <v>2580.71</v>
      </c>
      <c r="O989" s="79">
        <f>IFERROR(VLOOKUP(D989,'KAPANAN BLD.'!$C$2:$D$793,2,FALSE),0)</f>
        <v>0</v>
      </c>
      <c r="P989" s="79">
        <v>0</v>
      </c>
      <c r="R989" s="79"/>
    </row>
    <row r="990" spans="1:18" x14ac:dyDescent="0.25">
      <c r="A990" t="s">
        <v>32</v>
      </c>
      <c r="B990" s="73" t="str">
        <f>VLOOKUP(C990,'Büyükşehir List'!$C$2:$D$31,2,FALSE)</f>
        <v>DİYARBAKIR BÜYÜKŞEHİR</v>
      </c>
      <c r="C990" t="s">
        <v>58</v>
      </c>
      <c r="D990" s="73" t="str">
        <f t="shared" si="24"/>
        <v>DİYARBAKIR BÜYÜKŞEHİR/DİYARBAKIR</v>
      </c>
      <c r="E990" t="s">
        <v>559</v>
      </c>
      <c r="F990" t="s">
        <v>559</v>
      </c>
      <c r="G990" t="s">
        <v>3367</v>
      </c>
      <c r="H990">
        <v>656.3</v>
      </c>
      <c r="I990">
        <v>65.63</v>
      </c>
      <c r="J990">
        <v>4.3</v>
      </c>
      <c r="K990">
        <v>0.43</v>
      </c>
      <c r="L990">
        <v>652</v>
      </c>
      <c r="M990">
        <v>65.2</v>
      </c>
      <c r="O990" s="79">
        <f>IFERROR(VLOOKUP(D990,'KAPANAN BLD.'!$C$2:$D$793,2,FALSE),0)</f>
        <v>0</v>
      </c>
      <c r="P990" s="79">
        <v>0</v>
      </c>
      <c r="R990" s="79"/>
    </row>
    <row r="991" spans="1:18" x14ac:dyDescent="0.25">
      <c r="A991" t="s">
        <v>32</v>
      </c>
      <c r="B991" s="73" t="str">
        <f>VLOOKUP(C991,'Büyükşehir List'!$C$2:$D$31,2,FALSE)</f>
        <v>DİYARBAKIR BÜYÜKŞEHİR</v>
      </c>
      <c r="C991" t="s">
        <v>58</v>
      </c>
      <c r="D991" s="73" t="str">
        <f t="shared" si="24"/>
        <v>DİYARBAKIR BÜYÜKŞEHİR/DİYARBAKIR</v>
      </c>
      <c r="E991" t="s">
        <v>559</v>
      </c>
      <c r="F991" t="s">
        <v>559</v>
      </c>
      <c r="G991" t="s">
        <v>3366</v>
      </c>
      <c r="H991">
        <v>970.6</v>
      </c>
      <c r="I991">
        <v>97.06</v>
      </c>
      <c r="J991">
        <v>82.1</v>
      </c>
      <c r="K991">
        <v>8.2100000000000009</v>
      </c>
      <c r="L991">
        <v>888.5</v>
      </c>
      <c r="M991">
        <v>88.85</v>
      </c>
      <c r="O991" s="79">
        <f>IFERROR(VLOOKUP(D991,'KAPANAN BLD.'!$C$2:$D$793,2,FALSE),0)</f>
        <v>0</v>
      </c>
      <c r="P991" s="79">
        <v>0</v>
      </c>
      <c r="R991" s="79"/>
    </row>
    <row r="992" spans="1:18" x14ac:dyDescent="0.25">
      <c r="A992" t="s">
        <v>32</v>
      </c>
      <c r="B992" s="73" t="str">
        <f>VLOOKUP(C992,'Büyükşehir List'!$C$2:$D$31,2,FALSE)</f>
        <v>DİYARBAKIR BÜYÜKŞEHİR</v>
      </c>
      <c r="C992" t="s">
        <v>58</v>
      </c>
      <c r="D992" s="73" t="str">
        <f t="shared" si="24"/>
        <v>DİYARBAKIR BÜYÜKŞEHİR/DİYARBAKIR</v>
      </c>
      <c r="E992" t="s">
        <v>1862</v>
      </c>
      <c r="F992" t="s">
        <v>1862</v>
      </c>
      <c r="G992" t="s">
        <v>3366</v>
      </c>
      <c r="H992">
        <v>971.3</v>
      </c>
      <c r="I992">
        <v>97.13</v>
      </c>
      <c r="J992">
        <v>0</v>
      </c>
      <c r="K992">
        <v>0</v>
      </c>
      <c r="L992">
        <v>971.3</v>
      </c>
      <c r="M992">
        <v>97.13</v>
      </c>
      <c r="O992" s="79">
        <f>IFERROR(VLOOKUP(D992,'KAPANAN BLD.'!$C$2:$D$793,2,FALSE),0)</f>
        <v>0</v>
      </c>
      <c r="P992" s="79">
        <v>0</v>
      </c>
      <c r="R992" s="79"/>
    </row>
    <row r="993" spans="1:18" x14ac:dyDescent="0.25">
      <c r="A993" t="s">
        <v>32</v>
      </c>
      <c r="B993" s="73" t="str">
        <f>VLOOKUP(C993,'Büyükşehir List'!$C$2:$D$31,2,FALSE)</f>
        <v>DİYARBAKIR BÜYÜKŞEHİR</v>
      </c>
      <c r="C993" t="s">
        <v>58</v>
      </c>
      <c r="D993" s="73" t="str">
        <f t="shared" si="24"/>
        <v>DİYARBAKIR BÜYÜKŞEHİR/DİYARBAKIR</v>
      </c>
      <c r="E993" t="s">
        <v>1862</v>
      </c>
      <c r="F993" t="s">
        <v>1862</v>
      </c>
      <c r="G993" t="s">
        <v>3367</v>
      </c>
      <c r="H993">
        <v>6666</v>
      </c>
      <c r="I993">
        <v>666.6</v>
      </c>
      <c r="J993">
        <v>0</v>
      </c>
      <c r="K993">
        <v>0</v>
      </c>
      <c r="L993">
        <v>6666</v>
      </c>
      <c r="M993">
        <v>666.6</v>
      </c>
      <c r="O993" s="79">
        <f>IFERROR(VLOOKUP(D993,'KAPANAN BLD.'!$C$2:$D$793,2,FALSE),0)</f>
        <v>0</v>
      </c>
      <c r="P993" s="79">
        <v>0</v>
      </c>
      <c r="R993" s="79"/>
    </row>
    <row r="994" spans="1:18" x14ac:dyDescent="0.25">
      <c r="A994" t="s">
        <v>32</v>
      </c>
      <c r="B994" s="73" t="str">
        <f>VLOOKUP(C994,'Büyükşehir List'!$C$2:$D$31,2,FALSE)</f>
        <v>DİYARBAKIR BÜYÜKŞEHİR</v>
      </c>
      <c r="C994" t="s">
        <v>58</v>
      </c>
      <c r="D994" s="73" t="str">
        <f t="shared" si="24"/>
        <v>DİYARBAKIR BÜYÜKŞEHİR/DİYARBAKIR</v>
      </c>
      <c r="E994" t="s">
        <v>3925</v>
      </c>
      <c r="F994" t="s">
        <v>3925</v>
      </c>
      <c r="G994" t="s">
        <v>3367</v>
      </c>
      <c r="H994">
        <v>54.9</v>
      </c>
      <c r="I994">
        <v>5.49</v>
      </c>
      <c r="J994">
        <v>0</v>
      </c>
      <c r="K994">
        <v>0</v>
      </c>
      <c r="L994">
        <v>54.9</v>
      </c>
      <c r="M994">
        <v>5.49</v>
      </c>
      <c r="O994" s="79">
        <f>IFERROR(VLOOKUP(D994,'KAPANAN BLD.'!$C$2:$D$793,2,FALSE),0)</f>
        <v>0</v>
      </c>
      <c r="P994" s="79">
        <v>0</v>
      </c>
      <c r="R994" s="79"/>
    </row>
    <row r="995" spans="1:18" x14ac:dyDescent="0.25">
      <c r="A995" t="s">
        <v>32</v>
      </c>
      <c r="B995" s="73" t="str">
        <f>VLOOKUP(C995,'Büyükşehir List'!$C$2:$D$31,2,FALSE)</f>
        <v>DİYARBAKIR BÜYÜKŞEHİR</v>
      </c>
      <c r="C995" t="s">
        <v>58</v>
      </c>
      <c r="D995" s="73" t="str">
        <f t="shared" si="24"/>
        <v>DİYARBAKIR BÜYÜKŞEHİR/DİYARBAKIR</v>
      </c>
      <c r="E995" t="s">
        <v>1862</v>
      </c>
      <c r="F995" t="s">
        <v>1862</v>
      </c>
      <c r="G995" t="s">
        <v>3367</v>
      </c>
      <c r="H995">
        <v>3218.9</v>
      </c>
      <c r="I995">
        <v>321.89</v>
      </c>
      <c r="J995">
        <v>22.6</v>
      </c>
      <c r="K995">
        <v>2.2599999999999998</v>
      </c>
      <c r="L995">
        <v>3196.3</v>
      </c>
      <c r="M995">
        <v>319.63</v>
      </c>
      <c r="O995" s="79">
        <f>IFERROR(VLOOKUP(D995,'KAPANAN BLD.'!$C$2:$D$793,2,FALSE),0)</f>
        <v>0</v>
      </c>
      <c r="P995" s="79">
        <v>0</v>
      </c>
      <c r="R995" s="79"/>
    </row>
    <row r="996" spans="1:18" x14ac:dyDescent="0.25">
      <c r="A996" t="s">
        <v>32</v>
      </c>
      <c r="B996" s="73" t="str">
        <f>VLOOKUP(C996,'Büyükşehir List'!$C$2:$D$31,2,FALSE)</f>
        <v>DİYARBAKIR BÜYÜKŞEHİR</v>
      </c>
      <c r="C996" t="s">
        <v>58</v>
      </c>
      <c r="D996" s="73" t="str">
        <f t="shared" si="24"/>
        <v>DİYARBAKIR BÜYÜKŞEHİR/DİYARBAKIR</v>
      </c>
      <c r="E996" t="s">
        <v>1862</v>
      </c>
      <c r="F996" t="s">
        <v>1862</v>
      </c>
      <c r="G996" t="s">
        <v>3366</v>
      </c>
      <c r="H996">
        <v>5387.4</v>
      </c>
      <c r="I996">
        <v>538.74</v>
      </c>
      <c r="J996">
        <v>0</v>
      </c>
      <c r="K996">
        <v>0</v>
      </c>
      <c r="L996">
        <v>5387.4</v>
      </c>
      <c r="M996">
        <v>538.74</v>
      </c>
      <c r="O996" s="79">
        <f>IFERROR(VLOOKUP(D996,'KAPANAN BLD.'!$C$2:$D$793,2,FALSE),0)</f>
        <v>0</v>
      </c>
      <c r="P996" s="79">
        <v>0</v>
      </c>
      <c r="R996" s="79"/>
    </row>
    <row r="997" spans="1:18" x14ac:dyDescent="0.25">
      <c r="A997" t="s">
        <v>32</v>
      </c>
      <c r="B997" s="73" t="str">
        <f>VLOOKUP(C997,'Büyükşehir List'!$C$2:$D$31,2,FALSE)</f>
        <v>DİYARBAKIR BÜYÜKŞEHİR</v>
      </c>
      <c r="C997" t="s">
        <v>58</v>
      </c>
      <c r="D997" s="73" t="str">
        <f t="shared" si="24"/>
        <v>DİYARBAKIR BÜYÜKŞEHİR/DİYARBAKIR</v>
      </c>
      <c r="E997" t="s">
        <v>4468</v>
      </c>
      <c r="F997" t="s">
        <v>4468</v>
      </c>
      <c r="G997" t="s">
        <v>3367</v>
      </c>
      <c r="H997">
        <v>123</v>
      </c>
      <c r="I997">
        <v>12.3</v>
      </c>
      <c r="J997">
        <v>0</v>
      </c>
      <c r="K997">
        <v>0</v>
      </c>
      <c r="L997">
        <v>123</v>
      </c>
      <c r="M997">
        <v>12.3</v>
      </c>
      <c r="O997" s="79">
        <f>IFERROR(VLOOKUP(D997,'KAPANAN BLD.'!$C$2:$D$793,2,FALSE),0)</f>
        <v>0</v>
      </c>
      <c r="P997" s="79">
        <v>0</v>
      </c>
      <c r="R997" s="79"/>
    </row>
    <row r="998" spans="1:18" x14ac:dyDescent="0.25">
      <c r="A998" t="s">
        <v>32</v>
      </c>
      <c r="B998" s="73" t="str">
        <f>VLOOKUP(C998,'Büyükşehir List'!$C$2:$D$31,2,FALSE)</f>
        <v>DİYARBAKIR BÜYÜKŞEHİR</v>
      </c>
      <c r="C998" t="s">
        <v>58</v>
      </c>
      <c r="D998" s="73" t="str">
        <f t="shared" si="24"/>
        <v>DİYARBAKIR BÜYÜKŞEHİR/DİYARBAKIR</v>
      </c>
      <c r="E998" t="s">
        <v>4468</v>
      </c>
      <c r="F998" t="s">
        <v>4468</v>
      </c>
      <c r="G998" t="s">
        <v>3366</v>
      </c>
      <c r="H998">
        <v>436.4</v>
      </c>
      <c r="I998">
        <v>43.64</v>
      </c>
      <c r="J998">
        <v>0</v>
      </c>
      <c r="K998">
        <v>0</v>
      </c>
      <c r="L998">
        <v>436.4</v>
      </c>
      <c r="M998">
        <v>43.64</v>
      </c>
      <c r="O998" s="79">
        <f>IFERROR(VLOOKUP(D998,'KAPANAN BLD.'!$C$2:$D$793,2,FALSE),0)</f>
        <v>0</v>
      </c>
      <c r="P998" s="79">
        <v>0</v>
      </c>
      <c r="R998" s="79"/>
    </row>
    <row r="999" spans="1:18" x14ac:dyDescent="0.25">
      <c r="A999" t="s">
        <v>32</v>
      </c>
      <c r="B999" s="73" t="str">
        <f t="shared" ref="B999:B1062" si="25">F999</f>
        <v>AKÇAKOCA</v>
      </c>
      <c r="C999" t="s">
        <v>201</v>
      </c>
      <c r="D999" s="73" t="str">
        <f t="shared" si="24"/>
        <v>AKÇAKOCA/DÜZCE</v>
      </c>
      <c r="E999" t="s">
        <v>21</v>
      </c>
      <c r="F999" t="s">
        <v>21</v>
      </c>
      <c r="G999" t="s">
        <v>3367</v>
      </c>
      <c r="H999">
        <v>12405.7</v>
      </c>
      <c r="I999">
        <v>1240.57</v>
      </c>
      <c r="J999">
        <v>413.2</v>
      </c>
      <c r="K999">
        <v>41.32</v>
      </c>
      <c r="L999">
        <v>11992.5</v>
      </c>
      <c r="M999">
        <v>1199.25</v>
      </c>
      <c r="O999" s="79">
        <f>IFERROR(VLOOKUP(D999,'KAPANAN BLD.'!$C$2:$D$793,2,FALSE),0)</f>
        <v>0</v>
      </c>
      <c r="P999" s="79">
        <v>0</v>
      </c>
      <c r="R999" s="79"/>
    </row>
    <row r="1000" spans="1:18" x14ac:dyDescent="0.25">
      <c r="A1000" t="s">
        <v>32</v>
      </c>
      <c r="B1000" s="73" t="str">
        <f t="shared" si="25"/>
        <v>AKÇAKOCA</v>
      </c>
      <c r="C1000" t="s">
        <v>201</v>
      </c>
      <c r="D1000" s="73" t="str">
        <f t="shared" si="24"/>
        <v>AKÇAKOCA/DÜZCE</v>
      </c>
      <c r="E1000" t="s">
        <v>21</v>
      </c>
      <c r="F1000" t="s">
        <v>21</v>
      </c>
      <c r="G1000" t="s">
        <v>3366</v>
      </c>
      <c r="H1000">
        <v>2765.4</v>
      </c>
      <c r="I1000">
        <v>276.54000000000002</v>
      </c>
      <c r="J1000">
        <v>4076.7</v>
      </c>
      <c r="K1000">
        <v>407.67</v>
      </c>
      <c r="L1000">
        <v>-1311.3</v>
      </c>
      <c r="M1000">
        <v>-131.13</v>
      </c>
      <c r="O1000" s="79">
        <f>IFERROR(VLOOKUP(D1000,'KAPANAN BLD.'!$C$2:$D$793,2,FALSE),0)</f>
        <v>0</v>
      </c>
      <c r="P1000" s="79">
        <v>0</v>
      </c>
      <c r="R1000" s="79"/>
    </row>
    <row r="1001" spans="1:18" x14ac:dyDescent="0.25">
      <c r="A1001" t="s">
        <v>32</v>
      </c>
      <c r="B1001" s="73" t="str">
        <f t="shared" si="25"/>
        <v>CUMAYERİ</v>
      </c>
      <c r="C1001" t="s">
        <v>201</v>
      </c>
      <c r="D1001" s="73" t="str">
        <f t="shared" si="24"/>
        <v>CUMAYERİ/DÜZCE</v>
      </c>
      <c r="E1001" t="s">
        <v>560</v>
      </c>
      <c r="F1001" t="s">
        <v>560</v>
      </c>
      <c r="G1001" t="s">
        <v>3367</v>
      </c>
      <c r="H1001">
        <v>2742.4</v>
      </c>
      <c r="I1001">
        <v>274.24</v>
      </c>
      <c r="J1001">
        <v>0</v>
      </c>
      <c r="K1001">
        <v>0</v>
      </c>
      <c r="L1001">
        <v>2742.4</v>
      </c>
      <c r="M1001">
        <v>274.24</v>
      </c>
      <c r="O1001" s="79">
        <f>IFERROR(VLOOKUP(D1001,'KAPANAN BLD.'!$C$2:$D$793,2,FALSE),0)</f>
        <v>0</v>
      </c>
      <c r="P1001" s="79">
        <v>0</v>
      </c>
      <c r="R1001" s="79"/>
    </row>
    <row r="1002" spans="1:18" x14ac:dyDescent="0.25">
      <c r="A1002" t="s">
        <v>32</v>
      </c>
      <c r="B1002" s="73" t="str">
        <f t="shared" si="25"/>
        <v>CUMAYERİ</v>
      </c>
      <c r="C1002" t="s">
        <v>201</v>
      </c>
      <c r="D1002" s="73" t="str">
        <f t="shared" si="24"/>
        <v>CUMAYERİ/DÜZCE</v>
      </c>
      <c r="E1002" t="s">
        <v>560</v>
      </c>
      <c r="F1002" t="s">
        <v>560</v>
      </c>
      <c r="G1002" t="s">
        <v>3366</v>
      </c>
      <c r="H1002">
        <v>115.6</v>
      </c>
      <c r="I1002">
        <v>11.56</v>
      </c>
      <c r="J1002">
        <v>0</v>
      </c>
      <c r="K1002">
        <v>0</v>
      </c>
      <c r="L1002">
        <v>115.6</v>
      </c>
      <c r="M1002">
        <v>11.56</v>
      </c>
      <c r="O1002" s="79">
        <f>IFERROR(VLOOKUP(D1002,'KAPANAN BLD.'!$C$2:$D$793,2,FALSE),0)</f>
        <v>0</v>
      </c>
      <c r="P1002" s="79">
        <v>0</v>
      </c>
      <c r="R1002" s="79"/>
    </row>
    <row r="1003" spans="1:18" x14ac:dyDescent="0.25">
      <c r="A1003" t="s">
        <v>32</v>
      </c>
      <c r="B1003" s="73" t="str">
        <f t="shared" si="25"/>
        <v>CUMAYERİ</v>
      </c>
      <c r="C1003" t="s">
        <v>201</v>
      </c>
      <c r="D1003" s="73" t="str">
        <f t="shared" si="24"/>
        <v>CUMAYERİ/DÜZCE</v>
      </c>
      <c r="E1003" t="s">
        <v>560</v>
      </c>
      <c r="F1003" t="s">
        <v>560</v>
      </c>
      <c r="G1003" t="s">
        <v>3367</v>
      </c>
      <c r="H1003">
        <v>2762.4</v>
      </c>
      <c r="I1003">
        <v>276.24</v>
      </c>
      <c r="J1003">
        <v>0</v>
      </c>
      <c r="K1003">
        <v>0</v>
      </c>
      <c r="L1003">
        <v>2762.4</v>
      </c>
      <c r="M1003">
        <v>276.24</v>
      </c>
      <c r="O1003" s="79">
        <f>IFERROR(VLOOKUP(D1003,'KAPANAN BLD.'!$C$2:$D$793,2,FALSE),0)</f>
        <v>0</v>
      </c>
      <c r="P1003" s="79">
        <v>0</v>
      </c>
      <c r="R1003" s="79"/>
    </row>
    <row r="1004" spans="1:18" x14ac:dyDescent="0.25">
      <c r="A1004" t="s">
        <v>32</v>
      </c>
      <c r="B1004" s="73" t="str">
        <f t="shared" si="25"/>
        <v>ÇİLİMLİ</v>
      </c>
      <c r="C1004" t="s">
        <v>201</v>
      </c>
      <c r="D1004" s="73" t="str">
        <f t="shared" si="24"/>
        <v>ÇİLİMLİ/DÜZCE</v>
      </c>
      <c r="E1004" t="s">
        <v>561</v>
      </c>
      <c r="F1004" t="s">
        <v>561</v>
      </c>
      <c r="G1004" t="s">
        <v>3366</v>
      </c>
      <c r="H1004">
        <v>223.7</v>
      </c>
      <c r="I1004">
        <v>22.37</v>
      </c>
      <c r="J1004">
        <v>0</v>
      </c>
      <c r="K1004">
        <v>0</v>
      </c>
      <c r="L1004">
        <v>223.7</v>
      </c>
      <c r="M1004">
        <v>22.37</v>
      </c>
      <c r="O1004" s="79">
        <f>IFERROR(VLOOKUP(D1004,'KAPANAN BLD.'!$C$2:$D$793,2,FALSE),0)</f>
        <v>0</v>
      </c>
      <c r="P1004" s="79">
        <v>0</v>
      </c>
      <c r="R1004" s="79"/>
    </row>
    <row r="1005" spans="1:18" x14ac:dyDescent="0.25">
      <c r="A1005" t="s">
        <v>32</v>
      </c>
      <c r="B1005" s="73" t="str">
        <f t="shared" si="25"/>
        <v>ÇİLİMLİ</v>
      </c>
      <c r="C1005" t="s">
        <v>201</v>
      </c>
      <c r="D1005" s="73" t="str">
        <f t="shared" si="24"/>
        <v>ÇİLİMLİ/DÜZCE</v>
      </c>
      <c r="E1005" t="s">
        <v>561</v>
      </c>
      <c r="F1005" t="s">
        <v>561</v>
      </c>
      <c r="G1005" t="s">
        <v>3367</v>
      </c>
      <c r="H1005">
        <v>243.4</v>
      </c>
      <c r="I1005">
        <v>24.34</v>
      </c>
      <c r="J1005">
        <v>0</v>
      </c>
      <c r="K1005">
        <v>0</v>
      </c>
      <c r="L1005">
        <v>243.4</v>
      </c>
      <c r="M1005">
        <v>24.34</v>
      </c>
      <c r="O1005" s="79">
        <f>IFERROR(VLOOKUP(D1005,'KAPANAN BLD.'!$C$2:$D$793,2,FALSE),0)</f>
        <v>0</v>
      </c>
      <c r="P1005" s="79">
        <v>0</v>
      </c>
      <c r="R1005" s="79"/>
    </row>
    <row r="1006" spans="1:18" x14ac:dyDescent="0.25">
      <c r="A1006" t="s">
        <v>32</v>
      </c>
      <c r="B1006" s="73" t="str">
        <f t="shared" si="25"/>
        <v>GÖLYAKA</v>
      </c>
      <c r="C1006" t="s">
        <v>201</v>
      </c>
      <c r="D1006" s="73" t="str">
        <f t="shared" si="24"/>
        <v>GÖLYAKA/DÜZCE</v>
      </c>
      <c r="E1006" t="s">
        <v>2126</v>
      </c>
      <c r="F1006" t="s">
        <v>2126</v>
      </c>
      <c r="G1006" t="s">
        <v>3367</v>
      </c>
      <c r="H1006">
        <v>52.4</v>
      </c>
      <c r="I1006">
        <v>5.24</v>
      </c>
      <c r="J1006">
        <v>0</v>
      </c>
      <c r="K1006">
        <v>0</v>
      </c>
      <c r="L1006">
        <v>52.4</v>
      </c>
      <c r="M1006">
        <v>5.24</v>
      </c>
      <c r="O1006" s="79">
        <f>IFERROR(VLOOKUP(D1006,'KAPANAN BLD.'!$C$2:$D$793,2,FALSE),0)</f>
        <v>0</v>
      </c>
      <c r="P1006" s="79">
        <v>0</v>
      </c>
      <c r="R1006" s="79"/>
    </row>
    <row r="1007" spans="1:18" x14ac:dyDescent="0.25">
      <c r="A1007" t="s">
        <v>32</v>
      </c>
      <c r="B1007" s="73" t="str">
        <f t="shared" si="25"/>
        <v>GÖLYAKA</v>
      </c>
      <c r="C1007" t="s">
        <v>201</v>
      </c>
      <c r="D1007" s="73" t="str">
        <f t="shared" si="24"/>
        <v>GÖLYAKA/DÜZCE</v>
      </c>
      <c r="E1007" t="s">
        <v>2126</v>
      </c>
      <c r="F1007" t="s">
        <v>2126</v>
      </c>
      <c r="G1007" t="s">
        <v>3366</v>
      </c>
      <c r="H1007">
        <v>27</v>
      </c>
      <c r="I1007">
        <v>2.7</v>
      </c>
      <c r="J1007">
        <v>0</v>
      </c>
      <c r="K1007">
        <v>0</v>
      </c>
      <c r="L1007">
        <v>27</v>
      </c>
      <c r="M1007">
        <v>2.7</v>
      </c>
      <c r="O1007" s="79">
        <f>IFERROR(VLOOKUP(D1007,'KAPANAN BLD.'!$C$2:$D$793,2,FALSE),0)</f>
        <v>0</v>
      </c>
      <c r="P1007" s="79">
        <v>0</v>
      </c>
      <c r="R1007" s="79"/>
    </row>
    <row r="1008" spans="1:18" x14ac:dyDescent="0.25">
      <c r="A1008" t="s">
        <v>32</v>
      </c>
      <c r="B1008" s="73" t="str">
        <f t="shared" si="25"/>
        <v>GÜMÜŞOVA</v>
      </c>
      <c r="C1008" t="s">
        <v>201</v>
      </c>
      <c r="D1008" s="73" t="str">
        <f t="shared" si="24"/>
        <v>GÜMÜŞOVA/DÜZCE</v>
      </c>
      <c r="E1008" t="s">
        <v>2127</v>
      </c>
      <c r="F1008" t="s">
        <v>2127</v>
      </c>
      <c r="G1008" t="s">
        <v>3367</v>
      </c>
      <c r="H1008">
        <v>167.6</v>
      </c>
      <c r="I1008">
        <v>16.760000000000002</v>
      </c>
      <c r="J1008">
        <v>0</v>
      </c>
      <c r="K1008">
        <v>0</v>
      </c>
      <c r="L1008">
        <v>167.6</v>
      </c>
      <c r="M1008">
        <v>16.760000000000002</v>
      </c>
      <c r="O1008" s="79">
        <f>IFERROR(VLOOKUP(D1008,'KAPANAN BLD.'!$C$2:$D$793,2,FALSE),0)</f>
        <v>0</v>
      </c>
      <c r="P1008" s="79">
        <v>0</v>
      </c>
      <c r="R1008" s="79"/>
    </row>
    <row r="1009" spans="1:18" x14ac:dyDescent="0.25">
      <c r="A1009" t="s">
        <v>32</v>
      </c>
      <c r="B1009" s="73" t="str">
        <f t="shared" si="25"/>
        <v>GÜMÜŞOVA</v>
      </c>
      <c r="C1009" t="s">
        <v>201</v>
      </c>
      <c r="D1009" s="73" t="str">
        <f t="shared" si="24"/>
        <v>GÜMÜŞOVA/DÜZCE</v>
      </c>
      <c r="E1009" t="s">
        <v>2127</v>
      </c>
      <c r="F1009" t="s">
        <v>2127</v>
      </c>
      <c r="G1009" t="s">
        <v>3366</v>
      </c>
      <c r="H1009">
        <v>83.7</v>
      </c>
      <c r="I1009">
        <v>8.3699999999999992</v>
      </c>
      <c r="J1009">
        <v>0</v>
      </c>
      <c r="K1009">
        <v>0</v>
      </c>
      <c r="L1009">
        <v>83.7</v>
      </c>
      <c r="M1009">
        <v>8.3699999999999992</v>
      </c>
      <c r="O1009" s="79">
        <f>IFERROR(VLOOKUP(D1009,'KAPANAN BLD.'!$C$2:$D$793,2,FALSE),0)</f>
        <v>0</v>
      </c>
      <c r="P1009" s="79">
        <v>0</v>
      </c>
      <c r="R1009" s="79"/>
    </row>
    <row r="1010" spans="1:18" x14ac:dyDescent="0.25">
      <c r="A1010" t="s">
        <v>32</v>
      </c>
      <c r="B1010" s="73" t="str">
        <f t="shared" si="25"/>
        <v>KAYNAŞLI</v>
      </c>
      <c r="C1010" t="s">
        <v>201</v>
      </c>
      <c r="D1010" s="73" t="str">
        <f t="shared" si="24"/>
        <v>KAYNAŞLI/DÜZCE</v>
      </c>
      <c r="E1010" t="s">
        <v>443</v>
      </c>
      <c r="F1010" t="s">
        <v>443</v>
      </c>
      <c r="G1010" t="s">
        <v>3367</v>
      </c>
      <c r="H1010">
        <v>23148.400000000001</v>
      </c>
      <c r="I1010">
        <v>2314.84</v>
      </c>
      <c r="J1010">
        <v>23071.7</v>
      </c>
      <c r="K1010">
        <v>2307.17</v>
      </c>
      <c r="L1010">
        <v>76.7</v>
      </c>
      <c r="M1010">
        <v>7.67</v>
      </c>
      <c r="O1010" s="79">
        <f>IFERROR(VLOOKUP(D1010,'KAPANAN BLD.'!$C$2:$D$793,2,FALSE),0)</f>
        <v>0</v>
      </c>
      <c r="P1010" s="79">
        <v>0</v>
      </c>
      <c r="R1010" s="79"/>
    </row>
    <row r="1011" spans="1:18" x14ac:dyDescent="0.25">
      <c r="A1011" t="s">
        <v>32</v>
      </c>
      <c r="B1011" s="73" t="str">
        <f t="shared" si="25"/>
        <v>KAYNAŞLI</v>
      </c>
      <c r="C1011" t="s">
        <v>201</v>
      </c>
      <c r="D1011" s="73" t="str">
        <f t="shared" si="24"/>
        <v>KAYNAŞLI/DÜZCE</v>
      </c>
      <c r="E1011" t="s">
        <v>443</v>
      </c>
      <c r="F1011" t="s">
        <v>443</v>
      </c>
      <c r="G1011" t="s">
        <v>3366</v>
      </c>
      <c r="H1011">
        <v>3533.9</v>
      </c>
      <c r="I1011">
        <v>353.39</v>
      </c>
      <c r="J1011">
        <v>3430.4</v>
      </c>
      <c r="K1011">
        <v>343.04</v>
      </c>
      <c r="L1011">
        <v>103.5</v>
      </c>
      <c r="M1011">
        <v>10.35</v>
      </c>
      <c r="O1011" s="79">
        <f>IFERROR(VLOOKUP(D1011,'KAPANAN BLD.'!$C$2:$D$793,2,FALSE),0)</f>
        <v>0</v>
      </c>
      <c r="P1011" s="79">
        <v>0</v>
      </c>
      <c r="R1011" s="79"/>
    </row>
    <row r="1012" spans="1:18" x14ac:dyDescent="0.25">
      <c r="A1012" t="s">
        <v>32</v>
      </c>
      <c r="B1012" s="73" t="str">
        <f t="shared" si="25"/>
        <v>MERKEZ</v>
      </c>
      <c r="C1012" t="s">
        <v>201</v>
      </c>
      <c r="D1012" s="73" t="str">
        <f t="shared" si="24"/>
        <v>MERKEZ/DÜZCE</v>
      </c>
      <c r="E1012" t="s">
        <v>34</v>
      </c>
      <c r="F1012" t="s">
        <v>34</v>
      </c>
      <c r="G1012" t="s">
        <v>3366</v>
      </c>
      <c r="H1012">
        <v>98188.84</v>
      </c>
      <c r="I1012">
        <v>9818.8799999999992</v>
      </c>
      <c r="J1012">
        <v>1604.63</v>
      </c>
      <c r="K1012">
        <v>160.46</v>
      </c>
      <c r="L1012">
        <v>96584.21</v>
      </c>
      <c r="M1012">
        <v>9658.42</v>
      </c>
      <c r="O1012" s="79">
        <f>IFERROR(VLOOKUP(D1012,'KAPANAN BLD.'!$C$2:$D$793,2,FALSE),0)</f>
        <v>0</v>
      </c>
      <c r="P1012" s="79">
        <v>0</v>
      </c>
      <c r="R1012" s="79"/>
    </row>
    <row r="1013" spans="1:18" x14ac:dyDescent="0.25">
      <c r="A1013" t="s">
        <v>32</v>
      </c>
      <c r="B1013" s="73" t="str">
        <f t="shared" si="25"/>
        <v>MERKEZ</v>
      </c>
      <c r="C1013" t="s">
        <v>201</v>
      </c>
      <c r="D1013" s="73" t="str">
        <f t="shared" si="24"/>
        <v>MERKEZ/DÜZCE</v>
      </c>
      <c r="E1013" t="s">
        <v>34</v>
      </c>
      <c r="F1013" t="s">
        <v>34</v>
      </c>
      <c r="G1013" t="s">
        <v>3367</v>
      </c>
      <c r="H1013">
        <v>90729.47</v>
      </c>
      <c r="I1013">
        <v>9072.9500000000007</v>
      </c>
      <c r="J1013">
        <v>20340.060000000001</v>
      </c>
      <c r="K1013">
        <v>2034</v>
      </c>
      <c r="L1013">
        <v>70389.41</v>
      </c>
      <c r="M1013">
        <v>7038.95</v>
      </c>
      <c r="O1013" s="79">
        <f>IFERROR(VLOOKUP(D1013,'KAPANAN BLD.'!$C$2:$D$793,2,FALSE),0)</f>
        <v>0</v>
      </c>
      <c r="P1013" s="79">
        <v>0</v>
      </c>
      <c r="R1013" s="79"/>
    </row>
    <row r="1014" spans="1:18" x14ac:dyDescent="0.25">
      <c r="A1014" t="s">
        <v>32</v>
      </c>
      <c r="B1014" s="73" t="str">
        <f t="shared" si="25"/>
        <v>YIĞILCA</v>
      </c>
      <c r="C1014" t="s">
        <v>201</v>
      </c>
      <c r="D1014" s="73" t="str">
        <f t="shared" si="24"/>
        <v>YIĞILCA/DÜZCE</v>
      </c>
      <c r="E1014" t="s">
        <v>562</v>
      </c>
      <c r="F1014" t="s">
        <v>562</v>
      </c>
      <c r="G1014" t="s">
        <v>3367</v>
      </c>
      <c r="H1014">
        <v>0</v>
      </c>
      <c r="I1014">
        <v>0</v>
      </c>
      <c r="J1014">
        <v>248.4</v>
      </c>
      <c r="K1014">
        <v>24.84</v>
      </c>
      <c r="L1014">
        <v>-248.4</v>
      </c>
      <c r="M1014">
        <v>-24.84</v>
      </c>
      <c r="O1014" s="79">
        <f>IFERROR(VLOOKUP(D1014,'KAPANAN BLD.'!$C$2:$D$793,2,FALSE),0)</f>
        <v>0</v>
      </c>
      <c r="P1014" s="79">
        <v>0</v>
      </c>
      <c r="R1014" s="79"/>
    </row>
    <row r="1015" spans="1:18" x14ac:dyDescent="0.25">
      <c r="A1015" t="s">
        <v>32</v>
      </c>
      <c r="B1015" s="73" t="str">
        <f t="shared" si="25"/>
        <v>YIĞILCA</v>
      </c>
      <c r="C1015" t="s">
        <v>201</v>
      </c>
      <c r="D1015" s="73" t="str">
        <f t="shared" si="24"/>
        <v>YIĞILCA/DÜZCE</v>
      </c>
      <c r="E1015" t="s">
        <v>562</v>
      </c>
      <c r="F1015" t="s">
        <v>562</v>
      </c>
      <c r="G1015" t="s">
        <v>3366</v>
      </c>
      <c r="H1015">
        <v>0</v>
      </c>
      <c r="I1015">
        <v>0</v>
      </c>
      <c r="J1015">
        <v>178.9</v>
      </c>
      <c r="K1015">
        <v>17.89</v>
      </c>
      <c r="L1015">
        <v>-178.9</v>
      </c>
      <c r="M1015">
        <v>-17.89</v>
      </c>
      <c r="O1015" s="79">
        <f>IFERROR(VLOOKUP(D1015,'KAPANAN BLD.'!$C$2:$D$793,2,FALSE),0)</f>
        <v>0</v>
      </c>
      <c r="P1015" s="79">
        <v>0</v>
      </c>
      <c r="R1015" s="79"/>
    </row>
    <row r="1016" spans="1:18" x14ac:dyDescent="0.25">
      <c r="A1016" t="s">
        <v>32</v>
      </c>
      <c r="B1016" s="73" t="str">
        <f t="shared" si="25"/>
        <v>KEŞAN</v>
      </c>
      <c r="C1016" t="s">
        <v>59</v>
      </c>
      <c r="D1016" s="73" t="str">
        <f t="shared" si="24"/>
        <v>KEŞAN/EDİRNE</v>
      </c>
      <c r="E1016" s="9" t="s">
        <v>176</v>
      </c>
      <c r="F1016" s="9" t="s">
        <v>176</v>
      </c>
      <c r="G1016" t="s">
        <v>3366</v>
      </c>
      <c r="H1016">
        <v>723.8</v>
      </c>
      <c r="I1016">
        <v>72.38</v>
      </c>
      <c r="J1016">
        <v>0</v>
      </c>
      <c r="K1016">
        <v>0</v>
      </c>
      <c r="L1016">
        <v>723.8</v>
      </c>
      <c r="M1016">
        <v>72.38</v>
      </c>
      <c r="O1016" s="79">
        <f>IFERROR(VLOOKUP(D1016,'KAPANAN BLD.'!$C$2:$D$793,2,FALSE),0)</f>
        <v>0</v>
      </c>
      <c r="P1016" s="79">
        <v>0</v>
      </c>
      <c r="R1016" s="79"/>
    </row>
    <row r="1017" spans="1:18" x14ac:dyDescent="0.25">
      <c r="A1017" t="s">
        <v>32</v>
      </c>
      <c r="B1017" s="73" t="str">
        <f t="shared" si="25"/>
        <v>KEŞAN</v>
      </c>
      <c r="C1017" t="s">
        <v>59</v>
      </c>
      <c r="D1017" s="73" t="str">
        <f t="shared" si="24"/>
        <v>KEŞAN/EDİRNE</v>
      </c>
      <c r="E1017" s="9" t="s">
        <v>176</v>
      </c>
      <c r="F1017" s="9" t="s">
        <v>176</v>
      </c>
      <c r="G1017" t="s">
        <v>3367</v>
      </c>
      <c r="H1017">
        <v>1554</v>
      </c>
      <c r="I1017">
        <v>155.4</v>
      </c>
      <c r="J1017">
        <v>0</v>
      </c>
      <c r="K1017">
        <v>0</v>
      </c>
      <c r="L1017">
        <v>1554</v>
      </c>
      <c r="M1017">
        <v>155.4</v>
      </c>
      <c r="O1017" s="79">
        <f>IFERROR(VLOOKUP(D1017,'KAPANAN BLD.'!$C$2:$D$793,2,FALSE),0)</f>
        <v>0</v>
      </c>
      <c r="P1017" s="79">
        <v>0</v>
      </c>
      <c r="R1017" s="79"/>
    </row>
    <row r="1018" spans="1:18" x14ac:dyDescent="0.25">
      <c r="A1018" t="s">
        <v>32</v>
      </c>
      <c r="B1018" s="73" t="str">
        <f t="shared" si="25"/>
        <v>KEŞAN</v>
      </c>
      <c r="C1018" t="s">
        <v>59</v>
      </c>
      <c r="D1018" s="73" t="str">
        <f t="shared" si="24"/>
        <v>KEŞAN/EDİRNE</v>
      </c>
      <c r="E1018" s="9" t="s">
        <v>176</v>
      </c>
      <c r="F1018" s="9" t="s">
        <v>176</v>
      </c>
      <c r="G1018" t="s">
        <v>3366</v>
      </c>
      <c r="H1018">
        <v>5526.4</v>
      </c>
      <c r="I1018">
        <v>552.64</v>
      </c>
      <c r="J1018">
        <v>0</v>
      </c>
      <c r="K1018">
        <v>0</v>
      </c>
      <c r="L1018">
        <v>5526.4</v>
      </c>
      <c r="M1018">
        <v>552.64</v>
      </c>
      <c r="O1018" s="79">
        <f>IFERROR(VLOOKUP(D1018,'KAPANAN BLD.'!$C$2:$D$793,2,FALSE),0)</f>
        <v>0</v>
      </c>
      <c r="P1018" s="79">
        <v>0</v>
      </c>
      <c r="R1018" s="79"/>
    </row>
    <row r="1019" spans="1:18" x14ac:dyDescent="0.25">
      <c r="A1019" t="s">
        <v>32</v>
      </c>
      <c r="B1019" s="73" t="str">
        <f t="shared" si="25"/>
        <v>KEŞAN</v>
      </c>
      <c r="C1019" t="s">
        <v>59</v>
      </c>
      <c r="D1019" s="73" t="str">
        <f t="shared" si="24"/>
        <v>KEŞAN/EDİRNE</v>
      </c>
      <c r="E1019" s="9" t="s">
        <v>176</v>
      </c>
      <c r="F1019" s="9" t="s">
        <v>176</v>
      </c>
      <c r="G1019" t="s">
        <v>3367</v>
      </c>
      <c r="H1019">
        <v>4045.8</v>
      </c>
      <c r="I1019">
        <v>404.58</v>
      </c>
      <c r="J1019">
        <v>0</v>
      </c>
      <c r="K1019">
        <v>0</v>
      </c>
      <c r="L1019">
        <v>4045.8</v>
      </c>
      <c r="M1019">
        <v>404.58</v>
      </c>
      <c r="O1019" s="79">
        <f>IFERROR(VLOOKUP(D1019,'KAPANAN BLD.'!$C$2:$D$793,2,FALSE),0)</f>
        <v>0</v>
      </c>
      <c r="P1019" s="79">
        <v>0</v>
      </c>
      <c r="R1019" s="79"/>
    </row>
    <row r="1020" spans="1:18" x14ac:dyDescent="0.25">
      <c r="A1020" t="s">
        <v>32</v>
      </c>
      <c r="B1020" s="73" t="str">
        <f t="shared" si="25"/>
        <v>ENEZ</v>
      </c>
      <c r="C1020" t="s">
        <v>59</v>
      </c>
      <c r="D1020" s="73" t="str">
        <f t="shared" si="24"/>
        <v>ENEZ/EDİRNE</v>
      </c>
      <c r="E1020" t="s">
        <v>74</v>
      </c>
      <c r="F1020" t="s">
        <v>74</v>
      </c>
      <c r="G1020" t="s">
        <v>3367</v>
      </c>
      <c r="H1020">
        <v>735.7</v>
      </c>
      <c r="I1020">
        <v>73.569999999999993</v>
      </c>
      <c r="J1020">
        <v>22.4</v>
      </c>
      <c r="K1020">
        <v>2.2400000000000002</v>
      </c>
      <c r="L1020">
        <v>713.3</v>
      </c>
      <c r="M1020">
        <v>71.33</v>
      </c>
      <c r="O1020" s="79">
        <f>IFERROR(VLOOKUP(D1020,'KAPANAN BLD.'!$C$2:$D$793,2,FALSE),0)</f>
        <v>0</v>
      </c>
      <c r="P1020" s="79">
        <v>0</v>
      </c>
      <c r="R1020" s="79"/>
    </row>
    <row r="1021" spans="1:18" x14ac:dyDescent="0.25">
      <c r="A1021" t="s">
        <v>32</v>
      </c>
      <c r="B1021" s="73" t="str">
        <f t="shared" si="25"/>
        <v>ENEZ</v>
      </c>
      <c r="C1021" t="s">
        <v>59</v>
      </c>
      <c r="D1021" s="73" t="str">
        <f t="shared" si="24"/>
        <v>ENEZ/EDİRNE</v>
      </c>
      <c r="E1021" t="s">
        <v>74</v>
      </c>
      <c r="F1021" t="s">
        <v>74</v>
      </c>
      <c r="G1021" t="s">
        <v>3366</v>
      </c>
      <c r="H1021">
        <v>571.29999999999995</v>
      </c>
      <c r="I1021">
        <v>57.13</v>
      </c>
      <c r="J1021">
        <v>14.4</v>
      </c>
      <c r="K1021">
        <v>1.44</v>
      </c>
      <c r="L1021">
        <v>556.9</v>
      </c>
      <c r="M1021">
        <v>55.69</v>
      </c>
      <c r="O1021" s="79">
        <f>IFERROR(VLOOKUP(D1021,'KAPANAN BLD.'!$C$2:$D$793,2,FALSE),0)</f>
        <v>0</v>
      </c>
      <c r="P1021" s="79">
        <v>0</v>
      </c>
      <c r="R1021" s="79"/>
    </row>
    <row r="1022" spans="1:18" x14ac:dyDescent="0.25">
      <c r="A1022" t="s">
        <v>32</v>
      </c>
      <c r="B1022" s="73" t="str">
        <f t="shared" si="25"/>
        <v>HAVSA</v>
      </c>
      <c r="C1022" t="s">
        <v>59</v>
      </c>
      <c r="D1022" s="73" t="str">
        <f t="shared" si="24"/>
        <v>HAVSA/EDİRNE</v>
      </c>
      <c r="E1022" t="s">
        <v>563</v>
      </c>
      <c r="F1022" t="s">
        <v>563</v>
      </c>
      <c r="G1022" t="s">
        <v>3366</v>
      </c>
      <c r="H1022">
        <v>11825.1</v>
      </c>
      <c r="I1022">
        <v>1182.51</v>
      </c>
      <c r="J1022">
        <v>0</v>
      </c>
      <c r="K1022">
        <v>0</v>
      </c>
      <c r="L1022">
        <v>11825.1</v>
      </c>
      <c r="M1022">
        <v>1182.51</v>
      </c>
      <c r="O1022" s="79">
        <f>IFERROR(VLOOKUP(D1022,'KAPANAN BLD.'!$C$2:$D$793,2,FALSE),0)</f>
        <v>0</v>
      </c>
      <c r="P1022" s="79">
        <v>0</v>
      </c>
      <c r="R1022" s="79"/>
    </row>
    <row r="1023" spans="1:18" x14ac:dyDescent="0.25">
      <c r="A1023" t="s">
        <v>32</v>
      </c>
      <c r="B1023" s="73" t="str">
        <f t="shared" si="25"/>
        <v>HAVSA</v>
      </c>
      <c r="C1023" t="s">
        <v>59</v>
      </c>
      <c r="D1023" s="73" t="str">
        <f t="shared" si="24"/>
        <v>HAVSA/EDİRNE</v>
      </c>
      <c r="E1023" t="s">
        <v>563</v>
      </c>
      <c r="F1023" t="s">
        <v>563</v>
      </c>
      <c r="G1023" t="s">
        <v>3367</v>
      </c>
      <c r="H1023">
        <v>11191.6</v>
      </c>
      <c r="I1023">
        <v>1119.1600000000001</v>
      </c>
      <c r="J1023">
        <v>0</v>
      </c>
      <c r="K1023">
        <v>0</v>
      </c>
      <c r="L1023">
        <v>11191.6</v>
      </c>
      <c r="M1023">
        <v>1119.1600000000001</v>
      </c>
      <c r="O1023" s="79">
        <f>IFERROR(VLOOKUP(D1023,'KAPANAN BLD.'!$C$2:$D$793,2,FALSE),0)</f>
        <v>0</v>
      </c>
      <c r="P1023" s="79">
        <v>0</v>
      </c>
      <c r="R1023" s="79"/>
    </row>
    <row r="1024" spans="1:18" x14ac:dyDescent="0.25">
      <c r="A1024" t="s">
        <v>32</v>
      </c>
      <c r="B1024" s="73" t="str">
        <f t="shared" si="25"/>
        <v>İPSALA</v>
      </c>
      <c r="C1024" t="s">
        <v>59</v>
      </c>
      <c r="D1024" s="73" t="str">
        <f t="shared" si="24"/>
        <v>İPSALA/EDİRNE</v>
      </c>
      <c r="E1024" s="9" t="s">
        <v>330</v>
      </c>
      <c r="F1024" s="9" t="s">
        <v>330</v>
      </c>
      <c r="G1024" t="s">
        <v>3367</v>
      </c>
      <c r="H1024">
        <v>5.4</v>
      </c>
      <c r="I1024">
        <v>0.54</v>
      </c>
      <c r="J1024">
        <v>0</v>
      </c>
      <c r="K1024">
        <v>0</v>
      </c>
      <c r="L1024">
        <v>5.4</v>
      </c>
      <c r="M1024">
        <v>0.54</v>
      </c>
      <c r="O1024" s="79">
        <f>IFERROR(VLOOKUP(D1024,'KAPANAN BLD.'!$C$2:$D$793,2,FALSE),0)</f>
        <v>0</v>
      </c>
      <c r="P1024" s="79">
        <v>0</v>
      </c>
      <c r="R1024" s="79"/>
    </row>
    <row r="1025" spans="1:18" x14ac:dyDescent="0.25">
      <c r="A1025" t="s">
        <v>32</v>
      </c>
      <c r="B1025" s="73" t="str">
        <f t="shared" si="25"/>
        <v>İPSALA</v>
      </c>
      <c r="C1025" t="s">
        <v>59</v>
      </c>
      <c r="D1025" s="73" t="str">
        <f t="shared" si="24"/>
        <v>İPSALA/EDİRNE</v>
      </c>
      <c r="E1025" s="9" t="s">
        <v>330</v>
      </c>
      <c r="F1025" s="9" t="s">
        <v>330</v>
      </c>
      <c r="G1025" t="s">
        <v>3366</v>
      </c>
      <c r="H1025">
        <v>103.3</v>
      </c>
      <c r="I1025">
        <v>10.33</v>
      </c>
      <c r="J1025">
        <v>0</v>
      </c>
      <c r="K1025">
        <v>0</v>
      </c>
      <c r="L1025">
        <v>103.3</v>
      </c>
      <c r="M1025">
        <v>10.33</v>
      </c>
      <c r="O1025" s="79">
        <f>IFERROR(VLOOKUP(D1025,'KAPANAN BLD.'!$C$2:$D$793,2,FALSE),0)</f>
        <v>0</v>
      </c>
      <c r="P1025" s="79">
        <v>0</v>
      </c>
      <c r="R1025" s="79"/>
    </row>
    <row r="1026" spans="1:18" x14ac:dyDescent="0.25">
      <c r="A1026" t="s">
        <v>32</v>
      </c>
      <c r="B1026" s="73" t="str">
        <f t="shared" si="25"/>
        <v>İPSALA</v>
      </c>
      <c r="C1026" t="s">
        <v>59</v>
      </c>
      <c r="D1026" s="73" t="str">
        <f t="shared" si="24"/>
        <v>İPSALA/EDİRNE</v>
      </c>
      <c r="E1026" t="s">
        <v>330</v>
      </c>
      <c r="F1026" t="s">
        <v>330</v>
      </c>
      <c r="G1026" t="s">
        <v>3367</v>
      </c>
      <c r="H1026">
        <v>0</v>
      </c>
      <c r="I1026">
        <v>0</v>
      </c>
      <c r="J1026">
        <v>62.8</v>
      </c>
      <c r="K1026">
        <v>6.28</v>
      </c>
      <c r="L1026">
        <v>-62.8</v>
      </c>
      <c r="M1026">
        <v>-6.28</v>
      </c>
      <c r="O1026" s="79">
        <f>IFERROR(VLOOKUP(D1026,'KAPANAN BLD.'!$C$2:$D$793,2,FALSE),0)</f>
        <v>0</v>
      </c>
      <c r="P1026" s="79">
        <v>0</v>
      </c>
      <c r="R1026" s="79"/>
    </row>
    <row r="1027" spans="1:18" x14ac:dyDescent="0.25">
      <c r="A1027" t="s">
        <v>32</v>
      </c>
      <c r="B1027" s="73" t="str">
        <f t="shared" si="25"/>
        <v>KEŞAN</v>
      </c>
      <c r="C1027" t="s">
        <v>59</v>
      </c>
      <c r="D1027" s="73" t="str">
        <f t="shared" ref="D1027:D1090" si="26">CONCATENATE(B1027,"/",C1027)</f>
        <v>KEŞAN/EDİRNE</v>
      </c>
      <c r="E1027" t="s">
        <v>176</v>
      </c>
      <c r="F1027" t="s">
        <v>176</v>
      </c>
      <c r="G1027" t="s">
        <v>3366</v>
      </c>
      <c r="H1027">
        <v>1163.0999999999999</v>
      </c>
      <c r="I1027">
        <v>116.31</v>
      </c>
      <c r="J1027">
        <v>402.8</v>
      </c>
      <c r="K1027">
        <v>40.28</v>
      </c>
      <c r="L1027">
        <v>760.3</v>
      </c>
      <c r="M1027">
        <v>76.03</v>
      </c>
      <c r="O1027" s="79">
        <f>IFERROR(VLOOKUP(D1027,'KAPANAN BLD.'!$C$2:$D$793,2,FALSE),0)</f>
        <v>0</v>
      </c>
      <c r="P1027" s="79">
        <v>0</v>
      </c>
      <c r="R1027" s="79"/>
    </row>
    <row r="1028" spans="1:18" x14ac:dyDescent="0.25">
      <c r="A1028" t="s">
        <v>32</v>
      </c>
      <c r="B1028" s="73" t="str">
        <f t="shared" si="25"/>
        <v>KEŞAN</v>
      </c>
      <c r="C1028" t="s">
        <v>59</v>
      </c>
      <c r="D1028" s="73" t="str">
        <f t="shared" si="26"/>
        <v>KEŞAN/EDİRNE</v>
      </c>
      <c r="E1028" t="s">
        <v>176</v>
      </c>
      <c r="F1028" t="s">
        <v>176</v>
      </c>
      <c r="G1028" t="s">
        <v>3367</v>
      </c>
      <c r="H1028">
        <v>1686.1</v>
      </c>
      <c r="I1028">
        <v>168.61</v>
      </c>
      <c r="J1028">
        <v>82.6</v>
      </c>
      <c r="K1028">
        <v>8.26</v>
      </c>
      <c r="L1028">
        <v>1603.5</v>
      </c>
      <c r="M1028">
        <v>160.35</v>
      </c>
      <c r="O1028" s="79">
        <f>IFERROR(VLOOKUP(D1028,'KAPANAN BLD.'!$C$2:$D$793,2,FALSE),0)</f>
        <v>0</v>
      </c>
      <c r="P1028" s="79">
        <v>0</v>
      </c>
      <c r="R1028" s="79"/>
    </row>
    <row r="1029" spans="1:18" x14ac:dyDescent="0.25">
      <c r="A1029" t="s">
        <v>32</v>
      </c>
      <c r="B1029" s="73" t="str">
        <f t="shared" si="25"/>
        <v>KEŞAN</v>
      </c>
      <c r="C1029" t="s">
        <v>59</v>
      </c>
      <c r="D1029" s="73" t="str">
        <f t="shared" si="26"/>
        <v>KEŞAN/EDİRNE</v>
      </c>
      <c r="E1029" t="s">
        <v>176</v>
      </c>
      <c r="F1029" t="s">
        <v>176</v>
      </c>
      <c r="G1029" t="s">
        <v>3366</v>
      </c>
      <c r="H1029">
        <v>4582.8</v>
      </c>
      <c r="I1029">
        <v>458.28</v>
      </c>
      <c r="J1029">
        <v>0</v>
      </c>
      <c r="K1029">
        <v>0</v>
      </c>
      <c r="L1029">
        <v>4582.8</v>
      </c>
      <c r="M1029">
        <v>458.28</v>
      </c>
      <c r="O1029" s="79">
        <f>IFERROR(VLOOKUP(D1029,'KAPANAN BLD.'!$C$2:$D$793,2,FALSE),0)</f>
        <v>0</v>
      </c>
      <c r="P1029" s="79">
        <v>0</v>
      </c>
      <c r="R1029" s="79"/>
    </row>
    <row r="1030" spans="1:18" x14ac:dyDescent="0.25">
      <c r="A1030" t="s">
        <v>32</v>
      </c>
      <c r="B1030" s="73" t="str">
        <f t="shared" si="25"/>
        <v>KEŞAN</v>
      </c>
      <c r="C1030" t="s">
        <v>59</v>
      </c>
      <c r="D1030" s="73" t="str">
        <f t="shared" si="26"/>
        <v>KEŞAN/EDİRNE</v>
      </c>
      <c r="E1030" t="s">
        <v>176</v>
      </c>
      <c r="F1030" t="s">
        <v>176</v>
      </c>
      <c r="G1030" t="s">
        <v>3367</v>
      </c>
      <c r="H1030">
        <v>864.7</v>
      </c>
      <c r="I1030">
        <v>86.47</v>
      </c>
      <c r="J1030">
        <v>0</v>
      </c>
      <c r="K1030">
        <v>0</v>
      </c>
      <c r="L1030">
        <v>864.7</v>
      </c>
      <c r="M1030">
        <v>86.47</v>
      </c>
      <c r="O1030" s="79">
        <f>IFERROR(VLOOKUP(D1030,'KAPANAN BLD.'!$C$2:$D$793,2,FALSE),0)</f>
        <v>0</v>
      </c>
      <c r="P1030" s="79">
        <v>0</v>
      </c>
      <c r="R1030" s="79"/>
    </row>
    <row r="1031" spans="1:18" x14ac:dyDescent="0.25">
      <c r="A1031" t="s">
        <v>32</v>
      </c>
      <c r="B1031" s="73" t="str">
        <f t="shared" si="25"/>
        <v>UZUNKÖPRÜ</v>
      </c>
      <c r="C1031" t="s">
        <v>59</v>
      </c>
      <c r="D1031" s="73" t="str">
        <f t="shared" si="26"/>
        <v>UZUNKÖPRÜ/EDİRNE</v>
      </c>
      <c r="E1031" s="9" t="s">
        <v>294</v>
      </c>
      <c r="F1031" s="9" t="s">
        <v>294</v>
      </c>
      <c r="G1031" t="s">
        <v>3367</v>
      </c>
      <c r="H1031">
        <v>694.5</v>
      </c>
      <c r="I1031">
        <v>69.45</v>
      </c>
      <c r="J1031">
        <v>0</v>
      </c>
      <c r="K1031">
        <v>0</v>
      </c>
      <c r="L1031">
        <v>694.5</v>
      </c>
      <c r="M1031">
        <v>69.45</v>
      </c>
      <c r="O1031" s="79">
        <f>IFERROR(VLOOKUP(D1031,'KAPANAN BLD.'!$C$2:$D$793,2,FALSE),0)</f>
        <v>0</v>
      </c>
      <c r="P1031" s="79">
        <v>0</v>
      </c>
      <c r="R1031" s="79"/>
    </row>
    <row r="1032" spans="1:18" x14ac:dyDescent="0.25">
      <c r="A1032" t="s">
        <v>32</v>
      </c>
      <c r="B1032" s="73" t="str">
        <f t="shared" si="25"/>
        <v>UZUNKÖPRÜ</v>
      </c>
      <c r="C1032" t="s">
        <v>59</v>
      </c>
      <c r="D1032" s="73" t="str">
        <f t="shared" si="26"/>
        <v>UZUNKÖPRÜ/EDİRNE</v>
      </c>
      <c r="E1032" s="9" t="s">
        <v>294</v>
      </c>
      <c r="F1032" s="9" t="s">
        <v>294</v>
      </c>
      <c r="G1032" t="s">
        <v>3366</v>
      </c>
      <c r="H1032">
        <v>257.8</v>
      </c>
      <c r="I1032">
        <v>25.78</v>
      </c>
      <c r="J1032">
        <v>0</v>
      </c>
      <c r="K1032">
        <v>0</v>
      </c>
      <c r="L1032">
        <v>257.8</v>
      </c>
      <c r="M1032">
        <v>25.78</v>
      </c>
      <c r="O1032" s="79">
        <f>IFERROR(VLOOKUP(D1032,'KAPANAN BLD.'!$C$2:$D$793,2,FALSE),0)</f>
        <v>0</v>
      </c>
      <c r="P1032" s="79">
        <v>0</v>
      </c>
      <c r="R1032" s="79"/>
    </row>
    <row r="1033" spans="1:18" x14ac:dyDescent="0.25">
      <c r="A1033" t="s">
        <v>32</v>
      </c>
      <c r="B1033" s="73" t="str">
        <f t="shared" si="25"/>
        <v>UZUNKÖPRÜ</v>
      </c>
      <c r="C1033" t="s">
        <v>59</v>
      </c>
      <c r="D1033" s="73" t="str">
        <f t="shared" si="26"/>
        <v>UZUNKÖPRÜ/EDİRNE</v>
      </c>
      <c r="E1033" s="9" t="s">
        <v>294</v>
      </c>
      <c r="F1033" s="9" t="s">
        <v>294</v>
      </c>
      <c r="G1033" t="s">
        <v>3367</v>
      </c>
      <c r="H1033">
        <v>934.8</v>
      </c>
      <c r="I1033">
        <v>93.48</v>
      </c>
      <c r="J1033">
        <v>0</v>
      </c>
      <c r="K1033">
        <v>0</v>
      </c>
      <c r="L1033">
        <v>934.8</v>
      </c>
      <c r="M1033">
        <v>93.48</v>
      </c>
      <c r="O1033" s="79">
        <f>IFERROR(VLOOKUP(D1033,'KAPANAN BLD.'!$C$2:$D$793,2,FALSE),0)</f>
        <v>0</v>
      </c>
      <c r="P1033" s="79">
        <v>0</v>
      </c>
      <c r="R1033" s="79"/>
    </row>
    <row r="1034" spans="1:18" x14ac:dyDescent="0.25">
      <c r="A1034" t="s">
        <v>32</v>
      </c>
      <c r="B1034" s="73" t="str">
        <f t="shared" si="25"/>
        <v>UZUNKÖPRÜ</v>
      </c>
      <c r="C1034" t="s">
        <v>59</v>
      </c>
      <c r="D1034" s="73" t="str">
        <f t="shared" si="26"/>
        <v>UZUNKÖPRÜ/EDİRNE</v>
      </c>
      <c r="E1034" s="9" t="s">
        <v>294</v>
      </c>
      <c r="F1034" s="9" t="s">
        <v>294</v>
      </c>
      <c r="G1034" t="s">
        <v>3366</v>
      </c>
      <c r="H1034">
        <v>1373.8</v>
      </c>
      <c r="I1034">
        <v>137.38</v>
      </c>
      <c r="J1034">
        <v>0</v>
      </c>
      <c r="K1034">
        <v>0</v>
      </c>
      <c r="L1034">
        <v>1373.8</v>
      </c>
      <c r="M1034">
        <v>137.38</v>
      </c>
      <c r="O1034" s="79">
        <f>IFERROR(VLOOKUP(D1034,'KAPANAN BLD.'!$C$2:$D$793,2,FALSE),0)</f>
        <v>0</v>
      </c>
      <c r="P1034" s="79">
        <v>0</v>
      </c>
      <c r="R1034" s="79"/>
    </row>
    <row r="1035" spans="1:18" x14ac:dyDescent="0.25">
      <c r="A1035" t="s">
        <v>32</v>
      </c>
      <c r="B1035" s="73" t="str">
        <f t="shared" si="25"/>
        <v>MERKEZ</v>
      </c>
      <c r="C1035" t="s">
        <v>59</v>
      </c>
      <c r="D1035" s="73" t="str">
        <f t="shared" si="26"/>
        <v>MERKEZ/EDİRNE</v>
      </c>
      <c r="E1035" t="s">
        <v>34</v>
      </c>
      <c r="F1035" t="s">
        <v>34</v>
      </c>
      <c r="G1035" t="s">
        <v>3367</v>
      </c>
      <c r="H1035">
        <v>64769.2</v>
      </c>
      <c r="I1035">
        <v>6476.92</v>
      </c>
      <c r="J1035">
        <v>38901</v>
      </c>
      <c r="K1035">
        <v>3890.1</v>
      </c>
      <c r="L1035">
        <v>25868.2</v>
      </c>
      <c r="M1035">
        <v>2586.8200000000002</v>
      </c>
      <c r="O1035" s="79">
        <f>IFERROR(VLOOKUP(D1035,'KAPANAN BLD.'!$C$2:$D$793,2,FALSE),0)</f>
        <v>0</v>
      </c>
      <c r="P1035" s="79">
        <v>0</v>
      </c>
      <c r="R1035" s="79"/>
    </row>
    <row r="1036" spans="1:18" x14ac:dyDescent="0.25">
      <c r="A1036" t="s">
        <v>32</v>
      </c>
      <c r="B1036" s="73" t="str">
        <f t="shared" si="25"/>
        <v>MERKEZ</v>
      </c>
      <c r="C1036" t="s">
        <v>59</v>
      </c>
      <c r="D1036" s="73" t="str">
        <f t="shared" si="26"/>
        <v>MERKEZ/EDİRNE</v>
      </c>
      <c r="E1036" t="s">
        <v>34</v>
      </c>
      <c r="F1036" t="s">
        <v>34</v>
      </c>
      <c r="G1036" t="s">
        <v>3366</v>
      </c>
      <c r="H1036">
        <v>83564.3</v>
      </c>
      <c r="I1036">
        <v>8356.43</v>
      </c>
      <c r="J1036">
        <v>1744.6</v>
      </c>
      <c r="K1036">
        <v>174.46</v>
      </c>
      <c r="L1036">
        <v>81819.7</v>
      </c>
      <c r="M1036">
        <v>8181.97</v>
      </c>
      <c r="O1036" s="79">
        <f>IFERROR(VLOOKUP(D1036,'KAPANAN BLD.'!$C$2:$D$793,2,FALSE),0)</f>
        <v>0</v>
      </c>
      <c r="P1036" s="79">
        <v>0</v>
      </c>
      <c r="R1036" s="79"/>
    </row>
    <row r="1037" spans="1:18" x14ac:dyDescent="0.25">
      <c r="A1037" t="s">
        <v>32</v>
      </c>
      <c r="B1037" s="73" t="str">
        <f t="shared" si="25"/>
        <v>KEŞAN</v>
      </c>
      <c r="C1037" t="s">
        <v>59</v>
      </c>
      <c r="D1037" s="73" t="str">
        <f t="shared" si="26"/>
        <v>KEŞAN/EDİRNE</v>
      </c>
      <c r="E1037" s="9" t="s">
        <v>176</v>
      </c>
      <c r="F1037" s="9" t="s">
        <v>176</v>
      </c>
      <c r="G1037" t="s">
        <v>3366</v>
      </c>
      <c r="H1037">
        <v>544.29999999999995</v>
      </c>
      <c r="I1037">
        <v>54.43</v>
      </c>
      <c r="J1037">
        <v>251.8</v>
      </c>
      <c r="K1037">
        <v>25.18</v>
      </c>
      <c r="L1037">
        <v>292.5</v>
      </c>
      <c r="M1037">
        <v>29.25</v>
      </c>
      <c r="O1037" s="79">
        <f>IFERROR(VLOOKUP(D1037,'KAPANAN BLD.'!$C$2:$D$793,2,FALSE),0)</f>
        <v>0</v>
      </c>
      <c r="P1037" s="79">
        <v>0</v>
      </c>
      <c r="R1037" s="79"/>
    </row>
    <row r="1038" spans="1:18" x14ac:dyDescent="0.25">
      <c r="A1038" t="s">
        <v>32</v>
      </c>
      <c r="B1038" s="73" t="str">
        <f t="shared" si="25"/>
        <v>KEŞAN</v>
      </c>
      <c r="C1038" t="s">
        <v>59</v>
      </c>
      <c r="D1038" s="73" t="str">
        <f t="shared" si="26"/>
        <v>KEŞAN/EDİRNE</v>
      </c>
      <c r="E1038" s="9" t="s">
        <v>176</v>
      </c>
      <c r="F1038" s="9" t="s">
        <v>176</v>
      </c>
      <c r="G1038" t="s">
        <v>3367</v>
      </c>
      <c r="H1038">
        <v>1130.9000000000001</v>
      </c>
      <c r="I1038">
        <v>113.09</v>
      </c>
      <c r="J1038">
        <v>28.1</v>
      </c>
      <c r="K1038">
        <v>2.81</v>
      </c>
      <c r="L1038">
        <v>1102.8</v>
      </c>
      <c r="M1038">
        <v>110.28</v>
      </c>
      <c r="O1038" s="79">
        <f>IFERROR(VLOOKUP(D1038,'KAPANAN BLD.'!$C$2:$D$793,2,FALSE),0)</f>
        <v>0</v>
      </c>
      <c r="P1038" s="79">
        <v>0</v>
      </c>
      <c r="R1038" s="79"/>
    </row>
    <row r="1039" spans="1:18" x14ac:dyDescent="0.25">
      <c r="A1039" t="s">
        <v>32</v>
      </c>
      <c r="B1039" s="73" t="str">
        <f t="shared" si="25"/>
        <v>UZUNKÖPRÜ</v>
      </c>
      <c r="C1039" t="s">
        <v>59</v>
      </c>
      <c r="D1039" s="73" t="str">
        <f t="shared" si="26"/>
        <v>UZUNKÖPRÜ/EDİRNE</v>
      </c>
      <c r="E1039" t="s">
        <v>294</v>
      </c>
      <c r="F1039" t="s">
        <v>294</v>
      </c>
      <c r="G1039" t="s">
        <v>3366</v>
      </c>
      <c r="H1039">
        <v>10899</v>
      </c>
      <c r="I1039">
        <v>1089.9000000000001</v>
      </c>
      <c r="J1039">
        <v>6.7</v>
      </c>
      <c r="K1039">
        <v>0.67</v>
      </c>
      <c r="L1039">
        <v>10892.3</v>
      </c>
      <c r="M1039">
        <v>1089.23</v>
      </c>
      <c r="O1039" s="79">
        <f>IFERROR(VLOOKUP(D1039,'KAPANAN BLD.'!$C$2:$D$793,2,FALSE),0)</f>
        <v>0</v>
      </c>
      <c r="P1039" s="79">
        <v>0</v>
      </c>
      <c r="R1039" s="79"/>
    </row>
    <row r="1040" spans="1:18" x14ac:dyDescent="0.25">
      <c r="A1040" t="s">
        <v>32</v>
      </c>
      <c r="B1040" s="73" t="str">
        <f t="shared" si="25"/>
        <v>UZUNKÖPRÜ</v>
      </c>
      <c r="C1040" t="s">
        <v>59</v>
      </c>
      <c r="D1040" s="73" t="str">
        <f t="shared" si="26"/>
        <v>UZUNKÖPRÜ/EDİRNE</v>
      </c>
      <c r="E1040" t="s">
        <v>294</v>
      </c>
      <c r="F1040" t="s">
        <v>294</v>
      </c>
      <c r="G1040" t="s">
        <v>3367</v>
      </c>
      <c r="H1040">
        <v>1777.8</v>
      </c>
      <c r="I1040">
        <v>177.78</v>
      </c>
      <c r="J1040">
        <v>23</v>
      </c>
      <c r="K1040">
        <v>2.2999999999999998</v>
      </c>
      <c r="L1040">
        <v>1754.8</v>
      </c>
      <c r="M1040">
        <v>175.48</v>
      </c>
      <c r="O1040" s="79">
        <f>IFERROR(VLOOKUP(D1040,'KAPANAN BLD.'!$C$2:$D$793,2,FALSE),0)</f>
        <v>0</v>
      </c>
      <c r="P1040" s="79">
        <v>0</v>
      </c>
      <c r="R1040" s="79"/>
    </row>
    <row r="1041" spans="1:18" x14ac:dyDescent="0.25">
      <c r="A1041" t="s">
        <v>32</v>
      </c>
      <c r="B1041" s="73" t="str">
        <f t="shared" si="25"/>
        <v>KEŞAN</v>
      </c>
      <c r="C1041" t="s">
        <v>59</v>
      </c>
      <c r="D1041" s="73" t="str">
        <f t="shared" si="26"/>
        <v>KEŞAN/EDİRNE</v>
      </c>
      <c r="E1041" s="9" t="s">
        <v>176</v>
      </c>
      <c r="F1041" s="9" t="s">
        <v>176</v>
      </c>
      <c r="G1041" t="s">
        <v>3366</v>
      </c>
      <c r="H1041">
        <v>15.1</v>
      </c>
      <c r="I1041">
        <v>1.51</v>
      </c>
      <c r="J1041">
        <v>368.6</v>
      </c>
      <c r="K1041">
        <v>36.86</v>
      </c>
      <c r="L1041">
        <v>-353.5</v>
      </c>
      <c r="M1041">
        <v>-35.35</v>
      </c>
      <c r="O1041" s="79">
        <f>IFERROR(VLOOKUP(D1041,'KAPANAN BLD.'!$C$2:$D$793,2,FALSE),0)</f>
        <v>0</v>
      </c>
      <c r="P1041" s="79">
        <v>0</v>
      </c>
      <c r="R1041" s="79"/>
    </row>
    <row r="1042" spans="1:18" x14ac:dyDescent="0.25">
      <c r="A1042" t="s">
        <v>32</v>
      </c>
      <c r="B1042" s="73" t="str">
        <f t="shared" si="25"/>
        <v>KEŞAN</v>
      </c>
      <c r="C1042" t="s">
        <v>59</v>
      </c>
      <c r="D1042" s="73" t="str">
        <f t="shared" si="26"/>
        <v>KEŞAN/EDİRNE</v>
      </c>
      <c r="E1042" s="9" t="s">
        <v>176</v>
      </c>
      <c r="F1042" s="9" t="s">
        <v>176</v>
      </c>
      <c r="G1042" t="s">
        <v>3367</v>
      </c>
      <c r="H1042">
        <v>242.5</v>
      </c>
      <c r="I1042">
        <v>24.25</v>
      </c>
      <c r="J1042">
        <v>41.2</v>
      </c>
      <c r="K1042">
        <v>4.12</v>
      </c>
      <c r="L1042">
        <v>201.3</v>
      </c>
      <c r="M1042">
        <v>20.13</v>
      </c>
      <c r="O1042" s="79">
        <f>IFERROR(VLOOKUP(D1042,'KAPANAN BLD.'!$C$2:$D$793,2,FALSE),0)</f>
        <v>0</v>
      </c>
      <c r="P1042" s="79">
        <v>0</v>
      </c>
      <c r="R1042" s="79"/>
    </row>
    <row r="1043" spans="1:18" x14ac:dyDescent="0.25">
      <c r="A1043" t="s">
        <v>32</v>
      </c>
      <c r="B1043" s="73" t="str">
        <f t="shared" si="25"/>
        <v>MERKEZ</v>
      </c>
      <c r="C1043" t="s">
        <v>161</v>
      </c>
      <c r="D1043" s="73" t="str">
        <f t="shared" si="26"/>
        <v>MERKEZ/ELAZIĞ</v>
      </c>
      <c r="E1043" s="9" t="s">
        <v>34</v>
      </c>
      <c r="F1043" s="9" t="s">
        <v>34</v>
      </c>
      <c r="G1043" t="s">
        <v>3367</v>
      </c>
      <c r="H1043">
        <v>3370.6</v>
      </c>
      <c r="I1043">
        <v>337.06</v>
      </c>
      <c r="J1043">
        <v>291</v>
      </c>
      <c r="K1043">
        <v>29.1</v>
      </c>
      <c r="L1043">
        <v>3079.6</v>
      </c>
      <c r="M1043">
        <v>307.95999999999998</v>
      </c>
      <c r="O1043" s="79">
        <f>IFERROR(VLOOKUP(D1043,'KAPANAN BLD.'!$C$2:$D$793,2,FALSE),0)</f>
        <v>0</v>
      </c>
      <c r="P1043" s="79">
        <v>0</v>
      </c>
      <c r="R1043" s="79"/>
    </row>
    <row r="1044" spans="1:18" x14ac:dyDescent="0.25">
      <c r="A1044" t="s">
        <v>32</v>
      </c>
      <c r="B1044" s="73" t="str">
        <f t="shared" si="25"/>
        <v>MERKEZ</v>
      </c>
      <c r="C1044" t="s">
        <v>161</v>
      </c>
      <c r="D1044" s="73" t="str">
        <f t="shared" si="26"/>
        <v>MERKEZ/ELAZIĞ</v>
      </c>
      <c r="E1044" s="9" t="s">
        <v>34</v>
      </c>
      <c r="F1044" s="9" t="s">
        <v>34</v>
      </c>
      <c r="G1044" t="s">
        <v>3366</v>
      </c>
      <c r="H1044">
        <v>5815</v>
      </c>
      <c r="I1044">
        <v>581.5</v>
      </c>
      <c r="J1044">
        <v>834.6</v>
      </c>
      <c r="K1044">
        <v>83.46</v>
      </c>
      <c r="L1044">
        <v>4980.3999999999996</v>
      </c>
      <c r="M1044">
        <v>498.04</v>
      </c>
      <c r="O1044" s="79">
        <f>IFERROR(VLOOKUP(D1044,'KAPANAN BLD.'!$C$2:$D$793,2,FALSE),0)</f>
        <v>0</v>
      </c>
      <c r="P1044" s="79">
        <v>0</v>
      </c>
      <c r="R1044" s="79"/>
    </row>
    <row r="1045" spans="1:18" x14ac:dyDescent="0.25">
      <c r="A1045" t="s">
        <v>32</v>
      </c>
      <c r="B1045" s="73" t="str">
        <f t="shared" si="25"/>
        <v>KARAKOÇAN</v>
      </c>
      <c r="C1045" t="s">
        <v>161</v>
      </c>
      <c r="D1045" s="73" t="str">
        <f t="shared" si="26"/>
        <v>KARAKOÇAN/ELAZIĞ</v>
      </c>
      <c r="E1045" t="s">
        <v>2055</v>
      </c>
      <c r="F1045" t="s">
        <v>2055</v>
      </c>
      <c r="G1045" t="s">
        <v>3366</v>
      </c>
      <c r="H1045">
        <v>141.19999999999999</v>
      </c>
      <c r="I1045">
        <v>14.12</v>
      </c>
      <c r="J1045">
        <v>0</v>
      </c>
      <c r="K1045">
        <v>0</v>
      </c>
      <c r="L1045">
        <v>141.19999999999999</v>
      </c>
      <c r="M1045">
        <v>14.12</v>
      </c>
      <c r="O1045" s="79">
        <f>IFERROR(VLOOKUP(D1045,'KAPANAN BLD.'!$C$2:$D$793,2,FALSE),0)</f>
        <v>0</v>
      </c>
      <c r="P1045" s="79">
        <v>0</v>
      </c>
      <c r="R1045" s="79"/>
    </row>
    <row r="1046" spans="1:18" x14ac:dyDescent="0.25">
      <c r="A1046" t="s">
        <v>32</v>
      </c>
      <c r="B1046" s="73" t="str">
        <f t="shared" si="25"/>
        <v>KARAKOÇAN</v>
      </c>
      <c r="C1046" t="s">
        <v>161</v>
      </c>
      <c r="D1046" s="73" t="str">
        <f t="shared" si="26"/>
        <v>KARAKOÇAN/ELAZIĞ</v>
      </c>
      <c r="E1046" t="s">
        <v>2055</v>
      </c>
      <c r="F1046" t="s">
        <v>2055</v>
      </c>
      <c r="G1046" t="s">
        <v>3367</v>
      </c>
      <c r="H1046">
        <v>214.7</v>
      </c>
      <c r="I1046">
        <v>21.47</v>
      </c>
      <c r="J1046">
        <v>0</v>
      </c>
      <c r="K1046">
        <v>0</v>
      </c>
      <c r="L1046">
        <v>214.7</v>
      </c>
      <c r="M1046">
        <v>21.47</v>
      </c>
      <c r="O1046" s="79">
        <f>IFERROR(VLOOKUP(D1046,'KAPANAN BLD.'!$C$2:$D$793,2,FALSE),0)</f>
        <v>0</v>
      </c>
      <c r="P1046" s="79">
        <v>0</v>
      </c>
      <c r="R1046" s="79"/>
    </row>
    <row r="1047" spans="1:18" x14ac:dyDescent="0.25">
      <c r="A1047" t="s">
        <v>32</v>
      </c>
      <c r="B1047" s="73" t="str">
        <f t="shared" si="25"/>
        <v>KOVANCILAR</v>
      </c>
      <c r="C1047" t="s">
        <v>161</v>
      </c>
      <c r="D1047" s="73" t="str">
        <f t="shared" si="26"/>
        <v>KOVANCILAR/ELAZIĞ</v>
      </c>
      <c r="E1047" t="s">
        <v>567</v>
      </c>
      <c r="F1047" t="s">
        <v>567</v>
      </c>
      <c r="G1047" t="s">
        <v>3366</v>
      </c>
      <c r="H1047">
        <v>184.7</v>
      </c>
      <c r="I1047">
        <v>18.47</v>
      </c>
      <c r="J1047">
        <v>0</v>
      </c>
      <c r="K1047">
        <v>0</v>
      </c>
      <c r="L1047">
        <v>184.7</v>
      </c>
      <c r="M1047">
        <v>18.47</v>
      </c>
      <c r="O1047" s="79">
        <f>IFERROR(VLOOKUP(D1047,'KAPANAN BLD.'!$C$2:$D$793,2,FALSE),0)</f>
        <v>0</v>
      </c>
      <c r="P1047" s="79">
        <v>0</v>
      </c>
      <c r="R1047" s="79"/>
    </row>
    <row r="1048" spans="1:18" x14ac:dyDescent="0.25">
      <c r="A1048" t="s">
        <v>32</v>
      </c>
      <c r="B1048" s="73" t="str">
        <f t="shared" si="25"/>
        <v>KOVANCILAR</v>
      </c>
      <c r="C1048" t="s">
        <v>161</v>
      </c>
      <c r="D1048" s="73" t="str">
        <f t="shared" si="26"/>
        <v>KOVANCILAR/ELAZIĞ</v>
      </c>
      <c r="E1048" t="s">
        <v>567</v>
      </c>
      <c r="F1048" t="s">
        <v>567</v>
      </c>
      <c r="G1048" t="s">
        <v>3367</v>
      </c>
      <c r="H1048">
        <v>4.7</v>
      </c>
      <c r="I1048">
        <v>0.47</v>
      </c>
      <c r="J1048">
        <v>0</v>
      </c>
      <c r="K1048">
        <v>0</v>
      </c>
      <c r="L1048">
        <v>4.7</v>
      </c>
      <c r="M1048">
        <v>0.47</v>
      </c>
      <c r="O1048" s="79">
        <f>IFERROR(VLOOKUP(D1048,'KAPANAN BLD.'!$C$2:$D$793,2,FALSE),0)</f>
        <v>0</v>
      </c>
      <c r="P1048" s="79">
        <v>0</v>
      </c>
      <c r="R1048" s="79"/>
    </row>
    <row r="1049" spans="1:18" x14ac:dyDescent="0.25">
      <c r="A1049" t="s">
        <v>32</v>
      </c>
      <c r="B1049" s="73" t="str">
        <f t="shared" si="25"/>
        <v>MERKEZ</v>
      </c>
      <c r="C1049" t="s">
        <v>161</v>
      </c>
      <c r="D1049" s="73" t="str">
        <f t="shared" si="26"/>
        <v>MERKEZ/ELAZIĞ</v>
      </c>
      <c r="E1049" t="s">
        <v>34</v>
      </c>
      <c r="F1049" t="s">
        <v>34</v>
      </c>
      <c r="G1049" t="s">
        <v>3367</v>
      </c>
      <c r="H1049">
        <v>5910.2</v>
      </c>
      <c r="I1049">
        <v>591.02</v>
      </c>
      <c r="J1049">
        <v>2268.8000000000002</v>
      </c>
      <c r="K1049">
        <v>226.88</v>
      </c>
      <c r="L1049">
        <v>3641.4</v>
      </c>
      <c r="M1049">
        <v>364.14</v>
      </c>
      <c r="O1049" s="79">
        <f>IFERROR(VLOOKUP(D1049,'KAPANAN BLD.'!$C$2:$D$793,2,FALSE),0)</f>
        <v>0</v>
      </c>
      <c r="P1049" s="79">
        <v>0</v>
      </c>
      <c r="R1049" s="79"/>
    </row>
    <row r="1050" spans="1:18" x14ac:dyDescent="0.25">
      <c r="A1050" t="s">
        <v>32</v>
      </c>
      <c r="B1050" s="73" t="str">
        <f t="shared" si="25"/>
        <v>MERKEZ</v>
      </c>
      <c r="C1050" t="s">
        <v>161</v>
      </c>
      <c r="D1050" s="73" t="str">
        <f t="shared" si="26"/>
        <v>MERKEZ/ELAZIĞ</v>
      </c>
      <c r="E1050" t="s">
        <v>34</v>
      </c>
      <c r="F1050" t="s">
        <v>34</v>
      </c>
      <c r="G1050" t="s">
        <v>3366</v>
      </c>
      <c r="H1050">
        <v>2690.7</v>
      </c>
      <c r="I1050">
        <v>269.07</v>
      </c>
      <c r="J1050">
        <v>0</v>
      </c>
      <c r="K1050">
        <v>0</v>
      </c>
      <c r="L1050">
        <v>2690.7</v>
      </c>
      <c r="M1050">
        <v>269.07</v>
      </c>
      <c r="O1050" s="79">
        <f>IFERROR(VLOOKUP(D1050,'KAPANAN BLD.'!$C$2:$D$793,2,FALSE),0)</f>
        <v>0</v>
      </c>
      <c r="P1050" s="79">
        <v>0</v>
      </c>
      <c r="R1050" s="79"/>
    </row>
    <row r="1051" spans="1:18" x14ac:dyDescent="0.25">
      <c r="A1051" t="s">
        <v>32</v>
      </c>
      <c r="B1051" s="73" t="str">
        <f t="shared" si="25"/>
        <v>MERKEZ</v>
      </c>
      <c r="C1051" t="s">
        <v>161</v>
      </c>
      <c r="D1051" s="73" t="str">
        <f t="shared" si="26"/>
        <v>MERKEZ/ELAZIĞ</v>
      </c>
      <c r="E1051" t="s">
        <v>34</v>
      </c>
      <c r="F1051" t="s">
        <v>34</v>
      </c>
      <c r="G1051" t="s">
        <v>3366</v>
      </c>
      <c r="H1051">
        <v>1725.6</v>
      </c>
      <c r="I1051">
        <v>172.56</v>
      </c>
      <c r="J1051">
        <v>18.600000000000001</v>
      </c>
      <c r="K1051">
        <v>1.86</v>
      </c>
      <c r="L1051">
        <v>1707</v>
      </c>
      <c r="M1051">
        <v>170.7</v>
      </c>
      <c r="O1051" s="79">
        <f>IFERROR(VLOOKUP(D1051,'KAPANAN BLD.'!$C$2:$D$793,2,FALSE),0)</f>
        <v>0</v>
      </c>
      <c r="P1051" s="79">
        <v>0</v>
      </c>
      <c r="R1051" s="79"/>
    </row>
    <row r="1052" spans="1:18" x14ac:dyDescent="0.25">
      <c r="A1052" t="s">
        <v>32</v>
      </c>
      <c r="B1052" s="73" t="str">
        <f t="shared" si="25"/>
        <v>MERKEZ</v>
      </c>
      <c r="C1052" t="s">
        <v>161</v>
      </c>
      <c r="D1052" s="73" t="str">
        <f t="shared" si="26"/>
        <v>MERKEZ/ELAZIĞ</v>
      </c>
      <c r="E1052" t="s">
        <v>34</v>
      </c>
      <c r="F1052" t="s">
        <v>34</v>
      </c>
      <c r="G1052" t="s">
        <v>3367</v>
      </c>
      <c r="H1052">
        <v>4347.3</v>
      </c>
      <c r="I1052">
        <v>434.73</v>
      </c>
      <c r="J1052">
        <v>42.1</v>
      </c>
      <c r="K1052">
        <v>4.21</v>
      </c>
      <c r="L1052">
        <v>4305.2</v>
      </c>
      <c r="M1052">
        <v>430.52</v>
      </c>
      <c r="O1052" s="79">
        <f>IFERROR(VLOOKUP(D1052,'KAPANAN BLD.'!$C$2:$D$793,2,FALSE),0)</f>
        <v>0</v>
      </c>
      <c r="P1052" s="79">
        <v>0</v>
      </c>
      <c r="R1052" s="79"/>
    </row>
    <row r="1053" spans="1:18" x14ac:dyDescent="0.25">
      <c r="A1053" t="s">
        <v>32</v>
      </c>
      <c r="B1053" s="73" t="str">
        <f t="shared" si="25"/>
        <v>MERKEZ</v>
      </c>
      <c r="C1053" t="s">
        <v>161</v>
      </c>
      <c r="D1053" s="73" t="str">
        <f t="shared" si="26"/>
        <v>MERKEZ/ELAZIĞ</v>
      </c>
      <c r="E1053" t="s">
        <v>34</v>
      </c>
      <c r="F1053" t="s">
        <v>34</v>
      </c>
      <c r="G1053" t="s">
        <v>3366</v>
      </c>
      <c r="H1053">
        <v>3268.2</v>
      </c>
      <c r="I1053">
        <v>326.82</v>
      </c>
      <c r="J1053">
        <v>113.6</v>
      </c>
      <c r="K1053">
        <v>11.36</v>
      </c>
      <c r="L1053">
        <v>3154.6</v>
      </c>
      <c r="M1053">
        <v>315.45999999999998</v>
      </c>
      <c r="O1053" s="79">
        <f>IFERROR(VLOOKUP(D1053,'KAPANAN BLD.'!$C$2:$D$793,2,FALSE),0)</f>
        <v>0</v>
      </c>
      <c r="P1053" s="79">
        <v>0</v>
      </c>
      <c r="R1053" s="79"/>
    </row>
    <row r="1054" spans="1:18" x14ac:dyDescent="0.25">
      <c r="A1054" t="s">
        <v>32</v>
      </c>
      <c r="B1054" s="73" t="str">
        <f t="shared" si="25"/>
        <v>MERKEZ</v>
      </c>
      <c r="C1054" t="s">
        <v>161</v>
      </c>
      <c r="D1054" s="73" t="str">
        <f t="shared" si="26"/>
        <v>MERKEZ/ELAZIĞ</v>
      </c>
      <c r="E1054" t="s">
        <v>34</v>
      </c>
      <c r="F1054" t="s">
        <v>34</v>
      </c>
      <c r="G1054" t="s">
        <v>3367</v>
      </c>
      <c r="H1054">
        <v>463.9</v>
      </c>
      <c r="I1054">
        <v>46.39</v>
      </c>
      <c r="J1054">
        <v>111.2</v>
      </c>
      <c r="K1054">
        <v>11.12</v>
      </c>
      <c r="L1054">
        <v>352.7</v>
      </c>
      <c r="M1054">
        <v>35.270000000000003</v>
      </c>
      <c r="O1054" s="79">
        <f>IFERROR(VLOOKUP(D1054,'KAPANAN BLD.'!$C$2:$D$793,2,FALSE),0)</f>
        <v>0</v>
      </c>
      <c r="P1054" s="79">
        <v>0</v>
      </c>
      <c r="R1054" s="79"/>
    </row>
    <row r="1055" spans="1:18" x14ac:dyDescent="0.25">
      <c r="A1055" t="s">
        <v>32</v>
      </c>
      <c r="B1055" s="73" t="str">
        <f t="shared" si="25"/>
        <v>MERKEZ</v>
      </c>
      <c r="C1055" t="s">
        <v>161</v>
      </c>
      <c r="D1055" s="73" t="str">
        <f t="shared" si="26"/>
        <v>MERKEZ/ELAZIĞ</v>
      </c>
      <c r="E1055" s="9" t="s">
        <v>34</v>
      </c>
      <c r="F1055" s="9" t="s">
        <v>34</v>
      </c>
      <c r="G1055" t="s">
        <v>3367</v>
      </c>
      <c r="H1055">
        <v>1157.3</v>
      </c>
      <c r="I1055">
        <v>115.73</v>
      </c>
      <c r="J1055">
        <v>0</v>
      </c>
      <c r="K1055">
        <v>0</v>
      </c>
      <c r="L1055">
        <v>1157.3</v>
      </c>
      <c r="M1055">
        <v>115.73</v>
      </c>
      <c r="O1055" s="79">
        <f>IFERROR(VLOOKUP(D1055,'KAPANAN BLD.'!$C$2:$D$793,2,FALSE),0)</f>
        <v>0</v>
      </c>
      <c r="P1055" s="79">
        <v>0</v>
      </c>
      <c r="R1055" s="79"/>
    </row>
    <row r="1056" spans="1:18" x14ac:dyDescent="0.25">
      <c r="A1056" t="s">
        <v>32</v>
      </c>
      <c r="B1056" s="73" t="str">
        <f t="shared" si="25"/>
        <v>MERKEZ</v>
      </c>
      <c r="C1056" t="s">
        <v>161</v>
      </c>
      <c r="D1056" s="73" t="str">
        <f t="shared" si="26"/>
        <v>MERKEZ/ELAZIĞ</v>
      </c>
      <c r="E1056" s="9" t="s">
        <v>34</v>
      </c>
      <c r="F1056" s="9" t="s">
        <v>34</v>
      </c>
      <c r="G1056" t="s">
        <v>3366</v>
      </c>
      <c r="H1056">
        <v>5090.3</v>
      </c>
      <c r="I1056">
        <v>509.03</v>
      </c>
      <c r="J1056">
        <v>0</v>
      </c>
      <c r="K1056">
        <v>0</v>
      </c>
      <c r="L1056">
        <v>5090.3</v>
      </c>
      <c r="M1056">
        <v>509.03</v>
      </c>
      <c r="O1056" s="79">
        <f>IFERROR(VLOOKUP(D1056,'KAPANAN BLD.'!$C$2:$D$793,2,FALSE),0)</f>
        <v>0</v>
      </c>
      <c r="P1056" s="79">
        <v>0</v>
      </c>
      <c r="R1056" s="79"/>
    </row>
    <row r="1057" spans="1:18" x14ac:dyDescent="0.25">
      <c r="A1057" t="s">
        <v>32</v>
      </c>
      <c r="B1057" s="73" t="str">
        <f t="shared" si="25"/>
        <v>SİVRİCE</v>
      </c>
      <c r="C1057" t="s">
        <v>161</v>
      </c>
      <c r="D1057" s="73" t="str">
        <f t="shared" si="26"/>
        <v>SİVRİCE/ELAZIĞ</v>
      </c>
      <c r="E1057" t="s">
        <v>2420</v>
      </c>
      <c r="F1057" t="s">
        <v>2420</v>
      </c>
      <c r="G1057" t="s">
        <v>3366</v>
      </c>
      <c r="H1057">
        <v>3.6</v>
      </c>
      <c r="I1057">
        <v>0.36</v>
      </c>
      <c r="J1057">
        <v>0</v>
      </c>
      <c r="K1057">
        <v>0</v>
      </c>
      <c r="L1057">
        <v>3.6</v>
      </c>
      <c r="M1057">
        <v>0.36</v>
      </c>
      <c r="O1057" s="79">
        <f>IFERROR(VLOOKUP(D1057,'KAPANAN BLD.'!$C$2:$D$793,2,FALSE),0)</f>
        <v>0</v>
      </c>
      <c r="P1057" s="79">
        <v>0</v>
      </c>
      <c r="R1057" s="79"/>
    </row>
    <row r="1058" spans="1:18" x14ac:dyDescent="0.25">
      <c r="A1058" t="s">
        <v>32</v>
      </c>
      <c r="B1058" s="73" t="str">
        <f t="shared" si="25"/>
        <v>SİVRİCE</v>
      </c>
      <c r="C1058" t="s">
        <v>161</v>
      </c>
      <c r="D1058" s="73" t="str">
        <f t="shared" si="26"/>
        <v>SİVRİCE/ELAZIĞ</v>
      </c>
      <c r="E1058" t="s">
        <v>2420</v>
      </c>
      <c r="F1058" t="s">
        <v>2420</v>
      </c>
      <c r="G1058" t="s">
        <v>3367</v>
      </c>
      <c r="H1058">
        <v>708.3</v>
      </c>
      <c r="I1058">
        <v>70.83</v>
      </c>
      <c r="J1058">
        <v>0</v>
      </c>
      <c r="K1058">
        <v>0</v>
      </c>
      <c r="L1058">
        <v>708.3</v>
      </c>
      <c r="M1058">
        <v>70.83</v>
      </c>
      <c r="O1058" s="79">
        <f>IFERROR(VLOOKUP(D1058,'KAPANAN BLD.'!$C$2:$D$793,2,FALSE),0)</f>
        <v>0</v>
      </c>
      <c r="P1058" s="79">
        <v>0</v>
      </c>
      <c r="R1058" s="79"/>
    </row>
    <row r="1059" spans="1:18" x14ac:dyDescent="0.25">
      <c r="A1059" t="s">
        <v>32</v>
      </c>
      <c r="B1059" s="73" t="str">
        <f t="shared" si="25"/>
        <v>MERKEZ</v>
      </c>
      <c r="C1059" t="s">
        <v>161</v>
      </c>
      <c r="D1059" s="73" t="str">
        <f t="shared" si="26"/>
        <v>MERKEZ/ELAZIĞ</v>
      </c>
      <c r="E1059" s="9" t="s">
        <v>34</v>
      </c>
      <c r="F1059" s="9" t="s">
        <v>34</v>
      </c>
      <c r="G1059" t="s">
        <v>3366</v>
      </c>
      <c r="H1059">
        <v>9724.7999999999993</v>
      </c>
      <c r="I1059">
        <v>972.48</v>
      </c>
      <c r="J1059">
        <v>2633.3</v>
      </c>
      <c r="K1059">
        <v>263.33</v>
      </c>
      <c r="L1059">
        <v>7091.5</v>
      </c>
      <c r="M1059">
        <v>709.15</v>
      </c>
      <c r="O1059" s="79">
        <f>IFERROR(VLOOKUP(D1059,'KAPANAN BLD.'!$C$2:$D$793,2,FALSE),0)</f>
        <v>0</v>
      </c>
      <c r="P1059" s="79">
        <v>0</v>
      </c>
      <c r="R1059" s="79"/>
    </row>
    <row r="1060" spans="1:18" x14ac:dyDescent="0.25">
      <c r="A1060" t="s">
        <v>32</v>
      </c>
      <c r="B1060" s="73" t="str">
        <f t="shared" si="25"/>
        <v>MERKEZ</v>
      </c>
      <c r="C1060" t="s">
        <v>161</v>
      </c>
      <c r="D1060" s="73" t="str">
        <f t="shared" si="26"/>
        <v>MERKEZ/ELAZIĞ</v>
      </c>
      <c r="E1060" s="9" t="s">
        <v>34</v>
      </c>
      <c r="F1060" s="9" t="s">
        <v>34</v>
      </c>
      <c r="G1060" t="s">
        <v>3367</v>
      </c>
      <c r="H1060">
        <v>1535.5</v>
      </c>
      <c r="I1060">
        <v>153.55000000000001</v>
      </c>
      <c r="J1060">
        <v>455.6</v>
      </c>
      <c r="K1060">
        <v>45.56</v>
      </c>
      <c r="L1060">
        <v>1079.9000000000001</v>
      </c>
      <c r="M1060">
        <v>107.99</v>
      </c>
      <c r="O1060" s="79">
        <f>IFERROR(VLOOKUP(D1060,'KAPANAN BLD.'!$C$2:$D$793,2,FALSE),0)</f>
        <v>0</v>
      </c>
      <c r="P1060" s="79">
        <v>0</v>
      </c>
      <c r="R1060" s="79"/>
    </row>
    <row r="1061" spans="1:18" x14ac:dyDescent="0.25">
      <c r="A1061" t="s">
        <v>32</v>
      </c>
      <c r="B1061" s="73" t="str">
        <f t="shared" si="25"/>
        <v>MERKEZ</v>
      </c>
      <c r="C1061" t="s">
        <v>161</v>
      </c>
      <c r="D1061" s="73" t="str">
        <f t="shared" si="26"/>
        <v>MERKEZ/ELAZIĞ</v>
      </c>
      <c r="E1061" s="9" t="s">
        <v>34</v>
      </c>
      <c r="F1061" s="9" t="s">
        <v>34</v>
      </c>
      <c r="G1061" t="s">
        <v>3366</v>
      </c>
      <c r="H1061">
        <v>4122.8</v>
      </c>
      <c r="I1061">
        <v>412.28</v>
      </c>
      <c r="J1061">
        <v>179.3</v>
      </c>
      <c r="K1061">
        <v>17.93</v>
      </c>
      <c r="L1061">
        <v>3943.5</v>
      </c>
      <c r="M1061">
        <v>394.35</v>
      </c>
      <c r="O1061" s="79">
        <f>IFERROR(VLOOKUP(D1061,'KAPANAN BLD.'!$C$2:$D$793,2,FALSE),0)</f>
        <v>0</v>
      </c>
      <c r="P1061" s="79">
        <v>0</v>
      </c>
      <c r="R1061" s="79"/>
    </row>
    <row r="1062" spans="1:18" x14ac:dyDescent="0.25">
      <c r="A1062" t="s">
        <v>32</v>
      </c>
      <c r="B1062" s="73" t="str">
        <f t="shared" si="25"/>
        <v>MERKEZ</v>
      </c>
      <c r="C1062" t="s">
        <v>161</v>
      </c>
      <c r="D1062" s="73" t="str">
        <f t="shared" si="26"/>
        <v>MERKEZ/ELAZIĞ</v>
      </c>
      <c r="E1062" s="9" t="s">
        <v>34</v>
      </c>
      <c r="F1062" s="9" t="s">
        <v>34</v>
      </c>
      <c r="G1062" t="s">
        <v>3367</v>
      </c>
      <c r="H1062">
        <v>3535.5</v>
      </c>
      <c r="I1062">
        <v>353.55</v>
      </c>
      <c r="J1062">
        <v>343.8</v>
      </c>
      <c r="K1062">
        <v>34.380000000000003</v>
      </c>
      <c r="L1062">
        <v>3191.7</v>
      </c>
      <c r="M1062">
        <v>319.17</v>
      </c>
      <c r="O1062" s="79">
        <f>IFERROR(VLOOKUP(D1062,'KAPANAN BLD.'!$C$2:$D$793,2,FALSE),0)</f>
        <v>0</v>
      </c>
      <c r="P1062" s="79">
        <v>0</v>
      </c>
      <c r="R1062" s="79"/>
    </row>
    <row r="1063" spans="1:18" x14ac:dyDescent="0.25">
      <c r="A1063" t="s">
        <v>32</v>
      </c>
      <c r="B1063" s="73" t="str">
        <f t="shared" ref="B1063:B1095" si="27">F1063</f>
        <v>MERKEZ</v>
      </c>
      <c r="C1063" t="s">
        <v>173</v>
      </c>
      <c r="D1063" s="73" t="str">
        <f t="shared" si="26"/>
        <v>MERKEZ/ERZİNCAN</v>
      </c>
      <c r="E1063" s="9" t="s">
        <v>34</v>
      </c>
      <c r="F1063" s="9" t="s">
        <v>34</v>
      </c>
      <c r="G1063" t="s">
        <v>3367</v>
      </c>
      <c r="H1063">
        <v>96.6</v>
      </c>
      <c r="I1063">
        <v>9.66</v>
      </c>
      <c r="J1063">
        <v>0</v>
      </c>
      <c r="K1063">
        <v>0</v>
      </c>
      <c r="L1063">
        <v>96.6</v>
      </c>
      <c r="M1063">
        <v>9.66</v>
      </c>
      <c r="O1063" s="79">
        <f>IFERROR(VLOOKUP(D1063,'KAPANAN BLD.'!$C$2:$D$793,2,FALSE),0)</f>
        <v>0</v>
      </c>
      <c r="P1063" s="79">
        <v>0</v>
      </c>
      <c r="R1063" s="79"/>
    </row>
    <row r="1064" spans="1:18" x14ac:dyDescent="0.25">
      <c r="A1064" t="s">
        <v>32</v>
      </c>
      <c r="B1064" s="73" t="str">
        <f t="shared" si="27"/>
        <v>MERKEZ</v>
      </c>
      <c r="C1064" t="s">
        <v>173</v>
      </c>
      <c r="D1064" s="73" t="str">
        <f t="shared" si="26"/>
        <v>MERKEZ/ERZİNCAN</v>
      </c>
      <c r="E1064" s="9" t="s">
        <v>34</v>
      </c>
      <c r="F1064" s="9" t="s">
        <v>34</v>
      </c>
      <c r="G1064" t="s">
        <v>3366</v>
      </c>
      <c r="H1064">
        <v>35.299999999999997</v>
      </c>
      <c r="I1064">
        <v>3.53</v>
      </c>
      <c r="J1064">
        <v>0</v>
      </c>
      <c r="K1064">
        <v>0</v>
      </c>
      <c r="L1064">
        <v>35.299999999999997</v>
      </c>
      <c r="M1064">
        <v>3.53</v>
      </c>
      <c r="O1064" s="79">
        <f>IFERROR(VLOOKUP(D1064,'KAPANAN BLD.'!$C$2:$D$793,2,FALSE),0)</f>
        <v>0</v>
      </c>
      <c r="P1064" s="79">
        <v>0</v>
      </c>
      <c r="R1064" s="79"/>
    </row>
    <row r="1065" spans="1:18" x14ac:dyDescent="0.25">
      <c r="A1065" t="s">
        <v>32</v>
      </c>
      <c r="B1065" s="73" t="str">
        <f t="shared" si="27"/>
        <v>TERCAN</v>
      </c>
      <c r="C1065" t="s">
        <v>173</v>
      </c>
      <c r="D1065" s="73" t="str">
        <f t="shared" si="26"/>
        <v>TERCAN/ERZİNCAN</v>
      </c>
      <c r="E1065" s="9" t="s">
        <v>444</v>
      </c>
      <c r="F1065" s="9" t="s">
        <v>444</v>
      </c>
      <c r="G1065" t="s">
        <v>3366</v>
      </c>
      <c r="H1065">
        <v>229.1</v>
      </c>
      <c r="I1065">
        <v>22.91</v>
      </c>
      <c r="J1065">
        <v>0</v>
      </c>
      <c r="K1065">
        <v>0</v>
      </c>
      <c r="L1065">
        <v>229.1</v>
      </c>
      <c r="M1065">
        <v>22.91</v>
      </c>
      <c r="O1065" s="79">
        <f>IFERROR(VLOOKUP(D1065,'KAPANAN BLD.'!$C$2:$D$793,2,FALSE),0)</f>
        <v>0</v>
      </c>
      <c r="P1065" s="79">
        <v>0</v>
      </c>
      <c r="R1065" s="79"/>
    </row>
    <row r="1066" spans="1:18" x14ac:dyDescent="0.25">
      <c r="A1066" t="s">
        <v>32</v>
      </c>
      <c r="B1066" s="73" t="str">
        <f t="shared" si="27"/>
        <v>TERCAN</v>
      </c>
      <c r="C1066" t="s">
        <v>173</v>
      </c>
      <c r="D1066" s="73" t="str">
        <f t="shared" si="26"/>
        <v>TERCAN/ERZİNCAN</v>
      </c>
      <c r="E1066" s="9" t="s">
        <v>444</v>
      </c>
      <c r="F1066" s="9" t="s">
        <v>444</v>
      </c>
      <c r="G1066" t="s">
        <v>3367</v>
      </c>
      <c r="H1066">
        <v>328.5</v>
      </c>
      <c r="I1066">
        <v>32.85</v>
      </c>
      <c r="J1066">
        <v>0</v>
      </c>
      <c r="K1066">
        <v>0</v>
      </c>
      <c r="L1066">
        <v>328.5</v>
      </c>
      <c r="M1066">
        <v>32.85</v>
      </c>
      <c r="O1066" s="79">
        <f>IFERROR(VLOOKUP(D1066,'KAPANAN BLD.'!$C$2:$D$793,2,FALSE),0)</f>
        <v>0</v>
      </c>
      <c r="P1066" s="79">
        <v>0</v>
      </c>
      <c r="R1066" s="79"/>
    </row>
    <row r="1067" spans="1:18" x14ac:dyDescent="0.25">
      <c r="A1067" t="s">
        <v>32</v>
      </c>
      <c r="B1067" s="73" t="str">
        <f t="shared" si="27"/>
        <v>MERKEZ</v>
      </c>
      <c r="C1067" t="s">
        <v>173</v>
      </c>
      <c r="D1067" s="73" t="str">
        <f t="shared" si="26"/>
        <v>MERKEZ/ERZİNCAN</v>
      </c>
      <c r="E1067" s="9" t="s">
        <v>34</v>
      </c>
      <c r="F1067" s="9" t="s">
        <v>34</v>
      </c>
      <c r="G1067" t="s">
        <v>3367</v>
      </c>
      <c r="H1067">
        <v>458.7</v>
      </c>
      <c r="I1067">
        <v>45.87</v>
      </c>
      <c r="J1067">
        <v>126.1</v>
      </c>
      <c r="K1067">
        <v>12.61</v>
      </c>
      <c r="L1067">
        <v>332.6</v>
      </c>
      <c r="M1067">
        <v>33.26</v>
      </c>
      <c r="O1067" s="79">
        <f>IFERROR(VLOOKUP(D1067,'KAPANAN BLD.'!$C$2:$D$793,2,FALSE),0)</f>
        <v>0</v>
      </c>
      <c r="P1067" s="79">
        <v>0</v>
      </c>
      <c r="R1067" s="79"/>
    </row>
    <row r="1068" spans="1:18" x14ac:dyDescent="0.25">
      <c r="A1068" t="s">
        <v>32</v>
      </c>
      <c r="B1068" s="73" t="str">
        <f t="shared" si="27"/>
        <v>MERKEZ</v>
      </c>
      <c r="C1068" t="s">
        <v>173</v>
      </c>
      <c r="D1068" s="73" t="str">
        <f t="shared" si="26"/>
        <v>MERKEZ/ERZİNCAN</v>
      </c>
      <c r="E1068" s="9" t="s">
        <v>34</v>
      </c>
      <c r="F1068" s="9" t="s">
        <v>34</v>
      </c>
      <c r="G1068" t="s">
        <v>3366</v>
      </c>
      <c r="H1068">
        <v>220.3</v>
      </c>
      <c r="I1068">
        <v>22.03</v>
      </c>
      <c r="J1068">
        <v>42</v>
      </c>
      <c r="K1068">
        <v>4.2</v>
      </c>
      <c r="L1068">
        <v>178.3</v>
      </c>
      <c r="M1068">
        <v>17.829999999999998</v>
      </c>
      <c r="O1068" s="79">
        <f>IFERROR(VLOOKUP(D1068,'KAPANAN BLD.'!$C$2:$D$793,2,FALSE),0)</f>
        <v>0</v>
      </c>
      <c r="P1068" s="79">
        <v>0</v>
      </c>
      <c r="R1068" s="79"/>
    </row>
    <row r="1069" spans="1:18" x14ac:dyDescent="0.25">
      <c r="A1069" t="s">
        <v>32</v>
      </c>
      <c r="B1069" s="73" t="str">
        <f t="shared" si="27"/>
        <v>MERKEZ</v>
      </c>
      <c r="C1069" t="s">
        <v>173</v>
      </c>
      <c r="D1069" s="73" t="str">
        <f t="shared" si="26"/>
        <v>MERKEZ/ERZİNCAN</v>
      </c>
      <c r="E1069" s="9" t="s">
        <v>34</v>
      </c>
      <c r="F1069" s="9" t="s">
        <v>34</v>
      </c>
      <c r="G1069" t="s">
        <v>3366</v>
      </c>
      <c r="H1069">
        <v>2204.3000000000002</v>
      </c>
      <c r="I1069">
        <v>220.43</v>
      </c>
      <c r="J1069">
        <v>0</v>
      </c>
      <c r="K1069">
        <v>0</v>
      </c>
      <c r="L1069">
        <v>2204.3000000000002</v>
      </c>
      <c r="M1069">
        <v>220.43</v>
      </c>
      <c r="O1069" s="79">
        <f>IFERROR(VLOOKUP(D1069,'KAPANAN BLD.'!$C$2:$D$793,2,FALSE),0)</f>
        <v>0</v>
      </c>
      <c r="P1069" s="79">
        <v>0</v>
      </c>
      <c r="R1069" s="79"/>
    </row>
    <row r="1070" spans="1:18" x14ac:dyDescent="0.25">
      <c r="A1070" t="s">
        <v>32</v>
      </c>
      <c r="B1070" s="73" t="str">
        <f t="shared" si="27"/>
        <v>MERKEZ</v>
      </c>
      <c r="C1070" t="s">
        <v>173</v>
      </c>
      <c r="D1070" s="73" t="str">
        <f t="shared" si="26"/>
        <v>MERKEZ/ERZİNCAN</v>
      </c>
      <c r="E1070" s="9" t="s">
        <v>34</v>
      </c>
      <c r="F1070" s="9" t="s">
        <v>34</v>
      </c>
      <c r="G1070" t="s">
        <v>3367</v>
      </c>
      <c r="H1070">
        <v>8.5</v>
      </c>
      <c r="I1070">
        <v>0.85</v>
      </c>
      <c r="J1070">
        <v>104.4</v>
      </c>
      <c r="K1070">
        <v>10.44</v>
      </c>
      <c r="L1070">
        <v>-95.9</v>
      </c>
      <c r="M1070">
        <v>-9.59</v>
      </c>
      <c r="O1070" s="79">
        <f>IFERROR(VLOOKUP(D1070,'KAPANAN BLD.'!$C$2:$D$793,2,FALSE),0)</f>
        <v>0</v>
      </c>
      <c r="P1070" s="79">
        <v>0</v>
      </c>
      <c r="R1070" s="79"/>
    </row>
    <row r="1071" spans="1:18" x14ac:dyDescent="0.25">
      <c r="A1071" t="s">
        <v>32</v>
      </c>
      <c r="B1071" s="73" t="str">
        <f t="shared" si="27"/>
        <v>MERKEZ</v>
      </c>
      <c r="C1071" t="s">
        <v>173</v>
      </c>
      <c r="D1071" s="73" t="str">
        <f t="shared" si="26"/>
        <v>MERKEZ/ERZİNCAN</v>
      </c>
      <c r="E1071" s="9" t="s">
        <v>34</v>
      </c>
      <c r="F1071" s="9" t="s">
        <v>34</v>
      </c>
      <c r="G1071" t="s">
        <v>3366</v>
      </c>
      <c r="H1071">
        <v>132.1</v>
      </c>
      <c r="I1071">
        <v>13.21</v>
      </c>
      <c r="J1071">
        <v>0</v>
      </c>
      <c r="K1071">
        <v>0</v>
      </c>
      <c r="L1071">
        <v>132.1</v>
      </c>
      <c r="M1071">
        <v>13.21</v>
      </c>
      <c r="O1071" s="79">
        <f>IFERROR(VLOOKUP(D1071,'KAPANAN BLD.'!$C$2:$D$793,2,FALSE),0)</f>
        <v>0</v>
      </c>
      <c r="P1071" s="79">
        <v>0</v>
      </c>
      <c r="R1071" s="79"/>
    </row>
    <row r="1072" spans="1:18" x14ac:dyDescent="0.25">
      <c r="A1072" t="s">
        <v>32</v>
      </c>
      <c r="B1072" s="73" t="str">
        <f t="shared" si="27"/>
        <v>MERKEZ</v>
      </c>
      <c r="C1072" t="s">
        <v>173</v>
      </c>
      <c r="D1072" s="73" t="str">
        <f t="shared" si="26"/>
        <v>MERKEZ/ERZİNCAN</v>
      </c>
      <c r="E1072" s="9" t="s">
        <v>34</v>
      </c>
      <c r="F1072" s="9" t="s">
        <v>34</v>
      </c>
      <c r="G1072" t="s">
        <v>3367</v>
      </c>
      <c r="H1072">
        <v>469.3</v>
      </c>
      <c r="I1072">
        <v>46.93</v>
      </c>
      <c r="J1072">
        <v>0</v>
      </c>
      <c r="K1072">
        <v>0</v>
      </c>
      <c r="L1072">
        <v>469.3</v>
      </c>
      <c r="M1072">
        <v>46.93</v>
      </c>
      <c r="O1072" s="79">
        <f>IFERROR(VLOOKUP(D1072,'KAPANAN BLD.'!$C$2:$D$793,2,FALSE),0)</f>
        <v>0</v>
      </c>
      <c r="P1072" s="79">
        <v>0</v>
      </c>
      <c r="R1072" s="79"/>
    </row>
    <row r="1073" spans="1:18" x14ac:dyDescent="0.25">
      <c r="A1073" t="s">
        <v>32</v>
      </c>
      <c r="B1073" s="73" t="str">
        <f t="shared" si="27"/>
        <v>MERKEZ</v>
      </c>
      <c r="C1073" t="s">
        <v>173</v>
      </c>
      <c r="D1073" s="73" t="str">
        <f t="shared" si="26"/>
        <v>MERKEZ/ERZİNCAN</v>
      </c>
      <c r="E1073" s="9" t="s">
        <v>34</v>
      </c>
      <c r="F1073" s="9" t="s">
        <v>34</v>
      </c>
      <c r="G1073" t="s">
        <v>3366</v>
      </c>
      <c r="H1073">
        <v>921</v>
      </c>
      <c r="I1073">
        <v>92.1</v>
      </c>
      <c r="J1073">
        <v>0</v>
      </c>
      <c r="K1073">
        <v>0</v>
      </c>
      <c r="L1073">
        <v>921</v>
      </c>
      <c r="M1073">
        <v>92.1</v>
      </c>
      <c r="O1073" s="79">
        <f>IFERROR(VLOOKUP(D1073,'KAPANAN BLD.'!$C$2:$D$793,2,FALSE),0)</f>
        <v>0</v>
      </c>
      <c r="P1073" s="79">
        <v>0</v>
      </c>
      <c r="R1073" s="79"/>
    </row>
    <row r="1074" spans="1:18" x14ac:dyDescent="0.25">
      <c r="A1074" t="s">
        <v>32</v>
      </c>
      <c r="B1074" s="73" t="str">
        <f t="shared" si="27"/>
        <v>MERKEZ</v>
      </c>
      <c r="C1074" t="s">
        <v>173</v>
      </c>
      <c r="D1074" s="73" t="str">
        <f t="shared" si="26"/>
        <v>MERKEZ/ERZİNCAN</v>
      </c>
      <c r="E1074" s="9" t="s">
        <v>34</v>
      </c>
      <c r="F1074" s="9" t="s">
        <v>34</v>
      </c>
      <c r="G1074" t="s">
        <v>3367</v>
      </c>
      <c r="H1074">
        <v>126.5</v>
      </c>
      <c r="I1074">
        <v>12.65</v>
      </c>
      <c r="J1074">
        <v>435.5</v>
      </c>
      <c r="K1074">
        <v>43.55</v>
      </c>
      <c r="L1074">
        <v>-309</v>
      </c>
      <c r="M1074">
        <v>-30.9</v>
      </c>
      <c r="O1074" s="79">
        <f>IFERROR(VLOOKUP(D1074,'KAPANAN BLD.'!$C$2:$D$793,2,FALSE),0)</f>
        <v>0</v>
      </c>
      <c r="P1074" s="79">
        <v>0</v>
      </c>
      <c r="R1074" s="79"/>
    </row>
    <row r="1075" spans="1:18" x14ac:dyDescent="0.25">
      <c r="A1075" t="s">
        <v>32</v>
      </c>
      <c r="B1075" s="73" t="str">
        <f t="shared" si="27"/>
        <v>MERKEZ</v>
      </c>
      <c r="C1075" t="s">
        <v>173</v>
      </c>
      <c r="D1075" s="73" t="str">
        <f t="shared" si="26"/>
        <v>MERKEZ/ERZİNCAN</v>
      </c>
      <c r="E1075" s="9" t="s">
        <v>34</v>
      </c>
      <c r="F1075" s="9" t="s">
        <v>34</v>
      </c>
      <c r="G1075" t="s">
        <v>3366</v>
      </c>
      <c r="H1075">
        <v>392.4</v>
      </c>
      <c r="I1075">
        <v>39.24</v>
      </c>
      <c r="J1075">
        <v>0</v>
      </c>
      <c r="K1075">
        <v>0</v>
      </c>
      <c r="L1075">
        <v>392.4</v>
      </c>
      <c r="M1075">
        <v>39.24</v>
      </c>
      <c r="O1075" s="79">
        <f>IFERROR(VLOOKUP(D1075,'KAPANAN BLD.'!$C$2:$D$793,2,FALSE),0)</f>
        <v>0</v>
      </c>
      <c r="P1075" s="79">
        <v>0</v>
      </c>
      <c r="R1075" s="79"/>
    </row>
    <row r="1076" spans="1:18" x14ac:dyDescent="0.25">
      <c r="A1076" t="s">
        <v>32</v>
      </c>
      <c r="B1076" s="73" t="str">
        <f t="shared" si="27"/>
        <v>MERKEZ</v>
      </c>
      <c r="C1076" t="s">
        <v>173</v>
      </c>
      <c r="D1076" s="73" t="str">
        <f t="shared" si="26"/>
        <v>MERKEZ/ERZİNCAN</v>
      </c>
      <c r="E1076" s="9" t="s">
        <v>34</v>
      </c>
      <c r="F1076" s="9" t="s">
        <v>34</v>
      </c>
      <c r="G1076" t="s">
        <v>3367</v>
      </c>
      <c r="H1076">
        <v>561.9</v>
      </c>
      <c r="I1076">
        <v>56.19</v>
      </c>
      <c r="J1076">
        <v>1218.5</v>
      </c>
      <c r="K1076">
        <v>121.85</v>
      </c>
      <c r="L1076">
        <v>-656.6</v>
      </c>
      <c r="M1076">
        <v>-65.66</v>
      </c>
      <c r="O1076" s="79">
        <f>IFERROR(VLOOKUP(D1076,'KAPANAN BLD.'!$C$2:$D$793,2,FALSE),0)</f>
        <v>0</v>
      </c>
      <c r="P1076" s="79">
        <v>0</v>
      </c>
      <c r="R1076" s="79"/>
    </row>
    <row r="1077" spans="1:18" x14ac:dyDescent="0.25">
      <c r="A1077" t="s">
        <v>32</v>
      </c>
      <c r="B1077" s="73" t="str">
        <f t="shared" si="27"/>
        <v>İLİÇ</v>
      </c>
      <c r="C1077" t="s">
        <v>173</v>
      </c>
      <c r="D1077" s="73" t="str">
        <f t="shared" si="26"/>
        <v>İLİÇ/ERZİNCAN</v>
      </c>
      <c r="E1077" t="s">
        <v>2312</v>
      </c>
      <c r="F1077" t="s">
        <v>2312</v>
      </c>
      <c r="G1077" t="s">
        <v>3366</v>
      </c>
      <c r="H1077">
        <v>2031.1</v>
      </c>
      <c r="I1077">
        <v>203.11</v>
      </c>
      <c r="J1077">
        <v>0</v>
      </c>
      <c r="K1077">
        <v>0</v>
      </c>
      <c r="L1077">
        <v>2031.1</v>
      </c>
      <c r="M1077">
        <v>203.11</v>
      </c>
      <c r="O1077" s="79">
        <f>IFERROR(VLOOKUP(D1077,'KAPANAN BLD.'!$C$2:$D$793,2,FALSE),0)</f>
        <v>0</v>
      </c>
      <c r="P1077" s="79">
        <v>0</v>
      </c>
      <c r="R1077" s="79"/>
    </row>
    <row r="1078" spans="1:18" x14ac:dyDescent="0.25">
      <c r="A1078" t="s">
        <v>32</v>
      </c>
      <c r="B1078" s="73" t="str">
        <f t="shared" si="27"/>
        <v>MERKEZ</v>
      </c>
      <c r="C1078" t="s">
        <v>173</v>
      </c>
      <c r="D1078" s="73" t="str">
        <f t="shared" si="26"/>
        <v>MERKEZ/ERZİNCAN</v>
      </c>
      <c r="E1078" s="9" t="s">
        <v>34</v>
      </c>
      <c r="F1078" s="9" t="s">
        <v>34</v>
      </c>
      <c r="G1078" t="s">
        <v>3366</v>
      </c>
      <c r="H1078">
        <v>50.4</v>
      </c>
      <c r="I1078">
        <v>5.04</v>
      </c>
      <c r="J1078">
        <v>0</v>
      </c>
      <c r="K1078">
        <v>0</v>
      </c>
      <c r="L1078">
        <v>50.4</v>
      </c>
      <c r="M1078">
        <v>5.04</v>
      </c>
      <c r="O1078" s="79">
        <f>IFERROR(VLOOKUP(D1078,'KAPANAN BLD.'!$C$2:$D$793,2,FALSE),0)</f>
        <v>0</v>
      </c>
      <c r="P1078" s="79">
        <v>0</v>
      </c>
      <c r="R1078" s="79"/>
    </row>
    <row r="1079" spans="1:18" x14ac:dyDescent="0.25">
      <c r="A1079" t="s">
        <v>32</v>
      </c>
      <c r="B1079" s="73" t="str">
        <f t="shared" si="27"/>
        <v>MERKEZ</v>
      </c>
      <c r="C1079" t="s">
        <v>173</v>
      </c>
      <c r="D1079" s="73" t="str">
        <f t="shared" si="26"/>
        <v>MERKEZ/ERZİNCAN</v>
      </c>
      <c r="E1079" s="9" t="s">
        <v>34</v>
      </c>
      <c r="F1079" s="9" t="s">
        <v>34</v>
      </c>
      <c r="G1079" t="s">
        <v>3367</v>
      </c>
      <c r="H1079">
        <v>195.5</v>
      </c>
      <c r="I1079">
        <v>19.55</v>
      </c>
      <c r="J1079">
        <v>43.5</v>
      </c>
      <c r="K1079">
        <v>4.3499999999999996</v>
      </c>
      <c r="L1079">
        <v>152</v>
      </c>
      <c r="M1079">
        <v>15.2</v>
      </c>
      <c r="O1079" s="79">
        <f>IFERROR(VLOOKUP(D1079,'KAPANAN BLD.'!$C$2:$D$793,2,FALSE),0)</f>
        <v>0</v>
      </c>
      <c r="P1079" s="79">
        <v>0</v>
      </c>
      <c r="R1079" s="79"/>
    </row>
    <row r="1080" spans="1:18" x14ac:dyDescent="0.25">
      <c r="A1080" t="s">
        <v>32</v>
      </c>
      <c r="B1080" s="73" t="str">
        <f t="shared" si="27"/>
        <v>KEMAH</v>
      </c>
      <c r="C1080" t="s">
        <v>173</v>
      </c>
      <c r="D1080" s="73" t="str">
        <f t="shared" si="26"/>
        <v>KEMAH/ERZİNCAN</v>
      </c>
      <c r="E1080" t="s">
        <v>2949</v>
      </c>
      <c r="F1080" t="s">
        <v>2949</v>
      </c>
      <c r="G1080" t="s">
        <v>3367</v>
      </c>
      <c r="H1080">
        <v>111.1</v>
      </c>
      <c r="I1080">
        <v>11.11</v>
      </c>
      <c r="J1080">
        <v>0</v>
      </c>
      <c r="K1080">
        <v>0</v>
      </c>
      <c r="L1080">
        <v>111.1</v>
      </c>
      <c r="M1080">
        <v>11.11</v>
      </c>
      <c r="O1080" s="79">
        <f>IFERROR(VLOOKUP(D1080,'KAPANAN BLD.'!$C$2:$D$793,2,FALSE),0)</f>
        <v>0</v>
      </c>
      <c r="P1080" s="79">
        <v>0</v>
      </c>
      <c r="R1080" s="79"/>
    </row>
    <row r="1081" spans="1:18" x14ac:dyDescent="0.25">
      <c r="A1081" t="s">
        <v>32</v>
      </c>
      <c r="B1081" s="73" t="str">
        <f t="shared" si="27"/>
        <v>KEMAH</v>
      </c>
      <c r="C1081" t="s">
        <v>173</v>
      </c>
      <c r="D1081" s="73" t="str">
        <f t="shared" si="26"/>
        <v>KEMAH/ERZİNCAN</v>
      </c>
      <c r="E1081" t="s">
        <v>2949</v>
      </c>
      <c r="F1081" t="s">
        <v>2949</v>
      </c>
      <c r="G1081" t="s">
        <v>3366</v>
      </c>
      <c r="H1081">
        <v>565.9</v>
      </c>
      <c r="I1081">
        <v>56.59</v>
      </c>
      <c r="J1081">
        <v>0</v>
      </c>
      <c r="K1081">
        <v>0</v>
      </c>
      <c r="L1081">
        <v>565.9</v>
      </c>
      <c r="M1081">
        <v>56.59</v>
      </c>
      <c r="O1081" s="79">
        <f>IFERROR(VLOOKUP(D1081,'KAPANAN BLD.'!$C$2:$D$793,2,FALSE),0)</f>
        <v>0</v>
      </c>
      <c r="P1081" s="79">
        <v>0</v>
      </c>
      <c r="R1081" s="79"/>
    </row>
    <row r="1082" spans="1:18" x14ac:dyDescent="0.25">
      <c r="A1082" t="s">
        <v>32</v>
      </c>
      <c r="B1082" s="73" t="str">
        <f t="shared" si="27"/>
        <v>KEMALİYE</v>
      </c>
      <c r="C1082" t="s">
        <v>173</v>
      </c>
      <c r="D1082" s="73" t="str">
        <f t="shared" si="26"/>
        <v>KEMALİYE/ERZİNCAN</v>
      </c>
      <c r="E1082" t="s">
        <v>572</v>
      </c>
      <c r="F1082" t="s">
        <v>572</v>
      </c>
      <c r="G1082" t="s">
        <v>3367</v>
      </c>
      <c r="H1082">
        <v>286.8</v>
      </c>
      <c r="I1082">
        <v>28.68</v>
      </c>
      <c r="J1082">
        <v>0</v>
      </c>
      <c r="K1082">
        <v>0</v>
      </c>
      <c r="L1082">
        <v>286.8</v>
      </c>
      <c r="M1082">
        <v>28.68</v>
      </c>
      <c r="O1082" s="79">
        <f>IFERROR(VLOOKUP(D1082,'KAPANAN BLD.'!$C$2:$D$793,2,FALSE),0)</f>
        <v>0</v>
      </c>
      <c r="P1082" s="79">
        <v>0</v>
      </c>
      <c r="R1082" s="79"/>
    </row>
    <row r="1083" spans="1:18" x14ac:dyDescent="0.25">
      <c r="A1083" t="s">
        <v>32</v>
      </c>
      <c r="B1083" s="73" t="str">
        <f t="shared" si="27"/>
        <v>KEMALİYE</v>
      </c>
      <c r="C1083" t="s">
        <v>173</v>
      </c>
      <c r="D1083" s="73" t="str">
        <f t="shared" si="26"/>
        <v>KEMALİYE/ERZİNCAN</v>
      </c>
      <c r="E1083" t="s">
        <v>572</v>
      </c>
      <c r="F1083" t="s">
        <v>572</v>
      </c>
      <c r="G1083" t="s">
        <v>3366</v>
      </c>
      <c r="H1083">
        <v>97.7</v>
      </c>
      <c r="I1083">
        <v>9.77</v>
      </c>
      <c r="J1083">
        <v>0</v>
      </c>
      <c r="K1083">
        <v>0</v>
      </c>
      <c r="L1083">
        <v>97.7</v>
      </c>
      <c r="M1083">
        <v>9.77</v>
      </c>
      <c r="O1083" s="79">
        <f>IFERROR(VLOOKUP(D1083,'KAPANAN BLD.'!$C$2:$D$793,2,FALSE),0)</f>
        <v>0</v>
      </c>
      <c r="P1083" s="79">
        <v>0</v>
      </c>
      <c r="R1083" s="79"/>
    </row>
    <row r="1084" spans="1:18" x14ac:dyDescent="0.25">
      <c r="A1084" t="s">
        <v>32</v>
      </c>
      <c r="B1084" s="73" t="str">
        <f t="shared" si="27"/>
        <v>MERKEZ</v>
      </c>
      <c r="C1084" t="s">
        <v>173</v>
      </c>
      <c r="D1084" s="73" t="str">
        <f t="shared" si="26"/>
        <v>MERKEZ/ERZİNCAN</v>
      </c>
      <c r="E1084" t="s">
        <v>34</v>
      </c>
      <c r="F1084" t="s">
        <v>34</v>
      </c>
      <c r="G1084" t="s">
        <v>3366</v>
      </c>
      <c r="H1084">
        <v>328</v>
      </c>
      <c r="I1084">
        <v>32.799999999999997</v>
      </c>
      <c r="J1084">
        <v>0</v>
      </c>
      <c r="K1084">
        <v>0</v>
      </c>
      <c r="L1084">
        <v>328</v>
      </c>
      <c r="M1084">
        <v>32.799999999999997</v>
      </c>
      <c r="O1084" s="79">
        <f>IFERROR(VLOOKUP(D1084,'KAPANAN BLD.'!$C$2:$D$793,2,FALSE),0)</f>
        <v>0</v>
      </c>
      <c r="P1084" s="79">
        <v>0</v>
      </c>
      <c r="R1084" s="79"/>
    </row>
    <row r="1085" spans="1:18" x14ac:dyDescent="0.25">
      <c r="A1085" t="s">
        <v>32</v>
      </c>
      <c r="B1085" s="73" t="str">
        <f t="shared" si="27"/>
        <v>MERKEZ</v>
      </c>
      <c r="C1085" t="s">
        <v>173</v>
      </c>
      <c r="D1085" s="73" t="str">
        <f t="shared" si="26"/>
        <v>MERKEZ/ERZİNCAN</v>
      </c>
      <c r="E1085" t="s">
        <v>34</v>
      </c>
      <c r="F1085" t="s">
        <v>34</v>
      </c>
      <c r="G1085" t="s">
        <v>3367</v>
      </c>
      <c r="H1085">
        <v>1208.9000000000001</v>
      </c>
      <c r="I1085">
        <v>120.89</v>
      </c>
      <c r="J1085">
        <v>0</v>
      </c>
      <c r="K1085">
        <v>0</v>
      </c>
      <c r="L1085">
        <v>1208.9000000000001</v>
      </c>
      <c r="M1085">
        <v>120.89</v>
      </c>
      <c r="O1085" s="79">
        <f>IFERROR(VLOOKUP(D1085,'KAPANAN BLD.'!$C$2:$D$793,2,FALSE),0)</f>
        <v>0</v>
      </c>
      <c r="P1085" s="79">
        <v>0</v>
      </c>
      <c r="R1085" s="79"/>
    </row>
    <row r="1086" spans="1:18" x14ac:dyDescent="0.25">
      <c r="A1086" t="s">
        <v>32</v>
      </c>
      <c r="B1086" s="73" t="str">
        <f t="shared" si="27"/>
        <v>MERKEZ</v>
      </c>
      <c r="C1086" t="s">
        <v>173</v>
      </c>
      <c r="D1086" s="73" t="str">
        <f t="shared" si="26"/>
        <v>MERKEZ/ERZİNCAN</v>
      </c>
      <c r="E1086" t="s">
        <v>34</v>
      </c>
      <c r="F1086" t="s">
        <v>34</v>
      </c>
      <c r="G1086" t="s">
        <v>3367</v>
      </c>
      <c r="H1086">
        <v>1965.2</v>
      </c>
      <c r="I1086">
        <v>196.52</v>
      </c>
      <c r="J1086">
        <v>0</v>
      </c>
      <c r="K1086">
        <v>0</v>
      </c>
      <c r="L1086">
        <v>1965.2</v>
      </c>
      <c r="M1086">
        <v>196.52</v>
      </c>
      <c r="O1086" s="79">
        <f>IFERROR(VLOOKUP(D1086,'KAPANAN BLD.'!$C$2:$D$793,2,FALSE),0)</f>
        <v>0</v>
      </c>
      <c r="P1086" s="79">
        <v>0</v>
      </c>
      <c r="R1086" s="79"/>
    </row>
    <row r="1087" spans="1:18" x14ac:dyDescent="0.25">
      <c r="A1087" t="s">
        <v>32</v>
      </c>
      <c r="B1087" s="73" t="str">
        <f t="shared" si="27"/>
        <v>MERKEZ</v>
      </c>
      <c r="C1087" t="s">
        <v>173</v>
      </c>
      <c r="D1087" s="73" t="str">
        <f t="shared" si="26"/>
        <v>MERKEZ/ERZİNCAN</v>
      </c>
      <c r="E1087" s="9" t="s">
        <v>34</v>
      </c>
      <c r="F1087" s="9" t="s">
        <v>34</v>
      </c>
      <c r="G1087" t="s">
        <v>3367</v>
      </c>
      <c r="H1087">
        <v>164.5</v>
      </c>
      <c r="I1087">
        <v>16.45</v>
      </c>
      <c r="J1087">
        <v>0</v>
      </c>
      <c r="K1087">
        <v>0</v>
      </c>
      <c r="L1087">
        <v>164.5</v>
      </c>
      <c r="M1087">
        <v>16.45</v>
      </c>
      <c r="O1087" s="79">
        <f>IFERROR(VLOOKUP(D1087,'KAPANAN BLD.'!$C$2:$D$793,2,FALSE),0)</f>
        <v>0</v>
      </c>
      <c r="P1087" s="79">
        <v>0</v>
      </c>
      <c r="R1087" s="79"/>
    </row>
    <row r="1088" spans="1:18" x14ac:dyDescent="0.25">
      <c r="A1088" t="s">
        <v>32</v>
      </c>
      <c r="B1088" s="73" t="str">
        <f t="shared" si="27"/>
        <v>MERKEZ</v>
      </c>
      <c r="C1088" t="s">
        <v>173</v>
      </c>
      <c r="D1088" s="73" t="str">
        <f t="shared" si="26"/>
        <v>MERKEZ/ERZİNCAN</v>
      </c>
      <c r="E1088" s="9" t="s">
        <v>34</v>
      </c>
      <c r="F1088" s="9" t="s">
        <v>34</v>
      </c>
      <c r="G1088" t="s">
        <v>3366</v>
      </c>
      <c r="H1088">
        <v>4.9000000000000004</v>
      </c>
      <c r="I1088">
        <v>0.49</v>
      </c>
      <c r="J1088">
        <v>0</v>
      </c>
      <c r="K1088">
        <v>0</v>
      </c>
      <c r="L1088">
        <v>4.9000000000000004</v>
      </c>
      <c r="M1088">
        <v>0.49</v>
      </c>
      <c r="O1088" s="79">
        <f>IFERROR(VLOOKUP(D1088,'KAPANAN BLD.'!$C$2:$D$793,2,FALSE),0)</f>
        <v>0</v>
      </c>
      <c r="P1088" s="79">
        <v>0</v>
      </c>
      <c r="R1088" s="79"/>
    </row>
    <row r="1089" spans="1:18" x14ac:dyDescent="0.25">
      <c r="A1089" t="s">
        <v>32</v>
      </c>
      <c r="B1089" s="73" t="str">
        <f t="shared" si="27"/>
        <v>MERKEZ</v>
      </c>
      <c r="C1089" t="s">
        <v>173</v>
      </c>
      <c r="D1089" s="73" t="str">
        <f t="shared" si="26"/>
        <v>MERKEZ/ERZİNCAN</v>
      </c>
      <c r="E1089" s="9" t="s">
        <v>34</v>
      </c>
      <c r="F1089" s="9" t="s">
        <v>34</v>
      </c>
      <c r="G1089" t="s">
        <v>3366</v>
      </c>
      <c r="H1089">
        <v>225.2</v>
      </c>
      <c r="I1089">
        <v>22.52</v>
      </c>
      <c r="J1089">
        <v>195</v>
      </c>
      <c r="K1089">
        <v>19.5</v>
      </c>
      <c r="L1089">
        <v>30.2</v>
      </c>
      <c r="M1089">
        <v>3.02</v>
      </c>
      <c r="O1089" s="79">
        <f>IFERROR(VLOOKUP(D1089,'KAPANAN BLD.'!$C$2:$D$793,2,FALSE),0)</f>
        <v>0</v>
      </c>
      <c r="P1089" s="79">
        <v>0</v>
      </c>
      <c r="R1089" s="79"/>
    </row>
    <row r="1090" spans="1:18" x14ac:dyDescent="0.25">
      <c r="A1090" t="s">
        <v>32</v>
      </c>
      <c r="B1090" s="73" t="str">
        <f t="shared" si="27"/>
        <v>MERKEZ</v>
      </c>
      <c r="C1090" t="s">
        <v>173</v>
      </c>
      <c r="D1090" s="73" t="str">
        <f t="shared" si="26"/>
        <v>MERKEZ/ERZİNCAN</v>
      </c>
      <c r="E1090" s="9" t="s">
        <v>34</v>
      </c>
      <c r="F1090" s="9" t="s">
        <v>34</v>
      </c>
      <c r="G1090" t="s">
        <v>3367</v>
      </c>
      <c r="H1090">
        <v>518.9</v>
      </c>
      <c r="I1090">
        <v>51.89</v>
      </c>
      <c r="J1090">
        <v>377.7</v>
      </c>
      <c r="K1090">
        <v>37.770000000000003</v>
      </c>
      <c r="L1090">
        <v>141.19999999999999</v>
      </c>
      <c r="M1090">
        <v>14.12</v>
      </c>
      <c r="O1090" s="79">
        <f>IFERROR(VLOOKUP(D1090,'KAPANAN BLD.'!$C$2:$D$793,2,FALSE),0)</f>
        <v>0</v>
      </c>
      <c r="P1090" s="79">
        <v>0</v>
      </c>
      <c r="R1090" s="79"/>
    </row>
    <row r="1091" spans="1:18" x14ac:dyDescent="0.25">
      <c r="A1091" t="s">
        <v>32</v>
      </c>
      <c r="B1091" s="73" t="str">
        <f t="shared" si="27"/>
        <v>MERKEZ</v>
      </c>
      <c r="C1091" t="s">
        <v>173</v>
      </c>
      <c r="D1091" s="73" t="str">
        <f t="shared" ref="D1091:D1154" si="28">CONCATENATE(B1091,"/",C1091)</f>
        <v>MERKEZ/ERZİNCAN</v>
      </c>
      <c r="E1091" s="9" t="s">
        <v>34</v>
      </c>
      <c r="F1091" s="9" t="s">
        <v>34</v>
      </c>
      <c r="G1091" t="s">
        <v>3367</v>
      </c>
      <c r="H1091">
        <v>0</v>
      </c>
      <c r="I1091">
        <v>0</v>
      </c>
      <c r="J1091">
        <v>1074.3</v>
      </c>
      <c r="K1091">
        <v>107.43</v>
      </c>
      <c r="L1091">
        <v>-1074.3</v>
      </c>
      <c r="M1091">
        <v>-107.43</v>
      </c>
      <c r="O1091" s="79">
        <f>IFERROR(VLOOKUP(D1091,'KAPANAN BLD.'!$C$2:$D$793,2,FALSE),0)</f>
        <v>0</v>
      </c>
      <c r="P1091" s="79">
        <v>0</v>
      </c>
      <c r="R1091" s="79"/>
    </row>
    <row r="1092" spans="1:18" x14ac:dyDescent="0.25">
      <c r="A1092" t="s">
        <v>32</v>
      </c>
      <c r="B1092" s="73" t="str">
        <f t="shared" si="27"/>
        <v>MERKEZ</v>
      </c>
      <c r="C1092" t="s">
        <v>173</v>
      </c>
      <c r="D1092" s="73" t="str">
        <f t="shared" si="28"/>
        <v>MERKEZ/ERZİNCAN</v>
      </c>
      <c r="E1092" s="9" t="s">
        <v>34</v>
      </c>
      <c r="F1092" s="9" t="s">
        <v>34</v>
      </c>
      <c r="G1092" t="s">
        <v>3367</v>
      </c>
      <c r="H1092">
        <v>1481.1</v>
      </c>
      <c r="I1092">
        <v>148.11000000000001</v>
      </c>
      <c r="J1092">
        <v>0</v>
      </c>
      <c r="K1092">
        <v>0</v>
      </c>
      <c r="L1092">
        <v>1481.1</v>
      </c>
      <c r="M1092">
        <v>148.11000000000001</v>
      </c>
      <c r="O1092" s="79">
        <f>IFERROR(VLOOKUP(D1092,'KAPANAN BLD.'!$C$2:$D$793,2,FALSE),0)</f>
        <v>0</v>
      </c>
      <c r="P1092" s="79">
        <v>0</v>
      </c>
      <c r="R1092" s="79"/>
    </row>
    <row r="1093" spans="1:18" x14ac:dyDescent="0.25">
      <c r="A1093" t="s">
        <v>32</v>
      </c>
      <c r="B1093" s="73" t="str">
        <f t="shared" si="27"/>
        <v>MERKEZ</v>
      </c>
      <c r="C1093" t="s">
        <v>173</v>
      </c>
      <c r="D1093" s="73" t="str">
        <f t="shared" si="28"/>
        <v>MERKEZ/ERZİNCAN</v>
      </c>
      <c r="E1093" s="9" t="s">
        <v>34</v>
      </c>
      <c r="F1093" s="9" t="s">
        <v>34</v>
      </c>
      <c r="G1093" t="s">
        <v>3366</v>
      </c>
      <c r="H1093">
        <v>107.7</v>
      </c>
      <c r="I1093">
        <v>10.77</v>
      </c>
      <c r="J1093">
        <v>0</v>
      </c>
      <c r="K1093">
        <v>0</v>
      </c>
      <c r="L1093">
        <v>107.7</v>
      </c>
      <c r="M1093">
        <v>10.77</v>
      </c>
      <c r="O1093" s="79">
        <f>IFERROR(VLOOKUP(D1093,'KAPANAN BLD.'!$C$2:$D$793,2,FALSE),0)</f>
        <v>0</v>
      </c>
      <c r="P1093" s="79">
        <v>0</v>
      </c>
      <c r="R1093" s="79"/>
    </row>
    <row r="1094" spans="1:18" x14ac:dyDescent="0.25">
      <c r="A1094" t="s">
        <v>32</v>
      </c>
      <c r="B1094" s="73" t="str">
        <f t="shared" si="27"/>
        <v>MERKEZ</v>
      </c>
      <c r="C1094" t="s">
        <v>173</v>
      </c>
      <c r="D1094" s="73" t="str">
        <f t="shared" si="28"/>
        <v>MERKEZ/ERZİNCAN</v>
      </c>
      <c r="E1094" s="9" t="s">
        <v>34</v>
      </c>
      <c r="F1094" s="9" t="s">
        <v>34</v>
      </c>
      <c r="G1094" t="s">
        <v>3367</v>
      </c>
      <c r="H1094">
        <v>541.9</v>
      </c>
      <c r="I1094">
        <v>54.19</v>
      </c>
      <c r="J1094">
        <v>0</v>
      </c>
      <c r="K1094">
        <v>0</v>
      </c>
      <c r="L1094">
        <v>541.9</v>
      </c>
      <c r="M1094">
        <v>54.19</v>
      </c>
      <c r="O1094" s="79">
        <f>IFERROR(VLOOKUP(D1094,'KAPANAN BLD.'!$C$2:$D$793,2,FALSE),0)</f>
        <v>0</v>
      </c>
      <c r="P1094" s="79">
        <v>0</v>
      </c>
      <c r="R1094" s="79"/>
    </row>
    <row r="1095" spans="1:18" x14ac:dyDescent="0.25">
      <c r="A1095" t="s">
        <v>32</v>
      </c>
      <c r="B1095" s="73" t="str">
        <f t="shared" si="27"/>
        <v>MERKEZ</v>
      </c>
      <c r="C1095" t="s">
        <v>173</v>
      </c>
      <c r="D1095" s="73" t="str">
        <f t="shared" si="28"/>
        <v>MERKEZ/ERZİNCAN</v>
      </c>
      <c r="E1095" s="9" t="s">
        <v>34</v>
      </c>
      <c r="F1095" s="9" t="s">
        <v>34</v>
      </c>
      <c r="G1095" t="s">
        <v>3366</v>
      </c>
      <c r="H1095">
        <v>205.1</v>
      </c>
      <c r="I1095">
        <v>20.51</v>
      </c>
      <c r="J1095">
        <v>0</v>
      </c>
      <c r="K1095">
        <v>0</v>
      </c>
      <c r="L1095">
        <v>205.1</v>
      </c>
      <c r="M1095">
        <v>20.51</v>
      </c>
      <c r="O1095" s="79">
        <f>IFERROR(VLOOKUP(D1095,'KAPANAN BLD.'!$C$2:$D$793,2,FALSE),0)</f>
        <v>0</v>
      </c>
      <c r="P1095" s="79">
        <v>0</v>
      </c>
      <c r="R1095" s="79"/>
    </row>
    <row r="1096" spans="1:18" x14ac:dyDescent="0.25">
      <c r="A1096" t="s">
        <v>32</v>
      </c>
      <c r="B1096" s="73" t="str">
        <f>VLOOKUP(C1096,'Büyükşehir List'!$C$2:$D$31,2,FALSE)</f>
        <v>ERZURUM BÜYÜKŞEHİR</v>
      </c>
      <c r="C1096" t="s">
        <v>60</v>
      </c>
      <c r="D1096" s="73" t="str">
        <f t="shared" si="28"/>
        <v>ERZURUM BÜYÜKŞEHİR/ERZURUM</v>
      </c>
      <c r="E1096" t="s">
        <v>1864</v>
      </c>
      <c r="F1096" t="s">
        <v>1864</v>
      </c>
      <c r="G1096" t="s">
        <v>3367</v>
      </c>
      <c r="H1096">
        <v>37849.300000000003</v>
      </c>
      <c r="I1096">
        <v>3784.93</v>
      </c>
      <c r="J1096">
        <v>606.6</v>
      </c>
      <c r="K1096">
        <v>60.66</v>
      </c>
      <c r="L1096">
        <v>37242.699999999997</v>
      </c>
      <c r="M1096">
        <v>3724.27</v>
      </c>
      <c r="O1096" s="79">
        <f>IFERROR(VLOOKUP(D1096,'KAPANAN BLD.'!$C$2:$D$793,2,FALSE),0)</f>
        <v>0</v>
      </c>
      <c r="P1096" s="79">
        <v>0</v>
      </c>
      <c r="R1096" s="79"/>
    </row>
    <row r="1097" spans="1:18" x14ac:dyDescent="0.25">
      <c r="A1097" t="s">
        <v>32</v>
      </c>
      <c r="B1097" s="73" t="str">
        <f>VLOOKUP(C1097,'Büyükşehir List'!$C$2:$D$31,2,FALSE)</f>
        <v>ERZURUM BÜYÜKŞEHİR</v>
      </c>
      <c r="C1097" t="s">
        <v>60</v>
      </c>
      <c r="D1097" s="73" t="str">
        <f t="shared" si="28"/>
        <v>ERZURUM BÜYÜKŞEHİR/ERZURUM</v>
      </c>
      <c r="E1097" t="s">
        <v>1864</v>
      </c>
      <c r="F1097" t="s">
        <v>1864</v>
      </c>
      <c r="G1097" t="s">
        <v>3366</v>
      </c>
      <c r="H1097">
        <v>472100.1</v>
      </c>
      <c r="I1097">
        <v>47210.01</v>
      </c>
      <c r="J1097">
        <v>604.70000000000005</v>
      </c>
      <c r="K1097">
        <v>60.47</v>
      </c>
      <c r="L1097">
        <v>471495.4</v>
      </c>
      <c r="M1097">
        <v>47149.54</v>
      </c>
      <c r="O1097" s="79">
        <f>IFERROR(VLOOKUP(D1097,'KAPANAN BLD.'!$C$2:$D$793,2,FALSE),0)</f>
        <v>0</v>
      </c>
      <c r="P1097" s="79">
        <v>0</v>
      </c>
      <c r="R1097" s="79"/>
    </row>
    <row r="1098" spans="1:18" x14ac:dyDescent="0.25">
      <c r="A1098" t="s">
        <v>32</v>
      </c>
      <c r="B1098" s="73" t="str">
        <f>VLOOKUP(C1098,'Büyükşehir List'!$C$2:$D$31,2,FALSE)</f>
        <v>ERZURUM BÜYÜKŞEHİR</v>
      </c>
      <c r="C1098" t="s">
        <v>60</v>
      </c>
      <c r="D1098" s="73" t="str">
        <f t="shared" si="28"/>
        <v>ERZURUM BÜYÜKŞEHİR/ERZURUM</v>
      </c>
      <c r="E1098" t="s">
        <v>4350</v>
      </c>
      <c r="F1098" t="s">
        <v>4350</v>
      </c>
      <c r="G1098" t="s">
        <v>3367</v>
      </c>
      <c r="H1098">
        <v>261.39999999999998</v>
      </c>
      <c r="I1098">
        <v>26.14</v>
      </c>
      <c r="J1098">
        <v>0</v>
      </c>
      <c r="K1098">
        <v>0</v>
      </c>
      <c r="L1098">
        <v>261.39999999999998</v>
      </c>
      <c r="M1098">
        <v>26.14</v>
      </c>
      <c r="O1098" s="79">
        <f>IFERROR(VLOOKUP(D1098,'KAPANAN BLD.'!$C$2:$D$793,2,FALSE),0)</f>
        <v>0</v>
      </c>
      <c r="P1098" s="79">
        <v>0</v>
      </c>
      <c r="R1098" s="79"/>
    </row>
    <row r="1099" spans="1:18" x14ac:dyDescent="0.25">
      <c r="A1099" t="s">
        <v>32</v>
      </c>
      <c r="B1099" s="73" t="str">
        <f>VLOOKUP(C1099,'Büyükşehir List'!$C$2:$D$31,2,FALSE)</f>
        <v>ERZURUM BÜYÜKŞEHİR</v>
      </c>
      <c r="C1099" t="s">
        <v>60</v>
      </c>
      <c r="D1099" s="73" t="str">
        <f t="shared" si="28"/>
        <v>ERZURUM BÜYÜKŞEHİR/ERZURUM</v>
      </c>
      <c r="E1099" t="s">
        <v>4350</v>
      </c>
      <c r="F1099" t="s">
        <v>4350</v>
      </c>
      <c r="G1099" t="s">
        <v>3366</v>
      </c>
      <c r="H1099">
        <v>174.6</v>
      </c>
      <c r="I1099">
        <v>17.46</v>
      </c>
      <c r="J1099">
        <v>0</v>
      </c>
      <c r="K1099">
        <v>0</v>
      </c>
      <c r="L1099">
        <v>174.6</v>
      </c>
      <c r="M1099">
        <v>17.46</v>
      </c>
      <c r="O1099" s="79">
        <f>IFERROR(VLOOKUP(D1099,'KAPANAN BLD.'!$C$2:$D$793,2,FALSE),0)</f>
        <v>0</v>
      </c>
      <c r="P1099" s="79">
        <v>0</v>
      </c>
      <c r="R1099" s="79"/>
    </row>
    <row r="1100" spans="1:18" x14ac:dyDescent="0.25">
      <c r="A1100" t="s">
        <v>32</v>
      </c>
      <c r="B1100" s="73" t="str">
        <f>VLOOKUP(C1100,'Büyükşehir List'!$C$2:$D$31,2,FALSE)</f>
        <v>ERZURUM BÜYÜKŞEHİR</v>
      </c>
      <c r="C1100" t="s">
        <v>60</v>
      </c>
      <c r="D1100" s="73" t="str">
        <f t="shared" si="28"/>
        <v>ERZURUM BÜYÜKŞEHİR/ERZURUM</v>
      </c>
      <c r="E1100" t="s">
        <v>4378</v>
      </c>
      <c r="F1100" t="s">
        <v>4378</v>
      </c>
      <c r="G1100" t="s">
        <v>3367</v>
      </c>
      <c r="H1100">
        <v>46</v>
      </c>
      <c r="I1100">
        <v>4.5999999999999996</v>
      </c>
      <c r="J1100">
        <v>0</v>
      </c>
      <c r="K1100">
        <v>0</v>
      </c>
      <c r="L1100">
        <v>46</v>
      </c>
      <c r="M1100">
        <v>4.5999999999999996</v>
      </c>
      <c r="O1100" s="79">
        <f>IFERROR(VLOOKUP(D1100,'KAPANAN BLD.'!$C$2:$D$793,2,FALSE),0)</f>
        <v>0</v>
      </c>
      <c r="P1100" s="79">
        <v>0</v>
      </c>
      <c r="R1100" s="79"/>
    </row>
    <row r="1101" spans="1:18" x14ac:dyDescent="0.25">
      <c r="A1101" t="s">
        <v>32</v>
      </c>
      <c r="B1101" s="73" t="str">
        <f>VLOOKUP(C1101,'Büyükşehir List'!$C$2:$D$31,2,FALSE)</f>
        <v>ERZURUM BÜYÜKŞEHİR</v>
      </c>
      <c r="C1101" t="s">
        <v>60</v>
      </c>
      <c r="D1101" s="73" t="str">
        <f t="shared" si="28"/>
        <v>ERZURUM BÜYÜKŞEHİR/ERZURUM</v>
      </c>
      <c r="E1101" t="s">
        <v>4378</v>
      </c>
      <c r="F1101" t="s">
        <v>4378</v>
      </c>
      <c r="G1101" t="s">
        <v>3366</v>
      </c>
      <c r="H1101">
        <v>403.4</v>
      </c>
      <c r="I1101">
        <v>40.340000000000003</v>
      </c>
      <c r="J1101">
        <v>0</v>
      </c>
      <c r="K1101">
        <v>0</v>
      </c>
      <c r="L1101">
        <v>403.4</v>
      </c>
      <c r="M1101">
        <v>40.340000000000003</v>
      </c>
      <c r="O1101" s="79">
        <f>IFERROR(VLOOKUP(D1101,'KAPANAN BLD.'!$C$2:$D$793,2,FALSE),0)</f>
        <v>0</v>
      </c>
      <c r="P1101" s="79">
        <v>0</v>
      </c>
      <c r="R1101" s="79"/>
    </row>
    <row r="1102" spans="1:18" x14ac:dyDescent="0.25">
      <c r="A1102" t="s">
        <v>32</v>
      </c>
      <c r="B1102" s="73" t="str">
        <f>VLOOKUP(C1102,'Büyükşehir List'!$C$2:$D$31,2,FALSE)</f>
        <v>ERZURUM BÜYÜKŞEHİR</v>
      </c>
      <c r="C1102" t="s">
        <v>60</v>
      </c>
      <c r="D1102" s="73" t="str">
        <f t="shared" si="28"/>
        <v>ERZURUM BÜYÜKŞEHİR/ERZURUM</v>
      </c>
      <c r="E1102" t="s">
        <v>4469</v>
      </c>
      <c r="F1102" t="s">
        <v>4469</v>
      </c>
      <c r="G1102" t="s">
        <v>3367</v>
      </c>
      <c r="H1102">
        <v>508.2</v>
      </c>
      <c r="I1102">
        <v>50.82</v>
      </c>
      <c r="J1102">
        <v>0</v>
      </c>
      <c r="K1102">
        <v>0</v>
      </c>
      <c r="L1102">
        <v>508.2</v>
      </c>
      <c r="M1102">
        <v>50.82</v>
      </c>
      <c r="O1102" s="79">
        <f>IFERROR(VLOOKUP(D1102,'KAPANAN BLD.'!$C$2:$D$793,2,FALSE),0)</f>
        <v>0</v>
      </c>
      <c r="P1102" s="79">
        <v>0</v>
      </c>
      <c r="R1102" s="79"/>
    </row>
    <row r="1103" spans="1:18" x14ac:dyDescent="0.25">
      <c r="A1103" t="s">
        <v>32</v>
      </c>
      <c r="B1103" s="73" t="str">
        <f>VLOOKUP(C1103,'Büyükşehir List'!$C$2:$D$31,2,FALSE)</f>
        <v>ERZURUM BÜYÜKŞEHİR</v>
      </c>
      <c r="C1103" t="s">
        <v>60</v>
      </c>
      <c r="D1103" s="73" t="str">
        <f t="shared" si="28"/>
        <v>ERZURUM BÜYÜKŞEHİR/ERZURUM</v>
      </c>
      <c r="E1103" t="s">
        <v>4469</v>
      </c>
      <c r="F1103" t="s">
        <v>4469</v>
      </c>
      <c r="G1103" t="s">
        <v>3366</v>
      </c>
      <c r="H1103">
        <v>346.6</v>
      </c>
      <c r="I1103">
        <v>34.659999999999997</v>
      </c>
      <c r="J1103">
        <v>0</v>
      </c>
      <c r="K1103">
        <v>0</v>
      </c>
      <c r="L1103">
        <v>346.6</v>
      </c>
      <c r="M1103">
        <v>34.659999999999997</v>
      </c>
      <c r="O1103" s="79">
        <f>IFERROR(VLOOKUP(D1103,'KAPANAN BLD.'!$C$2:$D$793,2,FALSE),0)</f>
        <v>0</v>
      </c>
      <c r="P1103" s="79">
        <v>0</v>
      </c>
      <c r="R1103" s="79"/>
    </row>
    <row r="1104" spans="1:18" x14ac:dyDescent="0.25">
      <c r="A1104" t="s">
        <v>32</v>
      </c>
      <c r="B1104" s="73" t="str">
        <f>VLOOKUP(C1104,'Büyükşehir List'!$C$2:$D$31,2,FALSE)</f>
        <v>ERZURUM BÜYÜKŞEHİR</v>
      </c>
      <c r="C1104" t="s">
        <v>60</v>
      </c>
      <c r="D1104" s="73" t="str">
        <f t="shared" si="28"/>
        <v>ERZURUM BÜYÜKŞEHİR/ERZURUM</v>
      </c>
      <c r="E1104" t="s">
        <v>579</v>
      </c>
      <c r="F1104" t="s">
        <v>579</v>
      </c>
      <c r="G1104" t="s">
        <v>3367</v>
      </c>
      <c r="H1104">
        <v>3812.3</v>
      </c>
      <c r="I1104">
        <v>381.23</v>
      </c>
      <c r="J1104">
        <v>2.6</v>
      </c>
      <c r="K1104">
        <v>0.26</v>
      </c>
      <c r="L1104">
        <v>3809.7</v>
      </c>
      <c r="M1104">
        <v>380.97</v>
      </c>
      <c r="O1104" s="79">
        <f>IFERROR(VLOOKUP(D1104,'KAPANAN BLD.'!$C$2:$D$793,2,FALSE),0)</f>
        <v>0</v>
      </c>
      <c r="P1104" s="79">
        <v>0</v>
      </c>
      <c r="R1104" s="79"/>
    </row>
    <row r="1105" spans="1:18" x14ac:dyDescent="0.25">
      <c r="A1105" t="s">
        <v>32</v>
      </c>
      <c r="B1105" s="73" t="str">
        <f>VLOOKUP(C1105,'Büyükşehir List'!$C$2:$D$31,2,FALSE)</f>
        <v>ERZURUM BÜYÜKŞEHİR</v>
      </c>
      <c r="C1105" t="s">
        <v>60</v>
      </c>
      <c r="D1105" s="73" t="str">
        <f t="shared" si="28"/>
        <v>ERZURUM BÜYÜKŞEHİR/ERZURUM</v>
      </c>
      <c r="E1105" t="s">
        <v>579</v>
      </c>
      <c r="F1105" t="s">
        <v>579</v>
      </c>
      <c r="G1105" t="s">
        <v>3366</v>
      </c>
      <c r="H1105">
        <v>3.3</v>
      </c>
      <c r="I1105">
        <v>0.33</v>
      </c>
      <c r="J1105">
        <v>0</v>
      </c>
      <c r="K1105">
        <v>0</v>
      </c>
      <c r="L1105">
        <v>3.3</v>
      </c>
      <c r="M1105">
        <v>0.33</v>
      </c>
      <c r="O1105" s="79">
        <f>IFERROR(VLOOKUP(D1105,'KAPANAN BLD.'!$C$2:$D$793,2,FALSE),0)</f>
        <v>0</v>
      </c>
      <c r="P1105" s="79">
        <v>0</v>
      </c>
      <c r="R1105" s="79"/>
    </row>
    <row r="1106" spans="1:18" x14ac:dyDescent="0.25">
      <c r="A1106" t="s">
        <v>32</v>
      </c>
      <c r="B1106" s="73" t="str">
        <f>VLOOKUP(C1106,'Büyükşehir List'!$C$2:$D$31,2,FALSE)</f>
        <v>ERZURUM BÜYÜKŞEHİR</v>
      </c>
      <c r="C1106" t="s">
        <v>60</v>
      </c>
      <c r="D1106" s="73" t="str">
        <f t="shared" si="28"/>
        <v>ERZURUM BÜYÜKŞEHİR/ERZURUM</v>
      </c>
      <c r="E1106" t="s">
        <v>2061</v>
      </c>
      <c r="F1106" t="s">
        <v>2061</v>
      </c>
      <c r="G1106" t="s">
        <v>3366</v>
      </c>
      <c r="H1106">
        <v>822916.1</v>
      </c>
      <c r="I1106">
        <v>82291.61</v>
      </c>
      <c r="J1106">
        <v>0</v>
      </c>
      <c r="K1106">
        <v>0</v>
      </c>
      <c r="L1106">
        <v>822916.1</v>
      </c>
      <c r="M1106">
        <v>82291.61</v>
      </c>
      <c r="O1106" s="79">
        <f>IFERROR(VLOOKUP(D1106,'KAPANAN BLD.'!$C$2:$D$793,2,FALSE),0)</f>
        <v>0</v>
      </c>
      <c r="P1106" s="79">
        <v>0</v>
      </c>
      <c r="R1106" s="79"/>
    </row>
    <row r="1107" spans="1:18" x14ac:dyDescent="0.25">
      <c r="A1107" t="s">
        <v>32</v>
      </c>
      <c r="B1107" s="73" t="str">
        <f>VLOOKUP(C1107,'Büyükşehir List'!$C$2:$D$31,2,FALSE)</f>
        <v>ERZURUM BÜYÜKŞEHİR</v>
      </c>
      <c r="C1107" t="s">
        <v>60</v>
      </c>
      <c r="D1107" s="73" t="str">
        <f t="shared" si="28"/>
        <v>ERZURUM BÜYÜKŞEHİR/ERZURUM</v>
      </c>
      <c r="E1107" t="s">
        <v>2061</v>
      </c>
      <c r="F1107" t="s">
        <v>2061</v>
      </c>
      <c r="G1107" t="s">
        <v>3367</v>
      </c>
      <c r="H1107">
        <v>71651</v>
      </c>
      <c r="I1107">
        <v>7165.1</v>
      </c>
      <c r="J1107">
        <v>0</v>
      </c>
      <c r="K1107">
        <v>0</v>
      </c>
      <c r="L1107">
        <v>71651</v>
      </c>
      <c r="M1107">
        <v>7165.1</v>
      </c>
      <c r="O1107" s="79">
        <f>IFERROR(VLOOKUP(D1107,'KAPANAN BLD.'!$C$2:$D$793,2,FALSE),0)</f>
        <v>0</v>
      </c>
      <c r="P1107" s="79">
        <v>0</v>
      </c>
      <c r="R1107" s="79"/>
    </row>
    <row r="1108" spans="1:18" x14ac:dyDescent="0.25">
      <c r="A1108" t="s">
        <v>32</v>
      </c>
      <c r="B1108" s="73" t="str">
        <f>VLOOKUP(C1108,'Büyükşehir List'!$C$2:$D$31,2,FALSE)</f>
        <v>ERZURUM BÜYÜKŞEHİR</v>
      </c>
      <c r="C1108" t="s">
        <v>60</v>
      </c>
      <c r="D1108" s="73" t="str">
        <f t="shared" si="28"/>
        <v>ERZURUM BÜYÜKŞEHİR/ERZURUM</v>
      </c>
      <c r="E1108" t="s">
        <v>1864</v>
      </c>
      <c r="F1108" t="s">
        <v>1864</v>
      </c>
      <c r="G1108" t="s">
        <v>3366</v>
      </c>
      <c r="H1108">
        <v>1607.7</v>
      </c>
      <c r="I1108">
        <v>160.77000000000001</v>
      </c>
      <c r="J1108">
        <v>850</v>
      </c>
      <c r="K1108">
        <v>85</v>
      </c>
      <c r="L1108">
        <v>757.7</v>
      </c>
      <c r="M1108">
        <v>75.77</v>
      </c>
      <c r="O1108" s="79">
        <f>IFERROR(VLOOKUP(D1108,'KAPANAN BLD.'!$C$2:$D$793,2,FALSE),0)</f>
        <v>0</v>
      </c>
      <c r="P1108" s="79">
        <v>0</v>
      </c>
      <c r="R1108" s="79"/>
    </row>
    <row r="1109" spans="1:18" x14ac:dyDescent="0.25">
      <c r="A1109" t="s">
        <v>32</v>
      </c>
      <c r="B1109" s="73" t="str">
        <f>VLOOKUP(C1109,'Büyükşehir List'!$C$2:$D$31,2,FALSE)</f>
        <v>ERZURUM BÜYÜKŞEHİR</v>
      </c>
      <c r="C1109" t="s">
        <v>60</v>
      </c>
      <c r="D1109" s="73" t="str">
        <f t="shared" si="28"/>
        <v>ERZURUM BÜYÜKŞEHİR/ERZURUM</v>
      </c>
      <c r="E1109" t="s">
        <v>1864</v>
      </c>
      <c r="F1109" t="s">
        <v>1864</v>
      </c>
      <c r="G1109" t="s">
        <v>3367</v>
      </c>
      <c r="H1109">
        <v>1741.2</v>
      </c>
      <c r="I1109">
        <v>174.12</v>
      </c>
      <c r="J1109">
        <v>46.6</v>
      </c>
      <c r="K1109">
        <v>4.66</v>
      </c>
      <c r="L1109">
        <v>1694.6</v>
      </c>
      <c r="M1109">
        <v>169.46</v>
      </c>
      <c r="O1109" s="79">
        <f>IFERROR(VLOOKUP(D1109,'KAPANAN BLD.'!$C$2:$D$793,2,FALSE),0)</f>
        <v>0</v>
      </c>
      <c r="P1109" s="79">
        <v>0</v>
      </c>
      <c r="R1109" s="79"/>
    </row>
    <row r="1110" spans="1:18" x14ac:dyDescent="0.25">
      <c r="A1110" t="s">
        <v>32</v>
      </c>
      <c r="B1110" s="73" t="str">
        <f>VLOOKUP(C1110,'Büyükşehir List'!$C$2:$D$31,2,FALSE)</f>
        <v>ERZURUM BÜYÜKŞEHİR</v>
      </c>
      <c r="C1110" t="s">
        <v>60</v>
      </c>
      <c r="D1110" s="73" t="str">
        <f t="shared" si="28"/>
        <v>ERZURUM BÜYÜKŞEHİR/ERZURUM</v>
      </c>
      <c r="E1110" t="s">
        <v>1820</v>
      </c>
      <c r="F1110" t="s">
        <v>1820</v>
      </c>
      <c r="G1110" t="s">
        <v>3366</v>
      </c>
      <c r="H1110">
        <v>44.6</v>
      </c>
      <c r="I1110">
        <v>4.46</v>
      </c>
      <c r="J1110">
        <v>0</v>
      </c>
      <c r="K1110">
        <v>0</v>
      </c>
      <c r="L1110">
        <v>44.6</v>
      </c>
      <c r="M1110">
        <v>4.46</v>
      </c>
      <c r="O1110" s="79">
        <f>IFERROR(VLOOKUP(D1110,'KAPANAN BLD.'!$C$2:$D$793,2,FALSE),0)</f>
        <v>0</v>
      </c>
      <c r="P1110" s="79">
        <v>0</v>
      </c>
      <c r="R1110" s="79"/>
    </row>
    <row r="1111" spans="1:18" x14ac:dyDescent="0.25">
      <c r="A1111" t="s">
        <v>32</v>
      </c>
      <c r="B1111" s="73" t="str">
        <f>VLOOKUP(C1111,'Büyükşehir List'!$C$2:$D$31,2,FALSE)</f>
        <v>ERZURUM BÜYÜKŞEHİR</v>
      </c>
      <c r="C1111" t="s">
        <v>60</v>
      </c>
      <c r="D1111" s="73" t="str">
        <f t="shared" si="28"/>
        <v>ERZURUM BÜYÜKŞEHİR/ERZURUM</v>
      </c>
      <c r="E1111" t="s">
        <v>1820</v>
      </c>
      <c r="F1111" t="s">
        <v>1820</v>
      </c>
      <c r="G1111" t="s">
        <v>3367</v>
      </c>
      <c r="H1111">
        <v>93</v>
      </c>
      <c r="I1111">
        <v>9.3000000000000007</v>
      </c>
      <c r="J1111">
        <v>0</v>
      </c>
      <c r="K1111">
        <v>0</v>
      </c>
      <c r="L1111">
        <v>93</v>
      </c>
      <c r="M1111">
        <v>9.3000000000000007</v>
      </c>
      <c r="O1111" s="79">
        <f>IFERROR(VLOOKUP(D1111,'KAPANAN BLD.'!$C$2:$D$793,2,FALSE),0)</f>
        <v>0</v>
      </c>
      <c r="P1111" s="79">
        <v>0</v>
      </c>
      <c r="R1111" s="79"/>
    </row>
    <row r="1112" spans="1:18" x14ac:dyDescent="0.25">
      <c r="A1112" t="s">
        <v>32</v>
      </c>
      <c r="B1112" s="73" t="str">
        <f>VLOOKUP(C1112,'Büyükşehir List'!$C$2:$D$31,2,FALSE)</f>
        <v>ERZURUM BÜYÜKŞEHİR</v>
      </c>
      <c r="C1112" t="s">
        <v>60</v>
      </c>
      <c r="D1112" s="73" t="str">
        <f t="shared" si="28"/>
        <v>ERZURUM BÜYÜKŞEHİR/ERZURUM</v>
      </c>
      <c r="E1112" t="s">
        <v>4470</v>
      </c>
      <c r="F1112" t="s">
        <v>4470</v>
      </c>
      <c r="G1112" t="s">
        <v>3366</v>
      </c>
      <c r="H1112">
        <v>1.3</v>
      </c>
      <c r="I1112">
        <v>0.13</v>
      </c>
      <c r="J1112">
        <v>0</v>
      </c>
      <c r="K1112">
        <v>0</v>
      </c>
      <c r="L1112">
        <v>1.3</v>
      </c>
      <c r="M1112">
        <v>0.13</v>
      </c>
      <c r="O1112" s="79">
        <f>IFERROR(VLOOKUP(D1112,'KAPANAN BLD.'!$C$2:$D$793,2,FALSE),0)</f>
        <v>0</v>
      </c>
      <c r="P1112" s="79">
        <v>0</v>
      </c>
      <c r="R1112" s="79"/>
    </row>
    <row r="1113" spans="1:18" x14ac:dyDescent="0.25">
      <c r="A1113" t="s">
        <v>32</v>
      </c>
      <c r="B1113" s="73" t="str">
        <f>VLOOKUP(C1113,'Büyükşehir List'!$C$2:$D$31,2,FALSE)</f>
        <v>ERZURUM BÜYÜKŞEHİR</v>
      </c>
      <c r="C1113" t="s">
        <v>60</v>
      </c>
      <c r="D1113" s="73" t="str">
        <f t="shared" si="28"/>
        <v>ERZURUM BÜYÜKŞEHİR/ERZURUM</v>
      </c>
      <c r="E1113" t="s">
        <v>4470</v>
      </c>
      <c r="F1113" t="s">
        <v>4470</v>
      </c>
      <c r="G1113" t="s">
        <v>3367</v>
      </c>
      <c r="H1113">
        <v>1.9</v>
      </c>
      <c r="I1113">
        <v>0.19</v>
      </c>
      <c r="J1113">
        <v>0</v>
      </c>
      <c r="K1113">
        <v>0</v>
      </c>
      <c r="L1113">
        <v>1.9</v>
      </c>
      <c r="M1113">
        <v>0.19</v>
      </c>
      <c r="O1113" s="79">
        <f>IFERROR(VLOOKUP(D1113,'KAPANAN BLD.'!$C$2:$D$793,2,FALSE),0)</f>
        <v>0</v>
      </c>
      <c r="P1113" s="79">
        <v>0</v>
      </c>
      <c r="R1113" s="79"/>
    </row>
    <row r="1114" spans="1:18" x14ac:dyDescent="0.25">
      <c r="A1114" t="s">
        <v>32</v>
      </c>
      <c r="B1114" s="73" t="str">
        <f>VLOOKUP(C1114,'Büyükşehir List'!$C$2:$D$31,2,FALSE)</f>
        <v>ERZURUM BÜYÜKŞEHİR</v>
      </c>
      <c r="C1114" t="s">
        <v>60</v>
      </c>
      <c r="D1114" s="73" t="str">
        <f t="shared" si="28"/>
        <v>ERZURUM BÜYÜKŞEHİR/ERZURUM</v>
      </c>
      <c r="E1114" t="s">
        <v>4471</v>
      </c>
      <c r="F1114" t="s">
        <v>4471</v>
      </c>
      <c r="G1114" t="s">
        <v>3367</v>
      </c>
      <c r="H1114">
        <v>5.4</v>
      </c>
      <c r="I1114">
        <v>0.54</v>
      </c>
      <c r="J1114">
        <v>0</v>
      </c>
      <c r="K1114">
        <v>0</v>
      </c>
      <c r="L1114">
        <v>5.4</v>
      </c>
      <c r="M1114">
        <v>0.54</v>
      </c>
      <c r="O1114" s="79">
        <f>IFERROR(VLOOKUP(D1114,'KAPANAN BLD.'!$C$2:$D$793,2,FALSE),0)</f>
        <v>0</v>
      </c>
      <c r="P1114" s="79">
        <v>0</v>
      </c>
      <c r="R1114" s="79"/>
    </row>
    <row r="1115" spans="1:18" x14ac:dyDescent="0.25">
      <c r="A1115" t="s">
        <v>32</v>
      </c>
      <c r="B1115" s="73" t="str">
        <f>VLOOKUP(C1115,'Büyükşehir List'!$C$2:$D$31,2,FALSE)</f>
        <v>ERZURUM BÜYÜKŞEHİR</v>
      </c>
      <c r="C1115" t="s">
        <v>60</v>
      </c>
      <c r="D1115" s="73" t="str">
        <f t="shared" si="28"/>
        <v>ERZURUM BÜYÜKŞEHİR/ERZURUM</v>
      </c>
      <c r="E1115" t="s">
        <v>4471</v>
      </c>
      <c r="F1115" t="s">
        <v>4471</v>
      </c>
      <c r="G1115" t="s">
        <v>3366</v>
      </c>
      <c r="H1115">
        <v>103.3</v>
      </c>
      <c r="I1115">
        <v>10.33</v>
      </c>
      <c r="J1115">
        <v>0</v>
      </c>
      <c r="K1115">
        <v>0</v>
      </c>
      <c r="L1115">
        <v>103.3</v>
      </c>
      <c r="M1115">
        <v>10.33</v>
      </c>
      <c r="O1115" s="79">
        <f>IFERROR(VLOOKUP(D1115,'KAPANAN BLD.'!$C$2:$D$793,2,FALSE),0)</f>
        <v>0</v>
      </c>
      <c r="P1115" s="79">
        <v>0</v>
      </c>
      <c r="R1115" s="79"/>
    </row>
    <row r="1116" spans="1:18" x14ac:dyDescent="0.25">
      <c r="A1116" t="s">
        <v>32</v>
      </c>
      <c r="B1116" s="73" t="str">
        <f>VLOOKUP(C1116,'Büyükşehir List'!$C$2:$D$31,2,FALSE)</f>
        <v>ERZURUM BÜYÜKŞEHİR</v>
      </c>
      <c r="C1116" t="s">
        <v>60</v>
      </c>
      <c r="D1116" s="73" t="str">
        <f t="shared" si="28"/>
        <v>ERZURUM BÜYÜKŞEHİR/ERZURUM</v>
      </c>
      <c r="E1116" t="s">
        <v>4472</v>
      </c>
      <c r="F1116" t="s">
        <v>4472</v>
      </c>
      <c r="G1116" t="s">
        <v>3366</v>
      </c>
      <c r="H1116">
        <v>965</v>
      </c>
      <c r="I1116">
        <v>96.5</v>
      </c>
      <c r="J1116">
        <v>0</v>
      </c>
      <c r="K1116">
        <v>0</v>
      </c>
      <c r="L1116">
        <v>965</v>
      </c>
      <c r="M1116">
        <v>96.5</v>
      </c>
      <c r="O1116" s="79">
        <f>IFERROR(VLOOKUP(D1116,'KAPANAN BLD.'!$C$2:$D$793,2,FALSE),0)</f>
        <v>0</v>
      </c>
      <c r="P1116" s="79">
        <v>0</v>
      </c>
      <c r="R1116" s="79"/>
    </row>
    <row r="1117" spans="1:18" x14ac:dyDescent="0.25">
      <c r="A1117" t="s">
        <v>32</v>
      </c>
      <c r="B1117" s="73" t="str">
        <f>VLOOKUP(C1117,'Büyükşehir List'!$C$2:$D$31,2,FALSE)</f>
        <v>ERZURUM BÜYÜKŞEHİR</v>
      </c>
      <c r="C1117" t="s">
        <v>60</v>
      </c>
      <c r="D1117" s="73" t="str">
        <f t="shared" si="28"/>
        <v>ERZURUM BÜYÜKŞEHİR/ERZURUM</v>
      </c>
      <c r="E1117" t="s">
        <v>4472</v>
      </c>
      <c r="F1117" t="s">
        <v>4472</v>
      </c>
      <c r="G1117" t="s">
        <v>3367</v>
      </c>
      <c r="H1117">
        <v>17.100000000000001</v>
      </c>
      <c r="I1117">
        <v>1.71</v>
      </c>
      <c r="J1117">
        <v>0</v>
      </c>
      <c r="K1117">
        <v>0</v>
      </c>
      <c r="L1117">
        <v>17.100000000000001</v>
      </c>
      <c r="M1117">
        <v>1.71</v>
      </c>
      <c r="O1117" s="79">
        <f>IFERROR(VLOOKUP(D1117,'KAPANAN BLD.'!$C$2:$D$793,2,FALSE),0)</f>
        <v>0</v>
      </c>
      <c r="P1117" s="79">
        <v>0</v>
      </c>
      <c r="R1117" s="79"/>
    </row>
    <row r="1118" spans="1:18" x14ac:dyDescent="0.25">
      <c r="A1118" t="s">
        <v>32</v>
      </c>
      <c r="B1118" s="73" t="str">
        <f>VLOOKUP(C1118,'Büyükşehir List'!$C$2:$D$31,2,FALSE)</f>
        <v>ERZURUM BÜYÜKŞEHİR</v>
      </c>
      <c r="C1118" t="s">
        <v>60</v>
      </c>
      <c r="D1118" s="73" t="str">
        <f t="shared" si="28"/>
        <v>ERZURUM BÜYÜKŞEHİR/ERZURUM</v>
      </c>
      <c r="E1118" t="s">
        <v>1864</v>
      </c>
      <c r="F1118" t="s">
        <v>1864</v>
      </c>
      <c r="G1118" t="s">
        <v>3366</v>
      </c>
      <c r="H1118">
        <v>3160.8</v>
      </c>
      <c r="I1118">
        <v>316.08</v>
      </c>
      <c r="J1118">
        <v>494.5</v>
      </c>
      <c r="K1118">
        <v>49.45</v>
      </c>
      <c r="L1118">
        <v>2666.3</v>
      </c>
      <c r="M1118">
        <v>266.63</v>
      </c>
      <c r="O1118" s="79">
        <f>IFERROR(VLOOKUP(D1118,'KAPANAN BLD.'!$C$2:$D$793,2,FALSE),0)</f>
        <v>0</v>
      </c>
      <c r="P1118" s="79">
        <v>0</v>
      </c>
      <c r="R1118" s="79"/>
    </row>
    <row r="1119" spans="1:18" x14ac:dyDescent="0.25">
      <c r="A1119" t="s">
        <v>32</v>
      </c>
      <c r="B1119" s="73" t="str">
        <f>VLOOKUP(C1119,'Büyükşehir List'!$C$2:$D$31,2,FALSE)</f>
        <v>ERZURUM BÜYÜKŞEHİR</v>
      </c>
      <c r="C1119" t="s">
        <v>60</v>
      </c>
      <c r="D1119" s="73" t="str">
        <f t="shared" si="28"/>
        <v>ERZURUM BÜYÜKŞEHİR/ERZURUM</v>
      </c>
      <c r="E1119" t="s">
        <v>1864</v>
      </c>
      <c r="F1119" t="s">
        <v>1864</v>
      </c>
      <c r="G1119" t="s">
        <v>3367</v>
      </c>
      <c r="H1119">
        <v>1934.6</v>
      </c>
      <c r="I1119">
        <v>193.46</v>
      </c>
      <c r="J1119">
        <v>49.8</v>
      </c>
      <c r="K1119">
        <v>4.9800000000000004</v>
      </c>
      <c r="L1119">
        <v>1884.8</v>
      </c>
      <c r="M1119">
        <v>188.48</v>
      </c>
      <c r="O1119" s="79">
        <f>IFERROR(VLOOKUP(D1119,'KAPANAN BLD.'!$C$2:$D$793,2,FALSE),0)</f>
        <v>0</v>
      </c>
      <c r="P1119" s="79">
        <v>0</v>
      </c>
      <c r="R1119" s="79"/>
    </row>
    <row r="1120" spans="1:18" x14ac:dyDescent="0.25">
      <c r="A1120" t="s">
        <v>32</v>
      </c>
      <c r="B1120" s="73" t="str">
        <f>VLOOKUP(C1120,'Büyükşehir List'!$C$2:$D$31,2,FALSE)</f>
        <v>ESKİŞEHİR BÜYÜKŞEHİR</v>
      </c>
      <c r="C1120" t="s">
        <v>61</v>
      </c>
      <c r="D1120" s="73" t="str">
        <f t="shared" si="28"/>
        <v>ESKİŞEHİR BÜYÜKŞEHİR/ESKİŞEHİR</v>
      </c>
      <c r="E1120" t="s">
        <v>364</v>
      </c>
      <c r="F1120" t="s">
        <v>364</v>
      </c>
      <c r="G1120" t="s">
        <v>3367</v>
      </c>
      <c r="H1120">
        <v>0</v>
      </c>
      <c r="I1120">
        <v>0</v>
      </c>
      <c r="J1120">
        <v>12.5</v>
      </c>
      <c r="K1120">
        <v>1.25</v>
      </c>
      <c r="L1120">
        <v>-12.5</v>
      </c>
      <c r="M1120">
        <v>-1.25</v>
      </c>
      <c r="O1120" s="79">
        <f>IFERROR(VLOOKUP(D1120,'KAPANAN BLD.'!$C$2:$D$793,2,FALSE),0)</f>
        <v>0</v>
      </c>
      <c r="P1120" s="79">
        <v>0</v>
      </c>
      <c r="R1120" s="79"/>
    </row>
    <row r="1121" spans="1:18" x14ac:dyDescent="0.25">
      <c r="A1121" t="s">
        <v>32</v>
      </c>
      <c r="B1121" s="73" t="str">
        <f>VLOOKUP(C1121,'Büyükşehir List'!$C$2:$D$31,2,FALSE)</f>
        <v>ESKİŞEHİR BÜYÜKŞEHİR</v>
      </c>
      <c r="C1121" t="s">
        <v>61</v>
      </c>
      <c r="D1121" s="73" t="str">
        <f t="shared" si="28"/>
        <v>ESKİŞEHİR BÜYÜKŞEHİR/ESKİŞEHİR</v>
      </c>
      <c r="E1121" t="s">
        <v>364</v>
      </c>
      <c r="F1121" t="s">
        <v>364</v>
      </c>
      <c r="G1121" t="s">
        <v>3366</v>
      </c>
      <c r="H1121">
        <v>0</v>
      </c>
      <c r="I1121">
        <v>0</v>
      </c>
      <c r="J1121">
        <v>0.5</v>
      </c>
      <c r="K1121">
        <v>0.05</v>
      </c>
      <c r="L1121">
        <v>-0.5</v>
      </c>
      <c r="M1121">
        <v>-0.05</v>
      </c>
      <c r="O1121" s="79">
        <f>IFERROR(VLOOKUP(D1121,'KAPANAN BLD.'!$C$2:$D$793,2,FALSE),0)</f>
        <v>0</v>
      </c>
      <c r="P1121" s="79">
        <v>0</v>
      </c>
      <c r="R1121" s="79"/>
    </row>
    <row r="1122" spans="1:18" x14ac:dyDescent="0.25">
      <c r="A1122" t="s">
        <v>32</v>
      </c>
      <c r="B1122" s="73" t="str">
        <f>VLOOKUP(C1122,'Büyükşehir List'!$C$2:$D$31,2,FALSE)</f>
        <v>ESKİŞEHİR BÜYÜKŞEHİR</v>
      </c>
      <c r="C1122" t="s">
        <v>61</v>
      </c>
      <c r="D1122" s="73" t="str">
        <f t="shared" si="28"/>
        <v>ESKİŞEHİR BÜYÜKŞEHİR/ESKİŞEHİR</v>
      </c>
      <c r="E1122" t="s">
        <v>3703</v>
      </c>
      <c r="F1122" t="s">
        <v>3703</v>
      </c>
      <c r="G1122" t="s">
        <v>3367</v>
      </c>
      <c r="H1122">
        <v>135</v>
      </c>
      <c r="I1122">
        <v>13.5</v>
      </c>
      <c r="J1122">
        <v>0</v>
      </c>
      <c r="K1122">
        <v>0</v>
      </c>
      <c r="L1122">
        <v>135</v>
      </c>
      <c r="M1122">
        <v>13.5</v>
      </c>
      <c r="O1122" s="79">
        <f>IFERROR(VLOOKUP(D1122,'KAPANAN BLD.'!$C$2:$D$793,2,FALSE),0)</f>
        <v>0</v>
      </c>
      <c r="P1122" s="79">
        <v>0</v>
      </c>
      <c r="R1122" s="79"/>
    </row>
    <row r="1123" spans="1:18" x14ac:dyDescent="0.25">
      <c r="A1123" t="s">
        <v>32</v>
      </c>
      <c r="B1123" s="73" t="str">
        <f>VLOOKUP(C1123,'Büyükşehir List'!$C$2:$D$31,2,FALSE)</f>
        <v>ESKİŞEHİR BÜYÜKŞEHİR</v>
      </c>
      <c r="C1123" t="s">
        <v>61</v>
      </c>
      <c r="D1123" s="73" t="str">
        <f t="shared" si="28"/>
        <v>ESKİŞEHİR BÜYÜKŞEHİR/ESKİŞEHİR</v>
      </c>
      <c r="E1123" t="s">
        <v>3703</v>
      </c>
      <c r="F1123" t="s">
        <v>3703</v>
      </c>
      <c r="G1123" t="s">
        <v>3366</v>
      </c>
      <c r="H1123">
        <v>1208.4000000000001</v>
      </c>
      <c r="I1123">
        <v>120.84</v>
      </c>
      <c r="J1123">
        <v>0</v>
      </c>
      <c r="K1123">
        <v>0</v>
      </c>
      <c r="L1123">
        <v>1208.4000000000001</v>
      </c>
      <c r="M1123">
        <v>120.84</v>
      </c>
      <c r="O1123" s="79">
        <f>IFERROR(VLOOKUP(D1123,'KAPANAN BLD.'!$C$2:$D$793,2,FALSE),0)</f>
        <v>0</v>
      </c>
      <c r="P1123" s="79">
        <v>0</v>
      </c>
      <c r="R1123" s="79"/>
    </row>
    <row r="1124" spans="1:18" x14ac:dyDescent="0.25">
      <c r="A1124" t="s">
        <v>32</v>
      </c>
      <c r="B1124" s="73" t="str">
        <f>VLOOKUP(C1124,'Büyükşehir List'!$C$2:$D$31,2,FALSE)</f>
        <v>ESKİŞEHİR BÜYÜKŞEHİR</v>
      </c>
      <c r="C1124" t="s">
        <v>61</v>
      </c>
      <c r="D1124" s="73" t="str">
        <f t="shared" si="28"/>
        <v>ESKİŞEHİR BÜYÜKŞEHİR/ESKİŞEHİR</v>
      </c>
      <c r="E1124" t="s">
        <v>2417</v>
      </c>
      <c r="F1124" t="s">
        <v>2417</v>
      </c>
      <c r="G1124" t="s">
        <v>3367</v>
      </c>
      <c r="H1124">
        <v>4.2</v>
      </c>
      <c r="I1124">
        <v>0.42</v>
      </c>
      <c r="J1124">
        <v>0</v>
      </c>
      <c r="K1124">
        <v>0</v>
      </c>
      <c r="L1124">
        <v>4.2</v>
      </c>
      <c r="M1124">
        <v>0.42</v>
      </c>
      <c r="O1124" s="79">
        <f>IFERROR(VLOOKUP(D1124,'KAPANAN BLD.'!$C$2:$D$793,2,FALSE),0)</f>
        <v>0</v>
      </c>
      <c r="P1124" s="79">
        <v>0</v>
      </c>
      <c r="R1124" s="79"/>
    </row>
    <row r="1125" spans="1:18" x14ac:dyDescent="0.25">
      <c r="A1125" t="s">
        <v>32</v>
      </c>
      <c r="B1125" s="73" t="str">
        <f>VLOOKUP(C1125,'Büyükşehir List'!$C$2:$D$31,2,FALSE)</f>
        <v>ESKİŞEHİR BÜYÜKŞEHİR</v>
      </c>
      <c r="C1125" t="s">
        <v>61</v>
      </c>
      <c r="D1125" s="73" t="str">
        <f t="shared" si="28"/>
        <v>ESKİŞEHİR BÜYÜKŞEHİR/ESKİŞEHİR</v>
      </c>
      <c r="E1125" t="s">
        <v>2417</v>
      </c>
      <c r="F1125" t="s">
        <v>2417</v>
      </c>
      <c r="G1125" t="s">
        <v>3366</v>
      </c>
      <c r="H1125">
        <v>2.8</v>
      </c>
      <c r="I1125">
        <v>0.28000000000000003</v>
      </c>
      <c r="J1125">
        <v>0</v>
      </c>
      <c r="K1125">
        <v>0</v>
      </c>
      <c r="L1125">
        <v>2.8</v>
      </c>
      <c r="M1125">
        <v>0.28000000000000003</v>
      </c>
      <c r="O1125" s="79">
        <f>IFERROR(VLOOKUP(D1125,'KAPANAN BLD.'!$C$2:$D$793,2,FALSE),0)</f>
        <v>0</v>
      </c>
      <c r="P1125" s="79">
        <v>0</v>
      </c>
      <c r="R1125" s="79"/>
    </row>
    <row r="1126" spans="1:18" x14ac:dyDescent="0.25">
      <c r="A1126" t="s">
        <v>32</v>
      </c>
      <c r="B1126" s="73" t="str">
        <f>VLOOKUP(C1126,'Büyükşehir List'!$C$2:$D$31,2,FALSE)</f>
        <v>ESKİŞEHİR BÜYÜKŞEHİR</v>
      </c>
      <c r="C1126" t="s">
        <v>61</v>
      </c>
      <c r="D1126" s="73" t="str">
        <f t="shared" si="28"/>
        <v>ESKİŞEHİR BÜYÜKŞEHİR/ESKİŞEHİR</v>
      </c>
      <c r="E1126" t="s">
        <v>581</v>
      </c>
      <c r="F1126" t="s">
        <v>581</v>
      </c>
      <c r="G1126" t="s">
        <v>3367</v>
      </c>
      <c r="H1126">
        <v>122.8</v>
      </c>
      <c r="I1126">
        <v>12.28</v>
      </c>
      <c r="J1126">
        <v>0</v>
      </c>
      <c r="K1126">
        <v>0</v>
      </c>
      <c r="L1126">
        <v>122.8</v>
      </c>
      <c r="M1126">
        <v>12.28</v>
      </c>
      <c r="O1126" s="79">
        <f>IFERROR(VLOOKUP(D1126,'KAPANAN BLD.'!$C$2:$D$793,2,FALSE),0)</f>
        <v>0</v>
      </c>
      <c r="P1126" s="79">
        <v>0</v>
      </c>
      <c r="R1126" s="79"/>
    </row>
    <row r="1127" spans="1:18" x14ac:dyDescent="0.25">
      <c r="A1127" t="s">
        <v>32</v>
      </c>
      <c r="B1127" s="73" t="str">
        <f>VLOOKUP(C1127,'Büyükşehir List'!$C$2:$D$31,2,FALSE)</f>
        <v>ESKİŞEHİR BÜYÜKŞEHİR</v>
      </c>
      <c r="C1127" t="s">
        <v>61</v>
      </c>
      <c r="D1127" s="73" t="str">
        <f t="shared" si="28"/>
        <v>ESKİŞEHİR BÜYÜKŞEHİR/ESKİŞEHİR</v>
      </c>
      <c r="E1127" t="s">
        <v>581</v>
      </c>
      <c r="F1127" t="s">
        <v>581</v>
      </c>
      <c r="G1127" t="s">
        <v>3366</v>
      </c>
      <c r="H1127">
        <v>208.7</v>
      </c>
      <c r="I1127">
        <v>20.87</v>
      </c>
      <c r="J1127">
        <v>0</v>
      </c>
      <c r="K1127">
        <v>0</v>
      </c>
      <c r="L1127">
        <v>208.7</v>
      </c>
      <c r="M1127">
        <v>20.87</v>
      </c>
      <c r="O1127" s="79">
        <f>IFERROR(VLOOKUP(D1127,'KAPANAN BLD.'!$C$2:$D$793,2,FALSE),0)</f>
        <v>0</v>
      </c>
      <c r="P1127" s="79">
        <v>0</v>
      </c>
      <c r="R1127" s="79"/>
    </row>
    <row r="1128" spans="1:18" x14ac:dyDescent="0.25">
      <c r="A1128" t="s">
        <v>32</v>
      </c>
      <c r="B1128" s="73" t="str">
        <f>VLOOKUP(C1128,'Büyükşehir List'!$C$2:$D$31,2,FALSE)</f>
        <v>ESKİŞEHİR BÜYÜKŞEHİR</v>
      </c>
      <c r="C1128" t="s">
        <v>61</v>
      </c>
      <c r="D1128" s="73" t="str">
        <f t="shared" si="28"/>
        <v>ESKİŞEHİR BÜYÜKŞEHİR/ESKİŞEHİR</v>
      </c>
      <c r="E1128" t="s">
        <v>4379</v>
      </c>
      <c r="F1128" t="s">
        <v>4379</v>
      </c>
      <c r="G1128" t="s">
        <v>3367</v>
      </c>
      <c r="H1128">
        <v>25.1</v>
      </c>
      <c r="I1128">
        <v>2.5099999999999998</v>
      </c>
      <c r="J1128">
        <v>177.2</v>
      </c>
      <c r="K1128">
        <v>17.72</v>
      </c>
      <c r="L1128">
        <v>-152.1</v>
      </c>
      <c r="M1128">
        <v>-15.21</v>
      </c>
      <c r="O1128" s="79">
        <f>IFERROR(VLOOKUP(D1128,'KAPANAN BLD.'!$C$2:$D$793,2,FALSE),0)</f>
        <v>0</v>
      </c>
      <c r="P1128" s="79">
        <v>0</v>
      </c>
      <c r="R1128" s="79"/>
    </row>
    <row r="1129" spans="1:18" x14ac:dyDescent="0.25">
      <c r="A1129" t="s">
        <v>32</v>
      </c>
      <c r="B1129" s="73" t="str">
        <f>VLOOKUP(C1129,'Büyükşehir List'!$C$2:$D$31,2,FALSE)</f>
        <v>ESKİŞEHİR BÜYÜKŞEHİR</v>
      </c>
      <c r="C1129" t="s">
        <v>61</v>
      </c>
      <c r="D1129" s="73" t="str">
        <f t="shared" si="28"/>
        <v>ESKİŞEHİR BÜYÜKŞEHİR/ESKİŞEHİR</v>
      </c>
      <c r="E1129" t="s">
        <v>4379</v>
      </c>
      <c r="F1129" t="s">
        <v>4379</v>
      </c>
      <c r="G1129" t="s">
        <v>3366</v>
      </c>
      <c r="H1129">
        <v>15.1</v>
      </c>
      <c r="I1129">
        <v>1.51</v>
      </c>
      <c r="J1129">
        <v>0</v>
      </c>
      <c r="K1129">
        <v>0</v>
      </c>
      <c r="L1129">
        <v>15.1</v>
      </c>
      <c r="M1129">
        <v>1.51</v>
      </c>
      <c r="O1129" s="79">
        <f>IFERROR(VLOOKUP(D1129,'KAPANAN BLD.'!$C$2:$D$793,2,FALSE),0)</f>
        <v>0</v>
      </c>
      <c r="P1129" s="79">
        <v>0</v>
      </c>
      <c r="R1129" s="79"/>
    </row>
    <row r="1130" spans="1:18" x14ac:dyDescent="0.25">
      <c r="A1130" t="s">
        <v>32</v>
      </c>
      <c r="B1130" s="73" t="str">
        <f>VLOOKUP(C1130,'Büyükşehir List'!$C$2:$D$31,2,FALSE)</f>
        <v>ESKİŞEHİR BÜYÜKŞEHİR</v>
      </c>
      <c r="C1130" t="s">
        <v>61</v>
      </c>
      <c r="D1130" s="73" t="str">
        <f t="shared" si="28"/>
        <v>ESKİŞEHİR BÜYÜKŞEHİR/ESKİŞEHİR</v>
      </c>
      <c r="E1130" t="s">
        <v>1865</v>
      </c>
      <c r="F1130" t="s">
        <v>1865</v>
      </c>
      <c r="G1130" t="s">
        <v>3366</v>
      </c>
      <c r="H1130">
        <v>43266.69</v>
      </c>
      <c r="I1130">
        <v>4326.67</v>
      </c>
      <c r="J1130">
        <v>1264.5999999999999</v>
      </c>
      <c r="K1130">
        <v>126.46</v>
      </c>
      <c r="L1130">
        <v>42002.09</v>
      </c>
      <c r="M1130">
        <v>4200.21</v>
      </c>
      <c r="O1130" s="79">
        <f>IFERROR(VLOOKUP(D1130,'KAPANAN BLD.'!$C$2:$D$793,2,FALSE),0)</f>
        <v>0</v>
      </c>
      <c r="P1130" s="79">
        <v>0</v>
      </c>
      <c r="R1130" s="79"/>
    </row>
    <row r="1131" spans="1:18" x14ac:dyDescent="0.25">
      <c r="A1131" t="s">
        <v>32</v>
      </c>
      <c r="B1131" s="73" t="str">
        <f>VLOOKUP(C1131,'Büyükşehir List'!$C$2:$D$31,2,FALSE)</f>
        <v>ESKİŞEHİR BÜYÜKŞEHİR</v>
      </c>
      <c r="C1131" t="s">
        <v>61</v>
      </c>
      <c r="D1131" s="73" t="str">
        <f t="shared" si="28"/>
        <v>ESKİŞEHİR BÜYÜKŞEHİR/ESKİŞEHİR</v>
      </c>
      <c r="E1131" t="s">
        <v>1865</v>
      </c>
      <c r="F1131" t="s">
        <v>1865</v>
      </c>
      <c r="G1131" t="s">
        <v>3367</v>
      </c>
      <c r="H1131">
        <v>22915.8</v>
      </c>
      <c r="I1131">
        <v>2291.58</v>
      </c>
      <c r="J1131">
        <v>870.5</v>
      </c>
      <c r="K1131">
        <v>87.05</v>
      </c>
      <c r="L1131">
        <v>22045.3</v>
      </c>
      <c r="M1131">
        <v>2204.5300000000002</v>
      </c>
      <c r="O1131" s="79">
        <f>IFERROR(VLOOKUP(D1131,'KAPANAN BLD.'!$C$2:$D$793,2,FALSE),0)</f>
        <v>0</v>
      </c>
      <c r="P1131" s="79">
        <v>0</v>
      </c>
      <c r="R1131" s="79"/>
    </row>
    <row r="1132" spans="1:18" x14ac:dyDescent="0.25">
      <c r="A1132" t="s">
        <v>32</v>
      </c>
      <c r="B1132" s="73" t="str">
        <f>VLOOKUP(C1132,'Büyükşehir List'!$C$2:$D$31,2,FALSE)</f>
        <v>ESKİŞEHİR BÜYÜKŞEHİR</v>
      </c>
      <c r="C1132" t="s">
        <v>61</v>
      </c>
      <c r="D1132" s="73" t="str">
        <f t="shared" si="28"/>
        <v>ESKİŞEHİR BÜYÜKŞEHİR/ESKİŞEHİR</v>
      </c>
      <c r="E1132" t="s">
        <v>35</v>
      </c>
      <c r="F1132" t="s">
        <v>35</v>
      </c>
      <c r="G1132" t="s">
        <v>3367</v>
      </c>
      <c r="H1132">
        <v>5.4</v>
      </c>
      <c r="I1132">
        <v>0.54</v>
      </c>
      <c r="J1132">
        <v>0</v>
      </c>
      <c r="K1132">
        <v>0</v>
      </c>
      <c r="L1132">
        <v>5.4</v>
      </c>
      <c r="M1132">
        <v>0.54</v>
      </c>
      <c r="O1132" s="79">
        <f>IFERROR(VLOOKUP(D1132,'KAPANAN BLD.'!$C$2:$D$793,2,FALSE),0)</f>
        <v>0</v>
      </c>
      <c r="P1132" s="79">
        <v>0</v>
      </c>
      <c r="R1132" s="79"/>
    </row>
    <row r="1133" spans="1:18" x14ac:dyDescent="0.25">
      <c r="A1133" t="s">
        <v>32</v>
      </c>
      <c r="B1133" s="73" t="str">
        <f>VLOOKUP(C1133,'Büyükşehir List'!$C$2:$D$31,2,FALSE)</f>
        <v>ESKİŞEHİR BÜYÜKŞEHİR</v>
      </c>
      <c r="C1133" t="s">
        <v>61</v>
      </c>
      <c r="D1133" s="73" t="str">
        <f t="shared" si="28"/>
        <v>ESKİŞEHİR BÜYÜKŞEHİR/ESKİŞEHİR</v>
      </c>
      <c r="E1133" t="s">
        <v>35</v>
      </c>
      <c r="F1133" t="s">
        <v>35</v>
      </c>
      <c r="G1133" t="s">
        <v>3366</v>
      </c>
      <c r="H1133">
        <v>103.3</v>
      </c>
      <c r="I1133">
        <v>10.33</v>
      </c>
      <c r="J1133">
        <v>0</v>
      </c>
      <c r="K1133">
        <v>0</v>
      </c>
      <c r="L1133">
        <v>103.3</v>
      </c>
      <c r="M1133">
        <v>10.33</v>
      </c>
      <c r="O1133" s="79">
        <f>IFERROR(VLOOKUP(D1133,'KAPANAN BLD.'!$C$2:$D$793,2,FALSE),0)</f>
        <v>0</v>
      </c>
      <c r="P1133" s="79">
        <v>0</v>
      </c>
      <c r="R1133" s="79"/>
    </row>
    <row r="1134" spans="1:18" x14ac:dyDescent="0.25">
      <c r="A1134" t="s">
        <v>32</v>
      </c>
      <c r="B1134" s="73" t="str">
        <f>VLOOKUP(C1134,'Büyükşehir List'!$C$2:$D$31,2,FALSE)</f>
        <v>ESKİŞEHİR BÜYÜKŞEHİR</v>
      </c>
      <c r="C1134" t="s">
        <v>61</v>
      </c>
      <c r="D1134" s="73" t="str">
        <f t="shared" si="28"/>
        <v>ESKİŞEHİR BÜYÜKŞEHİR/ESKİŞEHİR</v>
      </c>
      <c r="E1134" t="s">
        <v>446</v>
      </c>
      <c r="F1134" t="s">
        <v>446</v>
      </c>
      <c r="G1134" t="s">
        <v>3367</v>
      </c>
      <c r="H1134">
        <v>0</v>
      </c>
      <c r="I1134">
        <v>0</v>
      </c>
      <c r="J1134">
        <v>70.7</v>
      </c>
      <c r="K1134">
        <v>7.07</v>
      </c>
      <c r="L1134">
        <v>-70.7</v>
      </c>
      <c r="M1134">
        <v>-7.07</v>
      </c>
      <c r="O1134" s="79">
        <f>IFERROR(VLOOKUP(D1134,'KAPANAN BLD.'!$C$2:$D$793,2,FALSE),0)</f>
        <v>0</v>
      </c>
      <c r="P1134" s="79">
        <v>0</v>
      </c>
      <c r="R1134" s="79"/>
    </row>
    <row r="1135" spans="1:18" x14ac:dyDescent="0.25">
      <c r="A1135" t="s">
        <v>32</v>
      </c>
      <c r="B1135" s="73" t="str">
        <f>VLOOKUP(C1135,'Büyükşehir List'!$C$2:$D$31,2,FALSE)</f>
        <v>ESKİŞEHİR BÜYÜKŞEHİR</v>
      </c>
      <c r="C1135" t="s">
        <v>61</v>
      </c>
      <c r="D1135" s="73" t="str">
        <f t="shared" si="28"/>
        <v>ESKİŞEHİR BÜYÜKŞEHİR/ESKİŞEHİR</v>
      </c>
      <c r="E1135" t="s">
        <v>1865</v>
      </c>
      <c r="F1135" t="s">
        <v>1865</v>
      </c>
      <c r="G1135" t="s">
        <v>3367</v>
      </c>
      <c r="H1135">
        <v>21837.83</v>
      </c>
      <c r="I1135">
        <v>2183.7800000000002</v>
      </c>
      <c r="J1135">
        <v>944.4</v>
      </c>
      <c r="K1135">
        <v>94.44</v>
      </c>
      <c r="L1135">
        <v>20893.43</v>
      </c>
      <c r="M1135">
        <v>2089.34</v>
      </c>
      <c r="O1135" s="79">
        <f>IFERROR(VLOOKUP(D1135,'KAPANAN BLD.'!$C$2:$D$793,2,FALSE),0)</f>
        <v>0</v>
      </c>
      <c r="P1135" s="79">
        <v>0</v>
      </c>
      <c r="R1135" s="79"/>
    </row>
    <row r="1136" spans="1:18" x14ac:dyDescent="0.25">
      <c r="A1136" t="s">
        <v>32</v>
      </c>
      <c r="B1136" s="73" t="str">
        <f>VLOOKUP(C1136,'Büyükşehir List'!$C$2:$D$31,2,FALSE)</f>
        <v>ESKİŞEHİR BÜYÜKŞEHİR</v>
      </c>
      <c r="C1136" t="s">
        <v>61</v>
      </c>
      <c r="D1136" s="73" t="str">
        <f t="shared" si="28"/>
        <v>ESKİŞEHİR BÜYÜKŞEHİR/ESKİŞEHİR</v>
      </c>
      <c r="E1136" t="s">
        <v>1865</v>
      </c>
      <c r="F1136" t="s">
        <v>1865</v>
      </c>
      <c r="G1136" t="s">
        <v>3366</v>
      </c>
      <c r="H1136">
        <v>63761.85</v>
      </c>
      <c r="I1136">
        <v>6376.18</v>
      </c>
      <c r="J1136">
        <v>2054.1999999999998</v>
      </c>
      <c r="K1136">
        <v>205.42</v>
      </c>
      <c r="L1136">
        <v>61707.65</v>
      </c>
      <c r="M1136">
        <v>6170.76</v>
      </c>
      <c r="O1136" s="79">
        <f>IFERROR(VLOOKUP(D1136,'KAPANAN BLD.'!$C$2:$D$793,2,FALSE),0)</f>
        <v>0</v>
      </c>
      <c r="P1136" s="79">
        <v>0</v>
      </c>
      <c r="R1136" s="79"/>
    </row>
    <row r="1137" spans="1:18" x14ac:dyDescent="0.25">
      <c r="A1137" t="s">
        <v>32</v>
      </c>
      <c r="B1137" s="73" t="str">
        <f>VLOOKUP(C1137,'Büyükşehir List'!$C$2:$D$31,2,FALSE)</f>
        <v>GAZİANTEP BÜYÜKŞEHİR</v>
      </c>
      <c r="C1137" t="s">
        <v>62</v>
      </c>
      <c r="D1137" s="73" t="str">
        <f t="shared" si="28"/>
        <v>GAZİANTEP BÜYÜKŞEHİR/GAZİANTEP</v>
      </c>
      <c r="E1137" t="s">
        <v>4473</v>
      </c>
      <c r="F1137" t="s">
        <v>4473</v>
      </c>
      <c r="G1137" t="s">
        <v>3367</v>
      </c>
      <c r="H1137">
        <v>616.70000000000005</v>
      </c>
      <c r="I1137">
        <v>61.67</v>
      </c>
      <c r="J1137">
        <v>396.4</v>
      </c>
      <c r="K1137">
        <v>39.64</v>
      </c>
      <c r="L1137">
        <v>220.3</v>
      </c>
      <c r="M1137">
        <v>22.03</v>
      </c>
      <c r="O1137" s="79">
        <f>IFERROR(VLOOKUP(D1137,'KAPANAN BLD.'!$C$2:$D$793,2,FALSE),0)</f>
        <v>0</v>
      </c>
      <c r="P1137" s="79">
        <v>0</v>
      </c>
      <c r="R1137" s="79"/>
    </row>
    <row r="1138" spans="1:18" x14ac:dyDescent="0.25">
      <c r="A1138" t="s">
        <v>32</v>
      </c>
      <c r="B1138" s="73" t="str">
        <f>VLOOKUP(C1138,'Büyükşehir List'!$C$2:$D$31,2,FALSE)</f>
        <v>GAZİANTEP BÜYÜKŞEHİR</v>
      </c>
      <c r="C1138" t="s">
        <v>62</v>
      </c>
      <c r="D1138" s="73" t="str">
        <f t="shared" si="28"/>
        <v>GAZİANTEP BÜYÜKŞEHİR/GAZİANTEP</v>
      </c>
      <c r="E1138" t="s">
        <v>4473</v>
      </c>
      <c r="F1138" t="s">
        <v>4473</v>
      </c>
      <c r="G1138" t="s">
        <v>3366</v>
      </c>
      <c r="H1138">
        <v>161.5</v>
      </c>
      <c r="I1138">
        <v>16.149999999999999</v>
      </c>
      <c r="J1138">
        <v>145.9</v>
      </c>
      <c r="K1138">
        <v>14.59</v>
      </c>
      <c r="L1138">
        <v>15.6</v>
      </c>
      <c r="M1138">
        <v>1.56</v>
      </c>
      <c r="O1138" s="79">
        <f>IFERROR(VLOOKUP(D1138,'KAPANAN BLD.'!$C$2:$D$793,2,FALSE),0)</f>
        <v>0</v>
      </c>
      <c r="P1138" s="79">
        <v>0</v>
      </c>
      <c r="R1138" s="79"/>
    </row>
    <row r="1139" spans="1:18" x14ac:dyDescent="0.25">
      <c r="A1139" t="s">
        <v>32</v>
      </c>
      <c r="B1139" s="73" t="str">
        <f>VLOOKUP(C1139,'Büyükşehir List'!$C$2:$D$31,2,FALSE)</f>
        <v>GAZİANTEP BÜYÜKŞEHİR</v>
      </c>
      <c r="C1139" t="s">
        <v>62</v>
      </c>
      <c r="D1139" s="73" t="str">
        <f t="shared" si="28"/>
        <v>GAZİANTEP BÜYÜKŞEHİR/GAZİANTEP</v>
      </c>
      <c r="E1139" t="s">
        <v>3730</v>
      </c>
      <c r="F1139" t="s">
        <v>3730</v>
      </c>
      <c r="G1139" t="s">
        <v>3367</v>
      </c>
      <c r="H1139">
        <v>16111.07</v>
      </c>
      <c r="I1139">
        <v>1611.1</v>
      </c>
      <c r="J1139">
        <v>171.8</v>
      </c>
      <c r="K1139">
        <v>17.18</v>
      </c>
      <c r="L1139">
        <v>15939.27</v>
      </c>
      <c r="M1139">
        <v>1593.92</v>
      </c>
      <c r="O1139" s="79">
        <f>IFERROR(VLOOKUP(D1139,'KAPANAN BLD.'!$C$2:$D$793,2,FALSE),0)</f>
        <v>0</v>
      </c>
      <c r="P1139" s="79">
        <v>0</v>
      </c>
      <c r="R1139" s="79"/>
    </row>
    <row r="1140" spans="1:18" x14ac:dyDescent="0.25">
      <c r="A1140" t="s">
        <v>32</v>
      </c>
      <c r="B1140" s="73" t="str">
        <f>VLOOKUP(C1140,'Büyükşehir List'!$C$2:$D$31,2,FALSE)</f>
        <v>GAZİANTEP BÜYÜKŞEHİR</v>
      </c>
      <c r="C1140" t="s">
        <v>62</v>
      </c>
      <c r="D1140" s="73" t="str">
        <f t="shared" si="28"/>
        <v>GAZİANTEP BÜYÜKŞEHİR/GAZİANTEP</v>
      </c>
      <c r="E1140" t="s">
        <v>3730</v>
      </c>
      <c r="F1140" t="s">
        <v>3730</v>
      </c>
      <c r="G1140" t="s">
        <v>3366</v>
      </c>
      <c r="H1140">
        <v>15347.84</v>
      </c>
      <c r="I1140">
        <v>1534.78</v>
      </c>
      <c r="J1140">
        <v>376.7</v>
      </c>
      <c r="K1140">
        <v>37.67</v>
      </c>
      <c r="L1140">
        <v>14971.14</v>
      </c>
      <c r="M1140">
        <v>1497.11</v>
      </c>
      <c r="O1140" s="79">
        <f>IFERROR(VLOOKUP(D1140,'KAPANAN BLD.'!$C$2:$D$793,2,FALSE),0)</f>
        <v>0</v>
      </c>
      <c r="P1140" s="79">
        <v>0</v>
      </c>
      <c r="R1140" s="79"/>
    </row>
    <row r="1141" spans="1:18" x14ac:dyDescent="0.25">
      <c r="A1141" t="s">
        <v>32</v>
      </c>
      <c r="B1141" s="73" t="str">
        <f>VLOOKUP(C1141,'Büyükşehir List'!$C$2:$D$31,2,FALSE)</f>
        <v>GAZİANTEP BÜYÜKŞEHİR</v>
      </c>
      <c r="C1141" t="s">
        <v>62</v>
      </c>
      <c r="D1141" s="73" t="str">
        <f t="shared" si="28"/>
        <v>GAZİANTEP BÜYÜKŞEHİR/GAZİANTEP</v>
      </c>
      <c r="E1141" t="s">
        <v>4474</v>
      </c>
      <c r="F1141" t="s">
        <v>4474</v>
      </c>
      <c r="G1141" t="s">
        <v>3367</v>
      </c>
      <c r="H1141">
        <v>21.5</v>
      </c>
      <c r="I1141">
        <v>2.15</v>
      </c>
      <c r="J1141">
        <v>0</v>
      </c>
      <c r="K1141">
        <v>0</v>
      </c>
      <c r="L1141">
        <v>21.5</v>
      </c>
      <c r="M1141">
        <v>2.15</v>
      </c>
      <c r="O1141" s="79">
        <f>IFERROR(VLOOKUP(D1141,'KAPANAN BLD.'!$C$2:$D$793,2,FALSE),0)</f>
        <v>0</v>
      </c>
      <c r="P1141" s="79">
        <v>0</v>
      </c>
      <c r="R1141" s="79"/>
    </row>
    <row r="1142" spans="1:18" x14ac:dyDescent="0.25">
      <c r="A1142" t="s">
        <v>32</v>
      </c>
      <c r="B1142" s="73" t="str">
        <f>VLOOKUP(C1142,'Büyükşehir List'!$C$2:$D$31,2,FALSE)</f>
        <v>GAZİANTEP BÜYÜKŞEHİR</v>
      </c>
      <c r="C1142" t="s">
        <v>62</v>
      </c>
      <c r="D1142" s="73" t="str">
        <f t="shared" si="28"/>
        <v>GAZİANTEP BÜYÜKŞEHİR/GAZİANTEP</v>
      </c>
      <c r="E1142" t="s">
        <v>4474</v>
      </c>
      <c r="F1142" t="s">
        <v>4474</v>
      </c>
      <c r="G1142" t="s">
        <v>3366</v>
      </c>
      <c r="H1142">
        <v>45.9</v>
      </c>
      <c r="I1142">
        <v>4.59</v>
      </c>
      <c r="J1142">
        <v>0</v>
      </c>
      <c r="K1142">
        <v>0</v>
      </c>
      <c r="L1142">
        <v>45.9</v>
      </c>
      <c r="M1142">
        <v>4.59</v>
      </c>
      <c r="O1142" s="79">
        <f>IFERROR(VLOOKUP(D1142,'KAPANAN BLD.'!$C$2:$D$793,2,FALSE),0)</f>
        <v>0</v>
      </c>
      <c r="P1142" s="79">
        <v>0</v>
      </c>
      <c r="R1142" s="79"/>
    </row>
    <row r="1143" spans="1:18" x14ac:dyDescent="0.25">
      <c r="A1143" t="s">
        <v>32</v>
      </c>
      <c r="B1143" s="73" t="str">
        <f>VLOOKUP(C1143,'Büyükşehir List'!$C$2:$D$31,2,FALSE)</f>
        <v>GAZİANTEP BÜYÜKŞEHİR</v>
      </c>
      <c r="C1143" t="s">
        <v>62</v>
      </c>
      <c r="D1143" s="73" t="str">
        <f t="shared" si="28"/>
        <v>GAZİANTEP BÜYÜKŞEHİR/GAZİANTEP</v>
      </c>
      <c r="E1143" t="s">
        <v>3903</v>
      </c>
      <c r="F1143" t="s">
        <v>3903</v>
      </c>
      <c r="G1143" t="s">
        <v>3366</v>
      </c>
      <c r="H1143">
        <v>4.4000000000000004</v>
      </c>
      <c r="I1143">
        <v>0.44</v>
      </c>
      <c r="J1143">
        <v>0</v>
      </c>
      <c r="K1143">
        <v>0</v>
      </c>
      <c r="L1143">
        <v>4.4000000000000004</v>
      </c>
      <c r="M1143">
        <v>0.44</v>
      </c>
      <c r="O1143" s="79">
        <f>IFERROR(VLOOKUP(D1143,'KAPANAN BLD.'!$C$2:$D$793,2,FALSE),0)</f>
        <v>0</v>
      </c>
      <c r="P1143" s="79">
        <v>0</v>
      </c>
      <c r="R1143" s="79"/>
    </row>
    <row r="1144" spans="1:18" x14ac:dyDescent="0.25">
      <c r="A1144" t="s">
        <v>32</v>
      </c>
      <c r="B1144" s="73" t="str">
        <f>VLOOKUP(C1144,'Büyükşehir List'!$C$2:$D$31,2,FALSE)</f>
        <v>GAZİANTEP BÜYÜKŞEHİR</v>
      </c>
      <c r="C1144" t="s">
        <v>62</v>
      </c>
      <c r="D1144" s="73" t="str">
        <f t="shared" si="28"/>
        <v>GAZİANTEP BÜYÜKŞEHİR/GAZİANTEP</v>
      </c>
      <c r="E1144" t="s">
        <v>3903</v>
      </c>
      <c r="F1144" t="s">
        <v>3903</v>
      </c>
      <c r="G1144" t="s">
        <v>3367</v>
      </c>
      <c r="H1144">
        <v>42.2</v>
      </c>
      <c r="I1144">
        <v>4.22</v>
      </c>
      <c r="J1144">
        <v>0</v>
      </c>
      <c r="K1144">
        <v>0</v>
      </c>
      <c r="L1144">
        <v>42.2</v>
      </c>
      <c r="M1144">
        <v>4.22</v>
      </c>
      <c r="O1144" s="79">
        <f>IFERROR(VLOOKUP(D1144,'KAPANAN BLD.'!$C$2:$D$793,2,FALSE),0)</f>
        <v>0</v>
      </c>
      <c r="P1144" s="79">
        <v>0</v>
      </c>
      <c r="R1144" s="79"/>
    </row>
    <row r="1145" spans="1:18" x14ac:dyDescent="0.25">
      <c r="A1145" t="s">
        <v>32</v>
      </c>
      <c r="B1145" s="73" t="str">
        <f>VLOOKUP(C1145,'Büyükşehir List'!$C$2:$D$31,2,FALSE)</f>
        <v>GAZİANTEP BÜYÜKŞEHİR</v>
      </c>
      <c r="C1145" t="s">
        <v>62</v>
      </c>
      <c r="D1145" s="73" t="str">
        <f t="shared" si="28"/>
        <v>GAZİANTEP BÜYÜKŞEHİR/GAZİANTEP</v>
      </c>
      <c r="E1145" t="s">
        <v>447</v>
      </c>
      <c r="F1145" t="s">
        <v>447</v>
      </c>
      <c r="G1145" t="s">
        <v>3367</v>
      </c>
      <c r="H1145">
        <v>172.7</v>
      </c>
      <c r="I1145">
        <v>17.27</v>
      </c>
      <c r="J1145">
        <v>0</v>
      </c>
      <c r="K1145">
        <v>0</v>
      </c>
      <c r="L1145">
        <v>172.7</v>
      </c>
      <c r="M1145">
        <v>17.27</v>
      </c>
      <c r="O1145" s="79">
        <f>IFERROR(VLOOKUP(D1145,'KAPANAN BLD.'!$C$2:$D$793,2,FALSE),0)</f>
        <v>0</v>
      </c>
      <c r="P1145" s="79">
        <v>0</v>
      </c>
      <c r="R1145" s="79"/>
    </row>
    <row r="1146" spans="1:18" x14ac:dyDescent="0.25">
      <c r="A1146" t="s">
        <v>32</v>
      </c>
      <c r="B1146" s="73" t="str">
        <f>VLOOKUP(C1146,'Büyükşehir List'!$C$2:$D$31,2,FALSE)</f>
        <v>GAZİANTEP BÜYÜKŞEHİR</v>
      </c>
      <c r="C1146" t="s">
        <v>62</v>
      </c>
      <c r="D1146" s="73" t="str">
        <f t="shared" si="28"/>
        <v>GAZİANTEP BÜYÜKŞEHİR/GAZİANTEP</v>
      </c>
      <c r="E1146" t="s">
        <v>447</v>
      </c>
      <c r="F1146" t="s">
        <v>447</v>
      </c>
      <c r="G1146" t="s">
        <v>3366</v>
      </c>
      <c r="H1146">
        <v>94.7</v>
      </c>
      <c r="I1146">
        <v>9.4700000000000006</v>
      </c>
      <c r="J1146">
        <v>0</v>
      </c>
      <c r="K1146">
        <v>0</v>
      </c>
      <c r="L1146">
        <v>94.7</v>
      </c>
      <c r="M1146">
        <v>9.4700000000000006</v>
      </c>
      <c r="O1146" s="79">
        <f>IFERROR(VLOOKUP(D1146,'KAPANAN BLD.'!$C$2:$D$793,2,FALSE),0)</f>
        <v>0</v>
      </c>
      <c r="P1146" s="79">
        <v>0</v>
      </c>
      <c r="R1146" s="79"/>
    </row>
    <row r="1147" spans="1:18" x14ac:dyDescent="0.25">
      <c r="A1147" t="s">
        <v>32</v>
      </c>
      <c r="B1147" s="73" t="str">
        <f>VLOOKUP(C1147,'Büyükşehir List'!$C$2:$D$31,2,FALSE)</f>
        <v>GAZİANTEP BÜYÜKŞEHİR</v>
      </c>
      <c r="C1147" t="s">
        <v>62</v>
      </c>
      <c r="D1147" s="73" t="str">
        <f t="shared" si="28"/>
        <v>GAZİANTEP BÜYÜKŞEHİR/GAZİANTEP</v>
      </c>
      <c r="E1147" t="s">
        <v>1867</v>
      </c>
      <c r="F1147" t="s">
        <v>1867</v>
      </c>
      <c r="G1147" t="s">
        <v>3366</v>
      </c>
      <c r="H1147">
        <v>361.5</v>
      </c>
      <c r="I1147">
        <v>36.15</v>
      </c>
      <c r="J1147">
        <v>141</v>
      </c>
      <c r="K1147">
        <v>14.1</v>
      </c>
      <c r="L1147">
        <v>220.5</v>
      </c>
      <c r="M1147">
        <v>22.05</v>
      </c>
      <c r="O1147" s="79">
        <f>IFERROR(VLOOKUP(D1147,'KAPANAN BLD.'!$C$2:$D$793,2,FALSE),0)</f>
        <v>0</v>
      </c>
      <c r="P1147" s="79">
        <v>0</v>
      </c>
      <c r="R1147" s="79"/>
    </row>
    <row r="1148" spans="1:18" x14ac:dyDescent="0.25">
      <c r="A1148" t="s">
        <v>32</v>
      </c>
      <c r="B1148" s="73" t="str">
        <f>VLOOKUP(C1148,'Büyükşehir List'!$C$2:$D$31,2,FALSE)</f>
        <v>GAZİANTEP BÜYÜKŞEHİR</v>
      </c>
      <c r="C1148" t="s">
        <v>62</v>
      </c>
      <c r="D1148" s="73" t="str">
        <f t="shared" si="28"/>
        <v>GAZİANTEP BÜYÜKŞEHİR/GAZİANTEP</v>
      </c>
      <c r="E1148" t="s">
        <v>1867</v>
      </c>
      <c r="F1148" t="s">
        <v>1867</v>
      </c>
      <c r="G1148" t="s">
        <v>3367</v>
      </c>
      <c r="H1148">
        <v>671.4</v>
      </c>
      <c r="I1148">
        <v>67.14</v>
      </c>
      <c r="J1148">
        <v>221.3</v>
      </c>
      <c r="K1148">
        <v>22.13</v>
      </c>
      <c r="L1148">
        <v>450.1</v>
      </c>
      <c r="M1148">
        <v>45.01</v>
      </c>
      <c r="O1148" s="79">
        <f>IFERROR(VLOOKUP(D1148,'KAPANAN BLD.'!$C$2:$D$793,2,FALSE),0)</f>
        <v>0</v>
      </c>
      <c r="P1148" s="79">
        <v>0</v>
      </c>
      <c r="R1148" s="79"/>
    </row>
    <row r="1149" spans="1:18" x14ac:dyDescent="0.25">
      <c r="A1149" t="s">
        <v>32</v>
      </c>
      <c r="B1149" s="73" t="str">
        <f>VLOOKUP(C1149,'Büyükşehir List'!$C$2:$D$31,2,FALSE)</f>
        <v>GAZİANTEP BÜYÜKŞEHİR</v>
      </c>
      <c r="C1149" t="s">
        <v>62</v>
      </c>
      <c r="D1149" s="73" t="str">
        <f t="shared" si="28"/>
        <v>GAZİANTEP BÜYÜKŞEHİR/GAZİANTEP</v>
      </c>
      <c r="E1149" t="s">
        <v>3039</v>
      </c>
      <c r="F1149" t="s">
        <v>3039</v>
      </c>
      <c r="G1149" t="s">
        <v>3367</v>
      </c>
      <c r="H1149">
        <v>327.10000000000002</v>
      </c>
      <c r="I1149">
        <v>32.71</v>
      </c>
      <c r="J1149">
        <v>0</v>
      </c>
      <c r="K1149">
        <v>0</v>
      </c>
      <c r="L1149">
        <v>327.10000000000002</v>
      </c>
      <c r="M1149">
        <v>32.71</v>
      </c>
      <c r="O1149" s="79">
        <f>IFERROR(VLOOKUP(D1149,'KAPANAN BLD.'!$C$2:$D$793,2,FALSE),0)</f>
        <v>0</v>
      </c>
      <c r="P1149" s="79">
        <v>0</v>
      </c>
      <c r="R1149" s="79"/>
    </row>
    <row r="1150" spans="1:18" x14ac:dyDescent="0.25">
      <c r="A1150" t="s">
        <v>32</v>
      </c>
      <c r="B1150" s="73" t="str">
        <f>VLOOKUP(C1150,'Büyükşehir List'!$C$2:$D$31,2,FALSE)</f>
        <v>GAZİANTEP BÜYÜKŞEHİR</v>
      </c>
      <c r="C1150" t="s">
        <v>62</v>
      </c>
      <c r="D1150" s="73" t="str">
        <f t="shared" si="28"/>
        <v>GAZİANTEP BÜYÜKŞEHİR/GAZİANTEP</v>
      </c>
      <c r="E1150" t="s">
        <v>3039</v>
      </c>
      <c r="F1150" t="s">
        <v>3039</v>
      </c>
      <c r="G1150" t="s">
        <v>3366</v>
      </c>
      <c r="H1150">
        <v>402.8</v>
      </c>
      <c r="I1150">
        <v>40.28</v>
      </c>
      <c r="J1150">
        <v>0</v>
      </c>
      <c r="K1150">
        <v>0</v>
      </c>
      <c r="L1150">
        <v>402.8</v>
      </c>
      <c r="M1150">
        <v>40.28</v>
      </c>
      <c r="O1150" s="79">
        <f>IFERROR(VLOOKUP(D1150,'KAPANAN BLD.'!$C$2:$D$793,2,FALSE),0)</f>
        <v>0</v>
      </c>
      <c r="P1150" s="79">
        <v>0</v>
      </c>
      <c r="R1150" s="79"/>
    </row>
    <row r="1151" spans="1:18" x14ac:dyDescent="0.25">
      <c r="A1151" t="s">
        <v>32</v>
      </c>
      <c r="B1151" s="73" t="str">
        <f>VLOOKUP(C1151,'Büyükşehir List'!$C$2:$D$31,2,FALSE)</f>
        <v>GAZİANTEP BÜYÜKŞEHİR</v>
      </c>
      <c r="C1151" t="s">
        <v>62</v>
      </c>
      <c r="D1151" s="73" t="str">
        <f t="shared" si="28"/>
        <v>GAZİANTEP BÜYÜKŞEHİR/GAZİANTEP</v>
      </c>
      <c r="E1151" t="s">
        <v>1867</v>
      </c>
      <c r="F1151" t="s">
        <v>1867</v>
      </c>
      <c r="G1151" t="s">
        <v>3367</v>
      </c>
      <c r="H1151">
        <v>10201.799999999999</v>
      </c>
      <c r="I1151">
        <v>1020.18</v>
      </c>
      <c r="J1151">
        <v>1432</v>
      </c>
      <c r="K1151">
        <v>143.19999999999999</v>
      </c>
      <c r="L1151">
        <v>8769.7999999999993</v>
      </c>
      <c r="M1151">
        <v>876.98</v>
      </c>
      <c r="O1151" s="79">
        <f>IFERROR(VLOOKUP(D1151,'KAPANAN BLD.'!$C$2:$D$793,2,FALSE),0)</f>
        <v>0</v>
      </c>
      <c r="P1151" s="79">
        <v>0</v>
      </c>
      <c r="R1151" s="79"/>
    </row>
    <row r="1152" spans="1:18" x14ac:dyDescent="0.25">
      <c r="A1152" t="s">
        <v>32</v>
      </c>
      <c r="B1152" s="73" t="str">
        <f>VLOOKUP(C1152,'Büyükşehir List'!$C$2:$D$31,2,FALSE)</f>
        <v>GAZİANTEP BÜYÜKŞEHİR</v>
      </c>
      <c r="C1152" t="s">
        <v>62</v>
      </c>
      <c r="D1152" s="73" t="str">
        <f t="shared" si="28"/>
        <v>GAZİANTEP BÜYÜKŞEHİR/GAZİANTEP</v>
      </c>
      <c r="E1152" t="s">
        <v>1867</v>
      </c>
      <c r="F1152" t="s">
        <v>1867</v>
      </c>
      <c r="G1152" t="s">
        <v>3366</v>
      </c>
      <c r="H1152">
        <v>14885.4</v>
      </c>
      <c r="I1152">
        <v>1488.54</v>
      </c>
      <c r="J1152">
        <v>661.8</v>
      </c>
      <c r="K1152">
        <v>66.180000000000007</v>
      </c>
      <c r="L1152">
        <v>14223.6</v>
      </c>
      <c r="M1152">
        <v>1422.36</v>
      </c>
      <c r="O1152" s="79">
        <f>IFERROR(VLOOKUP(D1152,'KAPANAN BLD.'!$C$2:$D$793,2,FALSE),0)</f>
        <v>0</v>
      </c>
      <c r="P1152" s="79">
        <v>0</v>
      </c>
      <c r="R1152" s="79"/>
    </row>
    <row r="1153" spans="1:18" x14ac:dyDescent="0.25">
      <c r="A1153" t="s">
        <v>32</v>
      </c>
      <c r="B1153" s="73" t="str">
        <f>VLOOKUP(C1153,'Büyükşehir List'!$C$2:$D$31,2,FALSE)</f>
        <v>GAZİANTEP BÜYÜKŞEHİR</v>
      </c>
      <c r="C1153" t="s">
        <v>62</v>
      </c>
      <c r="D1153" s="73" t="str">
        <f t="shared" si="28"/>
        <v>GAZİANTEP BÜYÜKŞEHİR/GAZİANTEP</v>
      </c>
      <c r="E1153" t="s">
        <v>4475</v>
      </c>
      <c r="F1153" t="s">
        <v>4475</v>
      </c>
      <c r="G1153" t="s">
        <v>3367</v>
      </c>
      <c r="H1153">
        <v>391.6</v>
      </c>
      <c r="I1153">
        <v>39.159999999999997</v>
      </c>
      <c r="J1153">
        <v>0</v>
      </c>
      <c r="K1153">
        <v>0</v>
      </c>
      <c r="L1153">
        <v>391.6</v>
      </c>
      <c r="M1153">
        <v>39.159999999999997</v>
      </c>
      <c r="O1153" s="79">
        <f>IFERROR(VLOOKUP(D1153,'KAPANAN BLD.'!$C$2:$D$793,2,FALSE),0)</f>
        <v>0</v>
      </c>
      <c r="P1153" s="79">
        <v>0</v>
      </c>
      <c r="R1153" s="79"/>
    </row>
    <row r="1154" spans="1:18" x14ac:dyDescent="0.25">
      <c r="A1154" t="s">
        <v>32</v>
      </c>
      <c r="B1154" s="73" t="str">
        <f>VLOOKUP(C1154,'Büyükşehir List'!$C$2:$D$31,2,FALSE)</f>
        <v>GAZİANTEP BÜYÜKŞEHİR</v>
      </c>
      <c r="C1154" t="s">
        <v>62</v>
      </c>
      <c r="D1154" s="73" t="str">
        <f t="shared" si="28"/>
        <v>GAZİANTEP BÜYÜKŞEHİR/GAZİANTEP</v>
      </c>
      <c r="E1154" t="s">
        <v>1867</v>
      </c>
      <c r="F1154" t="s">
        <v>1867</v>
      </c>
      <c r="G1154" t="s">
        <v>3366</v>
      </c>
      <c r="H1154">
        <v>139394.20000000001</v>
      </c>
      <c r="I1154">
        <v>13939.42</v>
      </c>
      <c r="J1154">
        <v>47791.4</v>
      </c>
      <c r="K1154">
        <v>4779.1400000000003</v>
      </c>
      <c r="L1154">
        <v>91602.8</v>
      </c>
      <c r="M1154">
        <v>9160.2800000000007</v>
      </c>
      <c r="O1154" s="79">
        <f>IFERROR(VLOOKUP(D1154,'KAPANAN BLD.'!$C$2:$D$793,2,FALSE),0)</f>
        <v>0</v>
      </c>
      <c r="P1154" s="79">
        <v>0</v>
      </c>
      <c r="R1154" s="79"/>
    </row>
    <row r="1155" spans="1:18" x14ac:dyDescent="0.25">
      <c r="A1155" t="s">
        <v>32</v>
      </c>
      <c r="B1155" s="73" t="str">
        <f>VLOOKUP(C1155,'Büyükşehir List'!$C$2:$D$31,2,FALSE)</f>
        <v>GAZİANTEP BÜYÜKŞEHİR</v>
      </c>
      <c r="C1155" t="s">
        <v>62</v>
      </c>
      <c r="D1155" s="73" t="str">
        <f t="shared" ref="D1155:D1218" si="29">CONCATENATE(B1155,"/",C1155)</f>
        <v>GAZİANTEP BÜYÜKŞEHİR/GAZİANTEP</v>
      </c>
      <c r="E1155" t="s">
        <v>1867</v>
      </c>
      <c r="F1155" t="s">
        <v>1867</v>
      </c>
      <c r="G1155" t="s">
        <v>3367</v>
      </c>
      <c r="H1155">
        <v>72040.100000000006</v>
      </c>
      <c r="I1155">
        <v>7204.01</v>
      </c>
      <c r="J1155">
        <v>5870.8</v>
      </c>
      <c r="K1155">
        <v>587.08000000000004</v>
      </c>
      <c r="L1155">
        <v>66169.3</v>
      </c>
      <c r="M1155">
        <v>6616.93</v>
      </c>
      <c r="O1155" s="79">
        <f>IFERROR(VLOOKUP(D1155,'KAPANAN BLD.'!$C$2:$D$793,2,FALSE),0)</f>
        <v>0</v>
      </c>
      <c r="P1155" s="79">
        <v>0</v>
      </c>
      <c r="R1155" s="79"/>
    </row>
    <row r="1156" spans="1:18" x14ac:dyDescent="0.25">
      <c r="A1156" t="s">
        <v>32</v>
      </c>
      <c r="B1156" s="73" t="str">
        <f>VLOOKUP(C1156,'Büyükşehir List'!$C$2:$D$31,2,FALSE)</f>
        <v>GAZİANTEP BÜYÜKŞEHİR</v>
      </c>
      <c r="C1156" t="s">
        <v>62</v>
      </c>
      <c r="D1156" s="73" t="str">
        <f t="shared" si="29"/>
        <v>GAZİANTEP BÜYÜKŞEHİR/GAZİANTEP</v>
      </c>
      <c r="E1156" t="s">
        <v>3984</v>
      </c>
      <c r="F1156" t="s">
        <v>3984</v>
      </c>
      <c r="G1156" t="s">
        <v>3367</v>
      </c>
      <c r="H1156">
        <v>568</v>
      </c>
      <c r="I1156">
        <v>56.8</v>
      </c>
      <c r="J1156">
        <v>0</v>
      </c>
      <c r="K1156">
        <v>0</v>
      </c>
      <c r="L1156">
        <v>568</v>
      </c>
      <c r="M1156">
        <v>56.8</v>
      </c>
      <c r="O1156" s="79">
        <f>IFERROR(VLOOKUP(D1156,'KAPANAN BLD.'!$C$2:$D$793,2,FALSE),0)</f>
        <v>0</v>
      </c>
      <c r="P1156" s="79">
        <v>0</v>
      </c>
      <c r="R1156" s="79"/>
    </row>
    <row r="1157" spans="1:18" x14ac:dyDescent="0.25">
      <c r="A1157" t="s">
        <v>32</v>
      </c>
      <c r="B1157" s="73" t="str">
        <f>VLOOKUP(C1157,'Büyükşehir List'!$C$2:$D$31,2,FALSE)</f>
        <v>GAZİANTEP BÜYÜKŞEHİR</v>
      </c>
      <c r="C1157" t="s">
        <v>62</v>
      </c>
      <c r="D1157" s="73" t="str">
        <f t="shared" si="29"/>
        <v>GAZİANTEP BÜYÜKŞEHİR/GAZİANTEP</v>
      </c>
      <c r="E1157" t="s">
        <v>3984</v>
      </c>
      <c r="F1157" t="s">
        <v>3984</v>
      </c>
      <c r="G1157" t="s">
        <v>3366</v>
      </c>
      <c r="H1157">
        <v>873.1</v>
      </c>
      <c r="I1157">
        <v>87.31</v>
      </c>
      <c r="J1157">
        <v>0</v>
      </c>
      <c r="K1157">
        <v>0</v>
      </c>
      <c r="L1157">
        <v>873.1</v>
      </c>
      <c r="M1157">
        <v>87.31</v>
      </c>
      <c r="O1157" s="79">
        <f>IFERROR(VLOOKUP(D1157,'KAPANAN BLD.'!$C$2:$D$793,2,FALSE),0)</f>
        <v>0</v>
      </c>
      <c r="P1157" s="79">
        <v>0</v>
      </c>
      <c r="R1157" s="79"/>
    </row>
    <row r="1158" spans="1:18" x14ac:dyDescent="0.25">
      <c r="A1158" t="s">
        <v>32</v>
      </c>
      <c r="B1158" s="73" t="str">
        <f>VLOOKUP(C1158,'Büyükşehir List'!$C$2:$D$31,2,FALSE)</f>
        <v>GAZİANTEP BÜYÜKŞEHİR</v>
      </c>
      <c r="C1158" t="s">
        <v>62</v>
      </c>
      <c r="D1158" s="73" t="str">
        <f t="shared" si="29"/>
        <v>GAZİANTEP BÜYÜKŞEHİR/GAZİANTEP</v>
      </c>
      <c r="E1158" t="s">
        <v>4476</v>
      </c>
      <c r="F1158" t="s">
        <v>4476</v>
      </c>
      <c r="G1158" t="s">
        <v>3366</v>
      </c>
      <c r="H1158">
        <v>6260.6</v>
      </c>
      <c r="I1158">
        <v>626.05999999999995</v>
      </c>
      <c r="J1158">
        <v>0</v>
      </c>
      <c r="K1158">
        <v>0</v>
      </c>
      <c r="L1158">
        <v>6260.6</v>
      </c>
      <c r="M1158">
        <v>626.05999999999995</v>
      </c>
      <c r="O1158" s="79">
        <f>IFERROR(VLOOKUP(D1158,'KAPANAN BLD.'!$C$2:$D$793,2,FALSE),0)</f>
        <v>0</v>
      </c>
      <c r="P1158" s="79">
        <v>0</v>
      </c>
      <c r="R1158" s="79"/>
    </row>
    <row r="1159" spans="1:18" x14ac:dyDescent="0.25">
      <c r="A1159" t="s">
        <v>32</v>
      </c>
      <c r="B1159" s="73" t="str">
        <f>VLOOKUP(C1159,'Büyükşehir List'!$C$2:$D$31,2,FALSE)</f>
        <v>GAZİANTEP BÜYÜKŞEHİR</v>
      </c>
      <c r="C1159" t="s">
        <v>62</v>
      </c>
      <c r="D1159" s="73" t="str">
        <f t="shared" si="29"/>
        <v>GAZİANTEP BÜYÜKŞEHİR/GAZİANTEP</v>
      </c>
      <c r="E1159" t="s">
        <v>4476</v>
      </c>
      <c r="F1159" t="s">
        <v>4476</v>
      </c>
      <c r="G1159" t="s">
        <v>3367</v>
      </c>
      <c r="H1159">
        <v>1830.7</v>
      </c>
      <c r="I1159">
        <v>183.07</v>
      </c>
      <c r="J1159">
        <v>0</v>
      </c>
      <c r="K1159">
        <v>0</v>
      </c>
      <c r="L1159">
        <v>1830.7</v>
      </c>
      <c r="M1159">
        <v>183.07</v>
      </c>
      <c r="O1159" s="79">
        <f>IFERROR(VLOOKUP(D1159,'KAPANAN BLD.'!$C$2:$D$793,2,FALSE),0)</f>
        <v>0</v>
      </c>
      <c r="P1159" s="79">
        <v>0</v>
      </c>
      <c r="R1159" s="79"/>
    </row>
    <row r="1160" spans="1:18" x14ac:dyDescent="0.25">
      <c r="A1160" t="s">
        <v>32</v>
      </c>
      <c r="B1160" s="73" t="str">
        <f t="shared" ref="B1160:B1201" si="30">F1160</f>
        <v>ALUCRA</v>
      </c>
      <c r="C1160" t="s">
        <v>163</v>
      </c>
      <c r="D1160" s="73" t="str">
        <f t="shared" si="29"/>
        <v>ALUCRA/GİRESUN</v>
      </c>
      <c r="E1160" t="s">
        <v>342</v>
      </c>
      <c r="F1160" t="s">
        <v>342</v>
      </c>
      <c r="G1160" t="s">
        <v>3366</v>
      </c>
      <c r="H1160">
        <v>7.8</v>
      </c>
      <c r="I1160">
        <v>0.78</v>
      </c>
      <c r="J1160">
        <v>1410.3</v>
      </c>
      <c r="K1160">
        <v>141.03</v>
      </c>
      <c r="L1160">
        <v>-1402.5</v>
      </c>
      <c r="M1160">
        <v>-140.25</v>
      </c>
      <c r="O1160" s="79">
        <f>IFERROR(VLOOKUP(D1160,'KAPANAN BLD.'!$C$2:$D$793,2,FALSE),0)</f>
        <v>0</v>
      </c>
      <c r="P1160" s="79">
        <v>0</v>
      </c>
      <c r="R1160" s="79"/>
    </row>
    <row r="1161" spans="1:18" x14ac:dyDescent="0.25">
      <c r="A1161" t="s">
        <v>32</v>
      </c>
      <c r="B1161" s="73" t="str">
        <f t="shared" si="30"/>
        <v>ALUCRA</v>
      </c>
      <c r="C1161" t="s">
        <v>163</v>
      </c>
      <c r="D1161" s="73" t="str">
        <f t="shared" si="29"/>
        <v>ALUCRA/GİRESUN</v>
      </c>
      <c r="E1161" t="s">
        <v>342</v>
      </c>
      <c r="F1161" t="s">
        <v>342</v>
      </c>
      <c r="G1161" t="s">
        <v>3367</v>
      </c>
      <c r="H1161">
        <v>851.4</v>
      </c>
      <c r="I1161">
        <v>85.14</v>
      </c>
      <c r="J1161">
        <v>0.1</v>
      </c>
      <c r="K1161">
        <v>0.01</v>
      </c>
      <c r="L1161">
        <v>851.3</v>
      </c>
      <c r="M1161">
        <v>85.13</v>
      </c>
      <c r="O1161" s="79">
        <f>IFERROR(VLOOKUP(D1161,'KAPANAN BLD.'!$C$2:$D$793,2,FALSE),0)</f>
        <v>0</v>
      </c>
      <c r="P1161" s="79">
        <v>0</v>
      </c>
      <c r="R1161" s="79"/>
    </row>
    <row r="1162" spans="1:18" x14ac:dyDescent="0.25">
      <c r="A1162" t="s">
        <v>32</v>
      </c>
      <c r="B1162" s="73" t="str">
        <f t="shared" si="30"/>
        <v>BULANCAK</v>
      </c>
      <c r="C1162" t="s">
        <v>163</v>
      </c>
      <c r="D1162" s="73" t="str">
        <f t="shared" si="29"/>
        <v>BULANCAK/GİRESUN</v>
      </c>
      <c r="E1162" s="9" t="s">
        <v>95</v>
      </c>
      <c r="F1162" s="9" t="s">
        <v>95</v>
      </c>
      <c r="G1162" t="s">
        <v>3367</v>
      </c>
      <c r="H1162">
        <v>666.1</v>
      </c>
      <c r="I1162">
        <v>66.61</v>
      </c>
      <c r="J1162">
        <v>0</v>
      </c>
      <c r="K1162">
        <v>0</v>
      </c>
      <c r="L1162">
        <v>666.1</v>
      </c>
      <c r="M1162">
        <v>66.61</v>
      </c>
      <c r="O1162" s="79">
        <f>IFERROR(VLOOKUP(D1162,'KAPANAN BLD.'!$C$2:$D$793,2,FALSE),0)</f>
        <v>0</v>
      </c>
      <c r="P1162" s="79">
        <v>0</v>
      </c>
      <c r="R1162" s="79"/>
    </row>
    <row r="1163" spans="1:18" x14ac:dyDescent="0.25">
      <c r="A1163" t="s">
        <v>32</v>
      </c>
      <c r="B1163" s="73" t="str">
        <f t="shared" si="30"/>
        <v>BULANCAK</v>
      </c>
      <c r="C1163" t="s">
        <v>163</v>
      </c>
      <c r="D1163" s="73" t="str">
        <f t="shared" si="29"/>
        <v>BULANCAK/GİRESUN</v>
      </c>
      <c r="E1163" s="9" t="s">
        <v>95</v>
      </c>
      <c r="F1163" s="9" t="s">
        <v>95</v>
      </c>
      <c r="G1163" t="s">
        <v>3366</v>
      </c>
      <c r="H1163">
        <v>629</v>
      </c>
      <c r="I1163">
        <v>62.9</v>
      </c>
      <c r="J1163">
        <v>0</v>
      </c>
      <c r="K1163">
        <v>0</v>
      </c>
      <c r="L1163">
        <v>629</v>
      </c>
      <c r="M1163">
        <v>62.9</v>
      </c>
      <c r="O1163" s="79">
        <f>IFERROR(VLOOKUP(D1163,'KAPANAN BLD.'!$C$2:$D$793,2,FALSE),0)</f>
        <v>0</v>
      </c>
      <c r="P1163" s="79">
        <v>0</v>
      </c>
      <c r="R1163" s="79"/>
    </row>
    <row r="1164" spans="1:18" x14ac:dyDescent="0.25">
      <c r="A1164" t="s">
        <v>32</v>
      </c>
      <c r="B1164" s="73" t="str">
        <f t="shared" si="30"/>
        <v>BULANCAK</v>
      </c>
      <c r="C1164" t="s">
        <v>163</v>
      </c>
      <c r="D1164" s="73" t="str">
        <f t="shared" si="29"/>
        <v>BULANCAK/GİRESUN</v>
      </c>
      <c r="E1164" t="s">
        <v>95</v>
      </c>
      <c r="F1164" t="s">
        <v>95</v>
      </c>
      <c r="G1164" t="s">
        <v>3366</v>
      </c>
      <c r="H1164">
        <v>259.10000000000002</v>
      </c>
      <c r="I1164">
        <v>25.91</v>
      </c>
      <c r="J1164">
        <v>0</v>
      </c>
      <c r="K1164">
        <v>0</v>
      </c>
      <c r="L1164">
        <v>259.10000000000002</v>
      </c>
      <c r="M1164">
        <v>25.91</v>
      </c>
      <c r="O1164" s="79">
        <f>IFERROR(VLOOKUP(D1164,'KAPANAN BLD.'!$C$2:$D$793,2,FALSE),0)</f>
        <v>0</v>
      </c>
      <c r="P1164" s="79">
        <v>0</v>
      </c>
      <c r="R1164" s="79"/>
    </row>
    <row r="1165" spans="1:18" x14ac:dyDescent="0.25">
      <c r="A1165" t="s">
        <v>32</v>
      </c>
      <c r="B1165" s="73" t="str">
        <f t="shared" si="30"/>
        <v>BULANCAK</v>
      </c>
      <c r="C1165" t="s">
        <v>163</v>
      </c>
      <c r="D1165" s="73" t="str">
        <f t="shared" si="29"/>
        <v>BULANCAK/GİRESUN</v>
      </c>
      <c r="E1165" t="s">
        <v>95</v>
      </c>
      <c r="F1165" t="s">
        <v>95</v>
      </c>
      <c r="G1165" t="s">
        <v>3367</v>
      </c>
      <c r="H1165">
        <v>1064.8</v>
      </c>
      <c r="I1165">
        <v>106.48</v>
      </c>
      <c r="J1165">
        <v>0</v>
      </c>
      <c r="K1165">
        <v>0</v>
      </c>
      <c r="L1165">
        <v>1064.8</v>
      </c>
      <c r="M1165">
        <v>106.48</v>
      </c>
      <c r="O1165" s="79">
        <f>IFERROR(VLOOKUP(D1165,'KAPANAN BLD.'!$C$2:$D$793,2,FALSE),0)</f>
        <v>0</v>
      </c>
      <c r="P1165" s="79">
        <v>0</v>
      </c>
      <c r="R1165" s="79"/>
    </row>
    <row r="1166" spans="1:18" x14ac:dyDescent="0.25">
      <c r="A1166" t="s">
        <v>32</v>
      </c>
      <c r="B1166" s="73" t="str">
        <f t="shared" si="30"/>
        <v>DERELİ</v>
      </c>
      <c r="C1166" t="s">
        <v>163</v>
      </c>
      <c r="D1166" s="73" t="str">
        <f t="shared" si="29"/>
        <v>DERELİ/GİRESUN</v>
      </c>
      <c r="E1166" t="s">
        <v>587</v>
      </c>
      <c r="F1166" t="s">
        <v>587</v>
      </c>
      <c r="G1166" t="s">
        <v>3367</v>
      </c>
      <c r="H1166">
        <v>298.3</v>
      </c>
      <c r="I1166">
        <v>29.83</v>
      </c>
      <c r="J1166">
        <v>0</v>
      </c>
      <c r="K1166">
        <v>0</v>
      </c>
      <c r="L1166">
        <v>298.3</v>
      </c>
      <c r="M1166">
        <v>29.83</v>
      </c>
      <c r="O1166" s="79">
        <f>IFERROR(VLOOKUP(D1166,'KAPANAN BLD.'!$C$2:$D$793,2,FALSE),0)</f>
        <v>0</v>
      </c>
      <c r="P1166" s="79">
        <v>0</v>
      </c>
      <c r="R1166" s="79"/>
    </row>
    <row r="1167" spans="1:18" x14ac:dyDescent="0.25">
      <c r="A1167" t="s">
        <v>32</v>
      </c>
      <c r="B1167" s="73" t="str">
        <f t="shared" si="30"/>
        <v>DERELİ</v>
      </c>
      <c r="C1167" t="s">
        <v>163</v>
      </c>
      <c r="D1167" s="73" t="str">
        <f t="shared" si="29"/>
        <v>DERELİ/GİRESUN</v>
      </c>
      <c r="E1167" t="s">
        <v>587</v>
      </c>
      <c r="F1167" t="s">
        <v>587</v>
      </c>
      <c r="G1167" t="s">
        <v>3366</v>
      </c>
      <c r="H1167">
        <v>699</v>
      </c>
      <c r="I1167">
        <v>69.900000000000006</v>
      </c>
      <c r="J1167">
        <v>0</v>
      </c>
      <c r="K1167">
        <v>0</v>
      </c>
      <c r="L1167">
        <v>699</v>
      </c>
      <c r="M1167">
        <v>69.900000000000006</v>
      </c>
      <c r="O1167" s="79">
        <f>IFERROR(VLOOKUP(D1167,'KAPANAN BLD.'!$C$2:$D$793,2,FALSE),0)</f>
        <v>0</v>
      </c>
      <c r="P1167" s="79">
        <v>0</v>
      </c>
      <c r="R1167" s="79"/>
    </row>
    <row r="1168" spans="1:18" x14ac:dyDescent="0.25">
      <c r="A1168" t="s">
        <v>32</v>
      </c>
      <c r="B1168" s="73" t="str">
        <f t="shared" si="30"/>
        <v>MERKEZ</v>
      </c>
      <c r="C1168" t="s">
        <v>163</v>
      </c>
      <c r="D1168" s="73" t="str">
        <f t="shared" si="29"/>
        <v>MERKEZ/GİRESUN</v>
      </c>
      <c r="E1168" s="9" t="s">
        <v>34</v>
      </c>
      <c r="F1168" s="9" t="s">
        <v>34</v>
      </c>
      <c r="G1168" t="s">
        <v>3366</v>
      </c>
      <c r="H1168">
        <v>4297.75</v>
      </c>
      <c r="I1168">
        <v>429.77</v>
      </c>
      <c r="J1168">
        <v>965.8</v>
      </c>
      <c r="K1168">
        <v>96.58</v>
      </c>
      <c r="L1168">
        <v>3331.95</v>
      </c>
      <c r="M1168">
        <v>333.19</v>
      </c>
      <c r="O1168" s="79">
        <f>IFERROR(VLOOKUP(D1168,'KAPANAN BLD.'!$C$2:$D$793,2,FALSE),0)</f>
        <v>0</v>
      </c>
      <c r="P1168" s="79">
        <v>0</v>
      </c>
      <c r="R1168" s="79"/>
    </row>
    <row r="1169" spans="1:18" x14ac:dyDescent="0.25">
      <c r="A1169" t="s">
        <v>32</v>
      </c>
      <c r="B1169" s="73" t="str">
        <f t="shared" si="30"/>
        <v>MERKEZ</v>
      </c>
      <c r="C1169" t="s">
        <v>163</v>
      </c>
      <c r="D1169" s="73" t="str">
        <f t="shared" si="29"/>
        <v>MERKEZ/GİRESUN</v>
      </c>
      <c r="E1169" s="9" t="s">
        <v>34</v>
      </c>
      <c r="F1169" s="9" t="s">
        <v>34</v>
      </c>
      <c r="G1169" t="s">
        <v>3367</v>
      </c>
      <c r="H1169">
        <v>6481.74</v>
      </c>
      <c r="I1169">
        <v>648.16999999999996</v>
      </c>
      <c r="J1169">
        <v>73.5</v>
      </c>
      <c r="K1169">
        <v>7.35</v>
      </c>
      <c r="L1169">
        <v>6408.24</v>
      </c>
      <c r="M1169">
        <v>640.82000000000005</v>
      </c>
      <c r="O1169" s="79">
        <f>IFERROR(VLOOKUP(D1169,'KAPANAN BLD.'!$C$2:$D$793,2,FALSE),0)</f>
        <v>0</v>
      </c>
      <c r="P1169" s="79">
        <v>0</v>
      </c>
      <c r="R1169" s="79"/>
    </row>
    <row r="1170" spans="1:18" x14ac:dyDescent="0.25">
      <c r="A1170" t="s">
        <v>32</v>
      </c>
      <c r="B1170" s="73" t="str">
        <f t="shared" si="30"/>
        <v>ESPİYE</v>
      </c>
      <c r="C1170" t="s">
        <v>163</v>
      </c>
      <c r="D1170" s="73" t="str">
        <f t="shared" si="29"/>
        <v>ESPİYE/GİRESUN</v>
      </c>
      <c r="E1170" t="s">
        <v>2204</v>
      </c>
      <c r="F1170" t="s">
        <v>2204</v>
      </c>
      <c r="G1170" t="s">
        <v>3366</v>
      </c>
      <c r="H1170">
        <v>942.9</v>
      </c>
      <c r="I1170">
        <v>94.29</v>
      </c>
      <c r="J1170">
        <v>0</v>
      </c>
      <c r="K1170">
        <v>0</v>
      </c>
      <c r="L1170">
        <v>942.9</v>
      </c>
      <c r="M1170">
        <v>94.29</v>
      </c>
      <c r="O1170" s="79">
        <f>IFERROR(VLOOKUP(D1170,'KAPANAN BLD.'!$C$2:$D$793,2,FALSE),0)</f>
        <v>0</v>
      </c>
      <c r="P1170" s="79">
        <v>0</v>
      </c>
      <c r="R1170" s="79"/>
    </row>
    <row r="1171" spans="1:18" x14ac:dyDescent="0.25">
      <c r="A1171" t="s">
        <v>32</v>
      </c>
      <c r="B1171" s="73" t="str">
        <f t="shared" si="30"/>
        <v>ESPİYE</v>
      </c>
      <c r="C1171" t="s">
        <v>163</v>
      </c>
      <c r="D1171" s="73" t="str">
        <f t="shared" si="29"/>
        <v>ESPİYE/GİRESUN</v>
      </c>
      <c r="E1171" t="s">
        <v>2204</v>
      </c>
      <c r="F1171" t="s">
        <v>2204</v>
      </c>
      <c r="G1171" t="s">
        <v>3367</v>
      </c>
      <c r="H1171">
        <v>1316.6</v>
      </c>
      <c r="I1171">
        <v>131.66</v>
      </c>
      <c r="J1171">
        <v>0</v>
      </c>
      <c r="K1171">
        <v>0</v>
      </c>
      <c r="L1171">
        <v>1316.6</v>
      </c>
      <c r="M1171">
        <v>131.66</v>
      </c>
      <c r="O1171" s="79">
        <f>IFERROR(VLOOKUP(D1171,'KAPANAN BLD.'!$C$2:$D$793,2,FALSE),0)</f>
        <v>0</v>
      </c>
      <c r="P1171" s="79">
        <v>0</v>
      </c>
      <c r="R1171" s="79"/>
    </row>
    <row r="1172" spans="1:18" x14ac:dyDescent="0.25">
      <c r="A1172" t="s">
        <v>32</v>
      </c>
      <c r="B1172" s="73" t="str">
        <f t="shared" si="30"/>
        <v>GÖRELE</v>
      </c>
      <c r="C1172" t="s">
        <v>163</v>
      </c>
      <c r="D1172" s="73" t="str">
        <f t="shared" si="29"/>
        <v>GÖRELE/GİRESUN</v>
      </c>
      <c r="E1172" t="s">
        <v>318</v>
      </c>
      <c r="F1172" t="s">
        <v>318</v>
      </c>
      <c r="G1172" t="s">
        <v>3367</v>
      </c>
      <c r="H1172">
        <v>607.79999999999995</v>
      </c>
      <c r="I1172">
        <v>60.78</v>
      </c>
      <c r="J1172">
        <v>0</v>
      </c>
      <c r="K1172">
        <v>0</v>
      </c>
      <c r="L1172">
        <v>607.79999999999995</v>
      </c>
      <c r="M1172">
        <v>60.78</v>
      </c>
      <c r="O1172" s="79">
        <f>IFERROR(VLOOKUP(D1172,'KAPANAN BLD.'!$C$2:$D$793,2,FALSE),0)</f>
        <v>0</v>
      </c>
      <c r="P1172" s="79">
        <v>0</v>
      </c>
      <c r="R1172" s="79"/>
    </row>
    <row r="1173" spans="1:18" x14ac:dyDescent="0.25">
      <c r="A1173" t="s">
        <v>32</v>
      </c>
      <c r="B1173" s="73" t="str">
        <f t="shared" si="30"/>
        <v>GÜCE</v>
      </c>
      <c r="C1173" t="s">
        <v>163</v>
      </c>
      <c r="D1173" s="73" t="str">
        <f t="shared" si="29"/>
        <v>GÜCE/GİRESUN</v>
      </c>
      <c r="E1173" t="s">
        <v>2398</v>
      </c>
      <c r="F1173" t="s">
        <v>2398</v>
      </c>
      <c r="G1173" t="s">
        <v>3367</v>
      </c>
      <c r="H1173">
        <v>86.4</v>
      </c>
      <c r="I1173">
        <v>8.64</v>
      </c>
      <c r="J1173">
        <v>0</v>
      </c>
      <c r="K1173">
        <v>0</v>
      </c>
      <c r="L1173">
        <v>86.4</v>
      </c>
      <c r="M1173">
        <v>8.64</v>
      </c>
      <c r="O1173" s="79">
        <f>IFERROR(VLOOKUP(D1173,'KAPANAN BLD.'!$C$2:$D$793,2,FALSE),0)</f>
        <v>0</v>
      </c>
      <c r="P1173" s="79">
        <v>0</v>
      </c>
      <c r="R1173" s="79"/>
    </row>
    <row r="1174" spans="1:18" x14ac:dyDescent="0.25">
      <c r="A1174" t="s">
        <v>32</v>
      </c>
      <c r="B1174" s="73" t="str">
        <f t="shared" si="30"/>
        <v>GÜCE</v>
      </c>
      <c r="C1174" t="s">
        <v>163</v>
      </c>
      <c r="D1174" s="73" t="str">
        <f t="shared" si="29"/>
        <v>GÜCE/GİRESUN</v>
      </c>
      <c r="E1174" t="s">
        <v>2398</v>
      </c>
      <c r="F1174" t="s">
        <v>2398</v>
      </c>
      <c r="G1174" t="s">
        <v>3366</v>
      </c>
      <c r="H1174">
        <v>428.1</v>
      </c>
      <c r="I1174">
        <v>42.81</v>
      </c>
      <c r="J1174">
        <v>0</v>
      </c>
      <c r="K1174">
        <v>0</v>
      </c>
      <c r="L1174">
        <v>428.1</v>
      </c>
      <c r="M1174">
        <v>42.81</v>
      </c>
      <c r="O1174" s="79">
        <f>IFERROR(VLOOKUP(D1174,'KAPANAN BLD.'!$C$2:$D$793,2,FALSE),0)</f>
        <v>0</v>
      </c>
      <c r="P1174" s="79">
        <v>0</v>
      </c>
      <c r="R1174" s="79"/>
    </row>
    <row r="1175" spans="1:18" x14ac:dyDescent="0.25">
      <c r="A1175" t="s">
        <v>32</v>
      </c>
      <c r="B1175" s="73" t="str">
        <f t="shared" si="30"/>
        <v>KEŞAP</v>
      </c>
      <c r="C1175" t="s">
        <v>163</v>
      </c>
      <c r="D1175" s="73" t="str">
        <f t="shared" si="29"/>
        <v>KEŞAP/GİRESUN</v>
      </c>
      <c r="E1175" s="9" t="s">
        <v>450</v>
      </c>
      <c r="F1175" s="9" t="s">
        <v>450</v>
      </c>
      <c r="G1175" t="s">
        <v>3366</v>
      </c>
      <c r="H1175">
        <v>313.7</v>
      </c>
      <c r="I1175">
        <v>31.37</v>
      </c>
      <c r="J1175">
        <v>0</v>
      </c>
      <c r="K1175">
        <v>0</v>
      </c>
      <c r="L1175">
        <v>313.7</v>
      </c>
      <c r="M1175">
        <v>31.37</v>
      </c>
      <c r="O1175" s="79">
        <f>IFERROR(VLOOKUP(D1175,'KAPANAN BLD.'!$C$2:$D$793,2,FALSE),0)</f>
        <v>0</v>
      </c>
      <c r="P1175" s="79">
        <v>0</v>
      </c>
      <c r="R1175" s="79"/>
    </row>
    <row r="1176" spans="1:18" x14ac:dyDescent="0.25">
      <c r="A1176" t="s">
        <v>32</v>
      </c>
      <c r="B1176" s="73" t="str">
        <f t="shared" si="30"/>
        <v>KEŞAP</v>
      </c>
      <c r="C1176" t="s">
        <v>163</v>
      </c>
      <c r="D1176" s="73" t="str">
        <f t="shared" si="29"/>
        <v>KEŞAP/GİRESUN</v>
      </c>
      <c r="E1176" s="9" t="s">
        <v>450</v>
      </c>
      <c r="F1176" s="9" t="s">
        <v>450</v>
      </c>
      <c r="G1176" t="s">
        <v>3367</v>
      </c>
      <c r="H1176">
        <v>571.5</v>
      </c>
      <c r="I1176">
        <v>57.15</v>
      </c>
      <c r="J1176">
        <v>0</v>
      </c>
      <c r="K1176">
        <v>0</v>
      </c>
      <c r="L1176">
        <v>571.5</v>
      </c>
      <c r="M1176">
        <v>57.15</v>
      </c>
      <c r="O1176" s="79">
        <f>IFERROR(VLOOKUP(D1176,'KAPANAN BLD.'!$C$2:$D$793,2,FALSE),0)</f>
        <v>0</v>
      </c>
      <c r="P1176" s="79">
        <v>0</v>
      </c>
      <c r="R1176" s="79"/>
    </row>
    <row r="1177" spans="1:18" x14ac:dyDescent="0.25">
      <c r="A1177" t="s">
        <v>32</v>
      </c>
      <c r="B1177" s="73" t="str">
        <f t="shared" si="30"/>
        <v>KEŞAP</v>
      </c>
      <c r="C1177" t="s">
        <v>163</v>
      </c>
      <c r="D1177" s="73" t="str">
        <f t="shared" si="29"/>
        <v>KEŞAP/GİRESUN</v>
      </c>
      <c r="E1177" t="s">
        <v>450</v>
      </c>
      <c r="F1177" t="s">
        <v>450</v>
      </c>
      <c r="G1177" t="s">
        <v>3366</v>
      </c>
      <c r="H1177">
        <v>46451</v>
      </c>
      <c r="I1177">
        <v>4645.1000000000004</v>
      </c>
      <c r="J1177">
        <v>131.30000000000001</v>
      </c>
      <c r="K1177">
        <v>13.13</v>
      </c>
      <c r="L1177">
        <v>46319.7</v>
      </c>
      <c r="M1177">
        <v>4631.97</v>
      </c>
      <c r="O1177" s="79">
        <f>IFERROR(VLOOKUP(D1177,'KAPANAN BLD.'!$C$2:$D$793,2,FALSE),0)</f>
        <v>0</v>
      </c>
      <c r="P1177" s="79">
        <v>0</v>
      </c>
      <c r="R1177" s="79"/>
    </row>
    <row r="1178" spans="1:18" x14ac:dyDescent="0.25">
      <c r="A1178" t="s">
        <v>32</v>
      </c>
      <c r="B1178" s="73" t="str">
        <f t="shared" si="30"/>
        <v>KEŞAP</v>
      </c>
      <c r="C1178" t="s">
        <v>163</v>
      </c>
      <c r="D1178" s="73" t="str">
        <f t="shared" si="29"/>
        <v>KEŞAP/GİRESUN</v>
      </c>
      <c r="E1178" t="s">
        <v>450</v>
      </c>
      <c r="F1178" t="s">
        <v>450</v>
      </c>
      <c r="G1178" t="s">
        <v>3367</v>
      </c>
      <c r="H1178">
        <v>36883.9</v>
      </c>
      <c r="I1178">
        <v>3688.39</v>
      </c>
      <c r="J1178">
        <v>64.400000000000006</v>
      </c>
      <c r="K1178">
        <v>6.44</v>
      </c>
      <c r="L1178">
        <v>36819.5</v>
      </c>
      <c r="M1178">
        <v>3681.95</v>
      </c>
      <c r="O1178" s="79">
        <f>IFERROR(VLOOKUP(D1178,'KAPANAN BLD.'!$C$2:$D$793,2,FALSE),0)</f>
        <v>0</v>
      </c>
      <c r="P1178" s="79">
        <v>0</v>
      </c>
      <c r="R1178" s="79"/>
    </row>
    <row r="1179" spans="1:18" x14ac:dyDescent="0.25">
      <c r="A1179" t="s">
        <v>32</v>
      </c>
      <c r="B1179" s="73" t="str">
        <f t="shared" si="30"/>
        <v>BULANCAK</v>
      </c>
      <c r="C1179" t="s">
        <v>163</v>
      </c>
      <c r="D1179" s="73" t="str">
        <f t="shared" si="29"/>
        <v>BULANCAK/GİRESUN</v>
      </c>
      <c r="E1179" s="9" t="s">
        <v>95</v>
      </c>
      <c r="F1179" s="9" t="s">
        <v>95</v>
      </c>
      <c r="G1179" t="s">
        <v>3367</v>
      </c>
      <c r="H1179">
        <v>779.5</v>
      </c>
      <c r="I1179">
        <v>77.95</v>
      </c>
      <c r="J1179">
        <v>45</v>
      </c>
      <c r="K1179">
        <v>4.5</v>
      </c>
      <c r="L1179">
        <v>734.5</v>
      </c>
      <c r="M1179">
        <v>73.45</v>
      </c>
      <c r="O1179" s="79">
        <f>IFERROR(VLOOKUP(D1179,'KAPANAN BLD.'!$C$2:$D$793,2,FALSE),0)</f>
        <v>0</v>
      </c>
      <c r="P1179" s="79">
        <v>0</v>
      </c>
      <c r="R1179" s="79"/>
    </row>
    <row r="1180" spans="1:18" x14ac:dyDescent="0.25">
      <c r="A1180" t="s">
        <v>32</v>
      </c>
      <c r="B1180" s="73" t="str">
        <f t="shared" si="30"/>
        <v>BULANCAK</v>
      </c>
      <c r="C1180" t="s">
        <v>163</v>
      </c>
      <c r="D1180" s="73" t="str">
        <f t="shared" si="29"/>
        <v>BULANCAK/GİRESUN</v>
      </c>
      <c r="E1180" s="9" t="s">
        <v>95</v>
      </c>
      <c r="F1180" s="9" t="s">
        <v>95</v>
      </c>
      <c r="G1180" t="s">
        <v>3366</v>
      </c>
      <c r="H1180">
        <v>1329.6</v>
      </c>
      <c r="I1180">
        <v>132.96</v>
      </c>
      <c r="J1180">
        <v>402.8</v>
      </c>
      <c r="K1180">
        <v>40.28</v>
      </c>
      <c r="L1180">
        <v>926.8</v>
      </c>
      <c r="M1180">
        <v>92.68</v>
      </c>
      <c r="O1180" s="79">
        <f>IFERROR(VLOOKUP(D1180,'KAPANAN BLD.'!$C$2:$D$793,2,FALSE),0)</f>
        <v>0</v>
      </c>
      <c r="P1180" s="79">
        <v>0</v>
      </c>
      <c r="R1180" s="79"/>
    </row>
    <row r="1181" spans="1:18" x14ac:dyDescent="0.25">
      <c r="A1181" t="s">
        <v>32</v>
      </c>
      <c r="B1181" s="73" t="str">
        <f t="shared" si="30"/>
        <v>MERKEZ</v>
      </c>
      <c r="C1181" t="s">
        <v>163</v>
      </c>
      <c r="D1181" s="73" t="str">
        <f t="shared" si="29"/>
        <v>MERKEZ/GİRESUN</v>
      </c>
      <c r="E1181" t="s">
        <v>34</v>
      </c>
      <c r="F1181" t="s">
        <v>34</v>
      </c>
      <c r="G1181" t="s">
        <v>3367</v>
      </c>
      <c r="H1181">
        <v>4221.1000000000004</v>
      </c>
      <c r="I1181">
        <v>422.11</v>
      </c>
      <c r="J1181">
        <v>157</v>
      </c>
      <c r="K1181">
        <v>15.7</v>
      </c>
      <c r="L1181">
        <v>4064.1</v>
      </c>
      <c r="M1181">
        <v>406.41</v>
      </c>
      <c r="O1181" s="79">
        <f>IFERROR(VLOOKUP(D1181,'KAPANAN BLD.'!$C$2:$D$793,2,FALSE),0)</f>
        <v>0</v>
      </c>
      <c r="P1181" s="79">
        <v>0</v>
      </c>
      <c r="R1181" s="79"/>
    </row>
    <row r="1182" spans="1:18" x14ac:dyDescent="0.25">
      <c r="A1182" t="s">
        <v>32</v>
      </c>
      <c r="B1182" s="73" t="str">
        <f t="shared" si="30"/>
        <v>MERKEZ</v>
      </c>
      <c r="C1182" t="s">
        <v>163</v>
      </c>
      <c r="D1182" s="73" t="str">
        <f t="shared" si="29"/>
        <v>MERKEZ/GİRESUN</v>
      </c>
      <c r="E1182" t="s">
        <v>34</v>
      </c>
      <c r="F1182" t="s">
        <v>34</v>
      </c>
      <c r="G1182" t="s">
        <v>3366</v>
      </c>
      <c r="H1182">
        <v>2685.6</v>
      </c>
      <c r="I1182">
        <v>268.56</v>
      </c>
      <c r="J1182">
        <v>985.4</v>
      </c>
      <c r="K1182">
        <v>98.54</v>
      </c>
      <c r="L1182">
        <v>1700.2</v>
      </c>
      <c r="M1182">
        <v>170.02</v>
      </c>
      <c r="O1182" s="79">
        <f>IFERROR(VLOOKUP(D1182,'KAPANAN BLD.'!$C$2:$D$793,2,FALSE),0)</f>
        <v>0</v>
      </c>
      <c r="P1182" s="79">
        <v>0</v>
      </c>
      <c r="R1182" s="79"/>
    </row>
    <row r="1183" spans="1:18" x14ac:dyDescent="0.25">
      <c r="A1183" t="s">
        <v>32</v>
      </c>
      <c r="B1183" s="73" t="str">
        <f t="shared" si="30"/>
        <v>MERKEZ</v>
      </c>
      <c r="C1183" t="s">
        <v>163</v>
      </c>
      <c r="D1183" s="73" t="str">
        <f t="shared" si="29"/>
        <v>MERKEZ/GİRESUN</v>
      </c>
      <c r="E1183" t="s">
        <v>34</v>
      </c>
      <c r="F1183" t="s">
        <v>34</v>
      </c>
      <c r="G1183" t="s">
        <v>3367</v>
      </c>
      <c r="H1183">
        <v>9311.4</v>
      </c>
      <c r="I1183">
        <v>931.14</v>
      </c>
      <c r="J1183">
        <v>849.1</v>
      </c>
      <c r="K1183">
        <v>84.91</v>
      </c>
      <c r="L1183">
        <v>8462.2999999999993</v>
      </c>
      <c r="M1183">
        <v>846.23</v>
      </c>
      <c r="O1183" s="79">
        <f>IFERROR(VLOOKUP(D1183,'KAPANAN BLD.'!$C$2:$D$793,2,FALSE),0)</f>
        <v>0</v>
      </c>
      <c r="P1183" s="79">
        <v>0</v>
      </c>
      <c r="R1183" s="79"/>
    </row>
    <row r="1184" spans="1:18" x14ac:dyDescent="0.25">
      <c r="A1184" t="s">
        <v>32</v>
      </c>
      <c r="B1184" s="73" t="str">
        <f t="shared" si="30"/>
        <v>MERKEZ</v>
      </c>
      <c r="C1184" t="s">
        <v>163</v>
      </c>
      <c r="D1184" s="73" t="str">
        <f t="shared" si="29"/>
        <v>MERKEZ/GİRESUN</v>
      </c>
      <c r="E1184" t="s">
        <v>34</v>
      </c>
      <c r="F1184" t="s">
        <v>34</v>
      </c>
      <c r="G1184" t="s">
        <v>3366</v>
      </c>
      <c r="H1184">
        <v>5419.2</v>
      </c>
      <c r="I1184">
        <v>541.91999999999996</v>
      </c>
      <c r="J1184">
        <v>2107.9</v>
      </c>
      <c r="K1184">
        <v>210.79</v>
      </c>
      <c r="L1184">
        <v>3311.3</v>
      </c>
      <c r="M1184">
        <v>331.13</v>
      </c>
      <c r="O1184" s="79">
        <f>IFERROR(VLOOKUP(D1184,'KAPANAN BLD.'!$C$2:$D$793,2,FALSE),0)</f>
        <v>0</v>
      </c>
      <c r="P1184" s="79">
        <v>0</v>
      </c>
      <c r="R1184" s="79"/>
    </row>
    <row r="1185" spans="1:18" x14ac:dyDescent="0.25">
      <c r="A1185" t="s">
        <v>32</v>
      </c>
      <c r="B1185" s="73" t="str">
        <f t="shared" si="30"/>
        <v>MERKEZ</v>
      </c>
      <c r="C1185" t="s">
        <v>163</v>
      </c>
      <c r="D1185" s="73" t="str">
        <f t="shared" si="29"/>
        <v>MERKEZ/GİRESUN</v>
      </c>
      <c r="E1185" t="s">
        <v>34</v>
      </c>
      <c r="F1185" t="s">
        <v>34</v>
      </c>
      <c r="G1185" t="s">
        <v>3367</v>
      </c>
      <c r="H1185">
        <v>8116.7</v>
      </c>
      <c r="I1185">
        <v>811.67</v>
      </c>
      <c r="J1185">
        <v>0</v>
      </c>
      <c r="K1185">
        <v>0</v>
      </c>
      <c r="L1185">
        <v>8116.7</v>
      </c>
      <c r="M1185">
        <v>811.67</v>
      </c>
      <c r="O1185" s="79">
        <f>IFERROR(VLOOKUP(D1185,'KAPANAN BLD.'!$C$2:$D$793,2,FALSE),0)</f>
        <v>0</v>
      </c>
      <c r="P1185" s="79">
        <v>0</v>
      </c>
      <c r="R1185" s="79"/>
    </row>
    <row r="1186" spans="1:18" x14ac:dyDescent="0.25">
      <c r="A1186" t="s">
        <v>32</v>
      </c>
      <c r="B1186" s="73" t="str">
        <f t="shared" si="30"/>
        <v>MERKEZ</v>
      </c>
      <c r="C1186" t="s">
        <v>163</v>
      </c>
      <c r="D1186" s="73" t="str">
        <f t="shared" si="29"/>
        <v>MERKEZ/GİRESUN</v>
      </c>
      <c r="E1186" t="s">
        <v>34</v>
      </c>
      <c r="F1186" t="s">
        <v>34</v>
      </c>
      <c r="G1186" t="s">
        <v>3366</v>
      </c>
      <c r="H1186">
        <v>2791.7</v>
      </c>
      <c r="I1186">
        <v>279.17</v>
      </c>
      <c r="J1186">
        <v>0</v>
      </c>
      <c r="K1186">
        <v>0</v>
      </c>
      <c r="L1186">
        <v>2791.7</v>
      </c>
      <c r="M1186">
        <v>279.17</v>
      </c>
      <c r="O1186" s="79">
        <f>IFERROR(VLOOKUP(D1186,'KAPANAN BLD.'!$C$2:$D$793,2,FALSE),0)</f>
        <v>0</v>
      </c>
      <c r="P1186" s="79">
        <v>0</v>
      </c>
      <c r="R1186" s="79"/>
    </row>
    <row r="1187" spans="1:18" x14ac:dyDescent="0.25">
      <c r="A1187" t="s">
        <v>32</v>
      </c>
      <c r="B1187" s="73" t="str">
        <f t="shared" si="30"/>
        <v>PİRAZİZ</v>
      </c>
      <c r="C1187" t="s">
        <v>163</v>
      </c>
      <c r="D1187" s="73" t="str">
        <f t="shared" si="29"/>
        <v>PİRAZİZ/GİRESUN</v>
      </c>
      <c r="E1187" t="s">
        <v>365</v>
      </c>
      <c r="F1187" t="s">
        <v>365</v>
      </c>
      <c r="G1187" t="s">
        <v>3367</v>
      </c>
      <c r="H1187">
        <v>0</v>
      </c>
      <c r="I1187">
        <v>0</v>
      </c>
      <c r="J1187">
        <v>591.4</v>
      </c>
      <c r="K1187">
        <v>59.14</v>
      </c>
      <c r="L1187">
        <v>-591.4</v>
      </c>
      <c r="M1187">
        <v>-59.14</v>
      </c>
      <c r="O1187" s="79">
        <f>IFERROR(VLOOKUP(D1187,'KAPANAN BLD.'!$C$2:$D$793,2,FALSE),0)</f>
        <v>0</v>
      </c>
      <c r="P1187" s="79">
        <v>0</v>
      </c>
      <c r="R1187" s="79"/>
    </row>
    <row r="1188" spans="1:18" x14ac:dyDescent="0.25">
      <c r="A1188" t="s">
        <v>32</v>
      </c>
      <c r="B1188" s="73" t="str">
        <f t="shared" si="30"/>
        <v>PİRAZİZ</v>
      </c>
      <c r="C1188" t="s">
        <v>163</v>
      </c>
      <c r="D1188" s="73" t="str">
        <f t="shared" si="29"/>
        <v>PİRAZİZ/GİRESUN</v>
      </c>
      <c r="E1188" t="s">
        <v>365</v>
      </c>
      <c r="F1188" t="s">
        <v>365</v>
      </c>
      <c r="G1188" t="s">
        <v>3366</v>
      </c>
      <c r="H1188">
        <v>0</v>
      </c>
      <c r="I1188">
        <v>0</v>
      </c>
      <c r="J1188">
        <v>191.2</v>
      </c>
      <c r="K1188">
        <v>19.12</v>
      </c>
      <c r="L1188">
        <v>-191.2</v>
      </c>
      <c r="M1188">
        <v>-19.12</v>
      </c>
      <c r="O1188" s="79">
        <f>IFERROR(VLOOKUP(D1188,'KAPANAN BLD.'!$C$2:$D$793,2,FALSE),0)</f>
        <v>0</v>
      </c>
      <c r="P1188" s="79">
        <v>0</v>
      </c>
      <c r="R1188" s="79"/>
    </row>
    <row r="1189" spans="1:18" x14ac:dyDescent="0.25">
      <c r="A1189" t="s">
        <v>32</v>
      </c>
      <c r="B1189" s="73" t="str">
        <f t="shared" si="30"/>
        <v>ESPİYE</v>
      </c>
      <c r="C1189" t="s">
        <v>163</v>
      </c>
      <c r="D1189" s="73" t="str">
        <f t="shared" si="29"/>
        <v>ESPİYE/GİRESUN</v>
      </c>
      <c r="E1189" s="9" t="s">
        <v>2204</v>
      </c>
      <c r="F1189" s="9" t="s">
        <v>2204</v>
      </c>
      <c r="G1189" t="s">
        <v>3367</v>
      </c>
      <c r="H1189">
        <v>4743</v>
      </c>
      <c r="I1189">
        <v>474.3</v>
      </c>
      <c r="J1189">
        <v>4.5</v>
      </c>
      <c r="K1189">
        <v>0.45</v>
      </c>
      <c r="L1189">
        <v>4738.5</v>
      </c>
      <c r="M1189">
        <v>473.85</v>
      </c>
      <c r="O1189" s="79">
        <f>IFERROR(VLOOKUP(D1189,'KAPANAN BLD.'!$C$2:$D$793,2,FALSE),0)</f>
        <v>0</v>
      </c>
      <c r="P1189" s="79">
        <v>0</v>
      </c>
      <c r="R1189" s="79"/>
    </row>
    <row r="1190" spans="1:18" x14ac:dyDescent="0.25">
      <c r="A1190" t="s">
        <v>32</v>
      </c>
      <c r="B1190" s="73" t="str">
        <f t="shared" si="30"/>
        <v>ESPİYE</v>
      </c>
      <c r="C1190" t="s">
        <v>163</v>
      </c>
      <c r="D1190" s="73" t="str">
        <f t="shared" si="29"/>
        <v>ESPİYE/GİRESUN</v>
      </c>
      <c r="E1190" s="9" t="s">
        <v>2204</v>
      </c>
      <c r="F1190" s="9" t="s">
        <v>2204</v>
      </c>
      <c r="G1190" t="s">
        <v>3366</v>
      </c>
      <c r="H1190">
        <v>5873.7</v>
      </c>
      <c r="I1190">
        <v>587.37</v>
      </c>
      <c r="J1190">
        <v>85.7</v>
      </c>
      <c r="K1190">
        <v>8.57</v>
      </c>
      <c r="L1190">
        <v>5788</v>
      </c>
      <c r="M1190">
        <v>578.79999999999995</v>
      </c>
      <c r="O1190" s="79">
        <f>IFERROR(VLOOKUP(D1190,'KAPANAN BLD.'!$C$2:$D$793,2,FALSE),0)</f>
        <v>0</v>
      </c>
      <c r="P1190" s="79">
        <v>0</v>
      </c>
      <c r="R1190" s="79"/>
    </row>
    <row r="1191" spans="1:18" x14ac:dyDescent="0.25">
      <c r="A1191" t="s">
        <v>32</v>
      </c>
      <c r="B1191" s="73" t="str">
        <f t="shared" si="30"/>
        <v>ŞEBİNKARAHİSAR</v>
      </c>
      <c r="C1191" t="s">
        <v>163</v>
      </c>
      <c r="D1191" s="73" t="str">
        <f t="shared" si="29"/>
        <v>ŞEBİNKARAHİSAR/GİRESUN</v>
      </c>
      <c r="E1191" t="s">
        <v>1998</v>
      </c>
      <c r="F1191" t="s">
        <v>1998</v>
      </c>
      <c r="G1191" t="s">
        <v>3367</v>
      </c>
      <c r="H1191">
        <v>528.79999999999995</v>
      </c>
      <c r="I1191">
        <v>52.88</v>
      </c>
      <c r="J1191">
        <v>0</v>
      </c>
      <c r="K1191">
        <v>0</v>
      </c>
      <c r="L1191">
        <v>528.79999999999995</v>
      </c>
      <c r="M1191">
        <v>52.88</v>
      </c>
      <c r="O1191" s="79">
        <f>IFERROR(VLOOKUP(D1191,'KAPANAN BLD.'!$C$2:$D$793,2,FALSE),0)</f>
        <v>0</v>
      </c>
      <c r="P1191" s="79">
        <v>0</v>
      </c>
      <c r="R1191" s="79"/>
    </row>
    <row r="1192" spans="1:18" x14ac:dyDescent="0.25">
      <c r="A1192" t="s">
        <v>32</v>
      </c>
      <c r="B1192" s="73" t="str">
        <f t="shared" si="30"/>
        <v>ŞEBİNKARAHİSAR</v>
      </c>
      <c r="C1192" t="s">
        <v>163</v>
      </c>
      <c r="D1192" s="73" t="str">
        <f t="shared" si="29"/>
        <v>ŞEBİNKARAHİSAR/GİRESUN</v>
      </c>
      <c r="E1192" t="s">
        <v>1998</v>
      </c>
      <c r="F1192" t="s">
        <v>1998</v>
      </c>
      <c r="G1192" t="s">
        <v>3366</v>
      </c>
      <c r="H1192">
        <v>296.7</v>
      </c>
      <c r="I1192">
        <v>29.67</v>
      </c>
      <c r="J1192">
        <v>0</v>
      </c>
      <c r="K1192">
        <v>0</v>
      </c>
      <c r="L1192">
        <v>296.7</v>
      </c>
      <c r="M1192">
        <v>29.67</v>
      </c>
      <c r="O1192" s="79">
        <f>IFERROR(VLOOKUP(D1192,'KAPANAN BLD.'!$C$2:$D$793,2,FALSE),0)</f>
        <v>0</v>
      </c>
      <c r="P1192" s="79">
        <v>0</v>
      </c>
      <c r="R1192" s="79"/>
    </row>
    <row r="1193" spans="1:18" x14ac:dyDescent="0.25">
      <c r="A1193" t="s">
        <v>32</v>
      </c>
      <c r="B1193" s="73" t="str">
        <f t="shared" si="30"/>
        <v>TİREBOLU</v>
      </c>
      <c r="C1193" t="s">
        <v>163</v>
      </c>
      <c r="D1193" s="73" t="str">
        <f t="shared" si="29"/>
        <v>TİREBOLU/GİRESUN</v>
      </c>
      <c r="E1193" t="s">
        <v>319</v>
      </c>
      <c r="F1193" t="s">
        <v>319</v>
      </c>
      <c r="G1193" t="s">
        <v>3366</v>
      </c>
      <c r="H1193">
        <v>255.3</v>
      </c>
      <c r="I1193">
        <v>25.53</v>
      </c>
      <c r="J1193">
        <v>3401</v>
      </c>
      <c r="K1193">
        <v>340.1</v>
      </c>
      <c r="L1193">
        <v>-3145.7</v>
      </c>
      <c r="M1193">
        <v>-314.57</v>
      </c>
      <c r="O1193" s="79">
        <f>IFERROR(VLOOKUP(D1193,'KAPANAN BLD.'!$C$2:$D$793,2,FALSE),0)</f>
        <v>0</v>
      </c>
      <c r="P1193" s="79">
        <v>0</v>
      </c>
      <c r="R1193" s="79"/>
    </row>
    <row r="1194" spans="1:18" x14ac:dyDescent="0.25">
      <c r="A1194" t="s">
        <v>32</v>
      </c>
      <c r="B1194" s="73" t="str">
        <f t="shared" si="30"/>
        <v>TİREBOLU</v>
      </c>
      <c r="C1194" t="s">
        <v>163</v>
      </c>
      <c r="D1194" s="73" t="str">
        <f t="shared" si="29"/>
        <v>TİREBOLU/GİRESUN</v>
      </c>
      <c r="E1194" t="s">
        <v>319</v>
      </c>
      <c r="F1194" t="s">
        <v>319</v>
      </c>
      <c r="G1194" t="s">
        <v>3367</v>
      </c>
      <c r="H1194">
        <v>855.3</v>
      </c>
      <c r="I1194">
        <v>85.53</v>
      </c>
      <c r="J1194">
        <v>7227.1</v>
      </c>
      <c r="K1194">
        <v>722.71</v>
      </c>
      <c r="L1194">
        <v>-6371.8</v>
      </c>
      <c r="M1194">
        <v>-637.17999999999995</v>
      </c>
      <c r="O1194" s="79">
        <f>IFERROR(VLOOKUP(D1194,'KAPANAN BLD.'!$C$2:$D$793,2,FALSE),0)</f>
        <v>0</v>
      </c>
      <c r="P1194" s="79">
        <v>0</v>
      </c>
      <c r="R1194" s="79"/>
    </row>
    <row r="1195" spans="1:18" x14ac:dyDescent="0.25">
      <c r="A1195" t="s">
        <v>32</v>
      </c>
      <c r="B1195" s="73" t="str">
        <f t="shared" si="30"/>
        <v>KELKİT</v>
      </c>
      <c r="C1195" t="s">
        <v>247</v>
      </c>
      <c r="D1195" s="73" t="str">
        <f t="shared" si="29"/>
        <v>KELKİT/GÜMÜŞHANE</v>
      </c>
      <c r="E1195" s="9" t="s">
        <v>2250</v>
      </c>
      <c r="F1195" s="9" t="s">
        <v>2250</v>
      </c>
      <c r="G1195" t="s">
        <v>3366</v>
      </c>
      <c r="H1195">
        <v>1036.7</v>
      </c>
      <c r="I1195">
        <v>103.67</v>
      </c>
      <c r="J1195">
        <v>0</v>
      </c>
      <c r="K1195">
        <v>0</v>
      </c>
      <c r="L1195">
        <v>1036.7</v>
      </c>
      <c r="M1195">
        <v>103.67</v>
      </c>
      <c r="O1195" s="79">
        <f>IFERROR(VLOOKUP(D1195,'KAPANAN BLD.'!$C$2:$D$793,2,FALSE),0)</f>
        <v>0</v>
      </c>
      <c r="P1195" s="79">
        <v>0</v>
      </c>
      <c r="R1195" s="79"/>
    </row>
    <row r="1196" spans="1:18" x14ac:dyDescent="0.25">
      <c r="A1196" t="s">
        <v>32</v>
      </c>
      <c r="B1196" s="73" t="str">
        <f t="shared" si="30"/>
        <v>KELKİT</v>
      </c>
      <c r="C1196" t="s">
        <v>247</v>
      </c>
      <c r="D1196" s="73" t="str">
        <f t="shared" si="29"/>
        <v>KELKİT/GÜMÜŞHANE</v>
      </c>
      <c r="E1196" s="9" t="s">
        <v>2250</v>
      </c>
      <c r="F1196" s="9" t="s">
        <v>2250</v>
      </c>
      <c r="G1196" t="s">
        <v>3367</v>
      </c>
      <c r="H1196">
        <v>27.1</v>
      </c>
      <c r="I1196">
        <v>2.71</v>
      </c>
      <c r="J1196">
        <v>0</v>
      </c>
      <c r="K1196">
        <v>0</v>
      </c>
      <c r="L1196">
        <v>27.1</v>
      </c>
      <c r="M1196">
        <v>2.71</v>
      </c>
      <c r="O1196" s="79">
        <f>IFERROR(VLOOKUP(D1196,'KAPANAN BLD.'!$C$2:$D$793,2,FALSE),0)</f>
        <v>0</v>
      </c>
      <c r="P1196" s="79">
        <v>0</v>
      </c>
      <c r="R1196" s="79"/>
    </row>
    <row r="1197" spans="1:18" x14ac:dyDescent="0.25">
      <c r="A1197" t="s">
        <v>32</v>
      </c>
      <c r="B1197" s="73" t="str">
        <f t="shared" si="30"/>
        <v>MERKEZ</v>
      </c>
      <c r="C1197" t="s">
        <v>247</v>
      </c>
      <c r="D1197" s="73" t="str">
        <f t="shared" si="29"/>
        <v>MERKEZ/GÜMÜŞHANE</v>
      </c>
      <c r="E1197" t="s">
        <v>34</v>
      </c>
      <c r="F1197" t="s">
        <v>34</v>
      </c>
      <c r="G1197" t="s">
        <v>3366</v>
      </c>
      <c r="H1197">
        <v>2135.6999999999998</v>
      </c>
      <c r="I1197">
        <v>213.57</v>
      </c>
      <c r="J1197">
        <v>0</v>
      </c>
      <c r="K1197">
        <v>0</v>
      </c>
      <c r="L1197">
        <v>2135.6999999999998</v>
      </c>
      <c r="M1197">
        <v>213.57</v>
      </c>
      <c r="O1197" s="79">
        <f>IFERROR(VLOOKUP(D1197,'KAPANAN BLD.'!$C$2:$D$793,2,FALSE),0)</f>
        <v>0</v>
      </c>
      <c r="P1197" s="79">
        <v>0</v>
      </c>
      <c r="R1197" s="79"/>
    </row>
    <row r="1198" spans="1:18" x14ac:dyDescent="0.25">
      <c r="A1198" t="s">
        <v>32</v>
      </c>
      <c r="B1198" s="73" t="str">
        <f t="shared" si="30"/>
        <v>MERKEZ</v>
      </c>
      <c r="C1198" t="s">
        <v>247</v>
      </c>
      <c r="D1198" s="73" t="str">
        <f t="shared" si="29"/>
        <v>MERKEZ/GÜMÜŞHANE</v>
      </c>
      <c r="E1198" t="s">
        <v>34</v>
      </c>
      <c r="F1198" t="s">
        <v>34</v>
      </c>
      <c r="G1198" t="s">
        <v>3367</v>
      </c>
      <c r="H1198">
        <v>45.1</v>
      </c>
      <c r="I1198">
        <v>4.51</v>
      </c>
      <c r="J1198">
        <v>0</v>
      </c>
      <c r="K1198">
        <v>0</v>
      </c>
      <c r="L1198">
        <v>45.1</v>
      </c>
      <c r="M1198">
        <v>4.51</v>
      </c>
      <c r="O1198" s="79">
        <f>IFERROR(VLOOKUP(D1198,'KAPANAN BLD.'!$C$2:$D$793,2,FALSE),0)</f>
        <v>0</v>
      </c>
      <c r="P1198" s="79">
        <v>0</v>
      </c>
      <c r="R1198" s="79"/>
    </row>
    <row r="1199" spans="1:18" x14ac:dyDescent="0.25">
      <c r="A1199" t="s">
        <v>32</v>
      </c>
      <c r="B1199" s="73" t="str">
        <f t="shared" si="30"/>
        <v>MERKEZ</v>
      </c>
      <c r="C1199" t="s">
        <v>247</v>
      </c>
      <c r="D1199" s="73" t="str">
        <f t="shared" si="29"/>
        <v>MERKEZ/GÜMÜŞHANE</v>
      </c>
      <c r="E1199" s="9" t="s">
        <v>34</v>
      </c>
      <c r="F1199" s="9" t="s">
        <v>34</v>
      </c>
      <c r="G1199" t="s">
        <v>3367</v>
      </c>
      <c r="H1199">
        <v>39.299999999999997</v>
      </c>
      <c r="I1199">
        <v>3.93</v>
      </c>
      <c r="J1199">
        <v>0</v>
      </c>
      <c r="K1199">
        <v>0</v>
      </c>
      <c r="L1199">
        <v>39.299999999999997</v>
      </c>
      <c r="M1199">
        <v>3.93</v>
      </c>
      <c r="O1199" s="79">
        <f>IFERROR(VLOOKUP(D1199,'KAPANAN BLD.'!$C$2:$D$793,2,FALSE),0)</f>
        <v>0</v>
      </c>
      <c r="P1199" s="79">
        <v>0</v>
      </c>
      <c r="R1199" s="79"/>
    </row>
    <row r="1200" spans="1:18" x14ac:dyDescent="0.25">
      <c r="A1200" t="s">
        <v>32</v>
      </c>
      <c r="B1200" s="73" t="str">
        <f t="shared" si="30"/>
        <v>KELKİT</v>
      </c>
      <c r="C1200" t="s">
        <v>247</v>
      </c>
      <c r="D1200" s="73" t="str">
        <f t="shared" si="29"/>
        <v>KELKİT/GÜMÜŞHANE</v>
      </c>
      <c r="E1200" s="9" t="s">
        <v>2250</v>
      </c>
      <c r="F1200" s="9" t="s">
        <v>2250</v>
      </c>
      <c r="G1200" t="s">
        <v>3367</v>
      </c>
      <c r="H1200">
        <v>161.80000000000001</v>
      </c>
      <c r="I1200">
        <v>16.18</v>
      </c>
      <c r="J1200">
        <v>0</v>
      </c>
      <c r="K1200">
        <v>0</v>
      </c>
      <c r="L1200">
        <v>161.80000000000001</v>
      </c>
      <c r="M1200">
        <v>16.18</v>
      </c>
      <c r="O1200" s="79">
        <f>IFERROR(VLOOKUP(D1200,'KAPANAN BLD.'!$C$2:$D$793,2,FALSE),0)</f>
        <v>0</v>
      </c>
      <c r="P1200" s="79">
        <v>0</v>
      </c>
      <c r="R1200" s="79"/>
    </row>
    <row r="1201" spans="1:18" x14ac:dyDescent="0.25">
      <c r="A1201" t="s">
        <v>32</v>
      </c>
      <c r="B1201" s="73" t="str">
        <f t="shared" si="30"/>
        <v>KELKİT</v>
      </c>
      <c r="C1201" t="s">
        <v>247</v>
      </c>
      <c r="D1201" s="73" t="str">
        <f t="shared" si="29"/>
        <v>KELKİT/GÜMÜŞHANE</v>
      </c>
      <c r="E1201" s="9" t="s">
        <v>2250</v>
      </c>
      <c r="F1201" s="9" t="s">
        <v>2250</v>
      </c>
      <c r="G1201" t="s">
        <v>3366</v>
      </c>
      <c r="H1201">
        <v>87.8</v>
      </c>
      <c r="I1201">
        <v>8.7799999999999994</v>
      </c>
      <c r="J1201">
        <v>0</v>
      </c>
      <c r="K1201">
        <v>0</v>
      </c>
      <c r="L1201">
        <v>87.8</v>
      </c>
      <c r="M1201">
        <v>8.7799999999999994</v>
      </c>
      <c r="O1201" s="79">
        <f>IFERROR(VLOOKUP(D1201,'KAPANAN BLD.'!$C$2:$D$793,2,FALSE),0)</f>
        <v>0</v>
      </c>
      <c r="P1201" s="79">
        <v>0</v>
      </c>
      <c r="R1201" s="79"/>
    </row>
    <row r="1202" spans="1:18" x14ac:dyDescent="0.25">
      <c r="A1202" t="s">
        <v>32</v>
      </c>
      <c r="B1202" s="73" t="str">
        <f>VLOOKUP(C1202,'Büyükşehir List'!$C$2:$D$31,2,FALSE)</f>
        <v>HATAY BÜYÜKŞEHİR</v>
      </c>
      <c r="C1202" t="s">
        <v>65</v>
      </c>
      <c r="D1202" s="73" t="str">
        <f t="shared" si="29"/>
        <v>HATAY BÜYÜKŞEHİR/HATAY</v>
      </c>
      <c r="E1202" t="s">
        <v>4477</v>
      </c>
      <c r="F1202" t="s">
        <v>4477</v>
      </c>
      <c r="G1202" t="s">
        <v>3367</v>
      </c>
      <c r="H1202">
        <v>93.3</v>
      </c>
      <c r="I1202">
        <v>9.33</v>
      </c>
      <c r="J1202">
        <v>0</v>
      </c>
      <c r="K1202">
        <v>0</v>
      </c>
      <c r="L1202">
        <v>93.3</v>
      </c>
      <c r="M1202">
        <v>9.33</v>
      </c>
      <c r="O1202" s="79">
        <f>IFERROR(VLOOKUP(D1202,'KAPANAN BLD.'!$C$2:$D$793,2,FALSE),0)</f>
        <v>0</v>
      </c>
      <c r="P1202" s="79">
        <v>0</v>
      </c>
      <c r="R1202" s="79"/>
    </row>
    <row r="1203" spans="1:18" x14ac:dyDescent="0.25">
      <c r="A1203" t="s">
        <v>32</v>
      </c>
      <c r="B1203" s="73" t="str">
        <f>VLOOKUP(C1203,'Büyükşehir List'!$C$2:$D$31,2,FALSE)</f>
        <v>HATAY BÜYÜKŞEHİR</v>
      </c>
      <c r="C1203" t="s">
        <v>65</v>
      </c>
      <c r="D1203" s="73" t="str">
        <f t="shared" si="29"/>
        <v>HATAY BÜYÜKŞEHİR/HATAY</v>
      </c>
      <c r="E1203" t="s">
        <v>4477</v>
      </c>
      <c r="F1203" t="s">
        <v>4477</v>
      </c>
      <c r="G1203" t="s">
        <v>3366</v>
      </c>
      <c r="H1203">
        <v>24.8</v>
      </c>
      <c r="I1203">
        <v>2.48</v>
      </c>
      <c r="J1203">
        <v>0</v>
      </c>
      <c r="K1203">
        <v>0</v>
      </c>
      <c r="L1203">
        <v>24.8</v>
      </c>
      <c r="M1203">
        <v>2.48</v>
      </c>
      <c r="O1203" s="79">
        <f>IFERROR(VLOOKUP(D1203,'KAPANAN BLD.'!$C$2:$D$793,2,FALSE),0)</f>
        <v>0</v>
      </c>
      <c r="P1203" s="79">
        <v>0</v>
      </c>
      <c r="R1203" s="79"/>
    </row>
    <row r="1204" spans="1:18" x14ac:dyDescent="0.25">
      <c r="A1204" t="s">
        <v>32</v>
      </c>
      <c r="B1204" s="73" t="str">
        <f>VLOOKUP(C1204,'Büyükşehir List'!$C$2:$D$31,2,FALSE)</f>
        <v>HATAY BÜYÜKŞEHİR</v>
      </c>
      <c r="C1204" t="s">
        <v>65</v>
      </c>
      <c r="D1204" s="73" t="str">
        <f t="shared" si="29"/>
        <v>HATAY BÜYÜKŞEHİR/HATAY</v>
      </c>
      <c r="E1204" t="s">
        <v>3921</v>
      </c>
      <c r="F1204" t="s">
        <v>3921</v>
      </c>
      <c r="G1204" t="s">
        <v>3367</v>
      </c>
      <c r="H1204">
        <v>7188.9</v>
      </c>
      <c r="I1204">
        <v>718.89</v>
      </c>
      <c r="J1204">
        <v>0</v>
      </c>
      <c r="K1204">
        <v>0</v>
      </c>
      <c r="L1204">
        <v>7188.9</v>
      </c>
      <c r="M1204">
        <v>718.89</v>
      </c>
      <c r="O1204" s="79">
        <f>IFERROR(VLOOKUP(D1204,'KAPANAN BLD.'!$C$2:$D$793,2,FALSE),0)</f>
        <v>0</v>
      </c>
      <c r="P1204" s="79">
        <v>0</v>
      </c>
      <c r="R1204" s="79"/>
    </row>
    <row r="1205" spans="1:18" x14ac:dyDescent="0.25">
      <c r="A1205" t="s">
        <v>32</v>
      </c>
      <c r="B1205" s="73" t="str">
        <f>VLOOKUP(C1205,'Büyükşehir List'!$C$2:$D$31,2,FALSE)</f>
        <v>HATAY BÜYÜKŞEHİR</v>
      </c>
      <c r="C1205" t="s">
        <v>65</v>
      </c>
      <c r="D1205" s="73" t="str">
        <f t="shared" si="29"/>
        <v>HATAY BÜYÜKŞEHİR/HATAY</v>
      </c>
      <c r="E1205" t="s">
        <v>3921</v>
      </c>
      <c r="F1205" t="s">
        <v>3921</v>
      </c>
      <c r="G1205" t="s">
        <v>3366</v>
      </c>
      <c r="H1205">
        <v>11626.7</v>
      </c>
      <c r="I1205">
        <v>1162.67</v>
      </c>
      <c r="J1205">
        <v>0</v>
      </c>
      <c r="K1205">
        <v>0</v>
      </c>
      <c r="L1205">
        <v>11626.7</v>
      </c>
      <c r="M1205">
        <v>1162.67</v>
      </c>
      <c r="O1205" s="79">
        <f>IFERROR(VLOOKUP(D1205,'KAPANAN BLD.'!$C$2:$D$793,2,FALSE),0)</f>
        <v>0</v>
      </c>
      <c r="P1205" s="79">
        <v>0</v>
      </c>
      <c r="R1205" s="79"/>
    </row>
    <row r="1206" spans="1:18" x14ac:dyDescent="0.25">
      <c r="A1206" t="s">
        <v>32</v>
      </c>
      <c r="B1206" s="73" t="str">
        <f>VLOOKUP(C1206,'Büyükşehir List'!$C$2:$D$31,2,FALSE)</f>
        <v>HATAY BÜYÜKŞEHİR</v>
      </c>
      <c r="C1206" t="s">
        <v>65</v>
      </c>
      <c r="D1206" s="73" t="str">
        <f t="shared" si="29"/>
        <v>HATAY BÜYÜKŞEHİR/HATAY</v>
      </c>
      <c r="E1206" t="s">
        <v>4478</v>
      </c>
      <c r="F1206" t="s">
        <v>4478</v>
      </c>
      <c r="G1206" t="s">
        <v>3366</v>
      </c>
      <c r="H1206">
        <v>835.8</v>
      </c>
      <c r="I1206">
        <v>83.58</v>
      </c>
      <c r="J1206">
        <v>0</v>
      </c>
      <c r="K1206">
        <v>0</v>
      </c>
      <c r="L1206">
        <v>835.8</v>
      </c>
      <c r="M1206">
        <v>83.58</v>
      </c>
      <c r="O1206" s="79">
        <f>IFERROR(VLOOKUP(D1206,'KAPANAN BLD.'!$C$2:$D$793,2,FALSE),0)</f>
        <v>0</v>
      </c>
      <c r="P1206" s="79">
        <v>0</v>
      </c>
      <c r="R1206" s="79"/>
    </row>
    <row r="1207" spans="1:18" x14ac:dyDescent="0.25">
      <c r="A1207" t="s">
        <v>32</v>
      </c>
      <c r="B1207" s="73" t="str">
        <f>VLOOKUP(C1207,'Büyükşehir List'!$C$2:$D$31,2,FALSE)</f>
        <v>HATAY BÜYÜKŞEHİR</v>
      </c>
      <c r="C1207" t="s">
        <v>65</v>
      </c>
      <c r="D1207" s="73" t="str">
        <f t="shared" si="29"/>
        <v>HATAY BÜYÜKŞEHİR/HATAY</v>
      </c>
      <c r="E1207" t="s">
        <v>4478</v>
      </c>
      <c r="F1207" t="s">
        <v>4478</v>
      </c>
      <c r="G1207" t="s">
        <v>3367</v>
      </c>
      <c r="H1207">
        <v>1325.9</v>
      </c>
      <c r="I1207">
        <v>132.59</v>
      </c>
      <c r="J1207">
        <v>0</v>
      </c>
      <c r="K1207">
        <v>0</v>
      </c>
      <c r="L1207">
        <v>1325.9</v>
      </c>
      <c r="M1207">
        <v>132.59</v>
      </c>
      <c r="O1207" s="79">
        <f>IFERROR(VLOOKUP(D1207,'KAPANAN BLD.'!$C$2:$D$793,2,FALSE),0)</f>
        <v>0</v>
      </c>
      <c r="P1207" s="79">
        <v>0</v>
      </c>
      <c r="R1207" s="79"/>
    </row>
    <row r="1208" spans="1:18" x14ac:dyDescent="0.25">
      <c r="A1208" t="s">
        <v>32</v>
      </c>
      <c r="B1208" s="73" t="str">
        <f>VLOOKUP(C1208,'Büyükşehir List'!$C$2:$D$31,2,FALSE)</f>
        <v>HATAY BÜYÜKŞEHİR</v>
      </c>
      <c r="C1208" t="s">
        <v>65</v>
      </c>
      <c r="D1208" s="73" t="str">
        <f t="shared" si="29"/>
        <v>HATAY BÜYÜKŞEHİR/HATAY</v>
      </c>
      <c r="E1208" t="s">
        <v>4479</v>
      </c>
      <c r="F1208" t="s">
        <v>4479</v>
      </c>
      <c r="G1208" t="s">
        <v>3367</v>
      </c>
      <c r="H1208">
        <v>92.6</v>
      </c>
      <c r="I1208">
        <v>9.26</v>
      </c>
      <c r="J1208">
        <v>0</v>
      </c>
      <c r="K1208">
        <v>0</v>
      </c>
      <c r="L1208">
        <v>92.6</v>
      </c>
      <c r="M1208">
        <v>9.26</v>
      </c>
      <c r="O1208" s="79">
        <f>IFERROR(VLOOKUP(D1208,'KAPANAN BLD.'!$C$2:$D$793,2,FALSE),0)</f>
        <v>0</v>
      </c>
      <c r="P1208" s="79">
        <v>0</v>
      </c>
      <c r="R1208" s="79"/>
    </row>
    <row r="1209" spans="1:18" x14ac:dyDescent="0.25">
      <c r="A1209" t="s">
        <v>32</v>
      </c>
      <c r="B1209" s="73" t="str">
        <f>VLOOKUP(C1209,'Büyükşehir List'!$C$2:$D$31,2,FALSE)</f>
        <v>HATAY BÜYÜKŞEHİR</v>
      </c>
      <c r="C1209" t="s">
        <v>65</v>
      </c>
      <c r="D1209" s="73" t="str">
        <f t="shared" si="29"/>
        <v>HATAY BÜYÜKŞEHİR/HATAY</v>
      </c>
      <c r="E1209" t="s">
        <v>4479</v>
      </c>
      <c r="F1209" t="s">
        <v>4479</v>
      </c>
      <c r="G1209" t="s">
        <v>3366</v>
      </c>
      <c r="H1209">
        <v>4897.2</v>
      </c>
      <c r="I1209">
        <v>489.72</v>
      </c>
      <c r="J1209">
        <v>0</v>
      </c>
      <c r="K1209">
        <v>0</v>
      </c>
      <c r="L1209">
        <v>4897.2</v>
      </c>
      <c r="M1209">
        <v>489.72</v>
      </c>
      <c r="O1209" s="79">
        <f>IFERROR(VLOOKUP(D1209,'KAPANAN BLD.'!$C$2:$D$793,2,FALSE),0)</f>
        <v>0</v>
      </c>
      <c r="P1209" s="79">
        <v>0</v>
      </c>
      <c r="R1209" s="79"/>
    </row>
    <row r="1210" spans="1:18" x14ac:dyDescent="0.25">
      <c r="A1210" t="s">
        <v>32</v>
      </c>
      <c r="B1210" s="73" t="str">
        <f>VLOOKUP(C1210,'Büyükşehir List'!$C$2:$D$31,2,FALSE)</f>
        <v>HATAY BÜYÜKŞEHİR</v>
      </c>
      <c r="C1210" t="s">
        <v>65</v>
      </c>
      <c r="D1210" s="73" t="str">
        <f t="shared" si="29"/>
        <v>HATAY BÜYÜKŞEHİR/HATAY</v>
      </c>
      <c r="E1210" t="s">
        <v>4031</v>
      </c>
      <c r="F1210" t="s">
        <v>4031</v>
      </c>
      <c r="G1210" t="s">
        <v>3367</v>
      </c>
      <c r="H1210">
        <v>260</v>
      </c>
      <c r="I1210">
        <v>26</v>
      </c>
      <c r="J1210">
        <v>0</v>
      </c>
      <c r="K1210">
        <v>0</v>
      </c>
      <c r="L1210">
        <v>260</v>
      </c>
      <c r="M1210">
        <v>26</v>
      </c>
      <c r="O1210" s="79">
        <f>IFERROR(VLOOKUP(D1210,'KAPANAN BLD.'!$C$2:$D$793,2,FALSE),0)</f>
        <v>0</v>
      </c>
      <c r="P1210" s="79">
        <v>0</v>
      </c>
      <c r="R1210" s="79"/>
    </row>
    <row r="1211" spans="1:18" x14ac:dyDescent="0.25">
      <c r="A1211" t="s">
        <v>32</v>
      </c>
      <c r="B1211" s="73" t="str">
        <f>VLOOKUP(C1211,'Büyükşehir List'!$C$2:$D$31,2,FALSE)</f>
        <v>HATAY BÜYÜKŞEHİR</v>
      </c>
      <c r="C1211" t="s">
        <v>65</v>
      </c>
      <c r="D1211" s="73" t="str">
        <f t="shared" si="29"/>
        <v>HATAY BÜYÜKŞEHİR/HATAY</v>
      </c>
      <c r="E1211" t="s">
        <v>4031</v>
      </c>
      <c r="F1211" t="s">
        <v>4031</v>
      </c>
      <c r="G1211" t="s">
        <v>3366</v>
      </c>
      <c r="H1211">
        <v>4076.4</v>
      </c>
      <c r="I1211">
        <v>407.64</v>
      </c>
      <c r="J1211">
        <v>0</v>
      </c>
      <c r="K1211">
        <v>0</v>
      </c>
      <c r="L1211">
        <v>4076.4</v>
      </c>
      <c r="M1211">
        <v>407.64</v>
      </c>
      <c r="O1211" s="79">
        <f>IFERROR(VLOOKUP(D1211,'KAPANAN BLD.'!$C$2:$D$793,2,FALSE),0)</f>
        <v>0</v>
      </c>
      <c r="P1211" s="79">
        <v>0</v>
      </c>
      <c r="R1211" s="79"/>
    </row>
    <row r="1212" spans="1:18" x14ac:dyDescent="0.25">
      <c r="A1212" t="s">
        <v>32</v>
      </c>
      <c r="B1212" s="73" t="str">
        <f>VLOOKUP(C1212,'Büyükşehir List'!$C$2:$D$31,2,FALSE)</f>
        <v>HATAY BÜYÜKŞEHİR</v>
      </c>
      <c r="C1212" t="s">
        <v>65</v>
      </c>
      <c r="D1212" s="73" t="str">
        <f t="shared" si="29"/>
        <v>HATAY BÜYÜKŞEHİR/HATAY</v>
      </c>
      <c r="E1212" t="s">
        <v>4480</v>
      </c>
      <c r="F1212" t="s">
        <v>4480</v>
      </c>
      <c r="G1212" t="s">
        <v>3367</v>
      </c>
      <c r="H1212">
        <v>76.7</v>
      </c>
      <c r="I1212">
        <v>7.67</v>
      </c>
      <c r="J1212">
        <v>0</v>
      </c>
      <c r="K1212">
        <v>0</v>
      </c>
      <c r="L1212">
        <v>76.7</v>
      </c>
      <c r="M1212">
        <v>7.67</v>
      </c>
      <c r="O1212" s="79">
        <f>IFERROR(VLOOKUP(D1212,'KAPANAN BLD.'!$C$2:$D$793,2,FALSE),0)</f>
        <v>0</v>
      </c>
      <c r="P1212" s="79">
        <v>0</v>
      </c>
      <c r="R1212" s="79"/>
    </row>
    <row r="1213" spans="1:18" x14ac:dyDescent="0.25">
      <c r="A1213" t="s">
        <v>32</v>
      </c>
      <c r="B1213" s="73" t="str">
        <f>VLOOKUP(C1213,'Büyükşehir List'!$C$2:$D$31,2,FALSE)</f>
        <v>HATAY BÜYÜKŞEHİR</v>
      </c>
      <c r="C1213" t="s">
        <v>65</v>
      </c>
      <c r="D1213" s="73" t="str">
        <f t="shared" si="29"/>
        <v>HATAY BÜYÜKŞEHİR/HATAY</v>
      </c>
      <c r="E1213" t="s">
        <v>4480</v>
      </c>
      <c r="F1213" t="s">
        <v>4480</v>
      </c>
      <c r="G1213" t="s">
        <v>3366</v>
      </c>
      <c r="H1213">
        <v>1390.9</v>
      </c>
      <c r="I1213">
        <v>139.09</v>
      </c>
      <c r="J1213">
        <v>0</v>
      </c>
      <c r="K1213">
        <v>0</v>
      </c>
      <c r="L1213">
        <v>1390.9</v>
      </c>
      <c r="M1213">
        <v>139.09</v>
      </c>
      <c r="O1213" s="79">
        <f>IFERROR(VLOOKUP(D1213,'KAPANAN BLD.'!$C$2:$D$793,2,FALSE),0)</f>
        <v>0</v>
      </c>
      <c r="P1213" s="79">
        <v>0</v>
      </c>
      <c r="R1213" s="79"/>
    </row>
    <row r="1214" spans="1:18" x14ac:dyDescent="0.25">
      <c r="A1214" t="s">
        <v>32</v>
      </c>
      <c r="B1214" s="73" t="str">
        <f>VLOOKUP(C1214,'Büyükşehir List'!$C$2:$D$31,2,FALSE)</f>
        <v>HATAY BÜYÜKŞEHİR</v>
      </c>
      <c r="C1214" t="s">
        <v>65</v>
      </c>
      <c r="D1214" s="73" t="str">
        <f t="shared" si="29"/>
        <v>HATAY BÜYÜKŞEHİR/HATAY</v>
      </c>
      <c r="E1214" t="s">
        <v>3936</v>
      </c>
      <c r="F1214" t="s">
        <v>3936</v>
      </c>
      <c r="G1214" t="s">
        <v>3367</v>
      </c>
      <c r="H1214">
        <v>1401</v>
      </c>
      <c r="I1214">
        <v>140.1</v>
      </c>
      <c r="J1214">
        <v>0</v>
      </c>
      <c r="K1214">
        <v>0</v>
      </c>
      <c r="L1214">
        <v>1401</v>
      </c>
      <c r="M1214">
        <v>140.1</v>
      </c>
      <c r="O1214" s="79">
        <f>IFERROR(VLOOKUP(D1214,'KAPANAN BLD.'!$C$2:$D$793,2,FALSE),0)</f>
        <v>0</v>
      </c>
      <c r="P1214" s="79">
        <v>0</v>
      </c>
      <c r="R1214" s="79"/>
    </row>
    <row r="1215" spans="1:18" x14ac:dyDescent="0.25">
      <c r="A1215" t="s">
        <v>32</v>
      </c>
      <c r="B1215" s="73" t="str">
        <f>VLOOKUP(C1215,'Büyükşehir List'!$C$2:$D$31,2,FALSE)</f>
        <v>HATAY BÜYÜKŞEHİR</v>
      </c>
      <c r="C1215" t="s">
        <v>65</v>
      </c>
      <c r="D1215" s="73" t="str">
        <f t="shared" si="29"/>
        <v>HATAY BÜYÜKŞEHİR/HATAY</v>
      </c>
      <c r="E1215" t="s">
        <v>3936</v>
      </c>
      <c r="F1215" t="s">
        <v>3936</v>
      </c>
      <c r="G1215" t="s">
        <v>3366</v>
      </c>
      <c r="H1215">
        <v>452.3</v>
      </c>
      <c r="I1215">
        <v>45.23</v>
      </c>
      <c r="J1215">
        <v>0</v>
      </c>
      <c r="K1215">
        <v>0</v>
      </c>
      <c r="L1215">
        <v>452.3</v>
      </c>
      <c r="M1215">
        <v>45.23</v>
      </c>
      <c r="O1215" s="79">
        <f>IFERROR(VLOOKUP(D1215,'KAPANAN BLD.'!$C$2:$D$793,2,FALSE),0)</f>
        <v>0</v>
      </c>
      <c r="P1215" s="79">
        <v>0</v>
      </c>
      <c r="R1215" s="79"/>
    </row>
    <row r="1216" spans="1:18" x14ac:dyDescent="0.25">
      <c r="A1216" t="s">
        <v>32</v>
      </c>
      <c r="B1216" s="73" t="str">
        <f>VLOOKUP(C1216,'Büyükşehir List'!$C$2:$D$31,2,FALSE)</f>
        <v>HATAY BÜYÜKŞEHİR</v>
      </c>
      <c r="C1216" t="s">
        <v>65</v>
      </c>
      <c r="D1216" s="73" t="str">
        <f t="shared" si="29"/>
        <v>HATAY BÜYÜKŞEHİR/HATAY</v>
      </c>
      <c r="E1216" t="s">
        <v>3979</v>
      </c>
      <c r="F1216" t="s">
        <v>3979</v>
      </c>
      <c r="G1216" t="s">
        <v>3366</v>
      </c>
      <c r="H1216">
        <v>783.2</v>
      </c>
      <c r="I1216">
        <v>78.319999999999993</v>
      </c>
      <c r="J1216">
        <v>1566.4</v>
      </c>
      <c r="K1216">
        <v>156.63999999999999</v>
      </c>
      <c r="L1216">
        <v>-783.2</v>
      </c>
      <c r="M1216">
        <v>-78.319999999999993</v>
      </c>
      <c r="O1216" s="79">
        <f>IFERROR(VLOOKUP(D1216,'KAPANAN BLD.'!$C$2:$D$793,2,FALSE),0)</f>
        <v>0</v>
      </c>
      <c r="P1216" s="79">
        <v>0</v>
      </c>
      <c r="R1216" s="79"/>
    </row>
    <row r="1217" spans="1:18" x14ac:dyDescent="0.25">
      <c r="A1217" t="s">
        <v>32</v>
      </c>
      <c r="B1217" s="73" t="str">
        <f>VLOOKUP(C1217,'Büyükşehir List'!$C$2:$D$31,2,FALSE)</f>
        <v>HATAY BÜYÜKŞEHİR</v>
      </c>
      <c r="C1217" t="s">
        <v>65</v>
      </c>
      <c r="D1217" s="73" t="str">
        <f t="shared" si="29"/>
        <v>HATAY BÜYÜKŞEHİR/HATAY</v>
      </c>
      <c r="E1217" t="s">
        <v>3979</v>
      </c>
      <c r="F1217" t="s">
        <v>3979</v>
      </c>
      <c r="G1217" t="s">
        <v>3367</v>
      </c>
      <c r="H1217">
        <v>476.3</v>
      </c>
      <c r="I1217">
        <v>47.63</v>
      </c>
      <c r="J1217">
        <v>82.6</v>
      </c>
      <c r="K1217">
        <v>8.26</v>
      </c>
      <c r="L1217">
        <v>393.7</v>
      </c>
      <c r="M1217">
        <v>39.369999999999997</v>
      </c>
      <c r="O1217" s="79">
        <f>IFERROR(VLOOKUP(D1217,'KAPANAN BLD.'!$C$2:$D$793,2,FALSE),0)</f>
        <v>0</v>
      </c>
      <c r="P1217" s="79">
        <v>0</v>
      </c>
      <c r="R1217" s="79"/>
    </row>
    <row r="1218" spans="1:18" x14ac:dyDescent="0.25">
      <c r="A1218" t="s">
        <v>32</v>
      </c>
      <c r="B1218" s="73" t="str">
        <f>VLOOKUP(C1218,'Büyükşehir List'!$C$2:$D$31,2,FALSE)</f>
        <v>HATAY BÜYÜKŞEHİR</v>
      </c>
      <c r="C1218" t="s">
        <v>65</v>
      </c>
      <c r="D1218" s="73" t="str">
        <f t="shared" si="29"/>
        <v>HATAY BÜYÜKŞEHİR/HATAY</v>
      </c>
      <c r="E1218" t="s">
        <v>3761</v>
      </c>
      <c r="F1218" t="s">
        <v>3761</v>
      </c>
      <c r="G1218" t="s">
        <v>3367</v>
      </c>
      <c r="H1218">
        <v>2876.2</v>
      </c>
      <c r="I1218">
        <v>287.62</v>
      </c>
      <c r="J1218">
        <v>0</v>
      </c>
      <c r="K1218">
        <v>0</v>
      </c>
      <c r="L1218">
        <v>2876.2</v>
      </c>
      <c r="M1218">
        <v>287.62</v>
      </c>
      <c r="O1218" s="79">
        <f>IFERROR(VLOOKUP(D1218,'KAPANAN BLD.'!$C$2:$D$793,2,FALSE),0)</f>
        <v>0</v>
      </c>
      <c r="P1218" s="79">
        <v>0</v>
      </c>
      <c r="R1218" s="79"/>
    </row>
    <row r="1219" spans="1:18" x14ac:dyDescent="0.25">
      <c r="A1219" t="s">
        <v>32</v>
      </c>
      <c r="B1219" s="73" t="str">
        <f>VLOOKUP(C1219,'Büyükşehir List'!$C$2:$D$31,2,FALSE)</f>
        <v>HATAY BÜYÜKŞEHİR</v>
      </c>
      <c r="C1219" t="s">
        <v>65</v>
      </c>
      <c r="D1219" s="73" t="str">
        <f t="shared" ref="D1219:D1282" si="31">CONCATENATE(B1219,"/",C1219)</f>
        <v>HATAY BÜYÜKŞEHİR/HATAY</v>
      </c>
      <c r="E1219" t="s">
        <v>3761</v>
      </c>
      <c r="F1219" t="s">
        <v>3761</v>
      </c>
      <c r="G1219" t="s">
        <v>3366</v>
      </c>
      <c r="H1219">
        <v>2586.6999999999998</v>
      </c>
      <c r="I1219">
        <v>258.67</v>
      </c>
      <c r="J1219">
        <v>0</v>
      </c>
      <c r="K1219">
        <v>0</v>
      </c>
      <c r="L1219">
        <v>2586.6999999999998</v>
      </c>
      <c r="M1219">
        <v>258.67</v>
      </c>
      <c r="O1219" s="79">
        <f>IFERROR(VLOOKUP(D1219,'KAPANAN BLD.'!$C$2:$D$793,2,FALSE),0)</f>
        <v>0</v>
      </c>
      <c r="P1219" s="79">
        <v>0</v>
      </c>
      <c r="R1219" s="79"/>
    </row>
    <row r="1220" spans="1:18" x14ac:dyDescent="0.25">
      <c r="A1220" t="s">
        <v>32</v>
      </c>
      <c r="B1220" s="73" t="str">
        <f>VLOOKUP(C1220,'Büyükşehir List'!$C$2:$D$31,2,FALSE)</f>
        <v>HATAY BÜYÜKŞEHİR</v>
      </c>
      <c r="C1220" t="s">
        <v>65</v>
      </c>
      <c r="D1220" s="73" t="str">
        <f t="shared" si="31"/>
        <v>HATAY BÜYÜKŞEHİR/HATAY</v>
      </c>
      <c r="E1220" t="s">
        <v>3899</v>
      </c>
      <c r="F1220" t="s">
        <v>3899</v>
      </c>
      <c r="G1220" t="s">
        <v>3366</v>
      </c>
      <c r="H1220">
        <v>382</v>
      </c>
      <c r="I1220">
        <v>38.200000000000003</v>
      </c>
      <c r="J1220">
        <v>0</v>
      </c>
      <c r="K1220">
        <v>0</v>
      </c>
      <c r="L1220">
        <v>382</v>
      </c>
      <c r="M1220">
        <v>38.200000000000003</v>
      </c>
      <c r="O1220" s="79">
        <f>IFERROR(VLOOKUP(D1220,'KAPANAN BLD.'!$C$2:$D$793,2,FALSE),0)</f>
        <v>0</v>
      </c>
      <c r="P1220" s="79">
        <v>0</v>
      </c>
      <c r="R1220" s="79"/>
    </row>
    <row r="1221" spans="1:18" x14ac:dyDescent="0.25">
      <c r="A1221" t="s">
        <v>32</v>
      </c>
      <c r="B1221" s="73" t="str">
        <f>VLOOKUP(C1221,'Büyükşehir List'!$C$2:$D$31,2,FALSE)</f>
        <v>HATAY BÜYÜKŞEHİR</v>
      </c>
      <c r="C1221" t="s">
        <v>65</v>
      </c>
      <c r="D1221" s="73" t="str">
        <f t="shared" si="31"/>
        <v>HATAY BÜYÜKŞEHİR/HATAY</v>
      </c>
      <c r="E1221" t="s">
        <v>3899</v>
      </c>
      <c r="F1221" t="s">
        <v>3899</v>
      </c>
      <c r="G1221" t="s">
        <v>3367</v>
      </c>
      <c r="H1221">
        <v>1207.9000000000001</v>
      </c>
      <c r="I1221">
        <v>120.79</v>
      </c>
      <c r="J1221">
        <v>0</v>
      </c>
      <c r="K1221">
        <v>0</v>
      </c>
      <c r="L1221">
        <v>1207.9000000000001</v>
      </c>
      <c r="M1221">
        <v>120.79</v>
      </c>
      <c r="O1221" s="79">
        <f>IFERROR(VLOOKUP(D1221,'KAPANAN BLD.'!$C$2:$D$793,2,FALSE),0)</f>
        <v>0</v>
      </c>
      <c r="P1221" s="79">
        <v>0</v>
      </c>
      <c r="R1221" s="79"/>
    </row>
    <row r="1222" spans="1:18" x14ac:dyDescent="0.25">
      <c r="A1222" t="s">
        <v>32</v>
      </c>
      <c r="B1222" s="73" t="str">
        <f>VLOOKUP(C1222,'Büyükşehir List'!$C$2:$D$31,2,FALSE)</f>
        <v>HATAY BÜYÜKŞEHİR</v>
      </c>
      <c r="C1222" t="s">
        <v>65</v>
      </c>
      <c r="D1222" s="73" t="str">
        <f t="shared" si="31"/>
        <v>HATAY BÜYÜKŞEHİR/HATAY</v>
      </c>
      <c r="E1222" t="s">
        <v>234</v>
      </c>
      <c r="F1222" t="s">
        <v>234</v>
      </c>
      <c r="G1222" t="s">
        <v>3366</v>
      </c>
      <c r="H1222">
        <v>1526.2</v>
      </c>
      <c r="I1222">
        <v>152.62</v>
      </c>
      <c r="J1222">
        <v>0</v>
      </c>
      <c r="K1222">
        <v>0</v>
      </c>
      <c r="L1222">
        <v>1526.2</v>
      </c>
      <c r="M1222">
        <v>152.62</v>
      </c>
      <c r="O1222" s="79">
        <f>IFERROR(VLOOKUP(D1222,'KAPANAN BLD.'!$C$2:$D$793,2,FALSE),0)</f>
        <v>0</v>
      </c>
      <c r="P1222" s="79">
        <v>0</v>
      </c>
      <c r="R1222" s="79"/>
    </row>
    <row r="1223" spans="1:18" x14ac:dyDescent="0.25">
      <c r="A1223" t="s">
        <v>32</v>
      </c>
      <c r="B1223" s="73" t="str">
        <f>VLOOKUP(C1223,'Büyükşehir List'!$C$2:$D$31,2,FALSE)</f>
        <v>HATAY BÜYÜKŞEHİR</v>
      </c>
      <c r="C1223" t="s">
        <v>65</v>
      </c>
      <c r="D1223" s="73" t="str">
        <f t="shared" si="31"/>
        <v>HATAY BÜYÜKŞEHİR/HATAY</v>
      </c>
      <c r="E1223" t="s">
        <v>234</v>
      </c>
      <c r="F1223" t="s">
        <v>234</v>
      </c>
      <c r="G1223" t="s">
        <v>3367</v>
      </c>
      <c r="H1223">
        <v>2318.3000000000002</v>
      </c>
      <c r="I1223">
        <v>231.83</v>
      </c>
      <c r="J1223">
        <v>0</v>
      </c>
      <c r="K1223">
        <v>0</v>
      </c>
      <c r="L1223">
        <v>2318.3000000000002</v>
      </c>
      <c r="M1223">
        <v>231.83</v>
      </c>
      <c r="O1223" s="79">
        <f>IFERROR(VLOOKUP(D1223,'KAPANAN BLD.'!$C$2:$D$793,2,FALSE),0)</f>
        <v>0</v>
      </c>
      <c r="P1223" s="79">
        <v>0</v>
      </c>
      <c r="R1223" s="79"/>
    </row>
    <row r="1224" spans="1:18" x14ac:dyDescent="0.25">
      <c r="A1224" t="s">
        <v>32</v>
      </c>
      <c r="B1224" s="73" t="str">
        <f>VLOOKUP(C1224,'Büyükşehir List'!$C$2:$D$31,2,FALSE)</f>
        <v>HATAY BÜYÜKŞEHİR</v>
      </c>
      <c r="C1224" t="s">
        <v>65</v>
      </c>
      <c r="D1224" s="73" t="str">
        <f t="shared" si="31"/>
        <v>HATAY BÜYÜKŞEHİR/HATAY</v>
      </c>
      <c r="E1224" t="s">
        <v>4481</v>
      </c>
      <c r="F1224" t="s">
        <v>4481</v>
      </c>
      <c r="G1224" t="s">
        <v>3367</v>
      </c>
      <c r="H1224">
        <v>1432.4</v>
      </c>
      <c r="I1224">
        <v>143.24</v>
      </c>
      <c r="J1224">
        <v>0</v>
      </c>
      <c r="K1224">
        <v>0</v>
      </c>
      <c r="L1224">
        <v>1432.4</v>
      </c>
      <c r="M1224">
        <v>143.24</v>
      </c>
      <c r="O1224" s="79">
        <f>IFERROR(VLOOKUP(D1224,'KAPANAN BLD.'!$C$2:$D$793,2,FALSE),0)</f>
        <v>0</v>
      </c>
      <c r="P1224" s="79">
        <v>0</v>
      </c>
      <c r="R1224" s="79"/>
    </row>
    <row r="1225" spans="1:18" x14ac:dyDescent="0.25">
      <c r="A1225" t="s">
        <v>32</v>
      </c>
      <c r="B1225" s="73" t="str">
        <f>VLOOKUP(C1225,'Büyükşehir List'!$C$2:$D$31,2,FALSE)</f>
        <v>HATAY BÜYÜKŞEHİR</v>
      </c>
      <c r="C1225" t="s">
        <v>65</v>
      </c>
      <c r="D1225" s="73" t="str">
        <f t="shared" si="31"/>
        <v>HATAY BÜYÜKŞEHİR/HATAY</v>
      </c>
      <c r="E1225" t="s">
        <v>4481</v>
      </c>
      <c r="F1225" t="s">
        <v>4481</v>
      </c>
      <c r="G1225" t="s">
        <v>3366</v>
      </c>
      <c r="H1225">
        <v>1825.3</v>
      </c>
      <c r="I1225">
        <v>182.53</v>
      </c>
      <c r="J1225">
        <v>0</v>
      </c>
      <c r="K1225">
        <v>0</v>
      </c>
      <c r="L1225">
        <v>1825.3</v>
      </c>
      <c r="M1225">
        <v>182.53</v>
      </c>
      <c r="O1225" s="79">
        <f>IFERROR(VLOOKUP(D1225,'KAPANAN BLD.'!$C$2:$D$793,2,FALSE),0)</f>
        <v>0</v>
      </c>
      <c r="P1225" s="79">
        <v>0</v>
      </c>
      <c r="R1225" s="79"/>
    </row>
    <row r="1226" spans="1:18" x14ac:dyDescent="0.25">
      <c r="A1226" t="s">
        <v>32</v>
      </c>
      <c r="B1226" s="73" t="str">
        <f>VLOOKUP(C1226,'Büyükşehir List'!$C$2:$D$31,2,FALSE)</f>
        <v>HATAY BÜYÜKŞEHİR</v>
      </c>
      <c r="C1226" t="s">
        <v>65</v>
      </c>
      <c r="D1226" s="73" t="str">
        <f t="shared" si="31"/>
        <v>HATAY BÜYÜKŞEHİR/HATAY</v>
      </c>
      <c r="E1226" t="s">
        <v>3972</v>
      </c>
      <c r="F1226" t="s">
        <v>3972</v>
      </c>
      <c r="G1226" t="s">
        <v>3367</v>
      </c>
      <c r="H1226">
        <v>416.6</v>
      </c>
      <c r="I1226">
        <v>41.66</v>
      </c>
      <c r="J1226">
        <v>0</v>
      </c>
      <c r="K1226">
        <v>0</v>
      </c>
      <c r="L1226">
        <v>416.6</v>
      </c>
      <c r="M1226">
        <v>41.66</v>
      </c>
      <c r="O1226" s="79">
        <f>IFERROR(VLOOKUP(D1226,'KAPANAN BLD.'!$C$2:$D$793,2,FALSE),0)</f>
        <v>0</v>
      </c>
      <c r="P1226" s="79">
        <v>0</v>
      </c>
      <c r="R1226" s="79"/>
    </row>
    <row r="1227" spans="1:18" x14ac:dyDescent="0.25">
      <c r="A1227" t="s">
        <v>32</v>
      </c>
      <c r="B1227" s="73" t="str">
        <f>VLOOKUP(C1227,'Büyükşehir List'!$C$2:$D$31,2,FALSE)</f>
        <v>HATAY BÜYÜKŞEHİR</v>
      </c>
      <c r="C1227" t="s">
        <v>65</v>
      </c>
      <c r="D1227" s="73" t="str">
        <f t="shared" si="31"/>
        <v>HATAY BÜYÜKŞEHİR/HATAY</v>
      </c>
      <c r="E1227" t="s">
        <v>3972</v>
      </c>
      <c r="F1227" t="s">
        <v>3972</v>
      </c>
      <c r="G1227" t="s">
        <v>3366</v>
      </c>
      <c r="H1227">
        <v>1015.6</v>
      </c>
      <c r="I1227">
        <v>101.56</v>
      </c>
      <c r="J1227">
        <v>0</v>
      </c>
      <c r="K1227">
        <v>0</v>
      </c>
      <c r="L1227">
        <v>1015.6</v>
      </c>
      <c r="M1227">
        <v>101.56</v>
      </c>
      <c r="O1227" s="79">
        <f>IFERROR(VLOOKUP(D1227,'KAPANAN BLD.'!$C$2:$D$793,2,FALSE),0)</f>
        <v>0</v>
      </c>
      <c r="P1227" s="79">
        <v>0</v>
      </c>
      <c r="R1227" s="79"/>
    </row>
    <row r="1228" spans="1:18" x14ac:dyDescent="0.25">
      <c r="A1228" t="s">
        <v>32</v>
      </c>
      <c r="B1228" s="73" t="str">
        <f>VLOOKUP(C1228,'Büyükşehir List'!$C$2:$D$31,2,FALSE)</f>
        <v>HATAY BÜYÜKŞEHİR</v>
      </c>
      <c r="C1228" t="s">
        <v>65</v>
      </c>
      <c r="D1228" s="73" t="str">
        <f t="shared" si="31"/>
        <v>HATAY BÜYÜKŞEHİR/HATAY</v>
      </c>
      <c r="E1228" t="s">
        <v>3762</v>
      </c>
      <c r="F1228" t="s">
        <v>3762</v>
      </c>
      <c r="G1228" t="s">
        <v>3366</v>
      </c>
      <c r="H1228">
        <v>5113.7</v>
      </c>
      <c r="I1228">
        <v>511.37</v>
      </c>
      <c r="J1228">
        <v>139.19999999999999</v>
      </c>
      <c r="K1228">
        <v>13.92</v>
      </c>
      <c r="L1228">
        <v>4974.5</v>
      </c>
      <c r="M1228">
        <v>497.45</v>
      </c>
      <c r="O1228" s="79">
        <f>IFERROR(VLOOKUP(D1228,'KAPANAN BLD.'!$C$2:$D$793,2,FALSE),0)</f>
        <v>0</v>
      </c>
      <c r="P1228" s="79">
        <v>0</v>
      </c>
      <c r="R1228" s="79"/>
    </row>
    <row r="1229" spans="1:18" x14ac:dyDescent="0.25">
      <c r="A1229" t="s">
        <v>32</v>
      </c>
      <c r="B1229" s="73" t="str">
        <f>VLOOKUP(C1229,'Büyükşehir List'!$C$2:$D$31,2,FALSE)</f>
        <v>HATAY BÜYÜKŞEHİR</v>
      </c>
      <c r="C1229" t="s">
        <v>65</v>
      </c>
      <c r="D1229" s="73" t="str">
        <f t="shared" si="31"/>
        <v>HATAY BÜYÜKŞEHİR/HATAY</v>
      </c>
      <c r="E1229" t="s">
        <v>3762</v>
      </c>
      <c r="F1229" t="s">
        <v>3762</v>
      </c>
      <c r="G1229" t="s">
        <v>3367</v>
      </c>
      <c r="H1229">
        <v>1703.8</v>
      </c>
      <c r="I1229">
        <v>170.38</v>
      </c>
      <c r="J1229">
        <v>118.9</v>
      </c>
      <c r="K1229">
        <v>11.89</v>
      </c>
      <c r="L1229">
        <v>1584.9</v>
      </c>
      <c r="M1229">
        <v>158.49</v>
      </c>
      <c r="O1229" s="79">
        <f>IFERROR(VLOOKUP(D1229,'KAPANAN BLD.'!$C$2:$D$793,2,FALSE),0)</f>
        <v>0</v>
      </c>
      <c r="P1229" s="79">
        <v>0</v>
      </c>
      <c r="R1229" s="79"/>
    </row>
    <row r="1230" spans="1:18" x14ac:dyDescent="0.25">
      <c r="A1230" t="s">
        <v>32</v>
      </c>
      <c r="B1230" s="73" t="str">
        <f>VLOOKUP(C1230,'Büyükşehir List'!$C$2:$D$31,2,FALSE)</f>
        <v>HATAY BÜYÜKŞEHİR</v>
      </c>
      <c r="C1230" t="s">
        <v>65</v>
      </c>
      <c r="D1230" s="73" t="str">
        <f t="shared" si="31"/>
        <v>HATAY BÜYÜKŞEHİR/HATAY</v>
      </c>
      <c r="E1230" t="s">
        <v>17</v>
      </c>
      <c r="F1230" t="s">
        <v>17</v>
      </c>
      <c r="G1230" t="s">
        <v>3366</v>
      </c>
      <c r="H1230">
        <v>235.2</v>
      </c>
      <c r="I1230">
        <v>23.52</v>
      </c>
      <c r="J1230">
        <v>0</v>
      </c>
      <c r="K1230">
        <v>0</v>
      </c>
      <c r="L1230">
        <v>235.2</v>
      </c>
      <c r="M1230">
        <v>23.52</v>
      </c>
      <c r="O1230" s="79">
        <f>IFERROR(VLOOKUP(D1230,'KAPANAN BLD.'!$C$2:$D$793,2,FALSE),0)</f>
        <v>0</v>
      </c>
      <c r="P1230" s="79">
        <v>0</v>
      </c>
      <c r="R1230" s="79"/>
    </row>
    <row r="1231" spans="1:18" x14ac:dyDescent="0.25">
      <c r="A1231" t="s">
        <v>32</v>
      </c>
      <c r="B1231" s="73" t="str">
        <f>VLOOKUP(C1231,'Büyükşehir List'!$C$2:$D$31,2,FALSE)</f>
        <v>HATAY BÜYÜKŞEHİR</v>
      </c>
      <c r="C1231" t="s">
        <v>65</v>
      </c>
      <c r="D1231" s="73" t="str">
        <f t="shared" si="31"/>
        <v>HATAY BÜYÜKŞEHİR/HATAY</v>
      </c>
      <c r="E1231" t="s">
        <v>17</v>
      </c>
      <c r="F1231" t="s">
        <v>17</v>
      </c>
      <c r="G1231" t="s">
        <v>3367</v>
      </c>
      <c r="H1231">
        <v>320.2</v>
      </c>
      <c r="I1231">
        <v>32.020000000000003</v>
      </c>
      <c r="J1231">
        <v>0</v>
      </c>
      <c r="K1231">
        <v>0</v>
      </c>
      <c r="L1231">
        <v>320.2</v>
      </c>
      <c r="M1231">
        <v>32.020000000000003</v>
      </c>
      <c r="O1231" s="79">
        <f>IFERROR(VLOOKUP(D1231,'KAPANAN BLD.'!$C$2:$D$793,2,FALSE),0)</f>
        <v>0</v>
      </c>
      <c r="P1231" s="79">
        <v>0</v>
      </c>
      <c r="R1231" s="79"/>
    </row>
    <row r="1232" spans="1:18" x14ac:dyDescent="0.25">
      <c r="A1232" t="s">
        <v>32</v>
      </c>
      <c r="B1232" s="73" t="str">
        <f>VLOOKUP(C1232,'Büyükşehir List'!$C$2:$D$31,2,FALSE)</f>
        <v>HATAY BÜYÜKŞEHİR</v>
      </c>
      <c r="C1232" t="s">
        <v>65</v>
      </c>
      <c r="D1232" s="73" t="str">
        <f t="shared" si="31"/>
        <v>HATAY BÜYÜKŞEHİR/HATAY</v>
      </c>
      <c r="E1232" t="s">
        <v>4001</v>
      </c>
      <c r="F1232" t="s">
        <v>4001</v>
      </c>
      <c r="G1232" t="s">
        <v>3367</v>
      </c>
      <c r="H1232">
        <v>44.2</v>
      </c>
      <c r="I1232">
        <v>4.42</v>
      </c>
      <c r="J1232">
        <v>0</v>
      </c>
      <c r="K1232">
        <v>0</v>
      </c>
      <c r="L1232">
        <v>44.2</v>
      </c>
      <c r="M1232">
        <v>4.42</v>
      </c>
      <c r="O1232" s="79">
        <f>IFERROR(VLOOKUP(D1232,'KAPANAN BLD.'!$C$2:$D$793,2,FALSE),0)</f>
        <v>0</v>
      </c>
      <c r="P1232" s="79">
        <v>0</v>
      </c>
      <c r="R1232" s="79"/>
    </row>
    <row r="1233" spans="1:18" x14ac:dyDescent="0.25">
      <c r="A1233" t="s">
        <v>32</v>
      </c>
      <c r="B1233" s="73" t="str">
        <f>VLOOKUP(C1233,'Büyükşehir List'!$C$2:$D$31,2,FALSE)</f>
        <v>HATAY BÜYÜKŞEHİR</v>
      </c>
      <c r="C1233" t="s">
        <v>65</v>
      </c>
      <c r="D1233" s="73" t="str">
        <f t="shared" si="31"/>
        <v>HATAY BÜYÜKŞEHİR/HATAY</v>
      </c>
      <c r="E1233" t="s">
        <v>4001</v>
      </c>
      <c r="F1233" t="s">
        <v>4001</v>
      </c>
      <c r="G1233" t="s">
        <v>3366</v>
      </c>
      <c r="H1233">
        <v>822.3</v>
      </c>
      <c r="I1233">
        <v>82.23</v>
      </c>
      <c r="J1233">
        <v>0</v>
      </c>
      <c r="K1233">
        <v>0</v>
      </c>
      <c r="L1233">
        <v>822.3</v>
      </c>
      <c r="M1233">
        <v>82.23</v>
      </c>
      <c r="O1233" s="79">
        <f>IFERROR(VLOOKUP(D1233,'KAPANAN BLD.'!$C$2:$D$793,2,FALSE),0)</f>
        <v>0</v>
      </c>
      <c r="P1233" s="79">
        <v>0</v>
      </c>
      <c r="R1233" s="79"/>
    </row>
    <row r="1234" spans="1:18" x14ac:dyDescent="0.25">
      <c r="A1234" t="s">
        <v>32</v>
      </c>
      <c r="B1234" s="73" t="str">
        <f>VLOOKUP(C1234,'Büyükşehir List'!$C$2:$D$31,2,FALSE)</f>
        <v>HATAY BÜYÜKŞEHİR</v>
      </c>
      <c r="C1234" t="s">
        <v>65</v>
      </c>
      <c r="D1234" s="73" t="str">
        <f t="shared" si="31"/>
        <v>HATAY BÜYÜKŞEHİR/HATAY</v>
      </c>
      <c r="E1234" t="s">
        <v>4380</v>
      </c>
      <c r="F1234" t="s">
        <v>4380</v>
      </c>
      <c r="G1234" t="s">
        <v>3367</v>
      </c>
      <c r="H1234">
        <v>3.6</v>
      </c>
      <c r="I1234">
        <v>0.36</v>
      </c>
      <c r="J1234">
        <v>0</v>
      </c>
      <c r="K1234">
        <v>0</v>
      </c>
      <c r="L1234">
        <v>3.6</v>
      </c>
      <c r="M1234">
        <v>0.36</v>
      </c>
      <c r="O1234" s="79">
        <f>IFERROR(VLOOKUP(D1234,'KAPANAN BLD.'!$C$2:$D$793,2,FALSE),0)</f>
        <v>0</v>
      </c>
      <c r="P1234" s="79">
        <v>0</v>
      </c>
      <c r="R1234" s="79"/>
    </row>
    <row r="1235" spans="1:18" x14ac:dyDescent="0.25">
      <c r="A1235" t="s">
        <v>32</v>
      </c>
      <c r="B1235" s="73" t="str">
        <f>VLOOKUP(C1235,'Büyükşehir List'!$C$2:$D$31,2,FALSE)</f>
        <v>HATAY BÜYÜKŞEHİR</v>
      </c>
      <c r="C1235" t="s">
        <v>65</v>
      </c>
      <c r="D1235" s="73" t="str">
        <f t="shared" si="31"/>
        <v>HATAY BÜYÜKŞEHİR/HATAY</v>
      </c>
      <c r="E1235" t="s">
        <v>4380</v>
      </c>
      <c r="F1235" t="s">
        <v>4380</v>
      </c>
      <c r="G1235" t="s">
        <v>3366</v>
      </c>
      <c r="H1235">
        <v>890.3</v>
      </c>
      <c r="I1235">
        <v>89.03</v>
      </c>
      <c r="J1235">
        <v>0</v>
      </c>
      <c r="K1235">
        <v>0</v>
      </c>
      <c r="L1235">
        <v>890.3</v>
      </c>
      <c r="M1235">
        <v>89.03</v>
      </c>
      <c r="O1235" s="79">
        <f>IFERROR(VLOOKUP(D1235,'KAPANAN BLD.'!$C$2:$D$793,2,FALSE),0)</f>
        <v>0</v>
      </c>
      <c r="P1235" s="79">
        <v>0</v>
      </c>
      <c r="R1235" s="79"/>
    </row>
    <row r="1236" spans="1:18" x14ac:dyDescent="0.25">
      <c r="A1236" t="s">
        <v>32</v>
      </c>
      <c r="B1236" s="73" t="str">
        <f>VLOOKUP(C1236,'Büyükşehir List'!$C$2:$D$31,2,FALSE)</f>
        <v>HATAY BÜYÜKŞEHİR</v>
      </c>
      <c r="C1236" t="s">
        <v>65</v>
      </c>
      <c r="D1236" s="73" t="str">
        <f t="shared" si="31"/>
        <v>HATAY BÜYÜKŞEHİR/HATAY</v>
      </c>
      <c r="E1236" t="s">
        <v>366</v>
      </c>
      <c r="F1236" t="s">
        <v>366</v>
      </c>
      <c r="G1236" t="s">
        <v>3367</v>
      </c>
      <c r="H1236">
        <v>666.5</v>
      </c>
      <c r="I1236">
        <v>66.650000000000006</v>
      </c>
      <c r="J1236">
        <v>0</v>
      </c>
      <c r="K1236">
        <v>0</v>
      </c>
      <c r="L1236">
        <v>666.5</v>
      </c>
      <c r="M1236">
        <v>66.650000000000006</v>
      </c>
      <c r="O1236" s="79">
        <f>IFERROR(VLOOKUP(D1236,'KAPANAN BLD.'!$C$2:$D$793,2,FALSE),0)</f>
        <v>0</v>
      </c>
      <c r="P1236" s="79">
        <v>0</v>
      </c>
      <c r="R1236" s="79"/>
    </row>
    <row r="1237" spans="1:18" x14ac:dyDescent="0.25">
      <c r="A1237" t="s">
        <v>32</v>
      </c>
      <c r="B1237" s="73" t="str">
        <f>VLOOKUP(C1237,'Büyükşehir List'!$C$2:$D$31,2,FALSE)</f>
        <v>HATAY BÜYÜKŞEHİR</v>
      </c>
      <c r="C1237" t="s">
        <v>65</v>
      </c>
      <c r="D1237" s="73" t="str">
        <f t="shared" si="31"/>
        <v>HATAY BÜYÜKŞEHİR/HATAY</v>
      </c>
      <c r="E1237" t="s">
        <v>366</v>
      </c>
      <c r="F1237" t="s">
        <v>366</v>
      </c>
      <c r="G1237" t="s">
        <v>3366</v>
      </c>
      <c r="H1237">
        <v>411.9</v>
      </c>
      <c r="I1237">
        <v>41.19</v>
      </c>
      <c r="J1237">
        <v>0</v>
      </c>
      <c r="K1237">
        <v>0</v>
      </c>
      <c r="L1237">
        <v>411.9</v>
      </c>
      <c r="M1237">
        <v>41.19</v>
      </c>
      <c r="O1237" s="79">
        <f>IFERROR(VLOOKUP(D1237,'KAPANAN BLD.'!$C$2:$D$793,2,FALSE),0)</f>
        <v>0</v>
      </c>
      <c r="P1237" s="79">
        <v>0</v>
      </c>
      <c r="R1237" s="79"/>
    </row>
    <row r="1238" spans="1:18" x14ac:dyDescent="0.25">
      <c r="A1238" t="s">
        <v>32</v>
      </c>
      <c r="B1238" s="73" t="str">
        <f>VLOOKUP(C1238,'Büyükşehir List'!$C$2:$D$31,2,FALSE)</f>
        <v>HATAY BÜYÜKŞEHİR</v>
      </c>
      <c r="C1238" t="s">
        <v>65</v>
      </c>
      <c r="D1238" s="73" t="str">
        <f t="shared" si="31"/>
        <v>HATAY BÜYÜKŞEHİR/HATAY</v>
      </c>
      <c r="E1238" t="s">
        <v>3763</v>
      </c>
      <c r="F1238" t="s">
        <v>3763</v>
      </c>
      <c r="G1238" t="s">
        <v>3367</v>
      </c>
      <c r="H1238">
        <v>3449.7</v>
      </c>
      <c r="I1238">
        <v>344.97</v>
      </c>
      <c r="J1238">
        <v>0</v>
      </c>
      <c r="K1238">
        <v>0</v>
      </c>
      <c r="L1238">
        <v>3449.7</v>
      </c>
      <c r="M1238">
        <v>344.97</v>
      </c>
      <c r="O1238" s="79">
        <f>IFERROR(VLOOKUP(D1238,'KAPANAN BLD.'!$C$2:$D$793,2,FALSE),0)</f>
        <v>0</v>
      </c>
      <c r="P1238" s="79">
        <v>0</v>
      </c>
      <c r="R1238" s="79"/>
    </row>
    <row r="1239" spans="1:18" x14ac:dyDescent="0.25">
      <c r="A1239" t="s">
        <v>32</v>
      </c>
      <c r="B1239" s="73" t="str">
        <f>VLOOKUP(C1239,'Büyükşehir List'!$C$2:$D$31,2,FALSE)</f>
        <v>HATAY BÜYÜKŞEHİR</v>
      </c>
      <c r="C1239" t="s">
        <v>65</v>
      </c>
      <c r="D1239" s="73" t="str">
        <f t="shared" si="31"/>
        <v>HATAY BÜYÜKŞEHİR/HATAY</v>
      </c>
      <c r="E1239" t="s">
        <v>3763</v>
      </c>
      <c r="F1239" t="s">
        <v>3763</v>
      </c>
      <c r="G1239" t="s">
        <v>3366</v>
      </c>
      <c r="H1239">
        <v>1761.1</v>
      </c>
      <c r="I1239">
        <v>176.11</v>
      </c>
      <c r="J1239">
        <v>0</v>
      </c>
      <c r="K1239">
        <v>0</v>
      </c>
      <c r="L1239">
        <v>1761.1</v>
      </c>
      <c r="M1239">
        <v>176.11</v>
      </c>
      <c r="O1239" s="79">
        <f>IFERROR(VLOOKUP(D1239,'KAPANAN BLD.'!$C$2:$D$793,2,FALSE),0)</f>
        <v>0</v>
      </c>
      <c r="P1239" s="79">
        <v>0</v>
      </c>
      <c r="R1239" s="79"/>
    </row>
    <row r="1240" spans="1:18" x14ac:dyDescent="0.25">
      <c r="A1240" t="s">
        <v>32</v>
      </c>
      <c r="B1240" s="73" t="str">
        <f>VLOOKUP(C1240,'Büyükşehir List'!$C$2:$D$31,2,FALSE)</f>
        <v>HATAY BÜYÜKŞEHİR</v>
      </c>
      <c r="C1240" t="s">
        <v>65</v>
      </c>
      <c r="D1240" s="73" t="str">
        <f t="shared" si="31"/>
        <v>HATAY BÜYÜKŞEHİR/HATAY</v>
      </c>
      <c r="E1240" t="s">
        <v>3926</v>
      </c>
      <c r="F1240" t="s">
        <v>3926</v>
      </c>
      <c r="G1240" t="s">
        <v>3366</v>
      </c>
      <c r="H1240">
        <v>96.2</v>
      </c>
      <c r="I1240">
        <v>9.6199999999999992</v>
      </c>
      <c r="J1240">
        <v>0</v>
      </c>
      <c r="K1240">
        <v>0</v>
      </c>
      <c r="L1240">
        <v>96.2</v>
      </c>
      <c r="M1240">
        <v>9.6199999999999992</v>
      </c>
      <c r="O1240" s="79">
        <f>IFERROR(VLOOKUP(D1240,'KAPANAN BLD.'!$C$2:$D$793,2,FALSE),0)</f>
        <v>0</v>
      </c>
      <c r="P1240" s="79">
        <v>0</v>
      </c>
      <c r="R1240" s="79"/>
    </row>
    <row r="1241" spans="1:18" x14ac:dyDescent="0.25">
      <c r="A1241" t="s">
        <v>32</v>
      </c>
      <c r="B1241" s="73" t="str">
        <f>VLOOKUP(C1241,'Büyükşehir List'!$C$2:$D$31,2,FALSE)</f>
        <v>HATAY BÜYÜKŞEHİR</v>
      </c>
      <c r="C1241" t="s">
        <v>65</v>
      </c>
      <c r="D1241" s="73" t="str">
        <f t="shared" si="31"/>
        <v>HATAY BÜYÜKŞEHİR/HATAY</v>
      </c>
      <c r="E1241" t="s">
        <v>3926</v>
      </c>
      <c r="F1241" t="s">
        <v>3926</v>
      </c>
      <c r="G1241" t="s">
        <v>3367</v>
      </c>
      <c r="H1241">
        <v>2053.1999999999998</v>
      </c>
      <c r="I1241">
        <v>205.32</v>
      </c>
      <c r="J1241">
        <v>0</v>
      </c>
      <c r="K1241">
        <v>0</v>
      </c>
      <c r="L1241">
        <v>2053.1999999999998</v>
      </c>
      <c r="M1241">
        <v>205.32</v>
      </c>
      <c r="O1241" s="79">
        <f>IFERROR(VLOOKUP(D1241,'KAPANAN BLD.'!$C$2:$D$793,2,FALSE),0)</f>
        <v>0</v>
      </c>
      <c r="P1241" s="79">
        <v>0</v>
      </c>
      <c r="R1241" s="79"/>
    </row>
    <row r="1242" spans="1:18" x14ac:dyDescent="0.25">
      <c r="A1242" t="s">
        <v>32</v>
      </c>
      <c r="B1242" s="73" t="str">
        <f>VLOOKUP(C1242,'Büyükşehir List'!$C$2:$D$31,2,FALSE)</f>
        <v>HATAY BÜYÜKŞEHİR</v>
      </c>
      <c r="C1242" t="s">
        <v>65</v>
      </c>
      <c r="D1242" s="73" t="str">
        <f t="shared" si="31"/>
        <v>HATAY BÜYÜKŞEHİR/HATAY</v>
      </c>
      <c r="E1242" t="s">
        <v>4381</v>
      </c>
      <c r="F1242" t="s">
        <v>4381</v>
      </c>
      <c r="G1242" t="s">
        <v>3366</v>
      </c>
      <c r="H1242">
        <v>7455.8</v>
      </c>
      <c r="I1242">
        <v>745.58</v>
      </c>
      <c r="J1242">
        <v>0</v>
      </c>
      <c r="K1242">
        <v>0</v>
      </c>
      <c r="L1242">
        <v>7455.8</v>
      </c>
      <c r="M1242">
        <v>745.58</v>
      </c>
      <c r="O1242" s="79">
        <f>IFERROR(VLOOKUP(D1242,'KAPANAN BLD.'!$C$2:$D$793,2,FALSE),0)</f>
        <v>0</v>
      </c>
      <c r="P1242" s="79">
        <v>0</v>
      </c>
      <c r="R1242" s="79"/>
    </row>
    <row r="1243" spans="1:18" x14ac:dyDescent="0.25">
      <c r="A1243" t="s">
        <v>32</v>
      </c>
      <c r="B1243" s="73" t="str">
        <f>VLOOKUP(C1243,'Büyükşehir List'!$C$2:$D$31,2,FALSE)</f>
        <v>HATAY BÜYÜKŞEHİR</v>
      </c>
      <c r="C1243" t="s">
        <v>65</v>
      </c>
      <c r="D1243" s="73" t="str">
        <f t="shared" si="31"/>
        <v>HATAY BÜYÜKŞEHİR/HATAY</v>
      </c>
      <c r="E1243" t="s">
        <v>4381</v>
      </c>
      <c r="F1243" t="s">
        <v>4381</v>
      </c>
      <c r="G1243" t="s">
        <v>3367</v>
      </c>
      <c r="H1243">
        <v>896.1</v>
      </c>
      <c r="I1243">
        <v>89.61</v>
      </c>
      <c r="J1243">
        <v>0</v>
      </c>
      <c r="K1243">
        <v>0</v>
      </c>
      <c r="L1243">
        <v>896.1</v>
      </c>
      <c r="M1243">
        <v>89.61</v>
      </c>
      <c r="O1243" s="79">
        <f>IFERROR(VLOOKUP(D1243,'KAPANAN BLD.'!$C$2:$D$793,2,FALSE),0)</f>
        <v>0</v>
      </c>
      <c r="P1243" s="79">
        <v>0</v>
      </c>
      <c r="R1243" s="79"/>
    </row>
    <row r="1244" spans="1:18" x14ac:dyDescent="0.25">
      <c r="A1244" t="s">
        <v>32</v>
      </c>
      <c r="B1244" s="73" t="str">
        <f>VLOOKUP(C1244,'Büyükşehir List'!$C$2:$D$31,2,FALSE)</f>
        <v>HATAY BÜYÜKŞEHİR</v>
      </c>
      <c r="C1244" t="s">
        <v>65</v>
      </c>
      <c r="D1244" s="73" t="str">
        <f t="shared" si="31"/>
        <v>HATAY BÜYÜKŞEHİR/HATAY</v>
      </c>
      <c r="E1244" t="s">
        <v>4022</v>
      </c>
      <c r="F1244" t="s">
        <v>4022</v>
      </c>
      <c r="G1244" t="s">
        <v>3367</v>
      </c>
      <c r="H1244">
        <v>365.5</v>
      </c>
      <c r="I1244">
        <v>36.549999999999997</v>
      </c>
      <c r="J1244">
        <v>0</v>
      </c>
      <c r="K1244">
        <v>0</v>
      </c>
      <c r="L1244">
        <v>365.5</v>
      </c>
      <c r="M1244">
        <v>36.549999999999997</v>
      </c>
      <c r="O1244" s="79">
        <f>IFERROR(VLOOKUP(D1244,'KAPANAN BLD.'!$C$2:$D$793,2,FALSE),0)</f>
        <v>0</v>
      </c>
      <c r="P1244" s="79">
        <v>0</v>
      </c>
      <c r="R1244" s="79"/>
    </row>
    <row r="1245" spans="1:18" x14ac:dyDescent="0.25">
      <c r="A1245" t="s">
        <v>32</v>
      </c>
      <c r="B1245" s="73" t="str">
        <f>VLOOKUP(C1245,'Büyükşehir List'!$C$2:$D$31,2,FALSE)</f>
        <v>HATAY BÜYÜKŞEHİR</v>
      </c>
      <c r="C1245" t="s">
        <v>65</v>
      </c>
      <c r="D1245" s="73" t="str">
        <f t="shared" si="31"/>
        <v>HATAY BÜYÜKŞEHİR/HATAY</v>
      </c>
      <c r="E1245" t="s">
        <v>4022</v>
      </c>
      <c r="F1245" t="s">
        <v>4022</v>
      </c>
      <c r="G1245" t="s">
        <v>3366</v>
      </c>
      <c r="H1245">
        <v>208.8</v>
      </c>
      <c r="I1245">
        <v>20.88</v>
      </c>
      <c r="J1245">
        <v>0</v>
      </c>
      <c r="K1245">
        <v>0</v>
      </c>
      <c r="L1245">
        <v>208.8</v>
      </c>
      <c r="M1245">
        <v>20.88</v>
      </c>
      <c r="O1245" s="79">
        <f>IFERROR(VLOOKUP(D1245,'KAPANAN BLD.'!$C$2:$D$793,2,FALSE),0)</f>
        <v>0</v>
      </c>
      <c r="P1245" s="79">
        <v>0</v>
      </c>
      <c r="R1245" s="79"/>
    </row>
    <row r="1246" spans="1:18" x14ac:dyDescent="0.25">
      <c r="A1246" t="s">
        <v>32</v>
      </c>
      <c r="B1246" s="73" t="str">
        <f>VLOOKUP(C1246,'Büyükşehir List'!$C$2:$D$31,2,FALSE)</f>
        <v>HATAY BÜYÜKŞEHİR</v>
      </c>
      <c r="C1246" t="s">
        <v>65</v>
      </c>
      <c r="D1246" s="73" t="str">
        <f t="shared" si="31"/>
        <v>HATAY BÜYÜKŞEHİR/HATAY</v>
      </c>
      <c r="E1246" t="s">
        <v>4482</v>
      </c>
      <c r="F1246" t="s">
        <v>4482</v>
      </c>
      <c r="G1246" t="s">
        <v>3367</v>
      </c>
      <c r="H1246">
        <v>212.2</v>
      </c>
      <c r="I1246">
        <v>21.22</v>
      </c>
      <c r="J1246">
        <v>0</v>
      </c>
      <c r="K1246">
        <v>0</v>
      </c>
      <c r="L1246">
        <v>212.2</v>
      </c>
      <c r="M1246">
        <v>21.22</v>
      </c>
      <c r="O1246" s="79">
        <f>IFERROR(VLOOKUP(D1246,'KAPANAN BLD.'!$C$2:$D$793,2,FALSE),0)</f>
        <v>0</v>
      </c>
      <c r="P1246" s="79">
        <v>0</v>
      </c>
      <c r="R1246" s="79"/>
    </row>
    <row r="1247" spans="1:18" x14ac:dyDescent="0.25">
      <c r="A1247" t="s">
        <v>32</v>
      </c>
      <c r="B1247" s="73" t="str">
        <f>VLOOKUP(C1247,'Büyükşehir List'!$C$2:$D$31,2,FALSE)</f>
        <v>HATAY BÜYÜKŞEHİR</v>
      </c>
      <c r="C1247" t="s">
        <v>65</v>
      </c>
      <c r="D1247" s="73" t="str">
        <f t="shared" si="31"/>
        <v>HATAY BÜYÜKŞEHİR/HATAY</v>
      </c>
      <c r="E1247" t="s">
        <v>64</v>
      </c>
      <c r="F1247" t="s">
        <v>64</v>
      </c>
      <c r="G1247" t="s">
        <v>3366</v>
      </c>
      <c r="H1247">
        <v>2477.54</v>
      </c>
      <c r="I1247">
        <v>247.75</v>
      </c>
      <c r="J1247">
        <v>0</v>
      </c>
      <c r="K1247">
        <v>0</v>
      </c>
      <c r="L1247">
        <v>2477.54</v>
      </c>
      <c r="M1247">
        <v>247.75</v>
      </c>
      <c r="O1247" s="79">
        <f>IFERROR(VLOOKUP(D1247,'KAPANAN BLD.'!$C$2:$D$793,2,FALSE),0)</f>
        <v>0</v>
      </c>
      <c r="P1247" s="79">
        <v>0</v>
      </c>
      <c r="R1247" s="79"/>
    </row>
    <row r="1248" spans="1:18" x14ac:dyDescent="0.25">
      <c r="A1248" t="s">
        <v>32</v>
      </c>
      <c r="B1248" s="73" t="str">
        <f>VLOOKUP(C1248,'Büyükşehir List'!$C$2:$D$31,2,FALSE)</f>
        <v>HATAY BÜYÜKŞEHİR</v>
      </c>
      <c r="C1248" t="s">
        <v>65</v>
      </c>
      <c r="D1248" s="73" t="str">
        <f t="shared" si="31"/>
        <v>HATAY BÜYÜKŞEHİR/HATAY</v>
      </c>
      <c r="E1248" t="s">
        <v>64</v>
      </c>
      <c r="F1248" t="s">
        <v>64</v>
      </c>
      <c r="G1248" t="s">
        <v>3367</v>
      </c>
      <c r="H1248">
        <v>6126</v>
      </c>
      <c r="I1248">
        <v>612.6</v>
      </c>
      <c r="J1248">
        <v>0</v>
      </c>
      <c r="K1248">
        <v>0</v>
      </c>
      <c r="L1248">
        <v>6126</v>
      </c>
      <c r="M1248">
        <v>612.6</v>
      </c>
      <c r="O1248" s="79">
        <f>IFERROR(VLOOKUP(D1248,'KAPANAN BLD.'!$C$2:$D$793,2,FALSE),0)</f>
        <v>0</v>
      </c>
      <c r="P1248" s="79">
        <v>0</v>
      </c>
      <c r="R1248" s="79"/>
    </row>
    <row r="1249" spans="1:18" x14ac:dyDescent="0.25">
      <c r="A1249" t="s">
        <v>32</v>
      </c>
      <c r="B1249" s="73" t="str">
        <f>VLOOKUP(C1249,'Büyükşehir List'!$C$2:$D$31,2,FALSE)</f>
        <v>HATAY BÜYÜKŞEHİR</v>
      </c>
      <c r="C1249" t="s">
        <v>65</v>
      </c>
      <c r="D1249" s="73" t="str">
        <f t="shared" si="31"/>
        <v>HATAY BÜYÜKŞEHİR/HATAY</v>
      </c>
      <c r="E1249" t="s">
        <v>48</v>
      </c>
      <c r="F1249" t="s">
        <v>48</v>
      </c>
      <c r="G1249" t="s">
        <v>3367</v>
      </c>
      <c r="H1249">
        <v>2356.1</v>
      </c>
      <c r="I1249">
        <v>235.61</v>
      </c>
      <c r="J1249">
        <v>0</v>
      </c>
      <c r="K1249">
        <v>0</v>
      </c>
      <c r="L1249">
        <v>2356.1</v>
      </c>
      <c r="M1249">
        <v>235.61</v>
      </c>
      <c r="O1249" s="79">
        <f>IFERROR(VLOOKUP(D1249,'KAPANAN BLD.'!$C$2:$D$793,2,FALSE),0)</f>
        <v>0</v>
      </c>
      <c r="P1249" s="79">
        <v>0</v>
      </c>
      <c r="R1249" s="79"/>
    </row>
    <row r="1250" spans="1:18" x14ac:dyDescent="0.25">
      <c r="A1250" t="s">
        <v>32</v>
      </c>
      <c r="B1250" s="73" t="str">
        <f>VLOOKUP(C1250,'Büyükşehir List'!$C$2:$D$31,2,FALSE)</f>
        <v>HATAY BÜYÜKŞEHİR</v>
      </c>
      <c r="C1250" t="s">
        <v>65</v>
      </c>
      <c r="D1250" s="73" t="str">
        <f t="shared" si="31"/>
        <v>HATAY BÜYÜKŞEHİR/HATAY</v>
      </c>
      <c r="E1250" t="s">
        <v>48</v>
      </c>
      <c r="F1250" t="s">
        <v>48</v>
      </c>
      <c r="G1250" t="s">
        <v>3366</v>
      </c>
      <c r="H1250">
        <v>1142.3</v>
      </c>
      <c r="I1250">
        <v>114.23</v>
      </c>
      <c r="J1250">
        <v>0</v>
      </c>
      <c r="K1250">
        <v>0</v>
      </c>
      <c r="L1250">
        <v>1142.3</v>
      </c>
      <c r="M1250">
        <v>114.23</v>
      </c>
      <c r="O1250" s="79">
        <f>IFERROR(VLOOKUP(D1250,'KAPANAN BLD.'!$C$2:$D$793,2,FALSE),0)</f>
        <v>0</v>
      </c>
      <c r="P1250" s="79">
        <v>0</v>
      </c>
      <c r="R1250" s="79"/>
    </row>
    <row r="1251" spans="1:18" x14ac:dyDescent="0.25">
      <c r="A1251" t="s">
        <v>32</v>
      </c>
      <c r="B1251" s="73" t="str">
        <f>VLOOKUP(C1251,'Büyükşehir List'!$C$2:$D$31,2,FALSE)</f>
        <v>HATAY BÜYÜKŞEHİR</v>
      </c>
      <c r="C1251" t="s">
        <v>65</v>
      </c>
      <c r="D1251" s="73" t="str">
        <f t="shared" si="31"/>
        <v>HATAY BÜYÜKŞEHİR/HATAY</v>
      </c>
      <c r="E1251" t="s">
        <v>3938</v>
      </c>
      <c r="F1251" t="s">
        <v>3938</v>
      </c>
      <c r="G1251" t="s">
        <v>3367</v>
      </c>
      <c r="H1251">
        <v>828</v>
      </c>
      <c r="I1251">
        <v>82.8</v>
      </c>
      <c r="J1251">
        <v>12.2</v>
      </c>
      <c r="K1251">
        <v>1.22</v>
      </c>
      <c r="L1251">
        <v>815.8</v>
      </c>
      <c r="M1251">
        <v>81.58</v>
      </c>
      <c r="O1251" s="79">
        <f>IFERROR(VLOOKUP(D1251,'KAPANAN BLD.'!$C$2:$D$793,2,FALSE),0)</f>
        <v>0</v>
      </c>
      <c r="P1251" s="79">
        <v>0</v>
      </c>
      <c r="R1251" s="79"/>
    </row>
    <row r="1252" spans="1:18" x14ac:dyDescent="0.25">
      <c r="A1252" t="s">
        <v>32</v>
      </c>
      <c r="B1252" s="73" t="str">
        <f>VLOOKUP(C1252,'Büyükşehir List'!$C$2:$D$31,2,FALSE)</f>
        <v>HATAY BÜYÜKŞEHİR</v>
      </c>
      <c r="C1252" t="s">
        <v>65</v>
      </c>
      <c r="D1252" s="73" t="str">
        <f t="shared" si="31"/>
        <v>HATAY BÜYÜKŞEHİR/HATAY</v>
      </c>
      <c r="E1252" t="s">
        <v>3938</v>
      </c>
      <c r="F1252" t="s">
        <v>3938</v>
      </c>
      <c r="G1252" t="s">
        <v>3366</v>
      </c>
      <c r="H1252">
        <v>144.30000000000001</v>
      </c>
      <c r="I1252">
        <v>14.43</v>
      </c>
      <c r="J1252">
        <v>231.9</v>
      </c>
      <c r="K1252">
        <v>23.19</v>
      </c>
      <c r="L1252">
        <v>-87.6</v>
      </c>
      <c r="M1252">
        <v>-8.76</v>
      </c>
      <c r="O1252" s="79">
        <f>IFERROR(VLOOKUP(D1252,'KAPANAN BLD.'!$C$2:$D$793,2,FALSE),0)</f>
        <v>0</v>
      </c>
      <c r="P1252" s="79">
        <v>0</v>
      </c>
      <c r="R1252" s="79"/>
    </row>
    <row r="1253" spans="1:18" x14ac:dyDescent="0.25">
      <c r="A1253" t="s">
        <v>32</v>
      </c>
      <c r="B1253" s="73" t="str">
        <f>VLOOKUP(C1253,'Büyükşehir List'!$C$2:$D$31,2,FALSE)</f>
        <v>HATAY BÜYÜKŞEHİR</v>
      </c>
      <c r="C1253" t="s">
        <v>65</v>
      </c>
      <c r="D1253" s="73" t="str">
        <f t="shared" si="31"/>
        <v>HATAY BÜYÜKŞEHİR/HATAY</v>
      </c>
      <c r="E1253" t="s">
        <v>3958</v>
      </c>
      <c r="F1253" t="s">
        <v>3958</v>
      </c>
      <c r="G1253" t="s">
        <v>3367</v>
      </c>
      <c r="H1253">
        <v>804.5</v>
      </c>
      <c r="I1253">
        <v>80.45</v>
      </c>
      <c r="J1253">
        <v>0</v>
      </c>
      <c r="K1253">
        <v>0</v>
      </c>
      <c r="L1253">
        <v>804.5</v>
      </c>
      <c r="M1253">
        <v>80.45</v>
      </c>
      <c r="O1253" s="79">
        <f>IFERROR(VLOOKUP(D1253,'KAPANAN BLD.'!$C$2:$D$793,2,FALSE),0)</f>
        <v>0</v>
      </c>
      <c r="P1253" s="79">
        <v>0</v>
      </c>
      <c r="R1253" s="79"/>
    </row>
    <row r="1254" spans="1:18" x14ac:dyDescent="0.25">
      <c r="A1254" t="s">
        <v>32</v>
      </c>
      <c r="B1254" s="73" t="str">
        <f>VLOOKUP(C1254,'Büyükşehir List'!$C$2:$D$31,2,FALSE)</f>
        <v>HATAY BÜYÜKŞEHİR</v>
      </c>
      <c r="C1254" t="s">
        <v>65</v>
      </c>
      <c r="D1254" s="73" t="str">
        <f t="shared" si="31"/>
        <v>HATAY BÜYÜKŞEHİR/HATAY</v>
      </c>
      <c r="E1254" t="s">
        <v>3958</v>
      </c>
      <c r="F1254" t="s">
        <v>3958</v>
      </c>
      <c r="G1254" t="s">
        <v>3366</v>
      </c>
      <c r="H1254">
        <v>358.7</v>
      </c>
      <c r="I1254">
        <v>35.869999999999997</v>
      </c>
      <c r="J1254">
        <v>0</v>
      </c>
      <c r="K1254">
        <v>0</v>
      </c>
      <c r="L1254">
        <v>358.7</v>
      </c>
      <c r="M1254">
        <v>35.869999999999997</v>
      </c>
      <c r="O1254" s="79">
        <f>IFERROR(VLOOKUP(D1254,'KAPANAN BLD.'!$C$2:$D$793,2,FALSE),0)</f>
        <v>0</v>
      </c>
      <c r="P1254" s="79">
        <v>0</v>
      </c>
      <c r="R1254" s="79"/>
    </row>
    <row r="1255" spans="1:18" x14ac:dyDescent="0.25">
      <c r="A1255" t="s">
        <v>32</v>
      </c>
      <c r="B1255" s="73" t="str">
        <f>VLOOKUP(C1255,'Büyükşehir List'!$C$2:$D$31,2,FALSE)</f>
        <v>HATAY BÜYÜKŞEHİR</v>
      </c>
      <c r="C1255" t="s">
        <v>65</v>
      </c>
      <c r="D1255" s="73" t="str">
        <f t="shared" si="31"/>
        <v>HATAY BÜYÜKŞEHİR/HATAY</v>
      </c>
      <c r="E1255" t="s">
        <v>3764</v>
      </c>
      <c r="F1255" t="s">
        <v>3764</v>
      </c>
      <c r="G1255" t="s">
        <v>3367</v>
      </c>
      <c r="H1255">
        <v>3271.4</v>
      </c>
      <c r="I1255">
        <v>327.14</v>
      </c>
      <c r="J1255">
        <v>15</v>
      </c>
      <c r="K1255">
        <v>1.5</v>
      </c>
      <c r="L1255">
        <v>3256.4</v>
      </c>
      <c r="M1255">
        <v>325.64</v>
      </c>
      <c r="O1255" s="79">
        <f>IFERROR(VLOOKUP(D1255,'KAPANAN BLD.'!$C$2:$D$793,2,FALSE),0)</f>
        <v>0</v>
      </c>
      <c r="P1255" s="79">
        <v>0</v>
      </c>
      <c r="R1255" s="79"/>
    </row>
    <row r="1256" spans="1:18" x14ac:dyDescent="0.25">
      <c r="A1256" t="s">
        <v>32</v>
      </c>
      <c r="B1256" s="73" t="str">
        <f>VLOOKUP(C1256,'Büyükşehir List'!$C$2:$D$31,2,FALSE)</f>
        <v>HATAY BÜYÜKŞEHİR</v>
      </c>
      <c r="C1256" t="s">
        <v>65</v>
      </c>
      <c r="D1256" s="73" t="str">
        <f t="shared" si="31"/>
        <v>HATAY BÜYÜKŞEHİR/HATAY</v>
      </c>
      <c r="E1256" t="s">
        <v>3764</v>
      </c>
      <c r="F1256" t="s">
        <v>3764</v>
      </c>
      <c r="G1256" t="s">
        <v>3366</v>
      </c>
      <c r="H1256">
        <v>6511.6</v>
      </c>
      <c r="I1256">
        <v>651.16</v>
      </c>
      <c r="J1256">
        <v>0</v>
      </c>
      <c r="K1256">
        <v>0</v>
      </c>
      <c r="L1256">
        <v>6511.6</v>
      </c>
      <c r="M1256">
        <v>651.16</v>
      </c>
      <c r="O1256" s="79">
        <f>IFERROR(VLOOKUP(D1256,'KAPANAN BLD.'!$C$2:$D$793,2,FALSE),0)</f>
        <v>0</v>
      </c>
      <c r="P1256" s="79">
        <v>0</v>
      </c>
      <c r="R1256" s="79"/>
    </row>
    <row r="1257" spans="1:18" x14ac:dyDescent="0.25">
      <c r="A1257" t="s">
        <v>32</v>
      </c>
      <c r="B1257" s="73" t="str">
        <f>VLOOKUP(C1257,'Büyükşehir List'!$C$2:$D$31,2,FALSE)</f>
        <v>HATAY BÜYÜKŞEHİR</v>
      </c>
      <c r="C1257" t="s">
        <v>65</v>
      </c>
      <c r="D1257" s="73" t="str">
        <f t="shared" si="31"/>
        <v>HATAY BÜYÜKŞEHİR/HATAY</v>
      </c>
      <c r="E1257" t="s">
        <v>4023</v>
      </c>
      <c r="F1257" t="s">
        <v>4023</v>
      </c>
      <c r="G1257" t="s">
        <v>3366</v>
      </c>
      <c r="H1257">
        <v>660.3</v>
      </c>
      <c r="I1257">
        <v>66.03</v>
      </c>
      <c r="J1257">
        <v>0</v>
      </c>
      <c r="K1257">
        <v>0</v>
      </c>
      <c r="L1257">
        <v>660.3</v>
      </c>
      <c r="M1257">
        <v>66.03</v>
      </c>
      <c r="O1257" s="79">
        <f>IFERROR(VLOOKUP(D1257,'KAPANAN BLD.'!$C$2:$D$793,2,FALSE),0)</f>
        <v>0</v>
      </c>
      <c r="P1257" s="79">
        <v>0</v>
      </c>
      <c r="R1257" s="79"/>
    </row>
    <row r="1258" spans="1:18" x14ac:dyDescent="0.25">
      <c r="A1258" t="s">
        <v>32</v>
      </c>
      <c r="B1258" s="73" t="str">
        <f>VLOOKUP(C1258,'Büyükşehir List'!$C$2:$D$31,2,FALSE)</f>
        <v>HATAY BÜYÜKŞEHİR</v>
      </c>
      <c r="C1258" t="s">
        <v>65</v>
      </c>
      <c r="D1258" s="73" t="str">
        <f t="shared" si="31"/>
        <v>HATAY BÜYÜKŞEHİR/HATAY</v>
      </c>
      <c r="E1258" t="s">
        <v>4023</v>
      </c>
      <c r="F1258" t="s">
        <v>4023</v>
      </c>
      <c r="G1258" t="s">
        <v>3367</v>
      </c>
      <c r="H1258">
        <v>172.4</v>
      </c>
      <c r="I1258">
        <v>17.239999999999998</v>
      </c>
      <c r="J1258">
        <v>0</v>
      </c>
      <c r="K1258">
        <v>0</v>
      </c>
      <c r="L1258">
        <v>172.4</v>
      </c>
      <c r="M1258">
        <v>17.239999999999998</v>
      </c>
      <c r="O1258" s="79">
        <f>IFERROR(VLOOKUP(D1258,'KAPANAN BLD.'!$C$2:$D$793,2,FALSE),0)</f>
        <v>0</v>
      </c>
      <c r="P1258" s="79">
        <v>0</v>
      </c>
      <c r="R1258" s="79"/>
    </row>
    <row r="1259" spans="1:18" x14ac:dyDescent="0.25">
      <c r="A1259" t="s">
        <v>32</v>
      </c>
      <c r="B1259" s="73" t="str">
        <f>VLOOKUP(C1259,'Büyükşehir List'!$C$2:$D$31,2,FALSE)</f>
        <v>HATAY BÜYÜKŞEHİR</v>
      </c>
      <c r="C1259" t="s">
        <v>65</v>
      </c>
      <c r="D1259" s="73" t="str">
        <f t="shared" si="31"/>
        <v>HATAY BÜYÜKŞEHİR/HATAY</v>
      </c>
      <c r="E1259" t="s">
        <v>367</v>
      </c>
      <c r="F1259" t="s">
        <v>367</v>
      </c>
      <c r="G1259" t="s">
        <v>3366</v>
      </c>
      <c r="H1259">
        <v>3196.4</v>
      </c>
      <c r="I1259">
        <v>319.64</v>
      </c>
      <c r="J1259">
        <v>3050.2</v>
      </c>
      <c r="K1259">
        <v>305.02</v>
      </c>
      <c r="L1259">
        <v>146.19999999999999</v>
      </c>
      <c r="M1259">
        <v>14.62</v>
      </c>
      <c r="O1259" s="79">
        <f>IFERROR(VLOOKUP(D1259,'KAPANAN BLD.'!$C$2:$D$793,2,FALSE),0)</f>
        <v>0</v>
      </c>
      <c r="P1259" s="79">
        <v>0</v>
      </c>
      <c r="R1259" s="79"/>
    </row>
    <row r="1260" spans="1:18" x14ac:dyDescent="0.25">
      <c r="A1260" t="s">
        <v>32</v>
      </c>
      <c r="B1260" s="73" t="str">
        <f>VLOOKUP(C1260,'Büyükşehir List'!$C$2:$D$31,2,FALSE)</f>
        <v>HATAY BÜYÜKŞEHİR</v>
      </c>
      <c r="C1260" t="s">
        <v>65</v>
      </c>
      <c r="D1260" s="73" t="str">
        <f t="shared" si="31"/>
        <v>HATAY BÜYÜKŞEHİR/HATAY</v>
      </c>
      <c r="E1260" t="s">
        <v>367</v>
      </c>
      <c r="F1260" t="s">
        <v>367</v>
      </c>
      <c r="G1260" t="s">
        <v>3367</v>
      </c>
      <c r="H1260">
        <v>189.6</v>
      </c>
      <c r="I1260">
        <v>18.96</v>
      </c>
      <c r="J1260">
        <v>180.8</v>
      </c>
      <c r="K1260">
        <v>18.079999999999998</v>
      </c>
      <c r="L1260">
        <v>8.8000000000000007</v>
      </c>
      <c r="M1260">
        <v>0.88</v>
      </c>
      <c r="O1260" s="79">
        <f>IFERROR(VLOOKUP(D1260,'KAPANAN BLD.'!$C$2:$D$793,2,FALSE),0)</f>
        <v>0</v>
      </c>
      <c r="P1260" s="79">
        <v>0</v>
      </c>
      <c r="R1260" s="79"/>
    </row>
    <row r="1261" spans="1:18" x14ac:dyDescent="0.25">
      <c r="A1261" t="s">
        <v>32</v>
      </c>
      <c r="B1261" s="73" t="str">
        <f>VLOOKUP(C1261,'Büyükşehir List'!$C$2:$D$31,2,FALSE)</f>
        <v>HATAY BÜYÜKŞEHİR</v>
      </c>
      <c r="C1261" t="s">
        <v>65</v>
      </c>
      <c r="D1261" s="73" t="str">
        <f t="shared" si="31"/>
        <v>HATAY BÜYÜKŞEHİR/HATAY</v>
      </c>
      <c r="E1261" t="s">
        <v>4483</v>
      </c>
      <c r="F1261" t="s">
        <v>4483</v>
      </c>
      <c r="G1261" t="s">
        <v>3367</v>
      </c>
      <c r="H1261">
        <v>426.2</v>
      </c>
      <c r="I1261">
        <v>42.62</v>
      </c>
      <c r="J1261">
        <v>0</v>
      </c>
      <c r="K1261">
        <v>0</v>
      </c>
      <c r="L1261">
        <v>426.2</v>
      </c>
      <c r="M1261">
        <v>42.62</v>
      </c>
      <c r="O1261" s="79">
        <f>IFERROR(VLOOKUP(D1261,'KAPANAN BLD.'!$C$2:$D$793,2,FALSE),0)</f>
        <v>0</v>
      </c>
      <c r="P1261" s="79">
        <v>0</v>
      </c>
      <c r="R1261" s="79"/>
    </row>
    <row r="1262" spans="1:18" x14ac:dyDescent="0.25">
      <c r="A1262" t="s">
        <v>32</v>
      </c>
      <c r="B1262" s="73" t="str">
        <f>VLOOKUP(C1262,'Büyükşehir List'!$C$2:$D$31,2,FALSE)</f>
        <v>HATAY BÜYÜKŞEHİR</v>
      </c>
      <c r="C1262" t="s">
        <v>65</v>
      </c>
      <c r="D1262" s="73" t="str">
        <f t="shared" si="31"/>
        <v>HATAY BÜYÜKŞEHİR/HATAY</v>
      </c>
      <c r="E1262" t="s">
        <v>4483</v>
      </c>
      <c r="F1262" t="s">
        <v>4483</v>
      </c>
      <c r="G1262" t="s">
        <v>3366</v>
      </c>
      <c r="H1262">
        <v>347.8</v>
      </c>
      <c r="I1262">
        <v>34.78</v>
      </c>
      <c r="J1262">
        <v>0</v>
      </c>
      <c r="K1262">
        <v>0</v>
      </c>
      <c r="L1262">
        <v>347.8</v>
      </c>
      <c r="M1262">
        <v>34.78</v>
      </c>
      <c r="O1262" s="79">
        <f>IFERROR(VLOOKUP(D1262,'KAPANAN BLD.'!$C$2:$D$793,2,FALSE),0)</f>
        <v>0</v>
      </c>
      <c r="P1262" s="79">
        <v>0</v>
      </c>
      <c r="R1262" s="79"/>
    </row>
    <row r="1263" spans="1:18" x14ac:dyDescent="0.25">
      <c r="A1263" t="s">
        <v>32</v>
      </c>
      <c r="B1263" s="73" t="str">
        <f>VLOOKUP(C1263,'Büyükşehir List'!$C$2:$D$31,2,FALSE)</f>
        <v>HATAY BÜYÜKŞEHİR</v>
      </c>
      <c r="C1263" t="s">
        <v>65</v>
      </c>
      <c r="D1263" s="73" t="str">
        <f t="shared" si="31"/>
        <v>HATAY BÜYÜKŞEHİR/HATAY</v>
      </c>
      <c r="E1263" t="s">
        <v>4024</v>
      </c>
      <c r="F1263" t="s">
        <v>4024</v>
      </c>
      <c r="G1263" t="s">
        <v>3367</v>
      </c>
      <c r="H1263">
        <v>446.5</v>
      </c>
      <c r="I1263">
        <v>44.65</v>
      </c>
      <c r="J1263">
        <v>0</v>
      </c>
      <c r="K1263">
        <v>0</v>
      </c>
      <c r="L1263">
        <v>446.5</v>
      </c>
      <c r="M1263">
        <v>44.65</v>
      </c>
      <c r="O1263" s="79">
        <f>IFERROR(VLOOKUP(D1263,'KAPANAN BLD.'!$C$2:$D$793,2,FALSE),0)</f>
        <v>0</v>
      </c>
      <c r="P1263" s="79">
        <v>0</v>
      </c>
      <c r="R1263" s="79"/>
    </row>
    <row r="1264" spans="1:18" x14ac:dyDescent="0.25">
      <c r="A1264" t="s">
        <v>32</v>
      </c>
      <c r="B1264" s="73" t="str">
        <f>VLOOKUP(C1264,'Büyükşehir List'!$C$2:$D$31,2,FALSE)</f>
        <v>HATAY BÜYÜKŞEHİR</v>
      </c>
      <c r="C1264" t="s">
        <v>65</v>
      </c>
      <c r="D1264" s="73" t="str">
        <f t="shared" si="31"/>
        <v>HATAY BÜYÜKŞEHİR/HATAY</v>
      </c>
      <c r="E1264" t="s">
        <v>4024</v>
      </c>
      <c r="F1264" t="s">
        <v>4024</v>
      </c>
      <c r="G1264" t="s">
        <v>3366</v>
      </c>
      <c r="H1264">
        <v>552.70000000000005</v>
      </c>
      <c r="I1264">
        <v>55.27</v>
      </c>
      <c r="J1264">
        <v>0</v>
      </c>
      <c r="K1264">
        <v>0</v>
      </c>
      <c r="L1264">
        <v>552.70000000000005</v>
      </c>
      <c r="M1264">
        <v>55.27</v>
      </c>
      <c r="O1264" s="79">
        <f>IFERROR(VLOOKUP(D1264,'KAPANAN BLD.'!$C$2:$D$793,2,FALSE),0)</f>
        <v>0</v>
      </c>
      <c r="P1264" s="79">
        <v>0</v>
      </c>
      <c r="R1264" s="79"/>
    </row>
    <row r="1265" spans="1:18" x14ac:dyDescent="0.25">
      <c r="A1265" t="s">
        <v>32</v>
      </c>
      <c r="B1265" s="73" t="str">
        <f>VLOOKUP(C1265,'Büyükşehir List'!$C$2:$D$31,2,FALSE)</f>
        <v>HATAY BÜYÜKŞEHİR</v>
      </c>
      <c r="C1265" t="s">
        <v>65</v>
      </c>
      <c r="D1265" s="73" t="str">
        <f t="shared" si="31"/>
        <v>HATAY BÜYÜKŞEHİR/HATAY</v>
      </c>
      <c r="E1265" t="s">
        <v>3985</v>
      </c>
      <c r="F1265" t="s">
        <v>3985</v>
      </c>
      <c r="G1265" t="s">
        <v>3367</v>
      </c>
      <c r="H1265">
        <v>67</v>
      </c>
      <c r="I1265">
        <v>6.7</v>
      </c>
      <c r="J1265">
        <v>0</v>
      </c>
      <c r="K1265">
        <v>0</v>
      </c>
      <c r="L1265">
        <v>67</v>
      </c>
      <c r="M1265">
        <v>6.7</v>
      </c>
      <c r="O1265" s="79">
        <f>IFERROR(VLOOKUP(D1265,'KAPANAN BLD.'!$C$2:$D$793,2,FALSE),0)</f>
        <v>0</v>
      </c>
      <c r="P1265" s="79">
        <v>0</v>
      </c>
      <c r="R1265" s="79"/>
    </row>
    <row r="1266" spans="1:18" x14ac:dyDescent="0.25">
      <c r="A1266" t="s">
        <v>32</v>
      </c>
      <c r="B1266" s="73" t="str">
        <f>VLOOKUP(C1266,'Büyükşehir List'!$C$2:$D$31,2,FALSE)</f>
        <v>HATAY BÜYÜKŞEHİR</v>
      </c>
      <c r="C1266" t="s">
        <v>65</v>
      </c>
      <c r="D1266" s="73" t="str">
        <f t="shared" si="31"/>
        <v>HATAY BÜYÜKŞEHİR/HATAY</v>
      </c>
      <c r="E1266" t="s">
        <v>3985</v>
      </c>
      <c r="F1266" t="s">
        <v>3985</v>
      </c>
      <c r="G1266" t="s">
        <v>3366</v>
      </c>
      <c r="H1266">
        <v>41.5</v>
      </c>
      <c r="I1266">
        <v>4.1500000000000004</v>
      </c>
      <c r="J1266">
        <v>0</v>
      </c>
      <c r="K1266">
        <v>0</v>
      </c>
      <c r="L1266">
        <v>41.5</v>
      </c>
      <c r="M1266">
        <v>4.1500000000000004</v>
      </c>
      <c r="O1266" s="79">
        <f>IFERROR(VLOOKUP(D1266,'KAPANAN BLD.'!$C$2:$D$793,2,FALSE),0)</f>
        <v>0</v>
      </c>
      <c r="P1266" s="79">
        <v>0</v>
      </c>
      <c r="R1266" s="79"/>
    </row>
    <row r="1267" spans="1:18" x14ac:dyDescent="0.25">
      <c r="A1267" t="s">
        <v>32</v>
      </c>
      <c r="B1267" s="73" t="str">
        <f>VLOOKUP(C1267,'Büyükşehir List'!$C$2:$D$31,2,FALSE)</f>
        <v>HATAY BÜYÜKŞEHİR</v>
      </c>
      <c r="C1267" t="s">
        <v>65</v>
      </c>
      <c r="D1267" s="73" t="str">
        <f t="shared" si="31"/>
        <v>HATAY BÜYÜKŞEHİR/HATAY</v>
      </c>
      <c r="E1267" t="s">
        <v>3937</v>
      </c>
      <c r="F1267" t="s">
        <v>3937</v>
      </c>
      <c r="G1267" t="s">
        <v>3367</v>
      </c>
      <c r="H1267">
        <v>352.9</v>
      </c>
      <c r="I1267">
        <v>35.29</v>
      </c>
      <c r="J1267">
        <v>0</v>
      </c>
      <c r="K1267">
        <v>0</v>
      </c>
      <c r="L1267">
        <v>352.9</v>
      </c>
      <c r="M1267">
        <v>35.29</v>
      </c>
      <c r="O1267" s="79">
        <f>IFERROR(VLOOKUP(D1267,'KAPANAN BLD.'!$C$2:$D$793,2,FALSE),0)</f>
        <v>0</v>
      </c>
      <c r="P1267" s="79">
        <v>0</v>
      </c>
      <c r="R1267" s="79"/>
    </row>
    <row r="1268" spans="1:18" x14ac:dyDescent="0.25">
      <c r="A1268" t="s">
        <v>32</v>
      </c>
      <c r="B1268" s="73" t="str">
        <f>VLOOKUP(C1268,'Büyükşehir List'!$C$2:$D$31,2,FALSE)</f>
        <v>HATAY BÜYÜKŞEHİR</v>
      </c>
      <c r="C1268" t="s">
        <v>65</v>
      </c>
      <c r="D1268" s="73" t="str">
        <f t="shared" si="31"/>
        <v>HATAY BÜYÜKŞEHİR/HATAY</v>
      </c>
      <c r="E1268" t="s">
        <v>3937</v>
      </c>
      <c r="F1268" t="s">
        <v>3937</v>
      </c>
      <c r="G1268" t="s">
        <v>3366</v>
      </c>
      <c r="H1268">
        <v>780</v>
      </c>
      <c r="I1268">
        <v>78</v>
      </c>
      <c r="J1268">
        <v>0</v>
      </c>
      <c r="K1268">
        <v>0</v>
      </c>
      <c r="L1268">
        <v>780</v>
      </c>
      <c r="M1268">
        <v>78</v>
      </c>
      <c r="O1268" s="79">
        <f>IFERROR(VLOOKUP(D1268,'KAPANAN BLD.'!$C$2:$D$793,2,FALSE),0)</f>
        <v>0</v>
      </c>
      <c r="P1268" s="79">
        <v>0</v>
      </c>
      <c r="R1268" s="79"/>
    </row>
    <row r="1269" spans="1:18" x14ac:dyDescent="0.25">
      <c r="A1269" t="s">
        <v>32</v>
      </c>
      <c r="B1269" s="73" t="str">
        <f>VLOOKUP(C1269,'Büyükşehir List'!$C$2:$D$31,2,FALSE)</f>
        <v>HATAY BÜYÜKŞEHİR</v>
      </c>
      <c r="C1269" t="s">
        <v>65</v>
      </c>
      <c r="D1269" s="73" t="str">
        <f t="shared" si="31"/>
        <v>HATAY BÜYÜKŞEHİR/HATAY</v>
      </c>
      <c r="E1269" t="s">
        <v>4048</v>
      </c>
      <c r="F1269" t="s">
        <v>4048</v>
      </c>
      <c r="G1269" t="s">
        <v>3367</v>
      </c>
      <c r="H1269">
        <v>93.5</v>
      </c>
      <c r="I1269">
        <v>9.35</v>
      </c>
      <c r="J1269">
        <v>0</v>
      </c>
      <c r="K1269">
        <v>0</v>
      </c>
      <c r="L1269">
        <v>93.5</v>
      </c>
      <c r="M1269">
        <v>9.35</v>
      </c>
      <c r="O1269" s="79">
        <f>IFERROR(VLOOKUP(D1269,'KAPANAN BLD.'!$C$2:$D$793,2,FALSE),0)</f>
        <v>0</v>
      </c>
      <c r="P1269" s="79">
        <v>0</v>
      </c>
      <c r="R1269" s="79"/>
    </row>
    <row r="1270" spans="1:18" x14ac:dyDescent="0.25">
      <c r="A1270" t="s">
        <v>32</v>
      </c>
      <c r="B1270" s="73" t="str">
        <f>VLOOKUP(C1270,'Büyükşehir List'!$C$2:$D$31,2,FALSE)</f>
        <v>HATAY BÜYÜKŞEHİR</v>
      </c>
      <c r="C1270" t="s">
        <v>65</v>
      </c>
      <c r="D1270" s="73" t="str">
        <f t="shared" si="31"/>
        <v>HATAY BÜYÜKŞEHİR/HATAY</v>
      </c>
      <c r="E1270" t="s">
        <v>4484</v>
      </c>
      <c r="F1270" t="s">
        <v>4484</v>
      </c>
      <c r="G1270" t="s">
        <v>3367</v>
      </c>
      <c r="H1270">
        <v>109.8</v>
      </c>
      <c r="I1270">
        <v>10.98</v>
      </c>
      <c r="J1270">
        <v>0</v>
      </c>
      <c r="K1270">
        <v>0</v>
      </c>
      <c r="L1270">
        <v>109.8</v>
      </c>
      <c r="M1270">
        <v>10.98</v>
      </c>
      <c r="O1270" s="79">
        <f>IFERROR(VLOOKUP(D1270,'KAPANAN BLD.'!$C$2:$D$793,2,FALSE),0)</f>
        <v>0</v>
      </c>
      <c r="P1270" s="79">
        <v>0</v>
      </c>
      <c r="R1270" s="79"/>
    </row>
    <row r="1271" spans="1:18" x14ac:dyDescent="0.25">
      <c r="A1271" t="s">
        <v>32</v>
      </c>
      <c r="B1271" s="73" t="str">
        <f>VLOOKUP(C1271,'Büyükşehir List'!$C$2:$D$31,2,FALSE)</f>
        <v>HATAY BÜYÜKŞEHİR</v>
      </c>
      <c r="C1271" t="s">
        <v>65</v>
      </c>
      <c r="D1271" s="73" t="str">
        <f t="shared" si="31"/>
        <v>HATAY BÜYÜKŞEHİR/HATAY</v>
      </c>
      <c r="E1271" t="s">
        <v>2131</v>
      </c>
      <c r="F1271" t="s">
        <v>2131</v>
      </c>
      <c r="G1271" t="s">
        <v>3366</v>
      </c>
      <c r="H1271">
        <v>949.5</v>
      </c>
      <c r="I1271">
        <v>94.95</v>
      </c>
      <c r="J1271">
        <v>380.4</v>
      </c>
      <c r="K1271">
        <v>38.04</v>
      </c>
      <c r="L1271">
        <v>569.1</v>
      </c>
      <c r="M1271">
        <v>56.91</v>
      </c>
      <c r="O1271" s="79">
        <f>IFERROR(VLOOKUP(D1271,'KAPANAN BLD.'!$C$2:$D$793,2,FALSE),0)</f>
        <v>0</v>
      </c>
      <c r="P1271" s="79">
        <v>0</v>
      </c>
      <c r="R1271" s="79"/>
    </row>
    <row r="1272" spans="1:18" x14ac:dyDescent="0.25">
      <c r="A1272" t="s">
        <v>32</v>
      </c>
      <c r="B1272" s="73" t="str">
        <f>VLOOKUP(C1272,'Büyükşehir List'!$C$2:$D$31,2,FALSE)</f>
        <v>HATAY BÜYÜKŞEHİR</v>
      </c>
      <c r="C1272" t="s">
        <v>65</v>
      </c>
      <c r="D1272" s="73" t="str">
        <f t="shared" si="31"/>
        <v>HATAY BÜYÜKŞEHİR/HATAY</v>
      </c>
      <c r="E1272" t="s">
        <v>2131</v>
      </c>
      <c r="F1272" t="s">
        <v>2131</v>
      </c>
      <c r="G1272" t="s">
        <v>3367</v>
      </c>
      <c r="H1272">
        <v>2971.7</v>
      </c>
      <c r="I1272">
        <v>297.17</v>
      </c>
      <c r="J1272">
        <v>14.1</v>
      </c>
      <c r="K1272">
        <v>1.41</v>
      </c>
      <c r="L1272">
        <v>2957.6</v>
      </c>
      <c r="M1272">
        <v>295.76</v>
      </c>
      <c r="O1272" s="79">
        <f>IFERROR(VLOOKUP(D1272,'KAPANAN BLD.'!$C$2:$D$793,2,FALSE),0)</f>
        <v>0</v>
      </c>
      <c r="P1272" s="79">
        <v>0</v>
      </c>
      <c r="R1272" s="79"/>
    </row>
    <row r="1273" spans="1:18" x14ac:dyDescent="0.25">
      <c r="A1273" t="s">
        <v>32</v>
      </c>
      <c r="B1273" s="73" t="str">
        <f>VLOOKUP(C1273,'Büyükşehir List'!$C$2:$D$31,2,FALSE)</f>
        <v>HATAY BÜYÜKŞEHİR</v>
      </c>
      <c r="C1273" t="s">
        <v>65</v>
      </c>
      <c r="D1273" s="73" t="str">
        <f t="shared" si="31"/>
        <v>HATAY BÜYÜKŞEHİR/HATAY</v>
      </c>
      <c r="E1273" t="s">
        <v>4223</v>
      </c>
      <c r="F1273" t="s">
        <v>4223</v>
      </c>
      <c r="G1273" t="s">
        <v>3367</v>
      </c>
      <c r="H1273">
        <v>358.6</v>
      </c>
      <c r="I1273">
        <v>35.86</v>
      </c>
      <c r="J1273">
        <v>0</v>
      </c>
      <c r="K1273">
        <v>0</v>
      </c>
      <c r="L1273">
        <v>358.6</v>
      </c>
      <c r="M1273">
        <v>35.86</v>
      </c>
      <c r="O1273" s="79">
        <f>IFERROR(VLOOKUP(D1273,'KAPANAN BLD.'!$C$2:$D$793,2,FALSE),0)</f>
        <v>0</v>
      </c>
      <c r="P1273" s="79">
        <v>0</v>
      </c>
      <c r="R1273" s="79"/>
    </row>
    <row r="1274" spans="1:18" x14ac:dyDescent="0.25">
      <c r="A1274" t="s">
        <v>32</v>
      </c>
      <c r="B1274" s="73" t="str">
        <f>VLOOKUP(C1274,'Büyükşehir List'!$C$2:$D$31,2,FALSE)</f>
        <v>HATAY BÜYÜKŞEHİR</v>
      </c>
      <c r="C1274" t="s">
        <v>65</v>
      </c>
      <c r="D1274" s="73" t="str">
        <f t="shared" si="31"/>
        <v>HATAY BÜYÜKŞEHİR/HATAY</v>
      </c>
      <c r="E1274" t="s">
        <v>4223</v>
      </c>
      <c r="F1274" t="s">
        <v>4223</v>
      </c>
      <c r="G1274" t="s">
        <v>3366</v>
      </c>
      <c r="H1274">
        <v>228</v>
      </c>
      <c r="I1274">
        <v>22.8</v>
      </c>
      <c r="J1274">
        <v>0</v>
      </c>
      <c r="K1274">
        <v>0</v>
      </c>
      <c r="L1274">
        <v>228</v>
      </c>
      <c r="M1274">
        <v>22.8</v>
      </c>
      <c r="O1274" s="79">
        <f>IFERROR(VLOOKUP(D1274,'KAPANAN BLD.'!$C$2:$D$793,2,FALSE),0)</f>
        <v>0</v>
      </c>
      <c r="P1274" s="79">
        <v>0</v>
      </c>
      <c r="R1274" s="79"/>
    </row>
    <row r="1275" spans="1:18" x14ac:dyDescent="0.25">
      <c r="A1275" t="s">
        <v>32</v>
      </c>
      <c r="B1275" s="73" t="str">
        <f>VLOOKUP(C1275,'Büyükşehir List'!$C$2:$D$31,2,FALSE)</f>
        <v>HATAY BÜYÜKŞEHİR</v>
      </c>
      <c r="C1275" t="s">
        <v>65</v>
      </c>
      <c r="D1275" s="73" t="str">
        <f t="shared" si="31"/>
        <v>HATAY BÜYÜKŞEHİR/HATAY</v>
      </c>
      <c r="E1275" t="s">
        <v>1868</v>
      </c>
      <c r="F1275" t="s">
        <v>1868</v>
      </c>
      <c r="G1275" t="s">
        <v>3367</v>
      </c>
      <c r="H1275">
        <v>45</v>
      </c>
      <c r="I1275">
        <v>4.5</v>
      </c>
      <c r="J1275">
        <v>0</v>
      </c>
      <c r="K1275">
        <v>0</v>
      </c>
      <c r="L1275">
        <v>45</v>
      </c>
      <c r="M1275">
        <v>4.5</v>
      </c>
      <c r="O1275" s="79">
        <f>IFERROR(VLOOKUP(D1275,'KAPANAN BLD.'!$C$2:$D$793,2,FALSE),0)</f>
        <v>0</v>
      </c>
      <c r="P1275" s="79">
        <v>0</v>
      </c>
      <c r="R1275" s="79"/>
    </row>
    <row r="1276" spans="1:18" x14ac:dyDescent="0.25">
      <c r="A1276" t="s">
        <v>32</v>
      </c>
      <c r="B1276" s="73" t="str">
        <f>VLOOKUP(C1276,'Büyükşehir List'!$C$2:$D$31,2,FALSE)</f>
        <v>HATAY BÜYÜKŞEHİR</v>
      </c>
      <c r="C1276" t="s">
        <v>65</v>
      </c>
      <c r="D1276" s="73" t="str">
        <f t="shared" si="31"/>
        <v>HATAY BÜYÜKŞEHİR/HATAY</v>
      </c>
      <c r="E1276" t="s">
        <v>1868</v>
      </c>
      <c r="F1276" t="s">
        <v>1868</v>
      </c>
      <c r="G1276" t="s">
        <v>3366</v>
      </c>
      <c r="H1276">
        <v>402.8</v>
      </c>
      <c r="I1276">
        <v>40.28</v>
      </c>
      <c r="J1276">
        <v>0</v>
      </c>
      <c r="K1276">
        <v>0</v>
      </c>
      <c r="L1276">
        <v>402.8</v>
      </c>
      <c r="M1276">
        <v>40.28</v>
      </c>
      <c r="O1276" s="79">
        <f>IFERROR(VLOOKUP(D1276,'KAPANAN BLD.'!$C$2:$D$793,2,FALSE),0)</f>
        <v>0</v>
      </c>
      <c r="P1276" s="79">
        <v>0</v>
      </c>
      <c r="R1276" s="79"/>
    </row>
    <row r="1277" spans="1:18" x14ac:dyDescent="0.25">
      <c r="A1277" t="s">
        <v>32</v>
      </c>
      <c r="B1277" s="73" t="str">
        <f>VLOOKUP(C1277,'Büyükşehir List'!$C$2:$D$31,2,FALSE)</f>
        <v>HATAY BÜYÜKŞEHİR</v>
      </c>
      <c r="C1277" t="s">
        <v>65</v>
      </c>
      <c r="D1277" s="73" t="str">
        <f t="shared" si="31"/>
        <v>HATAY BÜYÜKŞEHİR/HATAY</v>
      </c>
      <c r="E1277" t="s">
        <v>34</v>
      </c>
      <c r="F1277" t="s">
        <v>34</v>
      </c>
      <c r="G1277" t="s">
        <v>3367</v>
      </c>
      <c r="H1277">
        <v>14457.1</v>
      </c>
      <c r="I1277">
        <v>1445.71</v>
      </c>
      <c r="J1277">
        <v>1754.7</v>
      </c>
      <c r="K1277">
        <v>175.47</v>
      </c>
      <c r="L1277">
        <v>12702.4</v>
      </c>
      <c r="M1277">
        <v>1270.24</v>
      </c>
      <c r="O1277" s="79">
        <f>IFERROR(VLOOKUP(D1277,'KAPANAN BLD.'!$C$2:$D$793,2,FALSE),0)</f>
        <v>0</v>
      </c>
      <c r="P1277" s="79">
        <v>0</v>
      </c>
      <c r="R1277" s="79"/>
    </row>
    <row r="1278" spans="1:18" x14ac:dyDescent="0.25">
      <c r="A1278" t="s">
        <v>32</v>
      </c>
      <c r="B1278" s="73" t="str">
        <f>VLOOKUP(C1278,'Büyükşehir List'!$C$2:$D$31,2,FALSE)</f>
        <v>HATAY BÜYÜKŞEHİR</v>
      </c>
      <c r="C1278" t="s">
        <v>65</v>
      </c>
      <c r="D1278" s="73" t="str">
        <f t="shared" si="31"/>
        <v>HATAY BÜYÜKŞEHİR/HATAY</v>
      </c>
      <c r="E1278" t="s">
        <v>34</v>
      </c>
      <c r="F1278" t="s">
        <v>34</v>
      </c>
      <c r="G1278" t="s">
        <v>3366</v>
      </c>
      <c r="H1278">
        <v>22602.799999999999</v>
      </c>
      <c r="I1278">
        <v>2260.2800000000002</v>
      </c>
      <c r="J1278">
        <v>736.7</v>
      </c>
      <c r="K1278">
        <v>73.67</v>
      </c>
      <c r="L1278">
        <v>21866.1</v>
      </c>
      <c r="M1278">
        <v>2186.61</v>
      </c>
      <c r="O1278" s="79">
        <f>IFERROR(VLOOKUP(D1278,'KAPANAN BLD.'!$C$2:$D$793,2,FALSE),0)</f>
        <v>0</v>
      </c>
      <c r="P1278" s="79">
        <v>0</v>
      </c>
      <c r="R1278" s="79"/>
    </row>
    <row r="1279" spans="1:18" x14ac:dyDescent="0.25">
      <c r="A1279" t="s">
        <v>32</v>
      </c>
      <c r="B1279" s="73" t="str">
        <f>VLOOKUP(C1279,'Büyükşehir List'!$C$2:$D$31,2,FALSE)</f>
        <v>HATAY BÜYÜKŞEHİR</v>
      </c>
      <c r="C1279" t="s">
        <v>65</v>
      </c>
      <c r="D1279" s="73" t="str">
        <f t="shared" si="31"/>
        <v>HATAY BÜYÜKŞEHİR/HATAY</v>
      </c>
      <c r="E1279" t="s">
        <v>4485</v>
      </c>
      <c r="F1279" t="s">
        <v>4485</v>
      </c>
      <c r="G1279" t="s">
        <v>3367</v>
      </c>
      <c r="H1279">
        <v>45</v>
      </c>
      <c r="I1279">
        <v>4.5</v>
      </c>
      <c r="J1279">
        <v>0</v>
      </c>
      <c r="K1279">
        <v>0</v>
      </c>
      <c r="L1279">
        <v>45</v>
      </c>
      <c r="M1279">
        <v>4.5</v>
      </c>
      <c r="O1279" s="79">
        <f>IFERROR(VLOOKUP(D1279,'KAPANAN BLD.'!$C$2:$D$793,2,FALSE),0)</f>
        <v>0</v>
      </c>
      <c r="P1279" s="79">
        <v>0</v>
      </c>
      <c r="R1279" s="79"/>
    </row>
    <row r="1280" spans="1:18" x14ac:dyDescent="0.25">
      <c r="A1280" t="s">
        <v>32</v>
      </c>
      <c r="B1280" s="73" t="str">
        <f>VLOOKUP(C1280,'Büyükşehir List'!$C$2:$D$31,2,FALSE)</f>
        <v>HATAY BÜYÜKŞEHİR</v>
      </c>
      <c r="C1280" t="s">
        <v>65</v>
      </c>
      <c r="D1280" s="73" t="str">
        <f t="shared" si="31"/>
        <v>HATAY BÜYÜKŞEHİR/HATAY</v>
      </c>
      <c r="E1280" t="s">
        <v>4485</v>
      </c>
      <c r="F1280" t="s">
        <v>4485</v>
      </c>
      <c r="G1280" t="s">
        <v>3366</v>
      </c>
      <c r="H1280">
        <v>402.8</v>
      </c>
      <c r="I1280">
        <v>40.28</v>
      </c>
      <c r="J1280">
        <v>0</v>
      </c>
      <c r="K1280">
        <v>0</v>
      </c>
      <c r="L1280">
        <v>402.8</v>
      </c>
      <c r="M1280">
        <v>40.28</v>
      </c>
      <c r="O1280" s="79">
        <f>IFERROR(VLOOKUP(D1280,'KAPANAN BLD.'!$C$2:$D$793,2,FALSE),0)</f>
        <v>0</v>
      </c>
      <c r="P1280" s="79">
        <v>0</v>
      </c>
      <c r="R1280" s="79"/>
    </row>
    <row r="1281" spans="1:18" x14ac:dyDescent="0.25">
      <c r="A1281" t="s">
        <v>32</v>
      </c>
      <c r="B1281" s="73" t="str">
        <f>VLOOKUP(C1281,'Büyükşehir List'!$C$2:$D$31,2,FALSE)</f>
        <v>HATAY BÜYÜKŞEHİR</v>
      </c>
      <c r="C1281" t="s">
        <v>65</v>
      </c>
      <c r="D1281" s="73" t="str">
        <f t="shared" si="31"/>
        <v>HATAY BÜYÜKŞEHİR/HATAY</v>
      </c>
      <c r="E1281" t="s">
        <v>368</v>
      </c>
      <c r="F1281" t="s">
        <v>368</v>
      </c>
      <c r="G1281" t="s">
        <v>3366</v>
      </c>
      <c r="H1281">
        <v>1969.1</v>
      </c>
      <c r="I1281">
        <v>196.91</v>
      </c>
      <c r="J1281">
        <v>0</v>
      </c>
      <c r="K1281">
        <v>0</v>
      </c>
      <c r="L1281">
        <v>1969.1</v>
      </c>
      <c r="M1281">
        <v>196.91</v>
      </c>
      <c r="O1281" s="79">
        <f>IFERROR(VLOOKUP(D1281,'KAPANAN BLD.'!$C$2:$D$793,2,FALSE),0)</f>
        <v>0</v>
      </c>
      <c r="P1281" s="79">
        <v>0</v>
      </c>
      <c r="R1281" s="79"/>
    </row>
    <row r="1282" spans="1:18" x14ac:dyDescent="0.25">
      <c r="A1282" t="s">
        <v>32</v>
      </c>
      <c r="B1282" s="73" t="str">
        <f>VLOOKUP(C1282,'Büyükşehir List'!$C$2:$D$31,2,FALSE)</f>
        <v>HATAY BÜYÜKŞEHİR</v>
      </c>
      <c r="C1282" t="s">
        <v>65</v>
      </c>
      <c r="D1282" s="73" t="str">
        <f t="shared" si="31"/>
        <v>HATAY BÜYÜKŞEHİR/HATAY</v>
      </c>
      <c r="E1282" t="s">
        <v>368</v>
      </c>
      <c r="F1282" t="s">
        <v>368</v>
      </c>
      <c r="G1282" t="s">
        <v>3367</v>
      </c>
      <c r="H1282">
        <v>1602.4</v>
      </c>
      <c r="I1282">
        <v>160.24</v>
      </c>
      <c r="J1282">
        <v>0</v>
      </c>
      <c r="K1282">
        <v>0</v>
      </c>
      <c r="L1282">
        <v>1602.4</v>
      </c>
      <c r="M1282">
        <v>160.24</v>
      </c>
      <c r="O1282" s="79">
        <f>IFERROR(VLOOKUP(D1282,'KAPANAN BLD.'!$C$2:$D$793,2,FALSE),0)</f>
        <v>0</v>
      </c>
      <c r="P1282" s="79">
        <v>0</v>
      </c>
      <c r="R1282" s="79"/>
    </row>
    <row r="1283" spans="1:18" x14ac:dyDescent="0.25">
      <c r="A1283" t="s">
        <v>32</v>
      </c>
      <c r="B1283" s="73" t="str">
        <f>VLOOKUP(C1283,'Büyükşehir List'!$C$2:$D$31,2,FALSE)</f>
        <v>HATAY BÜYÜKŞEHİR</v>
      </c>
      <c r="C1283" t="s">
        <v>65</v>
      </c>
      <c r="D1283" s="73" t="str">
        <f t="shared" ref="D1283:D1346" si="32">CONCATENATE(B1283,"/",C1283)</f>
        <v>HATAY BÜYÜKŞEHİR/HATAY</v>
      </c>
      <c r="E1283" t="s">
        <v>1869</v>
      </c>
      <c r="F1283" t="s">
        <v>1869</v>
      </c>
      <c r="G1283" t="s">
        <v>3367</v>
      </c>
      <c r="H1283">
        <v>112.3</v>
      </c>
      <c r="I1283">
        <v>11.23</v>
      </c>
      <c r="J1283">
        <v>0</v>
      </c>
      <c r="K1283">
        <v>0</v>
      </c>
      <c r="L1283">
        <v>112.3</v>
      </c>
      <c r="M1283">
        <v>11.23</v>
      </c>
      <c r="O1283" s="79">
        <f>IFERROR(VLOOKUP(D1283,'KAPANAN BLD.'!$C$2:$D$793,2,FALSE),0)</f>
        <v>0</v>
      </c>
      <c r="P1283" s="79">
        <v>0</v>
      </c>
      <c r="R1283" s="79"/>
    </row>
    <row r="1284" spans="1:18" x14ac:dyDescent="0.25">
      <c r="A1284" t="s">
        <v>32</v>
      </c>
      <c r="B1284" s="73" t="str">
        <f>VLOOKUP(C1284,'Büyükşehir List'!$C$2:$D$31,2,FALSE)</f>
        <v>HATAY BÜYÜKŞEHİR</v>
      </c>
      <c r="C1284" t="s">
        <v>65</v>
      </c>
      <c r="D1284" s="73" t="str">
        <f t="shared" si="32"/>
        <v>HATAY BÜYÜKŞEHİR/HATAY</v>
      </c>
      <c r="E1284" t="s">
        <v>1869</v>
      </c>
      <c r="F1284" t="s">
        <v>1869</v>
      </c>
      <c r="G1284" t="s">
        <v>3366</v>
      </c>
      <c r="H1284">
        <v>587.1</v>
      </c>
      <c r="I1284">
        <v>58.71</v>
      </c>
      <c r="J1284">
        <v>0</v>
      </c>
      <c r="K1284">
        <v>0</v>
      </c>
      <c r="L1284">
        <v>587.1</v>
      </c>
      <c r="M1284">
        <v>58.71</v>
      </c>
      <c r="O1284" s="79">
        <f>IFERROR(VLOOKUP(D1284,'KAPANAN BLD.'!$C$2:$D$793,2,FALSE),0)</f>
        <v>0</v>
      </c>
      <c r="P1284" s="79">
        <v>0</v>
      </c>
      <c r="R1284" s="79"/>
    </row>
    <row r="1285" spans="1:18" x14ac:dyDescent="0.25">
      <c r="A1285" t="s">
        <v>32</v>
      </c>
      <c r="B1285" s="73" t="str">
        <f>VLOOKUP(C1285,'Büyükşehir List'!$C$2:$D$31,2,FALSE)</f>
        <v>HATAY BÜYÜKŞEHİR</v>
      </c>
      <c r="C1285" t="s">
        <v>65</v>
      </c>
      <c r="D1285" s="73" t="str">
        <f t="shared" si="32"/>
        <v>HATAY BÜYÜKŞEHİR/HATAY</v>
      </c>
      <c r="E1285" t="s">
        <v>4302</v>
      </c>
      <c r="F1285" t="s">
        <v>4302</v>
      </c>
      <c r="G1285" t="s">
        <v>3367</v>
      </c>
      <c r="H1285">
        <v>155.19999999999999</v>
      </c>
      <c r="I1285">
        <v>15.52</v>
      </c>
      <c r="J1285">
        <v>0</v>
      </c>
      <c r="K1285">
        <v>0</v>
      </c>
      <c r="L1285">
        <v>155.19999999999999</v>
      </c>
      <c r="M1285">
        <v>15.52</v>
      </c>
      <c r="O1285" s="79">
        <f>IFERROR(VLOOKUP(D1285,'KAPANAN BLD.'!$C$2:$D$793,2,FALSE),0)</f>
        <v>0</v>
      </c>
      <c r="P1285" s="79">
        <v>0</v>
      </c>
      <c r="R1285" s="79"/>
    </row>
    <row r="1286" spans="1:18" x14ac:dyDescent="0.25">
      <c r="A1286" t="s">
        <v>32</v>
      </c>
      <c r="B1286" s="73" t="str">
        <f>VLOOKUP(C1286,'Büyükşehir List'!$C$2:$D$31,2,FALSE)</f>
        <v>HATAY BÜYÜKŞEHİR</v>
      </c>
      <c r="C1286" t="s">
        <v>65</v>
      </c>
      <c r="D1286" s="73" t="str">
        <f t="shared" si="32"/>
        <v>HATAY BÜYÜKŞEHİR/HATAY</v>
      </c>
      <c r="E1286" t="s">
        <v>4302</v>
      </c>
      <c r="F1286" t="s">
        <v>4302</v>
      </c>
      <c r="G1286" t="s">
        <v>3366</v>
      </c>
      <c r="H1286">
        <v>989.9</v>
      </c>
      <c r="I1286">
        <v>98.99</v>
      </c>
      <c r="J1286">
        <v>0</v>
      </c>
      <c r="K1286">
        <v>0</v>
      </c>
      <c r="L1286">
        <v>989.9</v>
      </c>
      <c r="M1286">
        <v>98.99</v>
      </c>
      <c r="O1286" s="79">
        <f>IFERROR(VLOOKUP(D1286,'KAPANAN BLD.'!$C$2:$D$793,2,FALSE),0)</f>
        <v>0</v>
      </c>
      <c r="P1286" s="79">
        <v>0</v>
      </c>
      <c r="R1286" s="79"/>
    </row>
    <row r="1287" spans="1:18" x14ac:dyDescent="0.25">
      <c r="A1287" t="s">
        <v>32</v>
      </c>
      <c r="B1287" s="73" t="str">
        <f>VLOOKUP(C1287,'Büyükşehir List'!$C$2:$D$31,2,FALSE)</f>
        <v>HATAY BÜYÜKŞEHİR</v>
      </c>
      <c r="C1287" t="s">
        <v>65</v>
      </c>
      <c r="D1287" s="73" t="str">
        <f t="shared" si="32"/>
        <v>HATAY BÜYÜKŞEHİR/HATAY</v>
      </c>
      <c r="E1287" t="s">
        <v>2981</v>
      </c>
      <c r="F1287" t="s">
        <v>2981</v>
      </c>
      <c r="G1287" t="s">
        <v>3367</v>
      </c>
      <c r="H1287">
        <v>126.6</v>
      </c>
      <c r="I1287">
        <v>12.66</v>
      </c>
      <c r="J1287">
        <v>0</v>
      </c>
      <c r="K1287">
        <v>0</v>
      </c>
      <c r="L1287">
        <v>126.6</v>
      </c>
      <c r="M1287">
        <v>12.66</v>
      </c>
      <c r="O1287" s="79">
        <f>IFERROR(VLOOKUP(D1287,'KAPANAN BLD.'!$C$2:$D$793,2,FALSE),0)</f>
        <v>0</v>
      </c>
      <c r="P1287" s="79">
        <v>0</v>
      </c>
      <c r="R1287" s="79"/>
    </row>
    <row r="1288" spans="1:18" x14ac:dyDescent="0.25">
      <c r="A1288" t="s">
        <v>32</v>
      </c>
      <c r="B1288" s="73" t="str">
        <f>VLOOKUP(C1288,'Büyükşehir List'!$C$2:$D$31,2,FALSE)</f>
        <v>HATAY BÜYÜKŞEHİR</v>
      </c>
      <c r="C1288" t="s">
        <v>65</v>
      </c>
      <c r="D1288" s="73" t="str">
        <f t="shared" si="32"/>
        <v>HATAY BÜYÜKŞEHİR/HATAY</v>
      </c>
      <c r="E1288" t="s">
        <v>2981</v>
      </c>
      <c r="F1288" t="s">
        <v>2981</v>
      </c>
      <c r="G1288" t="s">
        <v>3366</v>
      </c>
      <c r="H1288">
        <v>62.7</v>
      </c>
      <c r="I1288">
        <v>6.27</v>
      </c>
      <c r="J1288">
        <v>0</v>
      </c>
      <c r="K1288">
        <v>0</v>
      </c>
      <c r="L1288">
        <v>62.7</v>
      </c>
      <c r="M1288">
        <v>6.27</v>
      </c>
      <c r="O1288" s="79">
        <f>IFERROR(VLOOKUP(D1288,'KAPANAN BLD.'!$C$2:$D$793,2,FALSE),0)</f>
        <v>0</v>
      </c>
      <c r="P1288" s="79">
        <v>0</v>
      </c>
      <c r="R1288" s="79"/>
    </row>
    <row r="1289" spans="1:18" x14ac:dyDescent="0.25">
      <c r="A1289" t="s">
        <v>32</v>
      </c>
      <c r="B1289" s="73" t="str">
        <f>VLOOKUP(C1289,'Büyükşehir List'!$C$2:$D$31,2,FALSE)</f>
        <v>HATAY BÜYÜKŞEHİR</v>
      </c>
      <c r="C1289" t="s">
        <v>65</v>
      </c>
      <c r="D1289" s="73" t="str">
        <f t="shared" si="32"/>
        <v>HATAY BÜYÜKŞEHİR/HATAY</v>
      </c>
      <c r="E1289" t="s">
        <v>1870</v>
      </c>
      <c r="F1289" t="s">
        <v>1870</v>
      </c>
      <c r="G1289" t="s">
        <v>3367</v>
      </c>
      <c r="H1289">
        <v>769.3</v>
      </c>
      <c r="I1289">
        <v>76.930000000000007</v>
      </c>
      <c r="J1289">
        <v>0</v>
      </c>
      <c r="K1289">
        <v>0</v>
      </c>
      <c r="L1289">
        <v>769.3</v>
      </c>
      <c r="M1289">
        <v>76.930000000000007</v>
      </c>
      <c r="O1289" s="79">
        <f>IFERROR(VLOOKUP(D1289,'KAPANAN BLD.'!$C$2:$D$793,2,FALSE),0)</f>
        <v>0</v>
      </c>
      <c r="P1289" s="79">
        <v>0</v>
      </c>
      <c r="R1289" s="79"/>
    </row>
    <row r="1290" spans="1:18" x14ac:dyDescent="0.25">
      <c r="A1290" t="s">
        <v>32</v>
      </c>
      <c r="B1290" s="73" t="str">
        <f>VLOOKUP(C1290,'Büyükşehir List'!$C$2:$D$31,2,FALSE)</f>
        <v>HATAY BÜYÜKŞEHİR</v>
      </c>
      <c r="C1290" t="s">
        <v>65</v>
      </c>
      <c r="D1290" s="73" t="str">
        <f t="shared" si="32"/>
        <v>HATAY BÜYÜKŞEHİR/HATAY</v>
      </c>
      <c r="E1290" t="s">
        <v>1870</v>
      </c>
      <c r="F1290" t="s">
        <v>1870</v>
      </c>
      <c r="G1290" t="s">
        <v>3366</v>
      </c>
      <c r="H1290">
        <v>491.8</v>
      </c>
      <c r="I1290">
        <v>49.18</v>
      </c>
      <c r="J1290">
        <v>0</v>
      </c>
      <c r="K1290">
        <v>0</v>
      </c>
      <c r="L1290">
        <v>491.8</v>
      </c>
      <c r="M1290">
        <v>49.18</v>
      </c>
      <c r="O1290" s="79">
        <f>IFERROR(VLOOKUP(D1290,'KAPANAN BLD.'!$C$2:$D$793,2,FALSE),0)</f>
        <v>0</v>
      </c>
      <c r="P1290" s="79">
        <v>0</v>
      </c>
      <c r="R1290" s="79"/>
    </row>
    <row r="1291" spans="1:18" x14ac:dyDescent="0.25">
      <c r="A1291" t="s">
        <v>32</v>
      </c>
      <c r="B1291" s="73" t="str">
        <f>VLOOKUP(C1291,'Büyükşehir List'!$C$2:$D$31,2,FALSE)</f>
        <v>HATAY BÜYÜKŞEHİR</v>
      </c>
      <c r="C1291" t="s">
        <v>65</v>
      </c>
      <c r="D1291" s="73" t="str">
        <f t="shared" si="32"/>
        <v>HATAY BÜYÜKŞEHİR/HATAY</v>
      </c>
      <c r="E1291" t="s">
        <v>320</v>
      </c>
      <c r="F1291" t="s">
        <v>320</v>
      </c>
      <c r="G1291" t="s">
        <v>3366</v>
      </c>
      <c r="H1291">
        <v>2075.3000000000002</v>
      </c>
      <c r="I1291">
        <v>207.53</v>
      </c>
      <c r="J1291">
        <v>235</v>
      </c>
      <c r="K1291">
        <v>23.5</v>
      </c>
      <c r="L1291">
        <v>1840.3</v>
      </c>
      <c r="M1291">
        <v>184.03</v>
      </c>
      <c r="O1291" s="79">
        <f>IFERROR(VLOOKUP(D1291,'KAPANAN BLD.'!$C$2:$D$793,2,FALSE),0)</f>
        <v>0</v>
      </c>
      <c r="P1291" s="79">
        <v>0</v>
      </c>
      <c r="R1291" s="79"/>
    </row>
    <row r="1292" spans="1:18" x14ac:dyDescent="0.25">
      <c r="A1292" t="s">
        <v>32</v>
      </c>
      <c r="B1292" s="73" t="str">
        <f>VLOOKUP(C1292,'Büyükşehir List'!$C$2:$D$31,2,FALSE)</f>
        <v>HATAY BÜYÜKŞEHİR</v>
      </c>
      <c r="C1292" t="s">
        <v>65</v>
      </c>
      <c r="D1292" s="73" t="str">
        <f t="shared" si="32"/>
        <v>HATAY BÜYÜKŞEHİR/HATAY</v>
      </c>
      <c r="E1292" t="s">
        <v>320</v>
      </c>
      <c r="F1292" t="s">
        <v>320</v>
      </c>
      <c r="G1292" t="s">
        <v>3367</v>
      </c>
      <c r="H1292">
        <v>863.7</v>
      </c>
      <c r="I1292">
        <v>86.37</v>
      </c>
      <c r="J1292">
        <v>74.3</v>
      </c>
      <c r="K1292">
        <v>7.43</v>
      </c>
      <c r="L1292">
        <v>789.4</v>
      </c>
      <c r="M1292">
        <v>78.94</v>
      </c>
      <c r="O1292" s="79">
        <f>IFERROR(VLOOKUP(D1292,'KAPANAN BLD.'!$C$2:$D$793,2,FALSE),0)</f>
        <v>0</v>
      </c>
      <c r="P1292" s="79">
        <v>0</v>
      </c>
      <c r="R1292" s="79"/>
    </row>
    <row r="1293" spans="1:18" x14ac:dyDescent="0.25">
      <c r="A1293" t="s">
        <v>32</v>
      </c>
      <c r="B1293" s="73" t="str">
        <f>VLOOKUP(C1293,'Büyükşehir List'!$C$2:$D$31,2,FALSE)</f>
        <v>HATAY BÜYÜKŞEHİR</v>
      </c>
      <c r="C1293" t="s">
        <v>65</v>
      </c>
      <c r="D1293" s="73" t="str">
        <f t="shared" si="32"/>
        <v>HATAY BÜYÜKŞEHİR/HATAY</v>
      </c>
      <c r="E1293" t="s">
        <v>593</v>
      </c>
      <c r="F1293" t="s">
        <v>593</v>
      </c>
      <c r="G1293" t="s">
        <v>3367</v>
      </c>
      <c r="H1293">
        <v>392.3</v>
      </c>
      <c r="I1293">
        <v>39.229999999999997</v>
      </c>
      <c r="J1293">
        <v>0</v>
      </c>
      <c r="K1293">
        <v>0</v>
      </c>
      <c r="L1293">
        <v>392.3</v>
      </c>
      <c r="M1293">
        <v>39.229999999999997</v>
      </c>
      <c r="O1293" s="79">
        <f>IFERROR(VLOOKUP(D1293,'KAPANAN BLD.'!$C$2:$D$793,2,FALSE),0)</f>
        <v>0</v>
      </c>
      <c r="P1293" s="79">
        <v>0</v>
      </c>
      <c r="R1293" s="79"/>
    </row>
    <row r="1294" spans="1:18" x14ac:dyDescent="0.25">
      <c r="A1294" t="s">
        <v>32</v>
      </c>
      <c r="B1294" s="73" t="str">
        <f>VLOOKUP(C1294,'Büyükşehir List'!$C$2:$D$31,2,FALSE)</f>
        <v>HATAY BÜYÜKŞEHİR</v>
      </c>
      <c r="C1294" t="s">
        <v>65</v>
      </c>
      <c r="D1294" s="73" t="str">
        <f t="shared" si="32"/>
        <v>HATAY BÜYÜKŞEHİR/HATAY</v>
      </c>
      <c r="E1294" t="s">
        <v>593</v>
      </c>
      <c r="F1294" t="s">
        <v>593</v>
      </c>
      <c r="G1294" t="s">
        <v>3366</v>
      </c>
      <c r="H1294">
        <v>1879.1</v>
      </c>
      <c r="I1294">
        <v>187.91</v>
      </c>
      <c r="J1294">
        <v>0</v>
      </c>
      <c r="K1294">
        <v>0</v>
      </c>
      <c r="L1294">
        <v>1879.1</v>
      </c>
      <c r="M1294">
        <v>187.91</v>
      </c>
      <c r="O1294" s="79">
        <f>IFERROR(VLOOKUP(D1294,'KAPANAN BLD.'!$C$2:$D$793,2,FALSE),0)</f>
        <v>0</v>
      </c>
      <c r="P1294" s="79">
        <v>0</v>
      </c>
      <c r="R1294" s="79"/>
    </row>
    <row r="1295" spans="1:18" x14ac:dyDescent="0.25">
      <c r="A1295" t="s">
        <v>32</v>
      </c>
      <c r="B1295" s="73" t="str">
        <f>VLOOKUP(C1295,'Büyükşehir List'!$C$2:$D$31,2,FALSE)</f>
        <v>HATAY BÜYÜKŞEHİR</v>
      </c>
      <c r="C1295" t="s">
        <v>65</v>
      </c>
      <c r="D1295" s="73" t="str">
        <f t="shared" si="32"/>
        <v>HATAY BÜYÜKŞEHİR/HATAY</v>
      </c>
      <c r="E1295" t="s">
        <v>3907</v>
      </c>
      <c r="F1295" t="s">
        <v>3907</v>
      </c>
      <c r="G1295" t="s">
        <v>3366</v>
      </c>
      <c r="H1295">
        <v>1399.5</v>
      </c>
      <c r="I1295">
        <v>139.94999999999999</v>
      </c>
      <c r="J1295">
        <v>0</v>
      </c>
      <c r="K1295">
        <v>0</v>
      </c>
      <c r="L1295">
        <v>1399.5</v>
      </c>
      <c r="M1295">
        <v>139.94999999999999</v>
      </c>
      <c r="O1295" s="79">
        <f>IFERROR(VLOOKUP(D1295,'KAPANAN BLD.'!$C$2:$D$793,2,FALSE),0)</f>
        <v>0</v>
      </c>
      <c r="P1295" s="79">
        <v>0</v>
      </c>
      <c r="R1295" s="79"/>
    </row>
    <row r="1296" spans="1:18" x14ac:dyDescent="0.25">
      <c r="A1296" t="s">
        <v>32</v>
      </c>
      <c r="B1296" s="73" t="str">
        <f>VLOOKUP(C1296,'Büyükşehir List'!$C$2:$D$31,2,FALSE)</f>
        <v>HATAY BÜYÜKŞEHİR</v>
      </c>
      <c r="C1296" t="s">
        <v>65</v>
      </c>
      <c r="D1296" s="73" t="str">
        <f t="shared" si="32"/>
        <v>HATAY BÜYÜKŞEHİR/HATAY</v>
      </c>
      <c r="E1296" t="s">
        <v>3907</v>
      </c>
      <c r="F1296" t="s">
        <v>3907</v>
      </c>
      <c r="G1296" t="s">
        <v>3367</v>
      </c>
      <c r="H1296">
        <v>2458.6999999999998</v>
      </c>
      <c r="I1296">
        <v>245.87</v>
      </c>
      <c r="J1296">
        <v>0</v>
      </c>
      <c r="K1296">
        <v>0</v>
      </c>
      <c r="L1296">
        <v>2458.6999999999998</v>
      </c>
      <c r="M1296">
        <v>245.87</v>
      </c>
      <c r="O1296" s="79">
        <f>IFERROR(VLOOKUP(D1296,'KAPANAN BLD.'!$C$2:$D$793,2,FALSE),0)</f>
        <v>0</v>
      </c>
      <c r="P1296" s="79">
        <v>0</v>
      </c>
      <c r="R1296" s="79"/>
    </row>
    <row r="1297" spans="1:18" x14ac:dyDescent="0.25">
      <c r="A1297" t="s">
        <v>32</v>
      </c>
      <c r="B1297" s="73" t="str">
        <f>VLOOKUP(C1297,'Büyükşehir List'!$C$2:$D$31,2,FALSE)</f>
        <v>HATAY BÜYÜKŞEHİR</v>
      </c>
      <c r="C1297" t="s">
        <v>65</v>
      </c>
      <c r="D1297" s="73" t="str">
        <f t="shared" si="32"/>
        <v>HATAY BÜYÜKŞEHİR/HATAY</v>
      </c>
      <c r="E1297" t="s">
        <v>532</v>
      </c>
      <c r="F1297" t="s">
        <v>532</v>
      </c>
      <c r="G1297" t="s">
        <v>3367</v>
      </c>
      <c r="H1297">
        <v>76</v>
      </c>
      <c r="I1297">
        <v>7.6</v>
      </c>
      <c r="J1297">
        <v>0</v>
      </c>
      <c r="K1297">
        <v>0</v>
      </c>
      <c r="L1297">
        <v>76</v>
      </c>
      <c r="M1297">
        <v>7.6</v>
      </c>
      <c r="O1297" s="79">
        <f>IFERROR(VLOOKUP(D1297,'KAPANAN BLD.'!$C$2:$D$793,2,FALSE),0)</f>
        <v>0</v>
      </c>
      <c r="P1297" s="79">
        <v>0</v>
      </c>
      <c r="R1297" s="79"/>
    </row>
    <row r="1298" spans="1:18" x14ac:dyDescent="0.25">
      <c r="A1298" t="s">
        <v>32</v>
      </c>
      <c r="B1298" s="73" t="str">
        <f>VLOOKUP(C1298,'Büyükşehir List'!$C$2:$D$31,2,FALSE)</f>
        <v>HATAY BÜYÜKŞEHİR</v>
      </c>
      <c r="C1298" t="s">
        <v>65</v>
      </c>
      <c r="D1298" s="73" t="str">
        <f t="shared" si="32"/>
        <v>HATAY BÜYÜKŞEHİR/HATAY</v>
      </c>
      <c r="E1298" t="s">
        <v>532</v>
      </c>
      <c r="F1298" t="s">
        <v>532</v>
      </c>
      <c r="G1298" t="s">
        <v>3366</v>
      </c>
      <c r="H1298">
        <v>3.9</v>
      </c>
      <c r="I1298">
        <v>0.39</v>
      </c>
      <c r="J1298">
        <v>0</v>
      </c>
      <c r="K1298">
        <v>0</v>
      </c>
      <c r="L1298">
        <v>3.9</v>
      </c>
      <c r="M1298">
        <v>0.39</v>
      </c>
      <c r="O1298" s="79">
        <f>IFERROR(VLOOKUP(D1298,'KAPANAN BLD.'!$C$2:$D$793,2,FALSE),0)</f>
        <v>0</v>
      </c>
      <c r="P1298" s="79">
        <v>0</v>
      </c>
      <c r="R1298" s="79"/>
    </row>
    <row r="1299" spans="1:18" x14ac:dyDescent="0.25">
      <c r="A1299" t="s">
        <v>32</v>
      </c>
      <c r="B1299" s="73" t="str">
        <f>VLOOKUP(C1299,'Büyükşehir List'!$C$2:$D$31,2,FALSE)</f>
        <v>HATAY BÜYÜKŞEHİR</v>
      </c>
      <c r="C1299" t="s">
        <v>65</v>
      </c>
      <c r="D1299" s="73" t="str">
        <f t="shared" si="32"/>
        <v>HATAY BÜYÜKŞEHİR/HATAY</v>
      </c>
      <c r="E1299" t="s">
        <v>339</v>
      </c>
      <c r="F1299" t="s">
        <v>339</v>
      </c>
      <c r="G1299" t="s">
        <v>3367</v>
      </c>
      <c r="H1299">
        <v>69.5</v>
      </c>
      <c r="I1299">
        <v>6.95</v>
      </c>
      <c r="J1299">
        <v>0</v>
      </c>
      <c r="K1299">
        <v>0</v>
      </c>
      <c r="L1299">
        <v>69.5</v>
      </c>
      <c r="M1299">
        <v>6.95</v>
      </c>
      <c r="O1299" s="79">
        <f>IFERROR(VLOOKUP(D1299,'KAPANAN BLD.'!$C$2:$D$793,2,FALSE),0)</f>
        <v>0</v>
      </c>
      <c r="P1299" s="79">
        <v>0</v>
      </c>
      <c r="R1299" s="79"/>
    </row>
    <row r="1300" spans="1:18" x14ac:dyDescent="0.25">
      <c r="A1300" t="s">
        <v>32</v>
      </c>
      <c r="B1300" s="73" t="str">
        <f>VLOOKUP(C1300,'Büyükşehir List'!$C$2:$D$31,2,FALSE)</f>
        <v>HATAY BÜYÜKŞEHİR</v>
      </c>
      <c r="C1300" t="s">
        <v>65</v>
      </c>
      <c r="D1300" s="73" t="str">
        <f t="shared" si="32"/>
        <v>HATAY BÜYÜKŞEHİR/HATAY</v>
      </c>
      <c r="E1300" t="s">
        <v>4486</v>
      </c>
      <c r="F1300" t="s">
        <v>4486</v>
      </c>
      <c r="G1300" t="s">
        <v>3366</v>
      </c>
      <c r="H1300">
        <v>1101</v>
      </c>
      <c r="I1300">
        <v>110.1</v>
      </c>
      <c r="J1300">
        <v>1101.0999999999999</v>
      </c>
      <c r="K1300">
        <v>110.11</v>
      </c>
      <c r="L1300">
        <v>-0.1</v>
      </c>
      <c r="M1300">
        <v>-0.01</v>
      </c>
      <c r="O1300" s="79">
        <f>IFERROR(VLOOKUP(D1300,'KAPANAN BLD.'!$C$2:$D$793,2,FALSE),0)</f>
        <v>0</v>
      </c>
      <c r="P1300" s="79">
        <v>0</v>
      </c>
      <c r="R1300" s="79"/>
    </row>
    <row r="1301" spans="1:18" x14ac:dyDescent="0.25">
      <c r="A1301" t="s">
        <v>32</v>
      </c>
      <c r="B1301" s="73" t="str">
        <f>VLOOKUP(C1301,'Büyükşehir List'!$C$2:$D$31,2,FALSE)</f>
        <v>HATAY BÜYÜKŞEHİR</v>
      </c>
      <c r="C1301" t="s">
        <v>65</v>
      </c>
      <c r="D1301" s="73" t="str">
        <f t="shared" si="32"/>
        <v>HATAY BÜYÜKŞEHİR/HATAY</v>
      </c>
      <c r="E1301" t="s">
        <v>4032</v>
      </c>
      <c r="F1301" t="s">
        <v>4032</v>
      </c>
      <c r="G1301" t="s">
        <v>3367</v>
      </c>
      <c r="H1301">
        <v>63.7</v>
      </c>
      <c r="I1301">
        <v>6.37</v>
      </c>
      <c r="J1301">
        <v>0</v>
      </c>
      <c r="K1301">
        <v>0</v>
      </c>
      <c r="L1301">
        <v>63.7</v>
      </c>
      <c r="M1301">
        <v>6.37</v>
      </c>
      <c r="O1301" s="79">
        <f>IFERROR(VLOOKUP(D1301,'KAPANAN BLD.'!$C$2:$D$793,2,FALSE),0)</f>
        <v>0</v>
      </c>
      <c r="P1301" s="79">
        <v>0</v>
      </c>
      <c r="R1301" s="79"/>
    </row>
    <row r="1302" spans="1:18" x14ac:dyDescent="0.25">
      <c r="A1302" t="s">
        <v>32</v>
      </c>
      <c r="B1302" s="73" t="str">
        <f>VLOOKUP(C1302,'Büyükşehir List'!$C$2:$D$31,2,FALSE)</f>
        <v>HATAY BÜYÜKŞEHİR</v>
      </c>
      <c r="C1302" t="s">
        <v>65</v>
      </c>
      <c r="D1302" s="73" t="str">
        <f t="shared" si="32"/>
        <v>HATAY BÜYÜKŞEHİR/HATAY</v>
      </c>
      <c r="E1302" t="s">
        <v>4032</v>
      </c>
      <c r="F1302" t="s">
        <v>4032</v>
      </c>
      <c r="G1302" t="s">
        <v>3366</v>
      </c>
      <c r="H1302">
        <v>3748</v>
      </c>
      <c r="I1302">
        <v>374.8</v>
      </c>
      <c r="J1302">
        <v>0</v>
      </c>
      <c r="K1302">
        <v>0</v>
      </c>
      <c r="L1302">
        <v>3748</v>
      </c>
      <c r="M1302">
        <v>374.8</v>
      </c>
      <c r="O1302" s="79">
        <f>IFERROR(VLOOKUP(D1302,'KAPANAN BLD.'!$C$2:$D$793,2,FALSE),0)</f>
        <v>0</v>
      </c>
      <c r="P1302" s="79">
        <v>0</v>
      </c>
      <c r="R1302" s="79"/>
    </row>
    <row r="1303" spans="1:18" x14ac:dyDescent="0.25">
      <c r="A1303" t="s">
        <v>32</v>
      </c>
      <c r="B1303" s="73" t="str">
        <f>VLOOKUP(C1303,'Büyükşehir List'!$C$2:$D$31,2,FALSE)</f>
        <v>HATAY BÜYÜKŞEHİR</v>
      </c>
      <c r="C1303" t="s">
        <v>65</v>
      </c>
      <c r="D1303" s="73" t="str">
        <f t="shared" si="32"/>
        <v>HATAY BÜYÜKŞEHİR/HATAY</v>
      </c>
      <c r="E1303" t="s">
        <v>4049</v>
      </c>
      <c r="F1303" t="s">
        <v>4049</v>
      </c>
      <c r="G1303" t="s">
        <v>3367</v>
      </c>
      <c r="H1303">
        <v>654.5</v>
      </c>
      <c r="I1303">
        <v>65.45</v>
      </c>
      <c r="J1303">
        <v>0</v>
      </c>
      <c r="K1303">
        <v>0</v>
      </c>
      <c r="L1303">
        <v>654.5</v>
      </c>
      <c r="M1303">
        <v>65.45</v>
      </c>
      <c r="O1303" s="79">
        <f>IFERROR(VLOOKUP(D1303,'KAPANAN BLD.'!$C$2:$D$793,2,FALSE),0)</f>
        <v>0</v>
      </c>
      <c r="P1303" s="79">
        <v>0</v>
      </c>
      <c r="R1303" s="79"/>
    </row>
    <row r="1304" spans="1:18" x14ac:dyDescent="0.25">
      <c r="A1304" t="s">
        <v>32</v>
      </c>
      <c r="B1304" s="73" t="str">
        <f>VLOOKUP(C1304,'Büyükşehir List'!$C$2:$D$31,2,FALSE)</f>
        <v>HATAY BÜYÜKŞEHİR</v>
      </c>
      <c r="C1304" t="s">
        <v>65</v>
      </c>
      <c r="D1304" s="73" t="str">
        <f t="shared" si="32"/>
        <v>HATAY BÜYÜKŞEHİR/HATAY</v>
      </c>
      <c r="E1304" t="s">
        <v>4049</v>
      </c>
      <c r="F1304" t="s">
        <v>4049</v>
      </c>
      <c r="G1304" t="s">
        <v>3366</v>
      </c>
      <c r="H1304">
        <v>281</v>
      </c>
      <c r="I1304">
        <v>28.1</v>
      </c>
      <c r="J1304">
        <v>0</v>
      </c>
      <c r="K1304">
        <v>0</v>
      </c>
      <c r="L1304">
        <v>281</v>
      </c>
      <c r="M1304">
        <v>28.1</v>
      </c>
      <c r="O1304" s="79">
        <f>IFERROR(VLOOKUP(D1304,'KAPANAN BLD.'!$C$2:$D$793,2,FALSE),0)</f>
        <v>0</v>
      </c>
      <c r="P1304" s="79">
        <v>0</v>
      </c>
      <c r="R1304" s="79"/>
    </row>
    <row r="1305" spans="1:18" x14ac:dyDescent="0.25">
      <c r="A1305" t="s">
        <v>32</v>
      </c>
      <c r="B1305" s="73" t="str">
        <f>VLOOKUP(C1305,'Büyükşehir List'!$C$2:$D$31,2,FALSE)</f>
        <v>HATAY BÜYÜKŞEHİR</v>
      </c>
      <c r="C1305" t="s">
        <v>65</v>
      </c>
      <c r="D1305" s="73" t="str">
        <f t="shared" si="32"/>
        <v>HATAY BÜYÜKŞEHİR/HATAY</v>
      </c>
      <c r="E1305" t="s">
        <v>4025</v>
      </c>
      <c r="F1305" t="s">
        <v>4025</v>
      </c>
      <c r="G1305" t="s">
        <v>3367</v>
      </c>
      <c r="H1305">
        <v>945.2</v>
      </c>
      <c r="I1305">
        <v>94.52</v>
      </c>
      <c r="J1305">
        <v>0</v>
      </c>
      <c r="K1305">
        <v>0</v>
      </c>
      <c r="L1305">
        <v>945.2</v>
      </c>
      <c r="M1305">
        <v>94.52</v>
      </c>
      <c r="O1305" s="79">
        <f>IFERROR(VLOOKUP(D1305,'KAPANAN BLD.'!$C$2:$D$793,2,FALSE),0)</f>
        <v>0</v>
      </c>
      <c r="P1305" s="79">
        <v>0</v>
      </c>
      <c r="R1305" s="79"/>
    </row>
    <row r="1306" spans="1:18" x14ac:dyDescent="0.25">
      <c r="A1306" t="s">
        <v>32</v>
      </c>
      <c r="B1306" s="73" t="str">
        <f>VLOOKUP(C1306,'Büyükşehir List'!$C$2:$D$31,2,FALSE)</f>
        <v>HATAY BÜYÜKŞEHİR</v>
      </c>
      <c r="C1306" t="s">
        <v>65</v>
      </c>
      <c r="D1306" s="73" t="str">
        <f t="shared" si="32"/>
        <v>HATAY BÜYÜKŞEHİR/HATAY</v>
      </c>
      <c r="E1306" t="s">
        <v>4025</v>
      </c>
      <c r="F1306" t="s">
        <v>4025</v>
      </c>
      <c r="G1306" t="s">
        <v>3366</v>
      </c>
      <c r="H1306">
        <v>1026.7</v>
      </c>
      <c r="I1306">
        <v>102.67</v>
      </c>
      <c r="J1306">
        <v>0</v>
      </c>
      <c r="K1306">
        <v>0</v>
      </c>
      <c r="L1306">
        <v>1026.7</v>
      </c>
      <c r="M1306">
        <v>102.67</v>
      </c>
      <c r="O1306" s="79">
        <f>IFERROR(VLOOKUP(D1306,'KAPANAN BLD.'!$C$2:$D$793,2,FALSE),0)</f>
        <v>0</v>
      </c>
      <c r="P1306" s="79">
        <v>0</v>
      </c>
      <c r="R1306" s="79"/>
    </row>
    <row r="1307" spans="1:18" x14ac:dyDescent="0.25">
      <c r="A1307" t="s">
        <v>32</v>
      </c>
      <c r="B1307" s="73" t="str">
        <f>VLOOKUP(C1307,'Büyükşehir List'!$C$2:$D$31,2,FALSE)</f>
        <v>HATAY BÜYÜKŞEHİR</v>
      </c>
      <c r="C1307" t="s">
        <v>65</v>
      </c>
      <c r="D1307" s="73" t="str">
        <f t="shared" si="32"/>
        <v>HATAY BÜYÜKŞEHİR/HATAY</v>
      </c>
      <c r="E1307" t="s">
        <v>3900</v>
      </c>
      <c r="F1307" t="s">
        <v>3900</v>
      </c>
      <c r="G1307" t="s">
        <v>3367</v>
      </c>
      <c r="H1307">
        <v>1264.8</v>
      </c>
      <c r="I1307">
        <v>126.48</v>
      </c>
      <c r="J1307">
        <v>70.3</v>
      </c>
      <c r="K1307">
        <v>7.03</v>
      </c>
      <c r="L1307">
        <v>1194.5</v>
      </c>
      <c r="M1307">
        <v>119.45</v>
      </c>
      <c r="O1307" s="79">
        <f>IFERROR(VLOOKUP(D1307,'KAPANAN BLD.'!$C$2:$D$793,2,FALSE),0)</f>
        <v>0</v>
      </c>
      <c r="P1307" s="79">
        <v>0</v>
      </c>
      <c r="R1307" s="79"/>
    </row>
    <row r="1308" spans="1:18" x14ac:dyDescent="0.25">
      <c r="A1308" t="s">
        <v>32</v>
      </c>
      <c r="B1308" s="73" t="str">
        <f>VLOOKUP(C1308,'Büyükşehir List'!$C$2:$D$31,2,FALSE)</f>
        <v>HATAY BÜYÜKŞEHİR</v>
      </c>
      <c r="C1308" t="s">
        <v>65</v>
      </c>
      <c r="D1308" s="73" t="str">
        <f t="shared" si="32"/>
        <v>HATAY BÜYÜKŞEHİR/HATAY</v>
      </c>
      <c r="E1308" t="s">
        <v>3900</v>
      </c>
      <c r="F1308" t="s">
        <v>3900</v>
      </c>
      <c r="G1308" t="s">
        <v>3366</v>
      </c>
      <c r="H1308">
        <v>298.8</v>
      </c>
      <c r="I1308">
        <v>29.88</v>
      </c>
      <c r="J1308">
        <v>0</v>
      </c>
      <c r="K1308">
        <v>0</v>
      </c>
      <c r="L1308">
        <v>298.8</v>
      </c>
      <c r="M1308">
        <v>29.88</v>
      </c>
      <c r="O1308" s="79">
        <f>IFERROR(VLOOKUP(D1308,'KAPANAN BLD.'!$C$2:$D$793,2,FALSE),0)</f>
        <v>0</v>
      </c>
      <c r="P1308" s="79">
        <v>0</v>
      </c>
      <c r="R1308" s="79"/>
    </row>
    <row r="1309" spans="1:18" x14ac:dyDescent="0.25">
      <c r="A1309" t="s">
        <v>32</v>
      </c>
      <c r="B1309" s="73" t="str">
        <f>VLOOKUP(C1309,'Büyükşehir List'!$C$2:$D$31,2,FALSE)</f>
        <v>HATAY BÜYÜKŞEHİR</v>
      </c>
      <c r="C1309" t="s">
        <v>65</v>
      </c>
      <c r="D1309" s="73" t="str">
        <f t="shared" si="32"/>
        <v>HATAY BÜYÜKŞEHİR/HATAY</v>
      </c>
      <c r="E1309" t="s">
        <v>4303</v>
      </c>
      <c r="F1309" t="s">
        <v>4303</v>
      </c>
      <c r="G1309" t="s">
        <v>3367</v>
      </c>
      <c r="H1309">
        <v>823.6</v>
      </c>
      <c r="I1309">
        <v>82.36</v>
      </c>
      <c r="J1309">
        <v>0</v>
      </c>
      <c r="K1309">
        <v>0</v>
      </c>
      <c r="L1309">
        <v>823.6</v>
      </c>
      <c r="M1309">
        <v>82.36</v>
      </c>
      <c r="O1309" s="79">
        <f>IFERROR(VLOOKUP(D1309,'KAPANAN BLD.'!$C$2:$D$793,2,FALSE),0)</f>
        <v>0</v>
      </c>
      <c r="P1309" s="79">
        <v>0</v>
      </c>
      <c r="R1309" s="79"/>
    </row>
    <row r="1310" spans="1:18" x14ac:dyDescent="0.25">
      <c r="A1310" t="s">
        <v>32</v>
      </c>
      <c r="B1310" s="73" t="str">
        <f>VLOOKUP(C1310,'Büyükşehir List'!$C$2:$D$31,2,FALSE)</f>
        <v>HATAY BÜYÜKŞEHİR</v>
      </c>
      <c r="C1310" t="s">
        <v>65</v>
      </c>
      <c r="D1310" s="73" t="str">
        <f t="shared" si="32"/>
        <v>HATAY BÜYÜKŞEHİR/HATAY</v>
      </c>
      <c r="E1310" t="s">
        <v>4303</v>
      </c>
      <c r="F1310" t="s">
        <v>4303</v>
      </c>
      <c r="G1310" t="s">
        <v>3366</v>
      </c>
      <c r="H1310">
        <v>701.8</v>
      </c>
      <c r="I1310">
        <v>70.180000000000007</v>
      </c>
      <c r="J1310">
        <v>0</v>
      </c>
      <c r="K1310">
        <v>0</v>
      </c>
      <c r="L1310">
        <v>701.8</v>
      </c>
      <c r="M1310">
        <v>70.180000000000007</v>
      </c>
      <c r="O1310" s="79">
        <f>IFERROR(VLOOKUP(D1310,'KAPANAN BLD.'!$C$2:$D$793,2,FALSE),0)</f>
        <v>0</v>
      </c>
      <c r="P1310" s="79">
        <v>0</v>
      </c>
      <c r="R1310" s="79"/>
    </row>
    <row r="1311" spans="1:18" x14ac:dyDescent="0.25">
      <c r="A1311" t="s">
        <v>32</v>
      </c>
      <c r="B1311" s="73" t="str">
        <f>VLOOKUP(C1311,'Büyükşehir List'!$C$2:$D$31,2,FALSE)</f>
        <v>HATAY BÜYÜKŞEHİR</v>
      </c>
      <c r="C1311" t="s">
        <v>65</v>
      </c>
      <c r="D1311" s="73" t="str">
        <f t="shared" si="32"/>
        <v>HATAY BÜYÜKŞEHİR/HATAY</v>
      </c>
      <c r="E1311" t="s">
        <v>4224</v>
      </c>
      <c r="F1311" t="s">
        <v>4224</v>
      </c>
      <c r="G1311" t="s">
        <v>3367</v>
      </c>
      <c r="H1311">
        <v>154.9</v>
      </c>
      <c r="I1311">
        <v>15.49</v>
      </c>
      <c r="J1311">
        <v>0</v>
      </c>
      <c r="K1311">
        <v>0</v>
      </c>
      <c r="L1311">
        <v>154.9</v>
      </c>
      <c r="M1311">
        <v>15.49</v>
      </c>
      <c r="O1311" s="79">
        <f>IFERROR(VLOOKUP(D1311,'KAPANAN BLD.'!$C$2:$D$793,2,FALSE),0)</f>
        <v>0</v>
      </c>
      <c r="P1311" s="79">
        <v>0</v>
      </c>
      <c r="R1311" s="79"/>
    </row>
    <row r="1312" spans="1:18" x14ac:dyDescent="0.25">
      <c r="A1312" t="s">
        <v>32</v>
      </c>
      <c r="B1312" s="73" t="str">
        <f>VLOOKUP(C1312,'Büyükşehir List'!$C$2:$D$31,2,FALSE)</f>
        <v>HATAY BÜYÜKŞEHİR</v>
      </c>
      <c r="C1312" t="s">
        <v>65</v>
      </c>
      <c r="D1312" s="73" t="str">
        <f t="shared" si="32"/>
        <v>HATAY BÜYÜKŞEHİR/HATAY</v>
      </c>
      <c r="E1312" t="s">
        <v>4224</v>
      </c>
      <c r="F1312" t="s">
        <v>4224</v>
      </c>
      <c r="G1312" t="s">
        <v>3366</v>
      </c>
      <c r="H1312">
        <v>94.5</v>
      </c>
      <c r="I1312">
        <v>9.4499999999999993</v>
      </c>
      <c r="J1312">
        <v>0</v>
      </c>
      <c r="K1312">
        <v>0</v>
      </c>
      <c r="L1312">
        <v>94.5</v>
      </c>
      <c r="M1312">
        <v>9.4499999999999993</v>
      </c>
      <c r="O1312" s="79">
        <f>IFERROR(VLOOKUP(D1312,'KAPANAN BLD.'!$C$2:$D$793,2,FALSE),0)</f>
        <v>0</v>
      </c>
      <c r="P1312" s="79">
        <v>0</v>
      </c>
      <c r="R1312" s="79"/>
    </row>
    <row r="1313" spans="1:18" x14ac:dyDescent="0.25">
      <c r="A1313" t="s">
        <v>32</v>
      </c>
      <c r="B1313" s="73" t="str">
        <f>VLOOKUP(C1313,'Büyükşehir List'!$C$2:$D$31,2,FALSE)</f>
        <v>HATAY BÜYÜKŞEHİR</v>
      </c>
      <c r="C1313" t="s">
        <v>65</v>
      </c>
      <c r="D1313" s="73" t="str">
        <f t="shared" si="32"/>
        <v>HATAY BÜYÜKŞEHİR/HATAY</v>
      </c>
      <c r="E1313" t="s">
        <v>3765</v>
      </c>
      <c r="F1313" t="s">
        <v>3765</v>
      </c>
      <c r="G1313" t="s">
        <v>3367</v>
      </c>
      <c r="H1313">
        <v>475.6</v>
      </c>
      <c r="I1313">
        <v>47.56</v>
      </c>
      <c r="J1313">
        <v>81.5</v>
      </c>
      <c r="K1313">
        <v>8.15</v>
      </c>
      <c r="L1313">
        <v>394.1</v>
      </c>
      <c r="M1313">
        <v>39.409999999999997</v>
      </c>
      <c r="O1313" s="79">
        <f>IFERROR(VLOOKUP(D1313,'KAPANAN BLD.'!$C$2:$D$793,2,FALSE),0)</f>
        <v>0</v>
      </c>
      <c r="P1313" s="79">
        <v>0</v>
      </c>
      <c r="R1313" s="79"/>
    </row>
    <row r="1314" spans="1:18" x14ac:dyDescent="0.25">
      <c r="A1314" t="s">
        <v>32</v>
      </c>
      <c r="B1314" s="73" t="str">
        <f>VLOOKUP(C1314,'Büyükşehir List'!$C$2:$D$31,2,FALSE)</f>
        <v>HATAY BÜYÜKŞEHİR</v>
      </c>
      <c r="C1314" t="s">
        <v>65</v>
      </c>
      <c r="D1314" s="73" t="str">
        <f t="shared" si="32"/>
        <v>HATAY BÜYÜKŞEHİR/HATAY</v>
      </c>
      <c r="E1314" t="s">
        <v>3765</v>
      </c>
      <c r="F1314" t="s">
        <v>3765</v>
      </c>
      <c r="G1314" t="s">
        <v>3366</v>
      </c>
      <c r="H1314">
        <v>178.3</v>
      </c>
      <c r="I1314">
        <v>17.829999999999998</v>
      </c>
      <c r="J1314">
        <v>61</v>
      </c>
      <c r="K1314">
        <v>6.1</v>
      </c>
      <c r="L1314">
        <v>117.3</v>
      </c>
      <c r="M1314">
        <v>11.73</v>
      </c>
      <c r="O1314" s="79">
        <f>IFERROR(VLOOKUP(D1314,'KAPANAN BLD.'!$C$2:$D$793,2,FALSE),0)</f>
        <v>0</v>
      </c>
      <c r="P1314" s="79">
        <v>0</v>
      </c>
      <c r="R1314" s="79"/>
    </row>
    <row r="1315" spans="1:18" x14ac:dyDescent="0.25">
      <c r="A1315" t="s">
        <v>32</v>
      </c>
      <c r="B1315" s="73" t="str">
        <f>VLOOKUP(C1315,'Büyükşehir List'!$C$2:$D$31,2,FALSE)</f>
        <v>HATAY BÜYÜKŞEHİR</v>
      </c>
      <c r="C1315" t="s">
        <v>65</v>
      </c>
      <c r="D1315" s="73" t="str">
        <f t="shared" si="32"/>
        <v>HATAY BÜYÜKŞEHİR/HATAY</v>
      </c>
      <c r="E1315" t="s">
        <v>4382</v>
      </c>
      <c r="F1315" t="s">
        <v>4382</v>
      </c>
      <c r="G1315" t="s">
        <v>3367</v>
      </c>
      <c r="H1315">
        <v>1516</v>
      </c>
      <c r="I1315">
        <v>151.6</v>
      </c>
      <c r="J1315">
        <v>271.60000000000002</v>
      </c>
      <c r="K1315">
        <v>27.16</v>
      </c>
      <c r="L1315">
        <v>1244.4000000000001</v>
      </c>
      <c r="M1315">
        <v>124.44</v>
      </c>
      <c r="O1315" s="79">
        <f>IFERROR(VLOOKUP(D1315,'KAPANAN BLD.'!$C$2:$D$793,2,FALSE),0)</f>
        <v>0</v>
      </c>
      <c r="P1315" s="79">
        <v>0</v>
      </c>
      <c r="R1315" s="79"/>
    </row>
    <row r="1316" spans="1:18" x14ac:dyDescent="0.25">
      <c r="A1316" t="s">
        <v>32</v>
      </c>
      <c r="B1316" s="73" t="str">
        <f>VLOOKUP(C1316,'Büyükşehir List'!$C$2:$D$31,2,FALSE)</f>
        <v>HATAY BÜYÜKŞEHİR</v>
      </c>
      <c r="C1316" t="s">
        <v>65</v>
      </c>
      <c r="D1316" s="73" t="str">
        <f t="shared" si="32"/>
        <v>HATAY BÜYÜKŞEHİR/HATAY</v>
      </c>
      <c r="E1316" t="s">
        <v>4382</v>
      </c>
      <c r="F1316" t="s">
        <v>4382</v>
      </c>
      <c r="G1316" t="s">
        <v>3366</v>
      </c>
      <c r="H1316">
        <v>188.7</v>
      </c>
      <c r="I1316">
        <v>18.87</v>
      </c>
      <c r="J1316">
        <v>445.2</v>
      </c>
      <c r="K1316">
        <v>44.52</v>
      </c>
      <c r="L1316">
        <v>-256.5</v>
      </c>
      <c r="M1316">
        <v>-25.65</v>
      </c>
      <c r="O1316" s="79">
        <f>IFERROR(VLOOKUP(D1316,'KAPANAN BLD.'!$C$2:$D$793,2,FALSE),0)</f>
        <v>0</v>
      </c>
      <c r="P1316" s="79">
        <v>0</v>
      </c>
      <c r="R1316" s="79"/>
    </row>
    <row r="1317" spans="1:18" x14ac:dyDescent="0.25">
      <c r="A1317" t="s">
        <v>32</v>
      </c>
      <c r="B1317" s="73" t="str">
        <f t="shared" ref="B1317:B1380" si="33">F1317</f>
        <v>MERKEZ</v>
      </c>
      <c r="C1317" t="s">
        <v>239</v>
      </c>
      <c r="D1317" s="73" t="str">
        <f t="shared" si="32"/>
        <v>MERKEZ/IĞDIR</v>
      </c>
      <c r="E1317" s="9" t="s">
        <v>34</v>
      </c>
      <c r="F1317" s="9" t="s">
        <v>34</v>
      </c>
      <c r="G1317" t="s">
        <v>3367</v>
      </c>
      <c r="H1317">
        <v>2</v>
      </c>
      <c r="I1317">
        <v>0.2</v>
      </c>
      <c r="J1317">
        <v>0</v>
      </c>
      <c r="K1317">
        <v>0</v>
      </c>
      <c r="L1317">
        <v>2</v>
      </c>
      <c r="M1317">
        <v>0.2</v>
      </c>
      <c r="O1317" s="79">
        <f>IFERROR(VLOOKUP(D1317,'KAPANAN BLD.'!$C$2:$D$793,2,FALSE),0)</f>
        <v>0</v>
      </c>
      <c r="P1317" s="79">
        <v>0</v>
      </c>
      <c r="R1317" s="79"/>
    </row>
    <row r="1318" spans="1:18" x14ac:dyDescent="0.25">
      <c r="A1318" t="s">
        <v>32</v>
      </c>
      <c r="B1318" s="73" t="str">
        <f t="shared" si="33"/>
        <v>MERKEZ</v>
      </c>
      <c r="C1318" t="s">
        <v>239</v>
      </c>
      <c r="D1318" s="73" t="str">
        <f t="shared" si="32"/>
        <v>MERKEZ/IĞDIR</v>
      </c>
      <c r="E1318" s="9" t="s">
        <v>34</v>
      </c>
      <c r="F1318" s="9" t="s">
        <v>34</v>
      </c>
      <c r="G1318" t="s">
        <v>3366</v>
      </c>
      <c r="H1318">
        <v>330</v>
      </c>
      <c r="I1318">
        <v>33</v>
      </c>
      <c r="J1318">
        <v>0</v>
      </c>
      <c r="K1318">
        <v>0</v>
      </c>
      <c r="L1318">
        <v>330</v>
      </c>
      <c r="M1318">
        <v>33</v>
      </c>
      <c r="O1318" s="79">
        <f>IFERROR(VLOOKUP(D1318,'KAPANAN BLD.'!$C$2:$D$793,2,FALSE),0)</f>
        <v>0</v>
      </c>
      <c r="P1318" s="79">
        <v>0</v>
      </c>
      <c r="R1318" s="79"/>
    </row>
    <row r="1319" spans="1:18" x14ac:dyDescent="0.25">
      <c r="A1319" t="s">
        <v>32</v>
      </c>
      <c r="B1319" s="73" t="str">
        <f t="shared" si="33"/>
        <v>MERKEZ</v>
      </c>
      <c r="C1319" t="s">
        <v>239</v>
      </c>
      <c r="D1319" s="73" t="str">
        <f t="shared" si="32"/>
        <v>MERKEZ/IĞDIR</v>
      </c>
      <c r="E1319" s="9" t="s">
        <v>34</v>
      </c>
      <c r="F1319" s="9" t="s">
        <v>34</v>
      </c>
      <c r="G1319" t="s">
        <v>3367</v>
      </c>
      <c r="H1319">
        <v>1006</v>
      </c>
      <c r="I1319">
        <v>100.6</v>
      </c>
      <c r="J1319">
        <v>0</v>
      </c>
      <c r="K1319">
        <v>0</v>
      </c>
      <c r="L1319">
        <v>1006</v>
      </c>
      <c r="M1319">
        <v>100.6</v>
      </c>
      <c r="O1319" s="79">
        <f>IFERROR(VLOOKUP(D1319,'KAPANAN BLD.'!$C$2:$D$793,2,FALSE),0)</f>
        <v>0</v>
      </c>
      <c r="P1319" s="79">
        <v>0</v>
      </c>
      <c r="R1319" s="79"/>
    </row>
    <row r="1320" spans="1:18" x14ac:dyDescent="0.25">
      <c r="A1320" t="s">
        <v>32</v>
      </c>
      <c r="B1320" s="73" t="str">
        <f t="shared" si="33"/>
        <v>MERKEZ</v>
      </c>
      <c r="C1320" t="s">
        <v>239</v>
      </c>
      <c r="D1320" s="73" t="str">
        <f t="shared" si="32"/>
        <v>MERKEZ/IĞDIR</v>
      </c>
      <c r="E1320" s="9" t="s">
        <v>34</v>
      </c>
      <c r="F1320" s="9" t="s">
        <v>34</v>
      </c>
      <c r="G1320" t="s">
        <v>3366</v>
      </c>
      <c r="H1320">
        <v>989</v>
      </c>
      <c r="I1320">
        <v>98.9</v>
      </c>
      <c r="J1320">
        <v>0</v>
      </c>
      <c r="K1320">
        <v>0</v>
      </c>
      <c r="L1320">
        <v>989</v>
      </c>
      <c r="M1320">
        <v>98.9</v>
      </c>
      <c r="O1320" s="79">
        <f>IFERROR(VLOOKUP(D1320,'KAPANAN BLD.'!$C$2:$D$793,2,FALSE),0)</f>
        <v>0</v>
      </c>
      <c r="P1320" s="79">
        <v>0</v>
      </c>
      <c r="R1320" s="79"/>
    </row>
    <row r="1321" spans="1:18" x14ac:dyDescent="0.25">
      <c r="A1321" t="s">
        <v>32</v>
      </c>
      <c r="B1321" s="73" t="str">
        <f t="shared" si="33"/>
        <v>MERKEZ</v>
      </c>
      <c r="C1321" t="s">
        <v>239</v>
      </c>
      <c r="D1321" s="73" t="str">
        <f t="shared" si="32"/>
        <v>MERKEZ/IĞDIR</v>
      </c>
      <c r="E1321" s="9" t="s">
        <v>34</v>
      </c>
      <c r="F1321" s="9" t="s">
        <v>34</v>
      </c>
      <c r="G1321" t="s">
        <v>3367</v>
      </c>
      <c r="H1321">
        <v>461.2</v>
      </c>
      <c r="I1321">
        <v>46.12</v>
      </c>
      <c r="J1321">
        <v>25</v>
      </c>
      <c r="K1321">
        <v>2.5</v>
      </c>
      <c r="L1321">
        <v>436.2</v>
      </c>
      <c r="M1321">
        <v>43.62</v>
      </c>
      <c r="O1321" s="79">
        <f>IFERROR(VLOOKUP(D1321,'KAPANAN BLD.'!$C$2:$D$793,2,FALSE),0)</f>
        <v>0</v>
      </c>
      <c r="P1321" s="79">
        <v>0</v>
      </c>
      <c r="R1321" s="79"/>
    </row>
    <row r="1322" spans="1:18" x14ac:dyDescent="0.25">
      <c r="A1322" t="s">
        <v>32</v>
      </c>
      <c r="B1322" s="73" t="str">
        <f t="shared" si="33"/>
        <v>MERKEZ</v>
      </c>
      <c r="C1322" t="s">
        <v>239</v>
      </c>
      <c r="D1322" s="73" t="str">
        <f t="shared" si="32"/>
        <v>MERKEZ/IĞDIR</v>
      </c>
      <c r="E1322" s="9" t="s">
        <v>34</v>
      </c>
      <c r="F1322" s="9" t="s">
        <v>34</v>
      </c>
      <c r="G1322" t="s">
        <v>3366</v>
      </c>
      <c r="H1322">
        <v>1051.4000000000001</v>
      </c>
      <c r="I1322">
        <v>105.14</v>
      </c>
      <c r="J1322">
        <v>326.7</v>
      </c>
      <c r="K1322">
        <v>32.67</v>
      </c>
      <c r="L1322">
        <v>724.7</v>
      </c>
      <c r="M1322">
        <v>72.47</v>
      </c>
      <c r="O1322" s="79">
        <f>IFERROR(VLOOKUP(D1322,'KAPANAN BLD.'!$C$2:$D$793,2,FALSE),0)</f>
        <v>0</v>
      </c>
      <c r="P1322" s="79">
        <v>0</v>
      </c>
      <c r="R1322" s="79"/>
    </row>
    <row r="1323" spans="1:18" x14ac:dyDescent="0.25">
      <c r="A1323" t="s">
        <v>32</v>
      </c>
      <c r="B1323" s="73" t="str">
        <f t="shared" si="33"/>
        <v>MERKEZ</v>
      </c>
      <c r="C1323" t="s">
        <v>239</v>
      </c>
      <c r="D1323" s="73" t="str">
        <f t="shared" si="32"/>
        <v>MERKEZ/IĞDIR</v>
      </c>
      <c r="E1323" t="s">
        <v>34</v>
      </c>
      <c r="F1323" t="s">
        <v>34</v>
      </c>
      <c r="G1323" t="s">
        <v>3367</v>
      </c>
      <c r="H1323">
        <v>320.60000000000002</v>
      </c>
      <c r="I1323">
        <v>32.06</v>
      </c>
      <c r="J1323">
        <v>0</v>
      </c>
      <c r="K1323">
        <v>0</v>
      </c>
      <c r="L1323">
        <v>320.60000000000002</v>
      </c>
      <c r="M1323">
        <v>32.06</v>
      </c>
      <c r="O1323" s="79">
        <f>IFERROR(VLOOKUP(D1323,'KAPANAN BLD.'!$C$2:$D$793,2,FALSE),0)</f>
        <v>0</v>
      </c>
      <c r="P1323" s="79">
        <v>0</v>
      </c>
      <c r="R1323" s="79"/>
    </row>
    <row r="1324" spans="1:18" x14ac:dyDescent="0.25">
      <c r="A1324" t="s">
        <v>32</v>
      </c>
      <c r="B1324" s="73" t="str">
        <f t="shared" si="33"/>
        <v>MERKEZ</v>
      </c>
      <c r="C1324" t="s">
        <v>239</v>
      </c>
      <c r="D1324" s="73" t="str">
        <f t="shared" si="32"/>
        <v>MERKEZ/IĞDIR</v>
      </c>
      <c r="E1324" t="s">
        <v>34</v>
      </c>
      <c r="F1324" t="s">
        <v>34</v>
      </c>
      <c r="G1324" t="s">
        <v>3366</v>
      </c>
      <c r="H1324">
        <v>6260.7</v>
      </c>
      <c r="I1324">
        <v>626.07000000000005</v>
      </c>
      <c r="J1324">
        <v>0</v>
      </c>
      <c r="K1324">
        <v>0</v>
      </c>
      <c r="L1324">
        <v>6260.7</v>
      </c>
      <c r="M1324">
        <v>626.07000000000005</v>
      </c>
      <c r="O1324" s="79">
        <f>IFERROR(VLOOKUP(D1324,'KAPANAN BLD.'!$C$2:$D$793,2,FALSE),0)</f>
        <v>0</v>
      </c>
      <c r="P1324" s="79">
        <v>0</v>
      </c>
      <c r="R1324" s="79"/>
    </row>
    <row r="1325" spans="1:18" x14ac:dyDescent="0.25">
      <c r="A1325" t="s">
        <v>32</v>
      </c>
      <c r="B1325" s="73" t="str">
        <f t="shared" si="33"/>
        <v>YALVAÇ</v>
      </c>
      <c r="C1325" t="s">
        <v>66</v>
      </c>
      <c r="D1325" s="73" t="str">
        <f t="shared" si="32"/>
        <v>YALVAÇ/ISPARTA</v>
      </c>
      <c r="E1325" s="9" t="s">
        <v>202</v>
      </c>
      <c r="F1325" s="9" t="s">
        <v>202</v>
      </c>
      <c r="G1325" t="s">
        <v>3367</v>
      </c>
      <c r="H1325">
        <v>308.7</v>
      </c>
      <c r="I1325">
        <v>30.87</v>
      </c>
      <c r="J1325">
        <v>0</v>
      </c>
      <c r="K1325">
        <v>0</v>
      </c>
      <c r="L1325">
        <v>308.7</v>
      </c>
      <c r="M1325">
        <v>30.87</v>
      </c>
      <c r="O1325" s="79">
        <f>IFERROR(VLOOKUP(D1325,'KAPANAN BLD.'!$C$2:$D$793,2,FALSE),0)</f>
        <v>0</v>
      </c>
      <c r="P1325" s="79">
        <v>0</v>
      </c>
      <c r="R1325" s="79"/>
    </row>
    <row r="1326" spans="1:18" x14ac:dyDescent="0.25">
      <c r="A1326" t="s">
        <v>32</v>
      </c>
      <c r="B1326" s="73" t="str">
        <f t="shared" si="33"/>
        <v>YALVAÇ</v>
      </c>
      <c r="C1326" t="s">
        <v>66</v>
      </c>
      <c r="D1326" s="73" t="str">
        <f t="shared" si="32"/>
        <v>YALVAÇ/ISPARTA</v>
      </c>
      <c r="E1326" s="9" t="s">
        <v>202</v>
      </c>
      <c r="F1326" s="9" t="s">
        <v>202</v>
      </c>
      <c r="G1326" t="s">
        <v>3366</v>
      </c>
      <c r="H1326">
        <v>151.5</v>
      </c>
      <c r="I1326">
        <v>15.15</v>
      </c>
      <c r="J1326">
        <v>0</v>
      </c>
      <c r="K1326">
        <v>0</v>
      </c>
      <c r="L1326">
        <v>151.5</v>
      </c>
      <c r="M1326">
        <v>15.15</v>
      </c>
      <c r="O1326" s="79">
        <f>IFERROR(VLOOKUP(D1326,'KAPANAN BLD.'!$C$2:$D$793,2,FALSE),0)</f>
        <v>0</v>
      </c>
      <c r="P1326" s="79">
        <v>0</v>
      </c>
      <c r="R1326" s="79"/>
    </row>
    <row r="1327" spans="1:18" x14ac:dyDescent="0.25">
      <c r="A1327" t="s">
        <v>32</v>
      </c>
      <c r="B1327" s="73" t="str">
        <f t="shared" si="33"/>
        <v>EĞİRDİR</v>
      </c>
      <c r="C1327" t="s">
        <v>66</v>
      </c>
      <c r="D1327" s="73" t="str">
        <f t="shared" si="32"/>
        <v>EĞİRDİR/ISPARTA</v>
      </c>
      <c r="E1327" t="s">
        <v>596</v>
      </c>
      <c r="F1327" t="s">
        <v>596</v>
      </c>
      <c r="G1327" t="s">
        <v>3366</v>
      </c>
      <c r="H1327">
        <v>55.5</v>
      </c>
      <c r="I1327">
        <v>5.55</v>
      </c>
      <c r="J1327">
        <v>0</v>
      </c>
      <c r="K1327">
        <v>0</v>
      </c>
      <c r="L1327">
        <v>55.5</v>
      </c>
      <c r="M1327">
        <v>5.55</v>
      </c>
      <c r="O1327" s="79">
        <f>IFERROR(VLOOKUP(D1327,'KAPANAN BLD.'!$C$2:$D$793,2,FALSE),0)</f>
        <v>0</v>
      </c>
      <c r="P1327" s="79">
        <v>0</v>
      </c>
      <c r="R1327" s="79"/>
    </row>
    <row r="1328" spans="1:18" x14ac:dyDescent="0.25">
      <c r="A1328" t="s">
        <v>32</v>
      </c>
      <c r="B1328" s="73" t="str">
        <f t="shared" si="33"/>
        <v>EĞİRDİR</v>
      </c>
      <c r="C1328" t="s">
        <v>66</v>
      </c>
      <c r="D1328" s="73" t="str">
        <f t="shared" si="32"/>
        <v>EĞİRDİR/ISPARTA</v>
      </c>
      <c r="E1328" t="s">
        <v>596</v>
      </c>
      <c r="F1328" t="s">
        <v>596</v>
      </c>
      <c r="G1328" t="s">
        <v>3367</v>
      </c>
      <c r="H1328">
        <v>129.6</v>
      </c>
      <c r="I1328">
        <v>12.96</v>
      </c>
      <c r="J1328">
        <v>0</v>
      </c>
      <c r="K1328">
        <v>0</v>
      </c>
      <c r="L1328">
        <v>129.6</v>
      </c>
      <c r="M1328">
        <v>12.96</v>
      </c>
      <c r="O1328" s="79">
        <f>IFERROR(VLOOKUP(D1328,'KAPANAN BLD.'!$C$2:$D$793,2,FALSE),0)</f>
        <v>0</v>
      </c>
      <c r="P1328" s="79">
        <v>0</v>
      </c>
      <c r="R1328" s="79"/>
    </row>
    <row r="1329" spans="1:18" x14ac:dyDescent="0.25">
      <c r="A1329" t="s">
        <v>32</v>
      </c>
      <c r="B1329" s="73" t="str">
        <f t="shared" si="33"/>
        <v>EĞİRDİR</v>
      </c>
      <c r="C1329" t="s">
        <v>66</v>
      </c>
      <c r="D1329" s="73" t="str">
        <f t="shared" si="32"/>
        <v>EĞİRDİR/ISPARTA</v>
      </c>
      <c r="E1329" s="9" t="s">
        <v>596</v>
      </c>
      <c r="F1329" s="9" t="s">
        <v>596</v>
      </c>
      <c r="G1329" t="s">
        <v>3366</v>
      </c>
      <c r="H1329">
        <v>10.3</v>
      </c>
      <c r="I1329">
        <v>1.03</v>
      </c>
      <c r="J1329">
        <v>0</v>
      </c>
      <c r="K1329">
        <v>0</v>
      </c>
      <c r="L1329">
        <v>10.3</v>
      </c>
      <c r="M1329">
        <v>1.03</v>
      </c>
      <c r="O1329" s="79">
        <f>IFERROR(VLOOKUP(D1329,'KAPANAN BLD.'!$C$2:$D$793,2,FALSE),0)</f>
        <v>0</v>
      </c>
      <c r="P1329" s="79">
        <v>0</v>
      </c>
      <c r="R1329" s="79"/>
    </row>
    <row r="1330" spans="1:18" x14ac:dyDescent="0.25">
      <c r="A1330" t="s">
        <v>32</v>
      </c>
      <c r="B1330" s="73" t="str">
        <f t="shared" si="33"/>
        <v>EĞİRDİR</v>
      </c>
      <c r="C1330" t="s">
        <v>66</v>
      </c>
      <c r="D1330" s="73" t="str">
        <f t="shared" si="32"/>
        <v>EĞİRDİR/ISPARTA</v>
      </c>
      <c r="E1330" s="9" t="s">
        <v>596</v>
      </c>
      <c r="F1330" s="9" t="s">
        <v>596</v>
      </c>
      <c r="G1330" t="s">
        <v>3367</v>
      </c>
      <c r="H1330">
        <v>24.9</v>
      </c>
      <c r="I1330">
        <v>2.4900000000000002</v>
      </c>
      <c r="J1330">
        <v>0</v>
      </c>
      <c r="K1330">
        <v>0</v>
      </c>
      <c r="L1330">
        <v>24.9</v>
      </c>
      <c r="M1330">
        <v>2.4900000000000002</v>
      </c>
      <c r="O1330" s="79">
        <f>IFERROR(VLOOKUP(D1330,'KAPANAN BLD.'!$C$2:$D$793,2,FALSE),0)</f>
        <v>0</v>
      </c>
      <c r="P1330" s="79">
        <v>0</v>
      </c>
      <c r="R1330" s="79"/>
    </row>
    <row r="1331" spans="1:18" x14ac:dyDescent="0.25">
      <c r="A1331" t="s">
        <v>32</v>
      </c>
      <c r="B1331" s="73" t="str">
        <f t="shared" si="33"/>
        <v>GÖNEN</v>
      </c>
      <c r="C1331" t="s">
        <v>66</v>
      </c>
      <c r="D1331" s="73" t="str">
        <f t="shared" si="32"/>
        <v>GÖNEN/ISPARTA</v>
      </c>
      <c r="E1331" t="s">
        <v>257</v>
      </c>
      <c r="F1331" t="s">
        <v>257</v>
      </c>
      <c r="G1331" t="s">
        <v>3366</v>
      </c>
      <c r="H1331">
        <v>919.1</v>
      </c>
      <c r="I1331">
        <v>91.91</v>
      </c>
      <c r="J1331">
        <v>51.7</v>
      </c>
      <c r="K1331">
        <v>5.17</v>
      </c>
      <c r="L1331">
        <v>867.4</v>
      </c>
      <c r="M1331">
        <v>86.74</v>
      </c>
      <c r="O1331" s="79">
        <f>IFERROR(VLOOKUP(D1331,'KAPANAN BLD.'!$C$2:$D$793,2,FALSE),0)</f>
        <v>0</v>
      </c>
      <c r="P1331" s="79">
        <v>0</v>
      </c>
      <c r="R1331" s="79"/>
    </row>
    <row r="1332" spans="1:18" x14ac:dyDescent="0.25">
      <c r="A1332" t="s">
        <v>32</v>
      </c>
      <c r="B1332" s="73" t="str">
        <f t="shared" si="33"/>
        <v>GÖNEN</v>
      </c>
      <c r="C1332" t="s">
        <v>66</v>
      </c>
      <c r="D1332" s="73" t="str">
        <f t="shared" si="32"/>
        <v>GÖNEN/ISPARTA</v>
      </c>
      <c r="E1332" t="s">
        <v>257</v>
      </c>
      <c r="F1332" t="s">
        <v>257</v>
      </c>
      <c r="G1332" t="s">
        <v>3367</v>
      </c>
      <c r="H1332">
        <v>376.7</v>
      </c>
      <c r="I1332">
        <v>37.67</v>
      </c>
      <c r="J1332">
        <v>32.1</v>
      </c>
      <c r="K1332">
        <v>3.21</v>
      </c>
      <c r="L1332">
        <v>344.6</v>
      </c>
      <c r="M1332">
        <v>34.46</v>
      </c>
      <c r="O1332" s="79">
        <f>IFERROR(VLOOKUP(D1332,'KAPANAN BLD.'!$C$2:$D$793,2,FALSE),0)</f>
        <v>0</v>
      </c>
      <c r="P1332" s="79">
        <v>0</v>
      </c>
      <c r="R1332" s="79"/>
    </row>
    <row r="1333" spans="1:18" x14ac:dyDescent="0.25">
      <c r="A1333" t="s">
        <v>32</v>
      </c>
      <c r="B1333" s="73" t="str">
        <f t="shared" si="33"/>
        <v>GÖNEN</v>
      </c>
      <c r="C1333" t="s">
        <v>66</v>
      </c>
      <c r="D1333" s="73" t="str">
        <f t="shared" si="32"/>
        <v>GÖNEN/ISPARTA</v>
      </c>
      <c r="E1333" s="9" t="s">
        <v>257</v>
      </c>
      <c r="F1333" s="9" t="s">
        <v>257</v>
      </c>
      <c r="G1333" t="s">
        <v>3367</v>
      </c>
      <c r="H1333">
        <v>162.80000000000001</v>
      </c>
      <c r="I1333">
        <v>16.28</v>
      </c>
      <c r="J1333">
        <v>0</v>
      </c>
      <c r="K1333">
        <v>0</v>
      </c>
      <c r="L1333">
        <v>162.80000000000001</v>
      </c>
      <c r="M1333">
        <v>16.28</v>
      </c>
      <c r="O1333" s="79">
        <f>IFERROR(VLOOKUP(D1333,'KAPANAN BLD.'!$C$2:$D$793,2,FALSE),0)</f>
        <v>0</v>
      </c>
      <c r="P1333" s="79">
        <v>0</v>
      </c>
      <c r="R1333" s="79"/>
    </row>
    <row r="1334" spans="1:18" x14ac:dyDescent="0.25">
      <c r="A1334" t="s">
        <v>32</v>
      </c>
      <c r="B1334" s="73" t="str">
        <f t="shared" si="33"/>
        <v>GÖNEN</v>
      </c>
      <c r="C1334" t="s">
        <v>66</v>
      </c>
      <c r="D1334" s="73" t="str">
        <f t="shared" si="32"/>
        <v>GÖNEN/ISPARTA</v>
      </c>
      <c r="E1334" s="9" t="s">
        <v>257</v>
      </c>
      <c r="F1334" s="9" t="s">
        <v>257</v>
      </c>
      <c r="G1334" t="s">
        <v>3366</v>
      </c>
      <c r="H1334">
        <v>89.1</v>
      </c>
      <c r="I1334">
        <v>8.91</v>
      </c>
      <c r="J1334">
        <v>0</v>
      </c>
      <c r="K1334">
        <v>0</v>
      </c>
      <c r="L1334">
        <v>89.1</v>
      </c>
      <c r="M1334">
        <v>8.91</v>
      </c>
      <c r="O1334" s="79">
        <f>IFERROR(VLOOKUP(D1334,'KAPANAN BLD.'!$C$2:$D$793,2,FALSE),0)</f>
        <v>0</v>
      </c>
      <c r="P1334" s="79">
        <v>0</v>
      </c>
      <c r="R1334" s="79"/>
    </row>
    <row r="1335" spans="1:18" x14ac:dyDescent="0.25">
      <c r="A1335" t="s">
        <v>32</v>
      </c>
      <c r="B1335" s="73" t="str">
        <f t="shared" si="33"/>
        <v>YALVAÇ</v>
      </c>
      <c r="C1335" t="s">
        <v>66</v>
      </c>
      <c r="D1335" s="73" t="str">
        <f t="shared" si="32"/>
        <v>YALVAÇ/ISPARTA</v>
      </c>
      <c r="E1335" s="9" t="s">
        <v>202</v>
      </c>
      <c r="F1335" s="9" t="s">
        <v>202</v>
      </c>
      <c r="G1335" t="s">
        <v>3367</v>
      </c>
      <c r="H1335">
        <v>26.2</v>
      </c>
      <c r="I1335">
        <v>2.62</v>
      </c>
      <c r="J1335">
        <v>0</v>
      </c>
      <c r="K1335">
        <v>0</v>
      </c>
      <c r="L1335">
        <v>26.2</v>
      </c>
      <c r="M1335">
        <v>2.62</v>
      </c>
      <c r="O1335" s="79">
        <f>IFERROR(VLOOKUP(D1335,'KAPANAN BLD.'!$C$2:$D$793,2,FALSE),0)</f>
        <v>0</v>
      </c>
      <c r="P1335" s="79">
        <v>0</v>
      </c>
      <c r="R1335" s="79"/>
    </row>
    <row r="1336" spans="1:18" x14ac:dyDescent="0.25">
      <c r="A1336" t="s">
        <v>32</v>
      </c>
      <c r="B1336" s="73" t="str">
        <f t="shared" si="33"/>
        <v>YALVAÇ</v>
      </c>
      <c r="C1336" t="s">
        <v>66</v>
      </c>
      <c r="D1336" s="73" t="str">
        <f t="shared" si="32"/>
        <v>YALVAÇ/ISPARTA</v>
      </c>
      <c r="E1336" s="9" t="s">
        <v>202</v>
      </c>
      <c r="F1336" s="9" t="s">
        <v>202</v>
      </c>
      <c r="G1336" t="s">
        <v>3366</v>
      </c>
      <c r="H1336">
        <v>5</v>
      </c>
      <c r="I1336">
        <v>0.5</v>
      </c>
      <c r="J1336">
        <v>0</v>
      </c>
      <c r="K1336">
        <v>0</v>
      </c>
      <c r="L1336">
        <v>5</v>
      </c>
      <c r="M1336">
        <v>0.5</v>
      </c>
      <c r="O1336" s="79">
        <f>IFERROR(VLOOKUP(D1336,'KAPANAN BLD.'!$C$2:$D$793,2,FALSE),0)</f>
        <v>0</v>
      </c>
      <c r="P1336" s="79">
        <v>0</v>
      </c>
      <c r="R1336" s="79"/>
    </row>
    <row r="1337" spans="1:18" x14ac:dyDescent="0.25">
      <c r="A1337" t="s">
        <v>32</v>
      </c>
      <c r="B1337" s="73" t="str">
        <f t="shared" si="33"/>
        <v>ATABEY</v>
      </c>
      <c r="C1337" t="s">
        <v>66</v>
      </c>
      <c r="D1337" s="73" t="str">
        <f t="shared" si="32"/>
        <v>ATABEY/ISPARTA</v>
      </c>
      <c r="E1337" s="9" t="s">
        <v>2231</v>
      </c>
      <c r="F1337" s="9" t="s">
        <v>2231</v>
      </c>
      <c r="G1337" t="s">
        <v>3366</v>
      </c>
      <c r="H1337">
        <v>1347</v>
      </c>
      <c r="I1337">
        <v>134.69999999999999</v>
      </c>
      <c r="J1337">
        <v>0</v>
      </c>
      <c r="K1337">
        <v>0</v>
      </c>
      <c r="L1337">
        <v>1347</v>
      </c>
      <c r="M1337">
        <v>134.69999999999999</v>
      </c>
      <c r="O1337" s="79">
        <f>IFERROR(VLOOKUP(D1337,'KAPANAN BLD.'!$C$2:$D$793,2,FALSE),0)</f>
        <v>0</v>
      </c>
      <c r="P1337" s="79">
        <v>0</v>
      </c>
      <c r="R1337" s="79"/>
    </row>
    <row r="1338" spans="1:18" x14ac:dyDescent="0.25">
      <c r="A1338" t="s">
        <v>32</v>
      </c>
      <c r="B1338" s="73" t="str">
        <f t="shared" si="33"/>
        <v>ATABEY</v>
      </c>
      <c r="C1338" t="s">
        <v>66</v>
      </c>
      <c r="D1338" s="73" t="str">
        <f t="shared" si="32"/>
        <v>ATABEY/ISPARTA</v>
      </c>
      <c r="E1338" s="9" t="s">
        <v>2231</v>
      </c>
      <c r="F1338" s="9" t="s">
        <v>2231</v>
      </c>
      <c r="G1338" t="s">
        <v>3367</v>
      </c>
      <c r="H1338">
        <v>1300.7</v>
      </c>
      <c r="I1338">
        <v>130.07</v>
      </c>
      <c r="J1338">
        <v>0</v>
      </c>
      <c r="K1338">
        <v>0</v>
      </c>
      <c r="L1338">
        <v>1300.7</v>
      </c>
      <c r="M1338">
        <v>130.07</v>
      </c>
      <c r="O1338" s="79">
        <f>IFERROR(VLOOKUP(D1338,'KAPANAN BLD.'!$C$2:$D$793,2,FALSE),0)</f>
        <v>0</v>
      </c>
      <c r="P1338" s="79">
        <v>0</v>
      </c>
      <c r="R1338" s="79"/>
    </row>
    <row r="1339" spans="1:18" x14ac:dyDescent="0.25">
      <c r="A1339" t="s">
        <v>32</v>
      </c>
      <c r="B1339" s="73" t="str">
        <f t="shared" si="33"/>
        <v>KEÇİBORLU</v>
      </c>
      <c r="C1339" t="s">
        <v>66</v>
      </c>
      <c r="D1339" s="73" t="str">
        <f t="shared" si="32"/>
        <v>KEÇİBORLU/ISPARTA</v>
      </c>
      <c r="E1339" t="s">
        <v>598</v>
      </c>
      <c r="F1339" t="s">
        <v>598</v>
      </c>
      <c r="G1339" t="s">
        <v>3367</v>
      </c>
      <c r="H1339">
        <v>16.100000000000001</v>
      </c>
      <c r="I1339">
        <v>1.61</v>
      </c>
      <c r="J1339">
        <v>0</v>
      </c>
      <c r="K1339">
        <v>0</v>
      </c>
      <c r="L1339">
        <v>16.100000000000001</v>
      </c>
      <c r="M1339">
        <v>1.61</v>
      </c>
      <c r="O1339" s="79">
        <f>IFERROR(VLOOKUP(D1339,'KAPANAN BLD.'!$C$2:$D$793,2,FALSE),0)</f>
        <v>0</v>
      </c>
      <c r="P1339" s="79">
        <v>0</v>
      </c>
      <c r="R1339" s="79"/>
    </row>
    <row r="1340" spans="1:18" x14ac:dyDescent="0.25">
      <c r="A1340" t="s">
        <v>32</v>
      </c>
      <c r="B1340" s="73" t="str">
        <f t="shared" si="33"/>
        <v>KEÇİBORLU</v>
      </c>
      <c r="C1340" t="s">
        <v>66</v>
      </c>
      <c r="D1340" s="73" t="str">
        <f t="shared" si="32"/>
        <v>KEÇİBORLU/ISPARTA</v>
      </c>
      <c r="E1340" t="s">
        <v>598</v>
      </c>
      <c r="F1340" t="s">
        <v>598</v>
      </c>
      <c r="G1340" t="s">
        <v>3366</v>
      </c>
      <c r="H1340">
        <v>11.8</v>
      </c>
      <c r="I1340">
        <v>1.18</v>
      </c>
      <c r="J1340">
        <v>0</v>
      </c>
      <c r="K1340">
        <v>0</v>
      </c>
      <c r="L1340">
        <v>11.8</v>
      </c>
      <c r="M1340">
        <v>1.18</v>
      </c>
      <c r="O1340" s="79">
        <f>IFERROR(VLOOKUP(D1340,'KAPANAN BLD.'!$C$2:$D$793,2,FALSE),0)</f>
        <v>0</v>
      </c>
      <c r="P1340" s="79">
        <v>0</v>
      </c>
      <c r="R1340" s="79"/>
    </row>
    <row r="1341" spans="1:18" x14ac:dyDescent="0.25">
      <c r="A1341" t="s">
        <v>32</v>
      </c>
      <c r="B1341" s="73" t="str">
        <f t="shared" si="33"/>
        <v>KEÇİBORLU</v>
      </c>
      <c r="C1341" t="s">
        <v>66</v>
      </c>
      <c r="D1341" s="73" t="str">
        <f t="shared" si="32"/>
        <v>KEÇİBORLU/ISPARTA</v>
      </c>
      <c r="E1341" s="9" t="s">
        <v>598</v>
      </c>
      <c r="F1341" s="9" t="s">
        <v>598</v>
      </c>
      <c r="G1341" t="s">
        <v>3366</v>
      </c>
      <c r="H1341">
        <v>103.3</v>
      </c>
      <c r="I1341">
        <v>10.33</v>
      </c>
      <c r="J1341">
        <v>0</v>
      </c>
      <c r="K1341">
        <v>0</v>
      </c>
      <c r="L1341">
        <v>103.3</v>
      </c>
      <c r="M1341">
        <v>10.33</v>
      </c>
      <c r="O1341" s="79">
        <f>IFERROR(VLOOKUP(D1341,'KAPANAN BLD.'!$C$2:$D$793,2,FALSE),0)</f>
        <v>0</v>
      </c>
      <c r="P1341" s="79">
        <v>0</v>
      </c>
      <c r="R1341" s="79"/>
    </row>
    <row r="1342" spans="1:18" x14ac:dyDescent="0.25">
      <c r="A1342" t="s">
        <v>32</v>
      </c>
      <c r="B1342" s="73" t="str">
        <f t="shared" si="33"/>
        <v>KEÇİBORLU</v>
      </c>
      <c r="C1342" t="s">
        <v>66</v>
      </c>
      <c r="D1342" s="73" t="str">
        <f t="shared" si="32"/>
        <v>KEÇİBORLU/ISPARTA</v>
      </c>
      <c r="E1342" s="9" t="s">
        <v>598</v>
      </c>
      <c r="F1342" s="9" t="s">
        <v>598</v>
      </c>
      <c r="G1342" t="s">
        <v>3367</v>
      </c>
      <c r="H1342">
        <v>5.4</v>
      </c>
      <c r="I1342">
        <v>0.54</v>
      </c>
      <c r="J1342">
        <v>0</v>
      </c>
      <c r="K1342">
        <v>0</v>
      </c>
      <c r="L1342">
        <v>5.4</v>
      </c>
      <c r="M1342">
        <v>0.54</v>
      </c>
      <c r="O1342" s="79">
        <f>IFERROR(VLOOKUP(D1342,'KAPANAN BLD.'!$C$2:$D$793,2,FALSE),0)</f>
        <v>0</v>
      </c>
      <c r="P1342" s="79">
        <v>0</v>
      </c>
      <c r="R1342" s="79"/>
    </row>
    <row r="1343" spans="1:18" x14ac:dyDescent="0.25">
      <c r="A1343" t="s">
        <v>32</v>
      </c>
      <c r="B1343" s="73" t="str">
        <f t="shared" si="33"/>
        <v>MERKEZ</v>
      </c>
      <c r="C1343" t="s">
        <v>66</v>
      </c>
      <c r="D1343" s="73" t="str">
        <f t="shared" si="32"/>
        <v>MERKEZ/ISPARTA</v>
      </c>
      <c r="E1343" s="9" t="s">
        <v>34</v>
      </c>
      <c r="F1343" s="9" t="s">
        <v>34</v>
      </c>
      <c r="G1343" t="s">
        <v>3367</v>
      </c>
      <c r="H1343">
        <v>1427.4</v>
      </c>
      <c r="I1343">
        <v>142.74</v>
      </c>
      <c r="J1343">
        <v>386.9</v>
      </c>
      <c r="K1343">
        <v>38.69</v>
      </c>
      <c r="L1343">
        <v>1040.5</v>
      </c>
      <c r="M1343">
        <v>104.05</v>
      </c>
      <c r="O1343" s="79">
        <f>IFERROR(VLOOKUP(D1343,'KAPANAN BLD.'!$C$2:$D$793,2,FALSE),0)</f>
        <v>0</v>
      </c>
      <c r="P1343" s="79">
        <v>0</v>
      </c>
      <c r="R1343" s="79"/>
    </row>
    <row r="1344" spans="1:18" x14ac:dyDescent="0.25">
      <c r="A1344" t="s">
        <v>32</v>
      </c>
      <c r="B1344" s="73" t="str">
        <f t="shared" si="33"/>
        <v>MERKEZ</v>
      </c>
      <c r="C1344" t="s">
        <v>66</v>
      </c>
      <c r="D1344" s="73" t="str">
        <f t="shared" si="32"/>
        <v>MERKEZ/ISPARTA</v>
      </c>
      <c r="E1344" s="9" t="s">
        <v>34</v>
      </c>
      <c r="F1344" s="9" t="s">
        <v>34</v>
      </c>
      <c r="G1344" t="s">
        <v>3366</v>
      </c>
      <c r="H1344">
        <v>2535.6999999999998</v>
      </c>
      <c r="I1344">
        <v>253.57</v>
      </c>
      <c r="J1344">
        <v>799.2</v>
      </c>
      <c r="K1344">
        <v>79.92</v>
      </c>
      <c r="L1344">
        <v>1736.5</v>
      </c>
      <c r="M1344">
        <v>173.65</v>
      </c>
      <c r="O1344" s="79">
        <f>IFERROR(VLOOKUP(D1344,'KAPANAN BLD.'!$C$2:$D$793,2,FALSE),0)</f>
        <v>0</v>
      </c>
      <c r="P1344" s="79">
        <v>0</v>
      </c>
      <c r="R1344" s="79"/>
    </row>
    <row r="1345" spans="1:18" x14ac:dyDescent="0.25">
      <c r="A1345" t="s">
        <v>32</v>
      </c>
      <c r="B1345" s="73" t="str">
        <f t="shared" si="33"/>
        <v>YALVAÇ</v>
      </c>
      <c r="C1345" t="s">
        <v>66</v>
      </c>
      <c r="D1345" s="73" t="str">
        <f t="shared" si="32"/>
        <v>YALVAÇ/ISPARTA</v>
      </c>
      <c r="E1345" s="9" t="s">
        <v>202</v>
      </c>
      <c r="F1345" s="9" t="s">
        <v>202</v>
      </c>
      <c r="G1345" t="s">
        <v>3367</v>
      </c>
      <c r="H1345">
        <v>111.8</v>
      </c>
      <c r="I1345">
        <v>11.18</v>
      </c>
      <c r="J1345">
        <v>0</v>
      </c>
      <c r="K1345">
        <v>0</v>
      </c>
      <c r="L1345">
        <v>111.8</v>
      </c>
      <c r="M1345">
        <v>11.18</v>
      </c>
      <c r="O1345" s="79">
        <f>IFERROR(VLOOKUP(D1345,'KAPANAN BLD.'!$C$2:$D$793,2,FALSE),0)</f>
        <v>0</v>
      </c>
      <c r="P1345" s="79">
        <v>0</v>
      </c>
      <c r="R1345" s="79"/>
    </row>
    <row r="1346" spans="1:18" x14ac:dyDescent="0.25">
      <c r="A1346" t="s">
        <v>32</v>
      </c>
      <c r="B1346" s="73" t="str">
        <f t="shared" si="33"/>
        <v>YALVAÇ</v>
      </c>
      <c r="C1346" t="s">
        <v>66</v>
      </c>
      <c r="D1346" s="73" t="str">
        <f t="shared" si="32"/>
        <v>YALVAÇ/ISPARTA</v>
      </c>
      <c r="E1346" s="9" t="s">
        <v>202</v>
      </c>
      <c r="F1346" s="9" t="s">
        <v>202</v>
      </c>
      <c r="G1346" t="s">
        <v>3366</v>
      </c>
      <c r="H1346">
        <v>61.8</v>
      </c>
      <c r="I1346">
        <v>6.18</v>
      </c>
      <c r="J1346">
        <v>0</v>
      </c>
      <c r="K1346">
        <v>0</v>
      </c>
      <c r="L1346">
        <v>61.8</v>
      </c>
      <c r="M1346">
        <v>6.18</v>
      </c>
      <c r="O1346" s="79">
        <f>IFERROR(VLOOKUP(D1346,'KAPANAN BLD.'!$C$2:$D$793,2,FALSE),0)</f>
        <v>0</v>
      </c>
      <c r="P1346" s="79">
        <v>0</v>
      </c>
      <c r="R1346" s="79"/>
    </row>
    <row r="1347" spans="1:18" x14ac:dyDescent="0.25">
      <c r="A1347" t="s">
        <v>32</v>
      </c>
      <c r="B1347" s="73" t="str">
        <f t="shared" si="33"/>
        <v>KEÇİBORLU</v>
      </c>
      <c r="C1347" t="s">
        <v>66</v>
      </c>
      <c r="D1347" s="73" t="str">
        <f t="shared" ref="D1347:D1410" si="34">CONCATENATE(B1347,"/",C1347)</f>
        <v>KEÇİBORLU/ISPARTA</v>
      </c>
      <c r="E1347" s="9" t="s">
        <v>598</v>
      </c>
      <c r="F1347" s="9" t="s">
        <v>598</v>
      </c>
      <c r="G1347" t="s">
        <v>3367</v>
      </c>
      <c r="H1347">
        <v>338.3</v>
      </c>
      <c r="I1347">
        <v>33.83</v>
      </c>
      <c r="J1347">
        <v>0</v>
      </c>
      <c r="K1347">
        <v>0</v>
      </c>
      <c r="L1347">
        <v>338.3</v>
      </c>
      <c r="M1347">
        <v>33.83</v>
      </c>
      <c r="O1347" s="79">
        <f>IFERROR(VLOOKUP(D1347,'KAPANAN BLD.'!$C$2:$D$793,2,FALSE),0)</f>
        <v>0</v>
      </c>
      <c r="P1347" s="79">
        <v>0</v>
      </c>
      <c r="R1347" s="79"/>
    </row>
    <row r="1348" spans="1:18" x14ac:dyDescent="0.25">
      <c r="A1348" t="s">
        <v>32</v>
      </c>
      <c r="B1348" s="73" t="str">
        <f t="shared" si="33"/>
        <v>MERKEZ</v>
      </c>
      <c r="C1348" t="s">
        <v>66</v>
      </c>
      <c r="D1348" s="73" t="str">
        <f t="shared" si="34"/>
        <v>MERKEZ/ISPARTA</v>
      </c>
      <c r="E1348" t="s">
        <v>34</v>
      </c>
      <c r="F1348" t="s">
        <v>34</v>
      </c>
      <c r="G1348" t="s">
        <v>3367</v>
      </c>
      <c r="H1348">
        <v>911.5</v>
      </c>
      <c r="I1348">
        <v>91.15</v>
      </c>
      <c r="J1348">
        <v>0</v>
      </c>
      <c r="K1348">
        <v>0</v>
      </c>
      <c r="L1348">
        <v>911.5</v>
      </c>
      <c r="M1348">
        <v>91.15</v>
      </c>
      <c r="O1348" s="79">
        <f>IFERROR(VLOOKUP(D1348,'KAPANAN BLD.'!$C$2:$D$793,2,FALSE),0)</f>
        <v>0</v>
      </c>
      <c r="P1348" s="79">
        <v>0</v>
      </c>
      <c r="R1348" s="79"/>
    </row>
    <row r="1349" spans="1:18" x14ac:dyDescent="0.25">
      <c r="A1349" t="s">
        <v>32</v>
      </c>
      <c r="B1349" s="73" t="str">
        <f t="shared" si="33"/>
        <v>MERKEZ</v>
      </c>
      <c r="C1349" t="s">
        <v>66</v>
      </c>
      <c r="D1349" s="73" t="str">
        <f t="shared" si="34"/>
        <v>MERKEZ/ISPARTA</v>
      </c>
      <c r="E1349" t="s">
        <v>34</v>
      </c>
      <c r="F1349" t="s">
        <v>34</v>
      </c>
      <c r="G1349" t="s">
        <v>3366</v>
      </c>
      <c r="H1349">
        <v>103.3</v>
      </c>
      <c r="I1349">
        <v>10.33</v>
      </c>
      <c r="J1349">
        <v>0</v>
      </c>
      <c r="K1349">
        <v>0</v>
      </c>
      <c r="L1349">
        <v>103.3</v>
      </c>
      <c r="M1349">
        <v>10.33</v>
      </c>
      <c r="O1349" s="79">
        <f>IFERROR(VLOOKUP(D1349,'KAPANAN BLD.'!$C$2:$D$793,2,FALSE),0)</f>
        <v>0</v>
      </c>
      <c r="P1349" s="79">
        <v>0</v>
      </c>
      <c r="R1349" s="79"/>
    </row>
    <row r="1350" spans="1:18" x14ac:dyDescent="0.25">
      <c r="A1350" t="s">
        <v>32</v>
      </c>
      <c r="B1350" s="73" t="str">
        <f t="shared" si="33"/>
        <v>MERKEZ</v>
      </c>
      <c r="C1350" t="s">
        <v>66</v>
      </c>
      <c r="D1350" s="73" t="str">
        <f t="shared" si="34"/>
        <v>MERKEZ/ISPARTA</v>
      </c>
      <c r="E1350" t="s">
        <v>34</v>
      </c>
      <c r="F1350" t="s">
        <v>34</v>
      </c>
      <c r="G1350" t="s">
        <v>3366</v>
      </c>
      <c r="H1350">
        <v>5446.6</v>
      </c>
      <c r="I1350">
        <v>544.66</v>
      </c>
      <c r="J1350">
        <v>1445.5</v>
      </c>
      <c r="K1350">
        <v>144.55000000000001</v>
      </c>
      <c r="L1350">
        <v>4001.1</v>
      </c>
      <c r="M1350">
        <v>400.11</v>
      </c>
      <c r="O1350" s="79">
        <f>IFERROR(VLOOKUP(D1350,'KAPANAN BLD.'!$C$2:$D$793,2,FALSE),0)</f>
        <v>0</v>
      </c>
      <c r="P1350" s="79">
        <v>0</v>
      </c>
      <c r="R1350" s="79"/>
    </row>
    <row r="1351" spans="1:18" x14ac:dyDescent="0.25">
      <c r="A1351" t="s">
        <v>32</v>
      </c>
      <c r="B1351" s="73" t="str">
        <f t="shared" si="33"/>
        <v>MERKEZ</v>
      </c>
      <c r="C1351" t="s">
        <v>66</v>
      </c>
      <c r="D1351" s="73" t="str">
        <f t="shared" si="34"/>
        <v>MERKEZ/ISPARTA</v>
      </c>
      <c r="E1351" t="s">
        <v>34</v>
      </c>
      <c r="F1351" t="s">
        <v>34</v>
      </c>
      <c r="G1351" t="s">
        <v>3367</v>
      </c>
      <c r="H1351">
        <v>2732.5</v>
      </c>
      <c r="I1351">
        <v>273.25</v>
      </c>
      <c r="J1351">
        <v>49.6</v>
      </c>
      <c r="K1351">
        <v>4.96</v>
      </c>
      <c r="L1351">
        <v>2682.9</v>
      </c>
      <c r="M1351">
        <v>268.29000000000002</v>
      </c>
      <c r="O1351" s="79">
        <f>IFERROR(VLOOKUP(D1351,'KAPANAN BLD.'!$C$2:$D$793,2,FALSE),0)</f>
        <v>0</v>
      </c>
      <c r="P1351" s="79">
        <v>0</v>
      </c>
      <c r="R1351" s="79"/>
    </row>
    <row r="1352" spans="1:18" x14ac:dyDescent="0.25">
      <c r="A1352" t="s">
        <v>32</v>
      </c>
      <c r="B1352" s="73" t="str">
        <f t="shared" si="33"/>
        <v>MERKEZ</v>
      </c>
      <c r="C1352" t="s">
        <v>66</v>
      </c>
      <c r="D1352" s="73" t="str">
        <f t="shared" si="34"/>
        <v>MERKEZ/ISPARTA</v>
      </c>
      <c r="E1352" t="s">
        <v>34</v>
      </c>
      <c r="F1352" t="s">
        <v>34</v>
      </c>
      <c r="G1352" t="s">
        <v>3367</v>
      </c>
      <c r="H1352">
        <v>3441.4</v>
      </c>
      <c r="I1352">
        <v>344.14</v>
      </c>
      <c r="J1352">
        <v>0</v>
      </c>
      <c r="K1352">
        <v>0</v>
      </c>
      <c r="L1352">
        <v>3441.4</v>
      </c>
      <c r="M1352">
        <v>344.14</v>
      </c>
      <c r="O1352" s="79">
        <f>IFERROR(VLOOKUP(D1352,'KAPANAN BLD.'!$C$2:$D$793,2,FALSE),0)</f>
        <v>0</v>
      </c>
      <c r="P1352" s="79">
        <v>0</v>
      </c>
      <c r="R1352" s="79"/>
    </row>
    <row r="1353" spans="1:18" x14ac:dyDescent="0.25">
      <c r="A1353" t="s">
        <v>32</v>
      </c>
      <c r="B1353" s="73" t="str">
        <f t="shared" si="33"/>
        <v>MERKEZ</v>
      </c>
      <c r="C1353" t="s">
        <v>66</v>
      </c>
      <c r="D1353" s="73" t="str">
        <f t="shared" si="34"/>
        <v>MERKEZ/ISPARTA</v>
      </c>
      <c r="E1353" t="s">
        <v>34</v>
      </c>
      <c r="F1353" t="s">
        <v>34</v>
      </c>
      <c r="G1353" t="s">
        <v>3366</v>
      </c>
      <c r="H1353">
        <v>6565.7</v>
      </c>
      <c r="I1353">
        <v>656.57</v>
      </c>
      <c r="J1353">
        <v>0</v>
      </c>
      <c r="K1353">
        <v>0</v>
      </c>
      <c r="L1353">
        <v>6565.7</v>
      </c>
      <c r="M1353">
        <v>656.57</v>
      </c>
      <c r="O1353" s="79">
        <f>IFERROR(VLOOKUP(D1353,'KAPANAN BLD.'!$C$2:$D$793,2,FALSE),0)</f>
        <v>0</v>
      </c>
      <c r="P1353" s="79">
        <v>0</v>
      </c>
      <c r="R1353" s="79"/>
    </row>
    <row r="1354" spans="1:18" x14ac:dyDescent="0.25">
      <c r="A1354" t="s">
        <v>32</v>
      </c>
      <c r="B1354" s="73" t="str">
        <f t="shared" si="33"/>
        <v>YALVAÇ</v>
      </c>
      <c r="C1354" t="s">
        <v>66</v>
      </c>
      <c r="D1354" s="73" t="str">
        <f t="shared" si="34"/>
        <v>YALVAÇ/ISPARTA</v>
      </c>
      <c r="E1354" s="9" t="s">
        <v>202</v>
      </c>
      <c r="F1354" s="9" t="s">
        <v>202</v>
      </c>
      <c r="G1354" t="s">
        <v>3367</v>
      </c>
      <c r="H1354">
        <v>1768.4</v>
      </c>
      <c r="I1354">
        <v>176.84</v>
      </c>
      <c r="J1354">
        <v>0</v>
      </c>
      <c r="K1354">
        <v>0</v>
      </c>
      <c r="L1354">
        <v>1768.4</v>
      </c>
      <c r="M1354">
        <v>176.84</v>
      </c>
      <c r="O1354" s="79">
        <f>IFERROR(VLOOKUP(D1354,'KAPANAN BLD.'!$C$2:$D$793,2,FALSE),0)</f>
        <v>0</v>
      </c>
      <c r="P1354" s="79">
        <v>0</v>
      </c>
      <c r="R1354" s="79"/>
    </row>
    <row r="1355" spans="1:18" x14ac:dyDescent="0.25">
      <c r="A1355" t="s">
        <v>32</v>
      </c>
      <c r="B1355" s="73" t="str">
        <f t="shared" si="33"/>
        <v>YALVAÇ</v>
      </c>
      <c r="C1355" t="s">
        <v>66</v>
      </c>
      <c r="D1355" s="73" t="str">
        <f t="shared" si="34"/>
        <v>YALVAÇ/ISPARTA</v>
      </c>
      <c r="E1355" s="9" t="s">
        <v>202</v>
      </c>
      <c r="F1355" s="9" t="s">
        <v>202</v>
      </c>
      <c r="G1355" t="s">
        <v>3366</v>
      </c>
      <c r="H1355">
        <v>5844.8</v>
      </c>
      <c r="I1355">
        <v>584.48</v>
      </c>
      <c r="J1355">
        <v>0</v>
      </c>
      <c r="K1355">
        <v>0</v>
      </c>
      <c r="L1355">
        <v>5844.8</v>
      </c>
      <c r="M1355">
        <v>584.48</v>
      </c>
      <c r="O1355" s="79">
        <f>IFERROR(VLOOKUP(D1355,'KAPANAN BLD.'!$C$2:$D$793,2,FALSE),0)</f>
        <v>0</v>
      </c>
      <c r="P1355" s="79">
        <v>0</v>
      </c>
      <c r="R1355" s="79"/>
    </row>
    <row r="1356" spans="1:18" x14ac:dyDescent="0.25">
      <c r="A1356" t="s">
        <v>32</v>
      </c>
      <c r="B1356" s="73" t="str">
        <f t="shared" si="33"/>
        <v>EĞİRDİR</v>
      </c>
      <c r="C1356" t="s">
        <v>66</v>
      </c>
      <c r="D1356" s="73" t="str">
        <f t="shared" si="34"/>
        <v>EĞİRDİR/ISPARTA</v>
      </c>
      <c r="E1356" s="9" t="s">
        <v>596</v>
      </c>
      <c r="F1356" s="9" t="s">
        <v>596</v>
      </c>
      <c r="G1356" t="s">
        <v>3366</v>
      </c>
      <c r="H1356">
        <v>81.3</v>
      </c>
      <c r="I1356">
        <v>8.1300000000000008</v>
      </c>
      <c r="J1356">
        <v>0</v>
      </c>
      <c r="K1356">
        <v>0</v>
      </c>
      <c r="L1356">
        <v>81.3</v>
      </c>
      <c r="M1356">
        <v>8.1300000000000008</v>
      </c>
      <c r="O1356" s="79">
        <f>IFERROR(VLOOKUP(D1356,'KAPANAN BLD.'!$C$2:$D$793,2,FALSE),0)</f>
        <v>0</v>
      </c>
      <c r="P1356" s="79">
        <v>0</v>
      </c>
      <c r="R1356" s="79"/>
    </row>
    <row r="1357" spans="1:18" x14ac:dyDescent="0.25">
      <c r="A1357" t="s">
        <v>32</v>
      </c>
      <c r="B1357" s="73" t="str">
        <f t="shared" si="33"/>
        <v>EĞİRDİR</v>
      </c>
      <c r="C1357" t="s">
        <v>66</v>
      </c>
      <c r="D1357" s="73" t="str">
        <f t="shared" si="34"/>
        <v>EĞİRDİR/ISPARTA</v>
      </c>
      <c r="E1357" s="9" t="s">
        <v>596</v>
      </c>
      <c r="F1357" s="9" t="s">
        <v>596</v>
      </c>
      <c r="G1357" t="s">
        <v>3367</v>
      </c>
      <c r="H1357">
        <v>15.6</v>
      </c>
      <c r="I1357">
        <v>1.56</v>
      </c>
      <c r="J1357">
        <v>0</v>
      </c>
      <c r="K1357">
        <v>0</v>
      </c>
      <c r="L1357">
        <v>15.6</v>
      </c>
      <c r="M1357">
        <v>1.56</v>
      </c>
      <c r="O1357" s="79">
        <f>IFERROR(VLOOKUP(D1357,'KAPANAN BLD.'!$C$2:$D$793,2,FALSE),0)</f>
        <v>0</v>
      </c>
      <c r="P1357" s="79">
        <v>0</v>
      </c>
      <c r="R1357" s="79"/>
    </row>
    <row r="1358" spans="1:18" x14ac:dyDescent="0.25">
      <c r="A1358" t="s">
        <v>32</v>
      </c>
      <c r="B1358" s="73" t="str">
        <f t="shared" si="33"/>
        <v>EĞİRDİR</v>
      </c>
      <c r="C1358" t="s">
        <v>66</v>
      </c>
      <c r="D1358" s="73" t="str">
        <f t="shared" si="34"/>
        <v>EĞİRDİR/ISPARTA</v>
      </c>
      <c r="E1358" s="9" t="s">
        <v>596</v>
      </c>
      <c r="F1358" s="9" t="s">
        <v>596</v>
      </c>
      <c r="G1358" t="s">
        <v>3367</v>
      </c>
      <c r="H1358">
        <v>115.1</v>
      </c>
      <c r="I1358">
        <v>11.51</v>
      </c>
      <c r="J1358">
        <v>0</v>
      </c>
      <c r="K1358">
        <v>0</v>
      </c>
      <c r="L1358">
        <v>115.1</v>
      </c>
      <c r="M1358">
        <v>11.51</v>
      </c>
      <c r="O1358" s="79">
        <f>IFERROR(VLOOKUP(D1358,'KAPANAN BLD.'!$C$2:$D$793,2,FALSE),0)</f>
        <v>0</v>
      </c>
      <c r="P1358" s="79">
        <v>0</v>
      </c>
      <c r="R1358" s="79"/>
    </row>
    <row r="1359" spans="1:18" x14ac:dyDescent="0.25">
      <c r="A1359" t="s">
        <v>32</v>
      </c>
      <c r="B1359" s="73" t="str">
        <f t="shared" si="33"/>
        <v>EĞİRDİR</v>
      </c>
      <c r="C1359" t="s">
        <v>66</v>
      </c>
      <c r="D1359" s="73" t="str">
        <f t="shared" si="34"/>
        <v>EĞİRDİR/ISPARTA</v>
      </c>
      <c r="E1359" s="9" t="s">
        <v>596</v>
      </c>
      <c r="F1359" s="9" t="s">
        <v>596</v>
      </c>
      <c r="G1359" t="s">
        <v>3366</v>
      </c>
      <c r="H1359">
        <v>58.6</v>
      </c>
      <c r="I1359">
        <v>5.86</v>
      </c>
      <c r="J1359">
        <v>0</v>
      </c>
      <c r="K1359">
        <v>0</v>
      </c>
      <c r="L1359">
        <v>58.6</v>
      </c>
      <c r="M1359">
        <v>5.86</v>
      </c>
      <c r="O1359" s="79">
        <f>IFERROR(VLOOKUP(D1359,'KAPANAN BLD.'!$C$2:$D$793,2,FALSE),0)</f>
        <v>0</v>
      </c>
      <c r="P1359" s="79">
        <v>0</v>
      </c>
      <c r="R1359" s="79"/>
    </row>
    <row r="1360" spans="1:18" x14ac:dyDescent="0.25">
      <c r="A1360" t="s">
        <v>32</v>
      </c>
      <c r="B1360" s="73" t="str">
        <f t="shared" si="33"/>
        <v>MERKEZ</v>
      </c>
      <c r="C1360" t="s">
        <v>66</v>
      </c>
      <c r="D1360" s="73" t="str">
        <f t="shared" si="34"/>
        <v>MERKEZ/ISPARTA</v>
      </c>
      <c r="E1360" s="9" t="s">
        <v>34</v>
      </c>
      <c r="F1360" s="9" t="s">
        <v>34</v>
      </c>
      <c r="G1360" t="s">
        <v>3367</v>
      </c>
      <c r="H1360">
        <v>2236.4</v>
      </c>
      <c r="I1360">
        <v>223.64</v>
      </c>
      <c r="J1360">
        <v>263.7</v>
      </c>
      <c r="K1360">
        <v>26.37</v>
      </c>
      <c r="L1360">
        <v>1972.7</v>
      </c>
      <c r="M1360">
        <v>197.27</v>
      </c>
      <c r="O1360" s="79">
        <f>IFERROR(VLOOKUP(D1360,'KAPANAN BLD.'!$C$2:$D$793,2,FALSE),0)</f>
        <v>0</v>
      </c>
      <c r="P1360" s="79">
        <v>0</v>
      </c>
      <c r="R1360" s="79"/>
    </row>
    <row r="1361" spans="1:18" x14ac:dyDescent="0.25">
      <c r="A1361" t="s">
        <v>32</v>
      </c>
      <c r="B1361" s="73" t="str">
        <f t="shared" si="33"/>
        <v>MERKEZ</v>
      </c>
      <c r="C1361" t="s">
        <v>66</v>
      </c>
      <c r="D1361" s="73" t="str">
        <f t="shared" si="34"/>
        <v>MERKEZ/ISPARTA</v>
      </c>
      <c r="E1361" s="9" t="s">
        <v>34</v>
      </c>
      <c r="F1361" s="9" t="s">
        <v>34</v>
      </c>
      <c r="G1361" t="s">
        <v>3366</v>
      </c>
      <c r="H1361">
        <v>3742.1</v>
      </c>
      <c r="I1361">
        <v>374.21</v>
      </c>
      <c r="J1361">
        <v>3190.9</v>
      </c>
      <c r="K1361">
        <v>319.08999999999997</v>
      </c>
      <c r="L1361">
        <v>551.20000000000005</v>
      </c>
      <c r="M1361">
        <v>55.12</v>
      </c>
      <c r="O1361" s="79">
        <f>IFERROR(VLOOKUP(D1361,'KAPANAN BLD.'!$C$2:$D$793,2,FALSE),0)</f>
        <v>0</v>
      </c>
      <c r="P1361" s="79">
        <v>0</v>
      </c>
      <c r="R1361" s="79"/>
    </row>
    <row r="1362" spans="1:18" x14ac:dyDescent="0.25">
      <c r="A1362" t="s">
        <v>32</v>
      </c>
      <c r="B1362" s="73" t="str">
        <f t="shared" si="33"/>
        <v>KEÇİBORLU</v>
      </c>
      <c r="C1362" t="s">
        <v>66</v>
      </c>
      <c r="D1362" s="73" t="str">
        <f t="shared" si="34"/>
        <v>KEÇİBORLU/ISPARTA</v>
      </c>
      <c r="E1362" s="9" t="s">
        <v>598</v>
      </c>
      <c r="F1362" s="9" t="s">
        <v>598</v>
      </c>
      <c r="G1362" t="s">
        <v>3366</v>
      </c>
      <c r="H1362">
        <v>1407.2</v>
      </c>
      <c r="I1362">
        <v>140.72</v>
      </c>
      <c r="J1362">
        <v>0</v>
      </c>
      <c r="K1362">
        <v>0</v>
      </c>
      <c r="L1362">
        <v>1407.2</v>
      </c>
      <c r="M1362">
        <v>140.72</v>
      </c>
      <c r="O1362" s="79">
        <f>IFERROR(VLOOKUP(D1362,'KAPANAN BLD.'!$C$2:$D$793,2,FALSE),0)</f>
        <v>0</v>
      </c>
      <c r="P1362" s="79">
        <v>0</v>
      </c>
      <c r="R1362" s="79"/>
    </row>
    <row r="1363" spans="1:18" x14ac:dyDescent="0.25">
      <c r="A1363" t="s">
        <v>32</v>
      </c>
      <c r="B1363" s="73" t="str">
        <f t="shared" si="33"/>
        <v>KEÇİBORLU</v>
      </c>
      <c r="C1363" t="s">
        <v>66</v>
      </c>
      <c r="D1363" s="73" t="str">
        <f t="shared" si="34"/>
        <v>KEÇİBORLU/ISPARTA</v>
      </c>
      <c r="E1363" s="9" t="s">
        <v>598</v>
      </c>
      <c r="F1363" s="9" t="s">
        <v>598</v>
      </c>
      <c r="G1363" t="s">
        <v>3367</v>
      </c>
      <c r="H1363">
        <v>611.79999999999995</v>
      </c>
      <c r="I1363">
        <v>61.18</v>
      </c>
      <c r="J1363">
        <v>0</v>
      </c>
      <c r="K1363">
        <v>0</v>
      </c>
      <c r="L1363">
        <v>611.79999999999995</v>
      </c>
      <c r="M1363">
        <v>61.18</v>
      </c>
      <c r="O1363" s="79">
        <f>IFERROR(VLOOKUP(D1363,'KAPANAN BLD.'!$C$2:$D$793,2,FALSE),0)</f>
        <v>0</v>
      </c>
      <c r="P1363" s="79">
        <v>0</v>
      </c>
      <c r="R1363" s="79"/>
    </row>
    <row r="1364" spans="1:18" x14ac:dyDescent="0.25">
      <c r="A1364" t="s">
        <v>32</v>
      </c>
      <c r="B1364" s="73" t="str">
        <f t="shared" si="33"/>
        <v>SENİRKENT</v>
      </c>
      <c r="C1364" t="s">
        <v>66</v>
      </c>
      <c r="D1364" s="73" t="str">
        <f t="shared" si="34"/>
        <v>SENİRKENT/ISPARTA</v>
      </c>
      <c r="E1364" t="s">
        <v>2256</v>
      </c>
      <c r="F1364" t="s">
        <v>2256</v>
      </c>
      <c r="G1364" t="s">
        <v>3367</v>
      </c>
      <c r="H1364">
        <v>126.7</v>
      </c>
      <c r="I1364">
        <v>12.67</v>
      </c>
      <c r="J1364">
        <v>0</v>
      </c>
      <c r="K1364">
        <v>0</v>
      </c>
      <c r="L1364">
        <v>126.7</v>
      </c>
      <c r="M1364">
        <v>12.67</v>
      </c>
      <c r="O1364" s="79">
        <f>IFERROR(VLOOKUP(D1364,'KAPANAN BLD.'!$C$2:$D$793,2,FALSE),0)</f>
        <v>0</v>
      </c>
      <c r="P1364" s="79">
        <v>0</v>
      </c>
      <c r="R1364" s="79"/>
    </row>
    <row r="1365" spans="1:18" x14ac:dyDescent="0.25">
      <c r="A1365" t="s">
        <v>32</v>
      </c>
      <c r="B1365" s="73" t="str">
        <f t="shared" si="33"/>
        <v>SENİRKENT</v>
      </c>
      <c r="C1365" t="s">
        <v>66</v>
      </c>
      <c r="D1365" s="73" t="str">
        <f t="shared" si="34"/>
        <v>SENİRKENT/ISPARTA</v>
      </c>
      <c r="E1365" t="s">
        <v>2256</v>
      </c>
      <c r="F1365" t="s">
        <v>2256</v>
      </c>
      <c r="G1365" t="s">
        <v>3366</v>
      </c>
      <c r="H1365">
        <v>84.5</v>
      </c>
      <c r="I1365">
        <v>8.4499999999999993</v>
      </c>
      <c r="J1365">
        <v>0</v>
      </c>
      <c r="K1365">
        <v>0</v>
      </c>
      <c r="L1365">
        <v>84.5</v>
      </c>
      <c r="M1365">
        <v>8.4499999999999993</v>
      </c>
      <c r="O1365" s="79">
        <f>IFERROR(VLOOKUP(D1365,'KAPANAN BLD.'!$C$2:$D$793,2,FALSE),0)</f>
        <v>0</v>
      </c>
      <c r="P1365" s="79">
        <v>0</v>
      </c>
      <c r="R1365" s="79"/>
    </row>
    <row r="1366" spans="1:18" x14ac:dyDescent="0.25">
      <c r="A1366" t="s">
        <v>32</v>
      </c>
      <c r="B1366" s="73" t="str">
        <f t="shared" si="33"/>
        <v>YALVAÇ</v>
      </c>
      <c r="C1366" t="s">
        <v>66</v>
      </c>
      <c r="D1366" s="73" t="str">
        <f t="shared" si="34"/>
        <v>YALVAÇ/ISPARTA</v>
      </c>
      <c r="E1366" s="9" t="s">
        <v>202</v>
      </c>
      <c r="F1366" s="9" t="s">
        <v>202</v>
      </c>
      <c r="G1366" t="s">
        <v>3367</v>
      </c>
      <c r="H1366">
        <v>16</v>
      </c>
      <c r="I1366">
        <v>1.6</v>
      </c>
      <c r="J1366">
        <v>0</v>
      </c>
      <c r="K1366">
        <v>0</v>
      </c>
      <c r="L1366">
        <v>16</v>
      </c>
      <c r="M1366">
        <v>1.6</v>
      </c>
      <c r="O1366" s="79">
        <f>IFERROR(VLOOKUP(D1366,'KAPANAN BLD.'!$C$2:$D$793,2,FALSE),0)</f>
        <v>0</v>
      </c>
      <c r="P1366" s="79">
        <v>0</v>
      </c>
      <c r="R1366" s="79"/>
    </row>
    <row r="1367" spans="1:18" x14ac:dyDescent="0.25">
      <c r="A1367" t="s">
        <v>32</v>
      </c>
      <c r="B1367" s="73" t="str">
        <f t="shared" si="33"/>
        <v>YALVAÇ</v>
      </c>
      <c r="C1367" t="s">
        <v>66</v>
      </c>
      <c r="D1367" s="73" t="str">
        <f t="shared" si="34"/>
        <v>YALVAÇ/ISPARTA</v>
      </c>
      <c r="E1367" s="9" t="s">
        <v>202</v>
      </c>
      <c r="F1367" s="9" t="s">
        <v>202</v>
      </c>
      <c r="G1367" t="s">
        <v>3366</v>
      </c>
      <c r="H1367">
        <v>304.39999999999998</v>
      </c>
      <c r="I1367">
        <v>30.44</v>
      </c>
      <c r="J1367">
        <v>0</v>
      </c>
      <c r="K1367">
        <v>0</v>
      </c>
      <c r="L1367">
        <v>304.39999999999998</v>
      </c>
      <c r="M1367">
        <v>30.44</v>
      </c>
      <c r="O1367" s="79">
        <f>IFERROR(VLOOKUP(D1367,'KAPANAN BLD.'!$C$2:$D$793,2,FALSE),0)</f>
        <v>0</v>
      </c>
      <c r="P1367" s="79">
        <v>0</v>
      </c>
      <c r="R1367" s="79"/>
    </row>
    <row r="1368" spans="1:18" x14ac:dyDescent="0.25">
      <c r="A1368" t="s">
        <v>32</v>
      </c>
      <c r="B1368" s="73" t="str">
        <f t="shared" si="33"/>
        <v>ŞARKİKARAAĞAÇ</v>
      </c>
      <c r="C1368" t="s">
        <v>66</v>
      </c>
      <c r="D1368" s="73" t="str">
        <f t="shared" si="34"/>
        <v>ŞARKİKARAAĞAÇ/ISPARTA</v>
      </c>
      <c r="E1368" t="s">
        <v>260</v>
      </c>
      <c r="F1368" t="s">
        <v>260</v>
      </c>
      <c r="G1368" t="s">
        <v>3367</v>
      </c>
      <c r="H1368">
        <v>740.5</v>
      </c>
      <c r="I1368">
        <v>74.05</v>
      </c>
      <c r="J1368">
        <v>0</v>
      </c>
      <c r="K1368">
        <v>0</v>
      </c>
      <c r="L1368">
        <v>740.5</v>
      </c>
      <c r="M1368">
        <v>74.05</v>
      </c>
      <c r="O1368" s="79">
        <f>IFERROR(VLOOKUP(D1368,'KAPANAN BLD.'!$C$2:$D$793,2,FALSE),0)</f>
        <v>0</v>
      </c>
      <c r="P1368" s="79">
        <v>0</v>
      </c>
      <c r="R1368" s="79"/>
    </row>
    <row r="1369" spans="1:18" x14ac:dyDescent="0.25">
      <c r="A1369" t="s">
        <v>32</v>
      </c>
      <c r="B1369" s="73" t="str">
        <f t="shared" si="33"/>
        <v>ŞARKİKARAAĞAÇ</v>
      </c>
      <c r="C1369" t="s">
        <v>66</v>
      </c>
      <c r="D1369" s="73" t="str">
        <f t="shared" si="34"/>
        <v>ŞARKİKARAAĞAÇ/ISPARTA</v>
      </c>
      <c r="E1369" t="s">
        <v>260</v>
      </c>
      <c r="F1369" t="s">
        <v>260</v>
      </c>
      <c r="G1369" t="s">
        <v>3366</v>
      </c>
      <c r="H1369">
        <v>675.9</v>
      </c>
      <c r="I1369">
        <v>67.59</v>
      </c>
      <c r="J1369">
        <v>0</v>
      </c>
      <c r="K1369">
        <v>0</v>
      </c>
      <c r="L1369">
        <v>675.9</v>
      </c>
      <c r="M1369">
        <v>67.59</v>
      </c>
      <c r="O1369" s="79">
        <f>IFERROR(VLOOKUP(D1369,'KAPANAN BLD.'!$C$2:$D$793,2,FALSE),0)</f>
        <v>0</v>
      </c>
      <c r="P1369" s="79">
        <v>0</v>
      </c>
      <c r="R1369" s="79"/>
    </row>
    <row r="1370" spans="1:18" x14ac:dyDescent="0.25">
      <c r="A1370" t="s">
        <v>32</v>
      </c>
      <c r="B1370" s="73" t="str">
        <f t="shared" si="33"/>
        <v>ULUBORLU</v>
      </c>
      <c r="C1370" t="s">
        <v>66</v>
      </c>
      <c r="D1370" s="73" t="str">
        <f t="shared" si="34"/>
        <v>ULUBORLU/ISPARTA</v>
      </c>
      <c r="E1370" t="s">
        <v>331</v>
      </c>
      <c r="F1370" t="s">
        <v>331</v>
      </c>
      <c r="G1370" t="s">
        <v>3366</v>
      </c>
      <c r="H1370">
        <v>206.6</v>
      </c>
      <c r="I1370">
        <v>20.66</v>
      </c>
      <c r="J1370">
        <v>0</v>
      </c>
      <c r="K1370">
        <v>0</v>
      </c>
      <c r="L1370">
        <v>206.6</v>
      </c>
      <c r="M1370">
        <v>20.66</v>
      </c>
      <c r="O1370" s="79">
        <f>IFERROR(VLOOKUP(D1370,'KAPANAN BLD.'!$C$2:$D$793,2,FALSE),0)</f>
        <v>0</v>
      </c>
      <c r="P1370" s="79">
        <v>0</v>
      </c>
      <c r="R1370" s="79"/>
    </row>
    <row r="1371" spans="1:18" x14ac:dyDescent="0.25">
      <c r="A1371" t="s">
        <v>32</v>
      </c>
      <c r="B1371" s="73" t="str">
        <f t="shared" si="33"/>
        <v>ULUBORLU</v>
      </c>
      <c r="C1371" t="s">
        <v>66</v>
      </c>
      <c r="D1371" s="73" t="str">
        <f t="shared" si="34"/>
        <v>ULUBORLU/ISPARTA</v>
      </c>
      <c r="E1371" t="s">
        <v>331</v>
      </c>
      <c r="F1371" t="s">
        <v>331</v>
      </c>
      <c r="G1371" t="s">
        <v>3367</v>
      </c>
      <c r="H1371">
        <v>53.9</v>
      </c>
      <c r="I1371">
        <v>5.39</v>
      </c>
      <c r="J1371">
        <v>0</v>
      </c>
      <c r="K1371">
        <v>0</v>
      </c>
      <c r="L1371">
        <v>53.9</v>
      </c>
      <c r="M1371">
        <v>5.39</v>
      </c>
      <c r="O1371" s="79">
        <f>IFERROR(VLOOKUP(D1371,'KAPANAN BLD.'!$C$2:$D$793,2,FALSE),0)</f>
        <v>0</v>
      </c>
      <c r="P1371" s="79">
        <v>0</v>
      </c>
      <c r="R1371" s="79"/>
    </row>
    <row r="1372" spans="1:18" x14ac:dyDescent="0.25">
      <c r="A1372" t="s">
        <v>32</v>
      </c>
      <c r="B1372" s="73" t="str">
        <f t="shared" si="33"/>
        <v>GELENDOST</v>
      </c>
      <c r="C1372" t="s">
        <v>66</v>
      </c>
      <c r="D1372" s="73" t="str">
        <f t="shared" si="34"/>
        <v>GELENDOST/ISPARTA</v>
      </c>
      <c r="E1372" s="9" t="s">
        <v>597</v>
      </c>
      <c r="F1372" s="9" t="s">
        <v>597</v>
      </c>
      <c r="G1372" t="s">
        <v>3367</v>
      </c>
      <c r="H1372">
        <v>50.4</v>
      </c>
      <c r="I1372">
        <v>5.04</v>
      </c>
      <c r="J1372">
        <v>5.4</v>
      </c>
      <c r="K1372">
        <v>0.54</v>
      </c>
      <c r="L1372">
        <v>45</v>
      </c>
      <c r="M1372">
        <v>4.5</v>
      </c>
      <c r="O1372" s="79">
        <f>IFERROR(VLOOKUP(D1372,'KAPANAN BLD.'!$C$2:$D$793,2,FALSE),0)</f>
        <v>0</v>
      </c>
      <c r="P1372" s="79">
        <v>0</v>
      </c>
      <c r="R1372" s="79"/>
    </row>
    <row r="1373" spans="1:18" x14ac:dyDescent="0.25">
      <c r="A1373" t="s">
        <v>32</v>
      </c>
      <c r="B1373" s="73" t="str">
        <f t="shared" si="33"/>
        <v>GELENDOST</v>
      </c>
      <c r="C1373" t="s">
        <v>66</v>
      </c>
      <c r="D1373" s="73" t="str">
        <f t="shared" si="34"/>
        <v>GELENDOST/ISPARTA</v>
      </c>
      <c r="E1373" s="9" t="s">
        <v>597</v>
      </c>
      <c r="F1373" s="9" t="s">
        <v>597</v>
      </c>
      <c r="G1373" t="s">
        <v>3366</v>
      </c>
      <c r="H1373">
        <v>506.1</v>
      </c>
      <c r="I1373">
        <v>50.61</v>
      </c>
      <c r="J1373">
        <v>103.3</v>
      </c>
      <c r="K1373">
        <v>10.33</v>
      </c>
      <c r="L1373">
        <v>402.8</v>
      </c>
      <c r="M1373">
        <v>40.28</v>
      </c>
      <c r="O1373" s="79">
        <f>IFERROR(VLOOKUP(D1373,'KAPANAN BLD.'!$C$2:$D$793,2,FALSE),0)</f>
        <v>0</v>
      </c>
      <c r="P1373" s="79">
        <v>0</v>
      </c>
      <c r="R1373" s="79"/>
    </row>
    <row r="1374" spans="1:18" x14ac:dyDescent="0.25">
      <c r="A1374" t="s">
        <v>32</v>
      </c>
      <c r="B1374" s="73" t="str">
        <f t="shared" si="33"/>
        <v>AKSU</v>
      </c>
      <c r="C1374" t="s">
        <v>66</v>
      </c>
      <c r="D1374" s="73" t="str">
        <f t="shared" si="34"/>
        <v>AKSU/ISPARTA</v>
      </c>
      <c r="E1374" s="9" t="s">
        <v>267</v>
      </c>
      <c r="F1374" s="9" t="s">
        <v>267</v>
      </c>
      <c r="G1374" t="s">
        <v>3366</v>
      </c>
      <c r="H1374">
        <v>105.4</v>
      </c>
      <c r="I1374">
        <v>10.54</v>
      </c>
      <c r="J1374">
        <v>0</v>
      </c>
      <c r="K1374">
        <v>0</v>
      </c>
      <c r="L1374">
        <v>105.4</v>
      </c>
      <c r="M1374">
        <v>10.54</v>
      </c>
      <c r="O1374" s="79">
        <f>IFERROR(VLOOKUP(D1374,'KAPANAN BLD.'!$C$2:$D$793,2,FALSE),0)</f>
        <v>0</v>
      </c>
      <c r="P1374" s="79">
        <v>0</v>
      </c>
      <c r="R1374" s="79"/>
    </row>
    <row r="1375" spans="1:18" x14ac:dyDescent="0.25">
      <c r="A1375" t="s">
        <v>32</v>
      </c>
      <c r="B1375" s="73" t="str">
        <f t="shared" si="33"/>
        <v>AKSU</v>
      </c>
      <c r="C1375" t="s">
        <v>66</v>
      </c>
      <c r="D1375" s="73" t="str">
        <f t="shared" si="34"/>
        <v>AKSU/ISPARTA</v>
      </c>
      <c r="E1375" s="9" t="s">
        <v>267</v>
      </c>
      <c r="F1375" s="9" t="s">
        <v>267</v>
      </c>
      <c r="G1375" t="s">
        <v>3367</v>
      </c>
      <c r="H1375">
        <v>117.4</v>
      </c>
      <c r="I1375">
        <v>11.74</v>
      </c>
      <c r="J1375">
        <v>0</v>
      </c>
      <c r="K1375">
        <v>0</v>
      </c>
      <c r="L1375">
        <v>117.4</v>
      </c>
      <c r="M1375">
        <v>11.74</v>
      </c>
      <c r="O1375" s="79">
        <f>IFERROR(VLOOKUP(D1375,'KAPANAN BLD.'!$C$2:$D$793,2,FALSE),0)</f>
        <v>0</v>
      </c>
      <c r="P1375" s="79">
        <v>0</v>
      </c>
      <c r="R1375" s="79"/>
    </row>
    <row r="1376" spans="1:18" x14ac:dyDescent="0.25">
      <c r="A1376" t="s">
        <v>32</v>
      </c>
      <c r="B1376" s="73" t="str">
        <f t="shared" si="33"/>
        <v>YALVAÇ</v>
      </c>
      <c r="C1376" t="s">
        <v>66</v>
      </c>
      <c r="D1376" s="73" t="str">
        <f t="shared" si="34"/>
        <v>YALVAÇ/ISPARTA</v>
      </c>
      <c r="E1376" t="s">
        <v>202</v>
      </c>
      <c r="F1376" t="s">
        <v>202</v>
      </c>
      <c r="G1376" t="s">
        <v>3367</v>
      </c>
      <c r="H1376">
        <v>3389.3</v>
      </c>
      <c r="I1376">
        <v>338.93</v>
      </c>
      <c r="J1376">
        <v>0</v>
      </c>
      <c r="K1376">
        <v>0</v>
      </c>
      <c r="L1376">
        <v>3389.3</v>
      </c>
      <c r="M1376">
        <v>338.93</v>
      </c>
      <c r="O1376" s="79">
        <f>IFERROR(VLOOKUP(D1376,'KAPANAN BLD.'!$C$2:$D$793,2,FALSE),0)</f>
        <v>0</v>
      </c>
      <c r="P1376" s="79">
        <v>0</v>
      </c>
      <c r="R1376" s="79"/>
    </row>
    <row r="1377" spans="1:18" x14ac:dyDescent="0.25">
      <c r="A1377" t="s">
        <v>32</v>
      </c>
      <c r="B1377" s="73" t="str">
        <f t="shared" si="33"/>
        <v>YALVAÇ</v>
      </c>
      <c r="C1377" t="s">
        <v>66</v>
      </c>
      <c r="D1377" s="73" t="str">
        <f t="shared" si="34"/>
        <v>YALVAÇ/ISPARTA</v>
      </c>
      <c r="E1377" t="s">
        <v>202</v>
      </c>
      <c r="F1377" t="s">
        <v>202</v>
      </c>
      <c r="G1377" t="s">
        <v>3366</v>
      </c>
      <c r="H1377">
        <v>55.7</v>
      </c>
      <c r="I1377">
        <v>5.57</v>
      </c>
      <c r="J1377">
        <v>0</v>
      </c>
      <c r="K1377">
        <v>0</v>
      </c>
      <c r="L1377">
        <v>55.7</v>
      </c>
      <c r="M1377">
        <v>5.57</v>
      </c>
      <c r="O1377" s="79">
        <f>IFERROR(VLOOKUP(D1377,'KAPANAN BLD.'!$C$2:$D$793,2,FALSE),0)</f>
        <v>0</v>
      </c>
      <c r="P1377" s="79">
        <v>0</v>
      </c>
      <c r="R1377" s="79"/>
    </row>
    <row r="1378" spans="1:18" x14ac:dyDescent="0.25">
      <c r="A1378" t="s">
        <v>32</v>
      </c>
      <c r="B1378" s="73" t="str">
        <f t="shared" si="33"/>
        <v>YALVAÇ</v>
      </c>
      <c r="C1378" t="s">
        <v>66</v>
      </c>
      <c r="D1378" s="73" t="str">
        <f t="shared" si="34"/>
        <v>YALVAÇ/ISPARTA</v>
      </c>
      <c r="E1378" t="s">
        <v>202</v>
      </c>
      <c r="F1378" t="s">
        <v>202</v>
      </c>
      <c r="G1378" t="s">
        <v>3367</v>
      </c>
      <c r="H1378">
        <v>330.5</v>
      </c>
      <c r="I1378">
        <v>33.049999999999997</v>
      </c>
      <c r="J1378">
        <v>0</v>
      </c>
      <c r="K1378">
        <v>0</v>
      </c>
      <c r="L1378">
        <v>330.5</v>
      </c>
      <c r="M1378">
        <v>33.049999999999997</v>
      </c>
      <c r="O1378" s="79">
        <f>IFERROR(VLOOKUP(D1378,'KAPANAN BLD.'!$C$2:$D$793,2,FALSE),0)</f>
        <v>0</v>
      </c>
      <c r="P1378" s="79">
        <v>0</v>
      </c>
      <c r="R1378" s="79"/>
    </row>
    <row r="1379" spans="1:18" x14ac:dyDescent="0.25">
      <c r="A1379" t="s">
        <v>32</v>
      </c>
      <c r="B1379" s="73" t="str">
        <f t="shared" si="33"/>
        <v>YALVAÇ</v>
      </c>
      <c r="C1379" t="s">
        <v>66</v>
      </c>
      <c r="D1379" s="73" t="str">
        <f t="shared" si="34"/>
        <v>YALVAÇ/ISPARTA</v>
      </c>
      <c r="E1379" t="s">
        <v>202</v>
      </c>
      <c r="F1379" t="s">
        <v>202</v>
      </c>
      <c r="G1379" t="s">
        <v>3366</v>
      </c>
      <c r="H1379">
        <v>219</v>
      </c>
      <c r="I1379">
        <v>21.9</v>
      </c>
      <c r="J1379">
        <v>0</v>
      </c>
      <c r="K1379">
        <v>0</v>
      </c>
      <c r="L1379">
        <v>219</v>
      </c>
      <c r="M1379">
        <v>21.9</v>
      </c>
      <c r="O1379" s="79">
        <f>IFERROR(VLOOKUP(D1379,'KAPANAN BLD.'!$C$2:$D$793,2,FALSE),0)</f>
        <v>0</v>
      </c>
      <c r="P1379" s="79">
        <v>0</v>
      </c>
      <c r="R1379" s="79"/>
    </row>
    <row r="1380" spans="1:18" x14ac:dyDescent="0.25">
      <c r="A1380" t="s">
        <v>32</v>
      </c>
      <c r="B1380" s="73" t="str">
        <f t="shared" si="33"/>
        <v>YALVAÇ</v>
      </c>
      <c r="C1380" t="s">
        <v>66</v>
      </c>
      <c r="D1380" s="73" t="str">
        <f t="shared" si="34"/>
        <v>YALVAÇ/ISPARTA</v>
      </c>
      <c r="E1380" t="s">
        <v>202</v>
      </c>
      <c r="F1380" t="s">
        <v>202</v>
      </c>
      <c r="G1380" t="s">
        <v>3367</v>
      </c>
      <c r="H1380">
        <v>61</v>
      </c>
      <c r="I1380">
        <v>6.1</v>
      </c>
      <c r="J1380">
        <v>0</v>
      </c>
      <c r="K1380">
        <v>0</v>
      </c>
      <c r="L1380">
        <v>61</v>
      </c>
      <c r="M1380">
        <v>6.1</v>
      </c>
      <c r="O1380" s="79">
        <f>IFERROR(VLOOKUP(D1380,'KAPANAN BLD.'!$C$2:$D$793,2,FALSE),0)</f>
        <v>0</v>
      </c>
      <c r="P1380" s="79">
        <v>0</v>
      </c>
      <c r="R1380" s="79"/>
    </row>
    <row r="1381" spans="1:18" x14ac:dyDescent="0.25">
      <c r="A1381" t="s">
        <v>32</v>
      </c>
      <c r="B1381" s="73" t="str">
        <f t="shared" ref="B1381:B1382" si="35">F1381</f>
        <v>YALVAÇ</v>
      </c>
      <c r="C1381" t="s">
        <v>66</v>
      </c>
      <c r="D1381" s="73" t="str">
        <f t="shared" si="34"/>
        <v>YALVAÇ/ISPARTA</v>
      </c>
      <c r="E1381" t="s">
        <v>202</v>
      </c>
      <c r="F1381" t="s">
        <v>202</v>
      </c>
      <c r="G1381" t="s">
        <v>3366</v>
      </c>
      <c r="H1381">
        <v>16.2</v>
      </c>
      <c r="I1381">
        <v>1.62</v>
      </c>
      <c r="J1381">
        <v>0</v>
      </c>
      <c r="K1381">
        <v>0</v>
      </c>
      <c r="L1381">
        <v>16.2</v>
      </c>
      <c r="M1381">
        <v>1.62</v>
      </c>
      <c r="O1381" s="79">
        <f>IFERROR(VLOOKUP(D1381,'KAPANAN BLD.'!$C$2:$D$793,2,FALSE),0)</f>
        <v>0</v>
      </c>
      <c r="P1381" s="79">
        <v>0</v>
      </c>
      <c r="R1381" s="79"/>
    </row>
    <row r="1382" spans="1:18" x14ac:dyDescent="0.25">
      <c r="A1382" t="s">
        <v>32</v>
      </c>
      <c r="B1382" s="73" t="str">
        <f t="shared" si="35"/>
        <v>YALVAÇ</v>
      </c>
      <c r="C1382" t="s">
        <v>66</v>
      </c>
      <c r="D1382" s="73" t="str">
        <f t="shared" si="34"/>
        <v>YALVAÇ/ISPARTA</v>
      </c>
      <c r="E1382" s="9" t="s">
        <v>202</v>
      </c>
      <c r="F1382" s="9" t="s">
        <v>202</v>
      </c>
      <c r="G1382" t="s">
        <v>3367</v>
      </c>
      <c r="H1382">
        <v>73.2</v>
      </c>
      <c r="I1382">
        <v>7.32</v>
      </c>
      <c r="J1382">
        <v>0</v>
      </c>
      <c r="K1382">
        <v>0</v>
      </c>
      <c r="L1382">
        <v>73.2</v>
      </c>
      <c r="M1382">
        <v>7.32</v>
      </c>
      <c r="O1382" s="79">
        <f>IFERROR(VLOOKUP(D1382,'KAPANAN BLD.'!$C$2:$D$793,2,FALSE),0)</f>
        <v>0</v>
      </c>
      <c r="P1382" s="79">
        <v>0</v>
      </c>
      <c r="R1382" s="79"/>
    </row>
    <row r="1383" spans="1:18" x14ac:dyDescent="0.25">
      <c r="A1383" t="s">
        <v>32</v>
      </c>
      <c r="B1383" s="73" t="str">
        <f>VLOOKUP(C1383,'Büyükşehir List'!$C$2:$D$31,2,FALSE)</f>
        <v>İSTANBUL BÜYÜKŞEHİR</v>
      </c>
      <c r="C1383" t="s">
        <v>29</v>
      </c>
      <c r="D1383" s="73" t="str">
        <f t="shared" si="34"/>
        <v>İSTANBUL BÜYÜKŞEHİR/İSTANBUL</v>
      </c>
      <c r="E1383" t="s">
        <v>1871</v>
      </c>
      <c r="F1383" t="s">
        <v>1871</v>
      </c>
      <c r="G1383" t="s">
        <v>3366</v>
      </c>
      <c r="H1383">
        <v>15093.6</v>
      </c>
      <c r="I1383">
        <v>1509.36</v>
      </c>
      <c r="J1383">
        <v>9.6999999999999993</v>
      </c>
      <c r="K1383">
        <v>0.97</v>
      </c>
      <c r="L1383">
        <v>15083.9</v>
      </c>
      <c r="M1383">
        <v>1508.39</v>
      </c>
      <c r="O1383" s="79">
        <f>IFERROR(VLOOKUP(D1383,'KAPANAN BLD.'!$C$2:$D$793,2,FALSE),0)</f>
        <v>0</v>
      </c>
      <c r="P1383" s="79">
        <v>0</v>
      </c>
      <c r="R1383" s="79"/>
    </row>
    <row r="1384" spans="1:18" x14ac:dyDescent="0.25">
      <c r="A1384" t="s">
        <v>32</v>
      </c>
      <c r="B1384" s="73" t="str">
        <f>VLOOKUP(C1384,'Büyükşehir List'!$C$2:$D$31,2,FALSE)</f>
        <v>İSTANBUL BÜYÜKŞEHİR</v>
      </c>
      <c r="C1384" t="s">
        <v>29</v>
      </c>
      <c r="D1384" s="73" t="str">
        <f t="shared" si="34"/>
        <v>İSTANBUL BÜYÜKŞEHİR/İSTANBUL</v>
      </c>
      <c r="E1384" t="s">
        <v>1871</v>
      </c>
      <c r="F1384" t="s">
        <v>1871</v>
      </c>
      <c r="G1384" t="s">
        <v>3367</v>
      </c>
      <c r="H1384">
        <v>81070.3</v>
      </c>
      <c r="I1384">
        <v>8107.03</v>
      </c>
      <c r="J1384">
        <v>235.9</v>
      </c>
      <c r="K1384">
        <v>23.59</v>
      </c>
      <c r="L1384">
        <v>80834.399999999994</v>
      </c>
      <c r="M1384">
        <v>8083.44</v>
      </c>
      <c r="O1384" s="79">
        <f>IFERROR(VLOOKUP(D1384,'KAPANAN BLD.'!$C$2:$D$793,2,FALSE),0)</f>
        <v>0</v>
      </c>
      <c r="P1384" s="79">
        <v>0</v>
      </c>
      <c r="R1384" s="79"/>
    </row>
    <row r="1385" spans="1:18" x14ac:dyDescent="0.25">
      <c r="A1385" t="s">
        <v>32</v>
      </c>
      <c r="B1385" s="73" t="str">
        <f>VLOOKUP(C1385,'Büyükşehir List'!$C$2:$D$31,2,FALSE)</f>
        <v>İSTANBUL BÜYÜKŞEHİR</v>
      </c>
      <c r="C1385" t="s">
        <v>29</v>
      </c>
      <c r="D1385" s="73" t="str">
        <f t="shared" si="34"/>
        <v>İSTANBUL BÜYÜKŞEHİR/İSTANBUL</v>
      </c>
      <c r="E1385" t="s">
        <v>3766</v>
      </c>
      <c r="F1385" t="s">
        <v>3766</v>
      </c>
      <c r="G1385" t="s">
        <v>3367</v>
      </c>
      <c r="H1385">
        <v>51455.35</v>
      </c>
      <c r="I1385">
        <v>5145.54</v>
      </c>
      <c r="J1385">
        <v>4633.8999999999996</v>
      </c>
      <c r="K1385">
        <v>463.39</v>
      </c>
      <c r="L1385">
        <v>46821.45</v>
      </c>
      <c r="M1385">
        <v>4682.1499999999996</v>
      </c>
      <c r="O1385" s="79">
        <f>IFERROR(VLOOKUP(D1385,'KAPANAN BLD.'!$C$2:$D$793,2,FALSE),0)</f>
        <v>0</v>
      </c>
      <c r="P1385" s="79">
        <v>0</v>
      </c>
      <c r="R1385" s="79"/>
    </row>
    <row r="1386" spans="1:18" x14ac:dyDescent="0.25">
      <c r="A1386" t="s">
        <v>32</v>
      </c>
      <c r="B1386" s="73" t="str">
        <f>VLOOKUP(C1386,'Büyükşehir List'!$C$2:$D$31,2,FALSE)</f>
        <v>İSTANBUL BÜYÜKŞEHİR</v>
      </c>
      <c r="C1386" t="s">
        <v>29</v>
      </c>
      <c r="D1386" s="73" t="str">
        <f t="shared" si="34"/>
        <v>İSTANBUL BÜYÜKŞEHİR/İSTANBUL</v>
      </c>
      <c r="E1386" t="s">
        <v>3766</v>
      </c>
      <c r="F1386" t="s">
        <v>3766</v>
      </c>
      <c r="G1386" t="s">
        <v>3366</v>
      </c>
      <c r="H1386">
        <v>23050.3</v>
      </c>
      <c r="I1386">
        <v>2305.0300000000002</v>
      </c>
      <c r="J1386">
        <v>499.7</v>
      </c>
      <c r="K1386">
        <v>49.97</v>
      </c>
      <c r="L1386">
        <v>22550.6</v>
      </c>
      <c r="M1386">
        <v>2255.06</v>
      </c>
      <c r="O1386" s="79">
        <f>IFERROR(VLOOKUP(D1386,'KAPANAN BLD.'!$C$2:$D$793,2,FALSE),0)</f>
        <v>0</v>
      </c>
      <c r="P1386" s="79">
        <v>0</v>
      </c>
      <c r="R1386" s="79"/>
    </row>
    <row r="1387" spans="1:18" x14ac:dyDescent="0.25">
      <c r="A1387" t="s">
        <v>32</v>
      </c>
      <c r="B1387" s="73" t="str">
        <f>VLOOKUP(C1387,'Büyükşehir List'!$C$2:$D$31,2,FALSE)</f>
        <v>İSTANBUL BÜYÜKŞEHİR</v>
      </c>
      <c r="C1387" t="s">
        <v>29</v>
      </c>
      <c r="D1387" s="73" t="str">
        <f t="shared" si="34"/>
        <v>İSTANBUL BÜYÜKŞEHİR/İSTANBUL</v>
      </c>
      <c r="E1387" t="s">
        <v>1871</v>
      </c>
      <c r="F1387" t="s">
        <v>1871</v>
      </c>
      <c r="G1387" t="s">
        <v>3366</v>
      </c>
      <c r="H1387">
        <v>67626.61</v>
      </c>
      <c r="I1387">
        <v>6762.66</v>
      </c>
      <c r="J1387">
        <v>5555.2</v>
      </c>
      <c r="K1387">
        <v>555.52</v>
      </c>
      <c r="L1387">
        <v>62071.41</v>
      </c>
      <c r="M1387">
        <v>6207.14</v>
      </c>
      <c r="O1387" s="79">
        <f>IFERROR(VLOOKUP(D1387,'KAPANAN BLD.'!$C$2:$D$793,2,FALSE),0)</f>
        <v>0</v>
      </c>
      <c r="P1387" s="79">
        <v>0</v>
      </c>
      <c r="R1387" s="79"/>
    </row>
    <row r="1388" spans="1:18" x14ac:dyDescent="0.25">
      <c r="A1388" t="s">
        <v>32</v>
      </c>
      <c r="B1388" s="73" t="str">
        <f>VLOOKUP(C1388,'Büyükşehir List'!$C$2:$D$31,2,FALSE)</f>
        <v>İSTANBUL BÜYÜKŞEHİR</v>
      </c>
      <c r="C1388" t="s">
        <v>29</v>
      </c>
      <c r="D1388" s="73" t="str">
        <f t="shared" si="34"/>
        <v>İSTANBUL BÜYÜKŞEHİR/İSTANBUL</v>
      </c>
      <c r="E1388" t="s">
        <v>1871</v>
      </c>
      <c r="F1388" t="s">
        <v>1871</v>
      </c>
      <c r="G1388" t="s">
        <v>3367</v>
      </c>
      <c r="H1388">
        <v>27880.43</v>
      </c>
      <c r="I1388">
        <v>2788.04</v>
      </c>
      <c r="J1388">
        <v>857</v>
      </c>
      <c r="K1388">
        <v>85.7</v>
      </c>
      <c r="L1388">
        <v>27023.43</v>
      </c>
      <c r="M1388">
        <v>2702.34</v>
      </c>
      <c r="O1388" s="79">
        <f>IFERROR(VLOOKUP(D1388,'KAPANAN BLD.'!$C$2:$D$793,2,FALSE),0)</f>
        <v>0</v>
      </c>
      <c r="P1388" s="79">
        <v>0</v>
      </c>
      <c r="R1388" s="79"/>
    </row>
    <row r="1389" spans="1:18" x14ac:dyDescent="0.25">
      <c r="A1389" t="s">
        <v>32</v>
      </c>
      <c r="B1389" s="73" t="str">
        <f>VLOOKUP(C1389,'Büyükşehir List'!$C$2:$D$31,2,FALSE)</f>
        <v>İSTANBUL BÜYÜKŞEHİR</v>
      </c>
      <c r="C1389" t="s">
        <v>29</v>
      </c>
      <c r="D1389" s="73" t="str">
        <f t="shared" si="34"/>
        <v>İSTANBUL BÜYÜKŞEHİR/İSTANBUL</v>
      </c>
      <c r="E1389" t="s">
        <v>1871</v>
      </c>
      <c r="F1389" t="s">
        <v>1871</v>
      </c>
      <c r="G1389" t="s">
        <v>3367</v>
      </c>
      <c r="H1389">
        <v>355470.83</v>
      </c>
      <c r="I1389">
        <v>35547.089999999997</v>
      </c>
      <c r="J1389">
        <v>37525.269999999997</v>
      </c>
      <c r="K1389">
        <v>3752.53</v>
      </c>
      <c r="L1389">
        <v>317945.56</v>
      </c>
      <c r="M1389">
        <v>31794.560000000001</v>
      </c>
      <c r="O1389" s="79">
        <f>IFERROR(VLOOKUP(D1389,'KAPANAN BLD.'!$C$2:$D$793,2,FALSE),0)</f>
        <v>0</v>
      </c>
      <c r="P1389" s="79">
        <v>0</v>
      </c>
      <c r="R1389" s="79"/>
    </row>
    <row r="1390" spans="1:18" x14ac:dyDescent="0.25">
      <c r="A1390" t="s">
        <v>32</v>
      </c>
      <c r="B1390" s="73" t="str">
        <f>VLOOKUP(C1390,'Büyükşehir List'!$C$2:$D$31,2,FALSE)</f>
        <v>İSTANBUL BÜYÜKŞEHİR</v>
      </c>
      <c r="C1390" t="s">
        <v>29</v>
      </c>
      <c r="D1390" s="73" t="str">
        <f t="shared" si="34"/>
        <v>İSTANBUL BÜYÜKŞEHİR/İSTANBUL</v>
      </c>
      <c r="E1390" t="s">
        <v>1871</v>
      </c>
      <c r="F1390" t="s">
        <v>1871</v>
      </c>
      <c r="G1390" t="s">
        <v>3366</v>
      </c>
      <c r="H1390">
        <v>268037.73</v>
      </c>
      <c r="I1390">
        <v>26803.759999999998</v>
      </c>
      <c r="J1390">
        <v>21724.959999999999</v>
      </c>
      <c r="K1390">
        <v>2172.5</v>
      </c>
      <c r="L1390">
        <v>246312.77</v>
      </c>
      <c r="M1390">
        <v>24631.26</v>
      </c>
      <c r="O1390" s="79">
        <f>IFERROR(VLOOKUP(D1390,'KAPANAN BLD.'!$C$2:$D$793,2,FALSE),0)</f>
        <v>0</v>
      </c>
      <c r="P1390" s="79">
        <v>0</v>
      </c>
      <c r="R1390" s="79"/>
    </row>
    <row r="1391" spans="1:18" x14ac:dyDescent="0.25">
      <c r="A1391" t="s">
        <v>32</v>
      </c>
      <c r="B1391" s="73" t="str">
        <f>VLOOKUP(C1391,'Büyükşehir List'!$C$2:$D$31,2,FALSE)</f>
        <v>İSTANBUL BÜYÜKŞEHİR</v>
      </c>
      <c r="C1391" t="s">
        <v>29</v>
      </c>
      <c r="D1391" s="73" t="str">
        <f t="shared" si="34"/>
        <v>İSTANBUL BÜYÜKŞEHİR/İSTANBUL</v>
      </c>
      <c r="E1391" t="s">
        <v>1871</v>
      </c>
      <c r="F1391" t="s">
        <v>1871</v>
      </c>
      <c r="G1391" t="s">
        <v>3366</v>
      </c>
      <c r="H1391">
        <v>92663.95</v>
      </c>
      <c r="I1391">
        <v>9266.39</v>
      </c>
      <c r="J1391">
        <v>23243.35</v>
      </c>
      <c r="K1391">
        <v>2324.33</v>
      </c>
      <c r="L1391">
        <v>69420.600000000006</v>
      </c>
      <c r="M1391">
        <v>6942.06</v>
      </c>
      <c r="O1391" s="79">
        <f>IFERROR(VLOOKUP(D1391,'KAPANAN BLD.'!$C$2:$D$793,2,FALSE),0)</f>
        <v>0</v>
      </c>
      <c r="P1391" s="79">
        <v>0</v>
      </c>
      <c r="R1391" s="79"/>
    </row>
    <row r="1392" spans="1:18" x14ac:dyDescent="0.25">
      <c r="A1392" t="s">
        <v>32</v>
      </c>
      <c r="B1392" s="73" t="str">
        <f>VLOOKUP(C1392,'Büyükşehir List'!$C$2:$D$31,2,FALSE)</f>
        <v>İSTANBUL BÜYÜKŞEHİR</v>
      </c>
      <c r="C1392" t="s">
        <v>29</v>
      </c>
      <c r="D1392" s="73" t="str">
        <f t="shared" si="34"/>
        <v>İSTANBUL BÜYÜKŞEHİR/İSTANBUL</v>
      </c>
      <c r="E1392" t="s">
        <v>1871</v>
      </c>
      <c r="F1392" t="s">
        <v>1871</v>
      </c>
      <c r="G1392" t="s">
        <v>3367</v>
      </c>
      <c r="H1392">
        <v>58462.5</v>
      </c>
      <c r="I1392">
        <v>5846.25</v>
      </c>
      <c r="J1392">
        <v>15841.99</v>
      </c>
      <c r="K1392">
        <v>1584.19</v>
      </c>
      <c r="L1392">
        <v>42620.51</v>
      </c>
      <c r="M1392">
        <v>4262.0600000000004</v>
      </c>
      <c r="O1392" s="79">
        <f>IFERROR(VLOOKUP(D1392,'KAPANAN BLD.'!$C$2:$D$793,2,FALSE),0)</f>
        <v>0</v>
      </c>
      <c r="P1392" s="79">
        <v>0</v>
      </c>
      <c r="R1392" s="79"/>
    </row>
    <row r="1393" spans="1:18" x14ac:dyDescent="0.25">
      <c r="A1393" t="s">
        <v>32</v>
      </c>
      <c r="B1393" s="73" t="str">
        <f>VLOOKUP(C1393,'Büyükşehir List'!$C$2:$D$31,2,FALSE)</f>
        <v>İSTANBUL BÜYÜKŞEHİR</v>
      </c>
      <c r="C1393" t="s">
        <v>29</v>
      </c>
      <c r="D1393" s="73" t="str">
        <f t="shared" si="34"/>
        <v>İSTANBUL BÜYÜKŞEHİR/İSTANBUL</v>
      </c>
      <c r="E1393" t="s">
        <v>1871</v>
      </c>
      <c r="F1393" t="s">
        <v>1871</v>
      </c>
      <c r="G1393" t="s">
        <v>3367</v>
      </c>
      <c r="H1393">
        <v>68487.100000000006</v>
      </c>
      <c r="I1393">
        <v>6848.71</v>
      </c>
      <c r="J1393">
        <v>9529.7800000000007</v>
      </c>
      <c r="K1393">
        <v>952.98</v>
      </c>
      <c r="L1393">
        <v>58957.32</v>
      </c>
      <c r="M1393">
        <v>5895.73</v>
      </c>
      <c r="O1393" s="79">
        <f>IFERROR(VLOOKUP(D1393,'KAPANAN BLD.'!$C$2:$D$793,2,FALSE),0)</f>
        <v>0</v>
      </c>
      <c r="P1393" s="79">
        <v>0</v>
      </c>
      <c r="R1393" s="79"/>
    </row>
    <row r="1394" spans="1:18" x14ac:dyDescent="0.25">
      <c r="A1394" t="s">
        <v>32</v>
      </c>
      <c r="B1394" s="73" t="str">
        <f>VLOOKUP(C1394,'Büyükşehir List'!$C$2:$D$31,2,FALSE)</f>
        <v>İSTANBUL BÜYÜKŞEHİR</v>
      </c>
      <c r="C1394" t="s">
        <v>29</v>
      </c>
      <c r="D1394" s="73" t="str">
        <f t="shared" si="34"/>
        <v>İSTANBUL BÜYÜKŞEHİR/İSTANBUL</v>
      </c>
      <c r="E1394" t="s">
        <v>1871</v>
      </c>
      <c r="F1394" t="s">
        <v>1871</v>
      </c>
      <c r="G1394" t="s">
        <v>3366</v>
      </c>
      <c r="H1394">
        <v>159669</v>
      </c>
      <c r="I1394">
        <v>15966.9</v>
      </c>
      <c r="J1394">
        <v>5874.42</v>
      </c>
      <c r="K1394">
        <v>587.44000000000005</v>
      </c>
      <c r="L1394">
        <v>153794.57999999999</v>
      </c>
      <c r="M1394">
        <v>15379.46</v>
      </c>
      <c r="O1394" s="79">
        <f>IFERROR(VLOOKUP(D1394,'KAPANAN BLD.'!$C$2:$D$793,2,FALSE),0)</f>
        <v>0</v>
      </c>
      <c r="P1394" s="79">
        <v>0</v>
      </c>
      <c r="R1394" s="79"/>
    </row>
    <row r="1395" spans="1:18" x14ac:dyDescent="0.25">
      <c r="A1395" t="s">
        <v>32</v>
      </c>
      <c r="B1395" s="73" t="str">
        <f>VLOOKUP(C1395,'Büyükşehir List'!$C$2:$D$31,2,FALSE)</f>
        <v>İSTANBUL BÜYÜKŞEHİR</v>
      </c>
      <c r="C1395" t="s">
        <v>29</v>
      </c>
      <c r="D1395" s="73" t="str">
        <f t="shared" si="34"/>
        <v>İSTANBUL BÜYÜKŞEHİR/İSTANBUL</v>
      </c>
      <c r="E1395" t="s">
        <v>1871</v>
      </c>
      <c r="F1395" t="s">
        <v>1871</v>
      </c>
      <c r="G1395" t="s">
        <v>3366</v>
      </c>
      <c r="H1395">
        <v>175081.54</v>
      </c>
      <c r="I1395">
        <v>17508.14</v>
      </c>
      <c r="J1395">
        <v>16740.400000000001</v>
      </c>
      <c r="K1395">
        <v>1674.04</v>
      </c>
      <c r="L1395">
        <v>158341.14000000001</v>
      </c>
      <c r="M1395">
        <v>15834.1</v>
      </c>
      <c r="O1395" s="79">
        <f>IFERROR(VLOOKUP(D1395,'KAPANAN BLD.'!$C$2:$D$793,2,FALSE),0)</f>
        <v>0</v>
      </c>
      <c r="P1395" s="79">
        <v>0</v>
      </c>
      <c r="R1395" s="79"/>
    </row>
    <row r="1396" spans="1:18" x14ac:dyDescent="0.25">
      <c r="A1396" t="s">
        <v>32</v>
      </c>
      <c r="B1396" s="73" t="str">
        <f>VLOOKUP(C1396,'Büyükşehir List'!$C$2:$D$31,2,FALSE)</f>
        <v>İSTANBUL BÜYÜKŞEHİR</v>
      </c>
      <c r="C1396" t="s">
        <v>29</v>
      </c>
      <c r="D1396" s="73" t="str">
        <f t="shared" si="34"/>
        <v>İSTANBUL BÜYÜKŞEHİR/İSTANBUL</v>
      </c>
      <c r="E1396" t="s">
        <v>1871</v>
      </c>
      <c r="F1396" t="s">
        <v>1871</v>
      </c>
      <c r="G1396" t="s">
        <v>3367</v>
      </c>
      <c r="H1396">
        <v>179052.24</v>
      </c>
      <c r="I1396">
        <v>17905.22</v>
      </c>
      <c r="J1396">
        <v>36847.72</v>
      </c>
      <c r="K1396">
        <v>3684.77</v>
      </c>
      <c r="L1396">
        <v>142204.51999999999</v>
      </c>
      <c r="M1396">
        <v>14220.45</v>
      </c>
      <c r="O1396" s="79">
        <f>IFERROR(VLOOKUP(D1396,'KAPANAN BLD.'!$C$2:$D$793,2,FALSE),0)</f>
        <v>0</v>
      </c>
      <c r="P1396" s="79">
        <v>0</v>
      </c>
      <c r="R1396" s="79"/>
    </row>
    <row r="1397" spans="1:18" x14ac:dyDescent="0.25">
      <c r="A1397" t="s">
        <v>32</v>
      </c>
      <c r="B1397" s="73" t="str">
        <f>VLOOKUP(C1397,'Büyükşehir List'!$C$2:$D$31,2,FALSE)</f>
        <v>İSTANBUL BÜYÜKŞEHİR</v>
      </c>
      <c r="C1397" t="s">
        <v>29</v>
      </c>
      <c r="D1397" s="73" t="str">
        <f t="shared" si="34"/>
        <v>İSTANBUL BÜYÜKŞEHİR/İSTANBUL</v>
      </c>
      <c r="E1397" t="s">
        <v>3767</v>
      </c>
      <c r="F1397" t="s">
        <v>3767</v>
      </c>
      <c r="G1397" t="s">
        <v>3366</v>
      </c>
      <c r="H1397">
        <v>100448.43</v>
      </c>
      <c r="I1397">
        <v>10044.86</v>
      </c>
      <c r="J1397">
        <v>50601.2</v>
      </c>
      <c r="K1397">
        <v>5060.12</v>
      </c>
      <c r="L1397">
        <v>49847.23</v>
      </c>
      <c r="M1397">
        <v>4984.74</v>
      </c>
      <c r="O1397" s="79">
        <f>IFERROR(VLOOKUP(D1397,'KAPANAN BLD.'!$C$2:$D$793,2,FALSE),0)</f>
        <v>0</v>
      </c>
      <c r="P1397" s="79">
        <v>0</v>
      </c>
      <c r="R1397" s="79"/>
    </row>
    <row r="1398" spans="1:18" x14ac:dyDescent="0.25">
      <c r="A1398" t="s">
        <v>32</v>
      </c>
      <c r="B1398" s="73" t="str">
        <f>VLOOKUP(C1398,'Büyükşehir List'!$C$2:$D$31,2,FALSE)</f>
        <v>İSTANBUL BÜYÜKŞEHİR</v>
      </c>
      <c r="C1398" t="s">
        <v>29</v>
      </c>
      <c r="D1398" s="73" t="str">
        <f t="shared" si="34"/>
        <v>İSTANBUL BÜYÜKŞEHİR/İSTANBUL</v>
      </c>
      <c r="E1398" t="s">
        <v>3767</v>
      </c>
      <c r="F1398" t="s">
        <v>3767</v>
      </c>
      <c r="G1398" t="s">
        <v>3367</v>
      </c>
      <c r="H1398">
        <v>146452.54999999999</v>
      </c>
      <c r="I1398">
        <v>14645.26</v>
      </c>
      <c r="J1398">
        <v>9890.82</v>
      </c>
      <c r="K1398">
        <v>989.08</v>
      </c>
      <c r="L1398">
        <v>136561.73000000001</v>
      </c>
      <c r="M1398">
        <v>13656.18</v>
      </c>
      <c r="O1398" s="79">
        <f>IFERROR(VLOOKUP(D1398,'KAPANAN BLD.'!$C$2:$D$793,2,FALSE),0)</f>
        <v>0</v>
      </c>
      <c r="P1398" s="79">
        <v>0</v>
      </c>
      <c r="R1398" s="79"/>
    </row>
    <row r="1399" spans="1:18" x14ac:dyDescent="0.25">
      <c r="A1399" t="s">
        <v>32</v>
      </c>
      <c r="B1399" s="73" t="str">
        <f>VLOOKUP(C1399,'Büyükşehir List'!$C$2:$D$31,2,FALSE)</f>
        <v>İSTANBUL BÜYÜKŞEHİR</v>
      </c>
      <c r="C1399" t="s">
        <v>29</v>
      </c>
      <c r="D1399" s="73" t="str">
        <f t="shared" si="34"/>
        <v>İSTANBUL BÜYÜKŞEHİR/İSTANBUL</v>
      </c>
      <c r="E1399" t="s">
        <v>1871</v>
      </c>
      <c r="F1399" t="s">
        <v>1871</v>
      </c>
      <c r="G1399" t="s">
        <v>3366</v>
      </c>
      <c r="H1399">
        <v>162249.17000000001</v>
      </c>
      <c r="I1399">
        <v>16224.92</v>
      </c>
      <c r="J1399">
        <v>10503.1</v>
      </c>
      <c r="K1399">
        <v>1050.31</v>
      </c>
      <c r="L1399">
        <v>151746.07</v>
      </c>
      <c r="M1399">
        <v>15174.61</v>
      </c>
      <c r="O1399" s="79">
        <f>IFERROR(VLOOKUP(D1399,'KAPANAN BLD.'!$C$2:$D$793,2,FALSE),0)</f>
        <v>0</v>
      </c>
      <c r="P1399" s="79">
        <v>0</v>
      </c>
      <c r="R1399" s="79"/>
    </row>
    <row r="1400" spans="1:18" x14ac:dyDescent="0.25">
      <c r="A1400" t="s">
        <v>32</v>
      </c>
      <c r="B1400" s="73" t="str">
        <f>VLOOKUP(C1400,'Büyükşehir List'!$C$2:$D$31,2,FALSE)</f>
        <v>İSTANBUL BÜYÜKŞEHİR</v>
      </c>
      <c r="C1400" t="s">
        <v>29</v>
      </c>
      <c r="D1400" s="73" t="str">
        <f t="shared" si="34"/>
        <v>İSTANBUL BÜYÜKŞEHİR/İSTANBUL</v>
      </c>
      <c r="E1400" t="s">
        <v>1871</v>
      </c>
      <c r="F1400" t="s">
        <v>1871</v>
      </c>
      <c r="G1400" t="s">
        <v>3367</v>
      </c>
      <c r="H1400">
        <v>317567.19</v>
      </c>
      <c r="I1400">
        <v>31756.720000000001</v>
      </c>
      <c r="J1400">
        <v>18339.3</v>
      </c>
      <c r="K1400">
        <v>1833.93</v>
      </c>
      <c r="L1400">
        <v>299227.89</v>
      </c>
      <c r="M1400">
        <v>29922.79</v>
      </c>
      <c r="O1400" s="79">
        <f>IFERROR(VLOOKUP(D1400,'KAPANAN BLD.'!$C$2:$D$793,2,FALSE),0)</f>
        <v>0</v>
      </c>
      <c r="P1400" s="79">
        <v>0</v>
      </c>
      <c r="R1400" s="79"/>
    </row>
    <row r="1401" spans="1:18" x14ac:dyDescent="0.25">
      <c r="A1401" t="s">
        <v>32</v>
      </c>
      <c r="B1401" s="73" t="str">
        <f>VLOOKUP(C1401,'Büyükşehir List'!$C$2:$D$31,2,FALSE)</f>
        <v>İSTANBUL BÜYÜKŞEHİR</v>
      </c>
      <c r="C1401" t="s">
        <v>29</v>
      </c>
      <c r="D1401" s="73" t="str">
        <f t="shared" si="34"/>
        <v>İSTANBUL BÜYÜKŞEHİR/İSTANBUL</v>
      </c>
      <c r="E1401" t="s">
        <v>1871</v>
      </c>
      <c r="F1401" t="s">
        <v>1871</v>
      </c>
      <c r="G1401" t="s">
        <v>3366</v>
      </c>
      <c r="H1401">
        <v>78150.06</v>
      </c>
      <c r="I1401">
        <v>7815.01</v>
      </c>
      <c r="J1401">
        <v>6419.3</v>
      </c>
      <c r="K1401">
        <v>641.92999999999995</v>
      </c>
      <c r="L1401">
        <v>71730.759999999995</v>
      </c>
      <c r="M1401">
        <v>7173.08</v>
      </c>
      <c r="O1401" s="79">
        <f>IFERROR(VLOOKUP(D1401,'KAPANAN BLD.'!$C$2:$D$793,2,FALSE),0)</f>
        <v>0</v>
      </c>
      <c r="P1401" s="79">
        <v>0</v>
      </c>
      <c r="R1401" s="79"/>
    </row>
    <row r="1402" spans="1:18" x14ac:dyDescent="0.25">
      <c r="A1402" t="s">
        <v>32</v>
      </c>
      <c r="B1402" s="73" t="str">
        <f>VLOOKUP(C1402,'Büyükşehir List'!$C$2:$D$31,2,FALSE)</f>
        <v>İSTANBUL BÜYÜKŞEHİR</v>
      </c>
      <c r="C1402" t="s">
        <v>29</v>
      </c>
      <c r="D1402" s="73" t="str">
        <f t="shared" si="34"/>
        <v>İSTANBUL BÜYÜKŞEHİR/İSTANBUL</v>
      </c>
      <c r="E1402" t="s">
        <v>1871</v>
      </c>
      <c r="F1402" t="s">
        <v>1871</v>
      </c>
      <c r="G1402" t="s">
        <v>3367</v>
      </c>
      <c r="H1402">
        <v>100449.52</v>
      </c>
      <c r="I1402">
        <v>10044.959999999999</v>
      </c>
      <c r="J1402">
        <v>9480.7999999999993</v>
      </c>
      <c r="K1402">
        <v>948.08</v>
      </c>
      <c r="L1402">
        <v>90968.72</v>
      </c>
      <c r="M1402">
        <v>9096.8799999999992</v>
      </c>
      <c r="O1402" s="79">
        <f>IFERROR(VLOOKUP(D1402,'KAPANAN BLD.'!$C$2:$D$793,2,FALSE),0)</f>
        <v>0</v>
      </c>
      <c r="P1402" s="79">
        <v>0</v>
      </c>
      <c r="R1402" s="79"/>
    </row>
    <row r="1403" spans="1:18" x14ac:dyDescent="0.25">
      <c r="A1403" t="s">
        <v>32</v>
      </c>
      <c r="B1403" s="73" t="str">
        <f>VLOOKUP(C1403,'Büyükşehir List'!$C$2:$D$31,2,FALSE)</f>
        <v>İSTANBUL BÜYÜKŞEHİR</v>
      </c>
      <c r="C1403" t="s">
        <v>29</v>
      </c>
      <c r="D1403" s="73" t="str">
        <f t="shared" si="34"/>
        <v>İSTANBUL BÜYÜKŞEHİR/İSTANBUL</v>
      </c>
      <c r="E1403" t="s">
        <v>1871</v>
      </c>
      <c r="F1403" t="s">
        <v>1871</v>
      </c>
      <c r="G1403" t="s">
        <v>3367</v>
      </c>
      <c r="H1403">
        <v>31367.23</v>
      </c>
      <c r="I1403">
        <v>3136.73</v>
      </c>
      <c r="J1403">
        <v>25474.65</v>
      </c>
      <c r="K1403">
        <v>2547.4699999999998</v>
      </c>
      <c r="L1403">
        <v>5892.58</v>
      </c>
      <c r="M1403">
        <v>589.26</v>
      </c>
      <c r="O1403" s="79">
        <f>IFERROR(VLOOKUP(D1403,'KAPANAN BLD.'!$C$2:$D$793,2,FALSE),0)</f>
        <v>0</v>
      </c>
      <c r="P1403" s="79">
        <v>0</v>
      </c>
      <c r="R1403" s="79"/>
    </row>
    <row r="1404" spans="1:18" x14ac:dyDescent="0.25">
      <c r="A1404" t="s">
        <v>32</v>
      </c>
      <c r="B1404" s="73" t="str">
        <f>VLOOKUP(C1404,'Büyükşehir List'!$C$2:$D$31,2,FALSE)</f>
        <v>İSTANBUL BÜYÜKŞEHİR</v>
      </c>
      <c r="C1404" t="s">
        <v>29</v>
      </c>
      <c r="D1404" s="73" t="str">
        <f t="shared" si="34"/>
        <v>İSTANBUL BÜYÜKŞEHİR/İSTANBUL</v>
      </c>
      <c r="E1404" t="s">
        <v>1871</v>
      </c>
      <c r="F1404" t="s">
        <v>1871</v>
      </c>
      <c r="G1404" t="s">
        <v>3366</v>
      </c>
      <c r="H1404">
        <v>154803.41</v>
      </c>
      <c r="I1404">
        <v>15480.36</v>
      </c>
      <c r="J1404">
        <v>191493.46</v>
      </c>
      <c r="K1404">
        <v>19149.36</v>
      </c>
      <c r="L1404">
        <v>-36690.050000000003</v>
      </c>
      <c r="M1404">
        <v>-3669</v>
      </c>
      <c r="O1404" s="79">
        <f>IFERROR(VLOOKUP(D1404,'KAPANAN BLD.'!$C$2:$D$793,2,FALSE),0)</f>
        <v>0</v>
      </c>
      <c r="P1404" s="79">
        <v>0</v>
      </c>
      <c r="R1404" s="79"/>
    </row>
    <row r="1405" spans="1:18" x14ac:dyDescent="0.25">
      <c r="A1405" t="s">
        <v>32</v>
      </c>
      <c r="B1405" s="73" t="str">
        <f>VLOOKUP(C1405,'Büyükşehir List'!$C$2:$D$31,2,FALSE)</f>
        <v>İSTANBUL BÜYÜKŞEHİR</v>
      </c>
      <c r="C1405" t="s">
        <v>29</v>
      </c>
      <c r="D1405" s="73" t="str">
        <f t="shared" si="34"/>
        <v>İSTANBUL BÜYÜKŞEHİR/İSTANBUL</v>
      </c>
      <c r="E1405" t="s">
        <v>1871</v>
      </c>
      <c r="F1405" t="s">
        <v>1871</v>
      </c>
      <c r="G1405" t="s">
        <v>3367</v>
      </c>
      <c r="H1405">
        <v>98048.78</v>
      </c>
      <c r="I1405">
        <v>9804.8799999999992</v>
      </c>
      <c r="J1405">
        <v>6789.3</v>
      </c>
      <c r="K1405">
        <v>678.93</v>
      </c>
      <c r="L1405">
        <v>91259.48</v>
      </c>
      <c r="M1405">
        <v>9125.9500000000007</v>
      </c>
      <c r="O1405" s="79">
        <f>IFERROR(VLOOKUP(D1405,'KAPANAN BLD.'!$C$2:$D$793,2,FALSE),0)</f>
        <v>0</v>
      </c>
      <c r="P1405" s="79">
        <v>0</v>
      </c>
      <c r="R1405" s="79"/>
    </row>
    <row r="1406" spans="1:18" x14ac:dyDescent="0.25">
      <c r="A1406" t="s">
        <v>32</v>
      </c>
      <c r="B1406" s="73" t="str">
        <f>VLOOKUP(C1406,'Büyükşehir List'!$C$2:$D$31,2,FALSE)</f>
        <v>İSTANBUL BÜYÜKŞEHİR</v>
      </c>
      <c r="C1406" t="s">
        <v>29</v>
      </c>
      <c r="D1406" s="73" t="str">
        <f t="shared" si="34"/>
        <v>İSTANBUL BÜYÜKŞEHİR/İSTANBUL</v>
      </c>
      <c r="E1406" t="s">
        <v>1871</v>
      </c>
      <c r="F1406" t="s">
        <v>1871</v>
      </c>
      <c r="G1406" t="s">
        <v>3366</v>
      </c>
      <c r="H1406">
        <v>96560.43</v>
      </c>
      <c r="I1406">
        <v>9656.0499999999993</v>
      </c>
      <c r="J1406">
        <v>13670.3</v>
      </c>
      <c r="K1406">
        <v>1367.03</v>
      </c>
      <c r="L1406">
        <v>82890.13</v>
      </c>
      <c r="M1406">
        <v>8289.02</v>
      </c>
      <c r="O1406" s="79">
        <f>IFERROR(VLOOKUP(D1406,'KAPANAN BLD.'!$C$2:$D$793,2,FALSE),0)</f>
        <v>0</v>
      </c>
      <c r="P1406" s="79">
        <v>0</v>
      </c>
      <c r="R1406" s="79"/>
    </row>
    <row r="1407" spans="1:18" x14ac:dyDescent="0.25">
      <c r="A1407" t="s">
        <v>32</v>
      </c>
      <c r="B1407" s="73" t="str">
        <f>VLOOKUP(C1407,'Büyükşehir List'!$C$2:$D$31,2,FALSE)</f>
        <v>İSTANBUL BÜYÜKŞEHİR</v>
      </c>
      <c r="C1407" t="s">
        <v>29</v>
      </c>
      <c r="D1407" s="73" t="str">
        <f t="shared" si="34"/>
        <v>İSTANBUL BÜYÜKŞEHİR/İSTANBUL</v>
      </c>
      <c r="E1407" t="s">
        <v>1871</v>
      </c>
      <c r="F1407" t="s">
        <v>1871</v>
      </c>
      <c r="G1407" t="s">
        <v>3367</v>
      </c>
      <c r="H1407">
        <v>327771.74</v>
      </c>
      <c r="I1407">
        <v>32777.17</v>
      </c>
      <c r="J1407">
        <v>17935.560000000001</v>
      </c>
      <c r="K1407">
        <v>1793.55</v>
      </c>
      <c r="L1407">
        <v>309836.18</v>
      </c>
      <c r="M1407">
        <v>30983.62</v>
      </c>
      <c r="O1407" s="79">
        <f>IFERROR(VLOOKUP(D1407,'KAPANAN BLD.'!$C$2:$D$793,2,FALSE),0)</f>
        <v>0</v>
      </c>
      <c r="P1407" s="79">
        <v>0</v>
      </c>
      <c r="R1407" s="79"/>
    </row>
    <row r="1408" spans="1:18" x14ac:dyDescent="0.25">
      <c r="A1408" t="s">
        <v>32</v>
      </c>
      <c r="B1408" s="73" t="str">
        <f>VLOOKUP(C1408,'Büyükşehir List'!$C$2:$D$31,2,FALSE)</f>
        <v>İSTANBUL BÜYÜKŞEHİR</v>
      </c>
      <c r="C1408" t="s">
        <v>29</v>
      </c>
      <c r="D1408" s="73" t="str">
        <f t="shared" si="34"/>
        <v>İSTANBUL BÜYÜKŞEHİR/İSTANBUL</v>
      </c>
      <c r="E1408" t="s">
        <v>1871</v>
      </c>
      <c r="F1408" t="s">
        <v>1871</v>
      </c>
      <c r="G1408" t="s">
        <v>3366</v>
      </c>
      <c r="H1408">
        <v>743613.54</v>
      </c>
      <c r="I1408">
        <v>74361.34</v>
      </c>
      <c r="J1408">
        <v>23138.53</v>
      </c>
      <c r="K1408">
        <v>2313.85</v>
      </c>
      <c r="L1408">
        <v>720475.01</v>
      </c>
      <c r="M1408">
        <v>72047.490000000005</v>
      </c>
      <c r="O1408" s="79">
        <f>IFERROR(VLOOKUP(D1408,'KAPANAN BLD.'!$C$2:$D$793,2,FALSE),0)</f>
        <v>0</v>
      </c>
      <c r="P1408" s="79">
        <v>0</v>
      </c>
      <c r="R1408" s="79"/>
    </row>
    <row r="1409" spans="1:18" x14ac:dyDescent="0.25">
      <c r="A1409" t="s">
        <v>32</v>
      </c>
      <c r="B1409" s="73" t="str">
        <f>VLOOKUP(C1409,'Büyükşehir List'!$C$2:$D$31,2,FALSE)</f>
        <v>İSTANBUL BÜYÜKŞEHİR</v>
      </c>
      <c r="C1409" t="s">
        <v>29</v>
      </c>
      <c r="D1409" s="73" t="str">
        <f t="shared" si="34"/>
        <v>İSTANBUL BÜYÜKŞEHİR/İSTANBUL</v>
      </c>
      <c r="E1409" t="s">
        <v>1871</v>
      </c>
      <c r="F1409" t="s">
        <v>1871</v>
      </c>
      <c r="G1409" t="s">
        <v>3367</v>
      </c>
      <c r="H1409">
        <v>89991.97</v>
      </c>
      <c r="I1409">
        <v>8999.18</v>
      </c>
      <c r="J1409">
        <v>16842.18</v>
      </c>
      <c r="K1409">
        <v>1684.21</v>
      </c>
      <c r="L1409">
        <v>73149.789999999994</v>
      </c>
      <c r="M1409">
        <v>7314.97</v>
      </c>
      <c r="O1409" s="79">
        <f>IFERROR(VLOOKUP(D1409,'KAPANAN BLD.'!$C$2:$D$793,2,FALSE),0)</f>
        <v>0</v>
      </c>
      <c r="P1409" s="79">
        <v>0</v>
      </c>
      <c r="R1409" s="79"/>
    </row>
    <row r="1410" spans="1:18" x14ac:dyDescent="0.25">
      <c r="A1410" t="s">
        <v>32</v>
      </c>
      <c r="B1410" s="73" t="str">
        <f>VLOOKUP(C1410,'Büyükşehir List'!$C$2:$D$31,2,FALSE)</f>
        <v>İSTANBUL BÜYÜKŞEHİR</v>
      </c>
      <c r="C1410" t="s">
        <v>29</v>
      </c>
      <c r="D1410" s="73" t="str">
        <f t="shared" si="34"/>
        <v>İSTANBUL BÜYÜKŞEHİR/İSTANBUL</v>
      </c>
      <c r="E1410" t="s">
        <v>1871</v>
      </c>
      <c r="F1410" t="s">
        <v>1871</v>
      </c>
      <c r="G1410" t="s">
        <v>3366</v>
      </c>
      <c r="H1410">
        <v>72034.11</v>
      </c>
      <c r="I1410">
        <v>7203.41</v>
      </c>
      <c r="J1410">
        <v>43098.67</v>
      </c>
      <c r="K1410">
        <v>4309.87</v>
      </c>
      <c r="L1410">
        <v>28935.439999999999</v>
      </c>
      <c r="M1410">
        <v>2893.54</v>
      </c>
      <c r="O1410" s="79">
        <f>IFERROR(VLOOKUP(D1410,'KAPANAN BLD.'!$C$2:$D$793,2,FALSE),0)</f>
        <v>0</v>
      </c>
      <c r="P1410" s="79">
        <v>0</v>
      </c>
      <c r="R1410" s="79"/>
    </row>
    <row r="1411" spans="1:18" x14ac:dyDescent="0.25">
      <c r="A1411" t="s">
        <v>32</v>
      </c>
      <c r="B1411" s="73" t="str">
        <f>VLOOKUP(C1411,'Büyükşehir List'!$C$2:$D$31,2,FALSE)</f>
        <v>İSTANBUL BÜYÜKŞEHİR</v>
      </c>
      <c r="C1411" t="s">
        <v>29</v>
      </c>
      <c r="D1411" s="73" t="str">
        <f t="shared" ref="D1411:D1474" si="36">CONCATENATE(B1411,"/",C1411)</f>
        <v>İSTANBUL BÜYÜKŞEHİR/İSTANBUL</v>
      </c>
      <c r="E1411" t="s">
        <v>1871</v>
      </c>
      <c r="F1411" t="s">
        <v>1871</v>
      </c>
      <c r="G1411" t="s">
        <v>3367</v>
      </c>
      <c r="H1411">
        <v>142843.43</v>
      </c>
      <c r="I1411">
        <v>14284.34</v>
      </c>
      <c r="J1411">
        <v>4879.6000000000004</v>
      </c>
      <c r="K1411">
        <v>487.96</v>
      </c>
      <c r="L1411">
        <v>137963.82999999999</v>
      </c>
      <c r="M1411">
        <v>13796.38</v>
      </c>
      <c r="O1411" s="79">
        <f>IFERROR(VLOOKUP(D1411,'KAPANAN BLD.'!$C$2:$D$793,2,FALSE),0)</f>
        <v>0</v>
      </c>
      <c r="P1411" s="79">
        <v>0</v>
      </c>
      <c r="R1411" s="79"/>
    </row>
    <row r="1412" spans="1:18" x14ac:dyDescent="0.25">
      <c r="A1412" t="s">
        <v>32</v>
      </c>
      <c r="B1412" s="73" t="str">
        <f>VLOOKUP(C1412,'Büyükşehir List'!$C$2:$D$31,2,FALSE)</f>
        <v>İSTANBUL BÜYÜKŞEHİR</v>
      </c>
      <c r="C1412" t="s">
        <v>29</v>
      </c>
      <c r="D1412" s="73" t="str">
        <f t="shared" si="36"/>
        <v>İSTANBUL BÜYÜKŞEHİR/İSTANBUL</v>
      </c>
      <c r="E1412" t="s">
        <v>1871</v>
      </c>
      <c r="F1412" t="s">
        <v>1871</v>
      </c>
      <c r="G1412" t="s">
        <v>3366</v>
      </c>
      <c r="H1412">
        <v>203550.31</v>
      </c>
      <c r="I1412">
        <v>20355.03</v>
      </c>
      <c r="J1412">
        <v>1968.5</v>
      </c>
      <c r="K1412">
        <v>196.85</v>
      </c>
      <c r="L1412">
        <v>201581.81</v>
      </c>
      <c r="M1412">
        <v>20158.18</v>
      </c>
      <c r="O1412" s="79">
        <f>IFERROR(VLOOKUP(D1412,'KAPANAN BLD.'!$C$2:$D$793,2,FALSE),0)</f>
        <v>0</v>
      </c>
      <c r="P1412" s="79">
        <v>0</v>
      </c>
      <c r="R1412" s="79"/>
    </row>
    <row r="1413" spans="1:18" x14ac:dyDescent="0.25">
      <c r="A1413" t="s">
        <v>32</v>
      </c>
      <c r="B1413" s="73" t="str">
        <f>VLOOKUP(C1413,'Büyükşehir List'!$C$2:$D$31,2,FALSE)</f>
        <v>İSTANBUL BÜYÜKŞEHİR</v>
      </c>
      <c r="C1413" t="s">
        <v>29</v>
      </c>
      <c r="D1413" s="73" t="str">
        <f t="shared" si="36"/>
        <v>İSTANBUL BÜYÜKŞEHİR/İSTANBUL</v>
      </c>
      <c r="E1413" t="s">
        <v>1871</v>
      </c>
      <c r="F1413" t="s">
        <v>1871</v>
      </c>
      <c r="G1413" t="s">
        <v>3367</v>
      </c>
      <c r="H1413">
        <v>199111.08</v>
      </c>
      <c r="I1413">
        <v>19911.099999999999</v>
      </c>
      <c r="J1413">
        <v>11081.62</v>
      </c>
      <c r="K1413">
        <v>1108.1600000000001</v>
      </c>
      <c r="L1413">
        <v>188029.46</v>
      </c>
      <c r="M1413">
        <v>18802.939999999999</v>
      </c>
      <c r="O1413" s="79">
        <f>IFERROR(VLOOKUP(D1413,'KAPANAN BLD.'!$C$2:$D$793,2,FALSE),0)</f>
        <v>0</v>
      </c>
      <c r="P1413" s="79">
        <v>0</v>
      </c>
      <c r="R1413" s="79"/>
    </row>
    <row r="1414" spans="1:18" x14ac:dyDescent="0.25">
      <c r="A1414" t="s">
        <v>32</v>
      </c>
      <c r="B1414" s="73" t="str">
        <f>VLOOKUP(C1414,'Büyükşehir List'!$C$2:$D$31,2,FALSE)</f>
        <v>İSTANBUL BÜYÜKŞEHİR</v>
      </c>
      <c r="C1414" t="s">
        <v>29</v>
      </c>
      <c r="D1414" s="73" t="str">
        <f t="shared" si="36"/>
        <v>İSTANBUL BÜYÜKŞEHİR/İSTANBUL</v>
      </c>
      <c r="E1414" t="s">
        <v>1871</v>
      </c>
      <c r="F1414" t="s">
        <v>1871</v>
      </c>
      <c r="G1414" t="s">
        <v>3366</v>
      </c>
      <c r="H1414">
        <v>111543.03</v>
      </c>
      <c r="I1414">
        <v>11154.32</v>
      </c>
      <c r="J1414">
        <v>43561.7</v>
      </c>
      <c r="K1414">
        <v>4356.17</v>
      </c>
      <c r="L1414">
        <v>67981.33</v>
      </c>
      <c r="M1414">
        <v>6798.15</v>
      </c>
      <c r="O1414" s="79">
        <f>IFERROR(VLOOKUP(D1414,'KAPANAN BLD.'!$C$2:$D$793,2,FALSE),0)</f>
        <v>0</v>
      </c>
      <c r="P1414" s="79">
        <v>0</v>
      </c>
      <c r="R1414" s="79"/>
    </row>
    <row r="1415" spans="1:18" x14ac:dyDescent="0.25">
      <c r="A1415" t="s">
        <v>32</v>
      </c>
      <c r="B1415" s="73" t="str">
        <f>VLOOKUP(C1415,'Büyükşehir List'!$C$2:$D$31,2,FALSE)</f>
        <v>İSTANBUL BÜYÜKŞEHİR</v>
      </c>
      <c r="C1415" t="s">
        <v>29</v>
      </c>
      <c r="D1415" s="73" t="str">
        <f t="shared" si="36"/>
        <v>İSTANBUL BÜYÜKŞEHİR/İSTANBUL</v>
      </c>
      <c r="E1415" t="s">
        <v>3768</v>
      </c>
      <c r="F1415" t="s">
        <v>3768</v>
      </c>
      <c r="G1415" t="s">
        <v>3366</v>
      </c>
      <c r="H1415">
        <v>25790.39</v>
      </c>
      <c r="I1415">
        <v>2579.04</v>
      </c>
      <c r="J1415">
        <v>48.7</v>
      </c>
      <c r="K1415">
        <v>4.87</v>
      </c>
      <c r="L1415">
        <v>25741.69</v>
      </c>
      <c r="M1415">
        <v>2574.17</v>
      </c>
      <c r="O1415" s="79">
        <f>IFERROR(VLOOKUP(D1415,'KAPANAN BLD.'!$C$2:$D$793,2,FALSE),0)</f>
        <v>0</v>
      </c>
      <c r="P1415" s="79">
        <v>0</v>
      </c>
      <c r="R1415" s="79"/>
    </row>
    <row r="1416" spans="1:18" x14ac:dyDescent="0.25">
      <c r="A1416" t="s">
        <v>32</v>
      </c>
      <c r="B1416" s="73" t="str">
        <f>VLOOKUP(C1416,'Büyükşehir List'!$C$2:$D$31,2,FALSE)</f>
        <v>İSTANBUL BÜYÜKŞEHİR</v>
      </c>
      <c r="C1416" t="s">
        <v>29</v>
      </c>
      <c r="D1416" s="73" t="str">
        <f t="shared" si="36"/>
        <v>İSTANBUL BÜYÜKŞEHİR/İSTANBUL</v>
      </c>
      <c r="E1416" t="s">
        <v>3768</v>
      </c>
      <c r="F1416" t="s">
        <v>3768</v>
      </c>
      <c r="G1416" t="s">
        <v>3367</v>
      </c>
      <c r="H1416">
        <v>25669.16</v>
      </c>
      <c r="I1416">
        <v>2566.91</v>
      </c>
      <c r="J1416">
        <v>131.5</v>
      </c>
      <c r="K1416">
        <v>13.15</v>
      </c>
      <c r="L1416">
        <v>25537.66</v>
      </c>
      <c r="M1416">
        <v>2553.7600000000002</v>
      </c>
      <c r="O1416" s="79">
        <f>IFERROR(VLOOKUP(D1416,'KAPANAN BLD.'!$C$2:$D$793,2,FALSE),0)</f>
        <v>0</v>
      </c>
      <c r="P1416" s="79">
        <v>0</v>
      </c>
      <c r="R1416" s="79"/>
    </row>
    <row r="1417" spans="1:18" x14ac:dyDescent="0.25">
      <c r="A1417" t="s">
        <v>32</v>
      </c>
      <c r="B1417" s="73" t="str">
        <f>VLOOKUP(C1417,'Büyükşehir List'!$C$2:$D$31,2,FALSE)</f>
        <v>İSTANBUL BÜYÜKŞEHİR</v>
      </c>
      <c r="C1417" t="s">
        <v>29</v>
      </c>
      <c r="D1417" s="73" t="str">
        <f t="shared" si="36"/>
        <v>İSTANBUL BÜYÜKŞEHİR/İSTANBUL</v>
      </c>
      <c r="E1417" t="s">
        <v>1871</v>
      </c>
      <c r="F1417" t="s">
        <v>1871</v>
      </c>
      <c r="G1417" t="s">
        <v>3367</v>
      </c>
      <c r="H1417">
        <v>47530.9</v>
      </c>
      <c r="I1417">
        <v>4753.09</v>
      </c>
      <c r="J1417">
        <v>440.9</v>
      </c>
      <c r="K1417">
        <v>44.09</v>
      </c>
      <c r="L1417">
        <v>47090</v>
      </c>
      <c r="M1417">
        <v>4709</v>
      </c>
      <c r="O1417" s="79">
        <f>IFERROR(VLOOKUP(D1417,'KAPANAN BLD.'!$C$2:$D$793,2,FALSE),0)</f>
        <v>0</v>
      </c>
      <c r="P1417" s="79">
        <v>0</v>
      </c>
      <c r="R1417" s="79"/>
    </row>
    <row r="1418" spans="1:18" x14ac:dyDescent="0.25">
      <c r="A1418" t="s">
        <v>32</v>
      </c>
      <c r="B1418" s="73" t="str">
        <f>VLOOKUP(C1418,'Büyükşehir List'!$C$2:$D$31,2,FALSE)</f>
        <v>İSTANBUL BÜYÜKŞEHİR</v>
      </c>
      <c r="C1418" t="s">
        <v>29</v>
      </c>
      <c r="D1418" s="73" t="str">
        <f t="shared" si="36"/>
        <v>İSTANBUL BÜYÜKŞEHİR/İSTANBUL</v>
      </c>
      <c r="E1418" t="s">
        <v>1871</v>
      </c>
      <c r="F1418" t="s">
        <v>1871</v>
      </c>
      <c r="G1418" t="s">
        <v>3366</v>
      </c>
      <c r="H1418">
        <v>7297.44</v>
      </c>
      <c r="I1418">
        <v>729.74</v>
      </c>
      <c r="J1418">
        <v>255.4</v>
      </c>
      <c r="K1418">
        <v>25.54</v>
      </c>
      <c r="L1418">
        <v>7042.04</v>
      </c>
      <c r="M1418">
        <v>704.2</v>
      </c>
      <c r="O1418" s="79">
        <f>IFERROR(VLOOKUP(D1418,'KAPANAN BLD.'!$C$2:$D$793,2,FALSE),0)</f>
        <v>0</v>
      </c>
      <c r="P1418" s="79">
        <v>0</v>
      </c>
      <c r="R1418" s="79"/>
    </row>
    <row r="1419" spans="1:18" x14ac:dyDescent="0.25">
      <c r="A1419" t="s">
        <v>32</v>
      </c>
      <c r="B1419" s="73" t="str">
        <f>VLOOKUP(C1419,'Büyükşehir List'!$C$2:$D$31,2,FALSE)</f>
        <v>İSTANBUL BÜYÜKŞEHİR</v>
      </c>
      <c r="C1419" t="s">
        <v>29</v>
      </c>
      <c r="D1419" s="73" t="str">
        <f t="shared" si="36"/>
        <v>İSTANBUL BÜYÜKŞEHİR/İSTANBUL</v>
      </c>
      <c r="E1419" t="s">
        <v>1871</v>
      </c>
      <c r="F1419" t="s">
        <v>1871</v>
      </c>
      <c r="G1419" t="s">
        <v>3366</v>
      </c>
      <c r="H1419">
        <v>49211.76</v>
      </c>
      <c r="I1419">
        <v>4921.17</v>
      </c>
      <c r="J1419">
        <v>10369.1</v>
      </c>
      <c r="K1419">
        <v>1036.9100000000001</v>
      </c>
      <c r="L1419">
        <v>38842.660000000003</v>
      </c>
      <c r="M1419">
        <v>3884.26</v>
      </c>
      <c r="O1419" s="79">
        <f>IFERROR(VLOOKUP(D1419,'KAPANAN BLD.'!$C$2:$D$793,2,FALSE),0)</f>
        <v>0</v>
      </c>
      <c r="P1419" s="79">
        <v>0</v>
      </c>
      <c r="R1419" s="79"/>
    </row>
    <row r="1420" spans="1:18" x14ac:dyDescent="0.25">
      <c r="A1420" t="s">
        <v>32</v>
      </c>
      <c r="B1420" s="73" t="str">
        <f>VLOOKUP(C1420,'Büyükşehir List'!$C$2:$D$31,2,FALSE)</f>
        <v>İSTANBUL BÜYÜKŞEHİR</v>
      </c>
      <c r="C1420" t="s">
        <v>29</v>
      </c>
      <c r="D1420" s="73" t="str">
        <f t="shared" si="36"/>
        <v>İSTANBUL BÜYÜKŞEHİR/İSTANBUL</v>
      </c>
      <c r="E1420" t="s">
        <v>1871</v>
      </c>
      <c r="F1420" t="s">
        <v>1871</v>
      </c>
      <c r="G1420" t="s">
        <v>3367</v>
      </c>
      <c r="H1420">
        <v>78426.47</v>
      </c>
      <c r="I1420">
        <v>7842.64</v>
      </c>
      <c r="J1420">
        <v>15807.2</v>
      </c>
      <c r="K1420">
        <v>1580.72</v>
      </c>
      <c r="L1420">
        <v>62619.27</v>
      </c>
      <c r="M1420">
        <v>6261.92</v>
      </c>
      <c r="O1420" s="79">
        <f>IFERROR(VLOOKUP(D1420,'KAPANAN BLD.'!$C$2:$D$793,2,FALSE),0)</f>
        <v>0</v>
      </c>
      <c r="P1420" s="79">
        <v>0</v>
      </c>
      <c r="R1420" s="79"/>
    </row>
    <row r="1421" spans="1:18" x14ac:dyDescent="0.25">
      <c r="A1421" t="s">
        <v>32</v>
      </c>
      <c r="B1421" s="73" t="str">
        <f>VLOOKUP(C1421,'Büyükşehir List'!$C$2:$D$31,2,FALSE)</f>
        <v>İSTANBUL BÜYÜKŞEHİR</v>
      </c>
      <c r="C1421" t="s">
        <v>29</v>
      </c>
      <c r="D1421" s="73" t="str">
        <f t="shared" si="36"/>
        <v>İSTANBUL BÜYÜKŞEHİR/İSTANBUL</v>
      </c>
      <c r="E1421" t="s">
        <v>1871</v>
      </c>
      <c r="F1421" t="s">
        <v>1871</v>
      </c>
      <c r="G1421" t="s">
        <v>3367</v>
      </c>
      <c r="H1421">
        <v>24440.6</v>
      </c>
      <c r="I1421">
        <v>2444.06</v>
      </c>
      <c r="J1421">
        <v>1151.2</v>
      </c>
      <c r="K1421">
        <v>115.12</v>
      </c>
      <c r="L1421">
        <v>23289.4</v>
      </c>
      <c r="M1421">
        <v>2328.94</v>
      </c>
      <c r="O1421" s="79">
        <f>IFERROR(VLOOKUP(D1421,'KAPANAN BLD.'!$C$2:$D$793,2,FALSE),0)</f>
        <v>0</v>
      </c>
      <c r="P1421" s="79">
        <v>0</v>
      </c>
      <c r="R1421" s="79"/>
    </row>
    <row r="1422" spans="1:18" x14ac:dyDescent="0.25">
      <c r="A1422" t="s">
        <v>32</v>
      </c>
      <c r="B1422" s="73" t="str">
        <f>VLOOKUP(C1422,'Büyükşehir List'!$C$2:$D$31,2,FALSE)</f>
        <v>İSTANBUL BÜYÜKŞEHİR</v>
      </c>
      <c r="C1422" t="s">
        <v>29</v>
      </c>
      <c r="D1422" s="73" t="str">
        <f t="shared" si="36"/>
        <v>İSTANBUL BÜYÜKŞEHİR/İSTANBUL</v>
      </c>
      <c r="E1422" t="s">
        <v>1871</v>
      </c>
      <c r="F1422" t="s">
        <v>1871</v>
      </c>
      <c r="G1422" t="s">
        <v>3366</v>
      </c>
      <c r="H1422">
        <v>31231.8</v>
      </c>
      <c r="I1422">
        <v>3123.18</v>
      </c>
      <c r="J1422">
        <v>1089.4000000000001</v>
      </c>
      <c r="K1422">
        <v>108.94</v>
      </c>
      <c r="L1422">
        <v>30142.400000000001</v>
      </c>
      <c r="M1422">
        <v>3014.24</v>
      </c>
      <c r="O1422" s="79">
        <f>IFERROR(VLOOKUP(D1422,'KAPANAN BLD.'!$C$2:$D$793,2,FALSE),0)</f>
        <v>0</v>
      </c>
      <c r="P1422" s="79">
        <v>0</v>
      </c>
      <c r="R1422" s="79"/>
    </row>
    <row r="1423" spans="1:18" x14ac:dyDescent="0.25">
      <c r="A1423" t="s">
        <v>32</v>
      </c>
      <c r="B1423" s="73" t="str">
        <f>VLOOKUP(C1423,'Büyükşehir List'!$C$2:$D$31,2,FALSE)</f>
        <v>İSTANBUL BÜYÜKŞEHİR</v>
      </c>
      <c r="C1423" t="s">
        <v>29</v>
      </c>
      <c r="D1423" s="73" t="str">
        <f t="shared" si="36"/>
        <v>İSTANBUL BÜYÜKŞEHİR/İSTANBUL</v>
      </c>
      <c r="E1423" t="s">
        <v>1871</v>
      </c>
      <c r="F1423" t="s">
        <v>1871</v>
      </c>
      <c r="G1423" t="s">
        <v>3366</v>
      </c>
      <c r="H1423">
        <v>113979.74</v>
      </c>
      <c r="I1423">
        <v>11397.97</v>
      </c>
      <c r="J1423">
        <v>18152.96</v>
      </c>
      <c r="K1423">
        <v>1815.28</v>
      </c>
      <c r="L1423">
        <v>95826.78</v>
      </c>
      <c r="M1423">
        <v>9582.69</v>
      </c>
      <c r="O1423" s="79">
        <f>IFERROR(VLOOKUP(D1423,'KAPANAN BLD.'!$C$2:$D$793,2,FALSE),0)</f>
        <v>0</v>
      </c>
      <c r="P1423" s="79">
        <v>0</v>
      </c>
      <c r="R1423" s="79"/>
    </row>
    <row r="1424" spans="1:18" x14ac:dyDescent="0.25">
      <c r="A1424" t="s">
        <v>32</v>
      </c>
      <c r="B1424" s="73" t="str">
        <f>VLOOKUP(C1424,'Büyükşehir List'!$C$2:$D$31,2,FALSE)</f>
        <v>İSTANBUL BÜYÜKŞEHİR</v>
      </c>
      <c r="C1424" t="s">
        <v>29</v>
      </c>
      <c r="D1424" s="73" t="str">
        <f t="shared" si="36"/>
        <v>İSTANBUL BÜYÜKŞEHİR/İSTANBUL</v>
      </c>
      <c r="E1424" t="s">
        <v>1871</v>
      </c>
      <c r="F1424" t="s">
        <v>1871</v>
      </c>
      <c r="G1424" t="s">
        <v>3367</v>
      </c>
      <c r="H1424">
        <v>161859.95000000001</v>
      </c>
      <c r="I1424">
        <v>16186</v>
      </c>
      <c r="J1424">
        <v>15808.54</v>
      </c>
      <c r="K1424">
        <v>1580.85</v>
      </c>
      <c r="L1424">
        <v>146051.41</v>
      </c>
      <c r="M1424">
        <v>14605.15</v>
      </c>
      <c r="O1424" s="79">
        <f>IFERROR(VLOOKUP(D1424,'KAPANAN BLD.'!$C$2:$D$793,2,FALSE),0)</f>
        <v>0</v>
      </c>
      <c r="P1424" s="79">
        <v>0</v>
      </c>
      <c r="R1424" s="79"/>
    </row>
    <row r="1425" spans="1:18" x14ac:dyDescent="0.25">
      <c r="A1425" t="s">
        <v>32</v>
      </c>
      <c r="B1425" s="73" t="str">
        <f>VLOOKUP(C1425,'Büyükşehir List'!$C$2:$D$31,2,FALSE)</f>
        <v>İSTANBUL BÜYÜKŞEHİR</v>
      </c>
      <c r="C1425" t="s">
        <v>29</v>
      </c>
      <c r="D1425" s="73" t="str">
        <f t="shared" si="36"/>
        <v>İSTANBUL BÜYÜKŞEHİR/İSTANBUL</v>
      </c>
      <c r="E1425" t="s">
        <v>1871</v>
      </c>
      <c r="F1425" t="s">
        <v>1871</v>
      </c>
      <c r="G1425" t="s">
        <v>3367</v>
      </c>
      <c r="H1425">
        <v>59302.93</v>
      </c>
      <c r="I1425">
        <v>5930.29</v>
      </c>
      <c r="J1425">
        <v>2615.1999999999998</v>
      </c>
      <c r="K1425">
        <v>261.52</v>
      </c>
      <c r="L1425">
        <v>56687.73</v>
      </c>
      <c r="M1425">
        <v>5668.77</v>
      </c>
      <c r="O1425" s="79">
        <f>IFERROR(VLOOKUP(D1425,'KAPANAN BLD.'!$C$2:$D$793,2,FALSE),0)</f>
        <v>0</v>
      </c>
      <c r="P1425" s="79">
        <v>0</v>
      </c>
      <c r="R1425" s="79"/>
    </row>
    <row r="1426" spans="1:18" x14ac:dyDescent="0.25">
      <c r="A1426" t="s">
        <v>32</v>
      </c>
      <c r="B1426" s="73" t="str">
        <f>VLOOKUP(C1426,'Büyükşehir List'!$C$2:$D$31,2,FALSE)</f>
        <v>İSTANBUL BÜYÜKŞEHİR</v>
      </c>
      <c r="C1426" t="s">
        <v>29</v>
      </c>
      <c r="D1426" s="73" t="str">
        <f t="shared" si="36"/>
        <v>İSTANBUL BÜYÜKŞEHİR/İSTANBUL</v>
      </c>
      <c r="E1426" t="s">
        <v>1871</v>
      </c>
      <c r="F1426" t="s">
        <v>1871</v>
      </c>
      <c r="G1426" t="s">
        <v>3366</v>
      </c>
      <c r="H1426">
        <v>27299.4</v>
      </c>
      <c r="I1426">
        <v>2729.94</v>
      </c>
      <c r="J1426">
        <v>2763.6</v>
      </c>
      <c r="K1426">
        <v>276.36</v>
      </c>
      <c r="L1426">
        <v>24535.8</v>
      </c>
      <c r="M1426">
        <v>2453.58</v>
      </c>
      <c r="O1426" s="79">
        <f>IFERROR(VLOOKUP(D1426,'KAPANAN BLD.'!$C$2:$D$793,2,FALSE),0)</f>
        <v>0</v>
      </c>
      <c r="P1426" s="79">
        <v>0</v>
      </c>
      <c r="R1426" s="79"/>
    </row>
    <row r="1427" spans="1:18" x14ac:dyDescent="0.25">
      <c r="A1427" t="s">
        <v>32</v>
      </c>
      <c r="B1427" s="73" t="str">
        <f>VLOOKUP(C1427,'Büyükşehir List'!$C$2:$D$31,2,FALSE)</f>
        <v>İSTANBUL BÜYÜKŞEHİR</v>
      </c>
      <c r="C1427" t="s">
        <v>29</v>
      </c>
      <c r="D1427" s="73" t="str">
        <f t="shared" si="36"/>
        <v>İSTANBUL BÜYÜKŞEHİR/İSTANBUL</v>
      </c>
      <c r="E1427" t="s">
        <v>1871</v>
      </c>
      <c r="F1427" t="s">
        <v>1871</v>
      </c>
      <c r="G1427" t="s">
        <v>3366</v>
      </c>
      <c r="H1427">
        <v>274345.65000000002</v>
      </c>
      <c r="I1427">
        <v>27434.58</v>
      </c>
      <c r="J1427">
        <v>100686.47</v>
      </c>
      <c r="K1427">
        <v>10068.65</v>
      </c>
      <c r="L1427">
        <v>173659.18</v>
      </c>
      <c r="M1427">
        <v>17365.93</v>
      </c>
      <c r="O1427" s="79">
        <f>IFERROR(VLOOKUP(D1427,'KAPANAN BLD.'!$C$2:$D$793,2,FALSE),0)</f>
        <v>0</v>
      </c>
      <c r="P1427" s="79">
        <v>0</v>
      </c>
      <c r="R1427" s="79"/>
    </row>
    <row r="1428" spans="1:18" x14ac:dyDescent="0.25">
      <c r="A1428" t="s">
        <v>32</v>
      </c>
      <c r="B1428" s="73" t="str">
        <f>VLOOKUP(C1428,'Büyükşehir List'!$C$2:$D$31,2,FALSE)</f>
        <v>İSTANBUL BÜYÜKŞEHİR</v>
      </c>
      <c r="C1428" t="s">
        <v>29</v>
      </c>
      <c r="D1428" s="73" t="str">
        <f t="shared" si="36"/>
        <v>İSTANBUL BÜYÜKŞEHİR/İSTANBUL</v>
      </c>
      <c r="E1428" t="s">
        <v>1871</v>
      </c>
      <c r="F1428" t="s">
        <v>1871</v>
      </c>
      <c r="G1428" t="s">
        <v>3367</v>
      </c>
      <c r="H1428">
        <v>229899.45</v>
      </c>
      <c r="I1428">
        <v>22989.94</v>
      </c>
      <c r="J1428">
        <v>29386.97</v>
      </c>
      <c r="K1428">
        <v>2938.7</v>
      </c>
      <c r="L1428">
        <v>200512.48</v>
      </c>
      <c r="M1428">
        <v>20051.240000000002</v>
      </c>
      <c r="O1428" s="79">
        <f>IFERROR(VLOOKUP(D1428,'KAPANAN BLD.'!$C$2:$D$793,2,FALSE),0)</f>
        <v>0</v>
      </c>
      <c r="P1428" s="79">
        <v>0</v>
      </c>
    </row>
    <row r="1429" spans="1:18" x14ac:dyDescent="0.25">
      <c r="A1429" t="s">
        <v>32</v>
      </c>
      <c r="B1429" s="73" t="str">
        <f>VLOOKUP(C1429,'Büyükşehir List'!$C$2:$D$31,2,FALSE)</f>
        <v>İSTANBUL BÜYÜKŞEHİR</v>
      </c>
      <c r="C1429" t="s">
        <v>29</v>
      </c>
      <c r="D1429" s="73" t="str">
        <f t="shared" si="36"/>
        <v>İSTANBUL BÜYÜKŞEHİR/İSTANBUL</v>
      </c>
      <c r="E1429" t="s">
        <v>1871</v>
      </c>
      <c r="F1429" t="s">
        <v>1871</v>
      </c>
      <c r="G1429" t="s">
        <v>3366</v>
      </c>
      <c r="H1429">
        <v>9322.6</v>
      </c>
      <c r="I1429">
        <v>932.26</v>
      </c>
      <c r="J1429">
        <v>5770.16</v>
      </c>
      <c r="K1429">
        <v>577.02</v>
      </c>
      <c r="L1429">
        <v>3552.44</v>
      </c>
      <c r="M1429">
        <v>355.24</v>
      </c>
      <c r="O1429" s="79">
        <f>IFERROR(VLOOKUP(D1429,'KAPANAN BLD.'!$C$2:$D$793,2,FALSE),0)</f>
        <v>0</v>
      </c>
      <c r="P1429" s="79">
        <v>0</v>
      </c>
    </row>
    <row r="1430" spans="1:18" x14ac:dyDescent="0.25">
      <c r="A1430" t="s">
        <v>32</v>
      </c>
      <c r="B1430" s="73" t="str">
        <f>VLOOKUP(C1430,'Büyükşehir List'!$C$2:$D$31,2,FALSE)</f>
        <v>İSTANBUL BÜYÜKŞEHİR</v>
      </c>
      <c r="C1430" t="s">
        <v>29</v>
      </c>
      <c r="D1430" s="73" t="str">
        <f t="shared" si="36"/>
        <v>İSTANBUL BÜYÜKŞEHİR/İSTANBUL</v>
      </c>
      <c r="E1430" t="s">
        <v>1871</v>
      </c>
      <c r="F1430" t="s">
        <v>1871</v>
      </c>
      <c r="G1430" t="s">
        <v>3367</v>
      </c>
      <c r="H1430">
        <v>20491.7</v>
      </c>
      <c r="I1430">
        <v>2049.17</v>
      </c>
      <c r="J1430">
        <v>1096.9100000000001</v>
      </c>
      <c r="K1430">
        <v>109.69</v>
      </c>
      <c r="L1430">
        <v>19394.79</v>
      </c>
      <c r="M1430">
        <v>1939.48</v>
      </c>
      <c r="O1430" s="79">
        <f>IFERROR(VLOOKUP(D1430,'KAPANAN BLD.'!$C$2:$D$793,2,FALSE),0)</f>
        <v>0</v>
      </c>
      <c r="P1430" s="79">
        <v>0</v>
      </c>
    </row>
    <row r="1431" spans="1:18" x14ac:dyDescent="0.25">
      <c r="A1431" t="s">
        <v>32</v>
      </c>
      <c r="B1431" s="73" t="str">
        <f>VLOOKUP(C1431,'Büyükşehir List'!$C$2:$D$31,2,FALSE)</f>
        <v>İSTANBUL BÜYÜKŞEHİR</v>
      </c>
      <c r="C1431" t="s">
        <v>29</v>
      </c>
      <c r="D1431" s="73" t="str">
        <f t="shared" si="36"/>
        <v>İSTANBUL BÜYÜKŞEHİR/İSTANBUL</v>
      </c>
      <c r="E1431" t="s">
        <v>1871</v>
      </c>
      <c r="F1431" t="s">
        <v>1871</v>
      </c>
      <c r="G1431" t="s">
        <v>3366</v>
      </c>
      <c r="H1431">
        <v>111661.44</v>
      </c>
      <c r="I1431">
        <v>11166.15</v>
      </c>
      <c r="J1431">
        <v>12139.6</v>
      </c>
      <c r="K1431">
        <v>1213.96</v>
      </c>
      <c r="L1431">
        <v>99521.84</v>
      </c>
      <c r="M1431">
        <v>9952.19</v>
      </c>
      <c r="O1431" s="79">
        <f>IFERROR(VLOOKUP(D1431,'KAPANAN BLD.'!$C$2:$D$793,2,FALSE),0)</f>
        <v>0</v>
      </c>
      <c r="P1431" s="79">
        <v>0</v>
      </c>
    </row>
    <row r="1432" spans="1:18" x14ac:dyDescent="0.25">
      <c r="A1432" t="s">
        <v>32</v>
      </c>
      <c r="B1432" s="73" t="str">
        <f>VLOOKUP(C1432,'Büyükşehir List'!$C$2:$D$31,2,FALSE)</f>
        <v>İSTANBUL BÜYÜKŞEHİR</v>
      </c>
      <c r="C1432" t="s">
        <v>29</v>
      </c>
      <c r="D1432" s="73" t="str">
        <f t="shared" si="36"/>
        <v>İSTANBUL BÜYÜKŞEHİR/İSTANBUL</v>
      </c>
      <c r="E1432" t="s">
        <v>1871</v>
      </c>
      <c r="F1432" t="s">
        <v>1871</v>
      </c>
      <c r="G1432" t="s">
        <v>3367</v>
      </c>
      <c r="H1432">
        <v>74276.34</v>
      </c>
      <c r="I1432">
        <v>7427.63</v>
      </c>
      <c r="J1432">
        <v>20299</v>
      </c>
      <c r="K1432">
        <v>2029.9</v>
      </c>
      <c r="L1432">
        <v>53977.34</v>
      </c>
      <c r="M1432">
        <v>5397.73</v>
      </c>
      <c r="O1432" s="79">
        <f>IFERROR(VLOOKUP(D1432,'KAPANAN BLD.'!$C$2:$D$793,2,FALSE),0)</f>
        <v>0</v>
      </c>
      <c r="P1432" s="79">
        <v>0</v>
      </c>
    </row>
    <row r="1433" spans="1:18" x14ac:dyDescent="0.25">
      <c r="A1433" t="s">
        <v>32</v>
      </c>
      <c r="B1433" s="73" t="str">
        <f>VLOOKUP(C1433,'Büyükşehir List'!$C$2:$D$31,2,FALSE)</f>
        <v>İSTANBUL BÜYÜKŞEHİR</v>
      </c>
      <c r="C1433" t="s">
        <v>29</v>
      </c>
      <c r="D1433" s="73" t="str">
        <f t="shared" si="36"/>
        <v>İSTANBUL BÜYÜKŞEHİR/İSTANBUL</v>
      </c>
      <c r="E1433" t="s">
        <v>1871</v>
      </c>
      <c r="F1433" t="s">
        <v>1871</v>
      </c>
      <c r="G1433" t="s">
        <v>3366</v>
      </c>
      <c r="H1433">
        <v>811405.27</v>
      </c>
      <c r="I1433">
        <v>81140.53</v>
      </c>
      <c r="J1433">
        <v>79424.77</v>
      </c>
      <c r="K1433">
        <v>7942.48</v>
      </c>
      <c r="L1433">
        <v>731980.5</v>
      </c>
      <c r="M1433">
        <v>73198.05</v>
      </c>
      <c r="O1433" s="79">
        <f>IFERROR(VLOOKUP(D1433,'KAPANAN BLD.'!$C$2:$D$793,2,FALSE),0)</f>
        <v>0</v>
      </c>
      <c r="P1433" s="79">
        <v>0</v>
      </c>
    </row>
    <row r="1434" spans="1:18" x14ac:dyDescent="0.25">
      <c r="A1434" t="s">
        <v>32</v>
      </c>
      <c r="B1434" s="73" t="str">
        <f>VLOOKUP(C1434,'Büyükşehir List'!$C$2:$D$31,2,FALSE)</f>
        <v>İSTANBUL BÜYÜKŞEHİR</v>
      </c>
      <c r="C1434" t="s">
        <v>29</v>
      </c>
      <c r="D1434" s="73" t="str">
        <f t="shared" si="36"/>
        <v>İSTANBUL BÜYÜKŞEHİR/İSTANBUL</v>
      </c>
      <c r="E1434" t="s">
        <v>1871</v>
      </c>
      <c r="F1434" t="s">
        <v>1871</v>
      </c>
      <c r="G1434" t="s">
        <v>3367</v>
      </c>
      <c r="H1434">
        <v>1364585.84</v>
      </c>
      <c r="I1434">
        <v>136458.59</v>
      </c>
      <c r="J1434">
        <v>94367.5</v>
      </c>
      <c r="K1434">
        <v>9436.75</v>
      </c>
      <c r="L1434">
        <v>1270218.3400000001</v>
      </c>
      <c r="M1434">
        <v>127021.84</v>
      </c>
      <c r="O1434" s="79">
        <f>IFERROR(VLOOKUP(D1434,'KAPANAN BLD.'!$C$2:$D$793,2,FALSE),0)</f>
        <v>0</v>
      </c>
      <c r="P1434" s="79">
        <v>0</v>
      </c>
    </row>
    <row r="1435" spans="1:18" x14ac:dyDescent="0.25">
      <c r="A1435" t="s">
        <v>32</v>
      </c>
      <c r="B1435" s="73" t="str">
        <f>VLOOKUP(C1435,'Büyükşehir List'!$C$2:$D$31,2,FALSE)</f>
        <v>İSTANBUL BÜYÜKŞEHİR</v>
      </c>
      <c r="C1435" t="s">
        <v>29</v>
      </c>
      <c r="D1435" s="73" t="str">
        <f t="shared" si="36"/>
        <v>İSTANBUL BÜYÜKŞEHİR/İSTANBUL</v>
      </c>
      <c r="E1435" t="s">
        <v>1871</v>
      </c>
      <c r="F1435" t="s">
        <v>1871</v>
      </c>
      <c r="G1435" t="s">
        <v>3366</v>
      </c>
      <c r="H1435">
        <v>209391.74</v>
      </c>
      <c r="I1435">
        <v>20939.150000000001</v>
      </c>
      <c r="J1435">
        <v>30195.02</v>
      </c>
      <c r="K1435">
        <v>3019.5</v>
      </c>
      <c r="L1435">
        <v>179196.72</v>
      </c>
      <c r="M1435">
        <v>17919.650000000001</v>
      </c>
      <c r="O1435" s="79">
        <f>IFERROR(VLOOKUP(D1435,'KAPANAN BLD.'!$C$2:$D$793,2,FALSE),0)</f>
        <v>0</v>
      </c>
      <c r="P1435" s="79">
        <v>0</v>
      </c>
    </row>
    <row r="1436" spans="1:18" x14ac:dyDescent="0.25">
      <c r="A1436" t="s">
        <v>32</v>
      </c>
      <c r="B1436" s="73" t="str">
        <f>VLOOKUP(C1436,'Büyükşehir List'!$C$2:$D$31,2,FALSE)</f>
        <v>İSTANBUL BÜYÜKŞEHİR</v>
      </c>
      <c r="C1436" t="s">
        <v>29</v>
      </c>
      <c r="D1436" s="73" t="str">
        <f t="shared" si="36"/>
        <v>İSTANBUL BÜYÜKŞEHİR/İSTANBUL</v>
      </c>
      <c r="E1436" t="s">
        <v>1871</v>
      </c>
      <c r="F1436" t="s">
        <v>1871</v>
      </c>
      <c r="G1436" t="s">
        <v>3367</v>
      </c>
      <c r="H1436">
        <v>104487.41</v>
      </c>
      <c r="I1436">
        <v>10448.73</v>
      </c>
      <c r="J1436">
        <v>2594.86</v>
      </c>
      <c r="K1436">
        <v>259.48</v>
      </c>
      <c r="L1436">
        <v>101892.55</v>
      </c>
      <c r="M1436">
        <v>10189.25</v>
      </c>
      <c r="O1436" s="79">
        <f>IFERROR(VLOOKUP(D1436,'KAPANAN BLD.'!$C$2:$D$793,2,FALSE),0)</f>
        <v>0</v>
      </c>
      <c r="P1436" s="79">
        <v>0</v>
      </c>
    </row>
    <row r="1437" spans="1:18" x14ac:dyDescent="0.25">
      <c r="A1437" t="s">
        <v>32</v>
      </c>
      <c r="B1437" s="73" t="str">
        <f>VLOOKUP(C1437,'Büyükşehir List'!$C$2:$D$31,2,FALSE)</f>
        <v>İSTANBUL BÜYÜKŞEHİR</v>
      </c>
      <c r="C1437" t="s">
        <v>29</v>
      </c>
      <c r="D1437" s="73" t="str">
        <f t="shared" si="36"/>
        <v>İSTANBUL BÜYÜKŞEHİR/İSTANBUL</v>
      </c>
      <c r="E1437" t="s">
        <v>1871</v>
      </c>
      <c r="F1437" t="s">
        <v>1871</v>
      </c>
      <c r="G1437" t="s">
        <v>3367</v>
      </c>
      <c r="H1437">
        <v>89522.61</v>
      </c>
      <c r="I1437">
        <v>8952.26</v>
      </c>
      <c r="J1437">
        <v>15326.9</v>
      </c>
      <c r="K1437">
        <v>1532.69</v>
      </c>
      <c r="L1437">
        <v>74195.710000000006</v>
      </c>
      <c r="M1437">
        <v>7419.57</v>
      </c>
      <c r="O1437" s="79">
        <f>IFERROR(VLOOKUP(D1437,'KAPANAN BLD.'!$C$2:$D$793,2,FALSE),0)</f>
        <v>0</v>
      </c>
      <c r="P1437" s="79">
        <v>0</v>
      </c>
    </row>
    <row r="1438" spans="1:18" x14ac:dyDescent="0.25">
      <c r="A1438" t="s">
        <v>32</v>
      </c>
      <c r="B1438" s="73" t="str">
        <f>VLOOKUP(C1438,'Büyükşehir List'!$C$2:$D$31,2,FALSE)</f>
        <v>İSTANBUL BÜYÜKŞEHİR</v>
      </c>
      <c r="C1438" t="s">
        <v>29</v>
      </c>
      <c r="D1438" s="73" t="str">
        <f t="shared" si="36"/>
        <v>İSTANBUL BÜYÜKŞEHİR/İSTANBUL</v>
      </c>
      <c r="E1438" t="s">
        <v>1871</v>
      </c>
      <c r="F1438" t="s">
        <v>1871</v>
      </c>
      <c r="G1438" t="s">
        <v>3366</v>
      </c>
      <c r="H1438">
        <v>56880.49</v>
      </c>
      <c r="I1438">
        <v>5688.06</v>
      </c>
      <c r="J1438">
        <v>38817.4</v>
      </c>
      <c r="K1438">
        <v>3881.74</v>
      </c>
      <c r="L1438">
        <v>18063.09</v>
      </c>
      <c r="M1438">
        <v>1806.32</v>
      </c>
      <c r="O1438" s="79">
        <f>IFERROR(VLOOKUP(D1438,'KAPANAN BLD.'!$C$2:$D$793,2,FALSE),0)</f>
        <v>0</v>
      </c>
      <c r="P1438" s="79">
        <v>0</v>
      </c>
    </row>
    <row r="1439" spans="1:18" x14ac:dyDescent="0.25">
      <c r="A1439" t="s">
        <v>32</v>
      </c>
      <c r="B1439" s="73" t="str">
        <f>VLOOKUP(C1439,'Büyükşehir List'!$C$2:$D$31,2,FALSE)</f>
        <v>İSTANBUL BÜYÜKŞEHİR</v>
      </c>
      <c r="C1439" t="s">
        <v>29</v>
      </c>
      <c r="D1439" s="73" t="str">
        <f t="shared" si="36"/>
        <v>İSTANBUL BÜYÜKŞEHİR/İSTANBUL</v>
      </c>
      <c r="E1439" t="s">
        <v>1871</v>
      </c>
      <c r="F1439" t="s">
        <v>1871</v>
      </c>
      <c r="G1439" t="s">
        <v>3367</v>
      </c>
      <c r="H1439">
        <v>156168.85</v>
      </c>
      <c r="I1439">
        <v>15616.88</v>
      </c>
      <c r="J1439">
        <v>21281.84</v>
      </c>
      <c r="K1439">
        <v>2128.1799999999998</v>
      </c>
      <c r="L1439">
        <v>134887.01</v>
      </c>
      <c r="M1439">
        <v>13488.7</v>
      </c>
      <c r="O1439" s="79">
        <f>IFERROR(VLOOKUP(D1439,'KAPANAN BLD.'!$C$2:$D$793,2,FALSE),0)</f>
        <v>0</v>
      </c>
      <c r="P1439" s="79">
        <v>0</v>
      </c>
    </row>
    <row r="1440" spans="1:18" x14ac:dyDescent="0.25">
      <c r="A1440" t="s">
        <v>32</v>
      </c>
      <c r="B1440" s="73" t="str">
        <f>VLOOKUP(C1440,'Büyükşehir List'!$C$2:$D$31,2,FALSE)</f>
        <v>İSTANBUL BÜYÜKŞEHİR</v>
      </c>
      <c r="C1440" t="s">
        <v>29</v>
      </c>
      <c r="D1440" s="73" t="str">
        <f t="shared" si="36"/>
        <v>İSTANBUL BÜYÜKŞEHİR/İSTANBUL</v>
      </c>
      <c r="E1440" t="s">
        <v>1871</v>
      </c>
      <c r="F1440" t="s">
        <v>1871</v>
      </c>
      <c r="G1440" t="s">
        <v>3366</v>
      </c>
      <c r="H1440">
        <v>74447.87</v>
      </c>
      <c r="I1440">
        <v>7444.78</v>
      </c>
      <c r="J1440">
        <v>21207.24</v>
      </c>
      <c r="K1440">
        <v>2120.7199999999998</v>
      </c>
      <c r="L1440">
        <v>53240.63</v>
      </c>
      <c r="M1440">
        <v>5324.06</v>
      </c>
      <c r="O1440" s="79">
        <f>IFERROR(VLOOKUP(D1440,'KAPANAN BLD.'!$C$2:$D$793,2,FALSE),0)</f>
        <v>0</v>
      </c>
      <c r="P1440" s="79">
        <v>0</v>
      </c>
    </row>
    <row r="1441" spans="1:16" x14ac:dyDescent="0.25">
      <c r="A1441" t="s">
        <v>32</v>
      </c>
      <c r="B1441" s="73" t="str">
        <f>VLOOKUP(C1441,'Büyükşehir List'!$C$2:$D$31,2,FALSE)</f>
        <v>İSTANBUL BÜYÜKŞEHİR</v>
      </c>
      <c r="C1441" t="s">
        <v>29</v>
      </c>
      <c r="D1441" s="73" t="str">
        <f t="shared" si="36"/>
        <v>İSTANBUL BÜYÜKŞEHİR/İSTANBUL</v>
      </c>
      <c r="E1441" t="s">
        <v>111</v>
      </c>
      <c r="F1441" t="s">
        <v>111</v>
      </c>
      <c r="G1441" t="s">
        <v>3366</v>
      </c>
      <c r="H1441">
        <v>7466.9</v>
      </c>
      <c r="I1441">
        <v>746.69</v>
      </c>
      <c r="J1441">
        <v>107.1</v>
      </c>
      <c r="K1441">
        <v>10.71</v>
      </c>
      <c r="L1441">
        <v>7359.8</v>
      </c>
      <c r="M1441">
        <v>735.98</v>
      </c>
      <c r="O1441" s="79">
        <f>IFERROR(VLOOKUP(D1441,'KAPANAN BLD.'!$C$2:$D$793,2,FALSE),0)</f>
        <v>0</v>
      </c>
      <c r="P1441" s="79">
        <v>0</v>
      </c>
    </row>
    <row r="1442" spans="1:16" x14ac:dyDescent="0.25">
      <c r="A1442" t="s">
        <v>32</v>
      </c>
      <c r="B1442" s="73" t="str">
        <f>VLOOKUP(C1442,'Büyükşehir List'!$C$2:$D$31,2,FALSE)</f>
        <v>İSTANBUL BÜYÜKŞEHİR</v>
      </c>
      <c r="C1442" t="s">
        <v>29</v>
      </c>
      <c r="D1442" s="73" t="str">
        <f t="shared" si="36"/>
        <v>İSTANBUL BÜYÜKŞEHİR/İSTANBUL</v>
      </c>
      <c r="E1442" t="s">
        <v>111</v>
      </c>
      <c r="F1442" t="s">
        <v>111</v>
      </c>
      <c r="G1442" t="s">
        <v>3367</v>
      </c>
      <c r="H1442">
        <v>24146.5</v>
      </c>
      <c r="I1442">
        <v>2414.65</v>
      </c>
      <c r="J1442">
        <v>1212.5</v>
      </c>
      <c r="K1442">
        <v>121.25</v>
      </c>
      <c r="L1442">
        <v>22934</v>
      </c>
      <c r="M1442">
        <v>2293.4</v>
      </c>
      <c r="O1442" s="79">
        <f>IFERROR(VLOOKUP(D1442,'KAPANAN BLD.'!$C$2:$D$793,2,FALSE),0)</f>
        <v>0</v>
      </c>
      <c r="P1442" s="79">
        <v>0</v>
      </c>
    </row>
    <row r="1443" spans="1:16" x14ac:dyDescent="0.25">
      <c r="A1443" t="s">
        <v>32</v>
      </c>
      <c r="B1443" s="73" t="str">
        <f>VLOOKUP(C1443,'Büyükşehir List'!$C$2:$D$31,2,FALSE)</f>
        <v>İSTANBUL BÜYÜKŞEHİR</v>
      </c>
      <c r="C1443" t="s">
        <v>29</v>
      </c>
      <c r="D1443" s="73" t="str">
        <f t="shared" si="36"/>
        <v>İSTANBUL BÜYÜKŞEHİR/İSTANBUL</v>
      </c>
      <c r="E1443" t="s">
        <v>1871</v>
      </c>
      <c r="F1443" t="s">
        <v>1871</v>
      </c>
      <c r="G1443" t="s">
        <v>3367</v>
      </c>
      <c r="H1443">
        <v>246017.83</v>
      </c>
      <c r="I1443">
        <v>24601.79</v>
      </c>
      <c r="J1443">
        <v>10848.3</v>
      </c>
      <c r="K1443">
        <v>1084.83</v>
      </c>
      <c r="L1443">
        <v>235169.53</v>
      </c>
      <c r="M1443">
        <v>23516.959999999999</v>
      </c>
      <c r="O1443" s="79">
        <f>IFERROR(VLOOKUP(D1443,'KAPANAN BLD.'!$C$2:$D$793,2,FALSE),0)</f>
        <v>0</v>
      </c>
      <c r="P1443" s="79">
        <v>0</v>
      </c>
    </row>
    <row r="1444" spans="1:16" x14ac:dyDescent="0.25">
      <c r="A1444" t="s">
        <v>32</v>
      </c>
      <c r="B1444" s="73" t="str">
        <f>VLOOKUP(C1444,'Büyükşehir List'!$C$2:$D$31,2,FALSE)</f>
        <v>İSTANBUL BÜYÜKŞEHİR</v>
      </c>
      <c r="C1444" t="s">
        <v>29</v>
      </c>
      <c r="D1444" s="73" t="str">
        <f t="shared" si="36"/>
        <v>İSTANBUL BÜYÜKŞEHİR/İSTANBUL</v>
      </c>
      <c r="E1444" t="s">
        <v>1871</v>
      </c>
      <c r="F1444" t="s">
        <v>1871</v>
      </c>
      <c r="G1444" t="s">
        <v>3366</v>
      </c>
      <c r="H1444">
        <v>154199.85999999999</v>
      </c>
      <c r="I1444">
        <v>15420</v>
      </c>
      <c r="J1444">
        <v>11599.7</v>
      </c>
      <c r="K1444">
        <v>1159.97</v>
      </c>
      <c r="L1444">
        <v>142600.16</v>
      </c>
      <c r="M1444">
        <v>14260.03</v>
      </c>
      <c r="O1444" s="79">
        <f>IFERROR(VLOOKUP(D1444,'KAPANAN BLD.'!$C$2:$D$793,2,FALSE),0)</f>
        <v>0</v>
      </c>
      <c r="P1444" s="79">
        <v>0</v>
      </c>
    </row>
    <row r="1445" spans="1:16" x14ac:dyDescent="0.25">
      <c r="A1445" t="s">
        <v>32</v>
      </c>
      <c r="B1445" s="73" t="str">
        <f>VLOOKUP(C1445,'Büyükşehir List'!$C$2:$D$31,2,FALSE)</f>
        <v>İSTANBUL BÜYÜKŞEHİR</v>
      </c>
      <c r="C1445" t="s">
        <v>29</v>
      </c>
      <c r="D1445" s="73" t="str">
        <f t="shared" si="36"/>
        <v>İSTANBUL BÜYÜKŞEHİR/İSTANBUL</v>
      </c>
      <c r="E1445" t="s">
        <v>1871</v>
      </c>
      <c r="F1445" t="s">
        <v>1871</v>
      </c>
      <c r="G1445" t="s">
        <v>3367</v>
      </c>
      <c r="H1445">
        <v>133449.04999999999</v>
      </c>
      <c r="I1445">
        <v>13344.9</v>
      </c>
      <c r="J1445">
        <v>11757.9</v>
      </c>
      <c r="K1445">
        <v>1175.79</v>
      </c>
      <c r="L1445">
        <v>121691.15</v>
      </c>
      <c r="M1445">
        <v>12169.11</v>
      </c>
      <c r="O1445" s="79">
        <f>IFERROR(VLOOKUP(D1445,'KAPANAN BLD.'!$C$2:$D$793,2,FALSE),0)</f>
        <v>0</v>
      </c>
      <c r="P1445" s="79">
        <v>0</v>
      </c>
    </row>
    <row r="1446" spans="1:16" x14ac:dyDescent="0.25">
      <c r="A1446" t="s">
        <v>32</v>
      </c>
      <c r="B1446" s="73" t="str">
        <f>VLOOKUP(C1446,'Büyükşehir List'!$C$2:$D$31,2,FALSE)</f>
        <v>İSTANBUL BÜYÜKŞEHİR</v>
      </c>
      <c r="C1446" t="s">
        <v>29</v>
      </c>
      <c r="D1446" s="73" t="str">
        <f t="shared" si="36"/>
        <v>İSTANBUL BÜYÜKŞEHİR/İSTANBUL</v>
      </c>
      <c r="E1446" t="s">
        <v>1871</v>
      </c>
      <c r="F1446" t="s">
        <v>1871</v>
      </c>
      <c r="G1446" t="s">
        <v>3366</v>
      </c>
      <c r="H1446">
        <v>107573.69</v>
      </c>
      <c r="I1446">
        <v>10757.35</v>
      </c>
      <c r="J1446">
        <v>28389.1</v>
      </c>
      <c r="K1446">
        <v>2838.91</v>
      </c>
      <c r="L1446">
        <v>79184.59</v>
      </c>
      <c r="M1446">
        <v>7918.44</v>
      </c>
      <c r="O1446" s="79">
        <f>IFERROR(VLOOKUP(D1446,'KAPANAN BLD.'!$C$2:$D$793,2,FALSE),0)</f>
        <v>0</v>
      </c>
      <c r="P1446" s="79">
        <v>0</v>
      </c>
    </row>
    <row r="1447" spans="1:16" x14ac:dyDescent="0.25">
      <c r="A1447" t="s">
        <v>32</v>
      </c>
      <c r="B1447" s="73" t="str">
        <f>VLOOKUP(C1447,'Büyükşehir List'!$C$2:$D$31,2,FALSE)</f>
        <v>İSTANBUL BÜYÜKŞEHİR</v>
      </c>
      <c r="C1447" t="s">
        <v>29</v>
      </c>
      <c r="D1447" s="73" t="str">
        <f t="shared" si="36"/>
        <v>İSTANBUL BÜYÜKŞEHİR/İSTANBUL</v>
      </c>
      <c r="E1447" t="s">
        <v>1871</v>
      </c>
      <c r="F1447" t="s">
        <v>1871</v>
      </c>
      <c r="G1447" t="s">
        <v>3366</v>
      </c>
      <c r="H1447">
        <v>155625.46</v>
      </c>
      <c r="I1447">
        <v>15562.55</v>
      </c>
      <c r="J1447">
        <v>12391.99</v>
      </c>
      <c r="K1447">
        <v>1239.2</v>
      </c>
      <c r="L1447">
        <v>143233.47</v>
      </c>
      <c r="M1447">
        <v>14323.35</v>
      </c>
      <c r="O1447" s="79">
        <f>IFERROR(VLOOKUP(D1447,'KAPANAN BLD.'!$C$2:$D$793,2,FALSE),0)</f>
        <v>0</v>
      </c>
      <c r="P1447" s="79">
        <v>0</v>
      </c>
    </row>
    <row r="1448" spans="1:16" x14ac:dyDescent="0.25">
      <c r="A1448" t="s">
        <v>32</v>
      </c>
      <c r="B1448" s="73" t="str">
        <f>VLOOKUP(C1448,'Büyükşehir List'!$C$2:$D$31,2,FALSE)</f>
        <v>İSTANBUL BÜYÜKŞEHİR</v>
      </c>
      <c r="C1448" t="s">
        <v>29</v>
      </c>
      <c r="D1448" s="73" t="str">
        <f t="shared" si="36"/>
        <v>İSTANBUL BÜYÜKŞEHİR/İSTANBUL</v>
      </c>
      <c r="E1448" t="s">
        <v>1871</v>
      </c>
      <c r="F1448" t="s">
        <v>1871</v>
      </c>
      <c r="G1448" t="s">
        <v>3367</v>
      </c>
      <c r="H1448">
        <v>49149.93</v>
      </c>
      <c r="I1448">
        <v>4915.01</v>
      </c>
      <c r="J1448">
        <v>5284.82</v>
      </c>
      <c r="K1448">
        <v>528.49</v>
      </c>
      <c r="L1448">
        <v>43865.11</v>
      </c>
      <c r="M1448">
        <v>4386.5200000000004</v>
      </c>
      <c r="O1448" s="79">
        <f>IFERROR(VLOOKUP(D1448,'KAPANAN BLD.'!$C$2:$D$793,2,FALSE),0)</f>
        <v>0</v>
      </c>
      <c r="P1448" s="79">
        <v>0</v>
      </c>
    </row>
    <row r="1449" spans="1:16" x14ac:dyDescent="0.25">
      <c r="A1449" t="s">
        <v>32</v>
      </c>
      <c r="B1449" s="73" t="str">
        <f>VLOOKUP(C1449,'Büyükşehir List'!$C$2:$D$31,2,FALSE)</f>
        <v>İSTANBUL BÜYÜKŞEHİR</v>
      </c>
      <c r="C1449" t="s">
        <v>29</v>
      </c>
      <c r="D1449" s="73" t="str">
        <f t="shared" si="36"/>
        <v>İSTANBUL BÜYÜKŞEHİR/İSTANBUL</v>
      </c>
      <c r="E1449" t="s">
        <v>1871</v>
      </c>
      <c r="F1449" t="s">
        <v>1871</v>
      </c>
      <c r="G1449" t="s">
        <v>3367</v>
      </c>
      <c r="H1449">
        <v>237094.43</v>
      </c>
      <c r="I1449">
        <v>23709.45</v>
      </c>
      <c r="J1449">
        <v>11137.03</v>
      </c>
      <c r="K1449">
        <v>1113.69</v>
      </c>
      <c r="L1449">
        <v>225957.4</v>
      </c>
      <c r="M1449">
        <v>22595.759999999998</v>
      </c>
      <c r="O1449" s="79">
        <f>IFERROR(VLOOKUP(D1449,'KAPANAN BLD.'!$C$2:$D$793,2,FALSE),0)</f>
        <v>0</v>
      </c>
      <c r="P1449" s="79">
        <v>0</v>
      </c>
    </row>
    <row r="1450" spans="1:16" x14ac:dyDescent="0.25">
      <c r="A1450" t="s">
        <v>32</v>
      </c>
      <c r="B1450" s="73" t="str">
        <f>VLOOKUP(C1450,'Büyükşehir List'!$C$2:$D$31,2,FALSE)</f>
        <v>İSTANBUL BÜYÜKŞEHİR</v>
      </c>
      <c r="C1450" t="s">
        <v>29</v>
      </c>
      <c r="D1450" s="73" t="str">
        <f t="shared" si="36"/>
        <v>İSTANBUL BÜYÜKŞEHİR/İSTANBUL</v>
      </c>
      <c r="E1450" t="s">
        <v>1871</v>
      </c>
      <c r="F1450" t="s">
        <v>1871</v>
      </c>
      <c r="G1450" t="s">
        <v>3366</v>
      </c>
      <c r="H1450">
        <v>321524.51</v>
      </c>
      <c r="I1450">
        <v>32152.46</v>
      </c>
      <c r="J1450">
        <v>56777.96</v>
      </c>
      <c r="K1450">
        <v>5677.8</v>
      </c>
      <c r="L1450">
        <v>264746.55</v>
      </c>
      <c r="M1450">
        <v>26474.66</v>
      </c>
      <c r="O1450" s="79">
        <f>IFERROR(VLOOKUP(D1450,'KAPANAN BLD.'!$C$2:$D$793,2,FALSE),0)</f>
        <v>0</v>
      </c>
      <c r="P1450" s="79">
        <v>0</v>
      </c>
    </row>
    <row r="1451" spans="1:16" x14ac:dyDescent="0.25">
      <c r="A1451" t="s">
        <v>32</v>
      </c>
      <c r="B1451" s="73" t="str">
        <f>VLOOKUP(C1451,'Büyükşehir List'!$C$2:$D$31,2,FALSE)</f>
        <v>İSTANBUL BÜYÜKŞEHİR</v>
      </c>
      <c r="C1451" t="s">
        <v>29</v>
      </c>
      <c r="D1451" s="73" t="str">
        <f t="shared" si="36"/>
        <v>İSTANBUL BÜYÜKŞEHİR/İSTANBUL</v>
      </c>
      <c r="E1451" t="s">
        <v>1871</v>
      </c>
      <c r="F1451" t="s">
        <v>1871</v>
      </c>
      <c r="G1451" t="s">
        <v>3366</v>
      </c>
      <c r="H1451">
        <v>13173.9</v>
      </c>
      <c r="I1451">
        <v>1317.39</v>
      </c>
      <c r="J1451">
        <v>4799.3999999999996</v>
      </c>
      <c r="K1451">
        <v>479.94</v>
      </c>
      <c r="L1451">
        <v>8374.5</v>
      </c>
      <c r="M1451">
        <v>837.45</v>
      </c>
      <c r="O1451" s="79">
        <f>IFERROR(VLOOKUP(D1451,'KAPANAN BLD.'!$C$2:$D$793,2,FALSE),0)</f>
        <v>0</v>
      </c>
      <c r="P1451" s="79">
        <v>0</v>
      </c>
    </row>
    <row r="1452" spans="1:16" x14ac:dyDescent="0.25">
      <c r="A1452" t="s">
        <v>32</v>
      </c>
      <c r="B1452" s="73" t="str">
        <f>VLOOKUP(C1452,'Büyükşehir List'!$C$2:$D$31,2,FALSE)</f>
        <v>İSTANBUL BÜYÜKŞEHİR</v>
      </c>
      <c r="C1452" t="s">
        <v>29</v>
      </c>
      <c r="D1452" s="73" t="str">
        <f t="shared" si="36"/>
        <v>İSTANBUL BÜYÜKŞEHİR/İSTANBUL</v>
      </c>
      <c r="E1452" t="s">
        <v>1871</v>
      </c>
      <c r="F1452" t="s">
        <v>1871</v>
      </c>
      <c r="G1452" t="s">
        <v>3367</v>
      </c>
      <c r="H1452">
        <v>16275.8</v>
      </c>
      <c r="I1452">
        <v>1627.58</v>
      </c>
      <c r="J1452">
        <v>2282.8000000000002</v>
      </c>
      <c r="K1452">
        <v>228.28</v>
      </c>
      <c r="L1452">
        <v>13993</v>
      </c>
      <c r="M1452">
        <v>1399.3</v>
      </c>
      <c r="O1452" s="79">
        <f>IFERROR(VLOOKUP(D1452,'KAPANAN BLD.'!$C$2:$D$793,2,FALSE),0)</f>
        <v>0</v>
      </c>
      <c r="P1452" s="79">
        <v>0</v>
      </c>
    </row>
    <row r="1453" spans="1:16" x14ac:dyDescent="0.25">
      <c r="A1453" t="s">
        <v>32</v>
      </c>
      <c r="B1453" s="73" t="str">
        <f>VLOOKUP(C1453,'Büyükşehir List'!$C$2:$D$31,2,FALSE)</f>
        <v>İSTANBUL BÜYÜKŞEHİR</v>
      </c>
      <c r="C1453" t="s">
        <v>29</v>
      </c>
      <c r="D1453" s="73" t="str">
        <f t="shared" si="36"/>
        <v>İSTANBUL BÜYÜKŞEHİR/İSTANBUL</v>
      </c>
      <c r="E1453" t="s">
        <v>1871</v>
      </c>
      <c r="F1453" t="s">
        <v>1871</v>
      </c>
      <c r="G1453" t="s">
        <v>3367</v>
      </c>
      <c r="H1453">
        <v>12331.8</v>
      </c>
      <c r="I1453">
        <v>1233.18</v>
      </c>
      <c r="J1453">
        <v>511.2</v>
      </c>
      <c r="K1453">
        <v>51.12</v>
      </c>
      <c r="L1453">
        <v>11820.6</v>
      </c>
      <c r="M1453">
        <v>1182.06</v>
      </c>
      <c r="O1453" s="79">
        <f>IFERROR(VLOOKUP(D1453,'KAPANAN BLD.'!$C$2:$D$793,2,FALSE),0)</f>
        <v>0</v>
      </c>
      <c r="P1453" s="79">
        <v>0</v>
      </c>
    </row>
    <row r="1454" spans="1:16" x14ac:dyDescent="0.25">
      <c r="A1454" t="s">
        <v>32</v>
      </c>
      <c r="B1454" s="73" t="str">
        <f>VLOOKUP(C1454,'Büyükşehir List'!$C$2:$D$31,2,FALSE)</f>
        <v>İSTANBUL BÜYÜKŞEHİR</v>
      </c>
      <c r="C1454" t="s">
        <v>29</v>
      </c>
      <c r="D1454" s="73" t="str">
        <f t="shared" si="36"/>
        <v>İSTANBUL BÜYÜKŞEHİR/İSTANBUL</v>
      </c>
      <c r="E1454" t="s">
        <v>1871</v>
      </c>
      <c r="F1454" t="s">
        <v>1871</v>
      </c>
      <c r="G1454" t="s">
        <v>3366</v>
      </c>
      <c r="H1454">
        <v>45570.400000000001</v>
      </c>
      <c r="I1454">
        <v>4557.04</v>
      </c>
      <c r="J1454">
        <v>1015.9</v>
      </c>
      <c r="K1454">
        <v>101.59</v>
      </c>
      <c r="L1454">
        <v>44554.5</v>
      </c>
      <c r="M1454">
        <v>4455.45</v>
      </c>
      <c r="O1454" s="79">
        <f>IFERROR(VLOOKUP(D1454,'KAPANAN BLD.'!$C$2:$D$793,2,FALSE),0)</f>
        <v>0</v>
      </c>
      <c r="P1454" s="79">
        <v>0</v>
      </c>
    </row>
    <row r="1455" spans="1:16" x14ac:dyDescent="0.25">
      <c r="A1455" t="s">
        <v>32</v>
      </c>
      <c r="B1455" s="73" t="str">
        <f>VLOOKUP(C1455,'Büyükşehir List'!$C$2:$D$31,2,FALSE)</f>
        <v>İSTANBUL BÜYÜKŞEHİR</v>
      </c>
      <c r="C1455" t="s">
        <v>29</v>
      </c>
      <c r="D1455" s="73" t="str">
        <f t="shared" si="36"/>
        <v>İSTANBUL BÜYÜKŞEHİR/İSTANBUL</v>
      </c>
      <c r="E1455" t="s">
        <v>3770</v>
      </c>
      <c r="F1455" t="s">
        <v>3770</v>
      </c>
      <c r="G1455" t="s">
        <v>3366</v>
      </c>
      <c r="H1455">
        <v>121069.15</v>
      </c>
      <c r="I1455">
        <v>12106.92</v>
      </c>
      <c r="J1455">
        <v>30487.200000000001</v>
      </c>
      <c r="K1455">
        <v>3048.72</v>
      </c>
      <c r="L1455">
        <v>90581.95</v>
      </c>
      <c r="M1455">
        <v>9058.2000000000007</v>
      </c>
      <c r="O1455" s="79">
        <f>IFERROR(VLOOKUP(D1455,'KAPANAN BLD.'!$C$2:$D$793,2,FALSE),0)</f>
        <v>0</v>
      </c>
      <c r="P1455" s="79">
        <v>0</v>
      </c>
    </row>
    <row r="1456" spans="1:16" x14ac:dyDescent="0.25">
      <c r="A1456" t="s">
        <v>32</v>
      </c>
      <c r="B1456" s="73" t="str">
        <f>VLOOKUP(C1456,'Büyükşehir List'!$C$2:$D$31,2,FALSE)</f>
        <v>İSTANBUL BÜYÜKŞEHİR</v>
      </c>
      <c r="C1456" t="s">
        <v>29</v>
      </c>
      <c r="D1456" s="73" t="str">
        <f t="shared" si="36"/>
        <v>İSTANBUL BÜYÜKŞEHİR/İSTANBUL</v>
      </c>
      <c r="E1456" t="s">
        <v>3770</v>
      </c>
      <c r="F1456" t="s">
        <v>3770</v>
      </c>
      <c r="G1456" t="s">
        <v>3367</v>
      </c>
      <c r="H1456">
        <v>130800.39</v>
      </c>
      <c r="I1456">
        <v>13080.06</v>
      </c>
      <c r="J1456">
        <v>6839.39</v>
      </c>
      <c r="K1456">
        <v>683.93</v>
      </c>
      <c r="L1456">
        <v>123961</v>
      </c>
      <c r="M1456">
        <v>12396.13</v>
      </c>
      <c r="O1456" s="79">
        <f>IFERROR(VLOOKUP(D1456,'KAPANAN BLD.'!$C$2:$D$793,2,FALSE),0)</f>
        <v>0</v>
      </c>
      <c r="P1456" s="79">
        <v>0</v>
      </c>
    </row>
    <row r="1457" spans="1:16" x14ac:dyDescent="0.25">
      <c r="A1457" t="s">
        <v>32</v>
      </c>
      <c r="B1457" s="73" t="str">
        <f>VLOOKUP(C1457,'Büyükşehir List'!$C$2:$D$31,2,FALSE)</f>
        <v>İSTANBUL BÜYÜKŞEHİR</v>
      </c>
      <c r="C1457" t="s">
        <v>29</v>
      </c>
      <c r="D1457" s="73" t="str">
        <f t="shared" si="36"/>
        <v>İSTANBUL BÜYÜKŞEHİR/İSTANBUL</v>
      </c>
      <c r="E1457" t="s">
        <v>1871</v>
      </c>
      <c r="F1457" t="s">
        <v>1871</v>
      </c>
      <c r="G1457" t="s">
        <v>3366</v>
      </c>
      <c r="H1457">
        <v>37073.800000000003</v>
      </c>
      <c r="I1457">
        <v>3707.38</v>
      </c>
      <c r="J1457">
        <v>2044.7</v>
      </c>
      <c r="K1457">
        <v>204.47</v>
      </c>
      <c r="L1457">
        <v>35029.1</v>
      </c>
      <c r="M1457">
        <v>3502.91</v>
      </c>
      <c r="O1457" s="79">
        <f>IFERROR(VLOOKUP(D1457,'KAPANAN BLD.'!$C$2:$D$793,2,FALSE),0)</f>
        <v>0</v>
      </c>
      <c r="P1457" s="79">
        <v>0</v>
      </c>
    </row>
    <row r="1458" spans="1:16" x14ac:dyDescent="0.25">
      <c r="A1458" t="s">
        <v>32</v>
      </c>
      <c r="B1458" s="73" t="str">
        <f>VLOOKUP(C1458,'Büyükşehir List'!$C$2:$D$31,2,FALSE)</f>
        <v>İSTANBUL BÜYÜKŞEHİR</v>
      </c>
      <c r="C1458" t="s">
        <v>29</v>
      </c>
      <c r="D1458" s="73" t="str">
        <f t="shared" si="36"/>
        <v>İSTANBUL BÜYÜKŞEHİR/İSTANBUL</v>
      </c>
      <c r="E1458" t="s">
        <v>1871</v>
      </c>
      <c r="F1458" t="s">
        <v>1871</v>
      </c>
      <c r="G1458" t="s">
        <v>3367</v>
      </c>
      <c r="H1458">
        <v>36982.400000000001</v>
      </c>
      <c r="I1458">
        <v>3698.24</v>
      </c>
      <c r="J1458">
        <v>344.9</v>
      </c>
      <c r="K1458">
        <v>34.49</v>
      </c>
      <c r="L1458">
        <v>36637.5</v>
      </c>
      <c r="M1458">
        <v>3663.75</v>
      </c>
      <c r="O1458" s="79">
        <f>IFERROR(VLOOKUP(D1458,'KAPANAN BLD.'!$C$2:$D$793,2,FALSE),0)</f>
        <v>0</v>
      </c>
      <c r="P1458" s="79">
        <v>0</v>
      </c>
    </row>
    <row r="1459" spans="1:16" x14ac:dyDescent="0.25">
      <c r="A1459" t="s">
        <v>32</v>
      </c>
      <c r="B1459" s="73" t="str">
        <f>VLOOKUP(C1459,'Büyükşehir List'!$C$2:$D$31,2,FALSE)</f>
        <v>İSTANBUL BÜYÜKŞEHİR</v>
      </c>
      <c r="C1459" t="s">
        <v>29</v>
      </c>
      <c r="D1459" s="73" t="str">
        <f t="shared" si="36"/>
        <v>İSTANBUL BÜYÜKŞEHİR/İSTANBUL</v>
      </c>
      <c r="E1459" t="s">
        <v>1871</v>
      </c>
      <c r="F1459" t="s">
        <v>1871</v>
      </c>
      <c r="G1459" t="s">
        <v>3367</v>
      </c>
      <c r="H1459">
        <v>12023.07</v>
      </c>
      <c r="I1459">
        <v>1202.3</v>
      </c>
      <c r="J1459">
        <v>9.4</v>
      </c>
      <c r="K1459">
        <v>0.94</v>
      </c>
      <c r="L1459">
        <v>12013.67</v>
      </c>
      <c r="M1459">
        <v>1201.3599999999999</v>
      </c>
      <c r="O1459" s="79">
        <f>IFERROR(VLOOKUP(D1459,'KAPANAN BLD.'!$C$2:$D$793,2,FALSE),0)</f>
        <v>0</v>
      </c>
      <c r="P1459" s="79">
        <v>0</v>
      </c>
    </row>
    <row r="1460" spans="1:16" x14ac:dyDescent="0.25">
      <c r="A1460" t="s">
        <v>32</v>
      </c>
      <c r="B1460" s="73" t="str">
        <f>VLOOKUP(C1460,'Büyükşehir List'!$C$2:$D$31,2,FALSE)</f>
        <v>İSTANBUL BÜYÜKŞEHİR</v>
      </c>
      <c r="C1460" t="s">
        <v>29</v>
      </c>
      <c r="D1460" s="73" t="str">
        <f t="shared" si="36"/>
        <v>İSTANBUL BÜYÜKŞEHİR/İSTANBUL</v>
      </c>
      <c r="E1460" t="s">
        <v>1871</v>
      </c>
      <c r="F1460" t="s">
        <v>1871</v>
      </c>
      <c r="G1460" t="s">
        <v>3366</v>
      </c>
      <c r="H1460">
        <v>5804.63</v>
      </c>
      <c r="I1460">
        <v>580.46</v>
      </c>
      <c r="J1460">
        <v>1668.8</v>
      </c>
      <c r="K1460">
        <v>166.88</v>
      </c>
      <c r="L1460">
        <v>4135.83</v>
      </c>
      <c r="M1460">
        <v>413.58</v>
      </c>
      <c r="O1460" s="79">
        <f>IFERROR(VLOOKUP(D1460,'KAPANAN BLD.'!$C$2:$D$793,2,FALSE),0)</f>
        <v>0</v>
      </c>
      <c r="P1460" s="79">
        <v>0</v>
      </c>
    </row>
    <row r="1461" spans="1:16" x14ac:dyDescent="0.25">
      <c r="A1461" t="s">
        <v>32</v>
      </c>
      <c r="B1461" s="73" t="str">
        <f>VLOOKUP(C1461,'Büyükşehir List'!$C$2:$D$31,2,FALSE)</f>
        <v>İSTANBUL BÜYÜKŞEHİR</v>
      </c>
      <c r="C1461" t="s">
        <v>29</v>
      </c>
      <c r="D1461" s="73" t="str">
        <f t="shared" si="36"/>
        <v>İSTANBUL BÜYÜKŞEHİR/İSTANBUL</v>
      </c>
      <c r="E1461" t="s">
        <v>1871</v>
      </c>
      <c r="F1461" t="s">
        <v>1871</v>
      </c>
      <c r="G1461" t="s">
        <v>3367</v>
      </c>
      <c r="H1461">
        <v>311368.84000000003</v>
      </c>
      <c r="I1461">
        <v>31136.89</v>
      </c>
      <c r="J1461">
        <v>13225.7</v>
      </c>
      <c r="K1461">
        <v>1322.57</v>
      </c>
      <c r="L1461">
        <v>298143.14</v>
      </c>
      <c r="M1461">
        <v>29814.32</v>
      </c>
      <c r="O1461" s="79">
        <f>IFERROR(VLOOKUP(D1461,'KAPANAN BLD.'!$C$2:$D$793,2,FALSE),0)</f>
        <v>0</v>
      </c>
      <c r="P1461" s="79">
        <v>0</v>
      </c>
    </row>
    <row r="1462" spans="1:16" x14ac:dyDescent="0.25">
      <c r="A1462" t="s">
        <v>32</v>
      </c>
      <c r="B1462" s="73" t="str">
        <f>VLOOKUP(C1462,'Büyükşehir List'!$C$2:$D$31,2,FALSE)</f>
        <v>İSTANBUL BÜYÜKŞEHİR</v>
      </c>
      <c r="C1462" t="s">
        <v>29</v>
      </c>
      <c r="D1462" s="73" t="str">
        <f t="shared" si="36"/>
        <v>İSTANBUL BÜYÜKŞEHİR/İSTANBUL</v>
      </c>
      <c r="E1462" t="s">
        <v>1871</v>
      </c>
      <c r="F1462" t="s">
        <v>1871</v>
      </c>
      <c r="G1462" t="s">
        <v>3366</v>
      </c>
      <c r="H1462">
        <v>221569.95</v>
      </c>
      <c r="I1462">
        <v>22157</v>
      </c>
      <c r="J1462">
        <v>9493.3799999999992</v>
      </c>
      <c r="K1462">
        <v>949.33</v>
      </c>
      <c r="L1462">
        <v>212076.57</v>
      </c>
      <c r="M1462">
        <v>21207.67</v>
      </c>
      <c r="O1462" s="79">
        <f>IFERROR(VLOOKUP(D1462,'KAPANAN BLD.'!$C$2:$D$793,2,FALSE),0)</f>
        <v>0</v>
      </c>
      <c r="P1462" s="79">
        <v>0</v>
      </c>
    </row>
    <row r="1463" spans="1:16" x14ac:dyDescent="0.25">
      <c r="A1463" t="s">
        <v>32</v>
      </c>
      <c r="B1463" s="73" t="str">
        <f>VLOOKUP(C1463,'Büyükşehir List'!$C$2:$D$31,2,FALSE)</f>
        <v>İSTANBUL BÜYÜKŞEHİR</v>
      </c>
      <c r="C1463" t="s">
        <v>29</v>
      </c>
      <c r="D1463" s="73" t="str">
        <f t="shared" si="36"/>
        <v>İSTANBUL BÜYÜKŞEHİR/İSTANBUL</v>
      </c>
      <c r="E1463" t="s">
        <v>1871</v>
      </c>
      <c r="F1463" t="s">
        <v>1871</v>
      </c>
      <c r="G1463" t="s">
        <v>3367</v>
      </c>
      <c r="H1463">
        <v>127314.65</v>
      </c>
      <c r="I1463">
        <v>12731.46</v>
      </c>
      <c r="J1463">
        <v>7166.64</v>
      </c>
      <c r="K1463">
        <v>716.66</v>
      </c>
      <c r="L1463">
        <v>120148.01</v>
      </c>
      <c r="M1463">
        <v>12014.8</v>
      </c>
      <c r="O1463" s="79">
        <f>IFERROR(VLOOKUP(D1463,'KAPANAN BLD.'!$C$2:$D$793,2,FALSE),0)</f>
        <v>0</v>
      </c>
      <c r="P1463" s="79">
        <v>0</v>
      </c>
    </row>
    <row r="1464" spans="1:16" x14ac:dyDescent="0.25">
      <c r="A1464" t="s">
        <v>32</v>
      </c>
      <c r="B1464" s="73" t="str">
        <f>VLOOKUP(C1464,'Büyükşehir List'!$C$2:$D$31,2,FALSE)</f>
        <v>İSTANBUL BÜYÜKŞEHİR</v>
      </c>
      <c r="C1464" t="s">
        <v>29</v>
      </c>
      <c r="D1464" s="73" t="str">
        <f t="shared" si="36"/>
        <v>İSTANBUL BÜYÜKŞEHİR/İSTANBUL</v>
      </c>
      <c r="E1464" t="s">
        <v>1871</v>
      </c>
      <c r="F1464" t="s">
        <v>1871</v>
      </c>
      <c r="G1464" t="s">
        <v>3366</v>
      </c>
      <c r="H1464">
        <v>227150.56</v>
      </c>
      <c r="I1464">
        <v>22715.05</v>
      </c>
      <c r="J1464">
        <v>19447.55</v>
      </c>
      <c r="K1464">
        <v>1944.75</v>
      </c>
      <c r="L1464">
        <v>207703.01</v>
      </c>
      <c r="M1464">
        <v>20770.3</v>
      </c>
      <c r="O1464" s="79">
        <f>IFERROR(VLOOKUP(D1464,'KAPANAN BLD.'!$C$2:$D$793,2,FALSE),0)</f>
        <v>0</v>
      </c>
      <c r="P1464" s="79">
        <v>0</v>
      </c>
    </row>
    <row r="1465" spans="1:16" x14ac:dyDescent="0.25">
      <c r="A1465" t="s">
        <v>32</v>
      </c>
      <c r="B1465" s="73" t="str">
        <f>VLOOKUP(C1465,'Büyükşehir List'!$C$2:$D$31,2,FALSE)</f>
        <v>İSTANBUL BÜYÜKŞEHİR</v>
      </c>
      <c r="C1465" t="s">
        <v>29</v>
      </c>
      <c r="D1465" s="73" t="str">
        <f t="shared" si="36"/>
        <v>İSTANBUL BÜYÜKŞEHİR/İSTANBUL</v>
      </c>
      <c r="E1465" t="s">
        <v>1871</v>
      </c>
      <c r="F1465" t="s">
        <v>1871</v>
      </c>
      <c r="G1465" t="s">
        <v>3366</v>
      </c>
      <c r="H1465">
        <v>93285.35</v>
      </c>
      <c r="I1465">
        <v>9328.5499999999993</v>
      </c>
      <c r="J1465">
        <v>29100.81</v>
      </c>
      <c r="K1465">
        <v>2910.09</v>
      </c>
      <c r="L1465">
        <v>64184.54</v>
      </c>
      <c r="M1465">
        <v>6418.46</v>
      </c>
      <c r="O1465" s="79">
        <f>IFERROR(VLOOKUP(D1465,'KAPANAN BLD.'!$C$2:$D$793,2,FALSE),0)</f>
        <v>0</v>
      </c>
      <c r="P1465" s="79">
        <v>0</v>
      </c>
    </row>
    <row r="1466" spans="1:16" x14ac:dyDescent="0.25">
      <c r="A1466" t="s">
        <v>32</v>
      </c>
      <c r="B1466" s="73" t="str">
        <f>VLOOKUP(C1466,'Büyükşehir List'!$C$2:$D$31,2,FALSE)</f>
        <v>İSTANBUL BÜYÜKŞEHİR</v>
      </c>
      <c r="C1466" t="s">
        <v>29</v>
      </c>
      <c r="D1466" s="73" t="str">
        <f t="shared" si="36"/>
        <v>İSTANBUL BÜYÜKŞEHİR/İSTANBUL</v>
      </c>
      <c r="E1466" t="s">
        <v>1871</v>
      </c>
      <c r="F1466" t="s">
        <v>1871</v>
      </c>
      <c r="G1466" t="s">
        <v>3367</v>
      </c>
      <c r="H1466">
        <v>109343.35</v>
      </c>
      <c r="I1466">
        <v>10934.34</v>
      </c>
      <c r="J1466">
        <v>1489.98</v>
      </c>
      <c r="K1466">
        <v>148.97999999999999</v>
      </c>
      <c r="L1466">
        <v>107853.37</v>
      </c>
      <c r="M1466">
        <v>10785.36</v>
      </c>
      <c r="O1466" s="79">
        <f>IFERROR(VLOOKUP(D1466,'KAPANAN BLD.'!$C$2:$D$793,2,FALSE),0)</f>
        <v>0</v>
      </c>
      <c r="P1466" s="79">
        <v>0</v>
      </c>
    </row>
    <row r="1467" spans="1:16" x14ac:dyDescent="0.25">
      <c r="A1467" t="s">
        <v>32</v>
      </c>
      <c r="B1467" s="73" t="str">
        <f>VLOOKUP(C1467,'Büyükşehir List'!$C$2:$D$31,2,FALSE)</f>
        <v>İSTANBUL BÜYÜKŞEHİR</v>
      </c>
      <c r="C1467" t="s">
        <v>29</v>
      </c>
      <c r="D1467" s="73" t="str">
        <f t="shared" si="36"/>
        <v>İSTANBUL BÜYÜKŞEHİR/İSTANBUL</v>
      </c>
      <c r="E1467" t="s">
        <v>1871</v>
      </c>
      <c r="F1467" t="s">
        <v>1871</v>
      </c>
      <c r="G1467" t="s">
        <v>3367</v>
      </c>
      <c r="H1467">
        <v>447452.61</v>
      </c>
      <c r="I1467">
        <v>44745.25</v>
      </c>
      <c r="J1467">
        <v>121772.74</v>
      </c>
      <c r="K1467">
        <v>12177.26</v>
      </c>
      <c r="L1467">
        <v>325679.87</v>
      </c>
      <c r="M1467">
        <v>32567.99</v>
      </c>
      <c r="O1467" s="79">
        <f>IFERROR(VLOOKUP(D1467,'KAPANAN BLD.'!$C$2:$D$793,2,FALSE),0)</f>
        <v>0</v>
      </c>
      <c r="P1467" s="79">
        <v>0</v>
      </c>
    </row>
    <row r="1468" spans="1:16" x14ac:dyDescent="0.25">
      <c r="A1468" t="s">
        <v>32</v>
      </c>
      <c r="B1468" s="73" t="str">
        <f>VLOOKUP(C1468,'Büyükşehir List'!$C$2:$D$31,2,FALSE)</f>
        <v>İSTANBUL BÜYÜKŞEHİR</v>
      </c>
      <c r="C1468" t="s">
        <v>29</v>
      </c>
      <c r="D1468" s="73" t="str">
        <f t="shared" si="36"/>
        <v>İSTANBUL BÜYÜKŞEHİR/İSTANBUL</v>
      </c>
      <c r="E1468" t="s">
        <v>1871</v>
      </c>
      <c r="F1468" t="s">
        <v>1871</v>
      </c>
      <c r="G1468" t="s">
        <v>3366</v>
      </c>
      <c r="H1468">
        <v>119076</v>
      </c>
      <c r="I1468">
        <v>11907.58</v>
      </c>
      <c r="J1468">
        <v>31255.599999999999</v>
      </c>
      <c r="K1468">
        <v>3125.54</v>
      </c>
      <c r="L1468">
        <v>87820.4</v>
      </c>
      <c r="M1468">
        <v>8782.0400000000009</v>
      </c>
      <c r="O1468" s="79">
        <f>IFERROR(VLOOKUP(D1468,'KAPANAN BLD.'!$C$2:$D$793,2,FALSE),0)</f>
        <v>0</v>
      </c>
      <c r="P1468" s="79">
        <v>0</v>
      </c>
    </row>
    <row r="1469" spans="1:16" x14ac:dyDescent="0.25">
      <c r="A1469" t="s">
        <v>32</v>
      </c>
      <c r="B1469" s="73" t="str">
        <f>VLOOKUP(C1469,'Büyükşehir List'!$C$2:$D$31,2,FALSE)</f>
        <v>İSTANBUL BÜYÜKŞEHİR</v>
      </c>
      <c r="C1469" t="s">
        <v>29</v>
      </c>
      <c r="D1469" s="73" t="str">
        <f t="shared" si="36"/>
        <v>İSTANBUL BÜYÜKŞEHİR/İSTANBUL</v>
      </c>
      <c r="E1469" t="s">
        <v>1871</v>
      </c>
      <c r="F1469" t="s">
        <v>1871</v>
      </c>
      <c r="G1469" t="s">
        <v>3366</v>
      </c>
      <c r="H1469">
        <v>196844.12</v>
      </c>
      <c r="I1469">
        <v>19684.41</v>
      </c>
      <c r="J1469">
        <v>6045.1</v>
      </c>
      <c r="K1469">
        <v>604.51</v>
      </c>
      <c r="L1469">
        <v>190799.02</v>
      </c>
      <c r="M1469">
        <v>19079.900000000001</v>
      </c>
      <c r="O1469" s="79">
        <f>IFERROR(VLOOKUP(D1469,'KAPANAN BLD.'!$C$2:$D$793,2,FALSE),0)</f>
        <v>0</v>
      </c>
      <c r="P1469" s="79">
        <v>0</v>
      </c>
    </row>
    <row r="1470" spans="1:16" x14ac:dyDescent="0.25">
      <c r="A1470" t="s">
        <v>32</v>
      </c>
      <c r="B1470" s="73" t="str">
        <f>VLOOKUP(C1470,'Büyükşehir List'!$C$2:$D$31,2,FALSE)</f>
        <v>İSTANBUL BÜYÜKŞEHİR</v>
      </c>
      <c r="C1470" t="s">
        <v>29</v>
      </c>
      <c r="D1470" s="73" t="str">
        <f t="shared" si="36"/>
        <v>İSTANBUL BÜYÜKŞEHİR/İSTANBUL</v>
      </c>
      <c r="E1470" t="s">
        <v>1871</v>
      </c>
      <c r="F1470" t="s">
        <v>1871</v>
      </c>
      <c r="G1470" t="s">
        <v>3367</v>
      </c>
      <c r="H1470">
        <v>72231.070000000007</v>
      </c>
      <c r="I1470">
        <v>7223.11</v>
      </c>
      <c r="J1470">
        <v>33496.6</v>
      </c>
      <c r="K1470">
        <v>3349.66</v>
      </c>
      <c r="L1470">
        <v>38734.47</v>
      </c>
      <c r="M1470">
        <v>3873.45</v>
      </c>
      <c r="O1470" s="79">
        <f>IFERROR(VLOOKUP(D1470,'KAPANAN BLD.'!$C$2:$D$793,2,FALSE),0)</f>
        <v>0</v>
      </c>
      <c r="P1470" s="79">
        <v>0</v>
      </c>
    </row>
    <row r="1471" spans="1:16" x14ac:dyDescent="0.25">
      <c r="A1471" t="s">
        <v>32</v>
      </c>
      <c r="B1471" s="73" t="str">
        <f>VLOOKUP(C1471,'Büyükşehir List'!$C$2:$D$31,2,FALSE)</f>
        <v>İZMİR BÜYÜKŞEHİR</v>
      </c>
      <c r="C1471" t="s">
        <v>112</v>
      </c>
      <c r="D1471" s="73" t="str">
        <f t="shared" si="36"/>
        <v>İZMİR BÜYÜKŞEHİR/İZMİR</v>
      </c>
      <c r="E1471" t="s">
        <v>185</v>
      </c>
      <c r="F1471" t="s">
        <v>185</v>
      </c>
      <c r="G1471" t="s">
        <v>3367</v>
      </c>
      <c r="H1471">
        <v>65696.240000000005</v>
      </c>
      <c r="I1471">
        <v>6569.62</v>
      </c>
      <c r="J1471">
        <v>5086.2</v>
      </c>
      <c r="K1471">
        <v>508.62</v>
      </c>
      <c r="L1471">
        <v>60610.04</v>
      </c>
      <c r="M1471">
        <v>6061</v>
      </c>
      <c r="O1471" s="79">
        <f>IFERROR(VLOOKUP(D1471,'KAPANAN BLD.'!$C$2:$D$793,2,FALSE),0)</f>
        <v>0</v>
      </c>
      <c r="P1471" s="79">
        <v>0</v>
      </c>
    </row>
    <row r="1472" spans="1:16" x14ac:dyDescent="0.25">
      <c r="A1472" t="s">
        <v>32</v>
      </c>
      <c r="B1472" s="73" t="str">
        <f>VLOOKUP(C1472,'Büyükşehir List'!$C$2:$D$31,2,FALSE)</f>
        <v>İZMİR BÜYÜKŞEHİR</v>
      </c>
      <c r="C1472" t="s">
        <v>112</v>
      </c>
      <c r="D1472" s="73" t="str">
        <f t="shared" si="36"/>
        <v>İZMİR BÜYÜKŞEHİR/İZMİR</v>
      </c>
      <c r="E1472" t="s">
        <v>185</v>
      </c>
      <c r="F1472" t="s">
        <v>185</v>
      </c>
      <c r="G1472" t="s">
        <v>3366</v>
      </c>
      <c r="H1472">
        <v>35621.769999999997</v>
      </c>
      <c r="I1472">
        <v>3562.17</v>
      </c>
      <c r="J1472">
        <v>4001.9</v>
      </c>
      <c r="K1472">
        <v>400.19</v>
      </c>
      <c r="L1472">
        <v>31619.87</v>
      </c>
      <c r="M1472">
        <v>3161.98</v>
      </c>
      <c r="O1472" s="79">
        <f>IFERROR(VLOOKUP(D1472,'KAPANAN BLD.'!$C$2:$D$793,2,FALSE),0)</f>
        <v>0</v>
      </c>
      <c r="P1472" s="79">
        <v>0</v>
      </c>
    </row>
    <row r="1473" spans="1:16" x14ac:dyDescent="0.25">
      <c r="A1473" t="s">
        <v>32</v>
      </c>
      <c r="B1473" s="73" t="str">
        <f>VLOOKUP(C1473,'Büyükşehir List'!$C$2:$D$31,2,FALSE)</f>
        <v>İZMİR BÜYÜKŞEHİR</v>
      </c>
      <c r="C1473" t="s">
        <v>112</v>
      </c>
      <c r="D1473" s="73" t="str">
        <f t="shared" si="36"/>
        <v>İZMİR BÜYÜKŞEHİR/İZMİR</v>
      </c>
      <c r="E1473" t="s">
        <v>1872</v>
      </c>
      <c r="F1473" t="s">
        <v>1872</v>
      </c>
      <c r="G1473" t="s">
        <v>3367</v>
      </c>
      <c r="H1473">
        <v>8030.5</v>
      </c>
      <c r="I1473">
        <v>803.05</v>
      </c>
      <c r="J1473">
        <v>820.3</v>
      </c>
      <c r="K1473">
        <v>82.03</v>
      </c>
      <c r="L1473">
        <v>7210.2</v>
      </c>
      <c r="M1473">
        <v>721.02</v>
      </c>
      <c r="O1473" s="79">
        <f>IFERROR(VLOOKUP(D1473,'KAPANAN BLD.'!$C$2:$D$793,2,FALSE),0)</f>
        <v>0</v>
      </c>
      <c r="P1473" s="79">
        <v>0</v>
      </c>
    </row>
    <row r="1474" spans="1:16" x14ac:dyDescent="0.25">
      <c r="A1474" t="s">
        <v>32</v>
      </c>
      <c r="B1474" s="73" t="str">
        <f>VLOOKUP(C1474,'Büyükşehir List'!$C$2:$D$31,2,FALSE)</f>
        <v>İZMİR BÜYÜKŞEHİR</v>
      </c>
      <c r="C1474" t="s">
        <v>112</v>
      </c>
      <c r="D1474" s="73" t="str">
        <f t="shared" si="36"/>
        <v>İZMİR BÜYÜKŞEHİR/İZMİR</v>
      </c>
      <c r="E1474" t="s">
        <v>1872</v>
      </c>
      <c r="F1474" t="s">
        <v>1872</v>
      </c>
      <c r="G1474" t="s">
        <v>3366</v>
      </c>
      <c r="H1474">
        <v>13381.58</v>
      </c>
      <c r="I1474">
        <v>1338.16</v>
      </c>
      <c r="J1474">
        <v>12.1</v>
      </c>
      <c r="K1474">
        <v>1.21</v>
      </c>
      <c r="L1474">
        <v>13369.48</v>
      </c>
      <c r="M1474">
        <v>1336.95</v>
      </c>
      <c r="O1474" s="79">
        <f>IFERROR(VLOOKUP(D1474,'KAPANAN BLD.'!$C$2:$D$793,2,FALSE),0)</f>
        <v>0</v>
      </c>
      <c r="P1474" s="79">
        <v>0</v>
      </c>
    </row>
    <row r="1475" spans="1:16" x14ac:dyDescent="0.25">
      <c r="A1475" t="s">
        <v>32</v>
      </c>
      <c r="B1475" s="73" t="str">
        <f>VLOOKUP(C1475,'Büyükşehir List'!$C$2:$D$31,2,FALSE)</f>
        <v>İZMİR BÜYÜKŞEHİR</v>
      </c>
      <c r="C1475" t="s">
        <v>112</v>
      </c>
      <c r="D1475" s="73" t="str">
        <f t="shared" ref="D1475:D1538" si="37">CONCATENATE(B1475,"/",C1475)</f>
        <v>İZMİR BÜYÜKŞEHİR/İZMİR</v>
      </c>
      <c r="E1475" t="s">
        <v>3968</v>
      </c>
      <c r="F1475" t="s">
        <v>3968</v>
      </c>
      <c r="G1475" t="s">
        <v>3367</v>
      </c>
      <c r="H1475">
        <v>240.6</v>
      </c>
      <c r="I1475">
        <v>24.06</v>
      </c>
      <c r="J1475">
        <v>0</v>
      </c>
      <c r="K1475">
        <v>0</v>
      </c>
      <c r="L1475">
        <v>240.6</v>
      </c>
      <c r="M1475">
        <v>24.06</v>
      </c>
      <c r="O1475" s="79">
        <f>IFERROR(VLOOKUP(D1475,'KAPANAN BLD.'!$C$2:$D$793,2,FALSE),0)</f>
        <v>0</v>
      </c>
      <c r="P1475" s="79">
        <v>0</v>
      </c>
    </row>
    <row r="1476" spans="1:16" x14ac:dyDescent="0.25">
      <c r="A1476" t="s">
        <v>32</v>
      </c>
      <c r="B1476" s="73" t="str">
        <f>VLOOKUP(C1476,'Büyükşehir List'!$C$2:$D$31,2,FALSE)</f>
        <v>İZMİR BÜYÜKŞEHİR</v>
      </c>
      <c r="C1476" t="s">
        <v>112</v>
      </c>
      <c r="D1476" s="73" t="str">
        <f t="shared" si="37"/>
        <v>İZMİR BÜYÜKŞEHİR/İZMİR</v>
      </c>
      <c r="E1476" t="s">
        <v>3968</v>
      </c>
      <c r="F1476" t="s">
        <v>3968</v>
      </c>
      <c r="G1476" t="s">
        <v>3366</v>
      </c>
      <c r="H1476">
        <v>805.6</v>
      </c>
      <c r="I1476">
        <v>80.56</v>
      </c>
      <c r="J1476">
        <v>0</v>
      </c>
      <c r="K1476">
        <v>0</v>
      </c>
      <c r="L1476">
        <v>805.6</v>
      </c>
      <c r="M1476">
        <v>80.56</v>
      </c>
      <c r="O1476" s="79">
        <f>IFERROR(VLOOKUP(D1476,'KAPANAN BLD.'!$C$2:$D$793,2,FALSE),0)</f>
        <v>0</v>
      </c>
      <c r="P1476" s="79">
        <v>0</v>
      </c>
    </row>
    <row r="1477" spans="1:16" x14ac:dyDescent="0.25">
      <c r="A1477" t="s">
        <v>32</v>
      </c>
      <c r="B1477" s="73" t="str">
        <f>VLOOKUP(C1477,'Büyükşehir List'!$C$2:$D$31,2,FALSE)</f>
        <v>İZMİR BÜYÜKŞEHİR</v>
      </c>
      <c r="C1477" t="s">
        <v>112</v>
      </c>
      <c r="D1477" s="73" t="str">
        <f t="shared" si="37"/>
        <v>İZMİR BÜYÜKŞEHİR/İZMİR</v>
      </c>
      <c r="E1477" t="s">
        <v>3772</v>
      </c>
      <c r="F1477" t="s">
        <v>3772</v>
      </c>
      <c r="G1477" t="s">
        <v>3367</v>
      </c>
      <c r="H1477">
        <v>146</v>
      </c>
      <c r="I1477">
        <v>14.6</v>
      </c>
      <c r="J1477">
        <v>0</v>
      </c>
      <c r="K1477">
        <v>0</v>
      </c>
      <c r="L1477">
        <v>146</v>
      </c>
      <c r="M1477">
        <v>14.6</v>
      </c>
      <c r="O1477" s="79">
        <f>IFERROR(VLOOKUP(D1477,'KAPANAN BLD.'!$C$2:$D$793,2,FALSE),0)</f>
        <v>0</v>
      </c>
      <c r="P1477" s="79">
        <v>0</v>
      </c>
    </row>
    <row r="1478" spans="1:16" x14ac:dyDescent="0.25">
      <c r="A1478" t="s">
        <v>32</v>
      </c>
      <c r="B1478" s="73" t="str">
        <f>VLOOKUP(C1478,'Büyükşehir List'!$C$2:$D$31,2,FALSE)</f>
        <v>İZMİR BÜYÜKŞEHİR</v>
      </c>
      <c r="C1478" t="s">
        <v>112</v>
      </c>
      <c r="D1478" s="73" t="str">
        <f t="shared" si="37"/>
        <v>İZMİR BÜYÜKŞEHİR/İZMİR</v>
      </c>
      <c r="E1478" t="s">
        <v>3772</v>
      </c>
      <c r="F1478" t="s">
        <v>3772</v>
      </c>
      <c r="G1478" t="s">
        <v>3366</v>
      </c>
      <c r="H1478">
        <v>21.9</v>
      </c>
      <c r="I1478">
        <v>2.19</v>
      </c>
      <c r="J1478">
        <v>0</v>
      </c>
      <c r="K1478">
        <v>0</v>
      </c>
      <c r="L1478">
        <v>21.9</v>
      </c>
      <c r="M1478">
        <v>2.19</v>
      </c>
      <c r="O1478" s="79">
        <f>IFERROR(VLOOKUP(D1478,'KAPANAN BLD.'!$C$2:$D$793,2,FALSE),0)</f>
        <v>0</v>
      </c>
      <c r="P1478" s="79">
        <v>0</v>
      </c>
    </row>
    <row r="1479" spans="1:16" x14ac:dyDescent="0.25">
      <c r="A1479" t="s">
        <v>32</v>
      </c>
      <c r="B1479" s="73" t="str">
        <f>VLOOKUP(C1479,'Büyükşehir List'!$C$2:$D$31,2,FALSE)</f>
        <v>İZMİR BÜYÜKŞEHİR</v>
      </c>
      <c r="C1479" t="s">
        <v>112</v>
      </c>
      <c r="D1479" s="73" t="str">
        <f t="shared" si="37"/>
        <v>İZMİR BÜYÜKŞEHİR/İZMİR</v>
      </c>
      <c r="E1479" t="s">
        <v>1872</v>
      </c>
      <c r="F1479" t="s">
        <v>1872</v>
      </c>
      <c r="G1479" t="s">
        <v>3366</v>
      </c>
      <c r="H1479">
        <v>5121.99</v>
      </c>
      <c r="I1479">
        <v>512.19000000000005</v>
      </c>
      <c r="J1479">
        <v>2618.8000000000002</v>
      </c>
      <c r="K1479">
        <v>261.88</v>
      </c>
      <c r="L1479">
        <v>2503.19</v>
      </c>
      <c r="M1479">
        <v>250.31</v>
      </c>
      <c r="O1479" s="79">
        <f>IFERROR(VLOOKUP(D1479,'KAPANAN BLD.'!$C$2:$D$793,2,FALSE),0)</f>
        <v>0</v>
      </c>
      <c r="P1479" s="79">
        <v>0</v>
      </c>
    </row>
    <row r="1480" spans="1:16" x14ac:dyDescent="0.25">
      <c r="A1480" t="s">
        <v>32</v>
      </c>
      <c r="B1480" s="73" t="str">
        <f>VLOOKUP(C1480,'Büyükşehir List'!$C$2:$D$31,2,FALSE)</f>
        <v>İZMİR BÜYÜKŞEHİR</v>
      </c>
      <c r="C1480" t="s">
        <v>112</v>
      </c>
      <c r="D1480" s="73" t="str">
        <f t="shared" si="37"/>
        <v>İZMİR BÜYÜKŞEHİR/İZMİR</v>
      </c>
      <c r="E1480" t="s">
        <v>1872</v>
      </c>
      <c r="F1480" t="s">
        <v>1872</v>
      </c>
      <c r="G1480" t="s">
        <v>3367</v>
      </c>
      <c r="H1480">
        <v>16878.080000000002</v>
      </c>
      <c r="I1480">
        <v>1687.81</v>
      </c>
      <c r="J1480">
        <v>1094.5999999999999</v>
      </c>
      <c r="K1480">
        <v>109.46</v>
      </c>
      <c r="L1480">
        <v>15783.48</v>
      </c>
      <c r="M1480">
        <v>1578.35</v>
      </c>
      <c r="O1480" s="79">
        <f>IFERROR(VLOOKUP(D1480,'KAPANAN BLD.'!$C$2:$D$793,2,FALSE),0)</f>
        <v>0</v>
      </c>
      <c r="P1480" s="79">
        <v>0</v>
      </c>
    </row>
    <row r="1481" spans="1:16" x14ac:dyDescent="0.25">
      <c r="A1481" t="s">
        <v>32</v>
      </c>
      <c r="B1481" s="73" t="str">
        <f>VLOOKUP(C1481,'Büyükşehir List'!$C$2:$D$31,2,FALSE)</f>
        <v>İZMİR BÜYÜKŞEHİR</v>
      </c>
      <c r="C1481" t="s">
        <v>112</v>
      </c>
      <c r="D1481" s="73" t="str">
        <f t="shared" si="37"/>
        <v>İZMİR BÜYÜKŞEHİR/İZMİR</v>
      </c>
      <c r="E1481" t="s">
        <v>1872</v>
      </c>
      <c r="F1481" t="s">
        <v>1872</v>
      </c>
      <c r="G1481" t="s">
        <v>3366</v>
      </c>
      <c r="H1481">
        <v>5112.3999999999996</v>
      </c>
      <c r="I1481">
        <v>511.24</v>
      </c>
      <c r="J1481">
        <v>0</v>
      </c>
      <c r="K1481">
        <v>0</v>
      </c>
      <c r="L1481">
        <v>5112.3999999999996</v>
      </c>
      <c r="M1481">
        <v>511.24</v>
      </c>
      <c r="O1481" s="79">
        <f>IFERROR(VLOOKUP(D1481,'KAPANAN BLD.'!$C$2:$D$793,2,FALSE),0)</f>
        <v>0</v>
      </c>
      <c r="P1481" s="79">
        <v>0</v>
      </c>
    </row>
    <row r="1482" spans="1:16" x14ac:dyDescent="0.25">
      <c r="A1482" t="s">
        <v>32</v>
      </c>
      <c r="B1482" s="73" t="str">
        <f>VLOOKUP(C1482,'Büyükşehir List'!$C$2:$D$31,2,FALSE)</f>
        <v>İZMİR BÜYÜKŞEHİR</v>
      </c>
      <c r="C1482" t="s">
        <v>112</v>
      </c>
      <c r="D1482" s="73" t="str">
        <f t="shared" si="37"/>
        <v>İZMİR BÜYÜKŞEHİR/İZMİR</v>
      </c>
      <c r="E1482" t="s">
        <v>1872</v>
      </c>
      <c r="F1482" t="s">
        <v>1872</v>
      </c>
      <c r="G1482" t="s">
        <v>3367</v>
      </c>
      <c r="H1482">
        <v>2505</v>
      </c>
      <c r="I1482">
        <v>250.5</v>
      </c>
      <c r="J1482">
        <v>0</v>
      </c>
      <c r="K1482">
        <v>0</v>
      </c>
      <c r="L1482">
        <v>2505</v>
      </c>
      <c r="M1482">
        <v>250.5</v>
      </c>
      <c r="O1482" s="79">
        <f>IFERROR(VLOOKUP(D1482,'KAPANAN BLD.'!$C$2:$D$793,2,FALSE),0)</f>
        <v>0</v>
      </c>
      <c r="P1482" s="79">
        <v>0</v>
      </c>
    </row>
    <row r="1483" spans="1:16" x14ac:dyDescent="0.25">
      <c r="A1483" t="s">
        <v>32</v>
      </c>
      <c r="B1483" s="73" t="str">
        <f>VLOOKUP(C1483,'Büyükşehir List'!$C$2:$D$31,2,FALSE)</f>
        <v>İZMİR BÜYÜKŞEHİR</v>
      </c>
      <c r="C1483" t="s">
        <v>112</v>
      </c>
      <c r="D1483" s="73" t="str">
        <f t="shared" si="37"/>
        <v>İZMİR BÜYÜKŞEHİR/İZMİR</v>
      </c>
      <c r="E1483" t="s">
        <v>1872</v>
      </c>
      <c r="F1483" t="s">
        <v>1872</v>
      </c>
      <c r="G1483" t="s">
        <v>3366</v>
      </c>
      <c r="H1483">
        <v>29530.54</v>
      </c>
      <c r="I1483">
        <v>2953.05</v>
      </c>
      <c r="J1483">
        <v>2352.2399999999998</v>
      </c>
      <c r="K1483">
        <v>235.22</v>
      </c>
      <c r="L1483">
        <v>27178.3</v>
      </c>
      <c r="M1483">
        <v>2717.83</v>
      </c>
      <c r="O1483" s="79">
        <f>IFERROR(VLOOKUP(D1483,'KAPANAN BLD.'!$C$2:$D$793,2,FALSE),0)</f>
        <v>0</v>
      </c>
      <c r="P1483" s="79">
        <v>0</v>
      </c>
    </row>
    <row r="1484" spans="1:16" x14ac:dyDescent="0.25">
      <c r="A1484" t="s">
        <v>32</v>
      </c>
      <c r="B1484" s="73" t="str">
        <f>VLOOKUP(C1484,'Büyükşehir List'!$C$2:$D$31,2,FALSE)</f>
        <v>İZMİR BÜYÜKŞEHİR</v>
      </c>
      <c r="C1484" t="s">
        <v>112</v>
      </c>
      <c r="D1484" s="73" t="str">
        <f t="shared" si="37"/>
        <v>İZMİR BÜYÜKŞEHİR/İZMİR</v>
      </c>
      <c r="E1484" t="s">
        <v>1872</v>
      </c>
      <c r="F1484" t="s">
        <v>1872</v>
      </c>
      <c r="G1484" t="s">
        <v>3367</v>
      </c>
      <c r="H1484">
        <v>62979.73</v>
      </c>
      <c r="I1484">
        <v>6297.97</v>
      </c>
      <c r="J1484">
        <v>27693.63</v>
      </c>
      <c r="K1484">
        <v>2769.36</v>
      </c>
      <c r="L1484">
        <v>35286.1</v>
      </c>
      <c r="M1484">
        <v>3528.61</v>
      </c>
      <c r="O1484" s="79">
        <f>IFERROR(VLOOKUP(D1484,'KAPANAN BLD.'!$C$2:$D$793,2,FALSE),0)</f>
        <v>0</v>
      </c>
      <c r="P1484" s="79">
        <v>0</v>
      </c>
    </row>
    <row r="1485" spans="1:16" x14ac:dyDescent="0.25">
      <c r="A1485" t="s">
        <v>32</v>
      </c>
      <c r="B1485" s="73" t="str">
        <f>VLOOKUP(C1485,'Büyükşehir List'!$C$2:$D$31,2,FALSE)</f>
        <v>İZMİR BÜYÜKŞEHİR</v>
      </c>
      <c r="C1485" t="s">
        <v>112</v>
      </c>
      <c r="D1485" s="73" t="str">
        <f t="shared" si="37"/>
        <v>İZMİR BÜYÜKŞEHİR/İZMİR</v>
      </c>
      <c r="E1485" t="s">
        <v>3379</v>
      </c>
      <c r="F1485" t="s">
        <v>3379</v>
      </c>
      <c r="G1485" t="s">
        <v>3366</v>
      </c>
      <c r="H1485">
        <v>3552.86</v>
      </c>
      <c r="I1485">
        <v>355.29</v>
      </c>
      <c r="J1485">
        <v>0</v>
      </c>
      <c r="K1485">
        <v>0</v>
      </c>
      <c r="L1485">
        <v>3552.86</v>
      </c>
      <c r="M1485">
        <v>355.29</v>
      </c>
      <c r="O1485" s="79">
        <f>IFERROR(VLOOKUP(D1485,'KAPANAN BLD.'!$C$2:$D$793,2,FALSE),0)</f>
        <v>0</v>
      </c>
      <c r="P1485" s="79">
        <v>0</v>
      </c>
    </row>
    <row r="1486" spans="1:16" x14ac:dyDescent="0.25">
      <c r="A1486" t="s">
        <v>32</v>
      </c>
      <c r="B1486" s="73" t="str">
        <f>VLOOKUP(C1486,'Büyükşehir List'!$C$2:$D$31,2,FALSE)</f>
        <v>İZMİR BÜYÜKŞEHİR</v>
      </c>
      <c r="C1486" t="s">
        <v>112</v>
      </c>
      <c r="D1486" s="73" t="str">
        <f t="shared" si="37"/>
        <v>İZMİR BÜYÜKŞEHİR/İZMİR</v>
      </c>
      <c r="E1486" t="s">
        <v>3379</v>
      </c>
      <c r="F1486" t="s">
        <v>3379</v>
      </c>
      <c r="G1486" t="s">
        <v>3367</v>
      </c>
      <c r="H1486">
        <v>444.73</v>
      </c>
      <c r="I1486">
        <v>44.47</v>
      </c>
      <c r="J1486">
        <v>1.6</v>
      </c>
      <c r="K1486">
        <v>0.16</v>
      </c>
      <c r="L1486">
        <v>443.13</v>
      </c>
      <c r="M1486">
        <v>44.31</v>
      </c>
      <c r="O1486" s="79">
        <f>IFERROR(VLOOKUP(D1486,'KAPANAN BLD.'!$C$2:$D$793,2,FALSE),0)</f>
        <v>0</v>
      </c>
      <c r="P1486" s="79">
        <v>0</v>
      </c>
    </row>
    <row r="1487" spans="1:16" x14ac:dyDescent="0.25">
      <c r="A1487" t="s">
        <v>32</v>
      </c>
      <c r="B1487" s="73" t="str">
        <f>VLOOKUP(C1487,'Büyükşehir List'!$C$2:$D$31,2,FALSE)</f>
        <v>İZMİR BÜYÜKŞEHİR</v>
      </c>
      <c r="C1487" t="s">
        <v>112</v>
      </c>
      <c r="D1487" s="73" t="str">
        <f t="shared" si="37"/>
        <v>İZMİR BÜYÜKŞEHİR/İZMİR</v>
      </c>
      <c r="E1487" t="s">
        <v>71</v>
      </c>
      <c r="F1487" t="s">
        <v>71</v>
      </c>
      <c r="G1487" t="s">
        <v>3366</v>
      </c>
      <c r="H1487">
        <v>138.80000000000001</v>
      </c>
      <c r="I1487">
        <v>13.88</v>
      </c>
      <c r="J1487">
        <v>0</v>
      </c>
      <c r="K1487">
        <v>0</v>
      </c>
      <c r="L1487">
        <v>138.80000000000001</v>
      </c>
      <c r="M1487">
        <v>13.88</v>
      </c>
      <c r="O1487" s="79">
        <f>IFERROR(VLOOKUP(D1487,'KAPANAN BLD.'!$C$2:$D$793,2,FALSE),0)</f>
        <v>0</v>
      </c>
      <c r="P1487" s="79">
        <v>0</v>
      </c>
    </row>
    <row r="1488" spans="1:16" x14ac:dyDescent="0.25">
      <c r="A1488" t="s">
        <v>32</v>
      </c>
      <c r="B1488" s="73" t="str">
        <f>VLOOKUP(C1488,'Büyükşehir List'!$C$2:$D$31,2,FALSE)</f>
        <v>İZMİR BÜYÜKŞEHİR</v>
      </c>
      <c r="C1488" t="s">
        <v>112</v>
      </c>
      <c r="D1488" s="73" t="str">
        <f t="shared" si="37"/>
        <v>İZMİR BÜYÜKŞEHİR/İZMİR</v>
      </c>
      <c r="E1488" t="s">
        <v>71</v>
      </c>
      <c r="F1488" t="s">
        <v>71</v>
      </c>
      <c r="G1488" t="s">
        <v>3367</v>
      </c>
      <c r="H1488">
        <v>371.7</v>
      </c>
      <c r="I1488">
        <v>37.17</v>
      </c>
      <c r="J1488">
        <v>0</v>
      </c>
      <c r="K1488">
        <v>0</v>
      </c>
      <c r="L1488">
        <v>371.7</v>
      </c>
      <c r="M1488">
        <v>37.17</v>
      </c>
      <c r="O1488" s="79">
        <f>IFERROR(VLOOKUP(D1488,'KAPANAN BLD.'!$C$2:$D$793,2,FALSE),0)</f>
        <v>0</v>
      </c>
      <c r="P1488" s="79">
        <v>0</v>
      </c>
    </row>
    <row r="1489" spans="1:16" x14ac:dyDescent="0.25">
      <c r="A1489" t="s">
        <v>32</v>
      </c>
      <c r="B1489" s="73" t="str">
        <f>VLOOKUP(C1489,'Büyükşehir List'!$C$2:$D$31,2,FALSE)</f>
        <v>İZMİR BÜYÜKŞEHİR</v>
      </c>
      <c r="C1489" t="s">
        <v>112</v>
      </c>
      <c r="D1489" s="73" t="str">
        <f t="shared" si="37"/>
        <v>İZMİR BÜYÜKŞEHİR/İZMİR</v>
      </c>
      <c r="E1489" t="s">
        <v>4033</v>
      </c>
      <c r="F1489" t="s">
        <v>4033</v>
      </c>
      <c r="G1489" t="s">
        <v>3367</v>
      </c>
      <c r="H1489">
        <v>1714.3</v>
      </c>
      <c r="I1489">
        <v>171.43</v>
      </c>
      <c r="J1489">
        <v>0</v>
      </c>
      <c r="K1489">
        <v>0</v>
      </c>
      <c r="L1489">
        <v>1714.3</v>
      </c>
      <c r="M1489">
        <v>171.43</v>
      </c>
      <c r="O1489" s="79">
        <f>IFERROR(VLOOKUP(D1489,'KAPANAN BLD.'!$C$2:$D$793,2,FALSE),0)</f>
        <v>0</v>
      </c>
      <c r="P1489" s="79">
        <v>0</v>
      </c>
    </row>
    <row r="1490" spans="1:16" x14ac:dyDescent="0.25">
      <c r="A1490" t="s">
        <v>32</v>
      </c>
      <c r="B1490" s="73" t="str">
        <f>VLOOKUP(C1490,'Büyükşehir List'!$C$2:$D$31,2,FALSE)</f>
        <v>İZMİR BÜYÜKŞEHİR</v>
      </c>
      <c r="C1490" t="s">
        <v>112</v>
      </c>
      <c r="D1490" s="73" t="str">
        <f t="shared" si="37"/>
        <v>İZMİR BÜYÜKŞEHİR/İZMİR</v>
      </c>
      <c r="E1490" t="s">
        <v>4033</v>
      </c>
      <c r="F1490" t="s">
        <v>4033</v>
      </c>
      <c r="G1490" t="s">
        <v>3366</v>
      </c>
      <c r="H1490">
        <v>4752.5</v>
      </c>
      <c r="I1490">
        <v>475.25</v>
      </c>
      <c r="J1490">
        <v>0</v>
      </c>
      <c r="K1490">
        <v>0</v>
      </c>
      <c r="L1490">
        <v>4752.5</v>
      </c>
      <c r="M1490">
        <v>475.25</v>
      </c>
      <c r="O1490" s="79">
        <f>IFERROR(VLOOKUP(D1490,'KAPANAN BLD.'!$C$2:$D$793,2,FALSE),0)</f>
        <v>0</v>
      </c>
      <c r="P1490" s="79">
        <v>0</v>
      </c>
    </row>
    <row r="1491" spans="1:16" x14ac:dyDescent="0.25">
      <c r="A1491" t="s">
        <v>32</v>
      </c>
      <c r="B1491" s="73" t="str">
        <f>VLOOKUP(C1491,'Büyükşehir List'!$C$2:$D$31,2,FALSE)</f>
        <v>İZMİR BÜYÜKŞEHİR</v>
      </c>
      <c r="C1491" t="s">
        <v>112</v>
      </c>
      <c r="D1491" s="73" t="str">
        <f t="shared" si="37"/>
        <v>İZMİR BÜYÜKŞEHİR/İZMİR</v>
      </c>
      <c r="E1491" t="s">
        <v>1872</v>
      </c>
      <c r="F1491" t="s">
        <v>1872</v>
      </c>
      <c r="G1491" t="s">
        <v>3367</v>
      </c>
      <c r="H1491">
        <v>98156.66</v>
      </c>
      <c r="I1491">
        <v>9815.66</v>
      </c>
      <c r="J1491">
        <v>3537.1</v>
      </c>
      <c r="K1491">
        <v>353.71</v>
      </c>
      <c r="L1491">
        <v>94619.56</v>
      </c>
      <c r="M1491">
        <v>9461.9500000000007</v>
      </c>
      <c r="O1491" s="79">
        <f>IFERROR(VLOOKUP(D1491,'KAPANAN BLD.'!$C$2:$D$793,2,FALSE),0)</f>
        <v>0</v>
      </c>
      <c r="P1491" s="79">
        <v>0</v>
      </c>
    </row>
    <row r="1492" spans="1:16" x14ac:dyDescent="0.25">
      <c r="A1492" t="s">
        <v>32</v>
      </c>
      <c r="B1492" s="73" t="str">
        <f>VLOOKUP(C1492,'Büyükşehir List'!$C$2:$D$31,2,FALSE)</f>
        <v>İZMİR BÜYÜKŞEHİR</v>
      </c>
      <c r="C1492" t="s">
        <v>112</v>
      </c>
      <c r="D1492" s="73" t="str">
        <f t="shared" si="37"/>
        <v>İZMİR BÜYÜKŞEHİR/İZMİR</v>
      </c>
      <c r="E1492" t="s">
        <v>1872</v>
      </c>
      <c r="F1492" t="s">
        <v>1872</v>
      </c>
      <c r="G1492" t="s">
        <v>3366</v>
      </c>
      <c r="H1492">
        <v>367532.53</v>
      </c>
      <c r="I1492">
        <v>36753.230000000003</v>
      </c>
      <c r="J1492">
        <v>7739.2</v>
      </c>
      <c r="K1492">
        <v>773.92</v>
      </c>
      <c r="L1492">
        <v>359793.33</v>
      </c>
      <c r="M1492">
        <v>35979.31</v>
      </c>
      <c r="O1492" s="79">
        <f>IFERROR(VLOOKUP(D1492,'KAPANAN BLD.'!$C$2:$D$793,2,FALSE),0)</f>
        <v>0</v>
      </c>
      <c r="P1492" s="79">
        <v>0</v>
      </c>
    </row>
    <row r="1493" spans="1:16" x14ac:dyDescent="0.25">
      <c r="A1493" t="s">
        <v>32</v>
      </c>
      <c r="B1493" s="73" t="str">
        <f>VLOOKUP(C1493,'Büyükşehir List'!$C$2:$D$31,2,FALSE)</f>
        <v>İZMİR BÜYÜKŞEHİR</v>
      </c>
      <c r="C1493" t="s">
        <v>112</v>
      </c>
      <c r="D1493" s="73" t="str">
        <f t="shared" si="37"/>
        <v>İZMİR BÜYÜKŞEHİR/İZMİR</v>
      </c>
      <c r="E1493" t="s">
        <v>3773</v>
      </c>
      <c r="F1493" t="s">
        <v>3773</v>
      </c>
      <c r="G1493" t="s">
        <v>3366</v>
      </c>
      <c r="H1493">
        <v>309</v>
      </c>
      <c r="I1493">
        <v>30.9</v>
      </c>
      <c r="J1493">
        <v>199.5</v>
      </c>
      <c r="K1493">
        <v>19.95</v>
      </c>
      <c r="L1493">
        <v>109.5</v>
      </c>
      <c r="M1493">
        <v>10.95</v>
      </c>
      <c r="O1493" s="79">
        <f>IFERROR(VLOOKUP(D1493,'KAPANAN BLD.'!$C$2:$D$793,2,FALSE),0)</f>
        <v>0</v>
      </c>
      <c r="P1493" s="79">
        <v>0</v>
      </c>
    </row>
    <row r="1494" spans="1:16" x14ac:dyDescent="0.25">
      <c r="A1494" t="s">
        <v>32</v>
      </c>
      <c r="B1494" s="73" t="str">
        <f>VLOOKUP(C1494,'Büyükşehir List'!$C$2:$D$31,2,FALSE)</f>
        <v>İZMİR BÜYÜKŞEHİR</v>
      </c>
      <c r="C1494" t="s">
        <v>112</v>
      </c>
      <c r="D1494" s="73" t="str">
        <f t="shared" si="37"/>
        <v>İZMİR BÜYÜKŞEHİR/İZMİR</v>
      </c>
      <c r="E1494" t="s">
        <v>3773</v>
      </c>
      <c r="F1494" t="s">
        <v>3773</v>
      </c>
      <c r="G1494" t="s">
        <v>3367</v>
      </c>
      <c r="H1494">
        <v>285.39999999999998</v>
      </c>
      <c r="I1494">
        <v>28.54</v>
      </c>
      <c r="J1494">
        <v>24</v>
      </c>
      <c r="K1494">
        <v>2.4</v>
      </c>
      <c r="L1494">
        <v>261.39999999999998</v>
      </c>
      <c r="M1494">
        <v>26.14</v>
      </c>
      <c r="O1494" s="79">
        <f>IFERROR(VLOOKUP(D1494,'KAPANAN BLD.'!$C$2:$D$793,2,FALSE),0)</f>
        <v>0</v>
      </c>
      <c r="P1494" s="79">
        <v>0</v>
      </c>
    </row>
    <row r="1495" spans="1:16" x14ac:dyDescent="0.25">
      <c r="A1495" t="s">
        <v>32</v>
      </c>
      <c r="B1495" s="73" t="str">
        <f>VLOOKUP(C1495,'Büyükşehir List'!$C$2:$D$31,2,FALSE)</f>
        <v>İZMİR BÜYÜKŞEHİR</v>
      </c>
      <c r="C1495" t="s">
        <v>112</v>
      </c>
      <c r="D1495" s="73" t="str">
        <f t="shared" si="37"/>
        <v>İZMİR BÜYÜKŞEHİR/İZMİR</v>
      </c>
      <c r="E1495" t="s">
        <v>4304</v>
      </c>
      <c r="F1495" t="s">
        <v>4304</v>
      </c>
      <c r="G1495" t="s">
        <v>3367</v>
      </c>
      <c r="H1495">
        <v>342.4</v>
      </c>
      <c r="I1495">
        <v>34.24</v>
      </c>
      <c r="J1495">
        <v>180.7</v>
      </c>
      <c r="K1495">
        <v>18.07</v>
      </c>
      <c r="L1495">
        <v>161.69999999999999</v>
      </c>
      <c r="M1495">
        <v>16.170000000000002</v>
      </c>
      <c r="O1495" s="79">
        <f>IFERROR(VLOOKUP(D1495,'KAPANAN BLD.'!$C$2:$D$793,2,FALSE),0)</f>
        <v>0</v>
      </c>
      <c r="P1495" s="79">
        <v>0</v>
      </c>
    </row>
    <row r="1496" spans="1:16" x14ac:dyDescent="0.25">
      <c r="A1496" t="s">
        <v>32</v>
      </c>
      <c r="B1496" s="73" t="str">
        <f>VLOOKUP(C1496,'Büyükşehir List'!$C$2:$D$31,2,FALSE)</f>
        <v>İZMİR BÜYÜKŞEHİR</v>
      </c>
      <c r="C1496" t="s">
        <v>112</v>
      </c>
      <c r="D1496" s="73" t="str">
        <f t="shared" si="37"/>
        <v>İZMİR BÜYÜKŞEHİR/İZMİR</v>
      </c>
      <c r="E1496" t="s">
        <v>4304</v>
      </c>
      <c r="F1496" t="s">
        <v>4304</v>
      </c>
      <c r="G1496" t="s">
        <v>3366</v>
      </c>
      <c r="H1496">
        <v>753.3</v>
      </c>
      <c r="I1496">
        <v>75.33</v>
      </c>
      <c r="J1496">
        <v>665.2</v>
      </c>
      <c r="K1496">
        <v>66.52</v>
      </c>
      <c r="L1496">
        <v>88.1</v>
      </c>
      <c r="M1496">
        <v>8.81</v>
      </c>
      <c r="O1496" s="79">
        <f>IFERROR(VLOOKUP(D1496,'KAPANAN BLD.'!$C$2:$D$793,2,FALSE),0)</f>
        <v>0</v>
      </c>
      <c r="P1496" s="79">
        <v>0</v>
      </c>
    </row>
    <row r="1497" spans="1:16" x14ac:dyDescent="0.25">
      <c r="A1497" t="s">
        <v>32</v>
      </c>
      <c r="B1497" s="73" t="str">
        <f>VLOOKUP(C1497,'Büyükşehir List'!$C$2:$D$31,2,FALSE)</f>
        <v>İZMİR BÜYÜKŞEHİR</v>
      </c>
      <c r="C1497" t="s">
        <v>112</v>
      </c>
      <c r="D1497" s="73" t="str">
        <f t="shared" si="37"/>
        <v>İZMİR BÜYÜKŞEHİR/İZMİR</v>
      </c>
      <c r="E1497" t="s">
        <v>1872</v>
      </c>
      <c r="F1497" t="s">
        <v>1872</v>
      </c>
      <c r="G1497" t="s">
        <v>3367</v>
      </c>
      <c r="H1497">
        <v>143173.92000000001</v>
      </c>
      <c r="I1497">
        <v>14317.4</v>
      </c>
      <c r="J1497">
        <v>5942.9</v>
      </c>
      <c r="K1497">
        <v>594.29</v>
      </c>
      <c r="L1497">
        <v>137231.01999999999</v>
      </c>
      <c r="M1497">
        <v>13723.11</v>
      </c>
      <c r="O1497" s="79">
        <f>IFERROR(VLOOKUP(D1497,'KAPANAN BLD.'!$C$2:$D$793,2,FALSE),0)</f>
        <v>0</v>
      </c>
      <c r="P1497" s="79">
        <v>0</v>
      </c>
    </row>
    <row r="1498" spans="1:16" x14ac:dyDescent="0.25">
      <c r="A1498" t="s">
        <v>32</v>
      </c>
      <c r="B1498" s="73" t="str">
        <f>VLOOKUP(C1498,'Büyükşehir List'!$C$2:$D$31,2,FALSE)</f>
        <v>İZMİR BÜYÜKŞEHİR</v>
      </c>
      <c r="C1498" t="s">
        <v>112</v>
      </c>
      <c r="D1498" s="73" t="str">
        <f t="shared" si="37"/>
        <v>İZMİR BÜYÜKŞEHİR/İZMİR</v>
      </c>
      <c r="E1498" t="s">
        <v>1872</v>
      </c>
      <c r="F1498" t="s">
        <v>1872</v>
      </c>
      <c r="G1498" t="s">
        <v>3366</v>
      </c>
      <c r="H1498">
        <v>239987.28</v>
      </c>
      <c r="I1498">
        <v>23998.73</v>
      </c>
      <c r="J1498">
        <v>7814.7</v>
      </c>
      <c r="K1498">
        <v>781.47</v>
      </c>
      <c r="L1498">
        <v>232172.58</v>
      </c>
      <c r="M1498">
        <v>23217.26</v>
      </c>
      <c r="O1498" s="79">
        <f>IFERROR(VLOOKUP(D1498,'KAPANAN BLD.'!$C$2:$D$793,2,FALSE),0)</f>
        <v>0</v>
      </c>
      <c r="P1498" s="79">
        <v>0</v>
      </c>
    </row>
    <row r="1499" spans="1:16" x14ac:dyDescent="0.25">
      <c r="A1499" t="s">
        <v>32</v>
      </c>
      <c r="B1499" s="73" t="str">
        <f>VLOOKUP(C1499,'Büyükşehir List'!$C$2:$D$31,2,FALSE)</f>
        <v>İZMİR BÜYÜKŞEHİR</v>
      </c>
      <c r="C1499" t="s">
        <v>112</v>
      </c>
      <c r="D1499" s="73" t="str">
        <f t="shared" si="37"/>
        <v>İZMİR BÜYÜKŞEHİR/İZMİR</v>
      </c>
      <c r="E1499" t="s">
        <v>84</v>
      </c>
      <c r="F1499" t="s">
        <v>84</v>
      </c>
      <c r="G1499" t="s">
        <v>3366</v>
      </c>
      <c r="H1499">
        <v>5319.3</v>
      </c>
      <c r="I1499">
        <v>531.92999999999995</v>
      </c>
      <c r="J1499">
        <v>382</v>
      </c>
      <c r="K1499">
        <v>38.200000000000003</v>
      </c>
      <c r="L1499">
        <v>4937.3</v>
      </c>
      <c r="M1499">
        <v>493.73</v>
      </c>
      <c r="O1499" s="79">
        <f>IFERROR(VLOOKUP(D1499,'KAPANAN BLD.'!$C$2:$D$793,2,FALSE),0)</f>
        <v>0</v>
      </c>
      <c r="P1499" s="79">
        <v>0</v>
      </c>
    </row>
    <row r="1500" spans="1:16" x14ac:dyDescent="0.25">
      <c r="A1500" t="s">
        <v>32</v>
      </c>
      <c r="B1500" s="73" t="str">
        <f>VLOOKUP(C1500,'Büyükşehir List'!$C$2:$D$31,2,FALSE)</f>
        <v>İZMİR BÜYÜKŞEHİR</v>
      </c>
      <c r="C1500" t="s">
        <v>112</v>
      </c>
      <c r="D1500" s="73" t="str">
        <f t="shared" si="37"/>
        <v>İZMİR BÜYÜKŞEHİR/İZMİR</v>
      </c>
      <c r="E1500" t="s">
        <v>84</v>
      </c>
      <c r="F1500" t="s">
        <v>84</v>
      </c>
      <c r="G1500" t="s">
        <v>3367</v>
      </c>
      <c r="H1500">
        <v>7929</v>
      </c>
      <c r="I1500">
        <v>792.9</v>
      </c>
      <c r="J1500">
        <v>546.4</v>
      </c>
      <c r="K1500">
        <v>54.64</v>
      </c>
      <c r="L1500">
        <v>7382.6</v>
      </c>
      <c r="M1500">
        <v>738.26</v>
      </c>
      <c r="O1500" s="79">
        <f>IFERROR(VLOOKUP(D1500,'KAPANAN BLD.'!$C$2:$D$793,2,FALSE),0)</f>
        <v>0</v>
      </c>
      <c r="P1500" s="79">
        <v>0</v>
      </c>
    </row>
    <row r="1501" spans="1:16" x14ac:dyDescent="0.25">
      <c r="A1501" t="s">
        <v>32</v>
      </c>
      <c r="B1501" s="73" t="str">
        <f>VLOOKUP(C1501,'Büyükşehir List'!$C$2:$D$31,2,FALSE)</f>
        <v>İZMİR BÜYÜKŞEHİR</v>
      </c>
      <c r="C1501" t="s">
        <v>112</v>
      </c>
      <c r="D1501" s="73" t="str">
        <f t="shared" si="37"/>
        <v>İZMİR BÜYÜKŞEHİR/İZMİR</v>
      </c>
      <c r="E1501" t="s">
        <v>3774</v>
      </c>
      <c r="F1501" t="s">
        <v>3774</v>
      </c>
      <c r="G1501" t="s">
        <v>3367</v>
      </c>
      <c r="H1501">
        <v>360</v>
      </c>
      <c r="I1501">
        <v>36</v>
      </c>
      <c r="J1501">
        <v>0</v>
      </c>
      <c r="K1501">
        <v>0</v>
      </c>
      <c r="L1501">
        <v>360</v>
      </c>
      <c r="M1501">
        <v>36</v>
      </c>
      <c r="O1501" s="79">
        <f>IFERROR(VLOOKUP(D1501,'KAPANAN BLD.'!$C$2:$D$793,2,FALSE),0)</f>
        <v>0</v>
      </c>
      <c r="P1501" s="79">
        <v>0</v>
      </c>
    </row>
    <row r="1502" spans="1:16" x14ac:dyDescent="0.25">
      <c r="A1502" t="s">
        <v>32</v>
      </c>
      <c r="B1502" s="73" t="str">
        <f>VLOOKUP(C1502,'Büyükşehir List'!$C$2:$D$31,2,FALSE)</f>
        <v>İZMİR BÜYÜKŞEHİR</v>
      </c>
      <c r="C1502" t="s">
        <v>112</v>
      </c>
      <c r="D1502" s="73" t="str">
        <f t="shared" si="37"/>
        <v>İZMİR BÜYÜKŞEHİR/İZMİR</v>
      </c>
      <c r="E1502" t="s">
        <v>3774</v>
      </c>
      <c r="F1502" t="s">
        <v>3774</v>
      </c>
      <c r="G1502" t="s">
        <v>3366</v>
      </c>
      <c r="H1502">
        <v>1129.8</v>
      </c>
      <c r="I1502">
        <v>112.98</v>
      </c>
      <c r="J1502">
        <v>0</v>
      </c>
      <c r="K1502">
        <v>0</v>
      </c>
      <c r="L1502">
        <v>1129.8</v>
      </c>
      <c r="M1502">
        <v>112.98</v>
      </c>
      <c r="O1502" s="79">
        <f>IFERROR(VLOOKUP(D1502,'KAPANAN BLD.'!$C$2:$D$793,2,FALSE),0)</f>
        <v>0</v>
      </c>
      <c r="P1502" s="79">
        <v>0</v>
      </c>
    </row>
    <row r="1503" spans="1:16" x14ac:dyDescent="0.25">
      <c r="A1503" t="s">
        <v>32</v>
      </c>
      <c r="B1503" s="73" t="str">
        <f>VLOOKUP(C1503,'Büyükşehir List'!$C$2:$D$31,2,FALSE)</f>
        <v>İZMİR BÜYÜKŞEHİR</v>
      </c>
      <c r="C1503" t="s">
        <v>112</v>
      </c>
      <c r="D1503" s="73" t="str">
        <f t="shared" si="37"/>
        <v>İZMİR BÜYÜKŞEHİR/İZMİR</v>
      </c>
      <c r="E1503" t="s">
        <v>113</v>
      </c>
      <c r="F1503" t="s">
        <v>113</v>
      </c>
      <c r="G1503" t="s">
        <v>3367</v>
      </c>
      <c r="H1503">
        <v>58724.18</v>
      </c>
      <c r="I1503">
        <v>5872.42</v>
      </c>
      <c r="J1503">
        <v>26239.8</v>
      </c>
      <c r="K1503">
        <v>2623.98</v>
      </c>
      <c r="L1503">
        <v>32484.38</v>
      </c>
      <c r="M1503">
        <v>3248.44</v>
      </c>
      <c r="O1503" s="79">
        <f>IFERROR(VLOOKUP(D1503,'KAPANAN BLD.'!$C$2:$D$793,2,FALSE),0)</f>
        <v>0</v>
      </c>
      <c r="P1503" s="79">
        <v>0</v>
      </c>
    </row>
    <row r="1504" spans="1:16" x14ac:dyDescent="0.25">
      <c r="A1504" t="s">
        <v>32</v>
      </c>
      <c r="B1504" s="73" t="str">
        <f>VLOOKUP(C1504,'Büyükşehir List'!$C$2:$D$31,2,FALSE)</f>
        <v>İZMİR BÜYÜKŞEHİR</v>
      </c>
      <c r="C1504" t="s">
        <v>112</v>
      </c>
      <c r="D1504" s="73" t="str">
        <f t="shared" si="37"/>
        <v>İZMİR BÜYÜKŞEHİR/İZMİR</v>
      </c>
      <c r="E1504" t="s">
        <v>113</v>
      </c>
      <c r="F1504" t="s">
        <v>113</v>
      </c>
      <c r="G1504" t="s">
        <v>3366</v>
      </c>
      <c r="H1504">
        <v>34499.68</v>
      </c>
      <c r="I1504">
        <v>3449.97</v>
      </c>
      <c r="J1504">
        <v>9739.9</v>
      </c>
      <c r="K1504">
        <v>973.99</v>
      </c>
      <c r="L1504">
        <v>24759.78</v>
      </c>
      <c r="M1504">
        <v>2475.98</v>
      </c>
      <c r="O1504" s="79">
        <f>IFERROR(VLOOKUP(D1504,'KAPANAN BLD.'!$C$2:$D$793,2,FALSE),0)</f>
        <v>0</v>
      </c>
      <c r="P1504" s="79">
        <v>0</v>
      </c>
    </row>
    <row r="1505" spans="1:17" x14ac:dyDescent="0.25">
      <c r="A1505" t="s">
        <v>32</v>
      </c>
      <c r="B1505" s="73" t="str">
        <f>VLOOKUP(C1505,'Büyükşehir List'!$C$2:$D$31,2,FALSE)</f>
        <v>İZMİR BÜYÜKŞEHİR</v>
      </c>
      <c r="C1505" t="s">
        <v>112</v>
      </c>
      <c r="D1505" s="73" t="str">
        <f t="shared" si="37"/>
        <v>İZMİR BÜYÜKŞEHİR/İZMİR</v>
      </c>
      <c r="E1505" t="s">
        <v>1872</v>
      </c>
      <c r="F1505" t="s">
        <v>1872</v>
      </c>
      <c r="G1505" t="s">
        <v>3366</v>
      </c>
      <c r="H1505">
        <v>186772.4</v>
      </c>
      <c r="I1505">
        <v>18677.259999999998</v>
      </c>
      <c r="J1505">
        <v>1530.9</v>
      </c>
      <c r="K1505">
        <v>153.09</v>
      </c>
      <c r="L1505">
        <v>185241.5</v>
      </c>
      <c r="M1505">
        <v>18524.169999999998</v>
      </c>
      <c r="O1505" s="79">
        <f>IFERROR(VLOOKUP(D1505,'KAPANAN BLD.'!$C$2:$D$793,2,FALSE),0)</f>
        <v>0</v>
      </c>
      <c r="P1505" s="79">
        <v>0</v>
      </c>
    </row>
    <row r="1506" spans="1:17" x14ac:dyDescent="0.25">
      <c r="A1506" t="s">
        <v>32</v>
      </c>
      <c r="B1506" s="73" t="str">
        <f>VLOOKUP(C1506,'Büyükşehir List'!$C$2:$D$31,2,FALSE)</f>
        <v>İZMİR BÜYÜKŞEHİR</v>
      </c>
      <c r="C1506" t="s">
        <v>112</v>
      </c>
      <c r="D1506" s="73" t="str">
        <f t="shared" si="37"/>
        <v>İZMİR BÜYÜKŞEHİR/İZMİR</v>
      </c>
      <c r="E1506" t="s">
        <v>1872</v>
      </c>
      <c r="F1506" t="s">
        <v>1872</v>
      </c>
      <c r="G1506" t="s">
        <v>3367</v>
      </c>
      <c r="H1506">
        <v>91759.77</v>
      </c>
      <c r="I1506">
        <v>9175.98</v>
      </c>
      <c r="J1506">
        <v>6508.2</v>
      </c>
      <c r="K1506">
        <v>650.82000000000005</v>
      </c>
      <c r="L1506">
        <v>85251.57</v>
      </c>
      <c r="M1506">
        <v>8525.16</v>
      </c>
      <c r="O1506" s="79">
        <f>IFERROR(VLOOKUP(D1506,'KAPANAN BLD.'!$C$2:$D$793,2,FALSE),0)</f>
        <v>0</v>
      </c>
      <c r="P1506" s="79">
        <v>0</v>
      </c>
    </row>
    <row r="1507" spans="1:17" x14ac:dyDescent="0.25">
      <c r="A1507" t="s">
        <v>32</v>
      </c>
      <c r="B1507" s="73" t="str">
        <f>VLOOKUP(C1507,'Büyükşehir List'!$C$2:$D$31,2,FALSE)</f>
        <v>İZMİR BÜYÜKŞEHİR</v>
      </c>
      <c r="C1507" t="s">
        <v>112</v>
      </c>
      <c r="D1507" s="73" t="str">
        <f t="shared" si="37"/>
        <v>İZMİR BÜYÜKŞEHİR/İZMİR</v>
      </c>
      <c r="E1507" t="s">
        <v>114</v>
      </c>
      <c r="F1507" t="s">
        <v>114</v>
      </c>
      <c r="G1507" t="s">
        <v>3367</v>
      </c>
      <c r="H1507">
        <v>3766</v>
      </c>
      <c r="I1507">
        <v>376.6</v>
      </c>
      <c r="J1507">
        <v>47.6</v>
      </c>
      <c r="K1507">
        <v>4.76</v>
      </c>
      <c r="L1507">
        <v>3718.4</v>
      </c>
      <c r="M1507">
        <v>371.84</v>
      </c>
      <c r="O1507" s="79">
        <f>IFERROR(VLOOKUP(D1507,'KAPANAN BLD.'!$C$2:$D$793,2,FALSE),0)</f>
        <v>0</v>
      </c>
      <c r="P1507" s="79">
        <v>0</v>
      </c>
    </row>
    <row r="1508" spans="1:17" x14ac:dyDescent="0.25">
      <c r="A1508" t="s">
        <v>32</v>
      </c>
      <c r="B1508" s="73" t="str">
        <f>VLOOKUP(C1508,'Büyükşehir List'!$C$2:$D$31,2,FALSE)</f>
        <v>İZMİR BÜYÜKŞEHİR</v>
      </c>
      <c r="C1508" t="s">
        <v>112</v>
      </c>
      <c r="D1508" s="73" t="str">
        <f t="shared" si="37"/>
        <v>İZMİR BÜYÜKŞEHİR/İZMİR</v>
      </c>
      <c r="E1508" t="s">
        <v>114</v>
      </c>
      <c r="F1508" t="s">
        <v>114</v>
      </c>
      <c r="G1508" t="s">
        <v>3366</v>
      </c>
      <c r="H1508">
        <v>1967</v>
      </c>
      <c r="I1508">
        <v>196.7</v>
      </c>
      <c r="J1508">
        <v>307.7</v>
      </c>
      <c r="K1508">
        <v>30.77</v>
      </c>
      <c r="L1508">
        <v>1659.3</v>
      </c>
      <c r="M1508">
        <v>165.93</v>
      </c>
      <c r="O1508" s="79">
        <f>IFERROR(VLOOKUP(D1508,'KAPANAN BLD.'!$C$2:$D$793,2,FALSE),0)</f>
        <v>0</v>
      </c>
      <c r="P1508" s="79">
        <v>0</v>
      </c>
    </row>
    <row r="1509" spans="1:17" x14ac:dyDescent="0.25">
      <c r="A1509" t="s">
        <v>32</v>
      </c>
      <c r="B1509" s="73" t="str">
        <f>VLOOKUP(C1509,'Büyükşehir List'!$C$2:$D$31,2,FALSE)</f>
        <v>İZMİR BÜYÜKŞEHİR</v>
      </c>
      <c r="C1509" t="s">
        <v>112</v>
      </c>
      <c r="D1509" s="73" t="str">
        <f t="shared" si="37"/>
        <v>İZMİR BÜYÜKŞEHİR/İZMİR</v>
      </c>
      <c r="E1509" t="s">
        <v>1872</v>
      </c>
      <c r="F1509" t="s">
        <v>1872</v>
      </c>
      <c r="G1509" t="s">
        <v>3366</v>
      </c>
      <c r="H1509">
        <v>4140.3500000000004</v>
      </c>
      <c r="I1509">
        <v>414.04</v>
      </c>
      <c r="J1509">
        <v>0</v>
      </c>
      <c r="K1509">
        <v>0</v>
      </c>
      <c r="L1509">
        <v>4140.3500000000004</v>
      </c>
      <c r="M1509">
        <v>414.04</v>
      </c>
      <c r="O1509" s="79">
        <f>IFERROR(VLOOKUP(D1509,'KAPANAN BLD.'!$C$2:$D$793,2,FALSE),0)</f>
        <v>0</v>
      </c>
      <c r="P1509" s="79">
        <v>0</v>
      </c>
      <c r="Q1509" s="32"/>
    </row>
    <row r="1510" spans="1:17" x14ac:dyDescent="0.25">
      <c r="A1510" t="s">
        <v>32</v>
      </c>
      <c r="B1510" s="73" t="str">
        <f>VLOOKUP(C1510,'Büyükşehir List'!$C$2:$D$31,2,FALSE)</f>
        <v>İZMİR BÜYÜKŞEHİR</v>
      </c>
      <c r="C1510" t="s">
        <v>112</v>
      </c>
      <c r="D1510" s="73" t="str">
        <f t="shared" si="37"/>
        <v>İZMİR BÜYÜKŞEHİR/İZMİR</v>
      </c>
      <c r="E1510" t="s">
        <v>1872</v>
      </c>
      <c r="F1510" t="s">
        <v>1872</v>
      </c>
      <c r="G1510" t="s">
        <v>3367</v>
      </c>
      <c r="H1510">
        <v>12685.95</v>
      </c>
      <c r="I1510">
        <v>1268.5999999999999</v>
      </c>
      <c r="J1510">
        <v>9.1</v>
      </c>
      <c r="K1510">
        <v>0.91</v>
      </c>
      <c r="L1510">
        <v>12676.85</v>
      </c>
      <c r="M1510">
        <v>1267.69</v>
      </c>
      <c r="O1510" s="79">
        <f>IFERROR(VLOOKUP(D1510,'KAPANAN BLD.'!$C$2:$D$793,2,FALSE),0)</f>
        <v>0</v>
      </c>
      <c r="P1510" s="79">
        <v>0</v>
      </c>
      <c r="Q1510" s="32"/>
    </row>
    <row r="1511" spans="1:17" x14ac:dyDescent="0.25">
      <c r="A1511" t="s">
        <v>32</v>
      </c>
      <c r="B1511" s="73" t="str">
        <f>VLOOKUP(C1511,'Büyükşehir List'!$C$2:$D$31,2,FALSE)</f>
        <v>İZMİR BÜYÜKŞEHİR</v>
      </c>
      <c r="C1511" t="s">
        <v>112</v>
      </c>
      <c r="D1511" s="73" t="str">
        <f t="shared" si="37"/>
        <v>İZMİR BÜYÜKŞEHİR/İZMİR</v>
      </c>
      <c r="E1511" t="s">
        <v>1872</v>
      </c>
      <c r="F1511" t="s">
        <v>1872</v>
      </c>
      <c r="G1511" t="s">
        <v>3367</v>
      </c>
      <c r="H1511">
        <v>69550.97</v>
      </c>
      <c r="I1511">
        <v>6955.09</v>
      </c>
      <c r="J1511">
        <v>12137.34</v>
      </c>
      <c r="K1511">
        <v>1213.73</v>
      </c>
      <c r="L1511">
        <v>57413.63</v>
      </c>
      <c r="M1511">
        <v>5741.36</v>
      </c>
      <c r="O1511" s="79">
        <f>IFERROR(VLOOKUP(D1511,'KAPANAN BLD.'!$C$2:$D$793,2,FALSE),0)</f>
        <v>0</v>
      </c>
      <c r="P1511" s="79">
        <v>0</v>
      </c>
      <c r="Q1511" s="32"/>
    </row>
    <row r="1512" spans="1:17" x14ac:dyDescent="0.25">
      <c r="A1512" t="s">
        <v>32</v>
      </c>
      <c r="B1512" s="73" t="str">
        <f>VLOOKUP(C1512,'Büyükşehir List'!$C$2:$D$31,2,FALSE)</f>
        <v>İZMİR BÜYÜKŞEHİR</v>
      </c>
      <c r="C1512" t="s">
        <v>112</v>
      </c>
      <c r="D1512" s="73" t="str">
        <f t="shared" si="37"/>
        <v>İZMİR BÜYÜKŞEHİR/İZMİR</v>
      </c>
      <c r="E1512" t="s">
        <v>1872</v>
      </c>
      <c r="F1512" t="s">
        <v>1872</v>
      </c>
      <c r="G1512" t="s">
        <v>3366</v>
      </c>
      <c r="H1512">
        <v>86798.9</v>
      </c>
      <c r="I1512">
        <v>8679.89</v>
      </c>
      <c r="J1512">
        <v>23258.89</v>
      </c>
      <c r="K1512">
        <v>2325.89</v>
      </c>
      <c r="L1512">
        <v>63540.01</v>
      </c>
      <c r="M1512">
        <v>6354</v>
      </c>
      <c r="O1512" s="79">
        <f>IFERROR(VLOOKUP(D1512,'KAPANAN BLD.'!$C$2:$D$793,2,FALSE),0)</f>
        <v>0</v>
      </c>
      <c r="P1512" s="79">
        <v>0</v>
      </c>
      <c r="Q1512" s="32"/>
    </row>
    <row r="1513" spans="1:17" x14ac:dyDescent="0.25">
      <c r="A1513" t="s">
        <v>32</v>
      </c>
      <c r="B1513" s="73" t="str">
        <f>VLOOKUP(C1513,'Büyükşehir List'!$C$2:$D$31,2,FALSE)</f>
        <v>İZMİR BÜYÜKŞEHİR</v>
      </c>
      <c r="C1513" t="s">
        <v>112</v>
      </c>
      <c r="D1513" s="73" t="str">
        <f t="shared" si="37"/>
        <v>İZMİR BÜYÜKŞEHİR/İZMİR</v>
      </c>
      <c r="E1513" t="s">
        <v>3901</v>
      </c>
      <c r="F1513" t="s">
        <v>3901</v>
      </c>
      <c r="G1513" t="s">
        <v>3367</v>
      </c>
      <c r="H1513">
        <v>868.4</v>
      </c>
      <c r="I1513">
        <v>86.84</v>
      </c>
      <c r="J1513">
        <v>55.3</v>
      </c>
      <c r="K1513">
        <v>5.53</v>
      </c>
      <c r="L1513">
        <v>813.1</v>
      </c>
      <c r="M1513">
        <v>81.31</v>
      </c>
      <c r="O1513" s="79">
        <f>IFERROR(VLOOKUP(D1513,'KAPANAN BLD.'!$C$2:$D$793,2,FALSE),0)</f>
        <v>0</v>
      </c>
      <c r="P1513" s="79">
        <v>0</v>
      </c>
      <c r="Q1513" s="32"/>
    </row>
    <row r="1514" spans="1:17" x14ac:dyDescent="0.25">
      <c r="A1514" t="s">
        <v>32</v>
      </c>
      <c r="B1514" s="73" t="str">
        <f>VLOOKUP(C1514,'Büyükşehir List'!$C$2:$D$31,2,FALSE)</f>
        <v>İZMİR BÜYÜKŞEHİR</v>
      </c>
      <c r="C1514" t="s">
        <v>112</v>
      </c>
      <c r="D1514" s="73" t="str">
        <f t="shared" si="37"/>
        <v>İZMİR BÜYÜKŞEHİR/İZMİR</v>
      </c>
      <c r="E1514" t="s">
        <v>3901</v>
      </c>
      <c r="F1514" t="s">
        <v>3901</v>
      </c>
      <c r="G1514" t="s">
        <v>3366</v>
      </c>
      <c r="H1514">
        <v>1089.8</v>
      </c>
      <c r="I1514">
        <v>108.98</v>
      </c>
      <c r="J1514">
        <v>0</v>
      </c>
      <c r="K1514">
        <v>0</v>
      </c>
      <c r="L1514">
        <v>1089.8</v>
      </c>
      <c r="M1514">
        <v>108.98</v>
      </c>
      <c r="O1514" s="79">
        <f>IFERROR(VLOOKUP(D1514,'KAPANAN BLD.'!$C$2:$D$793,2,FALSE),0)</f>
        <v>0</v>
      </c>
      <c r="P1514" s="79">
        <v>0</v>
      </c>
      <c r="Q1514" s="32"/>
    </row>
    <row r="1515" spans="1:17" x14ac:dyDescent="0.25">
      <c r="A1515" t="s">
        <v>32</v>
      </c>
      <c r="B1515" s="73" t="str">
        <f>VLOOKUP(C1515,'Büyükşehir List'!$C$2:$D$31,2,FALSE)</f>
        <v>İZMİR BÜYÜKŞEHİR</v>
      </c>
      <c r="C1515" t="s">
        <v>112</v>
      </c>
      <c r="D1515" s="73" t="str">
        <f t="shared" si="37"/>
        <v>İZMİR BÜYÜKŞEHİR/İZMİR</v>
      </c>
      <c r="E1515" t="s">
        <v>3775</v>
      </c>
      <c r="F1515" t="s">
        <v>3775</v>
      </c>
      <c r="G1515" t="s">
        <v>3367</v>
      </c>
      <c r="H1515">
        <v>5657.2</v>
      </c>
      <c r="I1515">
        <v>565.72</v>
      </c>
      <c r="J1515">
        <v>117.5</v>
      </c>
      <c r="K1515">
        <v>11.75</v>
      </c>
      <c r="L1515">
        <v>5539.7</v>
      </c>
      <c r="M1515">
        <v>553.97</v>
      </c>
      <c r="O1515" s="79">
        <f>IFERROR(VLOOKUP(D1515,'KAPANAN BLD.'!$C$2:$D$793,2,FALSE),0)</f>
        <v>0</v>
      </c>
      <c r="P1515" s="79">
        <v>0</v>
      </c>
      <c r="Q1515" s="32"/>
    </row>
    <row r="1516" spans="1:17" x14ac:dyDescent="0.25">
      <c r="A1516" t="s">
        <v>32</v>
      </c>
      <c r="B1516" s="73" t="str">
        <f>VLOOKUP(C1516,'Büyükşehir List'!$C$2:$D$31,2,FALSE)</f>
        <v>İZMİR BÜYÜKŞEHİR</v>
      </c>
      <c r="C1516" t="s">
        <v>112</v>
      </c>
      <c r="D1516" s="73" t="str">
        <f t="shared" si="37"/>
        <v>İZMİR BÜYÜKŞEHİR/İZMİR</v>
      </c>
      <c r="E1516" t="s">
        <v>3775</v>
      </c>
      <c r="F1516" t="s">
        <v>3775</v>
      </c>
      <c r="G1516" t="s">
        <v>3366</v>
      </c>
      <c r="H1516">
        <v>3586.9</v>
      </c>
      <c r="I1516">
        <v>358.69</v>
      </c>
      <c r="J1516">
        <v>219.9</v>
      </c>
      <c r="K1516">
        <v>21.99</v>
      </c>
      <c r="L1516">
        <v>3367</v>
      </c>
      <c r="M1516">
        <v>336.7</v>
      </c>
      <c r="O1516" s="79">
        <f>IFERROR(VLOOKUP(D1516,'KAPANAN BLD.'!$C$2:$D$793,2,FALSE),0)</f>
        <v>0</v>
      </c>
      <c r="P1516" s="79">
        <v>0</v>
      </c>
      <c r="Q1516" s="32"/>
    </row>
    <row r="1517" spans="1:17" x14ac:dyDescent="0.25">
      <c r="A1517" t="s">
        <v>32</v>
      </c>
      <c r="B1517" s="73" t="str">
        <f>VLOOKUP(C1517,'Büyükşehir List'!$C$2:$D$31,2,FALSE)</f>
        <v>İZMİR BÜYÜKŞEHİR</v>
      </c>
      <c r="C1517" t="s">
        <v>112</v>
      </c>
      <c r="D1517" s="73" t="str">
        <f t="shared" si="37"/>
        <v>İZMİR BÜYÜKŞEHİR/İZMİR</v>
      </c>
      <c r="E1517" t="s">
        <v>1872</v>
      </c>
      <c r="F1517" t="s">
        <v>1872</v>
      </c>
      <c r="G1517" t="s">
        <v>3367</v>
      </c>
      <c r="H1517">
        <v>22915.94</v>
      </c>
      <c r="I1517">
        <v>2291.59</v>
      </c>
      <c r="J1517">
        <v>152.30000000000001</v>
      </c>
      <c r="K1517">
        <v>15.23</v>
      </c>
      <c r="L1517">
        <v>22763.64</v>
      </c>
      <c r="M1517">
        <v>2276.36</v>
      </c>
      <c r="O1517" s="79">
        <f>IFERROR(VLOOKUP(D1517,'KAPANAN BLD.'!$C$2:$D$793,2,FALSE),0)</f>
        <v>0</v>
      </c>
      <c r="P1517" s="79">
        <v>0</v>
      </c>
      <c r="Q1517" s="32"/>
    </row>
    <row r="1518" spans="1:17" x14ac:dyDescent="0.25">
      <c r="A1518" t="s">
        <v>32</v>
      </c>
      <c r="B1518" s="73" t="str">
        <f>VLOOKUP(C1518,'Büyükşehir List'!$C$2:$D$31,2,FALSE)</f>
        <v>İZMİR BÜYÜKŞEHİR</v>
      </c>
      <c r="C1518" t="s">
        <v>112</v>
      </c>
      <c r="D1518" s="73" t="str">
        <f t="shared" si="37"/>
        <v>İZMİR BÜYÜKŞEHİR/İZMİR</v>
      </c>
      <c r="E1518" t="s">
        <v>1872</v>
      </c>
      <c r="F1518" t="s">
        <v>1872</v>
      </c>
      <c r="G1518" t="s">
        <v>3366</v>
      </c>
      <c r="H1518">
        <v>17262.939999999999</v>
      </c>
      <c r="I1518">
        <v>1726.29</v>
      </c>
      <c r="J1518">
        <v>0</v>
      </c>
      <c r="K1518">
        <v>0</v>
      </c>
      <c r="L1518">
        <v>17262.939999999999</v>
      </c>
      <c r="M1518">
        <v>1726.29</v>
      </c>
      <c r="O1518" s="79">
        <f>IFERROR(VLOOKUP(D1518,'KAPANAN BLD.'!$C$2:$D$793,2,FALSE),0)</f>
        <v>0</v>
      </c>
      <c r="P1518" s="79">
        <v>0</v>
      </c>
      <c r="Q1518" s="32"/>
    </row>
    <row r="1519" spans="1:17" x14ac:dyDescent="0.25">
      <c r="A1519" t="s">
        <v>32</v>
      </c>
      <c r="B1519" s="73" t="str">
        <f>VLOOKUP(C1519,'Büyükşehir List'!$C$2:$D$31,2,FALSE)</f>
        <v>İZMİR BÜYÜKŞEHİR</v>
      </c>
      <c r="C1519" t="s">
        <v>112</v>
      </c>
      <c r="D1519" s="73" t="str">
        <f t="shared" si="37"/>
        <v>İZMİR BÜYÜKŞEHİR/İZMİR</v>
      </c>
      <c r="E1519" t="s">
        <v>1872</v>
      </c>
      <c r="F1519" t="s">
        <v>1872</v>
      </c>
      <c r="G1519" t="s">
        <v>3366</v>
      </c>
      <c r="H1519">
        <v>27488.880000000001</v>
      </c>
      <c r="I1519">
        <v>2748.89</v>
      </c>
      <c r="J1519">
        <v>5098.3999999999996</v>
      </c>
      <c r="K1519">
        <v>509.84</v>
      </c>
      <c r="L1519">
        <v>22390.48</v>
      </c>
      <c r="M1519">
        <v>2239.0500000000002</v>
      </c>
      <c r="O1519" s="79">
        <f>IFERROR(VLOOKUP(D1519,'KAPANAN BLD.'!$C$2:$D$793,2,FALSE),0)</f>
        <v>0</v>
      </c>
      <c r="P1519" s="79">
        <v>0</v>
      </c>
      <c r="Q1519" s="32"/>
    </row>
    <row r="1520" spans="1:17" x14ac:dyDescent="0.25">
      <c r="A1520" t="s">
        <v>32</v>
      </c>
      <c r="B1520" s="73" t="str">
        <f>VLOOKUP(C1520,'Büyükşehir List'!$C$2:$D$31,2,FALSE)</f>
        <v>İZMİR BÜYÜKŞEHİR</v>
      </c>
      <c r="C1520" t="s">
        <v>112</v>
      </c>
      <c r="D1520" s="73" t="str">
        <f t="shared" si="37"/>
        <v>İZMİR BÜYÜKŞEHİR/İZMİR</v>
      </c>
      <c r="E1520" t="s">
        <v>1872</v>
      </c>
      <c r="F1520" t="s">
        <v>1872</v>
      </c>
      <c r="G1520" t="s">
        <v>3367</v>
      </c>
      <c r="H1520">
        <v>45692.73</v>
      </c>
      <c r="I1520">
        <v>4569.28</v>
      </c>
      <c r="J1520">
        <v>4485.8999999999996</v>
      </c>
      <c r="K1520">
        <v>448.59</v>
      </c>
      <c r="L1520">
        <v>41206.83</v>
      </c>
      <c r="M1520">
        <v>4120.6899999999996</v>
      </c>
      <c r="O1520" s="79">
        <f>IFERROR(VLOOKUP(D1520,'KAPANAN BLD.'!$C$2:$D$793,2,FALSE),0)</f>
        <v>0</v>
      </c>
      <c r="P1520" s="79">
        <v>0</v>
      </c>
      <c r="Q1520" s="32"/>
    </row>
    <row r="1521" spans="1:17" x14ac:dyDescent="0.25">
      <c r="A1521" t="s">
        <v>32</v>
      </c>
      <c r="B1521" s="73" t="str">
        <f>VLOOKUP(C1521,'Büyükşehir List'!$C$2:$D$31,2,FALSE)</f>
        <v>İZMİR BÜYÜKŞEHİR</v>
      </c>
      <c r="C1521" t="s">
        <v>112</v>
      </c>
      <c r="D1521" s="73" t="str">
        <f t="shared" si="37"/>
        <v>İZMİR BÜYÜKŞEHİR/İZMİR</v>
      </c>
      <c r="E1521" t="s">
        <v>79</v>
      </c>
      <c r="F1521" t="s">
        <v>79</v>
      </c>
      <c r="G1521" t="s">
        <v>3366</v>
      </c>
      <c r="H1521">
        <v>3144.2</v>
      </c>
      <c r="I1521">
        <v>314.42</v>
      </c>
      <c r="J1521">
        <v>778.5</v>
      </c>
      <c r="K1521">
        <v>77.849999999999994</v>
      </c>
      <c r="L1521">
        <v>2365.6999999999998</v>
      </c>
      <c r="M1521">
        <v>236.57</v>
      </c>
      <c r="O1521" s="79">
        <f>IFERROR(VLOOKUP(D1521,'KAPANAN BLD.'!$C$2:$D$793,2,FALSE),0)</f>
        <v>0</v>
      </c>
      <c r="P1521" s="79">
        <v>0</v>
      </c>
      <c r="Q1521" s="32"/>
    </row>
    <row r="1522" spans="1:17" x14ac:dyDescent="0.25">
      <c r="A1522" t="s">
        <v>32</v>
      </c>
      <c r="B1522" s="73" t="str">
        <f>VLOOKUP(C1522,'Büyükşehir List'!$C$2:$D$31,2,FALSE)</f>
        <v>İZMİR BÜYÜKŞEHİR</v>
      </c>
      <c r="C1522" t="s">
        <v>112</v>
      </c>
      <c r="D1522" s="73" t="str">
        <f t="shared" si="37"/>
        <v>İZMİR BÜYÜKŞEHİR/İZMİR</v>
      </c>
      <c r="E1522" t="s">
        <v>79</v>
      </c>
      <c r="F1522" t="s">
        <v>79</v>
      </c>
      <c r="G1522" t="s">
        <v>3367</v>
      </c>
      <c r="H1522">
        <v>4656.8999999999996</v>
      </c>
      <c r="I1522">
        <v>465.69</v>
      </c>
      <c r="J1522">
        <v>1416.5</v>
      </c>
      <c r="K1522">
        <v>141.65</v>
      </c>
      <c r="L1522">
        <v>3240.4</v>
      </c>
      <c r="M1522">
        <v>324.04000000000002</v>
      </c>
      <c r="O1522" s="79">
        <f>IFERROR(VLOOKUP(D1522,'KAPANAN BLD.'!$C$2:$D$793,2,FALSE),0)</f>
        <v>0</v>
      </c>
      <c r="P1522" s="79">
        <v>0</v>
      </c>
      <c r="Q1522" s="32"/>
    </row>
    <row r="1523" spans="1:17" x14ac:dyDescent="0.25">
      <c r="A1523" t="s">
        <v>32</v>
      </c>
      <c r="B1523" s="73" t="str">
        <f>VLOOKUP(C1523,'Büyükşehir List'!$C$2:$D$31,2,FALSE)</f>
        <v>İZMİR BÜYÜKŞEHİR</v>
      </c>
      <c r="C1523" t="s">
        <v>112</v>
      </c>
      <c r="D1523" s="73" t="str">
        <f t="shared" si="37"/>
        <v>İZMİR BÜYÜKŞEHİR/İZMİR</v>
      </c>
      <c r="E1523" t="s">
        <v>1872</v>
      </c>
      <c r="F1523" t="s">
        <v>1872</v>
      </c>
      <c r="G1523" t="s">
        <v>3367</v>
      </c>
      <c r="H1523">
        <v>140692.03</v>
      </c>
      <c r="I1523">
        <v>14069.2</v>
      </c>
      <c r="J1523">
        <v>5089.8999999999996</v>
      </c>
      <c r="K1523">
        <v>508.99</v>
      </c>
      <c r="L1523">
        <v>135602.13</v>
      </c>
      <c r="M1523">
        <v>13560.21</v>
      </c>
      <c r="O1523" s="79">
        <f>IFERROR(VLOOKUP(D1523,'KAPANAN BLD.'!$C$2:$D$793,2,FALSE),0)</f>
        <v>0</v>
      </c>
      <c r="P1523" s="79">
        <v>0</v>
      </c>
      <c r="Q1523" s="32"/>
    </row>
    <row r="1524" spans="1:17" x14ac:dyDescent="0.25">
      <c r="A1524" t="s">
        <v>32</v>
      </c>
      <c r="B1524" s="73" t="str">
        <f>VLOOKUP(C1524,'Büyükşehir List'!$C$2:$D$31,2,FALSE)</f>
        <v>İZMİR BÜYÜKŞEHİR</v>
      </c>
      <c r="C1524" t="s">
        <v>112</v>
      </c>
      <c r="D1524" s="73" t="str">
        <f t="shared" si="37"/>
        <v>İZMİR BÜYÜKŞEHİR/İZMİR</v>
      </c>
      <c r="E1524" t="s">
        <v>1872</v>
      </c>
      <c r="F1524" t="s">
        <v>1872</v>
      </c>
      <c r="G1524" t="s">
        <v>3366</v>
      </c>
      <c r="H1524">
        <v>104993.79</v>
      </c>
      <c r="I1524">
        <v>10499.38</v>
      </c>
      <c r="J1524">
        <v>5995.4</v>
      </c>
      <c r="K1524">
        <v>599.54</v>
      </c>
      <c r="L1524">
        <v>98998.39</v>
      </c>
      <c r="M1524">
        <v>9899.84</v>
      </c>
      <c r="O1524" s="79">
        <f>IFERROR(VLOOKUP(D1524,'KAPANAN BLD.'!$C$2:$D$793,2,FALSE),0)</f>
        <v>0</v>
      </c>
      <c r="P1524" s="79">
        <v>0</v>
      </c>
      <c r="Q1524" s="32"/>
    </row>
    <row r="1525" spans="1:17" x14ac:dyDescent="0.25">
      <c r="A1525" t="s">
        <v>32</v>
      </c>
      <c r="B1525" s="73" t="str">
        <f>VLOOKUP(C1525,'Büyükşehir List'!$C$2:$D$31,2,FALSE)</f>
        <v>İZMİR BÜYÜKŞEHİR</v>
      </c>
      <c r="C1525" t="s">
        <v>112</v>
      </c>
      <c r="D1525" s="73" t="str">
        <f t="shared" si="37"/>
        <v>İZMİR BÜYÜKŞEHİR/İZMİR</v>
      </c>
      <c r="E1525" t="s">
        <v>3564</v>
      </c>
      <c r="F1525" t="s">
        <v>3564</v>
      </c>
      <c r="G1525" t="s">
        <v>3367</v>
      </c>
      <c r="H1525">
        <v>4737.1000000000004</v>
      </c>
      <c r="I1525">
        <v>473.71</v>
      </c>
      <c r="J1525">
        <v>0</v>
      </c>
      <c r="K1525">
        <v>0</v>
      </c>
      <c r="L1525">
        <v>4737.1000000000004</v>
      </c>
      <c r="M1525">
        <v>473.71</v>
      </c>
      <c r="O1525" s="79">
        <f>IFERROR(VLOOKUP(D1525,'KAPANAN BLD.'!$C$2:$D$793,2,FALSE),0)</f>
        <v>0</v>
      </c>
      <c r="P1525" s="79">
        <v>0</v>
      </c>
      <c r="Q1525" s="32"/>
    </row>
    <row r="1526" spans="1:17" x14ac:dyDescent="0.25">
      <c r="A1526" t="s">
        <v>32</v>
      </c>
      <c r="B1526" s="73" t="str">
        <f>VLOOKUP(C1526,'Büyükşehir List'!$C$2:$D$31,2,FALSE)</f>
        <v>İZMİR BÜYÜKŞEHİR</v>
      </c>
      <c r="C1526" t="s">
        <v>112</v>
      </c>
      <c r="D1526" s="73" t="str">
        <f t="shared" si="37"/>
        <v>İZMİR BÜYÜKŞEHİR/İZMİR</v>
      </c>
      <c r="E1526" t="s">
        <v>3564</v>
      </c>
      <c r="F1526" t="s">
        <v>3564</v>
      </c>
      <c r="G1526" t="s">
        <v>3366</v>
      </c>
      <c r="H1526">
        <v>42878.3</v>
      </c>
      <c r="I1526">
        <v>4287.83</v>
      </c>
      <c r="J1526">
        <v>0</v>
      </c>
      <c r="K1526">
        <v>0</v>
      </c>
      <c r="L1526">
        <v>42878.3</v>
      </c>
      <c r="M1526">
        <v>4287.83</v>
      </c>
      <c r="O1526" s="79">
        <f>IFERROR(VLOOKUP(D1526,'KAPANAN BLD.'!$C$2:$D$793,2,FALSE),0)</f>
        <v>0</v>
      </c>
      <c r="P1526" s="79">
        <v>0</v>
      </c>
      <c r="Q1526" s="32"/>
    </row>
    <row r="1527" spans="1:17" x14ac:dyDescent="0.25">
      <c r="A1527" t="s">
        <v>32</v>
      </c>
      <c r="B1527" s="73" t="str">
        <f>VLOOKUP(C1527,'Büyükşehir List'!$C$2:$D$31,2,FALSE)</f>
        <v>İZMİR BÜYÜKŞEHİR</v>
      </c>
      <c r="C1527" t="s">
        <v>112</v>
      </c>
      <c r="D1527" s="73" t="str">
        <f t="shared" si="37"/>
        <v>İZMİR BÜYÜKŞEHİR/İZMİR</v>
      </c>
      <c r="E1527" t="s">
        <v>4034</v>
      </c>
      <c r="F1527" t="s">
        <v>4034</v>
      </c>
      <c r="G1527" t="s">
        <v>3367</v>
      </c>
      <c r="H1527">
        <v>3030.4</v>
      </c>
      <c r="I1527">
        <v>303.04000000000002</v>
      </c>
      <c r="J1527">
        <v>0</v>
      </c>
      <c r="K1527">
        <v>0</v>
      </c>
      <c r="L1527">
        <v>3030.4</v>
      </c>
      <c r="M1527">
        <v>303.04000000000002</v>
      </c>
      <c r="O1527" s="79">
        <f>IFERROR(VLOOKUP(D1527,'KAPANAN BLD.'!$C$2:$D$793,2,FALSE),0)</f>
        <v>0</v>
      </c>
      <c r="P1527" s="79">
        <v>0</v>
      </c>
      <c r="Q1527" s="32"/>
    </row>
    <row r="1528" spans="1:17" x14ac:dyDescent="0.25">
      <c r="A1528" t="s">
        <v>32</v>
      </c>
      <c r="B1528" s="73" t="str">
        <f>VLOOKUP(C1528,'Büyükşehir List'!$C$2:$D$31,2,FALSE)</f>
        <v>İZMİR BÜYÜKŞEHİR</v>
      </c>
      <c r="C1528" t="s">
        <v>112</v>
      </c>
      <c r="D1528" s="73" t="str">
        <f t="shared" si="37"/>
        <v>İZMİR BÜYÜKŞEHİR/İZMİR</v>
      </c>
      <c r="E1528" t="s">
        <v>4034</v>
      </c>
      <c r="F1528" t="s">
        <v>4034</v>
      </c>
      <c r="G1528" t="s">
        <v>3366</v>
      </c>
      <c r="H1528">
        <v>1774.7</v>
      </c>
      <c r="I1528">
        <v>177.47</v>
      </c>
      <c r="J1528">
        <v>0</v>
      </c>
      <c r="K1528">
        <v>0</v>
      </c>
      <c r="L1528">
        <v>1774.7</v>
      </c>
      <c r="M1528">
        <v>177.47</v>
      </c>
      <c r="O1528" s="79">
        <f>IFERROR(VLOOKUP(D1528,'KAPANAN BLD.'!$C$2:$D$793,2,FALSE),0)</f>
        <v>0</v>
      </c>
      <c r="P1528" s="79">
        <v>0</v>
      </c>
      <c r="Q1528" s="32"/>
    </row>
    <row r="1529" spans="1:17" x14ac:dyDescent="0.25">
      <c r="A1529" t="s">
        <v>32</v>
      </c>
      <c r="B1529" s="73" t="str">
        <f>VLOOKUP(C1529,'Büyükşehir List'!$C$2:$D$31,2,FALSE)</f>
        <v>İZMİR BÜYÜKŞEHİR</v>
      </c>
      <c r="C1529" t="s">
        <v>112</v>
      </c>
      <c r="D1529" s="73" t="str">
        <f t="shared" si="37"/>
        <v>İZMİR BÜYÜKŞEHİR/İZMİR</v>
      </c>
      <c r="E1529" t="s">
        <v>1872</v>
      </c>
      <c r="F1529" t="s">
        <v>1872</v>
      </c>
      <c r="G1529" t="s">
        <v>3366</v>
      </c>
      <c r="H1529">
        <v>2459.6</v>
      </c>
      <c r="I1529">
        <v>245.96</v>
      </c>
      <c r="J1529">
        <v>2266.3000000000002</v>
      </c>
      <c r="K1529">
        <v>226.63</v>
      </c>
      <c r="L1529">
        <v>193.3</v>
      </c>
      <c r="M1529">
        <v>19.329999999999998</v>
      </c>
      <c r="O1529" s="79">
        <f>IFERROR(VLOOKUP(D1529,'KAPANAN BLD.'!$C$2:$D$793,2,FALSE),0)</f>
        <v>0</v>
      </c>
      <c r="P1529" s="79">
        <v>0</v>
      </c>
      <c r="Q1529" s="32"/>
    </row>
    <row r="1530" spans="1:17" x14ac:dyDescent="0.25">
      <c r="A1530" t="s">
        <v>32</v>
      </c>
      <c r="B1530" s="73" t="str">
        <f>VLOOKUP(C1530,'Büyükşehir List'!$C$2:$D$31,2,FALSE)</f>
        <v>İZMİR BÜYÜKŞEHİR</v>
      </c>
      <c r="C1530" t="s">
        <v>112</v>
      </c>
      <c r="D1530" s="73" t="str">
        <f t="shared" si="37"/>
        <v>İZMİR BÜYÜKŞEHİR/İZMİR</v>
      </c>
      <c r="E1530" t="s">
        <v>1872</v>
      </c>
      <c r="F1530" t="s">
        <v>1872</v>
      </c>
      <c r="G1530" t="s">
        <v>3367</v>
      </c>
      <c r="H1530">
        <v>2273.9</v>
      </c>
      <c r="I1530">
        <v>227.39</v>
      </c>
      <c r="J1530">
        <v>2446.6999999999998</v>
      </c>
      <c r="K1530">
        <v>244.67</v>
      </c>
      <c r="L1530">
        <v>-172.8</v>
      </c>
      <c r="M1530">
        <v>-17.28</v>
      </c>
      <c r="O1530" s="79">
        <f>IFERROR(VLOOKUP(D1530,'KAPANAN BLD.'!$C$2:$D$793,2,FALSE),0)</f>
        <v>0</v>
      </c>
      <c r="P1530" s="79">
        <v>0</v>
      </c>
      <c r="Q1530" s="32"/>
    </row>
    <row r="1531" spans="1:17" x14ac:dyDescent="0.25">
      <c r="A1531" t="s">
        <v>32</v>
      </c>
      <c r="B1531" s="73" t="str">
        <f>VLOOKUP(C1531,'Büyükşehir List'!$C$2:$D$31,2,FALSE)</f>
        <v>İZMİR BÜYÜKŞEHİR</v>
      </c>
      <c r="C1531" t="s">
        <v>112</v>
      </c>
      <c r="D1531" s="73" t="str">
        <f t="shared" si="37"/>
        <v>İZMİR BÜYÜKŞEHİR/İZMİR</v>
      </c>
      <c r="E1531" t="s">
        <v>304</v>
      </c>
      <c r="F1531" t="s">
        <v>304</v>
      </c>
      <c r="G1531" t="s">
        <v>3367</v>
      </c>
      <c r="H1531">
        <v>155.9</v>
      </c>
      <c r="I1531">
        <v>15.59</v>
      </c>
      <c r="J1531">
        <v>0</v>
      </c>
      <c r="K1531">
        <v>0</v>
      </c>
      <c r="L1531">
        <v>155.9</v>
      </c>
      <c r="M1531">
        <v>15.59</v>
      </c>
      <c r="O1531" s="79">
        <f>IFERROR(VLOOKUP(D1531,'KAPANAN BLD.'!$C$2:$D$793,2,FALSE),0)</f>
        <v>0</v>
      </c>
      <c r="P1531" s="79">
        <v>0</v>
      </c>
      <c r="Q1531" s="32"/>
    </row>
    <row r="1532" spans="1:17" x14ac:dyDescent="0.25">
      <c r="A1532" t="s">
        <v>32</v>
      </c>
      <c r="B1532" s="73" t="str">
        <f>VLOOKUP(C1532,'Büyükşehir List'!$C$2:$D$31,2,FALSE)</f>
        <v>İZMİR BÜYÜKŞEHİR</v>
      </c>
      <c r="C1532" t="s">
        <v>112</v>
      </c>
      <c r="D1532" s="73" t="str">
        <f t="shared" si="37"/>
        <v>İZMİR BÜYÜKŞEHİR/İZMİR</v>
      </c>
      <c r="E1532" t="s">
        <v>304</v>
      </c>
      <c r="F1532" t="s">
        <v>304</v>
      </c>
      <c r="G1532" t="s">
        <v>3366</v>
      </c>
      <c r="H1532">
        <v>2421</v>
      </c>
      <c r="I1532">
        <v>242.1</v>
      </c>
      <c r="J1532">
        <v>0</v>
      </c>
      <c r="K1532">
        <v>0</v>
      </c>
      <c r="L1532">
        <v>2421</v>
      </c>
      <c r="M1532">
        <v>242.1</v>
      </c>
      <c r="O1532" s="79">
        <f>IFERROR(VLOOKUP(D1532,'KAPANAN BLD.'!$C$2:$D$793,2,FALSE),0)</f>
        <v>0</v>
      </c>
      <c r="P1532" s="79">
        <v>0</v>
      </c>
      <c r="Q1532" s="32"/>
    </row>
    <row r="1533" spans="1:17" x14ac:dyDescent="0.25">
      <c r="A1533" t="s">
        <v>32</v>
      </c>
      <c r="B1533" s="73" t="str">
        <f>VLOOKUP(C1533,'Büyükşehir List'!$C$2:$D$31,2,FALSE)</f>
        <v>İZMİR BÜYÜKŞEHİR</v>
      </c>
      <c r="C1533" t="s">
        <v>112</v>
      </c>
      <c r="D1533" s="73" t="str">
        <f t="shared" si="37"/>
        <v>İZMİR BÜYÜKŞEHİR/İZMİR</v>
      </c>
      <c r="E1533" t="s">
        <v>1872</v>
      </c>
      <c r="F1533" t="s">
        <v>1872</v>
      </c>
      <c r="G1533" t="s">
        <v>3367</v>
      </c>
      <c r="H1533">
        <v>173838.79</v>
      </c>
      <c r="I1533">
        <v>17383.88</v>
      </c>
      <c r="J1533">
        <v>11243.8</v>
      </c>
      <c r="K1533">
        <v>1124.3800000000001</v>
      </c>
      <c r="L1533">
        <v>162594.99</v>
      </c>
      <c r="M1533">
        <v>16259.5</v>
      </c>
      <c r="O1533" s="79">
        <f>IFERROR(VLOOKUP(D1533,'KAPANAN BLD.'!$C$2:$D$793,2,FALSE),0)</f>
        <v>0</v>
      </c>
      <c r="P1533" s="79">
        <v>0</v>
      </c>
      <c r="Q1533" s="32"/>
    </row>
    <row r="1534" spans="1:17" x14ac:dyDescent="0.25">
      <c r="A1534" t="s">
        <v>32</v>
      </c>
      <c r="B1534" s="73" t="str">
        <f>VLOOKUP(C1534,'Büyükşehir List'!$C$2:$D$31,2,FALSE)</f>
        <v>İZMİR BÜYÜKŞEHİR</v>
      </c>
      <c r="C1534" t="s">
        <v>112</v>
      </c>
      <c r="D1534" s="73" t="str">
        <f t="shared" si="37"/>
        <v>İZMİR BÜYÜKŞEHİR/İZMİR</v>
      </c>
      <c r="E1534" t="s">
        <v>1872</v>
      </c>
      <c r="F1534" t="s">
        <v>1872</v>
      </c>
      <c r="G1534" t="s">
        <v>3366</v>
      </c>
      <c r="H1534">
        <v>149295.9</v>
      </c>
      <c r="I1534">
        <v>14929.59</v>
      </c>
      <c r="J1534">
        <v>12677.4</v>
      </c>
      <c r="K1534">
        <v>1267.74</v>
      </c>
      <c r="L1534">
        <v>136618.5</v>
      </c>
      <c r="M1534">
        <v>13661.85</v>
      </c>
      <c r="O1534" s="79">
        <f>IFERROR(VLOOKUP(D1534,'KAPANAN BLD.'!$C$2:$D$793,2,FALSE),0)</f>
        <v>0</v>
      </c>
      <c r="P1534" s="79">
        <v>0</v>
      </c>
      <c r="Q1534" s="32"/>
    </row>
    <row r="1535" spans="1:17" x14ac:dyDescent="0.25">
      <c r="A1535" t="s">
        <v>32</v>
      </c>
      <c r="B1535" s="73" t="str">
        <f>VLOOKUP(C1535,'Büyükşehir List'!$C$2:$D$31,2,FALSE)</f>
        <v>İZMİR BÜYÜKŞEHİR</v>
      </c>
      <c r="C1535" t="s">
        <v>112</v>
      </c>
      <c r="D1535" s="73" t="str">
        <f t="shared" si="37"/>
        <v>İZMİR BÜYÜKŞEHİR/İZMİR</v>
      </c>
      <c r="E1535" t="s">
        <v>512</v>
      </c>
      <c r="F1535" t="s">
        <v>512</v>
      </c>
      <c r="G1535" t="s">
        <v>3366</v>
      </c>
      <c r="H1535">
        <v>932.9</v>
      </c>
      <c r="I1535">
        <v>93.29</v>
      </c>
      <c r="J1535">
        <v>137.1</v>
      </c>
      <c r="K1535">
        <v>13.71</v>
      </c>
      <c r="L1535">
        <v>795.8</v>
      </c>
      <c r="M1535">
        <v>79.58</v>
      </c>
      <c r="O1535" s="79">
        <f>IFERROR(VLOOKUP(D1535,'KAPANAN BLD.'!$C$2:$D$793,2,FALSE),0)</f>
        <v>0</v>
      </c>
      <c r="P1535" s="79">
        <v>0</v>
      </c>
      <c r="Q1535" s="32"/>
    </row>
    <row r="1536" spans="1:17" x14ac:dyDescent="0.25">
      <c r="A1536" t="s">
        <v>32</v>
      </c>
      <c r="B1536" s="73" t="str">
        <f>VLOOKUP(C1536,'Büyükşehir List'!$C$2:$D$31,2,FALSE)</f>
        <v>İZMİR BÜYÜKŞEHİR</v>
      </c>
      <c r="C1536" t="s">
        <v>112</v>
      </c>
      <c r="D1536" s="73" t="str">
        <f t="shared" si="37"/>
        <v>İZMİR BÜYÜKŞEHİR/İZMİR</v>
      </c>
      <c r="E1536" t="s">
        <v>512</v>
      </c>
      <c r="F1536" t="s">
        <v>512</v>
      </c>
      <c r="G1536" t="s">
        <v>3367</v>
      </c>
      <c r="H1536">
        <v>509.3</v>
      </c>
      <c r="I1536">
        <v>50.93</v>
      </c>
      <c r="J1536">
        <v>11.4</v>
      </c>
      <c r="K1536">
        <v>1.1399999999999999</v>
      </c>
      <c r="L1536">
        <v>497.9</v>
      </c>
      <c r="M1536">
        <v>49.79</v>
      </c>
      <c r="O1536" s="79">
        <f>IFERROR(VLOOKUP(D1536,'KAPANAN BLD.'!$C$2:$D$793,2,FALSE),0)</f>
        <v>0</v>
      </c>
      <c r="P1536" s="79">
        <v>0</v>
      </c>
      <c r="Q1536" s="32"/>
    </row>
    <row r="1537" spans="1:17" x14ac:dyDescent="0.25">
      <c r="A1537" t="s">
        <v>32</v>
      </c>
      <c r="B1537" s="73" t="str">
        <f>VLOOKUP(C1537,'Büyükşehir List'!$C$2:$D$31,2,FALSE)</f>
        <v>İZMİR BÜYÜKŞEHİR</v>
      </c>
      <c r="C1537" t="s">
        <v>112</v>
      </c>
      <c r="D1537" s="73" t="str">
        <f t="shared" si="37"/>
        <v>İZMİR BÜYÜKŞEHİR/İZMİR</v>
      </c>
      <c r="E1537" t="s">
        <v>1872</v>
      </c>
      <c r="F1537" t="s">
        <v>1872</v>
      </c>
      <c r="G1537" t="s">
        <v>3367</v>
      </c>
      <c r="H1537">
        <v>16036.06</v>
      </c>
      <c r="I1537">
        <v>1603.61</v>
      </c>
      <c r="J1537">
        <v>1862.1</v>
      </c>
      <c r="K1537">
        <v>186.21</v>
      </c>
      <c r="L1537">
        <v>14173.96</v>
      </c>
      <c r="M1537">
        <v>1417.4</v>
      </c>
      <c r="O1537" s="79">
        <f>IFERROR(VLOOKUP(D1537,'KAPANAN BLD.'!$C$2:$D$793,2,FALSE),0)</f>
        <v>0</v>
      </c>
      <c r="P1537" s="79">
        <v>0</v>
      </c>
      <c r="Q1537" s="32"/>
    </row>
    <row r="1538" spans="1:17" x14ac:dyDescent="0.25">
      <c r="A1538" t="s">
        <v>32</v>
      </c>
      <c r="B1538" s="73" t="str">
        <f>VLOOKUP(C1538,'Büyükşehir List'!$C$2:$D$31,2,FALSE)</f>
        <v>İZMİR BÜYÜKŞEHİR</v>
      </c>
      <c r="C1538" t="s">
        <v>112</v>
      </c>
      <c r="D1538" s="73" t="str">
        <f t="shared" si="37"/>
        <v>İZMİR BÜYÜKŞEHİR/İZMİR</v>
      </c>
      <c r="E1538" t="s">
        <v>1872</v>
      </c>
      <c r="F1538" t="s">
        <v>1872</v>
      </c>
      <c r="G1538" t="s">
        <v>3366</v>
      </c>
      <c r="H1538">
        <v>8601.98</v>
      </c>
      <c r="I1538">
        <v>860.2</v>
      </c>
      <c r="J1538">
        <v>1119.95</v>
      </c>
      <c r="K1538">
        <v>112</v>
      </c>
      <c r="L1538">
        <v>7482.03</v>
      </c>
      <c r="M1538">
        <v>748.2</v>
      </c>
      <c r="O1538" s="79">
        <f>IFERROR(VLOOKUP(D1538,'KAPANAN BLD.'!$C$2:$D$793,2,FALSE),0)</f>
        <v>0</v>
      </c>
      <c r="P1538" s="79">
        <v>0</v>
      </c>
      <c r="Q1538" s="32"/>
    </row>
    <row r="1539" spans="1:17" x14ac:dyDescent="0.25">
      <c r="A1539" t="s">
        <v>32</v>
      </c>
      <c r="B1539" s="73" t="str">
        <f>VLOOKUP(C1539,'Büyükşehir List'!$C$2:$D$31,2,FALSE)</f>
        <v>İZMİR BÜYÜKŞEHİR</v>
      </c>
      <c r="C1539" t="s">
        <v>112</v>
      </c>
      <c r="D1539" s="73" t="str">
        <f t="shared" ref="D1539:D1602" si="38">CONCATENATE(B1539,"/",C1539)</f>
        <v>İZMİR BÜYÜKŞEHİR/İZMİR</v>
      </c>
      <c r="E1539" t="s">
        <v>1872</v>
      </c>
      <c r="F1539" t="s">
        <v>1872</v>
      </c>
      <c r="G1539" t="s">
        <v>3366</v>
      </c>
      <c r="H1539">
        <v>24624.63</v>
      </c>
      <c r="I1539">
        <v>2462.4699999999998</v>
      </c>
      <c r="J1539">
        <v>13780.59</v>
      </c>
      <c r="K1539">
        <v>1378.07</v>
      </c>
      <c r="L1539">
        <v>10844.04</v>
      </c>
      <c r="M1539">
        <v>1084.4000000000001</v>
      </c>
      <c r="O1539" s="79">
        <f>IFERROR(VLOOKUP(D1539,'KAPANAN BLD.'!$C$2:$D$793,2,FALSE),0)</f>
        <v>0</v>
      </c>
      <c r="P1539" s="79">
        <v>0</v>
      </c>
      <c r="Q1539" s="32"/>
    </row>
    <row r="1540" spans="1:17" x14ac:dyDescent="0.25">
      <c r="A1540" t="s">
        <v>32</v>
      </c>
      <c r="B1540" s="73" t="str">
        <f>VLOOKUP(C1540,'Büyükşehir List'!$C$2:$D$31,2,FALSE)</f>
        <v>İZMİR BÜYÜKŞEHİR</v>
      </c>
      <c r="C1540" t="s">
        <v>112</v>
      </c>
      <c r="D1540" s="73" t="str">
        <f t="shared" si="38"/>
        <v>İZMİR BÜYÜKŞEHİR/İZMİR</v>
      </c>
      <c r="E1540" t="s">
        <v>1872</v>
      </c>
      <c r="F1540" t="s">
        <v>1872</v>
      </c>
      <c r="G1540" t="s">
        <v>3367</v>
      </c>
      <c r="H1540">
        <v>18639.560000000001</v>
      </c>
      <c r="I1540">
        <v>1863.94</v>
      </c>
      <c r="J1540">
        <v>2700.28</v>
      </c>
      <c r="K1540">
        <v>270.02999999999997</v>
      </c>
      <c r="L1540">
        <v>15939.28</v>
      </c>
      <c r="M1540">
        <v>1593.91</v>
      </c>
      <c r="O1540" s="79">
        <f>IFERROR(VLOOKUP(D1540,'KAPANAN BLD.'!$C$2:$D$793,2,FALSE),0)</f>
        <v>0</v>
      </c>
      <c r="P1540" s="79">
        <v>0</v>
      </c>
      <c r="Q1540" s="32"/>
    </row>
    <row r="1541" spans="1:17" x14ac:dyDescent="0.25">
      <c r="A1541" t="s">
        <v>32</v>
      </c>
      <c r="B1541" s="73" t="str">
        <f>VLOOKUP(C1541,'Büyükşehir List'!$C$2:$D$31,2,FALSE)</f>
        <v>İZMİR BÜYÜKŞEHİR</v>
      </c>
      <c r="C1541" t="s">
        <v>112</v>
      </c>
      <c r="D1541" s="73" t="str">
        <f t="shared" si="38"/>
        <v>İZMİR BÜYÜKŞEHİR/İZMİR</v>
      </c>
      <c r="E1541" t="s">
        <v>240</v>
      </c>
      <c r="F1541" t="s">
        <v>240</v>
      </c>
      <c r="G1541" t="s">
        <v>3366</v>
      </c>
      <c r="H1541">
        <v>950.2</v>
      </c>
      <c r="I1541">
        <v>95.02</v>
      </c>
      <c r="J1541">
        <v>0</v>
      </c>
      <c r="K1541">
        <v>0</v>
      </c>
      <c r="L1541">
        <v>950.2</v>
      </c>
      <c r="M1541">
        <v>95.02</v>
      </c>
      <c r="O1541" s="79">
        <f>IFERROR(VLOOKUP(D1541,'KAPANAN BLD.'!$C$2:$D$793,2,FALSE),0)</f>
        <v>0</v>
      </c>
      <c r="P1541" s="79">
        <v>0</v>
      </c>
      <c r="Q1541" s="32"/>
    </row>
    <row r="1542" spans="1:17" x14ac:dyDescent="0.25">
      <c r="A1542" t="s">
        <v>32</v>
      </c>
      <c r="B1542" s="73" t="str">
        <f>VLOOKUP(C1542,'Büyükşehir List'!$C$2:$D$31,2,FALSE)</f>
        <v>İZMİR BÜYÜKŞEHİR</v>
      </c>
      <c r="C1542" t="s">
        <v>112</v>
      </c>
      <c r="D1542" s="73" t="str">
        <f t="shared" si="38"/>
        <v>İZMİR BÜYÜKŞEHİR/İZMİR</v>
      </c>
      <c r="E1542" t="s">
        <v>240</v>
      </c>
      <c r="F1542" t="s">
        <v>240</v>
      </c>
      <c r="G1542" t="s">
        <v>3367</v>
      </c>
      <c r="H1542">
        <v>1765.1</v>
      </c>
      <c r="I1542">
        <v>176.51</v>
      </c>
      <c r="J1542">
        <v>0</v>
      </c>
      <c r="K1542">
        <v>0</v>
      </c>
      <c r="L1542">
        <v>1765.1</v>
      </c>
      <c r="M1542">
        <v>176.51</v>
      </c>
      <c r="O1542" s="79">
        <f>IFERROR(VLOOKUP(D1542,'KAPANAN BLD.'!$C$2:$D$793,2,FALSE),0)</f>
        <v>0</v>
      </c>
      <c r="P1542" s="79">
        <v>0</v>
      </c>
      <c r="Q1542" s="32"/>
    </row>
    <row r="1543" spans="1:17" x14ac:dyDescent="0.25">
      <c r="A1543" t="s">
        <v>32</v>
      </c>
      <c r="B1543" s="73" t="str">
        <f>VLOOKUP(C1543,'Büyükşehir List'!$C$2:$D$31,2,FALSE)</f>
        <v>İZMİR BÜYÜKŞEHİR</v>
      </c>
      <c r="C1543" t="s">
        <v>112</v>
      </c>
      <c r="D1543" s="73" t="str">
        <f t="shared" si="38"/>
        <v>İZMİR BÜYÜKŞEHİR/İZMİR</v>
      </c>
      <c r="E1543" t="s">
        <v>1872</v>
      </c>
      <c r="F1543" t="s">
        <v>1872</v>
      </c>
      <c r="G1543" t="s">
        <v>3366</v>
      </c>
      <c r="H1543">
        <v>52372.1</v>
      </c>
      <c r="I1543">
        <v>5237.21</v>
      </c>
      <c r="J1543">
        <v>21.2</v>
      </c>
      <c r="K1543">
        <v>2.12</v>
      </c>
      <c r="L1543">
        <v>52350.9</v>
      </c>
      <c r="M1543">
        <v>5235.09</v>
      </c>
      <c r="O1543" s="79">
        <f>IFERROR(VLOOKUP(D1543,'KAPANAN BLD.'!$C$2:$D$793,2,FALSE),0)</f>
        <v>0</v>
      </c>
      <c r="P1543" s="79">
        <v>0</v>
      </c>
      <c r="Q1543" s="32"/>
    </row>
    <row r="1544" spans="1:17" x14ac:dyDescent="0.25">
      <c r="A1544" t="s">
        <v>32</v>
      </c>
      <c r="B1544" s="73" t="str">
        <f>VLOOKUP(C1544,'Büyükşehir List'!$C$2:$D$31,2,FALSE)</f>
        <v>İZMİR BÜYÜKŞEHİR</v>
      </c>
      <c r="C1544" t="s">
        <v>112</v>
      </c>
      <c r="D1544" s="73" t="str">
        <f t="shared" si="38"/>
        <v>İZMİR BÜYÜKŞEHİR/İZMİR</v>
      </c>
      <c r="E1544" t="s">
        <v>1872</v>
      </c>
      <c r="F1544" t="s">
        <v>1872</v>
      </c>
      <c r="G1544" t="s">
        <v>3367</v>
      </c>
      <c r="H1544">
        <v>27609.7</v>
      </c>
      <c r="I1544">
        <v>2760.97</v>
      </c>
      <c r="J1544">
        <v>563.1</v>
      </c>
      <c r="K1544">
        <v>56.31</v>
      </c>
      <c r="L1544">
        <v>27046.6</v>
      </c>
      <c r="M1544">
        <v>2704.66</v>
      </c>
      <c r="O1544" s="79">
        <f>IFERROR(VLOOKUP(D1544,'KAPANAN BLD.'!$C$2:$D$793,2,FALSE),0)</f>
        <v>0</v>
      </c>
      <c r="P1544" s="79">
        <v>0</v>
      </c>
      <c r="Q1544" s="32"/>
    </row>
    <row r="1545" spans="1:17" x14ac:dyDescent="0.25">
      <c r="A1545" t="s">
        <v>32</v>
      </c>
      <c r="B1545" s="73" t="str">
        <f>VLOOKUP(C1545,'Büyükşehir List'!$C$2:$D$31,2,FALSE)</f>
        <v>İZMİR BÜYÜKŞEHİR</v>
      </c>
      <c r="C1545" t="s">
        <v>112</v>
      </c>
      <c r="D1545" s="73" t="str">
        <f t="shared" si="38"/>
        <v>İZMİR BÜYÜKŞEHİR/İZMİR</v>
      </c>
      <c r="E1545" t="s">
        <v>2981</v>
      </c>
      <c r="F1545" t="s">
        <v>2981</v>
      </c>
      <c r="G1545" t="s">
        <v>3367</v>
      </c>
      <c r="H1545">
        <v>775.3</v>
      </c>
      <c r="I1545">
        <v>77.53</v>
      </c>
      <c r="J1545">
        <v>0</v>
      </c>
      <c r="K1545">
        <v>0</v>
      </c>
      <c r="L1545">
        <v>775.3</v>
      </c>
      <c r="M1545">
        <v>77.53</v>
      </c>
      <c r="O1545" s="79">
        <f>IFERROR(VLOOKUP(D1545,'KAPANAN BLD.'!$C$2:$D$793,2,FALSE),0)</f>
        <v>0</v>
      </c>
      <c r="P1545" s="79">
        <v>0</v>
      </c>
      <c r="Q1545" s="32"/>
    </row>
    <row r="1546" spans="1:17" x14ac:dyDescent="0.25">
      <c r="A1546" t="s">
        <v>32</v>
      </c>
      <c r="B1546" s="73" t="str">
        <f>VLOOKUP(C1546,'Büyükşehir List'!$C$2:$D$31,2,FALSE)</f>
        <v>İZMİR BÜYÜKŞEHİR</v>
      </c>
      <c r="C1546" t="s">
        <v>112</v>
      </c>
      <c r="D1546" s="73" t="str">
        <f t="shared" si="38"/>
        <v>İZMİR BÜYÜKŞEHİR/İZMİR</v>
      </c>
      <c r="E1546" t="s">
        <v>2981</v>
      </c>
      <c r="F1546" t="s">
        <v>2981</v>
      </c>
      <c r="G1546" t="s">
        <v>3366</v>
      </c>
      <c r="H1546">
        <v>5524.9</v>
      </c>
      <c r="I1546">
        <v>552.49</v>
      </c>
      <c r="J1546">
        <v>0</v>
      </c>
      <c r="K1546">
        <v>0</v>
      </c>
      <c r="L1546">
        <v>5524.9</v>
      </c>
      <c r="M1546">
        <v>552.49</v>
      </c>
      <c r="O1546" s="79">
        <f>IFERROR(VLOOKUP(D1546,'KAPANAN BLD.'!$C$2:$D$793,2,FALSE),0)</f>
        <v>0</v>
      </c>
      <c r="P1546" s="79">
        <v>0</v>
      </c>
      <c r="Q1546" s="32"/>
    </row>
    <row r="1547" spans="1:17" x14ac:dyDescent="0.25">
      <c r="A1547" t="s">
        <v>32</v>
      </c>
      <c r="B1547" s="73" t="str">
        <f>VLOOKUP(C1547,'Büyükşehir List'!$C$2:$D$31,2,FALSE)</f>
        <v>İZMİR BÜYÜKŞEHİR</v>
      </c>
      <c r="C1547" t="s">
        <v>112</v>
      </c>
      <c r="D1547" s="73" t="str">
        <f t="shared" si="38"/>
        <v>İZMİR BÜYÜKŞEHİR/İZMİR</v>
      </c>
      <c r="E1547" t="s">
        <v>261</v>
      </c>
      <c r="F1547" t="s">
        <v>261</v>
      </c>
      <c r="G1547" t="s">
        <v>3367</v>
      </c>
      <c r="H1547">
        <v>2998.4</v>
      </c>
      <c r="I1547">
        <v>299.83999999999997</v>
      </c>
      <c r="J1547">
        <v>4.7</v>
      </c>
      <c r="K1547">
        <v>0.47</v>
      </c>
      <c r="L1547">
        <v>2993.7</v>
      </c>
      <c r="M1547">
        <v>299.37</v>
      </c>
      <c r="O1547" s="79">
        <f>IFERROR(VLOOKUP(D1547,'KAPANAN BLD.'!$C$2:$D$793,2,FALSE),0)</f>
        <v>0</v>
      </c>
      <c r="P1547" s="79">
        <v>0</v>
      </c>
      <c r="Q1547" s="32"/>
    </row>
    <row r="1548" spans="1:17" x14ac:dyDescent="0.25">
      <c r="A1548" t="s">
        <v>32</v>
      </c>
      <c r="B1548" s="73" t="str">
        <f>VLOOKUP(C1548,'Büyükşehir List'!$C$2:$D$31,2,FALSE)</f>
        <v>İZMİR BÜYÜKŞEHİR</v>
      </c>
      <c r="C1548" t="s">
        <v>112</v>
      </c>
      <c r="D1548" s="73" t="str">
        <f t="shared" si="38"/>
        <v>İZMİR BÜYÜKŞEHİR/İZMİR</v>
      </c>
      <c r="E1548" t="s">
        <v>261</v>
      </c>
      <c r="F1548" t="s">
        <v>261</v>
      </c>
      <c r="G1548" t="s">
        <v>3366</v>
      </c>
      <c r="H1548">
        <v>754.3</v>
      </c>
      <c r="I1548">
        <v>75.430000000000007</v>
      </c>
      <c r="J1548">
        <v>218</v>
      </c>
      <c r="K1548">
        <v>21.8</v>
      </c>
      <c r="L1548">
        <v>536.29999999999995</v>
      </c>
      <c r="M1548">
        <v>53.63</v>
      </c>
      <c r="O1548" s="79">
        <f>IFERROR(VLOOKUP(D1548,'KAPANAN BLD.'!$C$2:$D$793,2,FALSE),0)</f>
        <v>0</v>
      </c>
      <c r="P1548" s="79">
        <v>0</v>
      </c>
      <c r="Q1548" s="32"/>
    </row>
    <row r="1549" spans="1:17" x14ac:dyDescent="0.25">
      <c r="A1549" t="s">
        <v>32</v>
      </c>
      <c r="B1549" s="73" t="str">
        <f>VLOOKUP(C1549,'Büyükşehir List'!$C$2:$D$31,2,FALSE)</f>
        <v>İZMİR BÜYÜKŞEHİR</v>
      </c>
      <c r="C1549" t="s">
        <v>112</v>
      </c>
      <c r="D1549" s="73" t="str">
        <f t="shared" si="38"/>
        <v>İZMİR BÜYÜKŞEHİR/İZMİR</v>
      </c>
      <c r="E1549" t="s">
        <v>1872</v>
      </c>
      <c r="F1549" t="s">
        <v>1872</v>
      </c>
      <c r="G1549" t="s">
        <v>3367</v>
      </c>
      <c r="H1549">
        <v>34967.4</v>
      </c>
      <c r="I1549">
        <v>3496.74</v>
      </c>
      <c r="J1549">
        <v>1505.7</v>
      </c>
      <c r="K1549">
        <v>150.57</v>
      </c>
      <c r="L1549">
        <v>33461.699999999997</v>
      </c>
      <c r="M1549">
        <v>3346.17</v>
      </c>
      <c r="O1549" s="79">
        <f>IFERROR(VLOOKUP(D1549,'KAPANAN BLD.'!$C$2:$D$793,2,FALSE),0)</f>
        <v>0</v>
      </c>
      <c r="P1549" s="79">
        <v>0</v>
      </c>
      <c r="Q1549" s="32"/>
    </row>
    <row r="1550" spans="1:17" x14ac:dyDescent="0.25">
      <c r="A1550" t="s">
        <v>32</v>
      </c>
      <c r="B1550" s="73" t="str">
        <f>VLOOKUP(C1550,'Büyükşehir List'!$C$2:$D$31,2,FALSE)</f>
        <v>İZMİR BÜYÜKŞEHİR</v>
      </c>
      <c r="C1550" t="s">
        <v>112</v>
      </c>
      <c r="D1550" s="73" t="str">
        <f t="shared" si="38"/>
        <v>İZMİR BÜYÜKŞEHİR/İZMİR</v>
      </c>
      <c r="E1550" t="s">
        <v>1872</v>
      </c>
      <c r="F1550" t="s">
        <v>1872</v>
      </c>
      <c r="G1550" t="s">
        <v>3366</v>
      </c>
      <c r="H1550">
        <v>25229.1</v>
      </c>
      <c r="I1550">
        <v>2522.91</v>
      </c>
      <c r="J1550">
        <v>1623.5</v>
      </c>
      <c r="K1550">
        <v>162.35</v>
      </c>
      <c r="L1550">
        <v>23605.599999999999</v>
      </c>
      <c r="M1550">
        <v>2360.56</v>
      </c>
      <c r="O1550" s="79">
        <f>IFERROR(VLOOKUP(D1550,'KAPANAN BLD.'!$C$2:$D$793,2,FALSE),0)</f>
        <v>0</v>
      </c>
      <c r="P1550" s="79">
        <v>0</v>
      </c>
      <c r="Q1550" s="32"/>
    </row>
    <row r="1551" spans="1:17" x14ac:dyDescent="0.25">
      <c r="A1551" t="s">
        <v>32</v>
      </c>
      <c r="B1551" s="73" t="str">
        <f>VLOOKUP(C1551,'Büyükşehir List'!$C$2:$D$31,2,FALSE)</f>
        <v>İZMİR BÜYÜKŞEHİR</v>
      </c>
      <c r="C1551" t="s">
        <v>112</v>
      </c>
      <c r="D1551" s="73" t="str">
        <f t="shared" si="38"/>
        <v>İZMİR BÜYÜKŞEHİR/İZMİR</v>
      </c>
      <c r="E1551" t="s">
        <v>1872</v>
      </c>
      <c r="F1551" t="s">
        <v>1872</v>
      </c>
      <c r="G1551" t="s">
        <v>3367</v>
      </c>
      <c r="H1551">
        <v>513.29999999999995</v>
      </c>
      <c r="I1551">
        <v>51.33</v>
      </c>
      <c r="J1551">
        <v>0</v>
      </c>
      <c r="K1551">
        <v>0</v>
      </c>
      <c r="L1551">
        <v>513.29999999999995</v>
      </c>
      <c r="M1551">
        <v>51.33</v>
      </c>
      <c r="O1551" s="79">
        <f>IFERROR(VLOOKUP(D1551,'KAPANAN BLD.'!$C$2:$D$793,2,FALSE),0)</f>
        <v>0</v>
      </c>
      <c r="P1551" s="79">
        <v>0</v>
      </c>
      <c r="Q1551" s="32"/>
    </row>
    <row r="1552" spans="1:17" x14ac:dyDescent="0.25">
      <c r="A1552" t="s">
        <v>32</v>
      </c>
      <c r="B1552" s="73" t="str">
        <f>VLOOKUP(C1552,'Büyükşehir List'!$C$2:$D$31,2,FALSE)</f>
        <v>İZMİR BÜYÜKŞEHİR</v>
      </c>
      <c r="C1552" t="s">
        <v>112</v>
      </c>
      <c r="D1552" s="73" t="str">
        <f t="shared" si="38"/>
        <v>İZMİR BÜYÜKŞEHİR/İZMİR</v>
      </c>
      <c r="E1552" t="s">
        <v>1872</v>
      </c>
      <c r="F1552" t="s">
        <v>1872</v>
      </c>
      <c r="G1552" t="s">
        <v>3366</v>
      </c>
      <c r="H1552">
        <v>341.6</v>
      </c>
      <c r="I1552">
        <v>34.159999999999997</v>
      </c>
      <c r="J1552">
        <v>0</v>
      </c>
      <c r="K1552">
        <v>0</v>
      </c>
      <c r="L1552">
        <v>341.6</v>
      </c>
      <c r="M1552">
        <v>34.159999999999997</v>
      </c>
      <c r="O1552" s="79">
        <f>IFERROR(VLOOKUP(D1552,'KAPANAN BLD.'!$C$2:$D$793,2,FALSE),0)</f>
        <v>0</v>
      </c>
      <c r="P1552" s="79">
        <v>0</v>
      </c>
      <c r="Q1552" s="32"/>
    </row>
    <row r="1553" spans="1:17" x14ac:dyDescent="0.25">
      <c r="A1553" t="s">
        <v>32</v>
      </c>
      <c r="B1553" s="73" t="str">
        <f>VLOOKUP(C1553,'Büyükşehir List'!$C$2:$D$31,2,FALSE)</f>
        <v>İZMİR BÜYÜKŞEHİR</v>
      </c>
      <c r="C1553" t="s">
        <v>112</v>
      </c>
      <c r="D1553" s="73" t="str">
        <f t="shared" si="38"/>
        <v>İZMİR BÜYÜKŞEHİR/İZMİR</v>
      </c>
      <c r="E1553" t="s">
        <v>12</v>
      </c>
      <c r="F1553" t="s">
        <v>12</v>
      </c>
      <c r="G1553" t="s">
        <v>3367</v>
      </c>
      <c r="H1553">
        <v>2882.1</v>
      </c>
      <c r="I1553">
        <v>288.20999999999998</v>
      </c>
      <c r="J1553">
        <v>117.4</v>
      </c>
      <c r="K1553">
        <v>11.74</v>
      </c>
      <c r="L1553">
        <v>2764.7</v>
      </c>
      <c r="M1553">
        <v>276.47000000000003</v>
      </c>
      <c r="O1553" s="79">
        <f>IFERROR(VLOOKUP(D1553,'KAPANAN BLD.'!$C$2:$D$793,2,FALSE),0)</f>
        <v>0</v>
      </c>
      <c r="P1553" s="79">
        <v>0</v>
      </c>
      <c r="Q1553" s="32"/>
    </row>
    <row r="1554" spans="1:17" x14ac:dyDescent="0.25">
      <c r="A1554" t="s">
        <v>32</v>
      </c>
      <c r="B1554" s="73" t="str">
        <f>VLOOKUP(C1554,'Büyükşehir List'!$C$2:$D$31,2,FALSE)</f>
        <v>İZMİR BÜYÜKŞEHİR</v>
      </c>
      <c r="C1554" t="s">
        <v>112</v>
      </c>
      <c r="D1554" s="73" t="str">
        <f t="shared" si="38"/>
        <v>İZMİR BÜYÜKŞEHİR/İZMİR</v>
      </c>
      <c r="E1554" t="s">
        <v>12</v>
      </c>
      <c r="F1554" t="s">
        <v>12</v>
      </c>
      <c r="G1554" t="s">
        <v>3366</v>
      </c>
      <c r="H1554">
        <v>4178.8999999999996</v>
      </c>
      <c r="I1554">
        <v>417.89</v>
      </c>
      <c r="J1554">
        <v>105.4</v>
      </c>
      <c r="K1554">
        <v>10.54</v>
      </c>
      <c r="L1554">
        <v>4073.5</v>
      </c>
      <c r="M1554">
        <v>407.35</v>
      </c>
      <c r="O1554" s="79">
        <f>IFERROR(VLOOKUP(D1554,'KAPANAN BLD.'!$C$2:$D$793,2,FALSE),0)</f>
        <v>0</v>
      </c>
      <c r="P1554" s="79">
        <v>0</v>
      </c>
      <c r="Q1554" s="32"/>
    </row>
    <row r="1555" spans="1:17" x14ac:dyDescent="0.25">
      <c r="A1555" t="s">
        <v>32</v>
      </c>
      <c r="B1555" s="73" t="str">
        <f>VLOOKUP(C1555,'Büyükşehir List'!$C$2:$D$31,2,FALSE)</f>
        <v>İZMİR BÜYÜKŞEHİR</v>
      </c>
      <c r="C1555" t="s">
        <v>112</v>
      </c>
      <c r="D1555" s="73" t="str">
        <f t="shared" si="38"/>
        <v>İZMİR BÜYÜKŞEHİR/İZMİR</v>
      </c>
      <c r="E1555" t="s">
        <v>1872</v>
      </c>
      <c r="F1555" t="s">
        <v>1872</v>
      </c>
      <c r="G1555" t="s">
        <v>3367</v>
      </c>
      <c r="H1555">
        <v>94356.26</v>
      </c>
      <c r="I1555">
        <v>9435.65</v>
      </c>
      <c r="J1555">
        <v>8996.1</v>
      </c>
      <c r="K1555">
        <v>899.61</v>
      </c>
      <c r="L1555">
        <v>85360.16</v>
      </c>
      <c r="M1555">
        <v>8536.0400000000009</v>
      </c>
      <c r="O1555" s="79">
        <f>IFERROR(VLOOKUP(D1555,'KAPANAN BLD.'!$C$2:$D$793,2,FALSE),0)</f>
        <v>0</v>
      </c>
      <c r="P1555" s="79">
        <v>0</v>
      </c>
      <c r="Q1555" s="32"/>
    </row>
    <row r="1556" spans="1:17" x14ac:dyDescent="0.25">
      <c r="A1556" t="s">
        <v>32</v>
      </c>
      <c r="B1556" s="73" t="str">
        <f>VLOOKUP(C1556,'Büyükşehir List'!$C$2:$D$31,2,FALSE)</f>
        <v>İZMİR BÜYÜKŞEHİR</v>
      </c>
      <c r="C1556" t="s">
        <v>112</v>
      </c>
      <c r="D1556" s="73" t="str">
        <f t="shared" si="38"/>
        <v>İZMİR BÜYÜKŞEHİR/İZMİR</v>
      </c>
      <c r="E1556" t="s">
        <v>1872</v>
      </c>
      <c r="F1556" t="s">
        <v>1872</v>
      </c>
      <c r="G1556" t="s">
        <v>3366</v>
      </c>
      <c r="H1556">
        <v>244086.23</v>
      </c>
      <c r="I1556">
        <v>24408.66</v>
      </c>
      <c r="J1556">
        <v>42933.3</v>
      </c>
      <c r="K1556">
        <v>4293.33</v>
      </c>
      <c r="L1556">
        <v>201152.93</v>
      </c>
      <c r="M1556">
        <v>20115.330000000002</v>
      </c>
      <c r="O1556" s="79">
        <f>IFERROR(VLOOKUP(D1556,'KAPANAN BLD.'!$C$2:$D$793,2,FALSE),0)</f>
        <v>0</v>
      </c>
      <c r="P1556" s="79">
        <v>0</v>
      </c>
      <c r="Q1556" s="32"/>
    </row>
    <row r="1557" spans="1:17" x14ac:dyDescent="0.25">
      <c r="A1557" t="s">
        <v>32</v>
      </c>
      <c r="B1557" s="73" t="str">
        <f>VLOOKUP(C1557,'Büyükşehir List'!$C$2:$D$31,2,FALSE)</f>
        <v>İZMİR BÜYÜKŞEHİR</v>
      </c>
      <c r="C1557" t="s">
        <v>112</v>
      </c>
      <c r="D1557" s="73" t="str">
        <f t="shared" si="38"/>
        <v>İZMİR BÜYÜKŞEHİR/İZMİR</v>
      </c>
      <c r="E1557" t="s">
        <v>1872</v>
      </c>
      <c r="F1557" t="s">
        <v>1872</v>
      </c>
      <c r="G1557" t="s">
        <v>3366</v>
      </c>
      <c r="H1557">
        <v>50207.7</v>
      </c>
      <c r="I1557">
        <v>5020.7700000000004</v>
      </c>
      <c r="J1557">
        <v>1486.3</v>
      </c>
      <c r="K1557">
        <v>148.63</v>
      </c>
      <c r="L1557">
        <v>48721.4</v>
      </c>
      <c r="M1557">
        <v>4872.1400000000003</v>
      </c>
      <c r="O1557" s="79">
        <f>IFERROR(VLOOKUP(D1557,'KAPANAN BLD.'!$C$2:$D$793,2,FALSE),0)</f>
        <v>0</v>
      </c>
      <c r="P1557" s="79">
        <v>0</v>
      </c>
      <c r="Q1557" s="32"/>
    </row>
    <row r="1558" spans="1:17" x14ac:dyDescent="0.25">
      <c r="A1558" t="s">
        <v>32</v>
      </c>
      <c r="B1558" s="73" t="str">
        <f>VLOOKUP(C1558,'Büyükşehir List'!$C$2:$D$31,2,FALSE)</f>
        <v>İZMİR BÜYÜKŞEHİR</v>
      </c>
      <c r="C1558" t="s">
        <v>112</v>
      </c>
      <c r="D1558" s="73" t="str">
        <f t="shared" si="38"/>
        <v>İZMİR BÜYÜKŞEHİR/İZMİR</v>
      </c>
      <c r="E1558" t="s">
        <v>1872</v>
      </c>
      <c r="F1558" t="s">
        <v>1872</v>
      </c>
      <c r="G1558" t="s">
        <v>3367</v>
      </c>
      <c r="H1558">
        <v>57279.72</v>
      </c>
      <c r="I1558">
        <v>5727.97</v>
      </c>
      <c r="J1558">
        <v>2042.1</v>
      </c>
      <c r="K1558">
        <v>204.21</v>
      </c>
      <c r="L1558">
        <v>55237.62</v>
      </c>
      <c r="M1558">
        <v>5523.76</v>
      </c>
      <c r="O1558" s="79">
        <f>IFERROR(VLOOKUP(D1558,'KAPANAN BLD.'!$C$2:$D$793,2,FALSE),0)</f>
        <v>0</v>
      </c>
      <c r="P1558" s="79">
        <v>0</v>
      </c>
      <c r="Q1558" s="32"/>
    </row>
    <row r="1559" spans="1:17" x14ac:dyDescent="0.25">
      <c r="A1559" t="s">
        <v>32</v>
      </c>
      <c r="B1559" s="73" t="str">
        <f>VLOOKUP(C1559,'Büyükşehir List'!$C$2:$D$31,2,FALSE)</f>
        <v>İZMİR BÜYÜKŞEHİR</v>
      </c>
      <c r="C1559" t="s">
        <v>112</v>
      </c>
      <c r="D1559" s="73" t="str">
        <f t="shared" si="38"/>
        <v>İZMİR BÜYÜKŞEHİR/İZMİR</v>
      </c>
      <c r="E1559" t="s">
        <v>2050</v>
      </c>
      <c r="F1559" t="s">
        <v>2050</v>
      </c>
      <c r="G1559" t="s">
        <v>3367</v>
      </c>
      <c r="H1559">
        <v>418.5</v>
      </c>
      <c r="I1559">
        <v>41.85</v>
      </c>
      <c r="J1559">
        <v>0</v>
      </c>
      <c r="K1559">
        <v>0</v>
      </c>
      <c r="L1559">
        <v>418.5</v>
      </c>
      <c r="M1559">
        <v>41.85</v>
      </c>
      <c r="O1559" s="79">
        <f>IFERROR(VLOOKUP(D1559,'KAPANAN BLD.'!$C$2:$D$793,2,FALSE),0)</f>
        <v>0</v>
      </c>
      <c r="P1559" s="79">
        <v>0</v>
      </c>
      <c r="Q1559" s="32"/>
    </row>
    <row r="1560" spans="1:17" x14ac:dyDescent="0.25">
      <c r="A1560" t="s">
        <v>32</v>
      </c>
      <c r="B1560" s="73" t="str">
        <f>VLOOKUP(C1560,'Büyükşehir List'!$C$2:$D$31,2,FALSE)</f>
        <v>İZMİR BÜYÜKŞEHİR</v>
      </c>
      <c r="C1560" t="s">
        <v>112</v>
      </c>
      <c r="D1560" s="73" t="str">
        <f t="shared" si="38"/>
        <v>İZMİR BÜYÜKŞEHİR/İZMİR</v>
      </c>
      <c r="E1560" t="s">
        <v>2050</v>
      </c>
      <c r="F1560" t="s">
        <v>2050</v>
      </c>
      <c r="G1560" t="s">
        <v>3366</v>
      </c>
      <c r="H1560">
        <v>48.8</v>
      </c>
      <c r="I1560">
        <v>4.88</v>
      </c>
      <c r="J1560">
        <v>0</v>
      </c>
      <c r="K1560">
        <v>0</v>
      </c>
      <c r="L1560">
        <v>48.8</v>
      </c>
      <c r="M1560">
        <v>4.88</v>
      </c>
      <c r="O1560" s="79">
        <f>IFERROR(VLOOKUP(D1560,'KAPANAN BLD.'!$C$2:$D$793,2,FALSE),0)</f>
        <v>0</v>
      </c>
      <c r="P1560" s="79">
        <v>0</v>
      </c>
      <c r="Q1560" s="32"/>
    </row>
    <row r="1561" spans="1:17" x14ac:dyDescent="0.25">
      <c r="A1561" t="s">
        <v>32</v>
      </c>
      <c r="B1561" s="73" t="str">
        <f>VLOOKUP(C1561,'Büyükşehir List'!$C$2:$D$31,2,FALSE)</f>
        <v>İZMİR BÜYÜKŞEHİR</v>
      </c>
      <c r="C1561" t="s">
        <v>112</v>
      </c>
      <c r="D1561" s="73" t="str">
        <f t="shared" si="38"/>
        <v>İZMİR BÜYÜKŞEHİR/İZMİR</v>
      </c>
      <c r="E1561" t="s">
        <v>3776</v>
      </c>
      <c r="F1561" t="s">
        <v>3776</v>
      </c>
      <c r="G1561" t="s">
        <v>3366</v>
      </c>
      <c r="H1561">
        <v>18625.3</v>
      </c>
      <c r="I1561">
        <v>1862.53</v>
      </c>
      <c r="J1561">
        <v>302.10000000000002</v>
      </c>
      <c r="K1561">
        <v>30.21</v>
      </c>
      <c r="L1561">
        <v>18323.2</v>
      </c>
      <c r="M1561">
        <v>1832.32</v>
      </c>
      <c r="O1561" s="79">
        <f>IFERROR(VLOOKUP(D1561,'KAPANAN BLD.'!$C$2:$D$793,2,FALSE),0)</f>
        <v>0</v>
      </c>
      <c r="P1561" s="79">
        <v>0</v>
      </c>
      <c r="Q1561" s="32"/>
    </row>
    <row r="1562" spans="1:17" x14ac:dyDescent="0.25">
      <c r="A1562" t="s">
        <v>32</v>
      </c>
      <c r="B1562" s="73" t="str">
        <f>VLOOKUP(C1562,'Büyükşehir List'!$C$2:$D$31,2,FALSE)</f>
        <v>İZMİR BÜYÜKŞEHİR</v>
      </c>
      <c r="C1562" t="s">
        <v>112</v>
      </c>
      <c r="D1562" s="73" t="str">
        <f t="shared" si="38"/>
        <v>İZMİR BÜYÜKŞEHİR/İZMİR</v>
      </c>
      <c r="E1562" t="s">
        <v>3776</v>
      </c>
      <c r="F1562" t="s">
        <v>3776</v>
      </c>
      <c r="G1562" t="s">
        <v>3367</v>
      </c>
      <c r="H1562">
        <v>6257.4</v>
      </c>
      <c r="I1562">
        <v>625.74</v>
      </c>
      <c r="J1562">
        <v>669.9</v>
      </c>
      <c r="K1562">
        <v>66.989999999999995</v>
      </c>
      <c r="L1562">
        <v>5587.5</v>
      </c>
      <c r="M1562">
        <v>558.75</v>
      </c>
      <c r="O1562" s="79">
        <f>IFERROR(VLOOKUP(D1562,'KAPANAN BLD.'!$C$2:$D$793,2,FALSE),0)</f>
        <v>0</v>
      </c>
      <c r="P1562" s="79">
        <v>0</v>
      </c>
      <c r="Q1562" s="32"/>
    </row>
    <row r="1563" spans="1:17" x14ac:dyDescent="0.25">
      <c r="A1563" t="s">
        <v>32</v>
      </c>
      <c r="B1563" s="73" t="str">
        <f>VLOOKUP(C1563,'Büyükşehir List'!$C$2:$D$31,2,FALSE)</f>
        <v>İZMİR BÜYÜKŞEHİR</v>
      </c>
      <c r="C1563" t="s">
        <v>112</v>
      </c>
      <c r="D1563" s="73" t="str">
        <f t="shared" si="38"/>
        <v>İZMİR BÜYÜKŞEHİR/İZMİR</v>
      </c>
      <c r="E1563" t="s">
        <v>1874</v>
      </c>
      <c r="F1563" t="s">
        <v>1874</v>
      </c>
      <c r="G1563" t="s">
        <v>3367</v>
      </c>
      <c r="H1563">
        <v>154.5</v>
      </c>
      <c r="I1563">
        <v>15.45</v>
      </c>
      <c r="J1563">
        <v>0</v>
      </c>
      <c r="K1563">
        <v>0</v>
      </c>
      <c r="L1563">
        <v>154.5</v>
      </c>
      <c r="M1563">
        <v>15.45</v>
      </c>
      <c r="O1563" s="79">
        <f>IFERROR(VLOOKUP(D1563,'KAPANAN BLD.'!$C$2:$D$793,2,FALSE),0)</f>
        <v>0</v>
      </c>
      <c r="P1563" s="79">
        <v>0</v>
      </c>
      <c r="Q1563" s="32"/>
    </row>
    <row r="1564" spans="1:17" x14ac:dyDescent="0.25">
      <c r="A1564" t="s">
        <v>32</v>
      </c>
      <c r="B1564" s="73" t="str">
        <f>VLOOKUP(C1564,'Büyükşehir List'!$C$2:$D$31,2,FALSE)</f>
        <v>İZMİR BÜYÜKŞEHİR</v>
      </c>
      <c r="C1564" t="s">
        <v>112</v>
      </c>
      <c r="D1564" s="73" t="str">
        <f t="shared" si="38"/>
        <v>İZMİR BÜYÜKŞEHİR/İZMİR</v>
      </c>
      <c r="E1564" t="s">
        <v>1874</v>
      </c>
      <c r="F1564" t="s">
        <v>1874</v>
      </c>
      <c r="G1564" t="s">
        <v>3366</v>
      </c>
      <c r="H1564">
        <v>125.2</v>
      </c>
      <c r="I1564">
        <v>12.52</v>
      </c>
      <c r="J1564">
        <v>0</v>
      </c>
      <c r="K1564">
        <v>0</v>
      </c>
      <c r="L1564">
        <v>125.2</v>
      </c>
      <c r="M1564">
        <v>12.52</v>
      </c>
      <c r="O1564" s="79">
        <f>IFERROR(VLOOKUP(D1564,'KAPANAN BLD.'!$C$2:$D$793,2,FALSE),0)</f>
        <v>0</v>
      </c>
      <c r="P1564" s="79">
        <v>0</v>
      </c>
      <c r="Q1564" s="32"/>
    </row>
    <row r="1565" spans="1:17" x14ac:dyDescent="0.25">
      <c r="A1565" t="s">
        <v>32</v>
      </c>
      <c r="B1565" s="73" t="str">
        <f>VLOOKUP(C1565,'Büyükşehir List'!$C$2:$D$31,2,FALSE)</f>
        <v>İZMİR BÜYÜKŞEHİR</v>
      </c>
      <c r="C1565" t="s">
        <v>112</v>
      </c>
      <c r="D1565" s="73" t="str">
        <f t="shared" si="38"/>
        <v>İZMİR BÜYÜKŞEHİR/İZMİR</v>
      </c>
      <c r="E1565" t="s">
        <v>3777</v>
      </c>
      <c r="F1565" t="s">
        <v>3777</v>
      </c>
      <c r="G1565" t="s">
        <v>3367</v>
      </c>
      <c r="H1565">
        <v>1440.9</v>
      </c>
      <c r="I1565">
        <v>144.09</v>
      </c>
      <c r="J1565">
        <v>26.8</v>
      </c>
      <c r="K1565">
        <v>2.68</v>
      </c>
      <c r="L1565">
        <v>1414.1</v>
      </c>
      <c r="M1565">
        <v>141.41</v>
      </c>
      <c r="O1565" s="79">
        <f>IFERROR(VLOOKUP(D1565,'KAPANAN BLD.'!$C$2:$D$793,2,FALSE),0)</f>
        <v>0</v>
      </c>
      <c r="P1565" s="79">
        <v>0</v>
      </c>
      <c r="Q1565" s="32"/>
    </row>
    <row r="1566" spans="1:17" x14ac:dyDescent="0.25">
      <c r="A1566" t="s">
        <v>32</v>
      </c>
      <c r="B1566" s="73" t="str">
        <f>VLOOKUP(C1566,'Büyükşehir List'!$C$2:$D$31,2,FALSE)</f>
        <v>İZMİR BÜYÜKŞEHİR</v>
      </c>
      <c r="C1566" t="s">
        <v>112</v>
      </c>
      <c r="D1566" s="73" t="str">
        <f t="shared" si="38"/>
        <v>İZMİR BÜYÜKŞEHİR/İZMİR</v>
      </c>
      <c r="E1566" t="s">
        <v>3777</v>
      </c>
      <c r="F1566" t="s">
        <v>3777</v>
      </c>
      <c r="G1566" t="s">
        <v>3366</v>
      </c>
      <c r="H1566">
        <v>1076.2</v>
      </c>
      <c r="I1566">
        <v>107.62</v>
      </c>
      <c r="J1566">
        <v>643.79999999999995</v>
      </c>
      <c r="K1566">
        <v>64.38</v>
      </c>
      <c r="L1566">
        <v>432.4</v>
      </c>
      <c r="M1566">
        <v>43.24</v>
      </c>
      <c r="O1566" s="79">
        <f>IFERROR(VLOOKUP(D1566,'KAPANAN BLD.'!$C$2:$D$793,2,FALSE),0)</f>
        <v>0</v>
      </c>
      <c r="P1566" s="79">
        <v>0</v>
      </c>
      <c r="Q1566" s="32"/>
    </row>
    <row r="1567" spans="1:17" x14ac:dyDescent="0.25">
      <c r="A1567" t="s">
        <v>32</v>
      </c>
      <c r="B1567" s="73" t="str">
        <f>VLOOKUP(C1567,'Büyükşehir List'!$C$2:$D$31,2,FALSE)</f>
        <v>İZMİR BÜYÜKŞEHİR</v>
      </c>
      <c r="C1567" t="s">
        <v>112</v>
      </c>
      <c r="D1567" s="73" t="str">
        <f t="shared" si="38"/>
        <v>İZMİR BÜYÜKŞEHİR/İZMİR</v>
      </c>
      <c r="E1567" t="s">
        <v>3966</v>
      </c>
      <c r="F1567" t="s">
        <v>3966</v>
      </c>
      <c r="G1567" t="s">
        <v>3366</v>
      </c>
      <c r="H1567">
        <v>335.5</v>
      </c>
      <c r="I1567">
        <v>33.549999999999997</v>
      </c>
      <c r="J1567">
        <v>0</v>
      </c>
      <c r="K1567">
        <v>0</v>
      </c>
      <c r="L1567">
        <v>335.5</v>
      </c>
      <c r="M1567">
        <v>33.549999999999997</v>
      </c>
      <c r="O1567" s="79">
        <f>IFERROR(VLOOKUP(D1567,'KAPANAN BLD.'!$C$2:$D$793,2,FALSE),0)</f>
        <v>0</v>
      </c>
      <c r="P1567" s="79">
        <v>0</v>
      </c>
      <c r="Q1567" s="32"/>
    </row>
    <row r="1568" spans="1:17" x14ac:dyDescent="0.25">
      <c r="A1568" t="s">
        <v>32</v>
      </c>
      <c r="B1568" s="73" t="str">
        <f>VLOOKUP(C1568,'Büyükşehir List'!$C$2:$D$31,2,FALSE)</f>
        <v>İZMİR BÜYÜKŞEHİR</v>
      </c>
      <c r="C1568" t="s">
        <v>112</v>
      </c>
      <c r="D1568" s="73" t="str">
        <f t="shared" si="38"/>
        <v>İZMİR BÜYÜKŞEHİR/İZMİR</v>
      </c>
      <c r="E1568" t="s">
        <v>3966</v>
      </c>
      <c r="F1568" t="s">
        <v>3966</v>
      </c>
      <c r="G1568" t="s">
        <v>3367</v>
      </c>
      <c r="H1568">
        <v>129.91999999999999</v>
      </c>
      <c r="I1568">
        <v>12.99</v>
      </c>
      <c r="J1568">
        <v>0</v>
      </c>
      <c r="K1568">
        <v>0</v>
      </c>
      <c r="L1568">
        <v>129.91999999999999</v>
      </c>
      <c r="M1568">
        <v>12.99</v>
      </c>
      <c r="O1568" s="79">
        <f>IFERROR(VLOOKUP(D1568,'KAPANAN BLD.'!$C$2:$D$793,2,FALSE),0)</f>
        <v>0</v>
      </c>
      <c r="P1568" s="79">
        <v>0</v>
      </c>
      <c r="Q1568" s="32"/>
    </row>
    <row r="1569" spans="1:17" x14ac:dyDescent="0.25">
      <c r="A1569" t="s">
        <v>32</v>
      </c>
      <c r="B1569" s="73" t="str">
        <f>VLOOKUP(C1569,'Büyükşehir List'!$C$2:$D$31,2,FALSE)</f>
        <v>KAHRAMANMARAŞ BÜYÜKŞEHİR</v>
      </c>
      <c r="C1569" t="s">
        <v>3596</v>
      </c>
      <c r="D1569" s="73" t="str">
        <f t="shared" si="38"/>
        <v>KAHRAMANMARAŞ BÜYÜKŞEHİR/KAHRAMANMARAŞ</v>
      </c>
      <c r="E1569" t="s">
        <v>4226</v>
      </c>
      <c r="F1569" t="s">
        <v>4226</v>
      </c>
      <c r="G1569" t="s">
        <v>3367</v>
      </c>
      <c r="H1569">
        <v>195.8</v>
      </c>
      <c r="I1569">
        <v>19.579999999999998</v>
      </c>
      <c r="J1569">
        <v>0</v>
      </c>
      <c r="K1569">
        <v>0</v>
      </c>
      <c r="L1569">
        <v>195.8</v>
      </c>
      <c r="M1569">
        <v>19.579999999999998</v>
      </c>
      <c r="O1569" s="79">
        <f>IFERROR(VLOOKUP(D1569,'KAPANAN BLD.'!$C$2:$D$793,2,FALSE),0)</f>
        <v>0</v>
      </c>
      <c r="P1569" s="79">
        <v>0</v>
      </c>
      <c r="Q1569" s="32"/>
    </row>
    <row r="1570" spans="1:17" x14ac:dyDescent="0.25">
      <c r="A1570" t="s">
        <v>32</v>
      </c>
      <c r="B1570" s="73" t="str">
        <f>VLOOKUP(C1570,'Büyükşehir List'!$C$2:$D$31,2,FALSE)</f>
        <v>KAHRAMANMARAŞ BÜYÜKŞEHİR</v>
      </c>
      <c r="C1570" t="s">
        <v>3596</v>
      </c>
      <c r="D1570" s="73" t="str">
        <f t="shared" si="38"/>
        <v>KAHRAMANMARAŞ BÜYÜKŞEHİR/KAHRAMANMARAŞ</v>
      </c>
      <c r="E1570" t="s">
        <v>4226</v>
      </c>
      <c r="F1570" t="s">
        <v>4226</v>
      </c>
      <c r="G1570" t="s">
        <v>3366</v>
      </c>
      <c r="H1570">
        <v>177.6</v>
      </c>
      <c r="I1570">
        <v>17.760000000000002</v>
      </c>
      <c r="J1570">
        <v>0</v>
      </c>
      <c r="K1570">
        <v>0</v>
      </c>
      <c r="L1570">
        <v>177.6</v>
      </c>
      <c r="M1570">
        <v>17.760000000000002</v>
      </c>
      <c r="O1570" s="79">
        <f>IFERROR(VLOOKUP(D1570,'KAPANAN BLD.'!$C$2:$D$793,2,FALSE),0)</f>
        <v>0</v>
      </c>
      <c r="P1570" s="79">
        <v>0</v>
      </c>
      <c r="Q1570" s="32"/>
    </row>
    <row r="1571" spans="1:17" x14ac:dyDescent="0.25">
      <c r="A1571" t="s">
        <v>32</v>
      </c>
      <c r="B1571" s="73" t="str">
        <f>VLOOKUP(C1571,'Büyükşehir List'!$C$2:$D$31,2,FALSE)</f>
        <v>KAHRAMANMARAŞ BÜYÜKŞEHİR</v>
      </c>
      <c r="C1571" t="s">
        <v>3596</v>
      </c>
      <c r="D1571" s="73" t="str">
        <f t="shared" si="38"/>
        <v>KAHRAMANMARAŞ BÜYÜKŞEHİR/KAHRAMANMARAŞ</v>
      </c>
      <c r="E1571" t="s">
        <v>624</v>
      </c>
      <c r="F1571" t="s">
        <v>624</v>
      </c>
      <c r="G1571" t="s">
        <v>3367</v>
      </c>
      <c r="H1571">
        <v>5.4</v>
      </c>
      <c r="I1571">
        <v>0.54</v>
      </c>
      <c r="J1571">
        <v>0</v>
      </c>
      <c r="K1571">
        <v>0</v>
      </c>
      <c r="L1571">
        <v>5.4</v>
      </c>
      <c r="M1571">
        <v>0.54</v>
      </c>
      <c r="O1571" s="79">
        <f>IFERROR(VLOOKUP(D1571,'KAPANAN BLD.'!$C$2:$D$793,2,FALSE),0)</f>
        <v>0</v>
      </c>
      <c r="P1571" s="79">
        <v>0</v>
      </c>
      <c r="Q1571" s="32"/>
    </row>
    <row r="1572" spans="1:17" x14ac:dyDescent="0.25">
      <c r="A1572" t="s">
        <v>32</v>
      </c>
      <c r="B1572" s="73" t="str">
        <f>VLOOKUP(C1572,'Büyükşehir List'!$C$2:$D$31,2,FALSE)</f>
        <v>KAHRAMANMARAŞ BÜYÜKŞEHİR</v>
      </c>
      <c r="C1572" t="s">
        <v>3596</v>
      </c>
      <c r="D1572" s="73" t="str">
        <f t="shared" si="38"/>
        <v>KAHRAMANMARAŞ BÜYÜKŞEHİR/KAHRAMANMARAŞ</v>
      </c>
      <c r="E1572" t="s">
        <v>624</v>
      </c>
      <c r="F1572" t="s">
        <v>624</v>
      </c>
      <c r="G1572" t="s">
        <v>3366</v>
      </c>
      <c r="H1572">
        <v>103.3</v>
      </c>
      <c r="I1572">
        <v>10.33</v>
      </c>
      <c r="J1572">
        <v>0</v>
      </c>
      <c r="K1572">
        <v>0</v>
      </c>
      <c r="L1572">
        <v>103.3</v>
      </c>
      <c r="M1572">
        <v>10.33</v>
      </c>
      <c r="O1572" s="79">
        <f>IFERROR(VLOOKUP(D1572,'KAPANAN BLD.'!$C$2:$D$793,2,FALSE),0)</f>
        <v>0</v>
      </c>
      <c r="P1572" s="79">
        <v>0</v>
      </c>
      <c r="Q1572" s="32"/>
    </row>
    <row r="1573" spans="1:17" x14ac:dyDescent="0.25">
      <c r="A1573" t="s">
        <v>32</v>
      </c>
      <c r="B1573" s="73" t="str">
        <f>VLOOKUP(C1573,'Büyükşehir List'!$C$2:$D$31,2,FALSE)</f>
        <v>KAHRAMANMARAŞ BÜYÜKŞEHİR</v>
      </c>
      <c r="C1573" t="s">
        <v>3596</v>
      </c>
      <c r="D1573" s="73" t="str">
        <f t="shared" si="38"/>
        <v>KAHRAMANMARAŞ BÜYÜKŞEHİR/KAHRAMANMARAŞ</v>
      </c>
      <c r="E1573" t="s">
        <v>4487</v>
      </c>
      <c r="F1573" t="s">
        <v>4487</v>
      </c>
      <c r="G1573" t="s">
        <v>3367</v>
      </c>
      <c r="H1573">
        <v>105.5</v>
      </c>
      <c r="I1573">
        <v>10.55</v>
      </c>
      <c r="J1573">
        <v>0</v>
      </c>
      <c r="K1573">
        <v>0</v>
      </c>
      <c r="L1573">
        <v>105.5</v>
      </c>
      <c r="M1573">
        <v>10.55</v>
      </c>
      <c r="O1573" s="79">
        <f>IFERROR(VLOOKUP(D1573,'KAPANAN BLD.'!$C$2:$D$793,2,FALSE),0)</f>
        <v>0</v>
      </c>
      <c r="P1573" s="79">
        <v>0</v>
      </c>
      <c r="Q1573" s="32"/>
    </row>
    <row r="1574" spans="1:17" x14ac:dyDescent="0.25">
      <c r="A1574" t="s">
        <v>32</v>
      </c>
      <c r="B1574" s="73" t="str">
        <f>VLOOKUP(C1574,'Büyükşehir List'!$C$2:$D$31,2,FALSE)</f>
        <v>KAHRAMANMARAŞ BÜYÜKŞEHİR</v>
      </c>
      <c r="C1574" t="s">
        <v>3596</v>
      </c>
      <c r="D1574" s="73" t="str">
        <f t="shared" si="38"/>
        <v>KAHRAMANMARAŞ BÜYÜKŞEHİR/KAHRAMANMARAŞ</v>
      </c>
      <c r="E1574" t="s">
        <v>4487</v>
      </c>
      <c r="F1574" t="s">
        <v>4487</v>
      </c>
      <c r="G1574" t="s">
        <v>3366</v>
      </c>
      <c r="H1574">
        <v>51.2</v>
      </c>
      <c r="I1574">
        <v>5.12</v>
      </c>
      <c r="J1574">
        <v>0</v>
      </c>
      <c r="K1574">
        <v>0</v>
      </c>
      <c r="L1574">
        <v>51.2</v>
      </c>
      <c r="M1574">
        <v>5.12</v>
      </c>
      <c r="O1574" s="79">
        <f>IFERROR(VLOOKUP(D1574,'KAPANAN BLD.'!$C$2:$D$793,2,FALSE),0)</f>
        <v>0</v>
      </c>
      <c r="P1574" s="79">
        <v>0</v>
      </c>
      <c r="Q1574" s="32"/>
    </row>
    <row r="1575" spans="1:17" x14ac:dyDescent="0.25">
      <c r="A1575" t="s">
        <v>32</v>
      </c>
      <c r="B1575" s="73" t="str">
        <f>VLOOKUP(C1575,'Büyükşehir List'!$C$2:$D$31,2,FALSE)</f>
        <v>KAHRAMANMARAŞ BÜYÜKŞEHİR</v>
      </c>
      <c r="C1575" t="s">
        <v>3596</v>
      </c>
      <c r="D1575" s="73" t="str">
        <f t="shared" si="38"/>
        <v>KAHRAMANMARAŞ BÜYÜKŞEHİR/KAHRAMANMARAŞ</v>
      </c>
      <c r="E1575" t="s">
        <v>3869</v>
      </c>
      <c r="F1575" t="s">
        <v>3869</v>
      </c>
      <c r="G1575" t="s">
        <v>3366</v>
      </c>
      <c r="H1575">
        <v>72.7</v>
      </c>
      <c r="I1575">
        <v>7.27</v>
      </c>
      <c r="J1575">
        <v>0</v>
      </c>
      <c r="K1575">
        <v>0</v>
      </c>
      <c r="L1575">
        <v>72.7</v>
      </c>
      <c r="M1575">
        <v>7.27</v>
      </c>
      <c r="O1575" s="79">
        <f>IFERROR(VLOOKUP(D1575,'KAPANAN BLD.'!$C$2:$D$793,2,FALSE),0)</f>
        <v>0</v>
      </c>
      <c r="P1575" s="79">
        <v>0</v>
      </c>
      <c r="Q1575" s="32"/>
    </row>
    <row r="1576" spans="1:17" x14ac:dyDescent="0.25">
      <c r="A1576" t="s">
        <v>32</v>
      </c>
      <c r="B1576" s="73" t="str">
        <f>VLOOKUP(C1576,'Büyükşehir List'!$C$2:$D$31,2,FALSE)</f>
        <v>KAHRAMANMARAŞ BÜYÜKŞEHİR</v>
      </c>
      <c r="C1576" t="s">
        <v>3596</v>
      </c>
      <c r="D1576" s="73" t="str">
        <f t="shared" si="38"/>
        <v>KAHRAMANMARAŞ BÜYÜKŞEHİR/KAHRAMANMARAŞ</v>
      </c>
      <c r="E1576" t="s">
        <v>3869</v>
      </c>
      <c r="F1576" t="s">
        <v>3869</v>
      </c>
      <c r="G1576" t="s">
        <v>3367</v>
      </c>
      <c r="H1576">
        <v>237</v>
      </c>
      <c r="I1576">
        <v>23.7</v>
      </c>
      <c r="J1576">
        <v>0</v>
      </c>
      <c r="K1576">
        <v>0</v>
      </c>
      <c r="L1576">
        <v>237</v>
      </c>
      <c r="M1576">
        <v>23.7</v>
      </c>
      <c r="O1576" s="79">
        <f>IFERROR(VLOOKUP(D1576,'KAPANAN BLD.'!$C$2:$D$793,2,FALSE),0)</f>
        <v>0</v>
      </c>
      <c r="P1576" s="79">
        <v>0</v>
      </c>
      <c r="Q1576" s="32"/>
    </row>
    <row r="1577" spans="1:17" x14ac:dyDescent="0.25">
      <c r="A1577" t="s">
        <v>32</v>
      </c>
      <c r="B1577" s="73" t="str">
        <f>VLOOKUP(C1577,'Büyükşehir List'!$C$2:$D$31,2,FALSE)</f>
        <v>KAHRAMANMARAŞ BÜYÜKŞEHİR</v>
      </c>
      <c r="C1577" t="s">
        <v>3596</v>
      </c>
      <c r="D1577" s="73" t="str">
        <f t="shared" si="38"/>
        <v>KAHRAMANMARAŞ BÜYÜKŞEHİR/KAHRAMANMARAŞ</v>
      </c>
      <c r="E1577" t="s">
        <v>4225</v>
      </c>
      <c r="F1577" t="s">
        <v>4225</v>
      </c>
      <c r="G1577" t="s">
        <v>3367</v>
      </c>
      <c r="H1577">
        <v>45</v>
      </c>
      <c r="I1577">
        <v>4.5</v>
      </c>
      <c r="J1577">
        <v>0</v>
      </c>
      <c r="K1577">
        <v>0</v>
      </c>
      <c r="L1577">
        <v>45</v>
      </c>
      <c r="M1577">
        <v>4.5</v>
      </c>
      <c r="O1577" s="79">
        <f>IFERROR(VLOOKUP(D1577,'KAPANAN BLD.'!$C$2:$D$793,2,FALSE),0)</f>
        <v>0</v>
      </c>
      <c r="P1577" s="79">
        <v>0</v>
      </c>
      <c r="Q1577" s="32"/>
    </row>
    <row r="1578" spans="1:17" x14ac:dyDescent="0.25">
      <c r="A1578" t="s">
        <v>32</v>
      </c>
      <c r="B1578" s="73" t="str">
        <f>VLOOKUP(C1578,'Büyükşehir List'!$C$2:$D$31,2,FALSE)</f>
        <v>KAHRAMANMARAŞ BÜYÜKŞEHİR</v>
      </c>
      <c r="C1578" t="s">
        <v>3596</v>
      </c>
      <c r="D1578" s="73" t="str">
        <f t="shared" si="38"/>
        <v>KAHRAMANMARAŞ BÜYÜKŞEHİR/KAHRAMANMARAŞ</v>
      </c>
      <c r="E1578" t="s">
        <v>4225</v>
      </c>
      <c r="F1578" t="s">
        <v>4225</v>
      </c>
      <c r="G1578" t="s">
        <v>3366</v>
      </c>
      <c r="H1578">
        <v>402.8</v>
      </c>
      <c r="I1578">
        <v>40.28</v>
      </c>
      <c r="J1578">
        <v>0</v>
      </c>
      <c r="K1578">
        <v>0</v>
      </c>
      <c r="L1578">
        <v>402.8</v>
      </c>
      <c r="M1578">
        <v>40.28</v>
      </c>
      <c r="O1578" s="79">
        <f>IFERROR(VLOOKUP(D1578,'KAPANAN BLD.'!$C$2:$D$793,2,FALSE),0)</f>
        <v>0</v>
      </c>
      <c r="P1578" s="79">
        <v>0</v>
      </c>
      <c r="Q1578" s="32"/>
    </row>
    <row r="1579" spans="1:17" x14ac:dyDescent="0.25">
      <c r="A1579" t="s">
        <v>32</v>
      </c>
      <c r="B1579" s="73" t="str">
        <f>VLOOKUP(C1579,'Büyükşehir List'!$C$2:$D$31,2,FALSE)</f>
        <v>KAHRAMANMARAŞ BÜYÜKŞEHİR</v>
      </c>
      <c r="C1579" t="s">
        <v>3596</v>
      </c>
      <c r="D1579" s="73" t="str">
        <f t="shared" si="38"/>
        <v>KAHRAMANMARAŞ BÜYÜKŞEHİR/KAHRAMANMARAŞ</v>
      </c>
      <c r="E1579" t="s">
        <v>4227</v>
      </c>
      <c r="F1579" t="s">
        <v>4227</v>
      </c>
      <c r="G1579" t="s">
        <v>3367</v>
      </c>
      <c r="H1579">
        <v>10.62</v>
      </c>
      <c r="I1579">
        <v>1.06</v>
      </c>
      <c r="J1579">
        <v>0</v>
      </c>
      <c r="K1579">
        <v>0</v>
      </c>
      <c r="L1579">
        <v>10.62</v>
      </c>
      <c r="M1579">
        <v>1.06</v>
      </c>
      <c r="O1579" s="79">
        <f>IFERROR(VLOOKUP(D1579,'KAPANAN BLD.'!$C$2:$D$793,2,FALSE),0)</f>
        <v>0</v>
      </c>
      <c r="P1579" s="79">
        <v>0</v>
      </c>
      <c r="Q1579" s="32"/>
    </row>
    <row r="1580" spans="1:17" x14ac:dyDescent="0.25">
      <c r="A1580" t="s">
        <v>32</v>
      </c>
      <c r="B1580" s="73" t="str">
        <f>VLOOKUP(C1580,'Büyükşehir List'!$C$2:$D$31,2,FALSE)</f>
        <v>KAHRAMANMARAŞ BÜYÜKŞEHİR</v>
      </c>
      <c r="C1580" t="s">
        <v>3596</v>
      </c>
      <c r="D1580" s="73" t="str">
        <f t="shared" si="38"/>
        <v>KAHRAMANMARAŞ BÜYÜKŞEHİR/KAHRAMANMARAŞ</v>
      </c>
      <c r="E1580" t="s">
        <v>4227</v>
      </c>
      <c r="F1580" t="s">
        <v>4227</v>
      </c>
      <c r="G1580" t="s">
        <v>3366</v>
      </c>
      <c r="H1580">
        <v>5.31</v>
      </c>
      <c r="I1580">
        <v>0.53</v>
      </c>
      <c r="J1580">
        <v>0</v>
      </c>
      <c r="K1580">
        <v>0</v>
      </c>
      <c r="L1580">
        <v>5.31</v>
      </c>
      <c r="M1580">
        <v>0.53</v>
      </c>
      <c r="O1580" s="79">
        <f>IFERROR(VLOOKUP(D1580,'KAPANAN BLD.'!$C$2:$D$793,2,FALSE),0)</f>
        <v>0</v>
      </c>
      <c r="P1580" s="79">
        <v>0</v>
      </c>
      <c r="Q1580" s="32"/>
    </row>
    <row r="1581" spans="1:17" x14ac:dyDescent="0.25">
      <c r="A1581" t="s">
        <v>32</v>
      </c>
      <c r="B1581" s="73" t="str">
        <f>VLOOKUP(C1581,'Büyükşehir List'!$C$2:$D$31,2,FALSE)</f>
        <v>KAHRAMANMARAŞ BÜYÜKŞEHİR</v>
      </c>
      <c r="C1581" t="s">
        <v>3596</v>
      </c>
      <c r="D1581" s="73" t="str">
        <f t="shared" si="38"/>
        <v>KAHRAMANMARAŞ BÜYÜKŞEHİR/KAHRAMANMARAŞ</v>
      </c>
      <c r="E1581" t="s">
        <v>3995</v>
      </c>
      <c r="F1581" t="s">
        <v>3995</v>
      </c>
      <c r="G1581" t="s">
        <v>3366</v>
      </c>
      <c r="H1581">
        <v>78.900000000000006</v>
      </c>
      <c r="I1581">
        <v>7.89</v>
      </c>
      <c r="J1581">
        <v>0</v>
      </c>
      <c r="K1581">
        <v>0</v>
      </c>
      <c r="L1581">
        <v>78.900000000000006</v>
      </c>
      <c r="M1581">
        <v>7.89</v>
      </c>
      <c r="O1581" s="79">
        <f>IFERROR(VLOOKUP(D1581,'KAPANAN BLD.'!$C$2:$D$793,2,FALSE),0)</f>
        <v>0</v>
      </c>
      <c r="P1581" s="79">
        <v>0</v>
      </c>
      <c r="Q1581" s="32"/>
    </row>
    <row r="1582" spans="1:17" x14ac:dyDescent="0.25">
      <c r="A1582" t="s">
        <v>32</v>
      </c>
      <c r="B1582" s="73" t="str">
        <f>VLOOKUP(C1582,'Büyükşehir List'!$C$2:$D$31,2,FALSE)</f>
        <v>KAHRAMANMARAŞ BÜYÜKŞEHİR</v>
      </c>
      <c r="C1582" t="s">
        <v>3596</v>
      </c>
      <c r="D1582" s="73" t="str">
        <f t="shared" si="38"/>
        <v>KAHRAMANMARAŞ BÜYÜKŞEHİR/KAHRAMANMARAŞ</v>
      </c>
      <c r="E1582" t="s">
        <v>3995</v>
      </c>
      <c r="F1582" t="s">
        <v>3995</v>
      </c>
      <c r="G1582" t="s">
        <v>3367</v>
      </c>
      <c r="H1582">
        <v>262.5</v>
      </c>
      <c r="I1582">
        <v>26.25</v>
      </c>
      <c r="J1582">
        <v>0</v>
      </c>
      <c r="K1582">
        <v>0</v>
      </c>
      <c r="L1582">
        <v>262.5</v>
      </c>
      <c r="M1582">
        <v>26.25</v>
      </c>
      <c r="O1582" s="79">
        <f>IFERROR(VLOOKUP(D1582,'KAPANAN BLD.'!$C$2:$D$793,2,FALSE),0)</f>
        <v>0</v>
      </c>
      <c r="P1582" s="79">
        <v>0</v>
      </c>
      <c r="Q1582" s="32"/>
    </row>
    <row r="1583" spans="1:17" x14ac:dyDescent="0.25">
      <c r="A1583" t="s">
        <v>32</v>
      </c>
      <c r="B1583" s="73" t="str">
        <f>VLOOKUP(C1583,'Büyükşehir List'!$C$2:$D$31,2,FALSE)</f>
        <v>KAHRAMANMARAŞ BÜYÜKŞEHİR</v>
      </c>
      <c r="C1583" t="s">
        <v>3596</v>
      </c>
      <c r="D1583" s="73" t="str">
        <f t="shared" si="38"/>
        <v>KAHRAMANMARAŞ BÜYÜKŞEHİR/KAHRAMANMARAŞ</v>
      </c>
      <c r="E1583" t="s">
        <v>4383</v>
      </c>
      <c r="F1583" t="s">
        <v>4383</v>
      </c>
      <c r="G1583" t="s">
        <v>3367</v>
      </c>
      <c r="H1583">
        <v>1721.6</v>
      </c>
      <c r="I1583">
        <v>172.16</v>
      </c>
      <c r="J1583">
        <v>0</v>
      </c>
      <c r="K1583">
        <v>0</v>
      </c>
      <c r="L1583">
        <v>1721.6</v>
      </c>
      <c r="M1583">
        <v>172.16</v>
      </c>
      <c r="O1583" s="79">
        <f>IFERROR(VLOOKUP(D1583,'KAPANAN BLD.'!$C$2:$D$793,2,FALSE),0)</f>
        <v>0</v>
      </c>
      <c r="P1583" s="79">
        <v>0</v>
      </c>
      <c r="Q1583" s="32"/>
    </row>
    <row r="1584" spans="1:17" x14ac:dyDescent="0.25">
      <c r="A1584" t="s">
        <v>32</v>
      </c>
      <c r="B1584" s="73" t="str">
        <f>VLOOKUP(C1584,'Büyükşehir List'!$C$2:$D$31,2,FALSE)</f>
        <v>KAHRAMANMARAŞ BÜYÜKŞEHİR</v>
      </c>
      <c r="C1584" t="s">
        <v>3596</v>
      </c>
      <c r="D1584" s="73" t="str">
        <f t="shared" si="38"/>
        <v>KAHRAMANMARAŞ BÜYÜKŞEHİR/KAHRAMANMARAŞ</v>
      </c>
      <c r="E1584" t="s">
        <v>4383</v>
      </c>
      <c r="F1584" t="s">
        <v>4383</v>
      </c>
      <c r="G1584" t="s">
        <v>3366</v>
      </c>
      <c r="H1584">
        <v>1593.4</v>
      </c>
      <c r="I1584">
        <v>159.34</v>
      </c>
      <c r="J1584">
        <v>0</v>
      </c>
      <c r="K1584">
        <v>0</v>
      </c>
      <c r="L1584">
        <v>1593.4</v>
      </c>
      <c r="M1584">
        <v>159.34</v>
      </c>
      <c r="O1584" s="79">
        <f>IFERROR(VLOOKUP(D1584,'KAPANAN BLD.'!$C$2:$D$793,2,FALSE),0)</f>
        <v>0</v>
      </c>
      <c r="P1584" s="79">
        <v>0</v>
      </c>
      <c r="Q1584" s="32"/>
    </row>
    <row r="1585" spans="1:17" x14ac:dyDescent="0.25">
      <c r="A1585" t="s">
        <v>32</v>
      </c>
      <c r="B1585" s="73" t="str">
        <f>VLOOKUP(C1585,'Büyükşehir List'!$C$2:$D$31,2,FALSE)</f>
        <v>KAHRAMANMARAŞ BÜYÜKŞEHİR</v>
      </c>
      <c r="C1585" t="s">
        <v>3596</v>
      </c>
      <c r="D1585" s="73" t="str">
        <f t="shared" si="38"/>
        <v>KAHRAMANMARAŞ BÜYÜKŞEHİR/KAHRAMANMARAŞ</v>
      </c>
      <c r="E1585" t="s">
        <v>4384</v>
      </c>
      <c r="F1585" t="s">
        <v>4384</v>
      </c>
      <c r="G1585" t="s">
        <v>3366</v>
      </c>
      <c r="H1585">
        <v>6.3</v>
      </c>
      <c r="I1585">
        <v>0.63</v>
      </c>
      <c r="J1585">
        <v>0</v>
      </c>
      <c r="K1585">
        <v>0</v>
      </c>
      <c r="L1585">
        <v>6.3</v>
      </c>
      <c r="M1585">
        <v>0.63</v>
      </c>
      <c r="O1585" s="79">
        <f>IFERROR(VLOOKUP(D1585,'KAPANAN BLD.'!$C$2:$D$793,2,FALSE),0)</f>
        <v>0</v>
      </c>
      <c r="P1585" s="79">
        <v>0</v>
      </c>
      <c r="Q1585" s="32"/>
    </row>
    <row r="1586" spans="1:17" x14ac:dyDescent="0.25">
      <c r="A1586" t="s">
        <v>32</v>
      </c>
      <c r="B1586" s="73" t="str">
        <f>VLOOKUP(C1586,'Büyükşehir List'!$C$2:$D$31,2,FALSE)</f>
        <v>KAHRAMANMARAŞ BÜYÜKŞEHİR</v>
      </c>
      <c r="C1586" t="s">
        <v>3596</v>
      </c>
      <c r="D1586" s="73" t="str">
        <f t="shared" si="38"/>
        <v>KAHRAMANMARAŞ BÜYÜKŞEHİR/KAHRAMANMARAŞ</v>
      </c>
      <c r="E1586" t="s">
        <v>4384</v>
      </c>
      <c r="F1586" t="s">
        <v>4384</v>
      </c>
      <c r="G1586" t="s">
        <v>3367</v>
      </c>
      <c r="H1586">
        <v>15.3</v>
      </c>
      <c r="I1586">
        <v>1.53</v>
      </c>
      <c r="J1586">
        <v>0</v>
      </c>
      <c r="K1586">
        <v>0</v>
      </c>
      <c r="L1586">
        <v>15.3</v>
      </c>
      <c r="M1586">
        <v>1.53</v>
      </c>
      <c r="O1586" s="79">
        <f>IFERROR(VLOOKUP(D1586,'KAPANAN BLD.'!$C$2:$D$793,2,FALSE),0)</f>
        <v>0</v>
      </c>
      <c r="P1586" s="79">
        <v>0</v>
      </c>
      <c r="Q1586" s="32"/>
    </row>
    <row r="1587" spans="1:17" x14ac:dyDescent="0.25">
      <c r="A1587" t="s">
        <v>32</v>
      </c>
      <c r="B1587" s="73" t="str">
        <f>VLOOKUP(C1587,'Büyükşehir List'!$C$2:$D$31,2,FALSE)</f>
        <v>KAHRAMANMARAŞ BÜYÜKŞEHİR</v>
      </c>
      <c r="C1587" t="s">
        <v>3596</v>
      </c>
      <c r="D1587" s="73" t="str">
        <f t="shared" si="38"/>
        <v>KAHRAMANMARAŞ BÜYÜKŞEHİR/KAHRAMANMARAŞ</v>
      </c>
      <c r="E1587" t="s">
        <v>3992</v>
      </c>
      <c r="F1587" t="s">
        <v>3992</v>
      </c>
      <c r="G1587" t="s">
        <v>3367</v>
      </c>
      <c r="H1587">
        <v>56.8</v>
      </c>
      <c r="I1587">
        <v>5.68</v>
      </c>
      <c r="J1587">
        <v>0</v>
      </c>
      <c r="K1587">
        <v>0</v>
      </c>
      <c r="L1587">
        <v>56.8</v>
      </c>
      <c r="M1587">
        <v>5.68</v>
      </c>
      <c r="O1587" s="79">
        <f>IFERROR(VLOOKUP(D1587,'KAPANAN BLD.'!$C$2:$D$793,2,FALSE),0)</f>
        <v>0</v>
      </c>
      <c r="P1587" s="79">
        <v>0</v>
      </c>
      <c r="Q1587" s="32"/>
    </row>
    <row r="1588" spans="1:17" x14ac:dyDescent="0.25">
      <c r="A1588" t="s">
        <v>32</v>
      </c>
      <c r="B1588" s="73" t="str">
        <f>VLOOKUP(C1588,'Büyükşehir List'!$C$2:$D$31,2,FALSE)</f>
        <v>KAHRAMANMARAŞ BÜYÜKŞEHİR</v>
      </c>
      <c r="C1588" t="s">
        <v>3596</v>
      </c>
      <c r="D1588" s="73" t="str">
        <f t="shared" si="38"/>
        <v>KAHRAMANMARAŞ BÜYÜKŞEHİR/KAHRAMANMARAŞ</v>
      </c>
      <c r="E1588" t="s">
        <v>3992</v>
      </c>
      <c r="F1588" t="s">
        <v>3992</v>
      </c>
      <c r="G1588" t="s">
        <v>3366</v>
      </c>
      <c r="H1588">
        <v>23.7</v>
      </c>
      <c r="I1588">
        <v>2.37</v>
      </c>
      <c r="J1588">
        <v>0</v>
      </c>
      <c r="K1588">
        <v>0</v>
      </c>
      <c r="L1588">
        <v>23.7</v>
      </c>
      <c r="M1588">
        <v>2.37</v>
      </c>
      <c r="O1588" s="79">
        <f>IFERROR(VLOOKUP(D1588,'KAPANAN BLD.'!$C$2:$D$793,2,FALSE),0)</f>
        <v>0</v>
      </c>
      <c r="P1588" s="79">
        <v>0</v>
      </c>
      <c r="Q1588" s="32"/>
    </row>
    <row r="1589" spans="1:17" x14ac:dyDescent="0.25">
      <c r="A1589" t="s">
        <v>32</v>
      </c>
      <c r="B1589" s="73" t="str">
        <f>VLOOKUP(C1589,'Büyükşehir List'!$C$2:$D$31,2,FALSE)</f>
        <v>KAHRAMANMARAŞ BÜYÜKŞEHİR</v>
      </c>
      <c r="C1589" t="s">
        <v>3596</v>
      </c>
      <c r="D1589" s="73" t="str">
        <f t="shared" si="38"/>
        <v>KAHRAMANMARAŞ BÜYÜKŞEHİR/KAHRAMANMARAŞ</v>
      </c>
      <c r="E1589" t="s">
        <v>4488</v>
      </c>
      <c r="F1589" t="s">
        <v>4488</v>
      </c>
      <c r="G1589" t="s">
        <v>3366</v>
      </c>
      <c r="H1589">
        <v>1051.7</v>
      </c>
      <c r="I1589">
        <v>105.17</v>
      </c>
      <c r="J1589">
        <v>0</v>
      </c>
      <c r="K1589">
        <v>0</v>
      </c>
      <c r="L1589">
        <v>1051.7</v>
      </c>
      <c r="M1589">
        <v>105.17</v>
      </c>
      <c r="O1589" s="79">
        <f>IFERROR(VLOOKUP(D1589,'KAPANAN BLD.'!$C$2:$D$793,2,FALSE),0)</f>
        <v>0</v>
      </c>
      <c r="P1589" s="79">
        <v>0</v>
      </c>
      <c r="Q1589" s="32"/>
    </row>
    <row r="1590" spans="1:17" x14ac:dyDescent="0.25">
      <c r="A1590" t="s">
        <v>32</v>
      </c>
      <c r="B1590" s="73" t="str">
        <f>VLOOKUP(C1590,'Büyükşehir List'!$C$2:$D$31,2,FALSE)</f>
        <v>KAHRAMANMARAŞ BÜYÜKŞEHİR</v>
      </c>
      <c r="C1590" t="s">
        <v>3596</v>
      </c>
      <c r="D1590" s="73" t="str">
        <f t="shared" si="38"/>
        <v>KAHRAMANMARAŞ BÜYÜKŞEHİR/KAHRAMANMARAŞ</v>
      </c>
      <c r="E1590" t="s">
        <v>4488</v>
      </c>
      <c r="F1590" t="s">
        <v>4488</v>
      </c>
      <c r="G1590" t="s">
        <v>3367</v>
      </c>
      <c r="H1590">
        <v>813</v>
      </c>
      <c r="I1590">
        <v>81.3</v>
      </c>
      <c r="J1590">
        <v>0</v>
      </c>
      <c r="K1590">
        <v>0</v>
      </c>
      <c r="L1590">
        <v>813</v>
      </c>
      <c r="M1590">
        <v>81.3</v>
      </c>
      <c r="O1590" s="79">
        <f>IFERROR(VLOOKUP(D1590,'KAPANAN BLD.'!$C$2:$D$793,2,FALSE),0)</f>
        <v>0</v>
      </c>
      <c r="P1590" s="79">
        <v>0</v>
      </c>
      <c r="Q1590" s="32"/>
    </row>
    <row r="1591" spans="1:17" x14ac:dyDescent="0.25">
      <c r="A1591" t="s">
        <v>32</v>
      </c>
      <c r="B1591" s="73" t="str">
        <f>VLOOKUP(C1591,'Büyükşehir List'!$C$2:$D$31,2,FALSE)</f>
        <v>KAHRAMANMARAŞ BÜYÜKŞEHİR</v>
      </c>
      <c r="C1591" t="s">
        <v>3596</v>
      </c>
      <c r="D1591" s="73" t="str">
        <f t="shared" si="38"/>
        <v>KAHRAMANMARAŞ BÜYÜKŞEHİR/KAHRAMANMARAŞ</v>
      </c>
      <c r="E1591" t="s">
        <v>625</v>
      </c>
      <c r="F1591" t="s">
        <v>625</v>
      </c>
      <c r="G1591" t="s">
        <v>3367</v>
      </c>
      <c r="H1591">
        <v>183.9</v>
      </c>
      <c r="I1591">
        <v>18.39</v>
      </c>
      <c r="J1591">
        <v>0</v>
      </c>
      <c r="K1591">
        <v>0</v>
      </c>
      <c r="L1591">
        <v>183.9</v>
      </c>
      <c r="M1591">
        <v>18.39</v>
      </c>
      <c r="O1591" s="79">
        <f>IFERROR(VLOOKUP(D1591,'KAPANAN BLD.'!$C$2:$D$793,2,FALSE),0)</f>
        <v>0</v>
      </c>
      <c r="P1591" s="79">
        <v>0</v>
      </c>
      <c r="Q1591" s="32"/>
    </row>
    <row r="1592" spans="1:17" x14ac:dyDescent="0.25">
      <c r="A1592" t="s">
        <v>32</v>
      </c>
      <c r="B1592" s="73" t="str">
        <f>VLOOKUP(C1592,'Büyükşehir List'!$C$2:$D$31,2,FALSE)</f>
        <v>KAHRAMANMARAŞ BÜYÜKŞEHİR</v>
      </c>
      <c r="C1592" t="s">
        <v>3596</v>
      </c>
      <c r="D1592" s="73" t="str">
        <f t="shared" si="38"/>
        <v>KAHRAMANMARAŞ BÜYÜKŞEHİR/KAHRAMANMARAŞ</v>
      </c>
      <c r="E1592" t="s">
        <v>625</v>
      </c>
      <c r="F1592" t="s">
        <v>625</v>
      </c>
      <c r="G1592" t="s">
        <v>3366</v>
      </c>
      <c r="H1592">
        <v>45.8</v>
      </c>
      <c r="I1592">
        <v>4.58</v>
      </c>
      <c r="J1592">
        <v>0</v>
      </c>
      <c r="K1592">
        <v>0</v>
      </c>
      <c r="L1592">
        <v>45.8</v>
      </c>
      <c r="M1592">
        <v>4.58</v>
      </c>
      <c r="O1592" s="79">
        <f>IFERROR(VLOOKUP(D1592,'KAPANAN BLD.'!$C$2:$D$793,2,FALSE),0)</f>
        <v>0</v>
      </c>
      <c r="P1592" s="79">
        <v>0</v>
      </c>
      <c r="Q1592" s="32"/>
    </row>
    <row r="1593" spans="1:17" x14ac:dyDescent="0.25">
      <c r="A1593" t="s">
        <v>32</v>
      </c>
      <c r="B1593" s="73" t="str">
        <f>VLOOKUP(C1593,'Büyükşehir List'!$C$2:$D$31,2,FALSE)</f>
        <v>KAHRAMANMARAŞ BÜYÜKŞEHİR</v>
      </c>
      <c r="C1593" t="s">
        <v>3596</v>
      </c>
      <c r="D1593" s="73" t="str">
        <f t="shared" si="38"/>
        <v>KAHRAMANMARAŞ BÜYÜKŞEHİR/KAHRAMANMARAŞ</v>
      </c>
      <c r="E1593" t="s">
        <v>4351</v>
      </c>
      <c r="F1593" t="s">
        <v>4351</v>
      </c>
      <c r="G1593" t="s">
        <v>3367</v>
      </c>
      <c r="H1593">
        <v>103.9</v>
      </c>
      <c r="I1593">
        <v>10.39</v>
      </c>
      <c r="J1593">
        <v>0</v>
      </c>
      <c r="K1593">
        <v>0</v>
      </c>
      <c r="L1593">
        <v>103.9</v>
      </c>
      <c r="M1593">
        <v>10.39</v>
      </c>
      <c r="O1593" s="79">
        <f>IFERROR(VLOOKUP(D1593,'KAPANAN BLD.'!$C$2:$D$793,2,FALSE),0)</f>
        <v>0</v>
      </c>
      <c r="P1593" s="79">
        <v>0</v>
      </c>
      <c r="Q1593" s="32"/>
    </row>
    <row r="1594" spans="1:17" x14ac:dyDescent="0.25">
      <c r="A1594" t="s">
        <v>32</v>
      </c>
      <c r="B1594" s="73" t="str">
        <f>VLOOKUP(C1594,'Büyükşehir List'!$C$2:$D$31,2,FALSE)</f>
        <v>KAHRAMANMARAŞ BÜYÜKŞEHİR</v>
      </c>
      <c r="C1594" t="s">
        <v>3596</v>
      </c>
      <c r="D1594" s="73" t="str">
        <f t="shared" si="38"/>
        <v>KAHRAMANMARAŞ BÜYÜKŞEHİR/KAHRAMANMARAŞ</v>
      </c>
      <c r="E1594" t="s">
        <v>4351</v>
      </c>
      <c r="F1594" t="s">
        <v>4351</v>
      </c>
      <c r="G1594" t="s">
        <v>3366</v>
      </c>
      <c r="H1594">
        <v>30.7</v>
      </c>
      <c r="I1594">
        <v>3.07</v>
      </c>
      <c r="J1594">
        <v>0</v>
      </c>
      <c r="K1594">
        <v>0</v>
      </c>
      <c r="L1594">
        <v>30.7</v>
      </c>
      <c r="M1594">
        <v>3.07</v>
      </c>
      <c r="O1594" s="79">
        <f>IFERROR(VLOOKUP(D1594,'KAPANAN BLD.'!$C$2:$D$793,2,FALSE),0)</f>
        <v>0</v>
      </c>
      <c r="P1594" s="79">
        <v>0</v>
      </c>
      <c r="Q1594" s="32"/>
    </row>
    <row r="1595" spans="1:17" x14ac:dyDescent="0.25">
      <c r="A1595" t="s">
        <v>32</v>
      </c>
      <c r="B1595" s="73" t="str">
        <f>VLOOKUP(C1595,'Büyükşehir List'!$C$2:$D$31,2,FALSE)</f>
        <v>KAHRAMANMARAŞ BÜYÜKŞEHİR</v>
      </c>
      <c r="C1595" t="s">
        <v>3596</v>
      </c>
      <c r="D1595" s="73" t="str">
        <f t="shared" si="38"/>
        <v>KAHRAMANMARAŞ BÜYÜKŞEHİR/KAHRAMANMARAŞ</v>
      </c>
      <c r="E1595" t="s">
        <v>4385</v>
      </c>
      <c r="F1595" t="s">
        <v>4385</v>
      </c>
      <c r="G1595" t="s">
        <v>3367</v>
      </c>
      <c r="H1595">
        <v>620.4</v>
      </c>
      <c r="I1595">
        <v>62.04</v>
      </c>
      <c r="J1595">
        <v>0</v>
      </c>
      <c r="K1595">
        <v>0</v>
      </c>
      <c r="L1595">
        <v>620.4</v>
      </c>
      <c r="M1595">
        <v>62.04</v>
      </c>
      <c r="O1595" s="79">
        <f>IFERROR(VLOOKUP(D1595,'KAPANAN BLD.'!$C$2:$D$793,2,FALSE),0)</f>
        <v>0</v>
      </c>
      <c r="P1595" s="79">
        <v>0</v>
      </c>
      <c r="Q1595" s="32"/>
    </row>
    <row r="1596" spans="1:17" x14ac:dyDescent="0.25">
      <c r="A1596" t="s">
        <v>32</v>
      </c>
      <c r="B1596" s="73" t="str">
        <f>VLOOKUP(C1596,'Büyükşehir List'!$C$2:$D$31,2,FALSE)</f>
        <v>KAHRAMANMARAŞ BÜYÜKŞEHİR</v>
      </c>
      <c r="C1596" t="s">
        <v>3596</v>
      </c>
      <c r="D1596" s="73" t="str">
        <f t="shared" si="38"/>
        <v>KAHRAMANMARAŞ BÜYÜKŞEHİR/KAHRAMANMARAŞ</v>
      </c>
      <c r="E1596" t="s">
        <v>4385</v>
      </c>
      <c r="F1596" t="s">
        <v>4385</v>
      </c>
      <c r="G1596" t="s">
        <v>3366</v>
      </c>
      <c r="H1596">
        <v>382.2</v>
      </c>
      <c r="I1596">
        <v>38.22</v>
      </c>
      <c r="J1596">
        <v>0</v>
      </c>
      <c r="K1596">
        <v>0</v>
      </c>
      <c r="L1596">
        <v>382.2</v>
      </c>
      <c r="M1596">
        <v>38.22</v>
      </c>
      <c r="O1596" s="79">
        <f>IFERROR(VLOOKUP(D1596,'KAPANAN BLD.'!$C$2:$D$793,2,FALSE),0)</f>
        <v>0</v>
      </c>
      <c r="P1596" s="79">
        <v>0</v>
      </c>
      <c r="Q1596" s="32"/>
    </row>
    <row r="1597" spans="1:17" x14ac:dyDescent="0.25">
      <c r="A1597" t="s">
        <v>32</v>
      </c>
      <c r="B1597" s="73" t="str">
        <f>VLOOKUP(C1597,'Büyükşehir List'!$C$2:$D$31,2,FALSE)</f>
        <v>KAHRAMANMARAŞ BÜYÜKŞEHİR</v>
      </c>
      <c r="C1597" t="s">
        <v>3596</v>
      </c>
      <c r="D1597" s="73" t="str">
        <f t="shared" si="38"/>
        <v>KAHRAMANMARAŞ BÜYÜKŞEHİR/KAHRAMANMARAŞ</v>
      </c>
      <c r="E1597" t="s">
        <v>4386</v>
      </c>
      <c r="F1597" t="s">
        <v>4386</v>
      </c>
      <c r="G1597" t="s">
        <v>3367</v>
      </c>
      <c r="H1597">
        <v>5.4</v>
      </c>
      <c r="I1597">
        <v>0.54</v>
      </c>
      <c r="J1597">
        <v>0</v>
      </c>
      <c r="K1597">
        <v>0</v>
      </c>
      <c r="L1597">
        <v>5.4</v>
      </c>
      <c r="M1597">
        <v>0.54</v>
      </c>
      <c r="O1597" s="79">
        <f>IFERROR(VLOOKUP(D1597,'KAPANAN BLD.'!$C$2:$D$793,2,FALSE),0)</f>
        <v>0</v>
      </c>
      <c r="P1597" s="79">
        <v>0</v>
      </c>
      <c r="Q1597" s="32"/>
    </row>
    <row r="1598" spans="1:17" x14ac:dyDescent="0.25">
      <c r="A1598" t="s">
        <v>32</v>
      </c>
      <c r="B1598" s="73" t="str">
        <f>VLOOKUP(C1598,'Büyükşehir List'!$C$2:$D$31,2,FALSE)</f>
        <v>KAHRAMANMARAŞ BÜYÜKŞEHİR</v>
      </c>
      <c r="C1598" t="s">
        <v>3596</v>
      </c>
      <c r="D1598" s="73" t="str">
        <f t="shared" si="38"/>
        <v>KAHRAMANMARAŞ BÜYÜKŞEHİR/KAHRAMANMARAŞ</v>
      </c>
      <c r="E1598" t="s">
        <v>4386</v>
      </c>
      <c r="F1598" t="s">
        <v>4386</v>
      </c>
      <c r="G1598" t="s">
        <v>3366</v>
      </c>
      <c r="H1598">
        <v>103.3</v>
      </c>
      <c r="I1598">
        <v>10.33</v>
      </c>
      <c r="J1598">
        <v>0</v>
      </c>
      <c r="K1598">
        <v>0</v>
      </c>
      <c r="L1598">
        <v>103.3</v>
      </c>
      <c r="M1598">
        <v>10.33</v>
      </c>
      <c r="O1598" s="79">
        <f>IFERROR(VLOOKUP(D1598,'KAPANAN BLD.'!$C$2:$D$793,2,FALSE),0)</f>
        <v>0</v>
      </c>
      <c r="P1598" s="79">
        <v>0</v>
      </c>
      <c r="Q1598" s="32"/>
    </row>
    <row r="1599" spans="1:17" x14ac:dyDescent="0.25">
      <c r="A1599" t="s">
        <v>32</v>
      </c>
      <c r="B1599" s="73" t="str">
        <f>VLOOKUP(C1599,'Büyükşehir List'!$C$2:$D$31,2,FALSE)</f>
        <v>KAHRAMANMARAŞ BÜYÜKŞEHİR</v>
      </c>
      <c r="C1599" t="s">
        <v>3596</v>
      </c>
      <c r="D1599" s="73" t="str">
        <f t="shared" si="38"/>
        <v>KAHRAMANMARAŞ BÜYÜKŞEHİR/KAHRAMANMARAŞ</v>
      </c>
      <c r="E1599" t="s">
        <v>4387</v>
      </c>
      <c r="F1599" t="s">
        <v>4387</v>
      </c>
      <c r="G1599" t="s">
        <v>3367</v>
      </c>
      <c r="H1599">
        <v>23.3</v>
      </c>
      <c r="I1599">
        <v>2.33</v>
      </c>
      <c r="J1599">
        <v>0</v>
      </c>
      <c r="K1599">
        <v>0</v>
      </c>
      <c r="L1599">
        <v>23.3</v>
      </c>
      <c r="M1599">
        <v>2.33</v>
      </c>
      <c r="O1599" s="79">
        <f>IFERROR(VLOOKUP(D1599,'KAPANAN BLD.'!$C$2:$D$793,2,FALSE),0)</f>
        <v>0</v>
      </c>
      <c r="P1599" s="79">
        <v>0</v>
      </c>
    </row>
    <row r="1600" spans="1:17" x14ac:dyDescent="0.25">
      <c r="A1600" t="s">
        <v>32</v>
      </c>
      <c r="B1600" s="73" t="str">
        <f>VLOOKUP(C1600,'Büyükşehir List'!$C$2:$D$31,2,FALSE)</f>
        <v>KAHRAMANMARAŞ BÜYÜKŞEHİR</v>
      </c>
      <c r="C1600" t="s">
        <v>3596</v>
      </c>
      <c r="D1600" s="73" t="str">
        <f t="shared" si="38"/>
        <v>KAHRAMANMARAŞ BÜYÜKŞEHİR/KAHRAMANMARAŞ</v>
      </c>
      <c r="E1600" t="s">
        <v>3986</v>
      </c>
      <c r="F1600" t="s">
        <v>3986</v>
      </c>
      <c r="G1600" t="s">
        <v>3367</v>
      </c>
      <c r="H1600">
        <v>546.79999999999995</v>
      </c>
      <c r="I1600">
        <v>54.68</v>
      </c>
      <c r="J1600">
        <v>0</v>
      </c>
      <c r="K1600">
        <v>0</v>
      </c>
      <c r="L1600">
        <v>546.79999999999995</v>
      </c>
      <c r="M1600">
        <v>54.68</v>
      </c>
      <c r="O1600" s="79">
        <f>IFERROR(VLOOKUP(D1600,'KAPANAN BLD.'!$C$2:$D$793,2,FALSE),0)</f>
        <v>0</v>
      </c>
      <c r="P1600" s="79">
        <v>0</v>
      </c>
    </row>
    <row r="1601" spans="1:16" x14ac:dyDescent="0.25">
      <c r="A1601" t="s">
        <v>32</v>
      </c>
      <c r="B1601" s="73" t="str">
        <f>VLOOKUP(C1601,'Büyükşehir List'!$C$2:$D$31,2,FALSE)</f>
        <v>KAHRAMANMARAŞ BÜYÜKŞEHİR</v>
      </c>
      <c r="C1601" t="s">
        <v>3596</v>
      </c>
      <c r="D1601" s="73" t="str">
        <f t="shared" si="38"/>
        <v>KAHRAMANMARAŞ BÜYÜKŞEHİR/KAHRAMANMARAŞ</v>
      </c>
      <c r="E1601" t="s">
        <v>3986</v>
      </c>
      <c r="F1601" t="s">
        <v>3986</v>
      </c>
      <c r="G1601" t="s">
        <v>3366</v>
      </c>
      <c r="H1601">
        <v>188</v>
      </c>
      <c r="I1601">
        <v>18.8</v>
      </c>
      <c r="J1601">
        <v>0</v>
      </c>
      <c r="K1601">
        <v>0</v>
      </c>
      <c r="L1601">
        <v>188</v>
      </c>
      <c r="M1601">
        <v>18.8</v>
      </c>
      <c r="O1601" s="79">
        <f>IFERROR(VLOOKUP(D1601,'KAPANAN BLD.'!$C$2:$D$793,2,FALSE),0)</f>
        <v>0</v>
      </c>
      <c r="P1601" s="79">
        <v>0</v>
      </c>
    </row>
    <row r="1602" spans="1:16" x14ac:dyDescent="0.25">
      <c r="A1602" t="s">
        <v>32</v>
      </c>
      <c r="B1602" s="73" t="str">
        <f>VLOOKUP(C1602,'Büyükşehir List'!$C$2:$D$31,2,FALSE)</f>
        <v>KAHRAMANMARAŞ BÜYÜKŞEHİR</v>
      </c>
      <c r="C1602" t="s">
        <v>3596</v>
      </c>
      <c r="D1602" s="73" t="str">
        <f t="shared" si="38"/>
        <v>KAHRAMANMARAŞ BÜYÜKŞEHİR/KAHRAMANMARAŞ</v>
      </c>
      <c r="E1602" t="s">
        <v>4489</v>
      </c>
      <c r="F1602" t="s">
        <v>4489</v>
      </c>
      <c r="G1602" t="s">
        <v>3366</v>
      </c>
      <c r="H1602">
        <v>2411.6</v>
      </c>
      <c r="I1602">
        <v>241.16</v>
      </c>
      <c r="J1602">
        <v>0</v>
      </c>
      <c r="K1602">
        <v>0</v>
      </c>
      <c r="L1602">
        <v>2411.6</v>
      </c>
      <c r="M1602">
        <v>241.16</v>
      </c>
      <c r="O1602" s="79">
        <f>IFERROR(VLOOKUP(D1602,'KAPANAN BLD.'!$C$2:$D$793,2,FALSE),0)</f>
        <v>0</v>
      </c>
      <c r="P1602" s="79">
        <v>0</v>
      </c>
    </row>
    <row r="1603" spans="1:16" x14ac:dyDescent="0.25">
      <c r="A1603" t="s">
        <v>32</v>
      </c>
      <c r="B1603" s="73" t="str">
        <f>VLOOKUP(C1603,'Büyükşehir List'!$C$2:$D$31,2,FALSE)</f>
        <v>KAHRAMANMARAŞ BÜYÜKŞEHİR</v>
      </c>
      <c r="C1603" t="s">
        <v>3596</v>
      </c>
      <c r="D1603" s="73" t="str">
        <f t="shared" ref="D1603:D1666" si="39">CONCATENATE(B1603,"/",C1603)</f>
        <v>KAHRAMANMARAŞ BÜYÜKŞEHİR/KAHRAMANMARAŞ</v>
      </c>
      <c r="E1603" t="s">
        <v>4489</v>
      </c>
      <c r="F1603" t="s">
        <v>4489</v>
      </c>
      <c r="G1603" t="s">
        <v>3367</v>
      </c>
      <c r="H1603">
        <v>202.9</v>
      </c>
      <c r="I1603">
        <v>20.29</v>
      </c>
      <c r="J1603">
        <v>0</v>
      </c>
      <c r="K1603">
        <v>0</v>
      </c>
      <c r="L1603">
        <v>202.9</v>
      </c>
      <c r="M1603">
        <v>20.29</v>
      </c>
      <c r="O1603" s="79">
        <f>IFERROR(VLOOKUP(D1603,'KAPANAN BLD.'!$C$2:$D$793,2,FALSE),0)</f>
        <v>0</v>
      </c>
      <c r="P1603" s="79">
        <v>0</v>
      </c>
    </row>
    <row r="1604" spans="1:16" x14ac:dyDescent="0.25">
      <c r="A1604" t="s">
        <v>32</v>
      </c>
      <c r="B1604" s="73" t="str">
        <f>VLOOKUP(C1604,'Büyükşehir List'!$C$2:$D$31,2,FALSE)</f>
        <v>KAHRAMANMARAŞ BÜYÜKŞEHİR</v>
      </c>
      <c r="C1604" t="s">
        <v>3596</v>
      </c>
      <c r="D1604" s="73" t="str">
        <f t="shared" si="39"/>
        <v>KAHRAMANMARAŞ BÜYÜKŞEHİR/KAHRAMANMARAŞ</v>
      </c>
      <c r="E1604" t="s">
        <v>34</v>
      </c>
      <c r="F1604" t="s">
        <v>34</v>
      </c>
      <c r="G1604" t="s">
        <v>3366</v>
      </c>
      <c r="H1604">
        <v>22324.97</v>
      </c>
      <c r="I1604">
        <v>2232.5</v>
      </c>
      <c r="J1604">
        <v>8959.3700000000008</v>
      </c>
      <c r="K1604">
        <v>895.94</v>
      </c>
      <c r="L1604">
        <v>13365.6</v>
      </c>
      <c r="M1604">
        <v>1336.56</v>
      </c>
      <c r="O1604" s="79">
        <f>IFERROR(VLOOKUP(D1604,'KAPANAN BLD.'!$C$2:$D$793,2,FALSE),0)</f>
        <v>0</v>
      </c>
      <c r="P1604" s="79">
        <v>0</v>
      </c>
    </row>
    <row r="1605" spans="1:16" x14ac:dyDescent="0.25">
      <c r="A1605" t="s">
        <v>32</v>
      </c>
      <c r="B1605" s="73" t="str">
        <f>VLOOKUP(C1605,'Büyükşehir List'!$C$2:$D$31,2,FALSE)</f>
        <v>KAHRAMANMARAŞ BÜYÜKŞEHİR</v>
      </c>
      <c r="C1605" t="s">
        <v>3596</v>
      </c>
      <c r="D1605" s="73" t="str">
        <f t="shared" si="39"/>
        <v>KAHRAMANMARAŞ BÜYÜKŞEHİR/KAHRAMANMARAŞ</v>
      </c>
      <c r="E1605" t="s">
        <v>34</v>
      </c>
      <c r="F1605" t="s">
        <v>34</v>
      </c>
      <c r="G1605" t="s">
        <v>3367</v>
      </c>
      <c r="H1605">
        <v>8376.82</v>
      </c>
      <c r="I1605">
        <v>837.68</v>
      </c>
      <c r="J1605">
        <v>415.91</v>
      </c>
      <c r="K1605">
        <v>41.59</v>
      </c>
      <c r="L1605">
        <v>7960.91</v>
      </c>
      <c r="M1605">
        <v>796.09</v>
      </c>
      <c r="O1605" s="79">
        <f>IFERROR(VLOOKUP(D1605,'KAPANAN BLD.'!$C$2:$D$793,2,FALSE),0)</f>
        <v>0</v>
      </c>
      <c r="P1605" s="79">
        <v>0</v>
      </c>
    </row>
    <row r="1606" spans="1:16" x14ac:dyDescent="0.25">
      <c r="A1606" t="s">
        <v>32</v>
      </c>
      <c r="B1606" s="73" t="str">
        <f>VLOOKUP(C1606,'Büyükşehir List'!$C$2:$D$31,2,FALSE)</f>
        <v>KAHRAMANMARAŞ BÜYÜKŞEHİR</v>
      </c>
      <c r="C1606" t="s">
        <v>3596</v>
      </c>
      <c r="D1606" s="73" t="str">
        <f t="shared" si="39"/>
        <v>KAHRAMANMARAŞ BÜYÜKŞEHİR/KAHRAMANMARAŞ</v>
      </c>
      <c r="E1606" t="s">
        <v>3566</v>
      </c>
      <c r="F1606" t="s">
        <v>3566</v>
      </c>
      <c r="G1606" t="s">
        <v>3367</v>
      </c>
      <c r="H1606">
        <v>301</v>
      </c>
      <c r="I1606">
        <v>30.1</v>
      </c>
      <c r="J1606">
        <v>0</v>
      </c>
      <c r="K1606">
        <v>0</v>
      </c>
      <c r="L1606">
        <v>301</v>
      </c>
      <c r="M1606">
        <v>30.1</v>
      </c>
      <c r="O1606" s="79">
        <f>IFERROR(VLOOKUP(D1606,'KAPANAN BLD.'!$C$2:$D$793,2,FALSE),0)</f>
        <v>0</v>
      </c>
      <c r="P1606" s="79">
        <v>0</v>
      </c>
    </row>
    <row r="1607" spans="1:16" x14ac:dyDescent="0.25">
      <c r="A1607" t="s">
        <v>32</v>
      </c>
      <c r="B1607" s="73" t="str">
        <f>VLOOKUP(C1607,'Büyükşehir List'!$C$2:$D$31,2,FALSE)</f>
        <v>KAHRAMANMARAŞ BÜYÜKŞEHİR</v>
      </c>
      <c r="C1607" t="s">
        <v>3596</v>
      </c>
      <c r="D1607" s="73" t="str">
        <f t="shared" si="39"/>
        <v>KAHRAMANMARAŞ BÜYÜKŞEHİR/KAHRAMANMARAŞ</v>
      </c>
      <c r="E1607" t="s">
        <v>3566</v>
      </c>
      <c r="F1607" t="s">
        <v>3566</v>
      </c>
      <c r="G1607" t="s">
        <v>3366</v>
      </c>
      <c r="H1607">
        <v>163.1</v>
      </c>
      <c r="I1607">
        <v>16.309999999999999</v>
      </c>
      <c r="J1607">
        <v>0</v>
      </c>
      <c r="K1607">
        <v>0</v>
      </c>
      <c r="L1607">
        <v>163.1</v>
      </c>
      <c r="M1607">
        <v>16.309999999999999</v>
      </c>
      <c r="O1607" s="79">
        <f>IFERROR(VLOOKUP(D1607,'KAPANAN BLD.'!$C$2:$D$793,2,FALSE),0)</f>
        <v>0</v>
      </c>
      <c r="P1607" s="79">
        <v>0</v>
      </c>
    </row>
    <row r="1608" spans="1:16" x14ac:dyDescent="0.25">
      <c r="A1608" t="s">
        <v>32</v>
      </c>
      <c r="B1608" s="73" t="str">
        <f>VLOOKUP(C1608,'Büyükşehir List'!$C$2:$D$31,2,FALSE)</f>
        <v>KAHRAMANMARAŞ BÜYÜKŞEHİR</v>
      </c>
      <c r="C1608" t="s">
        <v>3596</v>
      </c>
      <c r="D1608" s="73" t="str">
        <f t="shared" si="39"/>
        <v>KAHRAMANMARAŞ BÜYÜKŞEHİR/KAHRAMANMARAŞ</v>
      </c>
      <c r="E1608" t="s">
        <v>235</v>
      </c>
      <c r="F1608" t="s">
        <v>235</v>
      </c>
      <c r="G1608" t="s">
        <v>3367</v>
      </c>
      <c r="H1608">
        <v>269.36</v>
      </c>
      <c r="I1608">
        <v>26.93</v>
      </c>
      <c r="J1608">
        <v>0</v>
      </c>
      <c r="K1608">
        <v>0</v>
      </c>
      <c r="L1608">
        <v>269.36</v>
      </c>
      <c r="M1608">
        <v>26.93</v>
      </c>
      <c r="O1608" s="79">
        <f>IFERROR(VLOOKUP(D1608,'KAPANAN BLD.'!$C$2:$D$793,2,FALSE),0)</f>
        <v>0</v>
      </c>
      <c r="P1608" s="79">
        <v>0</v>
      </c>
    </row>
    <row r="1609" spans="1:16" x14ac:dyDescent="0.25">
      <c r="A1609" t="s">
        <v>32</v>
      </c>
      <c r="B1609" s="73" t="str">
        <f>VLOOKUP(C1609,'Büyükşehir List'!$C$2:$D$31,2,FALSE)</f>
        <v>KAHRAMANMARAŞ BÜYÜKŞEHİR</v>
      </c>
      <c r="C1609" t="s">
        <v>3596</v>
      </c>
      <c r="D1609" s="73" t="str">
        <f t="shared" si="39"/>
        <v>KAHRAMANMARAŞ BÜYÜKŞEHİR/KAHRAMANMARAŞ</v>
      </c>
      <c r="E1609" t="s">
        <v>235</v>
      </c>
      <c r="F1609" t="s">
        <v>235</v>
      </c>
      <c r="G1609" t="s">
        <v>3366</v>
      </c>
      <c r="H1609">
        <v>202.02</v>
      </c>
      <c r="I1609">
        <v>20.2</v>
      </c>
      <c r="J1609">
        <v>0</v>
      </c>
      <c r="K1609">
        <v>0</v>
      </c>
      <c r="L1609">
        <v>202.02</v>
      </c>
      <c r="M1609">
        <v>20.2</v>
      </c>
      <c r="O1609" s="79">
        <f>IFERROR(VLOOKUP(D1609,'KAPANAN BLD.'!$C$2:$D$793,2,FALSE),0)</f>
        <v>0</v>
      </c>
      <c r="P1609" s="79">
        <v>0</v>
      </c>
    </row>
    <row r="1610" spans="1:16" x14ac:dyDescent="0.25">
      <c r="A1610" t="s">
        <v>32</v>
      </c>
      <c r="B1610" s="73" t="str">
        <f>VLOOKUP(C1610,'Büyükşehir List'!$C$2:$D$31,2,FALSE)</f>
        <v>KAHRAMANMARAŞ BÜYÜKŞEHİR</v>
      </c>
      <c r="C1610" t="s">
        <v>3596</v>
      </c>
      <c r="D1610" s="73" t="str">
        <f t="shared" si="39"/>
        <v>KAHRAMANMARAŞ BÜYÜKŞEHİR/KAHRAMANMARAŞ</v>
      </c>
      <c r="E1610" t="s">
        <v>3778</v>
      </c>
      <c r="F1610" t="s">
        <v>3778</v>
      </c>
      <c r="G1610" t="s">
        <v>3366</v>
      </c>
      <c r="H1610">
        <v>402.8</v>
      </c>
      <c r="I1610">
        <v>40.28</v>
      </c>
      <c r="J1610">
        <v>0</v>
      </c>
      <c r="K1610">
        <v>0</v>
      </c>
      <c r="L1610">
        <v>402.8</v>
      </c>
      <c r="M1610">
        <v>40.28</v>
      </c>
      <c r="O1610" s="79">
        <f>IFERROR(VLOOKUP(D1610,'KAPANAN BLD.'!$C$2:$D$793,2,FALSE),0)</f>
        <v>0</v>
      </c>
      <c r="P1610" s="79">
        <v>0</v>
      </c>
    </row>
    <row r="1611" spans="1:16" x14ac:dyDescent="0.25">
      <c r="A1611" t="s">
        <v>32</v>
      </c>
      <c r="B1611" s="73" t="str">
        <f>VLOOKUP(C1611,'Büyükşehir List'!$C$2:$D$31,2,FALSE)</f>
        <v>KAHRAMANMARAŞ BÜYÜKŞEHİR</v>
      </c>
      <c r="C1611" t="s">
        <v>3596</v>
      </c>
      <c r="D1611" s="73" t="str">
        <f t="shared" si="39"/>
        <v>KAHRAMANMARAŞ BÜYÜKŞEHİR/KAHRAMANMARAŞ</v>
      </c>
      <c r="E1611" t="s">
        <v>3778</v>
      </c>
      <c r="F1611" t="s">
        <v>3778</v>
      </c>
      <c r="G1611" t="s">
        <v>3367</v>
      </c>
      <c r="H1611">
        <v>71.400000000000006</v>
      </c>
      <c r="I1611">
        <v>7.14</v>
      </c>
      <c r="J1611">
        <v>0</v>
      </c>
      <c r="K1611">
        <v>0</v>
      </c>
      <c r="L1611">
        <v>71.400000000000006</v>
      </c>
      <c r="M1611">
        <v>7.14</v>
      </c>
      <c r="O1611" s="79">
        <f>IFERROR(VLOOKUP(D1611,'KAPANAN BLD.'!$C$2:$D$793,2,FALSE),0)</f>
        <v>0</v>
      </c>
      <c r="P1611" s="79">
        <v>0</v>
      </c>
    </row>
    <row r="1612" spans="1:16" x14ac:dyDescent="0.25">
      <c r="A1612" t="s">
        <v>32</v>
      </c>
      <c r="B1612" s="73" t="str">
        <f>VLOOKUP(C1612,'Büyükşehir List'!$C$2:$D$31,2,FALSE)</f>
        <v>KAHRAMANMARAŞ BÜYÜKŞEHİR</v>
      </c>
      <c r="C1612" t="s">
        <v>3596</v>
      </c>
      <c r="D1612" s="73" t="str">
        <f t="shared" si="39"/>
        <v>KAHRAMANMARAŞ BÜYÜKŞEHİR/KAHRAMANMARAŞ</v>
      </c>
      <c r="E1612" t="s">
        <v>4490</v>
      </c>
      <c r="F1612" t="s">
        <v>4490</v>
      </c>
      <c r="G1612" t="s">
        <v>3367</v>
      </c>
      <c r="H1612">
        <v>19.399999999999999</v>
      </c>
      <c r="I1612">
        <v>1.94</v>
      </c>
      <c r="J1612">
        <v>0</v>
      </c>
      <c r="K1612">
        <v>0</v>
      </c>
      <c r="L1612">
        <v>19.399999999999999</v>
      </c>
      <c r="M1612">
        <v>1.94</v>
      </c>
      <c r="O1612" s="79">
        <f>IFERROR(VLOOKUP(D1612,'KAPANAN BLD.'!$C$2:$D$793,2,FALSE),0)</f>
        <v>0</v>
      </c>
      <c r="P1612" s="79">
        <v>0</v>
      </c>
    </row>
    <row r="1613" spans="1:16" x14ac:dyDescent="0.25">
      <c r="A1613" t="s">
        <v>32</v>
      </c>
      <c r="B1613" s="73" t="str">
        <f>VLOOKUP(C1613,'Büyükşehir List'!$C$2:$D$31,2,FALSE)</f>
        <v>KAHRAMANMARAŞ BÜYÜKŞEHİR</v>
      </c>
      <c r="C1613" t="s">
        <v>3596</v>
      </c>
      <c r="D1613" s="73" t="str">
        <f t="shared" si="39"/>
        <v>KAHRAMANMARAŞ BÜYÜKŞEHİR/KAHRAMANMARAŞ</v>
      </c>
      <c r="E1613" t="s">
        <v>626</v>
      </c>
      <c r="F1613" t="s">
        <v>626</v>
      </c>
      <c r="G1613" t="s">
        <v>3367</v>
      </c>
      <c r="H1613">
        <v>63.1</v>
      </c>
      <c r="I1613">
        <v>6.31</v>
      </c>
      <c r="J1613">
        <v>0</v>
      </c>
      <c r="K1613">
        <v>0</v>
      </c>
      <c r="L1613">
        <v>63.1</v>
      </c>
      <c r="M1613">
        <v>6.31</v>
      </c>
      <c r="O1613" s="79">
        <f>IFERROR(VLOOKUP(D1613,'KAPANAN BLD.'!$C$2:$D$793,2,FALSE),0)</f>
        <v>0</v>
      </c>
      <c r="P1613" s="79">
        <v>0</v>
      </c>
    </row>
    <row r="1614" spans="1:16" x14ac:dyDescent="0.25">
      <c r="A1614" t="s">
        <v>32</v>
      </c>
      <c r="B1614" s="73" t="str">
        <f>VLOOKUP(C1614,'Büyükşehir List'!$C$2:$D$31,2,FALSE)</f>
        <v>KAHRAMANMARAŞ BÜYÜKŞEHİR</v>
      </c>
      <c r="C1614" t="s">
        <v>3596</v>
      </c>
      <c r="D1614" s="73" t="str">
        <f t="shared" si="39"/>
        <v>KAHRAMANMARAŞ BÜYÜKŞEHİR/KAHRAMANMARAŞ</v>
      </c>
      <c r="E1614" t="s">
        <v>626</v>
      </c>
      <c r="F1614" t="s">
        <v>626</v>
      </c>
      <c r="G1614" t="s">
        <v>3366</v>
      </c>
      <c r="H1614">
        <v>84.6</v>
      </c>
      <c r="I1614">
        <v>8.4600000000000009</v>
      </c>
      <c r="J1614">
        <v>0</v>
      </c>
      <c r="K1614">
        <v>0</v>
      </c>
      <c r="L1614">
        <v>84.6</v>
      </c>
      <c r="M1614">
        <v>8.4600000000000009</v>
      </c>
      <c r="O1614" s="79">
        <f>IFERROR(VLOOKUP(D1614,'KAPANAN BLD.'!$C$2:$D$793,2,FALSE),0)</f>
        <v>0</v>
      </c>
      <c r="P1614" s="79">
        <v>0</v>
      </c>
    </row>
    <row r="1615" spans="1:16" x14ac:dyDescent="0.25">
      <c r="A1615" t="s">
        <v>32</v>
      </c>
      <c r="B1615" s="73" t="str">
        <f>VLOOKUP(C1615,'Büyükşehir List'!$C$2:$D$31,2,FALSE)</f>
        <v>KAHRAMANMARAŞ BÜYÜKŞEHİR</v>
      </c>
      <c r="C1615" t="s">
        <v>3596</v>
      </c>
      <c r="D1615" s="73" t="str">
        <f t="shared" si="39"/>
        <v>KAHRAMANMARAŞ BÜYÜKŞEHİR/KAHRAMANMARAŞ</v>
      </c>
      <c r="E1615" t="s">
        <v>4305</v>
      </c>
      <c r="F1615" t="s">
        <v>4305</v>
      </c>
      <c r="G1615" t="s">
        <v>3367</v>
      </c>
      <c r="H1615">
        <v>126.4</v>
      </c>
      <c r="I1615">
        <v>12.64</v>
      </c>
      <c r="J1615">
        <v>0</v>
      </c>
      <c r="K1615">
        <v>0</v>
      </c>
      <c r="L1615">
        <v>126.4</v>
      </c>
      <c r="M1615">
        <v>12.64</v>
      </c>
      <c r="O1615" s="79">
        <f>IFERROR(VLOOKUP(D1615,'KAPANAN BLD.'!$C$2:$D$793,2,FALSE),0)</f>
        <v>0</v>
      </c>
      <c r="P1615" s="79">
        <v>0</v>
      </c>
    </row>
    <row r="1616" spans="1:16" x14ac:dyDescent="0.25">
      <c r="A1616" t="s">
        <v>32</v>
      </c>
      <c r="B1616" s="73" t="str">
        <f>VLOOKUP(C1616,'Büyükşehir List'!$C$2:$D$31,2,FALSE)</f>
        <v>KAHRAMANMARAŞ BÜYÜKŞEHİR</v>
      </c>
      <c r="C1616" t="s">
        <v>3596</v>
      </c>
      <c r="D1616" s="73" t="str">
        <f t="shared" si="39"/>
        <v>KAHRAMANMARAŞ BÜYÜKŞEHİR/KAHRAMANMARAŞ</v>
      </c>
      <c r="E1616" t="s">
        <v>4305</v>
      </c>
      <c r="F1616" t="s">
        <v>4305</v>
      </c>
      <c r="G1616" t="s">
        <v>3366</v>
      </c>
      <c r="H1616">
        <v>75.599999999999994</v>
      </c>
      <c r="I1616">
        <v>7.56</v>
      </c>
      <c r="J1616">
        <v>0</v>
      </c>
      <c r="K1616">
        <v>0</v>
      </c>
      <c r="L1616">
        <v>75.599999999999994</v>
      </c>
      <c r="M1616">
        <v>7.56</v>
      </c>
      <c r="O1616" s="79">
        <f>IFERROR(VLOOKUP(D1616,'KAPANAN BLD.'!$C$2:$D$793,2,FALSE),0)</f>
        <v>0</v>
      </c>
      <c r="P1616" s="79">
        <v>0</v>
      </c>
    </row>
    <row r="1617" spans="1:16" x14ac:dyDescent="0.25">
      <c r="A1617" t="s">
        <v>32</v>
      </c>
      <c r="B1617" s="73" t="str">
        <f>VLOOKUP(C1617,'Büyükşehir List'!$C$2:$D$31,2,FALSE)</f>
        <v>KAHRAMANMARAŞ BÜYÜKŞEHİR</v>
      </c>
      <c r="C1617" t="s">
        <v>3596</v>
      </c>
      <c r="D1617" s="73" t="str">
        <f t="shared" si="39"/>
        <v>KAHRAMANMARAŞ BÜYÜKŞEHİR/KAHRAMANMARAŞ</v>
      </c>
      <c r="E1617" t="s">
        <v>4491</v>
      </c>
      <c r="F1617" t="s">
        <v>4491</v>
      </c>
      <c r="G1617" t="s">
        <v>3367</v>
      </c>
      <c r="H1617">
        <v>62.9</v>
      </c>
      <c r="I1617">
        <v>6.29</v>
      </c>
      <c r="J1617">
        <v>0</v>
      </c>
      <c r="K1617">
        <v>0</v>
      </c>
      <c r="L1617">
        <v>62.9</v>
      </c>
      <c r="M1617">
        <v>6.29</v>
      </c>
      <c r="O1617" s="79">
        <f>IFERROR(VLOOKUP(D1617,'KAPANAN BLD.'!$C$2:$D$793,2,FALSE),0)</f>
        <v>0</v>
      </c>
      <c r="P1617" s="79">
        <v>0</v>
      </c>
    </row>
    <row r="1618" spans="1:16" x14ac:dyDescent="0.25">
      <c r="A1618" t="s">
        <v>32</v>
      </c>
      <c r="B1618" s="73" t="str">
        <f>VLOOKUP(C1618,'Büyükşehir List'!$C$2:$D$31,2,FALSE)</f>
        <v>KAHRAMANMARAŞ BÜYÜKŞEHİR</v>
      </c>
      <c r="C1618" t="s">
        <v>3596</v>
      </c>
      <c r="D1618" s="73" t="str">
        <f t="shared" si="39"/>
        <v>KAHRAMANMARAŞ BÜYÜKŞEHİR/KAHRAMANMARAŞ</v>
      </c>
      <c r="E1618" t="s">
        <v>4491</v>
      </c>
      <c r="F1618" t="s">
        <v>4491</v>
      </c>
      <c r="G1618" t="s">
        <v>3366</v>
      </c>
      <c r="H1618">
        <v>14.4</v>
      </c>
      <c r="I1618">
        <v>1.44</v>
      </c>
      <c r="J1618">
        <v>0</v>
      </c>
      <c r="K1618">
        <v>0</v>
      </c>
      <c r="L1618">
        <v>14.4</v>
      </c>
      <c r="M1618">
        <v>1.44</v>
      </c>
      <c r="O1618" s="79">
        <f>IFERROR(VLOOKUP(D1618,'KAPANAN BLD.'!$C$2:$D$793,2,FALSE),0)</f>
        <v>0</v>
      </c>
      <c r="P1618" s="79">
        <v>0</v>
      </c>
    </row>
    <row r="1619" spans="1:16" x14ac:dyDescent="0.25">
      <c r="A1619" t="s">
        <v>32</v>
      </c>
      <c r="B1619" s="73" t="str">
        <f t="shared" ref="B1619:B1681" si="40">F1619</f>
        <v>ESKİPAZAR</v>
      </c>
      <c r="C1619" t="s">
        <v>6</v>
      </c>
      <c r="D1619" s="73" t="str">
        <f t="shared" si="39"/>
        <v>ESKİPAZAR/KARABÜK</v>
      </c>
      <c r="E1619" t="s">
        <v>2206</v>
      </c>
      <c r="F1619" t="s">
        <v>2206</v>
      </c>
      <c r="G1619" t="s">
        <v>3367</v>
      </c>
      <c r="H1619">
        <v>1322.8</v>
      </c>
      <c r="I1619">
        <v>132.28</v>
      </c>
      <c r="J1619">
        <v>0</v>
      </c>
      <c r="K1619">
        <v>0</v>
      </c>
      <c r="L1619">
        <v>1322.8</v>
      </c>
      <c r="M1619">
        <v>132.28</v>
      </c>
      <c r="O1619" s="79">
        <f>IFERROR(VLOOKUP(D1619,'KAPANAN BLD.'!$C$2:$D$793,2,FALSE),0)</f>
        <v>0</v>
      </c>
      <c r="P1619" s="79">
        <v>0</v>
      </c>
    </row>
    <row r="1620" spans="1:16" x14ac:dyDescent="0.25">
      <c r="A1620" t="s">
        <v>32</v>
      </c>
      <c r="B1620" s="73" t="str">
        <f t="shared" si="40"/>
        <v>ESKİPAZAR</v>
      </c>
      <c r="C1620" t="s">
        <v>6</v>
      </c>
      <c r="D1620" s="73" t="str">
        <f t="shared" si="39"/>
        <v>ESKİPAZAR/KARABÜK</v>
      </c>
      <c r="E1620" t="s">
        <v>2206</v>
      </c>
      <c r="F1620" t="s">
        <v>2206</v>
      </c>
      <c r="G1620" t="s">
        <v>3366</v>
      </c>
      <c r="H1620">
        <v>1185.2</v>
      </c>
      <c r="I1620">
        <v>118.52</v>
      </c>
      <c r="J1620">
        <v>0</v>
      </c>
      <c r="K1620">
        <v>0</v>
      </c>
      <c r="L1620">
        <v>1185.2</v>
      </c>
      <c r="M1620">
        <v>118.52</v>
      </c>
      <c r="O1620" s="79">
        <f>IFERROR(VLOOKUP(D1620,'KAPANAN BLD.'!$C$2:$D$793,2,FALSE),0)</f>
        <v>0</v>
      </c>
      <c r="P1620" s="79">
        <v>0</v>
      </c>
    </row>
    <row r="1621" spans="1:16" x14ac:dyDescent="0.25">
      <c r="A1621" t="s">
        <v>32</v>
      </c>
      <c r="B1621" s="73" t="str">
        <f t="shared" si="40"/>
        <v>MERKEZ</v>
      </c>
      <c r="C1621" t="s">
        <v>6</v>
      </c>
      <c r="D1621" s="73" t="str">
        <f t="shared" si="39"/>
        <v>MERKEZ/KARABÜK</v>
      </c>
      <c r="E1621" t="s">
        <v>34</v>
      </c>
      <c r="F1621" t="s">
        <v>34</v>
      </c>
      <c r="G1621" t="s">
        <v>3366</v>
      </c>
      <c r="H1621">
        <v>8772.4599999999991</v>
      </c>
      <c r="I1621">
        <v>877.25</v>
      </c>
      <c r="J1621">
        <v>34.5</v>
      </c>
      <c r="K1621">
        <v>3.45</v>
      </c>
      <c r="L1621">
        <v>8737.9599999999991</v>
      </c>
      <c r="M1621">
        <v>873.8</v>
      </c>
      <c r="O1621" s="79">
        <f>IFERROR(VLOOKUP(D1621,'KAPANAN BLD.'!$C$2:$D$793,2,FALSE),0)</f>
        <v>0</v>
      </c>
      <c r="P1621" s="79">
        <v>0</v>
      </c>
    </row>
    <row r="1622" spans="1:16" x14ac:dyDescent="0.25">
      <c r="A1622" t="s">
        <v>32</v>
      </c>
      <c r="B1622" s="73" t="str">
        <f t="shared" si="40"/>
        <v>MERKEZ</v>
      </c>
      <c r="C1622" t="s">
        <v>6</v>
      </c>
      <c r="D1622" s="73" t="str">
        <f t="shared" si="39"/>
        <v>MERKEZ/KARABÜK</v>
      </c>
      <c r="E1622" t="s">
        <v>34</v>
      </c>
      <c r="F1622" t="s">
        <v>34</v>
      </c>
      <c r="G1622" t="s">
        <v>3367</v>
      </c>
      <c r="H1622">
        <v>7705</v>
      </c>
      <c r="I1622">
        <v>770.5</v>
      </c>
      <c r="J1622">
        <v>159.9</v>
      </c>
      <c r="K1622">
        <v>15.99</v>
      </c>
      <c r="L1622">
        <v>7545.1</v>
      </c>
      <c r="M1622">
        <v>754.51</v>
      </c>
      <c r="O1622" s="79">
        <f>IFERROR(VLOOKUP(D1622,'KAPANAN BLD.'!$C$2:$D$793,2,FALSE),0)</f>
        <v>0</v>
      </c>
      <c r="P1622" s="79">
        <v>0</v>
      </c>
    </row>
    <row r="1623" spans="1:16" x14ac:dyDescent="0.25">
      <c r="A1623" t="s">
        <v>32</v>
      </c>
      <c r="B1623" s="73" t="str">
        <f t="shared" si="40"/>
        <v>SAFRANBOLU</v>
      </c>
      <c r="C1623" t="s">
        <v>6</v>
      </c>
      <c r="D1623" s="73" t="str">
        <f t="shared" si="39"/>
        <v>SAFRANBOLU/KARABÜK</v>
      </c>
      <c r="E1623" t="s">
        <v>7</v>
      </c>
      <c r="F1623" t="s">
        <v>7</v>
      </c>
      <c r="G1623" t="s">
        <v>3367</v>
      </c>
      <c r="H1623">
        <v>7912.7</v>
      </c>
      <c r="I1623">
        <v>791.27</v>
      </c>
      <c r="J1623">
        <v>0</v>
      </c>
      <c r="K1623">
        <v>0</v>
      </c>
      <c r="L1623">
        <v>7912.7</v>
      </c>
      <c r="M1623">
        <v>791.27</v>
      </c>
      <c r="O1623" s="79">
        <f>IFERROR(VLOOKUP(D1623,'KAPANAN BLD.'!$C$2:$D$793,2,FALSE),0)</f>
        <v>0</v>
      </c>
      <c r="P1623" s="79">
        <v>0</v>
      </c>
    </row>
    <row r="1624" spans="1:16" x14ac:dyDescent="0.25">
      <c r="A1624" t="s">
        <v>32</v>
      </c>
      <c r="B1624" s="73" t="str">
        <f t="shared" si="40"/>
        <v>SAFRANBOLU</v>
      </c>
      <c r="C1624" t="s">
        <v>6</v>
      </c>
      <c r="D1624" s="73" t="str">
        <f t="shared" si="39"/>
        <v>SAFRANBOLU/KARABÜK</v>
      </c>
      <c r="E1624" t="s">
        <v>7</v>
      </c>
      <c r="F1624" t="s">
        <v>7</v>
      </c>
      <c r="G1624" t="s">
        <v>3366</v>
      </c>
      <c r="H1624">
        <v>14762.9</v>
      </c>
      <c r="I1624">
        <v>1476.29</v>
      </c>
      <c r="J1624">
        <v>0</v>
      </c>
      <c r="K1624">
        <v>0</v>
      </c>
      <c r="L1624">
        <v>14762.9</v>
      </c>
      <c r="M1624">
        <v>1476.29</v>
      </c>
      <c r="O1624" s="79">
        <f>IFERROR(VLOOKUP(D1624,'KAPANAN BLD.'!$C$2:$D$793,2,FALSE),0)</f>
        <v>0</v>
      </c>
      <c r="P1624" s="79">
        <v>0</v>
      </c>
    </row>
    <row r="1625" spans="1:16" x14ac:dyDescent="0.25">
      <c r="A1625" t="s">
        <v>32</v>
      </c>
      <c r="B1625" s="73" t="str">
        <f t="shared" si="40"/>
        <v>SAFRANBOLU</v>
      </c>
      <c r="C1625" t="s">
        <v>6</v>
      </c>
      <c r="D1625" s="73" t="str">
        <f t="shared" si="39"/>
        <v>SAFRANBOLU/KARABÜK</v>
      </c>
      <c r="E1625" t="s">
        <v>7</v>
      </c>
      <c r="F1625" t="s">
        <v>7</v>
      </c>
      <c r="G1625" t="s">
        <v>3367</v>
      </c>
      <c r="H1625">
        <v>288.5</v>
      </c>
      <c r="I1625">
        <v>28.85</v>
      </c>
      <c r="J1625">
        <v>0</v>
      </c>
      <c r="K1625">
        <v>0</v>
      </c>
      <c r="L1625">
        <v>288.5</v>
      </c>
      <c r="M1625">
        <v>28.85</v>
      </c>
      <c r="O1625" s="79">
        <f>IFERROR(VLOOKUP(D1625,'KAPANAN BLD.'!$C$2:$D$793,2,FALSE),0)</f>
        <v>0</v>
      </c>
      <c r="P1625" s="79">
        <v>0</v>
      </c>
    </row>
    <row r="1626" spans="1:16" x14ac:dyDescent="0.25">
      <c r="A1626" t="s">
        <v>32</v>
      </c>
      <c r="B1626" s="73" t="str">
        <f t="shared" si="40"/>
        <v>SAFRANBOLU</v>
      </c>
      <c r="C1626" t="s">
        <v>6</v>
      </c>
      <c r="D1626" s="73" t="str">
        <f t="shared" si="39"/>
        <v>SAFRANBOLU/KARABÜK</v>
      </c>
      <c r="E1626" t="s">
        <v>7</v>
      </c>
      <c r="F1626" t="s">
        <v>7</v>
      </c>
      <c r="G1626" t="s">
        <v>3366</v>
      </c>
      <c r="H1626">
        <v>3303.6</v>
      </c>
      <c r="I1626">
        <v>330.36</v>
      </c>
      <c r="J1626">
        <v>0</v>
      </c>
      <c r="K1626">
        <v>0</v>
      </c>
      <c r="L1626">
        <v>3303.6</v>
      </c>
      <c r="M1626">
        <v>330.36</v>
      </c>
      <c r="O1626" s="79">
        <f>IFERROR(VLOOKUP(D1626,'KAPANAN BLD.'!$C$2:$D$793,2,FALSE),0)</f>
        <v>0</v>
      </c>
      <c r="P1626" s="79">
        <v>0</v>
      </c>
    </row>
    <row r="1627" spans="1:16" x14ac:dyDescent="0.25">
      <c r="A1627" t="s">
        <v>32</v>
      </c>
      <c r="B1627" s="73" t="str">
        <f t="shared" si="40"/>
        <v>YENİCE</v>
      </c>
      <c r="C1627" t="s">
        <v>6</v>
      </c>
      <c r="D1627" s="73" t="str">
        <f t="shared" si="39"/>
        <v>YENİCE/KARABÜK</v>
      </c>
      <c r="E1627" t="s">
        <v>90</v>
      </c>
      <c r="F1627" t="s">
        <v>90</v>
      </c>
      <c r="G1627" t="s">
        <v>3367</v>
      </c>
      <c r="H1627">
        <v>173.3</v>
      </c>
      <c r="I1627">
        <v>17.329999999999998</v>
      </c>
      <c r="J1627">
        <v>0</v>
      </c>
      <c r="K1627">
        <v>0</v>
      </c>
      <c r="L1627">
        <v>173.3</v>
      </c>
      <c r="M1627">
        <v>17.329999999999998</v>
      </c>
      <c r="O1627" s="79">
        <f>IFERROR(VLOOKUP(D1627,'KAPANAN BLD.'!$C$2:$D$793,2,FALSE),0)</f>
        <v>0</v>
      </c>
      <c r="P1627" s="79">
        <v>0</v>
      </c>
    </row>
    <row r="1628" spans="1:16" x14ac:dyDescent="0.25">
      <c r="A1628" t="s">
        <v>32</v>
      </c>
      <c r="B1628" s="73" t="str">
        <f t="shared" si="40"/>
        <v>YENİCE</v>
      </c>
      <c r="C1628" t="s">
        <v>6</v>
      </c>
      <c r="D1628" s="73" t="str">
        <f t="shared" si="39"/>
        <v>YENİCE/KARABÜK</v>
      </c>
      <c r="E1628" s="9" t="s">
        <v>90</v>
      </c>
      <c r="F1628" s="9" t="s">
        <v>90</v>
      </c>
      <c r="G1628" t="s">
        <v>3367</v>
      </c>
      <c r="H1628">
        <v>121.5</v>
      </c>
      <c r="I1628">
        <v>12.15</v>
      </c>
      <c r="J1628">
        <v>408.2</v>
      </c>
      <c r="K1628">
        <v>40.82</v>
      </c>
      <c r="L1628">
        <v>-286.7</v>
      </c>
      <c r="M1628">
        <v>-28.67</v>
      </c>
      <c r="O1628" s="79">
        <f>IFERROR(VLOOKUP(D1628,'KAPANAN BLD.'!$C$2:$D$793,2,FALSE),0)</f>
        <v>0</v>
      </c>
      <c r="P1628" s="79">
        <v>0</v>
      </c>
    </row>
    <row r="1629" spans="1:16" x14ac:dyDescent="0.25">
      <c r="A1629" t="s">
        <v>32</v>
      </c>
      <c r="B1629" s="73" t="str">
        <f t="shared" si="40"/>
        <v>YENİCE</v>
      </c>
      <c r="C1629" t="s">
        <v>6</v>
      </c>
      <c r="D1629" s="73" t="str">
        <f t="shared" si="39"/>
        <v>YENİCE/KARABÜK</v>
      </c>
      <c r="E1629" s="9" t="s">
        <v>90</v>
      </c>
      <c r="F1629" s="9" t="s">
        <v>90</v>
      </c>
      <c r="G1629" t="s">
        <v>3366</v>
      </c>
      <c r="H1629">
        <v>0</v>
      </c>
      <c r="I1629">
        <v>0</v>
      </c>
      <c r="J1629">
        <v>61.6</v>
      </c>
      <c r="K1629">
        <v>6.16</v>
      </c>
      <c r="L1629">
        <v>-61.6</v>
      </c>
      <c r="M1629">
        <v>-6.16</v>
      </c>
      <c r="O1629" s="79">
        <f>IFERROR(VLOOKUP(D1629,'KAPANAN BLD.'!$C$2:$D$793,2,FALSE),0)</f>
        <v>0</v>
      </c>
      <c r="P1629" s="79">
        <v>0</v>
      </c>
    </row>
    <row r="1630" spans="1:16" x14ac:dyDescent="0.25">
      <c r="A1630" t="s">
        <v>32</v>
      </c>
      <c r="B1630" s="73" t="str">
        <f t="shared" si="40"/>
        <v>MERKEZ</v>
      </c>
      <c r="C1630" t="s">
        <v>81</v>
      </c>
      <c r="D1630" s="73" t="str">
        <f t="shared" si="39"/>
        <v>MERKEZ/KARAMAN</v>
      </c>
      <c r="E1630" s="9" t="s">
        <v>34</v>
      </c>
      <c r="F1630" s="9" t="s">
        <v>34</v>
      </c>
      <c r="G1630" t="s">
        <v>3366</v>
      </c>
      <c r="H1630">
        <v>2902.5</v>
      </c>
      <c r="I1630">
        <v>290.25</v>
      </c>
      <c r="J1630">
        <v>604.20000000000005</v>
      </c>
      <c r="K1630">
        <v>60.42</v>
      </c>
      <c r="L1630">
        <v>2298.3000000000002</v>
      </c>
      <c r="M1630">
        <v>229.83</v>
      </c>
      <c r="O1630" s="79">
        <f>IFERROR(VLOOKUP(D1630,'KAPANAN BLD.'!$C$2:$D$793,2,FALSE),0)</f>
        <v>0</v>
      </c>
      <c r="P1630" s="79">
        <v>0</v>
      </c>
    </row>
    <row r="1631" spans="1:16" x14ac:dyDescent="0.25">
      <c r="A1631" t="s">
        <v>32</v>
      </c>
      <c r="B1631" s="73" t="str">
        <f t="shared" si="40"/>
        <v>MERKEZ</v>
      </c>
      <c r="C1631" t="s">
        <v>81</v>
      </c>
      <c r="D1631" s="73" t="str">
        <f t="shared" si="39"/>
        <v>MERKEZ/KARAMAN</v>
      </c>
      <c r="E1631" s="9" t="s">
        <v>34</v>
      </c>
      <c r="F1631" s="9" t="s">
        <v>34</v>
      </c>
      <c r="G1631" t="s">
        <v>3367</v>
      </c>
      <c r="H1631">
        <v>955.5</v>
      </c>
      <c r="I1631">
        <v>95.55</v>
      </c>
      <c r="J1631">
        <v>156.5</v>
      </c>
      <c r="K1631">
        <v>15.65</v>
      </c>
      <c r="L1631">
        <v>799</v>
      </c>
      <c r="M1631">
        <v>79.900000000000006</v>
      </c>
      <c r="O1631" s="79">
        <f>IFERROR(VLOOKUP(D1631,'KAPANAN BLD.'!$C$2:$D$793,2,FALSE),0)</f>
        <v>0</v>
      </c>
      <c r="P1631" s="79">
        <v>0</v>
      </c>
    </row>
    <row r="1632" spans="1:16" x14ac:dyDescent="0.25">
      <c r="A1632" t="s">
        <v>32</v>
      </c>
      <c r="B1632" s="73" t="str">
        <f t="shared" si="40"/>
        <v>ERMENEK</v>
      </c>
      <c r="C1632" t="s">
        <v>81</v>
      </c>
      <c r="D1632" s="73" t="str">
        <f t="shared" si="39"/>
        <v>ERMENEK/KARAMAN</v>
      </c>
      <c r="E1632" s="9" t="s">
        <v>602</v>
      </c>
      <c r="F1632" s="9" t="s">
        <v>602</v>
      </c>
      <c r="G1632" t="s">
        <v>3367</v>
      </c>
      <c r="H1632">
        <v>191.5</v>
      </c>
      <c r="I1632">
        <v>19.149999999999999</v>
      </c>
      <c r="J1632">
        <v>0</v>
      </c>
      <c r="K1632">
        <v>0</v>
      </c>
      <c r="L1632">
        <v>191.5</v>
      </c>
      <c r="M1632">
        <v>19.149999999999999</v>
      </c>
      <c r="O1632" s="79">
        <f>IFERROR(VLOOKUP(D1632,'KAPANAN BLD.'!$C$2:$D$793,2,FALSE),0)</f>
        <v>0</v>
      </c>
      <c r="P1632" s="79">
        <v>0</v>
      </c>
    </row>
    <row r="1633" spans="1:16" x14ac:dyDescent="0.25">
      <c r="A1633" t="s">
        <v>32</v>
      </c>
      <c r="B1633" s="73" t="str">
        <f t="shared" si="40"/>
        <v>ERMENEK</v>
      </c>
      <c r="C1633" t="s">
        <v>81</v>
      </c>
      <c r="D1633" s="73" t="str">
        <f t="shared" si="39"/>
        <v>ERMENEK/KARAMAN</v>
      </c>
      <c r="E1633" s="9" t="s">
        <v>602</v>
      </c>
      <c r="F1633" s="9" t="s">
        <v>602</v>
      </c>
      <c r="G1633" t="s">
        <v>3367</v>
      </c>
      <c r="H1633">
        <v>63.2</v>
      </c>
      <c r="I1633">
        <v>6.32</v>
      </c>
      <c r="J1633">
        <v>0</v>
      </c>
      <c r="K1633">
        <v>0</v>
      </c>
      <c r="L1633">
        <v>63.2</v>
      </c>
      <c r="M1633">
        <v>6.32</v>
      </c>
      <c r="O1633" s="79">
        <f>IFERROR(VLOOKUP(D1633,'KAPANAN BLD.'!$C$2:$D$793,2,FALSE),0)</f>
        <v>0</v>
      </c>
      <c r="P1633" s="79">
        <v>0</v>
      </c>
    </row>
    <row r="1634" spans="1:16" x14ac:dyDescent="0.25">
      <c r="A1634" t="s">
        <v>32</v>
      </c>
      <c r="B1634" s="73" t="str">
        <f t="shared" si="40"/>
        <v>ERMENEK</v>
      </c>
      <c r="C1634" t="s">
        <v>81</v>
      </c>
      <c r="D1634" s="73" t="str">
        <f t="shared" si="39"/>
        <v>ERMENEK/KARAMAN</v>
      </c>
      <c r="E1634" s="9" t="s">
        <v>602</v>
      </c>
      <c r="F1634" s="9" t="s">
        <v>602</v>
      </c>
      <c r="G1634" t="s">
        <v>3366</v>
      </c>
      <c r="H1634">
        <v>23.2</v>
      </c>
      <c r="I1634">
        <v>2.3199999999999998</v>
      </c>
      <c r="J1634">
        <v>0</v>
      </c>
      <c r="K1634">
        <v>0</v>
      </c>
      <c r="L1634">
        <v>23.2</v>
      </c>
      <c r="M1634">
        <v>2.3199999999999998</v>
      </c>
      <c r="O1634" s="79">
        <f>IFERROR(VLOOKUP(D1634,'KAPANAN BLD.'!$C$2:$D$793,2,FALSE),0)</f>
        <v>0</v>
      </c>
      <c r="P1634" s="79">
        <v>0</v>
      </c>
    </row>
    <row r="1635" spans="1:16" x14ac:dyDescent="0.25">
      <c r="A1635" t="s">
        <v>32</v>
      </c>
      <c r="B1635" s="73" t="str">
        <f t="shared" si="40"/>
        <v>KAZIMKARABEKİR</v>
      </c>
      <c r="C1635" t="s">
        <v>81</v>
      </c>
      <c r="D1635" s="73" t="str">
        <f t="shared" si="39"/>
        <v>KAZIMKARABEKİR/KARAMAN</v>
      </c>
      <c r="E1635" t="s">
        <v>603</v>
      </c>
      <c r="F1635" t="s">
        <v>603</v>
      </c>
      <c r="G1635" t="s">
        <v>3367</v>
      </c>
      <c r="H1635">
        <v>65.3</v>
      </c>
      <c r="I1635">
        <v>6.53</v>
      </c>
      <c r="J1635">
        <v>65.2</v>
      </c>
      <c r="K1635">
        <v>6.52</v>
      </c>
      <c r="L1635">
        <v>0.1</v>
      </c>
      <c r="M1635">
        <v>0.01</v>
      </c>
      <c r="O1635" s="79">
        <f>IFERROR(VLOOKUP(D1635,'KAPANAN BLD.'!$C$2:$D$793,2,FALSE),0)</f>
        <v>0</v>
      </c>
      <c r="P1635" s="79">
        <v>0</v>
      </c>
    </row>
    <row r="1636" spans="1:16" x14ac:dyDescent="0.25">
      <c r="A1636" t="s">
        <v>32</v>
      </c>
      <c r="B1636" s="73" t="str">
        <f t="shared" si="40"/>
        <v>MERKEZ</v>
      </c>
      <c r="C1636" t="s">
        <v>81</v>
      </c>
      <c r="D1636" s="73" t="str">
        <f t="shared" si="39"/>
        <v>MERKEZ/KARAMAN</v>
      </c>
      <c r="E1636" t="s">
        <v>34</v>
      </c>
      <c r="F1636" t="s">
        <v>34</v>
      </c>
      <c r="G1636" t="s">
        <v>3367</v>
      </c>
      <c r="H1636">
        <v>2436.8000000000002</v>
      </c>
      <c r="I1636">
        <v>243.68</v>
      </c>
      <c r="J1636">
        <v>66.5</v>
      </c>
      <c r="K1636">
        <v>6.65</v>
      </c>
      <c r="L1636">
        <v>2370.3000000000002</v>
      </c>
      <c r="M1636">
        <v>237.03</v>
      </c>
      <c r="O1636" s="79">
        <f>IFERROR(VLOOKUP(D1636,'KAPANAN BLD.'!$C$2:$D$793,2,FALSE),0)</f>
        <v>0</v>
      </c>
      <c r="P1636" s="79">
        <v>0</v>
      </c>
    </row>
    <row r="1637" spans="1:16" x14ac:dyDescent="0.25">
      <c r="A1637" t="s">
        <v>32</v>
      </c>
      <c r="B1637" s="73" t="str">
        <f t="shared" si="40"/>
        <v>MERKEZ</v>
      </c>
      <c r="C1637" t="s">
        <v>81</v>
      </c>
      <c r="D1637" s="73" t="str">
        <f t="shared" si="39"/>
        <v>MERKEZ/KARAMAN</v>
      </c>
      <c r="E1637" t="s">
        <v>34</v>
      </c>
      <c r="F1637" t="s">
        <v>34</v>
      </c>
      <c r="G1637" t="s">
        <v>3366</v>
      </c>
      <c r="H1637">
        <v>2244.5</v>
      </c>
      <c r="I1637">
        <v>224.45</v>
      </c>
      <c r="J1637">
        <v>2.4</v>
      </c>
      <c r="K1637">
        <v>0.24</v>
      </c>
      <c r="L1637">
        <v>2242.1</v>
      </c>
      <c r="M1637">
        <v>224.21</v>
      </c>
      <c r="O1637" s="79">
        <f>IFERROR(VLOOKUP(D1637,'KAPANAN BLD.'!$C$2:$D$793,2,FALSE),0)</f>
        <v>0</v>
      </c>
      <c r="P1637" s="79">
        <v>0</v>
      </c>
    </row>
    <row r="1638" spans="1:16" x14ac:dyDescent="0.25">
      <c r="A1638" t="s">
        <v>32</v>
      </c>
      <c r="B1638" s="73" t="str">
        <f t="shared" si="40"/>
        <v>MERKEZ</v>
      </c>
      <c r="C1638" t="s">
        <v>81</v>
      </c>
      <c r="D1638" s="73" t="str">
        <f t="shared" si="39"/>
        <v>MERKEZ/KARAMAN</v>
      </c>
      <c r="E1638" t="s">
        <v>34</v>
      </c>
      <c r="F1638" t="s">
        <v>34</v>
      </c>
      <c r="G1638" t="s">
        <v>3367</v>
      </c>
      <c r="H1638">
        <v>2270.5</v>
      </c>
      <c r="I1638">
        <v>227.05</v>
      </c>
      <c r="J1638">
        <v>0</v>
      </c>
      <c r="K1638">
        <v>0</v>
      </c>
      <c r="L1638">
        <v>2270.5</v>
      </c>
      <c r="M1638">
        <v>227.05</v>
      </c>
      <c r="O1638" s="79">
        <f>IFERROR(VLOOKUP(D1638,'KAPANAN BLD.'!$C$2:$D$793,2,FALSE),0)</f>
        <v>0</v>
      </c>
      <c r="P1638" s="79">
        <v>0</v>
      </c>
    </row>
    <row r="1639" spans="1:16" x14ac:dyDescent="0.25">
      <c r="A1639" t="s">
        <v>32</v>
      </c>
      <c r="B1639" s="73" t="str">
        <f t="shared" si="40"/>
        <v>MERKEZ</v>
      </c>
      <c r="C1639" t="s">
        <v>81</v>
      </c>
      <c r="D1639" s="73" t="str">
        <f t="shared" si="39"/>
        <v>MERKEZ/KARAMAN</v>
      </c>
      <c r="E1639" t="s">
        <v>34</v>
      </c>
      <c r="F1639" t="s">
        <v>34</v>
      </c>
      <c r="G1639" t="s">
        <v>3366</v>
      </c>
      <c r="H1639">
        <v>460</v>
      </c>
      <c r="I1639">
        <v>46</v>
      </c>
      <c r="J1639">
        <v>0</v>
      </c>
      <c r="K1639">
        <v>0</v>
      </c>
      <c r="L1639">
        <v>460</v>
      </c>
      <c r="M1639">
        <v>46</v>
      </c>
      <c r="O1639" s="79">
        <f>IFERROR(VLOOKUP(D1639,'KAPANAN BLD.'!$C$2:$D$793,2,FALSE),0)</f>
        <v>0</v>
      </c>
      <c r="P1639" s="79">
        <v>0</v>
      </c>
    </row>
    <row r="1640" spans="1:16" x14ac:dyDescent="0.25">
      <c r="A1640" t="s">
        <v>32</v>
      </c>
      <c r="B1640" s="73" t="str">
        <f t="shared" si="40"/>
        <v>MERKEZ</v>
      </c>
      <c r="C1640" t="s">
        <v>81</v>
      </c>
      <c r="D1640" s="73" t="str">
        <f t="shared" si="39"/>
        <v>MERKEZ/KARAMAN</v>
      </c>
      <c r="E1640" t="s">
        <v>34</v>
      </c>
      <c r="F1640" t="s">
        <v>34</v>
      </c>
      <c r="G1640" t="s">
        <v>3367</v>
      </c>
      <c r="H1640">
        <v>10380.5</v>
      </c>
      <c r="I1640">
        <v>1038.05</v>
      </c>
      <c r="J1640">
        <v>0</v>
      </c>
      <c r="K1640">
        <v>0</v>
      </c>
      <c r="L1640">
        <v>10380.5</v>
      </c>
      <c r="M1640">
        <v>1038.05</v>
      </c>
      <c r="O1640" s="79">
        <f>IFERROR(VLOOKUP(D1640,'KAPANAN BLD.'!$C$2:$D$793,2,FALSE),0)</f>
        <v>0</v>
      </c>
      <c r="P1640" s="79">
        <v>0</v>
      </c>
    </row>
    <row r="1641" spans="1:16" x14ac:dyDescent="0.25">
      <c r="A1641" t="s">
        <v>32</v>
      </c>
      <c r="B1641" s="73" t="str">
        <f t="shared" si="40"/>
        <v>MERKEZ</v>
      </c>
      <c r="C1641" t="s">
        <v>81</v>
      </c>
      <c r="D1641" s="73" t="str">
        <f t="shared" si="39"/>
        <v>MERKEZ/KARAMAN</v>
      </c>
      <c r="E1641" t="s">
        <v>34</v>
      </c>
      <c r="F1641" t="s">
        <v>34</v>
      </c>
      <c r="G1641" t="s">
        <v>3366</v>
      </c>
      <c r="H1641">
        <v>11393</v>
      </c>
      <c r="I1641">
        <v>1139.3</v>
      </c>
      <c r="J1641">
        <v>0</v>
      </c>
      <c r="K1641">
        <v>0</v>
      </c>
      <c r="L1641">
        <v>11393</v>
      </c>
      <c r="M1641">
        <v>1139.3</v>
      </c>
      <c r="O1641" s="79">
        <f>IFERROR(VLOOKUP(D1641,'KAPANAN BLD.'!$C$2:$D$793,2,FALSE),0)</f>
        <v>0</v>
      </c>
      <c r="P1641" s="79">
        <v>0</v>
      </c>
    </row>
    <row r="1642" spans="1:16" x14ac:dyDescent="0.25">
      <c r="A1642" t="s">
        <v>32</v>
      </c>
      <c r="B1642" s="73" t="str">
        <f t="shared" si="40"/>
        <v>MERKEZ</v>
      </c>
      <c r="C1642" t="s">
        <v>81</v>
      </c>
      <c r="D1642" s="73" t="str">
        <f t="shared" si="39"/>
        <v>MERKEZ/KARAMAN</v>
      </c>
      <c r="E1642" t="s">
        <v>34</v>
      </c>
      <c r="F1642" t="s">
        <v>34</v>
      </c>
      <c r="G1642" t="s">
        <v>3366</v>
      </c>
      <c r="H1642">
        <v>2883.1</v>
      </c>
      <c r="I1642">
        <v>288.31</v>
      </c>
      <c r="J1642">
        <v>0</v>
      </c>
      <c r="K1642">
        <v>0</v>
      </c>
      <c r="L1642">
        <v>2883.1</v>
      </c>
      <c r="M1642">
        <v>288.31</v>
      </c>
      <c r="O1642" s="79">
        <f>IFERROR(VLOOKUP(D1642,'KAPANAN BLD.'!$C$2:$D$793,2,FALSE),0)</f>
        <v>0</v>
      </c>
      <c r="P1642" s="79">
        <v>0</v>
      </c>
    </row>
    <row r="1643" spans="1:16" x14ac:dyDescent="0.25">
      <c r="A1643" t="s">
        <v>32</v>
      </c>
      <c r="B1643" s="73" t="str">
        <f t="shared" si="40"/>
        <v>MERKEZ</v>
      </c>
      <c r="C1643" t="s">
        <v>81</v>
      </c>
      <c r="D1643" s="73" t="str">
        <f t="shared" si="39"/>
        <v>MERKEZ/KARAMAN</v>
      </c>
      <c r="E1643" t="s">
        <v>34</v>
      </c>
      <c r="F1643" t="s">
        <v>34</v>
      </c>
      <c r="G1643" t="s">
        <v>3367</v>
      </c>
      <c r="H1643">
        <v>3057.3</v>
      </c>
      <c r="I1643">
        <v>305.73</v>
      </c>
      <c r="J1643">
        <v>0</v>
      </c>
      <c r="K1643">
        <v>0</v>
      </c>
      <c r="L1643">
        <v>3057.3</v>
      </c>
      <c r="M1643">
        <v>305.73</v>
      </c>
      <c r="O1643" s="79">
        <f>IFERROR(VLOOKUP(D1643,'KAPANAN BLD.'!$C$2:$D$793,2,FALSE),0)</f>
        <v>0</v>
      </c>
      <c r="P1643" s="79">
        <v>0</v>
      </c>
    </row>
    <row r="1644" spans="1:16" x14ac:dyDescent="0.25">
      <c r="A1644" t="s">
        <v>32</v>
      </c>
      <c r="B1644" s="73" t="str">
        <f t="shared" si="40"/>
        <v>SARIVELİLER</v>
      </c>
      <c r="C1644" t="s">
        <v>81</v>
      </c>
      <c r="D1644" s="73" t="str">
        <f t="shared" si="39"/>
        <v>SARIVELİLER/KARAMAN</v>
      </c>
      <c r="E1644" t="s">
        <v>2838</v>
      </c>
      <c r="F1644" t="s">
        <v>2838</v>
      </c>
      <c r="G1644" t="s">
        <v>3367</v>
      </c>
      <c r="H1644">
        <v>207.1</v>
      </c>
      <c r="I1644">
        <v>20.71</v>
      </c>
      <c r="J1644">
        <v>0</v>
      </c>
      <c r="K1644">
        <v>0</v>
      </c>
      <c r="L1644">
        <v>207.1</v>
      </c>
      <c r="M1644">
        <v>20.71</v>
      </c>
      <c r="O1644" s="79">
        <f>IFERROR(VLOOKUP(D1644,'KAPANAN BLD.'!$C$2:$D$793,2,FALSE),0)</f>
        <v>0</v>
      </c>
      <c r="P1644" s="79">
        <v>0</v>
      </c>
    </row>
    <row r="1645" spans="1:16" x14ac:dyDescent="0.25">
      <c r="A1645" t="s">
        <v>32</v>
      </c>
      <c r="B1645" s="73" t="str">
        <f t="shared" si="40"/>
        <v>MERKEZ</v>
      </c>
      <c r="C1645" t="s">
        <v>81</v>
      </c>
      <c r="D1645" s="73" t="str">
        <f t="shared" si="39"/>
        <v>MERKEZ/KARAMAN</v>
      </c>
      <c r="E1645" s="9" t="s">
        <v>34</v>
      </c>
      <c r="F1645" s="9" t="s">
        <v>34</v>
      </c>
      <c r="G1645" t="s">
        <v>3367</v>
      </c>
      <c r="H1645">
        <v>2131.5</v>
      </c>
      <c r="I1645">
        <v>213.15</v>
      </c>
      <c r="J1645">
        <v>317.39999999999998</v>
      </c>
      <c r="K1645">
        <v>31.74</v>
      </c>
      <c r="L1645">
        <v>1814.1</v>
      </c>
      <c r="M1645">
        <v>181.41</v>
      </c>
      <c r="O1645" s="79">
        <f>IFERROR(VLOOKUP(D1645,'KAPANAN BLD.'!$C$2:$D$793,2,FALSE),0)</f>
        <v>0</v>
      </c>
      <c r="P1645" s="79">
        <v>0</v>
      </c>
    </row>
    <row r="1646" spans="1:16" x14ac:dyDescent="0.25">
      <c r="A1646" t="s">
        <v>32</v>
      </c>
      <c r="B1646" s="73" t="str">
        <f t="shared" si="40"/>
        <v>MERKEZ</v>
      </c>
      <c r="C1646" t="s">
        <v>81</v>
      </c>
      <c r="D1646" s="73" t="str">
        <f t="shared" si="39"/>
        <v>MERKEZ/KARAMAN</v>
      </c>
      <c r="E1646" s="9" t="s">
        <v>34</v>
      </c>
      <c r="F1646" s="9" t="s">
        <v>34</v>
      </c>
      <c r="G1646" t="s">
        <v>3366</v>
      </c>
      <c r="H1646">
        <v>3221.3</v>
      </c>
      <c r="I1646">
        <v>322.13</v>
      </c>
      <c r="J1646">
        <v>2067</v>
      </c>
      <c r="K1646">
        <v>206.7</v>
      </c>
      <c r="L1646">
        <v>1154.3</v>
      </c>
      <c r="M1646">
        <v>115.43</v>
      </c>
      <c r="O1646" s="79">
        <f>IFERROR(VLOOKUP(D1646,'KAPANAN BLD.'!$C$2:$D$793,2,FALSE),0)</f>
        <v>0</v>
      </c>
      <c r="P1646" s="79">
        <v>0</v>
      </c>
    </row>
    <row r="1647" spans="1:16" x14ac:dyDescent="0.25">
      <c r="A1647" t="s">
        <v>32</v>
      </c>
      <c r="B1647" s="73" t="str">
        <f t="shared" si="40"/>
        <v>MERKEZ</v>
      </c>
      <c r="C1647" t="s">
        <v>81</v>
      </c>
      <c r="D1647" s="73" t="str">
        <f t="shared" si="39"/>
        <v>MERKEZ/KARAMAN</v>
      </c>
      <c r="E1647" s="9" t="s">
        <v>34</v>
      </c>
      <c r="F1647" s="9" t="s">
        <v>34</v>
      </c>
      <c r="G1647" t="s">
        <v>3366</v>
      </c>
      <c r="H1647">
        <v>3669.3</v>
      </c>
      <c r="I1647">
        <v>366.93</v>
      </c>
      <c r="J1647">
        <v>1947.9</v>
      </c>
      <c r="K1647">
        <v>194.79</v>
      </c>
      <c r="L1647">
        <v>1721.4</v>
      </c>
      <c r="M1647">
        <v>172.14</v>
      </c>
      <c r="O1647" s="79">
        <f>IFERROR(VLOOKUP(D1647,'KAPANAN BLD.'!$C$2:$D$793,2,FALSE),0)</f>
        <v>0</v>
      </c>
      <c r="P1647" s="79">
        <v>0</v>
      </c>
    </row>
    <row r="1648" spans="1:16" x14ac:dyDescent="0.25">
      <c r="A1648" t="s">
        <v>32</v>
      </c>
      <c r="B1648" s="73" t="str">
        <f t="shared" si="40"/>
        <v>MERKEZ</v>
      </c>
      <c r="C1648" t="s">
        <v>81</v>
      </c>
      <c r="D1648" s="73" t="str">
        <f t="shared" si="39"/>
        <v>MERKEZ/KARAMAN</v>
      </c>
      <c r="E1648" s="9" t="s">
        <v>34</v>
      </c>
      <c r="F1648" s="9" t="s">
        <v>34</v>
      </c>
      <c r="G1648" t="s">
        <v>3367</v>
      </c>
      <c r="H1648">
        <v>2419.1</v>
      </c>
      <c r="I1648">
        <v>241.91</v>
      </c>
      <c r="J1648">
        <v>134.6</v>
      </c>
      <c r="K1648">
        <v>13.46</v>
      </c>
      <c r="L1648">
        <v>2284.5</v>
      </c>
      <c r="M1648">
        <v>228.45</v>
      </c>
      <c r="O1648" s="79">
        <f>IFERROR(VLOOKUP(D1648,'KAPANAN BLD.'!$C$2:$D$793,2,FALSE),0)</f>
        <v>0</v>
      </c>
      <c r="P1648" s="79">
        <v>0</v>
      </c>
    </row>
    <row r="1649" spans="1:16" x14ac:dyDescent="0.25">
      <c r="A1649" t="s">
        <v>32</v>
      </c>
      <c r="B1649" s="73" t="str">
        <f t="shared" si="40"/>
        <v>MERKEZ</v>
      </c>
      <c r="C1649" t="s">
        <v>81</v>
      </c>
      <c r="D1649" s="73" t="str">
        <f t="shared" si="39"/>
        <v>MERKEZ/KARAMAN</v>
      </c>
      <c r="E1649" s="9" t="s">
        <v>34</v>
      </c>
      <c r="F1649" s="9" t="s">
        <v>34</v>
      </c>
      <c r="G1649" t="s">
        <v>3366</v>
      </c>
      <c r="H1649">
        <v>354.5</v>
      </c>
      <c r="I1649">
        <v>35.450000000000003</v>
      </c>
      <c r="J1649">
        <v>0</v>
      </c>
      <c r="K1649">
        <v>0</v>
      </c>
      <c r="L1649">
        <v>354.5</v>
      </c>
      <c r="M1649">
        <v>35.450000000000003</v>
      </c>
      <c r="O1649" s="79">
        <f>IFERROR(VLOOKUP(D1649,'KAPANAN BLD.'!$C$2:$D$793,2,FALSE),0)</f>
        <v>0</v>
      </c>
      <c r="P1649" s="79">
        <v>0</v>
      </c>
    </row>
    <row r="1650" spans="1:16" x14ac:dyDescent="0.25">
      <c r="A1650" t="s">
        <v>32</v>
      </c>
      <c r="B1650" s="73" t="str">
        <f t="shared" si="40"/>
        <v>MERKEZ</v>
      </c>
      <c r="C1650" t="s">
        <v>81</v>
      </c>
      <c r="D1650" s="73" t="str">
        <f t="shared" si="39"/>
        <v>MERKEZ/KARAMAN</v>
      </c>
      <c r="E1650" s="9" t="s">
        <v>34</v>
      </c>
      <c r="F1650" s="9" t="s">
        <v>34</v>
      </c>
      <c r="G1650" t="s">
        <v>3367</v>
      </c>
      <c r="H1650">
        <v>990.1</v>
      </c>
      <c r="I1650">
        <v>99.01</v>
      </c>
      <c r="J1650">
        <v>44</v>
      </c>
      <c r="K1650">
        <v>4.4000000000000004</v>
      </c>
      <c r="L1650">
        <v>946.1</v>
      </c>
      <c r="M1650">
        <v>94.61</v>
      </c>
      <c r="O1650" s="79">
        <f>IFERROR(VLOOKUP(D1650,'KAPANAN BLD.'!$C$2:$D$793,2,FALSE),0)</f>
        <v>0</v>
      </c>
      <c r="P1650" s="79">
        <v>0</v>
      </c>
    </row>
    <row r="1651" spans="1:16" x14ac:dyDescent="0.25">
      <c r="A1651" t="s">
        <v>32</v>
      </c>
      <c r="B1651" s="73" t="str">
        <f t="shared" si="40"/>
        <v>KAĞIZMAN</v>
      </c>
      <c r="C1651" t="s">
        <v>77</v>
      </c>
      <c r="D1651" s="73" t="str">
        <f t="shared" si="39"/>
        <v>KAĞIZMAN/KARS</v>
      </c>
      <c r="E1651" t="s">
        <v>604</v>
      </c>
      <c r="F1651" t="s">
        <v>604</v>
      </c>
      <c r="G1651" t="s">
        <v>3366</v>
      </c>
      <c r="H1651">
        <v>32.299999999999997</v>
      </c>
      <c r="I1651">
        <v>3.23</v>
      </c>
      <c r="J1651">
        <v>0</v>
      </c>
      <c r="K1651">
        <v>0</v>
      </c>
      <c r="L1651">
        <v>32.299999999999997</v>
      </c>
      <c r="M1651">
        <v>3.23</v>
      </c>
      <c r="O1651" s="79">
        <f>IFERROR(VLOOKUP(D1651,'KAPANAN BLD.'!$C$2:$D$793,2,FALSE),0)</f>
        <v>0</v>
      </c>
      <c r="P1651" s="79">
        <v>0</v>
      </c>
    </row>
    <row r="1652" spans="1:16" x14ac:dyDescent="0.25">
      <c r="A1652" t="s">
        <v>32</v>
      </c>
      <c r="B1652" s="73" t="str">
        <f t="shared" si="40"/>
        <v>KAĞIZMAN</v>
      </c>
      <c r="C1652" t="s">
        <v>77</v>
      </c>
      <c r="D1652" s="73" t="str">
        <f t="shared" si="39"/>
        <v>KAĞIZMAN/KARS</v>
      </c>
      <c r="E1652" t="s">
        <v>604</v>
      </c>
      <c r="F1652" t="s">
        <v>604</v>
      </c>
      <c r="G1652" t="s">
        <v>3367</v>
      </c>
      <c r="H1652">
        <v>34.299999999999997</v>
      </c>
      <c r="I1652">
        <v>3.43</v>
      </c>
      <c r="J1652">
        <v>0</v>
      </c>
      <c r="K1652">
        <v>0</v>
      </c>
      <c r="L1652">
        <v>34.299999999999997</v>
      </c>
      <c r="M1652">
        <v>3.43</v>
      </c>
      <c r="O1652" s="79">
        <f>IFERROR(VLOOKUP(D1652,'KAPANAN BLD.'!$C$2:$D$793,2,FALSE),0)</f>
        <v>0</v>
      </c>
      <c r="P1652" s="79">
        <v>0</v>
      </c>
    </row>
    <row r="1653" spans="1:16" x14ac:dyDescent="0.25">
      <c r="A1653" t="s">
        <v>32</v>
      </c>
      <c r="B1653" s="73" t="str">
        <f t="shared" si="40"/>
        <v>MERKEZ</v>
      </c>
      <c r="C1653" t="s">
        <v>77</v>
      </c>
      <c r="D1653" s="73" t="str">
        <f t="shared" si="39"/>
        <v>MERKEZ/KARS</v>
      </c>
      <c r="E1653" t="s">
        <v>34</v>
      </c>
      <c r="F1653" t="s">
        <v>34</v>
      </c>
      <c r="G1653" t="s">
        <v>3367</v>
      </c>
      <c r="H1653">
        <v>5810.6</v>
      </c>
      <c r="I1653">
        <v>581.05999999999995</v>
      </c>
      <c r="J1653">
        <v>1366.5</v>
      </c>
      <c r="K1653">
        <v>136.65</v>
      </c>
      <c r="L1653">
        <v>4444.1000000000004</v>
      </c>
      <c r="M1653">
        <v>444.41</v>
      </c>
      <c r="O1653" s="79">
        <f>IFERROR(VLOOKUP(D1653,'KAPANAN BLD.'!$C$2:$D$793,2,FALSE),0)</f>
        <v>0</v>
      </c>
      <c r="P1653" s="79">
        <v>0</v>
      </c>
    </row>
    <row r="1654" spans="1:16" x14ac:dyDescent="0.25">
      <c r="A1654" t="s">
        <v>32</v>
      </c>
      <c r="B1654" s="73" t="str">
        <f t="shared" si="40"/>
        <v>MERKEZ</v>
      </c>
      <c r="C1654" t="s">
        <v>77</v>
      </c>
      <c r="D1654" s="73" t="str">
        <f t="shared" si="39"/>
        <v>MERKEZ/KARS</v>
      </c>
      <c r="E1654" t="s">
        <v>34</v>
      </c>
      <c r="F1654" t="s">
        <v>34</v>
      </c>
      <c r="G1654" t="s">
        <v>3366</v>
      </c>
      <c r="H1654">
        <v>4149</v>
      </c>
      <c r="I1654">
        <v>414.9</v>
      </c>
      <c r="J1654">
        <v>918.9</v>
      </c>
      <c r="K1654">
        <v>91.89</v>
      </c>
      <c r="L1654">
        <v>3230.1</v>
      </c>
      <c r="M1654">
        <v>323.01</v>
      </c>
      <c r="O1654" s="79">
        <f>IFERROR(VLOOKUP(D1654,'KAPANAN BLD.'!$C$2:$D$793,2,FALSE),0)</f>
        <v>0</v>
      </c>
      <c r="P1654" s="79">
        <v>0</v>
      </c>
    </row>
    <row r="1655" spans="1:16" x14ac:dyDescent="0.25">
      <c r="A1655" t="s">
        <v>32</v>
      </c>
      <c r="B1655" s="73" t="str">
        <f t="shared" si="40"/>
        <v>ABANA</v>
      </c>
      <c r="C1655" t="s">
        <v>204</v>
      </c>
      <c r="D1655" s="73" t="str">
        <f t="shared" si="39"/>
        <v>ABANA/KASTAMONU</v>
      </c>
      <c r="E1655" t="s">
        <v>2308</v>
      </c>
      <c r="F1655" t="s">
        <v>2308</v>
      </c>
      <c r="G1655" t="s">
        <v>3367</v>
      </c>
      <c r="H1655">
        <v>137.5</v>
      </c>
      <c r="I1655">
        <v>13.75</v>
      </c>
      <c r="J1655">
        <v>0</v>
      </c>
      <c r="K1655">
        <v>0</v>
      </c>
      <c r="L1655">
        <v>137.5</v>
      </c>
      <c r="M1655">
        <v>13.75</v>
      </c>
      <c r="O1655" s="79">
        <f>IFERROR(VLOOKUP(D1655,'KAPANAN BLD.'!$C$2:$D$793,2,FALSE),0)</f>
        <v>0</v>
      </c>
      <c r="P1655" s="79">
        <v>0</v>
      </c>
    </row>
    <row r="1656" spans="1:16" x14ac:dyDescent="0.25">
      <c r="A1656" t="s">
        <v>32</v>
      </c>
      <c r="B1656" s="73" t="str">
        <f t="shared" si="40"/>
        <v>ABANA</v>
      </c>
      <c r="C1656" t="s">
        <v>204</v>
      </c>
      <c r="D1656" s="73" t="str">
        <f t="shared" si="39"/>
        <v>ABANA/KASTAMONU</v>
      </c>
      <c r="E1656" t="s">
        <v>2308</v>
      </c>
      <c r="F1656" t="s">
        <v>2308</v>
      </c>
      <c r="G1656" t="s">
        <v>3366</v>
      </c>
      <c r="H1656">
        <v>29.4</v>
      </c>
      <c r="I1656">
        <v>2.94</v>
      </c>
      <c r="J1656">
        <v>0</v>
      </c>
      <c r="K1656">
        <v>0</v>
      </c>
      <c r="L1656">
        <v>29.4</v>
      </c>
      <c r="M1656">
        <v>2.94</v>
      </c>
      <c r="O1656" s="79">
        <f>IFERROR(VLOOKUP(D1656,'KAPANAN BLD.'!$C$2:$D$793,2,FALSE),0)</f>
        <v>0</v>
      </c>
      <c r="P1656" s="79">
        <v>0</v>
      </c>
    </row>
    <row r="1657" spans="1:16" x14ac:dyDescent="0.25">
      <c r="A1657" t="s">
        <v>32</v>
      </c>
      <c r="B1657" s="73" t="str">
        <f t="shared" si="40"/>
        <v>ARAÇ</v>
      </c>
      <c r="C1657" t="s">
        <v>204</v>
      </c>
      <c r="D1657" s="73" t="str">
        <f t="shared" si="39"/>
        <v>ARAÇ/KASTAMONU</v>
      </c>
      <c r="E1657" t="s">
        <v>305</v>
      </c>
      <c r="F1657" t="s">
        <v>305</v>
      </c>
      <c r="G1657" t="s">
        <v>3366</v>
      </c>
      <c r="H1657">
        <v>280.3</v>
      </c>
      <c r="I1657">
        <v>28.03</v>
      </c>
      <c r="J1657">
        <v>0</v>
      </c>
      <c r="K1657">
        <v>0</v>
      </c>
      <c r="L1657">
        <v>280.3</v>
      </c>
      <c r="M1657">
        <v>28.03</v>
      </c>
      <c r="O1657" s="79">
        <f>IFERROR(VLOOKUP(D1657,'KAPANAN BLD.'!$C$2:$D$793,2,FALSE),0)</f>
        <v>0</v>
      </c>
      <c r="P1657" s="79">
        <v>0</v>
      </c>
    </row>
    <row r="1658" spans="1:16" x14ac:dyDescent="0.25">
      <c r="A1658" t="s">
        <v>32</v>
      </c>
      <c r="B1658" s="73" t="str">
        <f t="shared" si="40"/>
        <v>ARAÇ</v>
      </c>
      <c r="C1658" t="s">
        <v>204</v>
      </c>
      <c r="D1658" s="73" t="str">
        <f t="shared" si="39"/>
        <v>ARAÇ/KASTAMONU</v>
      </c>
      <c r="E1658" t="s">
        <v>305</v>
      </c>
      <c r="F1658" t="s">
        <v>305</v>
      </c>
      <c r="G1658" t="s">
        <v>3367</v>
      </c>
      <c r="H1658">
        <v>4545.6000000000004</v>
      </c>
      <c r="I1658">
        <v>454.56</v>
      </c>
      <c r="J1658">
        <v>0</v>
      </c>
      <c r="K1658">
        <v>0</v>
      </c>
      <c r="L1658">
        <v>4545.6000000000004</v>
      </c>
      <c r="M1658">
        <v>454.56</v>
      </c>
      <c r="O1658" s="79">
        <f>IFERROR(VLOOKUP(D1658,'KAPANAN BLD.'!$C$2:$D$793,2,FALSE),0)</f>
        <v>0</v>
      </c>
      <c r="P1658" s="79">
        <v>0</v>
      </c>
    </row>
    <row r="1659" spans="1:16" x14ac:dyDescent="0.25">
      <c r="A1659" t="s">
        <v>32</v>
      </c>
      <c r="B1659" s="73" t="str">
        <f t="shared" si="40"/>
        <v>AZDAVAY</v>
      </c>
      <c r="C1659" t="s">
        <v>204</v>
      </c>
      <c r="D1659" s="73" t="str">
        <f t="shared" si="39"/>
        <v>AZDAVAY/KASTAMONU</v>
      </c>
      <c r="E1659" t="s">
        <v>2232</v>
      </c>
      <c r="F1659" t="s">
        <v>2232</v>
      </c>
      <c r="G1659" t="s">
        <v>3366</v>
      </c>
      <c r="H1659">
        <v>106.9</v>
      </c>
      <c r="I1659">
        <v>10.69</v>
      </c>
      <c r="J1659">
        <v>0</v>
      </c>
      <c r="K1659">
        <v>0</v>
      </c>
      <c r="L1659">
        <v>106.9</v>
      </c>
      <c r="M1659">
        <v>10.69</v>
      </c>
      <c r="O1659" s="79">
        <f>IFERROR(VLOOKUP(D1659,'KAPANAN BLD.'!$C$2:$D$793,2,FALSE),0)</f>
        <v>0</v>
      </c>
      <c r="P1659" s="79">
        <v>0</v>
      </c>
    </row>
    <row r="1660" spans="1:16" x14ac:dyDescent="0.25">
      <c r="A1660" t="s">
        <v>32</v>
      </c>
      <c r="B1660" s="73" t="str">
        <f t="shared" si="40"/>
        <v>AZDAVAY</v>
      </c>
      <c r="C1660" t="s">
        <v>204</v>
      </c>
      <c r="D1660" s="73" t="str">
        <f t="shared" si="39"/>
        <v>AZDAVAY/KASTAMONU</v>
      </c>
      <c r="E1660" t="s">
        <v>2232</v>
      </c>
      <c r="F1660" t="s">
        <v>2232</v>
      </c>
      <c r="G1660" t="s">
        <v>3367</v>
      </c>
      <c r="H1660">
        <v>234.8</v>
      </c>
      <c r="I1660">
        <v>23.48</v>
      </c>
      <c r="J1660">
        <v>0</v>
      </c>
      <c r="K1660">
        <v>0</v>
      </c>
      <c r="L1660">
        <v>234.8</v>
      </c>
      <c r="M1660">
        <v>23.48</v>
      </c>
      <c r="O1660" s="79">
        <f>IFERROR(VLOOKUP(D1660,'KAPANAN BLD.'!$C$2:$D$793,2,FALSE),0)</f>
        <v>0</v>
      </c>
      <c r="P1660" s="79">
        <v>0</v>
      </c>
    </row>
    <row r="1661" spans="1:16" x14ac:dyDescent="0.25">
      <c r="A1661" t="s">
        <v>32</v>
      </c>
      <c r="B1661" s="73" t="str">
        <f t="shared" si="40"/>
        <v>BOZKURT</v>
      </c>
      <c r="C1661" t="s">
        <v>204</v>
      </c>
      <c r="D1661" s="73" t="str">
        <f t="shared" si="39"/>
        <v>BOZKURT/KASTAMONU</v>
      </c>
      <c r="E1661" t="s">
        <v>552</v>
      </c>
      <c r="F1661" t="s">
        <v>552</v>
      </c>
      <c r="G1661" t="s">
        <v>3367</v>
      </c>
      <c r="H1661">
        <v>302.5</v>
      </c>
      <c r="I1661">
        <v>30.25</v>
      </c>
      <c r="J1661">
        <v>0</v>
      </c>
      <c r="K1661">
        <v>0</v>
      </c>
      <c r="L1661">
        <v>302.5</v>
      </c>
      <c r="M1661">
        <v>30.25</v>
      </c>
      <c r="O1661" s="79">
        <f>IFERROR(VLOOKUP(D1661,'KAPANAN BLD.'!$C$2:$D$793,2,FALSE),0)</f>
        <v>0</v>
      </c>
      <c r="P1661" s="79">
        <v>0</v>
      </c>
    </row>
    <row r="1662" spans="1:16" x14ac:dyDescent="0.25">
      <c r="A1662" t="s">
        <v>32</v>
      </c>
      <c r="B1662" s="73" t="str">
        <f t="shared" si="40"/>
        <v>BOZKURT</v>
      </c>
      <c r="C1662" t="s">
        <v>204</v>
      </c>
      <c r="D1662" s="73" t="str">
        <f t="shared" si="39"/>
        <v>BOZKURT/KASTAMONU</v>
      </c>
      <c r="E1662" t="s">
        <v>552</v>
      </c>
      <c r="F1662" t="s">
        <v>552</v>
      </c>
      <c r="G1662" t="s">
        <v>3366</v>
      </c>
      <c r="H1662">
        <v>1668.2</v>
      </c>
      <c r="I1662">
        <v>166.82</v>
      </c>
      <c r="J1662">
        <v>0</v>
      </c>
      <c r="K1662">
        <v>0</v>
      </c>
      <c r="L1662">
        <v>1668.2</v>
      </c>
      <c r="M1662">
        <v>166.82</v>
      </c>
      <c r="O1662" s="79">
        <f>IFERROR(VLOOKUP(D1662,'KAPANAN BLD.'!$C$2:$D$793,2,FALSE),0)</f>
        <v>0</v>
      </c>
      <c r="P1662" s="79">
        <v>0</v>
      </c>
    </row>
    <row r="1663" spans="1:16" x14ac:dyDescent="0.25">
      <c r="A1663" t="s">
        <v>32</v>
      </c>
      <c r="B1663" s="73" t="str">
        <f t="shared" si="40"/>
        <v>CİDE</v>
      </c>
      <c r="C1663" t="s">
        <v>204</v>
      </c>
      <c r="D1663" s="73" t="str">
        <f t="shared" si="39"/>
        <v>CİDE/KASTAMONU</v>
      </c>
      <c r="E1663" t="s">
        <v>606</v>
      </c>
      <c r="F1663" t="s">
        <v>606</v>
      </c>
      <c r="G1663" t="s">
        <v>3367</v>
      </c>
      <c r="H1663">
        <v>105.1</v>
      </c>
      <c r="I1663">
        <v>10.51</v>
      </c>
      <c r="J1663">
        <v>0</v>
      </c>
      <c r="K1663">
        <v>0</v>
      </c>
      <c r="L1663">
        <v>105.1</v>
      </c>
      <c r="M1663">
        <v>10.51</v>
      </c>
      <c r="O1663" s="79">
        <f>IFERROR(VLOOKUP(D1663,'KAPANAN BLD.'!$C$2:$D$793,2,FALSE),0)</f>
        <v>0</v>
      </c>
      <c r="P1663" s="79">
        <v>0</v>
      </c>
    </row>
    <row r="1664" spans="1:16" x14ac:dyDescent="0.25">
      <c r="A1664" t="s">
        <v>32</v>
      </c>
      <c r="B1664" s="73" t="str">
        <f t="shared" si="40"/>
        <v>DEVREKANİ</v>
      </c>
      <c r="C1664" t="s">
        <v>204</v>
      </c>
      <c r="D1664" s="73" t="str">
        <f t="shared" si="39"/>
        <v>DEVREKANİ/KASTAMONU</v>
      </c>
      <c r="E1664" t="s">
        <v>608</v>
      </c>
      <c r="F1664" t="s">
        <v>608</v>
      </c>
      <c r="G1664" t="s">
        <v>3367</v>
      </c>
      <c r="H1664">
        <v>93.6</v>
      </c>
      <c r="I1664">
        <v>9.36</v>
      </c>
      <c r="J1664">
        <v>0</v>
      </c>
      <c r="K1664">
        <v>0</v>
      </c>
      <c r="L1664">
        <v>93.6</v>
      </c>
      <c r="M1664">
        <v>9.36</v>
      </c>
      <c r="O1664" s="79">
        <f>IFERROR(VLOOKUP(D1664,'KAPANAN BLD.'!$C$2:$D$793,2,FALSE),0)</f>
        <v>0</v>
      </c>
      <c r="P1664" s="79">
        <v>0</v>
      </c>
    </row>
    <row r="1665" spans="1:16" x14ac:dyDescent="0.25">
      <c r="A1665" t="s">
        <v>32</v>
      </c>
      <c r="B1665" s="73" t="str">
        <f t="shared" si="40"/>
        <v>DEVREKANİ</v>
      </c>
      <c r="C1665" t="s">
        <v>204</v>
      </c>
      <c r="D1665" s="73" t="str">
        <f t="shared" si="39"/>
        <v>DEVREKANİ/KASTAMONU</v>
      </c>
      <c r="E1665" t="s">
        <v>608</v>
      </c>
      <c r="F1665" t="s">
        <v>608</v>
      </c>
      <c r="G1665" t="s">
        <v>3366</v>
      </c>
      <c r="H1665">
        <v>402.8</v>
      </c>
      <c r="I1665">
        <v>40.28</v>
      </c>
      <c r="J1665">
        <v>0</v>
      </c>
      <c r="K1665">
        <v>0</v>
      </c>
      <c r="L1665">
        <v>402.8</v>
      </c>
      <c r="M1665">
        <v>40.28</v>
      </c>
      <c r="O1665" s="79">
        <f>IFERROR(VLOOKUP(D1665,'KAPANAN BLD.'!$C$2:$D$793,2,FALSE),0)</f>
        <v>0</v>
      </c>
      <c r="P1665" s="79">
        <v>0</v>
      </c>
    </row>
    <row r="1666" spans="1:16" x14ac:dyDescent="0.25">
      <c r="A1666" t="s">
        <v>32</v>
      </c>
      <c r="B1666" s="73" t="str">
        <f t="shared" si="40"/>
        <v>İNEBOLU</v>
      </c>
      <c r="C1666" t="s">
        <v>204</v>
      </c>
      <c r="D1666" s="73" t="str">
        <f t="shared" si="39"/>
        <v>İNEBOLU/KASTAMONU</v>
      </c>
      <c r="E1666" t="s">
        <v>306</v>
      </c>
      <c r="F1666" t="s">
        <v>306</v>
      </c>
      <c r="G1666" t="s">
        <v>3366</v>
      </c>
      <c r="H1666">
        <v>36.4</v>
      </c>
      <c r="I1666">
        <v>3.64</v>
      </c>
      <c r="J1666">
        <v>0</v>
      </c>
      <c r="K1666">
        <v>0</v>
      </c>
      <c r="L1666">
        <v>36.4</v>
      </c>
      <c r="M1666">
        <v>3.64</v>
      </c>
      <c r="O1666" s="79">
        <f>IFERROR(VLOOKUP(D1666,'KAPANAN BLD.'!$C$2:$D$793,2,FALSE),0)</f>
        <v>0</v>
      </c>
      <c r="P1666" s="79">
        <v>0</v>
      </c>
    </row>
    <row r="1667" spans="1:16" x14ac:dyDescent="0.25">
      <c r="A1667" t="s">
        <v>32</v>
      </c>
      <c r="B1667" s="73" t="str">
        <f t="shared" si="40"/>
        <v>İNEBOLU</v>
      </c>
      <c r="C1667" t="s">
        <v>204</v>
      </c>
      <c r="D1667" s="73" t="str">
        <f t="shared" ref="D1667:D1730" si="41">CONCATENATE(B1667,"/",C1667)</f>
        <v>İNEBOLU/KASTAMONU</v>
      </c>
      <c r="E1667" t="s">
        <v>306</v>
      </c>
      <c r="F1667" t="s">
        <v>306</v>
      </c>
      <c r="G1667" t="s">
        <v>3367</v>
      </c>
      <c r="H1667">
        <v>113.3</v>
      </c>
      <c r="I1667">
        <v>11.33</v>
      </c>
      <c r="J1667">
        <v>38.5</v>
      </c>
      <c r="K1667">
        <v>3.85</v>
      </c>
      <c r="L1667">
        <v>74.8</v>
      </c>
      <c r="M1667">
        <v>7.48</v>
      </c>
      <c r="O1667" s="79">
        <f>IFERROR(VLOOKUP(D1667,'KAPANAN BLD.'!$C$2:$D$793,2,FALSE),0)</f>
        <v>0</v>
      </c>
      <c r="P1667" s="79">
        <v>0</v>
      </c>
    </row>
    <row r="1668" spans="1:16" x14ac:dyDescent="0.25">
      <c r="A1668" t="s">
        <v>32</v>
      </c>
      <c r="B1668" s="73" t="str">
        <f t="shared" si="40"/>
        <v>KÜRE</v>
      </c>
      <c r="C1668" t="s">
        <v>204</v>
      </c>
      <c r="D1668" s="73" t="str">
        <f t="shared" si="41"/>
        <v>KÜRE/KASTAMONU</v>
      </c>
      <c r="E1668" t="s">
        <v>2392</v>
      </c>
      <c r="F1668" t="s">
        <v>2392</v>
      </c>
      <c r="G1668" t="s">
        <v>3366</v>
      </c>
      <c r="H1668">
        <v>89.5</v>
      </c>
      <c r="I1668">
        <v>8.9499999999999993</v>
      </c>
      <c r="J1668">
        <v>0</v>
      </c>
      <c r="K1668">
        <v>0</v>
      </c>
      <c r="L1668">
        <v>89.5</v>
      </c>
      <c r="M1668">
        <v>8.9499999999999993</v>
      </c>
      <c r="O1668" s="79">
        <f>IFERROR(VLOOKUP(D1668,'KAPANAN BLD.'!$C$2:$D$793,2,FALSE),0)</f>
        <v>0</v>
      </c>
      <c r="P1668" s="79">
        <v>0</v>
      </c>
    </row>
    <row r="1669" spans="1:16" x14ac:dyDescent="0.25">
      <c r="A1669" t="s">
        <v>32</v>
      </c>
      <c r="B1669" s="73" t="str">
        <f t="shared" si="40"/>
        <v>KÜRE</v>
      </c>
      <c r="C1669" t="s">
        <v>204</v>
      </c>
      <c r="D1669" s="73" t="str">
        <f t="shared" si="41"/>
        <v>KÜRE/KASTAMONU</v>
      </c>
      <c r="E1669" t="s">
        <v>2392</v>
      </c>
      <c r="F1669" t="s">
        <v>2392</v>
      </c>
      <c r="G1669" t="s">
        <v>3367</v>
      </c>
      <c r="H1669">
        <v>136.19999999999999</v>
      </c>
      <c r="I1669">
        <v>13.62</v>
      </c>
      <c r="J1669">
        <v>0</v>
      </c>
      <c r="K1669">
        <v>0</v>
      </c>
      <c r="L1669">
        <v>136.19999999999999</v>
      </c>
      <c r="M1669">
        <v>13.62</v>
      </c>
      <c r="O1669" s="79">
        <f>IFERROR(VLOOKUP(D1669,'KAPANAN BLD.'!$C$2:$D$793,2,FALSE),0)</f>
        <v>0</v>
      </c>
      <c r="P1669" s="79">
        <v>0</v>
      </c>
    </row>
    <row r="1670" spans="1:16" x14ac:dyDescent="0.25">
      <c r="A1670" t="s">
        <v>32</v>
      </c>
      <c r="B1670" s="73" t="str">
        <f t="shared" si="40"/>
        <v>MERKEZ</v>
      </c>
      <c r="C1670" t="s">
        <v>204</v>
      </c>
      <c r="D1670" s="73" t="str">
        <f t="shared" si="41"/>
        <v>MERKEZ/KASTAMONU</v>
      </c>
      <c r="E1670" t="s">
        <v>34</v>
      </c>
      <c r="F1670" t="s">
        <v>34</v>
      </c>
      <c r="G1670" t="s">
        <v>3366</v>
      </c>
      <c r="H1670">
        <v>63756.07</v>
      </c>
      <c r="I1670">
        <v>6375.61</v>
      </c>
      <c r="J1670">
        <v>402.8</v>
      </c>
      <c r="K1670">
        <v>40.28</v>
      </c>
      <c r="L1670">
        <v>63353.27</v>
      </c>
      <c r="M1670">
        <v>6335.33</v>
      </c>
      <c r="O1670" s="79">
        <f>IFERROR(VLOOKUP(D1670,'KAPANAN BLD.'!$C$2:$D$793,2,FALSE),0)</f>
        <v>0</v>
      </c>
      <c r="P1670" s="79">
        <v>0</v>
      </c>
    </row>
    <row r="1671" spans="1:16" x14ac:dyDescent="0.25">
      <c r="A1671" t="s">
        <v>32</v>
      </c>
      <c r="B1671" s="73" t="str">
        <f t="shared" si="40"/>
        <v>MERKEZ</v>
      </c>
      <c r="C1671" t="s">
        <v>204</v>
      </c>
      <c r="D1671" s="73" t="str">
        <f t="shared" si="41"/>
        <v>MERKEZ/KASTAMONU</v>
      </c>
      <c r="E1671" t="s">
        <v>34</v>
      </c>
      <c r="F1671" t="s">
        <v>34</v>
      </c>
      <c r="G1671" t="s">
        <v>3367</v>
      </c>
      <c r="H1671">
        <v>23299.95</v>
      </c>
      <c r="I1671">
        <v>2330</v>
      </c>
      <c r="J1671">
        <v>93.8</v>
      </c>
      <c r="K1671">
        <v>9.3800000000000008</v>
      </c>
      <c r="L1671">
        <v>23206.15</v>
      </c>
      <c r="M1671">
        <v>2320.62</v>
      </c>
      <c r="O1671" s="79">
        <f>IFERROR(VLOOKUP(D1671,'KAPANAN BLD.'!$C$2:$D$793,2,FALSE),0)</f>
        <v>0</v>
      </c>
      <c r="P1671" s="79">
        <v>0</v>
      </c>
    </row>
    <row r="1672" spans="1:16" x14ac:dyDescent="0.25">
      <c r="A1672" t="s">
        <v>32</v>
      </c>
      <c r="B1672" s="73" t="str">
        <f t="shared" si="40"/>
        <v>SEYDİLER</v>
      </c>
      <c r="C1672" t="s">
        <v>204</v>
      </c>
      <c r="D1672" s="73" t="str">
        <f t="shared" si="41"/>
        <v>SEYDİLER/KASTAMONU</v>
      </c>
      <c r="E1672" t="s">
        <v>611</v>
      </c>
      <c r="F1672" t="s">
        <v>611</v>
      </c>
      <c r="G1672" t="s">
        <v>3366</v>
      </c>
      <c r="H1672">
        <v>43.8</v>
      </c>
      <c r="I1672">
        <v>4.38</v>
      </c>
      <c r="J1672">
        <v>0</v>
      </c>
      <c r="K1672">
        <v>0</v>
      </c>
      <c r="L1672">
        <v>43.8</v>
      </c>
      <c r="M1672">
        <v>4.38</v>
      </c>
      <c r="O1672" s="79">
        <f>IFERROR(VLOOKUP(D1672,'KAPANAN BLD.'!$C$2:$D$793,2,FALSE),0)</f>
        <v>0</v>
      </c>
      <c r="P1672" s="79">
        <v>0</v>
      </c>
    </row>
    <row r="1673" spans="1:16" x14ac:dyDescent="0.25">
      <c r="A1673" t="s">
        <v>32</v>
      </c>
      <c r="B1673" s="73" t="str">
        <f t="shared" si="40"/>
        <v>SEYDİLER</v>
      </c>
      <c r="C1673" t="s">
        <v>204</v>
      </c>
      <c r="D1673" s="73" t="str">
        <f t="shared" si="41"/>
        <v>SEYDİLER/KASTAMONU</v>
      </c>
      <c r="E1673" t="s">
        <v>611</v>
      </c>
      <c r="F1673" t="s">
        <v>611</v>
      </c>
      <c r="G1673" t="s">
        <v>3367</v>
      </c>
      <c r="H1673">
        <v>115.2</v>
      </c>
      <c r="I1673">
        <v>11.52</v>
      </c>
      <c r="J1673">
        <v>69.900000000000006</v>
      </c>
      <c r="K1673">
        <v>6.99</v>
      </c>
      <c r="L1673">
        <v>45.3</v>
      </c>
      <c r="M1673">
        <v>4.53</v>
      </c>
      <c r="O1673" s="79">
        <f>IFERROR(VLOOKUP(D1673,'KAPANAN BLD.'!$C$2:$D$793,2,FALSE),0)</f>
        <v>0</v>
      </c>
      <c r="P1673" s="79">
        <v>0</v>
      </c>
    </row>
    <row r="1674" spans="1:16" x14ac:dyDescent="0.25">
      <c r="A1674" t="s">
        <v>32</v>
      </c>
      <c r="B1674" s="73" t="str">
        <f t="shared" si="40"/>
        <v>ŞENPAZAR</v>
      </c>
      <c r="C1674" t="s">
        <v>204</v>
      </c>
      <c r="D1674" s="73" t="str">
        <f t="shared" si="41"/>
        <v>ŞENPAZAR/KASTAMONU</v>
      </c>
      <c r="E1674" t="s">
        <v>2529</v>
      </c>
      <c r="F1674" t="s">
        <v>2529</v>
      </c>
      <c r="G1674" t="s">
        <v>3367</v>
      </c>
      <c r="H1674">
        <v>3330.8</v>
      </c>
      <c r="I1674">
        <v>333.08</v>
      </c>
      <c r="J1674">
        <v>0</v>
      </c>
      <c r="K1674">
        <v>0</v>
      </c>
      <c r="L1674">
        <v>3330.8</v>
      </c>
      <c r="M1674">
        <v>333.08</v>
      </c>
      <c r="O1674" s="79">
        <f>IFERROR(VLOOKUP(D1674,'KAPANAN BLD.'!$C$2:$D$793,2,FALSE),0)</f>
        <v>0</v>
      </c>
      <c r="P1674" s="79">
        <v>0</v>
      </c>
    </row>
    <row r="1675" spans="1:16" x14ac:dyDescent="0.25">
      <c r="A1675" t="s">
        <v>32</v>
      </c>
      <c r="B1675" s="73" t="str">
        <f t="shared" si="40"/>
        <v>ŞENPAZAR</v>
      </c>
      <c r="C1675" t="s">
        <v>204</v>
      </c>
      <c r="D1675" s="73" t="str">
        <f t="shared" si="41"/>
        <v>ŞENPAZAR/KASTAMONU</v>
      </c>
      <c r="E1675" t="s">
        <v>2529</v>
      </c>
      <c r="F1675" t="s">
        <v>2529</v>
      </c>
      <c r="G1675" t="s">
        <v>3366</v>
      </c>
      <c r="H1675">
        <v>3426.5</v>
      </c>
      <c r="I1675">
        <v>342.65</v>
      </c>
      <c r="J1675">
        <v>0</v>
      </c>
      <c r="K1675">
        <v>0</v>
      </c>
      <c r="L1675">
        <v>3426.5</v>
      </c>
      <c r="M1675">
        <v>342.65</v>
      </c>
      <c r="O1675" s="79">
        <f>IFERROR(VLOOKUP(D1675,'KAPANAN BLD.'!$C$2:$D$793,2,FALSE),0)</f>
        <v>0</v>
      </c>
      <c r="P1675" s="79">
        <v>0</v>
      </c>
    </row>
    <row r="1676" spans="1:16" x14ac:dyDescent="0.25">
      <c r="A1676" t="s">
        <v>32</v>
      </c>
      <c r="B1676" s="73" t="str">
        <f t="shared" si="40"/>
        <v>TAŞKÖPRÜ</v>
      </c>
      <c r="C1676" t="s">
        <v>204</v>
      </c>
      <c r="D1676" s="73" t="str">
        <f t="shared" si="41"/>
        <v>TAŞKÖPRÜ/KASTAMONU</v>
      </c>
      <c r="E1676" t="s">
        <v>243</v>
      </c>
      <c r="F1676" t="s">
        <v>243</v>
      </c>
      <c r="G1676" t="s">
        <v>3367</v>
      </c>
      <c r="H1676">
        <v>45</v>
      </c>
      <c r="I1676">
        <v>4.5</v>
      </c>
      <c r="J1676">
        <v>0</v>
      </c>
      <c r="K1676">
        <v>0</v>
      </c>
      <c r="L1676">
        <v>45</v>
      </c>
      <c r="M1676">
        <v>4.5</v>
      </c>
      <c r="O1676" s="79">
        <f>IFERROR(VLOOKUP(D1676,'KAPANAN BLD.'!$C$2:$D$793,2,FALSE),0)</f>
        <v>0</v>
      </c>
      <c r="P1676" s="79">
        <v>0</v>
      </c>
    </row>
    <row r="1677" spans="1:16" x14ac:dyDescent="0.25">
      <c r="A1677" t="s">
        <v>32</v>
      </c>
      <c r="B1677" s="73" t="str">
        <f t="shared" si="40"/>
        <v>TAŞKÖPRÜ</v>
      </c>
      <c r="C1677" t="s">
        <v>204</v>
      </c>
      <c r="D1677" s="73" t="str">
        <f t="shared" si="41"/>
        <v>TAŞKÖPRÜ/KASTAMONU</v>
      </c>
      <c r="E1677" t="s">
        <v>243</v>
      </c>
      <c r="F1677" t="s">
        <v>243</v>
      </c>
      <c r="G1677" t="s">
        <v>3366</v>
      </c>
      <c r="H1677">
        <v>402.8</v>
      </c>
      <c r="I1677">
        <v>40.28</v>
      </c>
      <c r="J1677">
        <v>0</v>
      </c>
      <c r="K1677">
        <v>0</v>
      </c>
      <c r="L1677">
        <v>402.8</v>
      </c>
      <c r="M1677">
        <v>40.28</v>
      </c>
      <c r="O1677" s="79">
        <f>IFERROR(VLOOKUP(D1677,'KAPANAN BLD.'!$C$2:$D$793,2,FALSE),0)</f>
        <v>0</v>
      </c>
      <c r="P1677" s="79">
        <v>0</v>
      </c>
    </row>
    <row r="1678" spans="1:16" x14ac:dyDescent="0.25">
      <c r="A1678" t="s">
        <v>32</v>
      </c>
      <c r="B1678" s="73" t="str">
        <f t="shared" si="40"/>
        <v>TOSYA</v>
      </c>
      <c r="C1678" t="s">
        <v>204</v>
      </c>
      <c r="D1678" s="73" t="str">
        <f t="shared" si="41"/>
        <v>TOSYA/KASTAMONU</v>
      </c>
      <c r="E1678" t="s">
        <v>270</v>
      </c>
      <c r="F1678" t="s">
        <v>270</v>
      </c>
      <c r="G1678" t="s">
        <v>3367</v>
      </c>
      <c r="H1678">
        <v>300.89999999999998</v>
      </c>
      <c r="I1678">
        <v>30.09</v>
      </c>
      <c r="J1678">
        <v>0</v>
      </c>
      <c r="K1678">
        <v>0</v>
      </c>
      <c r="L1678">
        <v>300.89999999999998</v>
      </c>
      <c r="M1678">
        <v>30.09</v>
      </c>
      <c r="O1678" s="79">
        <f>IFERROR(VLOOKUP(D1678,'KAPANAN BLD.'!$C$2:$D$793,2,FALSE),0)</f>
        <v>0</v>
      </c>
      <c r="P1678" s="79">
        <v>0</v>
      </c>
    </row>
    <row r="1679" spans="1:16" x14ac:dyDescent="0.25">
      <c r="A1679" t="s">
        <v>32</v>
      </c>
      <c r="B1679" s="73" t="str">
        <f t="shared" si="40"/>
        <v>TOSYA</v>
      </c>
      <c r="C1679" t="s">
        <v>204</v>
      </c>
      <c r="D1679" s="73" t="str">
        <f t="shared" si="41"/>
        <v>TOSYA/KASTAMONU</v>
      </c>
      <c r="E1679" t="s">
        <v>270</v>
      </c>
      <c r="F1679" t="s">
        <v>270</v>
      </c>
      <c r="G1679" t="s">
        <v>3366</v>
      </c>
      <c r="H1679">
        <v>41.7</v>
      </c>
      <c r="I1679">
        <v>4.17</v>
      </c>
      <c r="J1679">
        <v>0</v>
      </c>
      <c r="K1679">
        <v>0</v>
      </c>
      <c r="L1679">
        <v>41.7</v>
      </c>
      <c r="M1679">
        <v>4.17</v>
      </c>
      <c r="O1679" s="79">
        <f>IFERROR(VLOOKUP(D1679,'KAPANAN BLD.'!$C$2:$D$793,2,FALSE),0)</f>
        <v>0</v>
      </c>
      <c r="P1679" s="79">
        <v>0</v>
      </c>
    </row>
    <row r="1680" spans="1:16" x14ac:dyDescent="0.25">
      <c r="A1680" t="s">
        <v>32</v>
      </c>
      <c r="B1680" s="73" t="str">
        <f t="shared" si="40"/>
        <v>TOSYA</v>
      </c>
      <c r="C1680" t="s">
        <v>204</v>
      </c>
      <c r="D1680" s="73" t="str">
        <f t="shared" si="41"/>
        <v>TOSYA/KASTAMONU</v>
      </c>
      <c r="E1680" t="s">
        <v>270</v>
      </c>
      <c r="F1680" t="s">
        <v>270</v>
      </c>
      <c r="G1680" t="s">
        <v>3367</v>
      </c>
      <c r="H1680">
        <v>324.10000000000002</v>
      </c>
      <c r="I1680">
        <v>32.409999999999997</v>
      </c>
      <c r="J1680">
        <v>0</v>
      </c>
      <c r="K1680">
        <v>0</v>
      </c>
      <c r="L1680">
        <v>324.10000000000002</v>
      </c>
      <c r="M1680">
        <v>32.409999999999997</v>
      </c>
      <c r="O1680" s="79">
        <f>IFERROR(VLOOKUP(D1680,'KAPANAN BLD.'!$C$2:$D$793,2,FALSE),0)</f>
        <v>0</v>
      </c>
      <c r="P1680" s="79">
        <v>0</v>
      </c>
    </row>
    <row r="1681" spans="1:16" x14ac:dyDescent="0.25">
      <c r="A1681" t="s">
        <v>32</v>
      </c>
      <c r="B1681" s="73" t="str">
        <f t="shared" si="40"/>
        <v>TOSYA</v>
      </c>
      <c r="C1681" t="s">
        <v>204</v>
      </c>
      <c r="D1681" s="73" t="str">
        <f t="shared" si="41"/>
        <v>TOSYA/KASTAMONU</v>
      </c>
      <c r="E1681" t="s">
        <v>270</v>
      </c>
      <c r="F1681" t="s">
        <v>270</v>
      </c>
      <c r="G1681" t="s">
        <v>3366</v>
      </c>
      <c r="H1681">
        <v>877.9</v>
      </c>
      <c r="I1681">
        <v>87.79</v>
      </c>
      <c r="J1681">
        <v>0</v>
      </c>
      <c r="K1681">
        <v>0</v>
      </c>
      <c r="L1681">
        <v>877.9</v>
      </c>
      <c r="M1681">
        <v>87.79</v>
      </c>
      <c r="O1681" s="79">
        <f>IFERROR(VLOOKUP(D1681,'KAPANAN BLD.'!$C$2:$D$793,2,FALSE),0)</f>
        <v>0</v>
      </c>
      <c r="P1681" s="79">
        <v>0</v>
      </c>
    </row>
    <row r="1682" spans="1:16" x14ac:dyDescent="0.25">
      <c r="A1682" t="s">
        <v>32</v>
      </c>
      <c r="B1682" s="73" t="str">
        <f>VLOOKUP(C1682,'Büyükşehir List'!$C$2:$D$31,2,FALSE)</f>
        <v>KAYSERİ BÜYÜKŞEHİR</v>
      </c>
      <c r="C1682" t="s">
        <v>116</v>
      </c>
      <c r="D1682" s="73" t="str">
        <f t="shared" si="41"/>
        <v>KAYSERİ BÜYÜKŞEHİR/KAYSERİ</v>
      </c>
      <c r="E1682" t="s">
        <v>612</v>
      </c>
      <c r="F1682" t="s">
        <v>612</v>
      </c>
      <c r="G1682" t="s">
        <v>3367</v>
      </c>
      <c r="H1682">
        <v>24976</v>
      </c>
      <c r="I1682">
        <v>2497.6</v>
      </c>
      <c r="J1682">
        <v>5064.3999999999996</v>
      </c>
      <c r="K1682">
        <v>506.44</v>
      </c>
      <c r="L1682">
        <v>19911.599999999999</v>
      </c>
      <c r="M1682">
        <v>1991.16</v>
      </c>
      <c r="O1682" s="79">
        <f>IFERROR(VLOOKUP(D1682,'KAPANAN BLD.'!$C$2:$D$793,2,FALSE),0)</f>
        <v>0</v>
      </c>
      <c r="P1682" s="79">
        <v>0</v>
      </c>
    </row>
    <row r="1683" spans="1:16" x14ac:dyDescent="0.25">
      <c r="A1683" t="s">
        <v>32</v>
      </c>
      <c r="B1683" s="73" t="str">
        <f>VLOOKUP(C1683,'Büyükşehir List'!$C$2:$D$31,2,FALSE)</f>
        <v>KAYSERİ BÜYÜKŞEHİR</v>
      </c>
      <c r="C1683" t="s">
        <v>116</v>
      </c>
      <c r="D1683" s="73" t="str">
        <f t="shared" si="41"/>
        <v>KAYSERİ BÜYÜKŞEHİR/KAYSERİ</v>
      </c>
      <c r="E1683" t="s">
        <v>612</v>
      </c>
      <c r="F1683" t="s">
        <v>612</v>
      </c>
      <c r="G1683" t="s">
        <v>3366</v>
      </c>
      <c r="H1683">
        <v>37525.4</v>
      </c>
      <c r="I1683">
        <v>3752.54</v>
      </c>
      <c r="J1683">
        <v>9271.2000000000007</v>
      </c>
      <c r="K1683">
        <v>927.12</v>
      </c>
      <c r="L1683">
        <v>28254.2</v>
      </c>
      <c r="M1683">
        <v>2825.42</v>
      </c>
      <c r="O1683" s="79">
        <f>IFERROR(VLOOKUP(D1683,'KAPANAN BLD.'!$C$2:$D$793,2,FALSE),0)</f>
        <v>0</v>
      </c>
      <c r="P1683" s="79">
        <v>0</v>
      </c>
    </row>
    <row r="1684" spans="1:16" x14ac:dyDescent="0.25">
      <c r="A1684" t="s">
        <v>32</v>
      </c>
      <c r="B1684" s="73" t="str">
        <f>VLOOKUP(C1684,'Büyükşehir List'!$C$2:$D$31,2,FALSE)</f>
        <v>KAYSERİ BÜYÜKŞEHİR</v>
      </c>
      <c r="C1684" t="s">
        <v>116</v>
      </c>
      <c r="D1684" s="73" t="str">
        <f t="shared" si="41"/>
        <v>KAYSERİ BÜYÜKŞEHİR/KAYSERİ</v>
      </c>
      <c r="E1684" t="s">
        <v>1875</v>
      </c>
      <c r="F1684" t="s">
        <v>1875</v>
      </c>
      <c r="G1684" t="s">
        <v>3367</v>
      </c>
      <c r="H1684">
        <v>3460.6</v>
      </c>
      <c r="I1684">
        <v>346.06</v>
      </c>
      <c r="J1684">
        <v>1010.8</v>
      </c>
      <c r="K1684">
        <v>101.08</v>
      </c>
      <c r="L1684">
        <v>2449.8000000000002</v>
      </c>
      <c r="M1684">
        <v>244.98</v>
      </c>
      <c r="O1684" s="79">
        <f>IFERROR(VLOOKUP(D1684,'KAPANAN BLD.'!$C$2:$D$793,2,FALSE),0)</f>
        <v>0</v>
      </c>
      <c r="P1684" s="79">
        <v>0</v>
      </c>
    </row>
    <row r="1685" spans="1:16" x14ac:dyDescent="0.25">
      <c r="A1685" t="s">
        <v>32</v>
      </c>
      <c r="B1685" s="73" t="str">
        <f>VLOOKUP(C1685,'Büyükşehir List'!$C$2:$D$31,2,FALSE)</f>
        <v>KAYSERİ BÜYÜKŞEHİR</v>
      </c>
      <c r="C1685" t="s">
        <v>116</v>
      </c>
      <c r="D1685" s="73" t="str">
        <f t="shared" si="41"/>
        <v>KAYSERİ BÜYÜKŞEHİR/KAYSERİ</v>
      </c>
      <c r="E1685" t="s">
        <v>1875</v>
      </c>
      <c r="F1685" t="s">
        <v>1875</v>
      </c>
      <c r="G1685" t="s">
        <v>3366</v>
      </c>
      <c r="H1685">
        <v>8944.7000000000007</v>
      </c>
      <c r="I1685">
        <v>894.47</v>
      </c>
      <c r="J1685">
        <v>806</v>
      </c>
      <c r="K1685">
        <v>80.599999999999994</v>
      </c>
      <c r="L1685">
        <v>8138.7</v>
      </c>
      <c r="M1685">
        <v>813.87</v>
      </c>
      <c r="O1685" s="79">
        <f>IFERROR(VLOOKUP(D1685,'KAPANAN BLD.'!$C$2:$D$793,2,FALSE),0)</f>
        <v>0</v>
      </c>
      <c r="P1685" s="79">
        <v>0</v>
      </c>
    </row>
    <row r="1686" spans="1:16" x14ac:dyDescent="0.25">
      <c r="A1686" t="s">
        <v>32</v>
      </c>
      <c r="B1686" s="73" t="str">
        <f>VLOOKUP(C1686,'Büyükşehir List'!$C$2:$D$31,2,FALSE)</f>
        <v>KAYSERİ BÜYÜKŞEHİR</v>
      </c>
      <c r="C1686" t="s">
        <v>116</v>
      </c>
      <c r="D1686" s="73" t="str">
        <f t="shared" si="41"/>
        <v>KAYSERİ BÜYÜKŞEHİR/KAYSERİ</v>
      </c>
      <c r="E1686" t="s">
        <v>4388</v>
      </c>
      <c r="F1686" t="s">
        <v>4388</v>
      </c>
      <c r="G1686" t="s">
        <v>3367</v>
      </c>
      <c r="H1686">
        <v>0</v>
      </c>
      <c r="I1686">
        <v>0</v>
      </c>
      <c r="J1686">
        <v>5.4</v>
      </c>
      <c r="K1686">
        <v>0.54</v>
      </c>
      <c r="L1686">
        <v>-5.4</v>
      </c>
      <c r="M1686">
        <v>-0.54</v>
      </c>
      <c r="O1686" s="79">
        <f>IFERROR(VLOOKUP(D1686,'KAPANAN BLD.'!$C$2:$D$793,2,FALSE),0)</f>
        <v>0</v>
      </c>
      <c r="P1686" s="79">
        <v>0</v>
      </c>
    </row>
    <row r="1687" spans="1:16" x14ac:dyDescent="0.25">
      <c r="A1687" t="s">
        <v>32</v>
      </c>
      <c r="B1687" s="73" t="str">
        <f>VLOOKUP(C1687,'Büyükşehir List'!$C$2:$D$31,2,FALSE)</f>
        <v>KAYSERİ BÜYÜKŞEHİR</v>
      </c>
      <c r="C1687" t="s">
        <v>116</v>
      </c>
      <c r="D1687" s="73" t="str">
        <f t="shared" si="41"/>
        <v>KAYSERİ BÜYÜKŞEHİR/KAYSERİ</v>
      </c>
      <c r="E1687" t="s">
        <v>4388</v>
      </c>
      <c r="F1687" t="s">
        <v>4388</v>
      </c>
      <c r="G1687" t="s">
        <v>3366</v>
      </c>
      <c r="H1687">
        <v>0</v>
      </c>
      <c r="I1687">
        <v>0</v>
      </c>
      <c r="J1687">
        <v>103.3</v>
      </c>
      <c r="K1687">
        <v>10.33</v>
      </c>
      <c r="L1687">
        <v>-103.3</v>
      </c>
      <c r="M1687">
        <v>-10.33</v>
      </c>
      <c r="O1687" s="79">
        <f>IFERROR(VLOOKUP(D1687,'KAPANAN BLD.'!$C$2:$D$793,2,FALSE),0)</f>
        <v>0</v>
      </c>
      <c r="P1687" s="79">
        <v>0</v>
      </c>
    </row>
    <row r="1688" spans="1:16" x14ac:dyDescent="0.25">
      <c r="A1688" t="s">
        <v>32</v>
      </c>
      <c r="B1688" s="73" t="str">
        <f>VLOOKUP(C1688,'Büyükşehir List'!$C$2:$D$31,2,FALSE)</f>
        <v>KAYSERİ BÜYÜKŞEHİR</v>
      </c>
      <c r="C1688" t="s">
        <v>116</v>
      </c>
      <c r="D1688" s="73" t="str">
        <f t="shared" si="41"/>
        <v>KAYSERİ BÜYÜKŞEHİR/KAYSERİ</v>
      </c>
      <c r="E1688" t="s">
        <v>452</v>
      </c>
      <c r="F1688" t="s">
        <v>452</v>
      </c>
      <c r="G1688" t="s">
        <v>3367</v>
      </c>
      <c r="H1688">
        <v>65</v>
      </c>
      <c r="I1688">
        <v>6.5</v>
      </c>
      <c r="J1688">
        <v>0</v>
      </c>
      <c r="K1688">
        <v>0</v>
      </c>
      <c r="L1688">
        <v>65</v>
      </c>
      <c r="M1688">
        <v>6.5</v>
      </c>
      <c r="O1688" s="79">
        <f>IFERROR(VLOOKUP(D1688,'KAPANAN BLD.'!$C$2:$D$793,2,FALSE),0)</f>
        <v>0</v>
      </c>
      <c r="P1688" s="79">
        <v>0</v>
      </c>
    </row>
    <row r="1689" spans="1:16" x14ac:dyDescent="0.25">
      <c r="A1689" t="s">
        <v>32</v>
      </c>
      <c r="B1689" s="73" t="str">
        <f>VLOOKUP(C1689,'Büyükşehir List'!$C$2:$D$31,2,FALSE)</f>
        <v>KAYSERİ BÜYÜKŞEHİR</v>
      </c>
      <c r="C1689" t="s">
        <v>116</v>
      </c>
      <c r="D1689" s="73" t="str">
        <f t="shared" si="41"/>
        <v>KAYSERİ BÜYÜKŞEHİR/KAYSERİ</v>
      </c>
      <c r="E1689" t="s">
        <v>452</v>
      </c>
      <c r="F1689" t="s">
        <v>452</v>
      </c>
      <c r="G1689" t="s">
        <v>3366</v>
      </c>
      <c r="H1689">
        <v>39.4</v>
      </c>
      <c r="I1689">
        <v>3.94</v>
      </c>
      <c r="J1689">
        <v>0</v>
      </c>
      <c r="K1689">
        <v>0</v>
      </c>
      <c r="L1689">
        <v>39.4</v>
      </c>
      <c r="M1689">
        <v>3.94</v>
      </c>
      <c r="O1689" s="79">
        <f>IFERROR(VLOOKUP(D1689,'KAPANAN BLD.'!$C$2:$D$793,2,FALSE),0)</f>
        <v>0</v>
      </c>
      <c r="P1689" s="79">
        <v>0</v>
      </c>
    </row>
    <row r="1690" spans="1:16" x14ac:dyDescent="0.25">
      <c r="A1690" t="s">
        <v>32</v>
      </c>
      <c r="B1690" s="73" t="str">
        <f>VLOOKUP(C1690,'Büyükşehir List'!$C$2:$D$31,2,FALSE)</f>
        <v>KAYSERİ BÜYÜKŞEHİR</v>
      </c>
      <c r="C1690" t="s">
        <v>116</v>
      </c>
      <c r="D1690" s="73" t="str">
        <f t="shared" si="41"/>
        <v>KAYSERİ BÜYÜKŞEHİR/KAYSERİ</v>
      </c>
      <c r="E1690" t="s">
        <v>4492</v>
      </c>
      <c r="F1690" t="s">
        <v>4492</v>
      </c>
      <c r="G1690" t="s">
        <v>3367</v>
      </c>
      <c r="H1690">
        <v>5.4</v>
      </c>
      <c r="I1690">
        <v>0.54</v>
      </c>
      <c r="J1690">
        <v>0</v>
      </c>
      <c r="K1690">
        <v>0</v>
      </c>
      <c r="L1690">
        <v>5.4</v>
      </c>
      <c r="M1690">
        <v>0.54</v>
      </c>
      <c r="O1690" s="79">
        <f>IFERROR(VLOOKUP(D1690,'KAPANAN BLD.'!$C$2:$D$793,2,FALSE),0)</f>
        <v>0</v>
      </c>
      <c r="P1690" s="79">
        <v>0</v>
      </c>
    </row>
    <row r="1691" spans="1:16" x14ac:dyDescent="0.25">
      <c r="A1691" t="s">
        <v>32</v>
      </c>
      <c r="B1691" s="73" t="str">
        <f>VLOOKUP(C1691,'Büyükşehir List'!$C$2:$D$31,2,FALSE)</f>
        <v>KAYSERİ BÜYÜKŞEHİR</v>
      </c>
      <c r="C1691" t="s">
        <v>116</v>
      </c>
      <c r="D1691" s="73" t="str">
        <f t="shared" si="41"/>
        <v>KAYSERİ BÜYÜKŞEHİR/KAYSERİ</v>
      </c>
      <c r="E1691" t="s">
        <v>4492</v>
      </c>
      <c r="F1691" t="s">
        <v>4492</v>
      </c>
      <c r="G1691" t="s">
        <v>3366</v>
      </c>
      <c r="H1691">
        <v>103.3</v>
      </c>
      <c r="I1691">
        <v>10.33</v>
      </c>
      <c r="J1691">
        <v>0</v>
      </c>
      <c r="K1691">
        <v>0</v>
      </c>
      <c r="L1691">
        <v>103.3</v>
      </c>
      <c r="M1691">
        <v>10.33</v>
      </c>
      <c r="O1691" s="79">
        <f>IFERROR(VLOOKUP(D1691,'KAPANAN BLD.'!$C$2:$D$793,2,FALSE),0)</f>
        <v>0</v>
      </c>
      <c r="P1691" s="79">
        <v>0</v>
      </c>
    </row>
    <row r="1692" spans="1:16" x14ac:dyDescent="0.25">
      <c r="A1692" t="s">
        <v>32</v>
      </c>
      <c r="B1692" s="73" t="str">
        <f>VLOOKUP(C1692,'Büyükşehir List'!$C$2:$D$31,2,FALSE)</f>
        <v>KAYSERİ BÜYÜKŞEHİR</v>
      </c>
      <c r="C1692" t="s">
        <v>116</v>
      </c>
      <c r="D1692" s="73" t="str">
        <f t="shared" si="41"/>
        <v>KAYSERİ BÜYÜKŞEHİR/KAYSERİ</v>
      </c>
      <c r="E1692" t="s">
        <v>4493</v>
      </c>
      <c r="F1692" t="s">
        <v>4493</v>
      </c>
      <c r="G1692" t="s">
        <v>3367</v>
      </c>
      <c r="H1692">
        <v>60.2</v>
      </c>
      <c r="I1692">
        <v>6.02</v>
      </c>
      <c r="J1692">
        <v>0</v>
      </c>
      <c r="K1692">
        <v>0</v>
      </c>
      <c r="L1692">
        <v>60.2</v>
      </c>
      <c r="M1692">
        <v>6.02</v>
      </c>
      <c r="O1692" s="79">
        <f>IFERROR(VLOOKUP(D1692,'KAPANAN BLD.'!$C$2:$D$793,2,FALSE),0)</f>
        <v>0</v>
      </c>
      <c r="P1692" s="79">
        <v>0</v>
      </c>
    </row>
    <row r="1693" spans="1:16" x14ac:dyDescent="0.25">
      <c r="A1693" t="s">
        <v>32</v>
      </c>
      <c r="B1693" s="73" t="str">
        <f>VLOOKUP(C1693,'Büyükşehir List'!$C$2:$D$31,2,FALSE)</f>
        <v>KAYSERİ BÜYÜKŞEHİR</v>
      </c>
      <c r="C1693" t="s">
        <v>116</v>
      </c>
      <c r="D1693" s="73" t="str">
        <f t="shared" si="41"/>
        <v>KAYSERİ BÜYÜKŞEHİR/KAYSERİ</v>
      </c>
      <c r="E1693" t="s">
        <v>4493</v>
      </c>
      <c r="F1693" t="s">
        <v>4493</v>
      </c>
      <c r="G1693" t="s">
        <v>3366</v>
      </c>
      <c r="H1693">
        <v>103.3</v>
      </c>
      <c r="I1693">
        <v>10.33</v>
      </c>
      <c r="J1693">
        <v>0</v>
      </c>
      <c r="K1693">
        <v>0</v>
      </c>
      <c r="L1693">
        <v>103.3</v>
      </c>
      <c r="M1693">
        <v>10.33</v>
      </c>
      <c r="O1693" s="79">
        <f>IFERROR(VLOOKUP(D1693,'KAPANAN BLD.'!$C$2:$D$793,2,FALSE),0)</f>
        <v>0</v>
      </c>
      <c r="P1693" s="79">
        <v>0</v>
      </c>
    </row>
    <row r="1694" spans="1:16" x14ac:dyDescent="0.25">
      <c r="A1694" t="s">
        <v>32</v>
      </c>
      <c r="B1694" s="73" t="str">
        <f>VLOOKUP(C1694,'Büyükşehir List'!$C$2:$D$31,2,FALSE)</f>
        <v>KAYSERİ BÜYÜKŞEHİR</v>
      </c>
      <c r="C1694" t="s">
        <v>116</v>
      </c>
      <c r="D1694" s="73" t="str">
        <f t="shared" si="41"/>
        <v>KAYSERİ BÜYÜKŞEHİR/KAYSERİ</v>
      </c>
      <c r="E1694" t="s">
        <v>613</v>
      </c>
      <c r="F1694" t="s">
        <v>613</v>
      </c>
      <c r="G1694" t="s">
        <v>3366</v>
      </c>
      <c r="H1694">
        <v>36.799999999999997</v>
      </c>
      <c r="I1694">
        <v>3.68</v>
      </c>
      <c r="J1694">
        <v>0</v>
      </c>
      <c r="K1694">
        <v>0</v>
      </c>
      <c r="L1694">
        <v>36.799999999999997</v>
      </c>
      <c r="M1694">
        <v>3.68</v>
      </c>
      <c r="O1694" s="79">
        <f>IFERROR(VLOOKUP(D1694,'KAPANAN BLD.'!$C$2:$D$793,2,FALSE),0)</f>
        <v>0</v>
      </c>
      <c r="P1694" s="79">
        <v>0</v>
      </c>
    </row>
    <row r="1695" spans="1:16" x14ac:dyDescent="0.25">
      <c r="A1695" t="s">
        <v>32</v>
      </c>
      <c r="B1695" s="73" t="str">
        <f>VLOOKUP(C1695,'Büyükşehir List'!$C$2:$D$31,2,FALSE)</f>
        <v>KAYSERİ BÜYÜKŞEHİR</v>
      </c>
      <c r="C1695" t="s">
        <v>116</v>
      </c>
      <c r="D1695" s="73" t="str">
        <f t="shared" si="41"/>
        <v>KAYSERİ BÜYÜKŞEHİR/KAYSERİ</v>
      </c>
      <c r="E1695" t="s">
        <v>613</v>
      </c>
      <c r="F1695" t="s">
        <v>613</v>
      </c>
      <c r="G1695" t="s">
        <v>3367</v>
      </c>
      <c r="H1695">
        <v>68.3</v>
      </c>
      <c r="I1695">
        <v>6.83</v>
      </c>
      <c r="J1695">
        <v>0</v>
      </c>
      <c r="K1695">
        <v>0</v>
      </c>
      <c r="L1695">
        <v>68.3</v>
      </c>
      <c r="M1695">
        <v>6.83</v>
      </c>
      <c r="O1695" s="79">
        <f>IFERROR(VLOOKUP(D1695,'KAPANAN BLD.'!$C$2:$D$793,2,FALSE),0)</f>
        <v>0</v>
      </c>
      <c r="P1695" s="79">
        <v>0</v>
      </c>
    </row>
    <row r="1696" spans="1:16" x14ac:dyDescent="0.25">
      <c r="A1696" t="s">
        <v>32</v>
      </c>
      <c r="B1696" s="73" t="str">
        <f>VLOOKUP(C1696,'Büyükşehir List'!$C$2:$D$31,2,FALSE)</f>
        <v>KAYSERİ BÜYÜKŞEHİR</v>
      </c>
      <c r="C1696" t="s">
        <v>116</v>
      </c>
      <c r="D1696" s="73" t="str">
        <f t="shared" si="41"/>
        <v>KAYSERİ BÜYÜKŞEHİR/KAYSERİ</v>
      </c>
      <c r="E1696" t="s">
        <v>3779</v>
      </c>
      <c r="F1696" t="s">
        <v>3779</v>
      </c>
      <c r="G1696" t="s">
        <v>3367</v>
      </c>
      <c r="H1696">
        <v>5666</v>
      </c>
      <c r="I1696">
        <v>566.6</v>
      </c>
      <c r="J1696">
        <v>20.399999999999999</v>
      </c>
      <c r="K1696">
        <v>2.04</v>
      </c>
      <c r="L1696">
        <v>5645.6</v>
      </c>
      <c r="M1696">
        <v>564.55999999999995</v>
      </c>
      <c r="O1696" s="79">
        <f>IFERROR(VLOOKUP(D1696,'KAPANAN BLD.'!$C$2:$D$793,2,FALSE),0)</f>
        <v>0</v>
      </c>
      <c r="P1696" s="79">
        <v>0</v>
      </c>
    </row>
    <row r="1697" spans="1:16" x14ac:dyDescent="0.25">
      <c r="A1697" t="s">
        <v>32</v>
      </c>
      <c r="B1697" s="73" t="str">
        <f>VLOOKUP(C1697,'Büyükşehir List'!$C$2:$D$31,2,FALSE)</f>
        <v>KAYSERİ BÜYÜKŞEHİR</v>
      </c>
      <c r="C1697" t="s">
        <v>116</v>
      </c>
      <c r="D1697" s="73" t="str">
        <f t="shared" si="41"/>
        <v>KAYSERİ BÜYÜKŞEHİR/KAYSERİ</v>
      </c>
      <c r="E1697" t="s">
        <v>3779</v>
      </c>
      <c r="F1697" t="s">
        <v>3779</v>
      </c>
      <c r="G1697" t="s">
        <v>3366</v>
      </c>
      <c r="H1697">
        <v>3755.2</v>
      </c>
      <c r="I1697">
        <v>375.52</v>
      </c>
      <c r="J1697">
        <v>554.20000000000005</v>
      </c>
      <c r="K1697">
        <v>55.42</v>
      </c>
      <c r="L1697">
        <v>3201</v>
      </c>
      <c r="M1697">
        <v>320.10000000000002</v>
      </c>
      <c r="O1697" s="79">
        <f>IFERROR(VLOOKUP(D1697,'KAPANAN BLD.'!$C$2:$D$793,2,FALSE),0)</f>
        <v>0</v>
      </c>
      <c r="P1697" s="79">
        <v>0</v>
      </c>
    </row>
    <row r="1698" spans="1:16" x14ac:dyDescent="0.25">
      <c r="A1698" t="s">
        <v>32</v>
      </c>
      <c r="B1698" s="73" t="str">
        <f>VLOOKUP(C1698,'Büyükşehir List'!$C$2:$D$31,2,FALSE)</f>
        <v>KAYSERİ BÜYÜKŞEHİR</v>
      </c>
      <c r="C1698" t="s">
        <v>116</v>
      </c>
      <c r="D1698" s="73" t="str">
        <f t="shared" si="41"/>
        <v>KAYSERİ BÜYÜKŞEHİR/KAYSERİ</v>
      </c>
      <c r="E1698" t="s">
        <v>4389</v>
      </c>
      <c r="F1698" t="s">
        <v>4389</v>
      </c>
      <c r="G1698" t="s">
        <v>3367</v>
      </c>
      <c r="H1698">
        <v>336.1</v>
      </c>
      <c r="I1698">
        <v>33.61</v>
      </c>
      <c r="J1698">
        <v>0</v>
      </c>
      <c r="K1698">
        <v>0</v>
      </c>
      <c r="L1698">
        <v>336.1</v>
      </c>
      <c r="M1698">
        <v>33.61</v>
      </c>
      <c r="O1698" s="79">
        <f>IFERROR(VLOOKUP(D1698,'KAPANAN BLD.'!$C$2:$D$793,2,FALSE),0)</f>
        <v>0</v>
      </c>
      <c r="P1698" s="79">
        <v>0</v>
      </c>
    </row>
    <row r="1699" spans="1:16" x14ac:dyDescent="0.25">
      <c r="A1699" t="s">
        <v>32</v>
      </c>
      <c r="B1699" s="73" t="str">
        <f>VLOOKUP(C1699,'Büyükşehir List'!$C$2:$D$31,2,FALSE)</f>
        <v>KAYSERİ BÜYÜKŞEHİR</v>
      </c>
      <c r="C1699" t="s">
        <v>116</v>
      </c>
      <c r="D1699" s="73" t="str">
        <f t="shared" si="41"/>
        <v>KAYSERİ BÜYÜKŞEHİR/KAYSERİ</v>
      </c>
      <c r="E1699" t="s">
        <v>4389</v>
      </c>
      <c r="F1699" t="s">
        <v>4389</v>
      </c>
      <c r="G1699" t="s">
        <v>3366</v>
      </c>
      <c r="H1699">
        <v>255.6</v>
      </c>
      <c r="I1699">
        <v>25.56</v>
      </c>
      <c r="J1699">
        <v>0</v>
      </c>
      <c r="K1699">
        <v>0</v>
      </c>
      <c r="L1699">
        <v>255.6</v>
      </c>
      <c r="M1699">
        <v>25.56</v>
      </c>
      <c r="O1699" s="79">
        <f>IFERROR(VLOOKUP(D1699,'KAPANAN BLD.'!$C$2:$D$793,2,FALSE),0)</f>
        <v>0</v>
      </c>
      <c r="P1699" s="79">
        <v>0</v>
      </c>
    </row>
    <row r="1700" spans="1:16" x14ac:dyDescent="0.25">
      <c r="A1700" t="s">
        <v>32</v>
      </c>
      <c r="B1700" s="73" t="str">
        <f>VLOOKUP(C1700,'Büyükşehir List'!$C$2:$D$31,2,FALSE)</f>
        <v>KAYSERİ BÜYÜKŞEHİR</v>
      </c>
      <c r="C1700" t="s">
        <v>116</v>
      </c>
      <c r="D1700" s="73" t="str">
        <f t="shared" si="41"/>
        <v>KAYSERİ BÜYÜKŞEHİR/KAYSERİ</v>
      </c>
      <c r="E1700" t="s">
        <v>3727</v>
      </c>
      <c r="F1700" t="s">
        <v>3727</v>
      </c>
      <c r="G1700" t="s">
        <v>3367</v>
      </c>
      <c r="H1700">
        <v>423.2</v>
      </c>
      <c r="I1700">
        <v>42.32</v>
      </c>
      <c r="J1700">
        <v>0</v>
      </c>
      <c r="K1700">
        <v>0</v>
      </c>
      <c r="L1700">
        <v>423.2</v>
      </c>
      <c r="M1700">
        <v>42.32</v>
      </c>
      <c r="O1700" s="79">
        <f>IFERROR(VLOOKUP(D1700,'KAPANAN BLD.'!$C$2:$D$793,2,FALSE),0)</f>
        <v>0</v>
      </c>
      <c r="P1700" s="79">
        <v>0</v>
      </c>
    </row>
    <row r="1701" spans="1:16" x14ac:dyDescent="0.25">
      <c r="A1701" t="s">
        <v>32</v>
      </c>
      <c r="B1701" s="73" t="str">
        <f>VLOOKUP(C1701,'Büyükşehir List'!$C$2:$D$31,2,FALSE)</f>
        <v>KAYSERİ BÜYÜKŞEHİR</v>
      </c>
      <c r="C1701" t="s">
        <v>116</v>
      </c>
      <c r="D1701" s="73" t="str">
        <f t="shared" si="41"/>
        <v>KAYSERİ BÜYÜKŞEHİR/KAYSERİ</v>
      </c>
      <c r="E1701" t="s">
        <v>3727</v>
      </c>
      <c r="F1701" t="s">
        <v>3727</v>
      </c>
      <c r="G1701" t="s">
        <v>3366</v>
      </c>
      <c r="H1701">
        <v>245.1</v>
      </c>
      <c r="I1701">
        <v>24.51</v>
      </c>
      <c r="J1701">
        <v>0</v>
      </c>
      <c r="K1701">
        <v>0</v>
      </c>
      <c r="L1701">
        <v>245.1</v>
      </c>
      <c r="M1701">
        <v>24.51</v>
      </c>
      <c r="O1701" s="79">
        <f>IFERROR(VLOOKUP(D1701,'KAPANAN BLD.'!$C$2:$D$793,2,FALSE),0)</f>
        <v>0</v>
      </c>
      <c r="P1701" s="79">
        <v>0</v>
      </c>
    </row>
    <row r="1702" spans="1:16" x14ac:dyDescent="0.25">
      <c r="A1702" t="s">
        <v>32</v>
      </c>
      <c r="B1702" s="73" t="str">
        <f>VLOOKUP(C1702,'Büyükşehir List'!$C$2:$D$31,2,FALSE)</f>
        <v>KAYSERİ BÜYÜKŞEHİR</v>
      </c>
      <c r="C1702" t="s">
        <v>116</v>
      </c>
      <c r="D1702" s="73" t="str">
        <f t="shared" si="41"/>
        <v>KAYSERİ BÜYÜKŞEHİR/KAYSERİ</v>
      </c>
      <c r="E1702" t="s">
        <v>1876</v>
      </c>
      <c r="F1702" t="s">
        <v>1876</v>
      </c>
      <c r="G1702" t="s">
        <v>3366</v>
      </c>
      <c r="H1702">
        <v>12995.1</v>
      </c>
      <c r="I1702">
        <v>1299.51</v>
      </c>
      <c r="J1702">
        <v>10729</v>
      </c>
      <c r="K1702">
        <v>1072.9000000000001</v>
      </c>
      <c r="L1702">
        <v>2266.1</v>
      </c>
      <c r="M1702">
        <v>226.61</v>
      </c>
      <c r="O1702" s="79">
        <f>IFERROR(VLOOKUP(D1702,'KAPANAN BLD.'!$C$2:$D$793,2,FALSE),0)</f>
        <v>0</v>
      </c>
      <c r="P1702" s="79">
        <v>0</v>
      </c>
    </row>
    <row r="1703" spans="1:16" x14ac:dyDescent="0.25">
      <c r="A1703" t="s">
        <v>32</v>
      </c>
      <c r="B1703" s="73" t="str">
        <f>VLOOKUP(C1703,'Büyükşehir List'!$C$2:$D$31,2,FALSE)</f>
        <v>KAYSERİ BÜYÜKŞEHİR</v>
      </c>
      <c r="C1703" t="s">
        <v>116</v>
      </c>
      <c r="D1703" s="73" t="str">
        <f t="shared" si="41"/>
        <v>KAYSERİ BÜYÜKŞEHİR/KAYSERİ</v>
      </c>
      <c r="E1703" t="s">
        <v>1876</v>
      </c>
      <c r="F1703" t="s">
        <v>1876</v>
      </c>
      <c r="G1703" t="s">
        <v>3367</v>
      </c>
      <c r="H1703">
        <v>2843.2</v>
      </c>
      <c r="I1703">
        <v>284.32</v>
      </c>
      <c r="J1703">
        <v>577.1</v>
      </c>
      <c r="K1703">
        <v>57.71</v>
      </c>
      <c r="L1703">
        <v>2266.1</v>
      </c>
      <c r="M1703">
        <v>226.61</v>
      </c>
      <c r="O1703" s="79">
        <f>IFERROR(VLOOKUP(D1703,'KAPANAN BLD.'!$C$2:$D$793,2,FALSE),0)</f>
        <v>0</v>
      </c>
      <c r="P1703" s="79">
        <v>0</v>
      </c>
    </row>
    <row r="1704" spans="1:16" x14ac:dyDescent="0.25">
      <c r="A1704" t="s">
        <v>32</v>
      </c>
      <c r="B1704" s="73" t="str">
        <f>VLOOKUP(C1704,'Büyükşehir List'!$C$2:$D$31,2,FALSE)</f>
        <v>KAYSERİ BÜYÜKŞEHİR</v>
      </c>
      <c r="C1704" t="s">
        <v>116</v>
      </c>
      <c r="D1704" s="73" t="str">
        <f t="shared" si="41"/>
        <v>KAYSERİ BÜYÜKŞEHİR/KAYSERİ</v>
      </c>
      <c r="E1704" t="s">
        <v>3780</v>
      </c>
      <c r="F1704" t="s">
        <v>3780</v>
      </c>
      <c r="G1704" t="s">
        <v>3367</v>
      </c>
      <c r="H1704">
        <v>10803.54</v>
      </c>
      <c r="I1704">
        <v>1080.3499999999999</v>
      </c>
      <c r="J1704">
        <v>2741.7</v>
      </c>
      <c r="K1704">
        <v>274.17</v>
      </c>
      <c r="L1704">
        <v>8061.84</v>
      </c>
      <c r="M1704">
        <v>806.18</v>
      </c>
      <c r="O1704" s="79">
        <f>IFERROR(VLOOKUP(D1704,'KAPANAN BLD.'!$C$2:$D$793,2,FALSE),0)</f>
        <v>0</v>
      </c>
      <c r="P1704" s="79">
        <v>0</v>
      </c>
    </row>
    <row r="1705" spans="1:16" x14ac:dyDescent="0.25">
      <c r="A1705" t="s">
        <v>32</v>
      </c>
      <c r="B1705" s="73" t="str">
        <f>VLOOKUP(C1705,'Büyükşehir List'!$C$2:$D$31,2,FALSE)</f>
        <v>KAYSERİ BÜYÜKŞEHİR</v>
      </c>
      <c r="C1705" t="s">
        <v>116</v>
      </c>
      <c r="D1705" s="73" t="str">
        <f t="shared" si="41"/>
        <v>KAYSERİ BÜYÜKŞEHİR/KAYSERİ</v>
      </c>
      <c r="E1705" t="s">
        <v>3780</v>
      </c>
      <c r="F1705" t="s">
        <v>3780</v>
      </c>
      <c r="G1705" t="s">
        <v>3366</v>
      </c>
      <c r="H1705">
        <v>18509.259999999998</v>
      </c>
      <c r="I1705">
        <v>1850.92</v>
      </c>
      <c r="J1705">
        <v>1457.4</v>
      </c>
      <c r="K1705">
        <v>145.74</v>
      </c>
      <c r="L1705">
        <v>17051.86</v>
      </c>
      <c r="M1705">
        <v>1705.18</v>
      </c>
      <c r="O1705" s="79">
        <f>IFERROR(VLOOKUP(D1705,'KAPANAN BLD.'!$C$2:$D$793,2,FALSE),0)</f>
        <v>0</v>
      </c>
      <c r="P1705" s="79">
        <v>0</v>
      </c>
    </row>
    <row r="1706" spans="1:16" x14ac:dyDescent="0.25">
      <c r="A1706" t="s">
        <v>32</v>
      </c>
      <c r="B1706" s="73" t="str">
        <f>VLOOKUP(C1706,'Büyükşehir List'!$C$2:$D$31,2,FALSE)</f>
        <v>KAYSERİ BÜYÜKŞEHİR</v>
      </c>
      <c r="C1706" t="s">
        <v>116</v>
      </c>
      <c r="D1706" s="73" t="str">
        <f t="shared" si="41"/>
        <v>KAYSERİ BÜYÜKŞEHİR/KAYSERİ</v>
      </c>
      <c r="E1706" t="s">
        <v>1876</v>
      </c>
      <c r="F1706" t="s">
        <v>1876</v>
      </c>
      <c r="G1706" t="s">
        <v>3367</v>
      </c>
      <c r="H1706">
        <v>1342.04</v>
      </c>
      <c r="I1706">
        <v>134.19999999999999</v>
      </c>
      <c r="J1706">
        <v>21.5</v>
      </c>
      <c r="K1706">
        <v>2.15</v>
      </c>
      <c r="L1706">
        <v>1320.54</v>
      </c>
      <c r="M1706">
        <v>132.05000000000001</v>
      </c>
      <c r="O1706" s="79">
        <f>IFERROR(VLOOKUP(D1706,'KAPANAN BLD.'!$C$2:$D$793,2,FALSE),0)</f>
        <v>0</v>
      </c>
      <c r="P1706" s="79">
        <v>0</v>
      </c>
    </row>
    <row r="1707" spans="1:16" x14ac:dyDescent="0.25">
      <c r="A1707" t="s">
        <v>32</v>
      </c>
      <c r="B1707" s="73" t="str">
        <f>VLOOKUP(C1707,'Büyükşehir List'!$C$2:$D$31,2,FALSE)</f>
        <v>KAYSERİ BÜYÜKŞEHİR</v>
      </c>
      <c r="C1707" t="s">
        <v>116</v>
      </c>
      <c r="D1707" s="73" t="str">
        <f t="shared" si="41"/>
        <v>KAYSERİ BÜYÜKŞEHİR/KAYSERİ</v>
      </c>
      <c r="E1707" t="s">
        <v>1876</v>
      </c>
      <c r="F1707" t="s">
        <v>1876</v>
      </c>
      <c r="G1707" t="s">
        <v>3366</v>
      </c>
      <c r="H1707">
        <v>19707.669999999998</v>
      </c>
      <c r="I1707">
        <v>1970.76</v>
      </c>
      <c r="J1707">
        <v>889.9</v>
      </c>
      <c r="K1707">
        <v>88.99</v>
      </c>
      <c r="L1707">
        <v>18817.77</v>
      </c>
      <c r="M1707">
        <v>1881.77</v>
      </c>
      <c r="O1707" s="79">
        <f>IFERROR(VLOOKUP(D1707,'KAPANAN BLD.'!$C$2:$D$793,2,FALSE),0)</f>
        <v>0</v>
      </c>
      <c r="P1707" s="79">
        <v>0</v>
      </c>
    </row>
    <row r="1708" spans="1:16" x14ac:dyDescent="0.25">
      <c r="A1708" t="s">
        <v>32</v>
      </c>
      <c r="B1708" s="73" t="str">
        <f>VLOOKUP(C1708,'Büyükşehir List'!$C$2:$D$31,2,FALSE)</f>
        <v>KAYSERİ BÜYÜKŞEHİR</v>
      </c>
      <c r="C1708" t="s">
        <v>116</v>
      </c>
      <c r="D1708" s="73" t="str">
        <f t="shared" si="41"/>
        <v>KAYSERİ BÜYÜKŞEHİR/KAYSERİ</v>
      </c>
      <c r="E1708" t="s">
        <v>3586</v>
      </c>
      <c r="F1708" t="s">
        <v>3586</v>
      </c>
      <c r="G1708" t="s">
        <v>3367</v>
      </c>
      <c r="H1708">
        <v>3.3</v>
      </c>
      <c r="I1708">
        <v>0.33</v>
      </c>
      <c r="J1708">
        <v>0</v>
      </c>
      <c r="K1708">
        <v>0</v>
      </c>
      <c r="L1708">
        <v>3.3</v>
      </c>
      <c r="M1708">
        <v>0.33</v>
      </c>
      <c r="O1708" s="79">
        <f>IFERROR(VLOOKUP(D1708,'KAPANAN BLD.'!$C$2:$D$793,2,FALSE),0)</f>
        <v>0</v>
      </c>
      <c r="P1708" s="79">
        <v>0</v>
      </c>
    </row>
    <row r="1709" spans="1:16" x14ac:dyDescent="0.25">
      <c r="A1709" t="s">
        <v>32</v>
      </c>
      <c r="B1709" s="73" t="str">
        <f>VLOOKUP(C1709,'Büyükşehir List'!$C$2:$D$31,2,FALSE)</f>
        <v>KAYSERİ BÜYÜKŞEHİR</v>
      </c>
      <c r="C1709" t="s">
        <v>116</v>
      </c>
      <c r="D1709" s="73" t="str">
        <f t="shared" si="41"/>
        <v>KAYSERİ BÜYÜKŞEHİR/KAYSERİ</v>
      </c>
      <c r="E1709" t="s">
        <v>3586</v>
      </c>
      <c r="F1709" t="s">
        <v>3586</v>
      </c>
      <c r="G1709" t="s">
        <v>3366</v>
      </c>
      <c r="H1709">
        <v>2.2000000000000002</v>
      </c>
      <c r="I1709">
        <v>0.22</v>
      </c>
      <c r="J1709">
        <v>0</v>
      </c>
      <c r="K1709">
        <v>0</v>
      </c>
      <c r="L1709">
        <v>2.2000000000000002</v>
      </c>
      <c r="M1709">
        <v>0.22</v>
      </c>
      <c r="O1709" s="79">
        <f>IFERROR(VLOOKUP(D1709,'KAPANAN BLD.'!$C$2:$D$793,2,FALSE),0)</f>
        <v>0</v>
      </c>
      <c r="P1709" s="79">
        <v>0</v>
      </c>
    </row>
    <row r="1710" spans="1:16" x14ac:dyDescent="0.25">
      <c r="A1710" t="s">
        <v>32</v>
      </c>
      <c r="B1710" s="73" t="str">
        <f>VLOOKUP(C1710,'Büyükşehir List'!$C$2:$D$31,2,FALSE)</f>
        <v>KAYSERİ BÜYÜKŞEHİR</v>
      </c>
      <c r="C1710" t="s">
        <v>116</v>
      </c>
      <c r="D1710" s="73" t="str">
        <f t="shared" si="41"/>
        <v>KAYSERİ BÜYÜKŞEHİR/KAYSERİ</v>
      </c>
      <c r="E1710" t="s">
        <v>4390</v>
      </c>
      <c r="F1710" t="s">
        <v>4390</v>
      </c>
      <c r="G1710" t="s">
        <v>3366</v>
      </c>
      <c r="H1710">
        <v>402.8</v>
      </c>
      <c r="I1710">
        <v>40.28</v>
      </c>
      <c r="J1710">
        <v>0</v>
      </c>
      <c r="K1710">
        <v>0</v>
      </c>
      <c r="L1710">
        <v>402.8</v>
      </c>
      <c r="M1710">
        <v>40.28</v>
      </c>
      <c r="O1710" s="79">
        <f>IFERROR(VLOOKUP(D1710,'KAPANAN BLD.'!$C$2:$D$793,2,FALSE),0)</f>
        <v>0</v>
      </c>
      <c r="P1710" s="79">
        <v>0</v>
      </c>
    </row>
    <row r="1711" spans="1:16" x14ac:dyDescent="0.25">
      <c r="A1711" t="s">
        <v>32</v>
      </c>
      <c r="B1711" s="73" t="str">
        <f>VLOOKUP(C1711,'Büyükşehir List'!$C$2:$D$31,2,FALSE)</f>
        <v>KAYSERİ BÜYÜKŞEHİR</v>
      </c>
      <c r="C1711" t="s">
        <v>116</v>
      </c>
      <c r="D1711" s="73" t="str">
        <f t="shared" si="41"/>
        <v>KAYSERİ BÜYÜKŞEHİR/KAYSERİ</v>
      </c>
      <c r="E1711" t="s">
        <v>4390</v>
      </c>
      <c r="F1711" t="s">
        <v>4390</v>
      </c>
      <c r="G1711" t="s">
        <v>3367</v>
      </c>
      <c r="H1711">
        <v>45</v>
      </c>
      <c r="I1711">
        <v>4.5</v>
      </c>
      <c r="J1711">
        <v>0</v>
      </c>
      <c r="K1711">
        <v>0</v>
      </c>
      <c r="L1711">
        <v>45</v>
      </c>
      <c r="M1711">
        <v>4.5</v>
      </c>
      <c r="O1711" s="79">
        <f>IFERROR(VLOOKUP(D1711,'KAPANAN BLD.'!$C$2:$D$793,2,FALSE),0)</f>
        <v>0</v>
      </c>
      <c r="P1711" s="79">
        <v>0</v>
      </c>
    </row>
    <row r="1712" spans="1:16" x14ac:dyDescent="0.25">
      <c r="A1712" t="s">
        <v>32</v>
      </c>
      <c r="B1712" s="73" t="str">
        <f>VLOOKUP(C1712,'Büyükşehir List'!$C$2:$D$31,2,FALSE)</f>
        <v>KAYSERİ BÜYÜKŞEHİR</v>
      </c>
      <c r="C1712" t="s">
        <v>116</v>
      </c>
      <c r="D1712" s="73" t="str">
        <f t="shared" si="41"/>
        <v>KAYSERİ BÜYÜKŞEHİR/KAYSERİ</v>
      </c>
      <c r="E1712" t="s">
        <v>4494</v>
      </c>
      <c r="F1712" t="s">
        <v>4494</v>
      </c>
      <c r="G1712" t="s">
        <v>3366</v>
      </c>
      <c r="H1712">
        <v>3.6</v>
      </c>
      <c r="I1712">
        <v>0.36</v>
      </c>
      <c r="J1712">
        <v>0</v>
      </c>
      <c r="K1712">
        <v>0</v>
      </c>
      <c r="L1712">
        <v>3.6</v>
      </c>
      <c r="M1712">
        <v>0.36</v>
      </c>
      <c r="O1712" s="79">
        <f>IFERROR(VLOOKUP(D1712,'KAPANAN BLD.'!$C$2:$D$793,2,FALSE),0)</f>
        <v>0</v>
      </c>
      <c r="P1712" s="79">
        <v>0</v>
      </c>
    </row>
    <row r="1713" spans="1:16" x14ac:dyDescent="0.25">
      <c r="A1713" t="s">
        <v>32</v>
      </c>
      <c r="B1713" s="73" t="str">
        <f>VLOOKUP(C1713,'Büyükşehir List'!$C$2:$D$31,2,FALSE)</f>
        <v>KAYSERİ BÜYÜKŞEHİR</v>
      </c>
      <c r="C1713" t="s">
        <v>116</v>
      </c>
      <c r="D1713" s="73" t="str">
        <f t="shared" si="41"/>
        <v>KAYSERİ BÜYÜKŞEHİR/KAYSERİ</v>
      </c>
      <c r="E1713" t="s">
        <v>4494</v>
      </c>
      <c r="F1713" t="s">
        <v>4494</v>
      </c>
      <c r="G1713" t="s">
        <v>3367</v>
      </c>
      <c r="H1713">
        <v>7.5</v>
      </c>
      <c r="I1713">
        <v>0.75</v>
      </c>
      <c r="J1713">
        <v>0</v>
      </c>
      <c r="K1713">
        <v>0</v>
      </c>
      <c r="L1713">
        <v>7.5</v>
      </c>
      <c r="M1713">
        <v>0.75</v>
      </c>
      <c r="O1713" s="79">
        <f>IFERROR(VLOOKUP(D1713,'KAPANAN BLD.'!$C$2:$D$793,2,FALSE),0)</f>
        <v>0</v>
      </c>
      <c r="P1713" s="79">
        <v>0</v>
      </c>
    </row>
    <row r="1714" spans="1:16" x14ac:dyDescent="0.25">
      <c r="A1714" t="s">
        <v>32</v>
      </c>
      <c r="B1714" s="73" t="str">
        <f>VLOOKUP(C1714,'Büyükşehir List'!$C$2:$D$31,2,FALSE)</f>
        <v>KAYSERİ BÜYÜKŞEHİR</v>
      </c>
      <c r="C1714" t="s">
        <v>116</v>
      </c>
      <c r="D1714" s="73" t="str">
        <f t="shared" si="41"/>
        <v>KAYSERİ BÜYÜKŞEHİR/KAYSERİ</v>
      </c>
      <c r="E1714" t="s">
        <v>1876</v>
      </c>
      <c r="F1714" t="s">
        <v>1876</v>
      </c>
      <c r="G1714" t="s">
        <v>3366</v>
      </c>
      <c r="H1714">
        <v>6273.1</v>
      </c>
      <c r="I1714">
        <v>627.30999999999995</v>
      </c>
      <c r="J1714">
        <v>879.9</v>
      </c>
      <c r="K1714">
        <v>87.99</v>
      </c>
      <c r="L1714">
        <v>5393.2</v>
      </c>
      <c r="M1714">
        <v>539.32000000000005</v>
      </c>
      <c r="O1714" s="79">
        <f>IFERROR(VLOOKUP(D1714,'KAPANAN BLD.'!$C$2:$D$793,2,FALSE),0)</f>
        <v>0</v>
      </c>
      <c r="P1714" s="79">
        <v>0</v>
      </c>
    </row>
    <row r="1715" spans="1:16" x14ac:dyDescent="0.25">
      <c r="A1715" t="s">
        <v>32</v>
      </c>
      <c r="B1715" s="73" t="str">
        <f>VLOOKUP(C1715,'Büyükşehir List'!$C$2:$D$31,2,FALSE)</f>
        <v>KAYSERİ BÜYÜKŞEHİR</v>
      </c>
      <c r="C1715" t="s">
        <v>116</v>
      </c>
      <c r="D1715" s="73" t="str">
        <f t="shared" si="41"/>
        <v>KAYSERİ BÜYÜKŞEHİR/KAYSERİ</v>
      </c>
      <c r="E1715" t="s">
        <v>1876</v>
      </c>
      <c r="F1715" t="s">
        <v>1876</v>
      </c>
      <c r="G1715" t="s">
        <v>3367</v>
      </c>
      <c r="H1715">
        <v>9844.7000000000007</v>
      </c>
      <c r="I1715">
        <v>984.47</v>
      </c>
      <c r="J1715">
        <v>1613.4</v>
      </c>
      <c r="K1715">
        <v>161.34</v>
      </c>
      <c r="L1715">
        <v>8231.2999999999993</v>
      </c>
      <c r="M1715">
        <v>823.13</v>
      </c>
      <c r="O1715" s="79">
        <f>IFERROR(VLOOKUP(D1715,'KAPANAN BLD.'!$C$2:$D$793,2,FALSE),0)</f>
        <v>0</v>
      </c>
      <c r="P1715" s="79">
        <v>0</v>
      </c>
    </row>
    <row r="1716" spans="1:16" x14ac:dyDescent="0.25">
      <c r="A1716" t="s">
        <v>32</v>
      </c>
      <c r="B1716" s="73" t="str">
        <f>VLOOKUP(C1716,'Büyükşehir List'!$C$2:$D$31,2,FALSE)</f>
        <v>KAYSERİ BÜYÜKŞEHİR</v>
      </c>
      <c r="C1716" t="s">
        <v>116</v>
      </c>
      <c r="D1716" s="73" t="str">
        <f t="shared" si="41"/>
        <v>KAYSERİ BÜYÜKŞEHİR/KAYSERİ</v>
      </c>
      <c r="E1716" t="s">
        <v>1876</v>
      </c>
      <c r="F1716" t="s">
        <v>1876</v>
      </c>
      <c r="G1716" t="s">
        <v>3366</v>
      </c>
      <c r="H1716">
        <v>8166.9</v>
      </c>
      <c r="I1716">
        <v>816.69</v>
      </c>
      <c r="J1716">
        <v>3048</v>
      </c>
      <c r="K1716">
        <v>304.8</v>
      </c>
      <c r="L1716">
        <v>5118.8999999999996</v>
      </c>
      <c r="M1716">
        <v>511.89</v>
      </c>
      <c r="O1716" s="79">
        <f>IFERROR(VLOOKUP(D1716,'KAPANAN BLD.'!$C$2:$D$793,2,FALSE),0)</f>
        <v>0</v>
      </c>
      <c r="P1716" s="79">
        <v>0</v>
      </c>
    </row>
    <row r="1717" spans="1:16" x14ac:dyDescent="0.25">
      <c r="A1717" t="s">
        <v>32</v>
      </c>
      <c r="B1717" s="73" t="str">
        <f>VLOOKUP(C1717,'Büyükşehir List'!$C$2:$D$31,2,FALSE)</f>
        <v>KAYSERİ BÜYÜKŞEHİR</v>
      </c>
      <c r="C1717" t="s">
        <v>116</v>
      </c>
      <c r="D1717" s="73" t="str">
        <f t="shared" si="41"/>
        <v>KAYSERİ BÜYÜKŞEHİR/KAYSERİ</v>
      </c>
      <c r="E1717" t="s">
        <v>1876</v>
      </c>
      <c r="F1717" t="s">
        <v>1876</v>
      </c>
      <c r="G1717" t="s">
        <v>3367</v>
      </c>
      <c r="H1717">
        <v>9549.1</v>
      </c>
      <c r="I1717">
        <v>954.91</v>
      </c>
      <c r="J1717">
        <v>1201.7</v>
      </c>
      <c r="K1717">
        <v>120.17</v>
      </c>
      <c r="L1717">
        <v>8347.4</v>
      </c>
      <c r="M1717">
        <v>834.74</v>
      </c>
      <c r="O1717" s="79">
        <f>IFERROR(VLOOKUP(D1717,'KAPANAN BLD.'!$C$2:$D$793,2,FALSE),0)</f>
        <v>0</v>
      </c>
      <c r="P1717" s="79">
        <v>0</v>
      </c>
    </row>
    <row r="1718" spans="1:16" x14ac:dyDescent="0.25">
      <c r="A1718" t="s">
        <v>32</v>
      </c>
      <c r="B1718" s="73" t="str">
        <f>VLOOKUP(C1718,'Büyükşehir List'!$C$2:$D$31,2,FALSE)</f>
        <v>KAYSERİ BÜYÜKŞEHİR</v>
      </c>
      <c r="C1718" t="s">
        <v>116</v>
      </c>
      <c r="D1718" s="73" t="str">
        <f t="shared" si="41"/>
        <v>KAYSERİ BÜYÜKŞEHİR/KAYSERİ</v>
      </c>
      <c r="E1718" t="s">
        <v>610</v>
      </c>
      <c r="F1718" t="s">
        <v>610</v>
      </c>
      <c r="G1718" t="s">
        <v>3367</v>
      </c>
      <c r="H1718">
        <v>0</v>
      </c>
      <c r="I1718">
        <v>0</v>
      </c>
      <c r="J1718">
        <v>104</v>
      </c>
      <c r="K1718">
        <v>10.4</v>
      </c>
      <c r="L1718">
        <v>-104</v>
      </c>
      <c r="M1718">
        <v>-10.4</v>
      </c>
      <c r="O1718" s="79">
        <f>IFERROR(VLOOKUP(D1718,'KAPANAN BLD.'!$C$2:$D$793,2,FALSE),0)</f>
        <v>0</v>
      </c>
      <c r="P1718" s="79">
        <v>0</v>
      </c>
    </row>
    <row r="1719" spans="1:16" x14ac:dyDescent="0.25">
      <c r="A1719" t="s">
        <v>32</v>
      </c>
      <c r="B1719" s="73" t="str">
        <f>VLOOKUP(C1719,'Büyükşehir List'!$C$2:$D$31,2,FALSE)</f>
        <v>KAYSERİ BÜYÜKŞEHİR</v>
      </c>
      <c r="C1719" t="s">
        <v>116</v>
      </c>
      <c r="D1719" s="73" t="str">
        <f t="shared" si="41"/>
        <v>KAYSERİ BÜYÜKŞEHİR/KAYSERİ</v>
      </c>
      <c r="E1719" t="s">
        <v>610</v>
      </c>
      <c r="F1719" t="s">
        <v>610</v>
      </c>
      <c r="G1719" t="s">
        <v>3366</v>
      </c>
      <c r="H1719">
        <v>0</v>
      </c>
      <c r="I1719">
        <v>0</v>
      </c>
      <c r="J1719">
        <v>93.3</v>
      </c>
      <c r="K1719">
        <v>9.33</v>
      </c>
      <c r="L1719">
        <v>-93.3</v>
      </c>
      <c r="M1719">
        <v>-9.33</v>
      </c>
      <c r="O1719" s="79">
        <f>IFERROR(VLOOKUP(D1719,'KAPANAN BLD.'!$C$2:$D$793,2,FALSE),0)</f>
        <v>0</v>
      </c>
      <c r="P1719" s="79">
        <v>0</v>
      </c>
    </row>
    <row r="1720" spans="1:16" x14ac:dyDescent="0.25">
      <c r="A1720" t="s">
        <v>32</v>
      </c>
      <c r="B1720" s="73" t="str">
        <f>VLOOKUP(C1720,'Büyükşehir List'!$C$2:$D$31,2,FALSE)</f>
        <v>KAYSERİ BÜYÜKŞEHİR</v>
      </c>
      <c r="C1720" t="s">
        <v>116</v>
      </c>
      <c r="D1720" s="73" t="str">
        <f t="shared" si="41"/>
        <v>KAYSERİ BÜYÜKŞEHİR/KAYSERİ</v>
      </c>
      <c r="E1720" t="s">
        <v>3959</v>
      </c>
      <c r="F1720" t="s">
        <v>3959</v>
      </c>
      <c r="G1720" t="s">
        <v>3367</v>
      </c>
      <c r="H1720">
        <v>782.8</v>
      </c>
      <c r="I1720">
        <v>78.28</v>
      </c>
      <c r="J1720">
        <v>0</v>
      </c>
      <c r="K1720">
        <v>0</v>
      </c>
      <c r="L1720">
        <v>782.8</v>
      </c>
      <c r="M1720">
        <v>78.28</v>
      </c>
      <c r="O1720" s="79">
        <f>IFERROR(VLOOKUP(D1720,'KAPANAN BLD.'!$C$2:$D$793,2,FALSE),0)</f>
        <v>0</v>
      </c>
      <c r="P1720" s="79">
        <v>0</v>
      </c>
    </row>
    <row r="1721" spans="1:16" x14ac:dyDescent="0.25">
      <c r="A1721" t="s">
        <v>32</v>
      </c>
      <c r="B1721" s="73" t="str">
        <f>VLOOKUP(C1721,'Büyükşehir List'!$C$2:$D$31,2,FALSE)</f>
        <v>KAYSERİ BÜYÜKŞEHİR</v>
      </c>
      <c r="C1721" t="s">
        <v>116</v>
      </c>
      <c r="D1721" s="73" t="str">
        <f t="shared" si="41"/>
        <v>KAYSERİ BÜYÜKŞEHİR/KAYSERİ</v>
      </c>
      <c r="E1721" t="s">
        <v>3959</v>
      </c>
      <c r="F1721" t="s">
        <v>3959</v>
      </c>
      <c r="G1721" t="s">
        <v>3366</v>
      </c>
      <c r="H1721">
        <v>1017</v>
      </c>
      <c r="I1721">
        <v>101.7</v>
      </c>
      <c r="J1721">
        <v>0</v>
      </c>
      <c r="K1721">
        <v>0</v>
      </c>
      <c r="L1721">
        <v>1017</v>
      </c>
      <c r="M1721">
        <v>101.7</v>
      </c>
      <c r="O1721" s="79">
        <f>IFERROR(VLOOKUP(D1721,'KAPANAN BLD.'!$C$2:$D$793,2,FALSE),0)</f>
        <v>0</v>
      </c>
      <c r="P1721" s="79">
        <v>0</v>
      </c>
    </row>
    <row r="1722" spans="1:16" x14ac:dyDescent="0.25">
      <c r="A1722" t="s">
        <v>32</v>
      </c>
      <c r="B1722" s="73" t="str">
        <f>VLOOKUP(C1722,'Büyükşehir List'!$C$2:$D$31,2,FALSE)</f>
        <v>KAYSERİ BÜYÜKŞEHİR</v>
      </c>
      <c r="C1722" t="s">
        <v>116</v>
      </c>
      <c r="D1722" s="73" t="str">
        <f t="shared" si="41"/>
        <v>KAYSERİ BÜYÜKŞEHİR/KAYSERİ</v>
      </c>
      <c r="E1722" t="s">
        <v>3781</v>
      </c>
      <c r="F1722" t="s">
        <v>3781</v>
      </c>
      <c r="G1722" t="s">
        <v>3367</v>
      </c>
      <c r="H1722">
        <v>209.5</v>
      </c>
      <c r="I1722">
        <v>20.95</v>
      </c>
      <c r="J1722">
        <v>0</v>
      </c>
      <c r="K1722">
        <v>0</v>
      </c>
      <c r="L1722">
        <v>209.5</v>
      </c>
      <c r="M1722">
        <v>20.95</v>
      </c>
      <c r="O1722" s="79">
        <f>IFERROR(VLOOKUP(D1722,'KAPANAN BLD.'!$C$2:$D$793,2,FALSE),0)</f>
        <v>0</v>
      </c>
      <c r="P1722" s="79">
        <v>0</v>
      </c>
    </row>
    <row r="1723" spans="1:16" x14ac:dyDescent="0.25">
      <c r="A1723" t="s">
        <v>32</v>
      </c>
      <c r="B1723" s="73" t="str">
        <f>VLOOKUP(C1723,'Büyükşehir List'!$C$2:$D$31,2,FALSE)</f>
        <v>KAYSERİ BÜYÜKŞEHİR</v>
      </c>
      <c r="C1723" t="s">
        <v>116</v>
      </c>
      <c r="D1723" s="73" t="str">
        <f t="shared" si="41"/>
        <v>KAYSERİ BÜYÜKŞEHİR/KAYSERİ</v>
      </c>
      <c r="E1723" t="s">
        <v>3781</v>
      </c>
      <c r="F1723" t="s">
        <v>3781</v>
      </c>
      <c r="G1723" t="s">
        <v>3366</v>
      </c>
      <c r="H1723">
        <v>165.3</v>
      </c>
      <c r="I1723">
        <v>16.53</v>
      </c>
      <c r="J1723">
        <v>0</v>
      </c>
      <c r="K1723">
        <v>0</v>
      </c>
      <c r="L1723">
        <v>165.3</v>
      </c>
      <c r="M1723">
        <v>16.53</v>
      </c>
      <c r="O1723" s="79">
        <f>IFERROR(VLOOKUP(D1723,'KAPANAN BLD.'!$C$2:$D$793,2,FALSE),0)</f>
        <v>0</v>
      </c>
      <c r="P1723" s="79">
        <v>0</v>
      </c>
    </row>
    <row r="1724" spans="1:16" x14ac:dyDescent="0.25">
      <c r="A1724" t="s">
        <v>32</v>
      </c>
      <c r="B1724" s="73" t="str">
        <f>VLOOKUP(C1724,'Büyükşehir List'!$C$2:$D$31,2,FALSE)</f>
        <v>KAYSERİ BÜYÜKŞEHİR</v>
      </c>
      <c r="C1724" t="s">
        <v>116</v>
      </c>
      <c r="D1724" s="73" t="str">
        <f t="shared" si="41"/>
        <v>KAYSERİ BÜYÜKŞEHİR/KAYSERİ</v>
      </c>
      <c r="E1724" t="s">
        <v>1876</v>
      </c>
      <c r="F1724" t="s">
        <v>1876</v>
      </c>
      <c r="G1724" t="s">
        <v>3367</v>
      </c>
      <c r="H1724">
        <v>13035.1</v>
      </c>
      <c r="I1724">
        <v>1303.51</v>
      </c>
      <c r="J1724">
        <v>427.7</v>
      </c>
      <c r="K1724">
        <v>42.77</v>
      </c>
      <c r="L1724">
        <v>12607.4</v>
      </c>
      <c r="M1724">
        <v>1260.74</v>
      </c>
      <c r="O1724" s="79">
        <f>IFERROR(VLOOKUP(D1724,'KAPANAN BLD.'!$C$2:$D$793,2,FALSE),0)</f>
        <v>0</v>
      </c>
      <c r="P1724" s="79">
        <v>0</v>
      </c>
    </row>
    <row r="1725" spans="1:16" x14ac:dyDescent="0.25">
      <c r="A1725" t="s">
        <v>32</v>
      </c>
      <c r="B1725" s="73" t="str">
        <f>VLOOKUP(C1725,'Büyükşehir List'!$C$2:$D$31,2,FALSE)</f>
        <v>KAYSERİ BÜYÜKŞEHİR</v>
      </c>
      <c r="C1725" t="s">
        <v>116</v>
      </c>
      <c r="D1725" s="73" t="str">
        <f t="shared" si="41"/>
        <v>KAYSERİ BÜYÜKŞEHİR/KAYSERİ</v>
      </c>
      <c r="E1725" t="s">
        <v>1876</v>
      </c>
      <c r="F1725" t="s">
        <v>1876</v>
      </c>
      <c r="G1725" t="s">
        <v>3366</v>
      </c>
      <c r="H1725">
        <v>6710.4</v>
      </c>
      <c r="I1725">
        <v>671.04</v>
      </c>
      <c r="J1725">
        <v>141.69999999999999</v>
      </c>
      <c r="K1725">
        <v>14.17</v>
      </c>
      <c r="L1725">
        <v>6568.7</v>
      </c>
      <c r="M1725">
        <v>656.87</v>
      </c>
      <c r="O1725" s="79">
        <f>IFERROR(VLOOKUP(D1725,'KAPANAN BLD.'!$C$2:$D$793,2,FALSE),0)</f>
        <v>0</v>
      </c>
      <c r="P1725" s="79">
        <v>0</v>
      </c>
    </row>
    <row r="1726" spans="1:16" x14ac:dyDescent="0.25">
      <c r="A1726" t="s">
        <v>32</v>
      </c>
      <c r="B1726" s="73" t="str">
        <f>VLOOKUP(C1726,'Büyükşehir List'!$C$2:$D$31,2,FALSE)</f>
        <v>KAYSERİ BÜYÜKŞEHİR</v>
      </c>
      <c r="C1726" t="s">
        <v>116</v>
      </c>
      <c r="D1726" s="73" t="str">
        <f t="shared" si="41"/>
        <v>KAYSERİ BÜYÜKŞEHİR/KAYSERİ</v>
      </c>
      <c r="E1726" t="s">
        <v>618</v>
      </c>
      <c r="F1726" t="s">
        <v>618</v>
      </c>
      <c r="G1726" t="s">
        <v>3367</v>
      </c>
      <c r="H1726">
        <v>204.7</v>
      </c>
      <c r="I1726">
        <v>20.47</v>
      </c>
      <c r="J1726">
        <v>0</v>
      </c>
      <c r="K1726">
        <v>0</v>
      </c>
      <c r="L1726">
        <v>204.7</v>
      </c>
      <c r="M1726">
        <v>20.47</v>
      </c>
      <c r="O1726" s="79">
        <f>IFERROR(VLOOKUP(D1726,'KAPANAN BLD.'!$C$2:$D$793,2,FALSE),0)</f>
        <v>0</v>
      </c>
      <c r="P1726" s="79">
        <v>0</v>
      </c>
    </row>
    <row r="1727" spans="1:16" x14ac:dyDescent="0.25">
      <c r="A1727" t="s">
        <v>32</v>
      </c>
      <c r="B1727" s="73" t="str">
        <f>VLOOKUP(C1727,'Büyükşehir List'!$C$2:$D$31,2,FALSE)</f>
        <v>KAYSERİ BÜYÜKŞEHİR</v>
      </c>
      <c r="C1727" t="s">
        <v>116</v>
      </c>
      <c r="D1727" s="73" t="str">
        <f t="shared" si="41"/>
        <v>KAYSERİ BÜYÜKŞEHİR/KAYSERİ</v>
      </c>
      <c r="E1727" t="s">
        <v>3782</v>
      </c>
      <c r="F1727" t="s">
        <v>3782</v>
      </c>
      <c r="G1727" t="s">
        <v>3367</v>
      </c>
      <c r="H1727">
        <v>9249.1</v>
      </c>
      <c r="I1727">
        <v>924.91</v>
      </c>
      <c r="J1727">
        <v>308.60000000000002</v>
      </c>
      <c r="K1727">
        <v>30.86</v>
      </c>
      <c r="L1727">
        <v>8940.5</v>
      </c>
      <c r="M1727">
        <v>894.05</v>
      </c>
      <c r="O1727" s="79">
        <f>IFERROR(VLOOKUP(D1727,'KAPANAN BLD.'!$C$2:$D$793,2,FALSE),0)</f>
        <v>0</v>
      </c>
      <c r="P1727" s="79">
        <v>0</v>
      </c>
    </row>
    <row r="1728" spans="1:16" x14ac:dyDescent="0.25">
      <c r="A1728" t="s">
        <v>32</v>
      </c>
      <c r="B1728" s="73" t="str">
        <f>VLOOKUP(C1728,'Büyükşehir List'!$C$2:$D$31,2,FALSE)</f>
        <v>KAYSERİ BÜYÜKŞEHİR</v>
      </c>
      <c r="C1728" t="s">
        <v>116</v>
      </c>
      <c r="D1728" s="73" t="str">
        <f t="shared" si="41"/>
        <v>KAYSERİ BÜYÜKŞEHİR/KAYSERİ</v>
      </c>
      <c r="E1728" t="s">
        <v>3782</v>
      </c>
      <c r="F1728" t="s">
        <v>3782</v>
      </c>
      <c r="G1728" t="s">
        <v>3366</v>
      </c>
      <c r="H1728">
        <v>13321.2</v>
      </c>
      <c r="I1728">
        <v>1332.12</v>
      </c>
      <c r="J1728">
        <v>44.6</v>
      </c>
      <c r="K1728">
        <v>4.46</v>
      </c>
      <c r="L1728">
        <v>13276.6</v>
      </c>
      <c r="M1728">
        <v>1327.66</v>
      </c>
      <c r="O1728" s="79">
        <f>IFERROR(VLOOKUP(D1728,'KAPANAN BLD.'!$C$2:$D$793,2,FALSE),0)</f>
        <v>0</v>
      </c>
      <c r="P1728" s="79">
        <v>0</v>
      </c>
    </row>
    <row r="1729" spans="1:16" x14ac:dyDescent="0.25">
      <c r="A1729" t="s">
        <v>32</v>
      </c>
      <c r="B1729" s="73" t="str">
        <f>VLOOKUP(C1729,'Büyükşehir List'!$C$2:$D$31,2,FALSE)</f>
        <v>KAYSERİ BÜYÜKŞEHİR</v>
      </c>
      <c r="C1729" t="s">
        <v>116</v>
      </c>
      <c r="D1729" s="73" t="str">
        <f t="shared" si="41"/>
        <v>KAYSERİ BÜYÜKŞEHİR/KAYSERİ</v>
      </c>
      <c r="E1729" t="s">
        <v>453</v>
      </c>
      <c r="F1729" t="s">
        <v>453</v>
      </c>
      <c r="G1729" t="s">
        <v>3367</v>
      </c>
      <c r="H1729">
        <v>265.39999999999998</v>
      </c>
      <c r="I1729">
        <v>26.54</v>
      </c>
      <c r="J1729">
        <v>0</v>
      </c>
      <c r="K1729">
        <v>0</v>
      </c>
      <c r="L1729">
        <v>265.39999999999998</v>
      </c>
      <c r="M1729">
        <v>26.54</v>
      </c>
      <c r="O1729" s="79">
        <f>IFERROR(VLOOKUP(D1729,'KAPANAN BLD.'!$C$2:$D$793,2,FALSE),0)</f>
        <v>0</v>
      </c>
      <c r="P1729" s="79">
        <v>0</v>
      </c>
    </row>
    <row r="1730" spans="1:16" x14ac:dyDescent="0.25">
      <c r="A1730" t="s">
        <v>32</v>
      </c>
      <c r="B1730" s="73" t="str">
        <f>VLOOKUP(C1730,'Büyükşehir List'!$C$2:$D$31,2,FALSE)</f>
        <v>KAYSERİ BÜYÜKŞEHİR</v>
      </c>
      <c r="C1730" t="s">
        <v>116</v>
      </c>
      <c r="D1730" s="73" t="str">
        <f t="shared" si="41"/>
        <v>KAYSERİ BÜYÜKŞEHİR/KAYSERİ</v>
      </c>
      <c r="E1730" t="s">
        <v>453</v>
      </c>
      <c r="F1730" t="s">
        <v>453</v>
      </c>
      <c r="G1730" t="s">
        <v>3366</v>
      </c>
      <c r="H1730">
        <v>1577</v>
      </c>
      <c r="I1730">
        <v>157.69999999999999</v>
      </c>
      <c r="J1730">
        <v>0</v>
      </c>
      <c r="K1730">
        <v>0</v>
      </c>
      <c r="L1730">
        <v>1577</v>
      </c>
      <c r="M1730">
        <v>157.69999999999999</v>
      </c>
      <c r="O1730" s="79">
        <f>IFERROR(VLOOKUP(D1730,'KAPANAN BLD.'!$C$2:$D$793,2,FALSE),0)</f>
        <v>0</v>
      </c>
      <c r="P1730" s="79">
        <v>0</v>
      </c>
    </row>
    <row r="1731" spans="1:16" x14ac:dyDescent="0.25">
      <c r="A1731" t="s">
        <v>32</v>
      </c>
      <c r="B1731" s="73" t="str">
        <f>VLOOKUP(C1731,'Büyükşehir List'!$C$2:$D$31,2,FALSE)</f>
        <v>KAYSERİ BÜYÜKŞEHİR</v>
      </c>
      <c r="C1731" t="s">
        <v>116</v>
      </c>
      <c r="D1731" s="73" t="str">
        <f t="shared" ref="D1731:D1794" si="42">CONCATENATE(B1731,"/",C1731)</f>
        <v>KAYSERİ BÜYÜKŞEHİR/KAYSERİ</v>
      </c>
      <c r="E1731" t="s">
        <v>384</v>
      </c>
      <c r="F1731" t="s">
        <v>384</v>
      </c>
      <c r="G1731" t="s">
        <v>3367</v>
      </c>
      <c r="H1731">
        <v>207.7</v>
      </c>
      <c r="I1731">
        <v>20.77</v>
      </c>
      <c r="J1731">
        <v>0</v>
      </c>
      <c r="K1731">
        <v>0</v>
      </c>
      <c r="L1731">
        <v>207.7</v>
      </c>
      <c r="M1731">
        <v>20.77</v>
      </c>
      <c r="O1731" s="79">
        <f>IFERROR(VLOOKUP(D1731,'KAPANAN BLD.'!$C$2:$D$793,2,FALSE),0)</f>
        <v>0</v>
      </c>
      <c r="P1731" s="79">
        <v>0</v>
      </c>
    </row>
    <row r="1732" spans="1:16" x14ac:dyDescent="0.25">
      <c r="A1732" t="s">
        <v>32</v>
      </c>
      <c r="B1732" s="73" t="str">
        <f>VLOOKUP(C1732,'Büyükşehir List'!$C$2:$D$31,2,FALSE)</f>
        <v>KAYSERİ BÜYÜKŞEHİR</v>
      </c>
      <c r="C1732" t="s">
        <v>116</v>
      </c>
      <c r="D1732" s="73" t="str">
        <f t="shared" si="42"/>
        <v>KAYSERİ BÜYÜKŞEHİR/KAYSERİ</v>
      </c>
      <c r="E1732" t="s">
        <v>384</v>
      </c>
      <c r="F1732" t="s">
        <v>384</v>
      </c>
      <c r="G1732" t="s">
        <v>3366</v>
      </c>
      <c r="H1732">
        <v>111.1</v>
      </c>
      <c r="I1732">
        <v>11.11</v>
      </c>
      <c r="J1732">
        <v>0</v>
      </c>
      <c r="K1732">
        <v>0</v>
      </c>
      <c r="L1732">
        <v>111.1</v>
      </c>
      <c r="M1732">
        <v>11.11</v>
      </c>
      <c r="O1732" s="79">
        <f>IFERROR(VLOOKUP(D1732,'KAPANAN BLD.'!$C$2:$D$793,2,FALSE),0)</f>
        <v>0</v>
      </c>
      <c r="P1732" s="79">
        <v>0</v>
      </c>
    </row>
    <row r="1733" spans="1:16" x14ac:dyDescent="0.25">
      <c r="A1733" t="s">
        <v>32</v>
      </c>
      <c r="B1733" s="73" t="str">
        <f t="shared" ref="B1733:B1796" si="43">F1733</f>
        <v>DELİCE</v>
      </c>
      <c r="C1733" t="s">
        <v>8</v>
      </c>
      <c r="D1733" s="73" t="str">
        <f t="shared" si="42"/>
        <v>DELİCE/KIRIKKALE</v>
      </c>
      <c r="E1733" t="s">
        <v>2323</v>
      </c>
      <c r="F1733" t="s">
        <v>2323</v>
      </c>
      <c r="G1733" t="s">
        <v>3367</v>
      </c>
      <c r="H1733">
        <v>45</v>
      </c>
      <c r="I1733">
        <v>4.5</v>
      </c>
      <c r="J1733">
        <v>0</v>
      </c>
      <c r="K1733">
        <v>0</v>
      </c>
      <c r="L1733">
        <v>45</v>
      </c>
      <c r="M1733">
        <v>4.5</v>
      </c>
      <c r="O1733" s="79">
        <f>IFERROR(VLOOKUP(D1733,'KAPANAN BLD.'!$C$2:$D$793,2,FALSE),0)</f>
        <v>0</v>
      </c>
      <c r="P1733" s="79">
        <v>0</v>
      </c>
    </row>
    <row r="1734" spans="1:16" x14ac:dyDescent="0.25">
      <c r="A1734" t="s">
        <v>32</v>
      </c>
      <c r="B1734" s="73" t="str">
        <f t="shared" si="43"/>
        <v>DELİCE</v>
      </c>
      <c r="C1734" t="s">
        <v>8</v>
      </c>
      <c r="D1734" s="73" t="str">
        <f t="shared" si="42"/>
        <v>DELİCE/KIRIKKALE</v>
      </c>
      <c r="E1734" t="s">
        <v>2323</v>
      </c>
      <c r="F1734" t="s">
        <v>2323</v>
      </c>
      <c r="G1734" t="s">
        <v>3366</v>
      </c>
      <c r="H1734">
        <v>402.8</v>
      </c>
      <c r="I1734">
        <v>40.28</v>
      </c>
      <c r="J1734">
        <v>0</v>
      </c>
      <c r="K1734">
        <v>0</v>
      </c>
      <c r="L1734">
        <v>402.8</v>
      </c>
      <c r="M1734">
        <v>40.28</v>
      </c>
      <c r="O1734" s="79">
        <f>IFERROR(VLOOKUP(D1734,'KAPANAN BLD.'!$C$2:$D$793,2,FALSE),0)</f>
        <v>0</v>
      </c>
      <c r="P1734" s="79">
        <v>0</v>
      </c>
    </row>
    <row r="1735" spans="1:16" x14ac:dyDescent="0.25">
      <c r="A1735" t="s">
        <v>32</v>
      </c>
      <c r="B1735" s="73" t="str">
        <f t="shared" si="43"/>
        <v>SULAKYURT</v>
      </c>
      <c r="C1735" t="s">
        <v>8</v>
      </c>
      <c r="D1735" s="73" t="str">
        <f t="shared" si="42"/>
        <v>SULAKYURT/KIRIKKALE</v>
      </c>
      <c r="E1735" s="9" t="s">
        <v>2257</v>
      </c>
      <c r="F1735" s="9" t="s">
        <v>2257</v>
      </c>
      <c r="G1735" t="s">
        <v>3366</v>
      </c>
      <c r="H1735">
        <v>103.3</v>
      </c>
      <c r="I1735">
        <v>10.33</v>
      </c>
      <c r="J1735">
        <v>0</v>
      </c>
      <c r="K1735">
        <v>0</v>
      </c>
      <c r="L1735">
        <v>103.3</v>
      </c>
      <c r="M1735">
        <v>10.33</v>
      </c>
      <c r="O1735" s="79">
        <f>IFERROR(VLOOKUP(D1735,'KAPANAN BLD.'!$C$2:$D$793,2,FALSE),0)</f>
        <v>0</v>
      </c>
      <c r="P1735" s="79">
        <v>0</v>
      </c>
    </row>
    <row r="1736" spans="1:16" x14ac:dyDescent="0.25">
      <c r="A1736" t="s">
        <v>32</v>
      </c>
      <c r="B1736" s="73" t="str">
        <f t="shared" si="43"/>
        <v>SULAKYURT</v>
      </c>
      <c r="C1736" t="s">
        <v>8</v>
      </c>
      <c r="D1736" s="73" t="str">
        <f t="shared" si="42"/>
        <v>SULAKYURT/KIRIKKALE</v>
      </c>
      <c r="E1736" s="9" t="s">
        <v>2257</v>
      </c>
      <c r="F1736" s="9" t="s">
        <v>2257</v>
      </c>
      <c r="G1736" t="s">
        <v>3367</v>
      </c>
      <c r="H1736">
        <v>5.4</v>
      </c>
      <c r="I1736">
        <v>0.54</v>
      </c>
      <c r="J1736">
        <v>0</v>
      </c>
      <c r="K1736">
        <v>0</v>
      </c>
      <c r="L1736">
        <v>5.4</v>
      </c>
      <c r="M1736">
        <v>0.54</v>
      </c>
      <c r="O1736" s="79">
        <f>IFERROR(VLOOKUP(D1736,'KAPANAN BLD.'!$C$2:$D$793,2,FALSE),0)</f>
        <v>0</v>
      </c>
      <c r="P1736" s="79">
        <v>0</v>
      </c>
    </row>
    <row r="1737" spans="1:16" x14ac:dyDescent="0.25">
      <c r="A1737" t="s">
        <v>32</v>
      </c>
      <c r="B1737" s="73" t="str">
        <f t="shared" si="43"/>
        <v>YAHŞİHAN</v>
      </c>
      <c r="C1737" t="s">
        <v>8</v>
      </c>
      <c r="D1737" s="73" t="str">
        <f t="shared" si="42"/>
        <v>YAHŞİHAN/KIRIKKALE</v>
      </c>
      <c r="E1737" s="9" t="s">
        <v>369</v>
      </c>
      <c r="F1737" s="9" t="s">
        <v>369</v>
      </c>
      <c r="G1737" t="s">
        <v>3367</v>
      </c>
      <c r="H1737">
        <v>1055.5</v>
      </c>
      <c r="I1737">
        <v>105.55</v>
      </c>
      <c r="J1737">
        <v>310.89999999999998</v>
      </c>
      <c r="K1737">
        <v>31.09</v>
      </c>
      <c r="L1737">
        <v>744.6</v>
      </c>
      <c r="M1737">
        <v>74.459999999999994</v>
      </c>
      <c r="O1737" s="79">
        <f>IFERROR(VLOOKUP(D1737,'KAPANAN BLD.'!$C$2:$D$793,2,FALSE),0)</f>
        <v>0</v>
      </c>
      <c r="P1737" s="79">
        <v>0</v>
      </c>
    </row>
    <row r="1738" spans="1:16" x14ac:dyDescent="0.25">
      <c r="A1738" t="s">
        <v>32</v>
      </c>
      <c r="B1738" s="73" t="str">
        <f t="shared" si="43"/>
        <v>YAHŞİHAN</v>
      </c>
      <c r="C1738" t="s">
        <v>8</v>
      </c>
      <c r="D1738" s="73" t="str">
        <f t="shared" si="42"/>
        <v>YAHŞİHAN/KIRIKKALE</v>
      </c>
      <c r="E1738" s="9" t="s">
        <v>369</v>
      </c>
      <c r="F1738" s="9" t="s">
        <v>369</v>
      </c>
      <c r="G1738" t="s">
        <v>3366</v>
      </c>
      <c r="H1738">
        <v>888.5</v>
      </c>
      <c r="I1738">
        <v>88.85</v>
      </c>
      <c r="J1738">
        <v>540.20000000000005</v>
      </c>
      <c r="K1738">
        <v>54.02</v>
      </c>
      <c r="L1738">
        <v>348.3</v>
      </c>
      <c r="M1738">
        <v>34.83</v>
      </c>
      <c r="O1738" s="79">
        <f>IFERROR(VLOOKUP(D1738,'KAPANAN BLD.'!$C$2:$D$793,2,FALSE),0)</f>
        <v>0</v>
      </c>
      <c r="P1738" s="79">
        <v>0</v>
      </c>
    </row>
    <row r="1739" spans="1:16" x14ac:dyDescent="0.25">
      <c r="A1739" t="s">
        <v>32</v>
      </c>
      <c r="B1739" s="73" t="str">
        <f t="shared" si="43"/>
        <v>KESKİN</v>
      </c>
      <c r="C1739" t="s">
        <v>8</v>
      </c>
      <c r="D1739" s="73" t="str">
        <f t="shared" si="42"/>
        <v>KESKİN/KIRIKKALE</v>
      </c>
      <c r="E1739" s="9" t="s">
        <v>2325</v>
      </c>
      <c r="F1739" s="9" t="s">
        <v>2325</v>
      </c>
      <c r="G1739" t="s">
        <v>3367</v>
      </c>
      <c r="H1739">
        <v>2213.3000000000002</v>
      </c>
      <c r="I1739">
        <v>221.33</v>
      </c>
      <c r="J1739">
        <v>0</v>
      </c>
      <c r="K1739">
        <v>0</v>
      </c>
      <c r="L1739">
        <v>2213.3000000000002</v>
      </c>
      <c r="M1739">
        <v>221.33</v>
      </c>
      <c r="O1739" s="79">
        <f>IFERROR(VLOOKUP(D1739,'KAPANAN BLD.'!$C$2:$D$793,2,FALSE),0)</f>
        <v>0</v>
      </c>
      <c r="P1739" s="79">
        <v>0</v>
      </c>
    </row>
    <row r="1740" spans="1:16" x14ac:dyDescent="0.25">
      <c r="A1740" t="s">
        <v>32</v>
      </c>
      <c r="B1740" s="73" t="str">
        <f t="shared" si="43"/>
        <v>MERKEZ</v>
      </c>
      <c r="C1740" t="s">
        <v>8</v>
      </c>
      <c r="D1740" s="73" t="str">
        <f t="shared" si="42"/>
        <v>MERKEZ/KIRIKKALE</v>
      </c>
      <c r="E1740" t="s">
        <v>34</v>
      </c>
      <c r="F1740" t="s">
        <v>34</v>
      </c>
      <c r="G1740" t="s">
        <v>3367</v>
      </c>
      <c r="H1740">
        <v>11891.8</v>
      </c>
      <c r="I1740">
        <v>1189.18</v>
      </c>
      <c r="J1740">
        <v>753.7</v>
      </c>
      <c r="K1740">
        <v>75.37</v>
      </c>
      <c r="L1740">
        <v>11138.1</v>
      </c>
      <c r="M1740">
        <v>1113.81</v>
      </c>
      <c r="O1740" s="79">
        <f>IFERROR(VLOOKUP(D1740,'KAPANAN BLD.'!$C$2:$D$793,2,FALSE),0)</f>
        <v>0</v>
      </c>
      <c r="P1740" s="79">
        <v>0</v>
      </c>
    </row>
    <row r="1741" spans="1:16" x14ac:dyDescent="0.25">
      <c r="A1741" t="s">
        <v>32</v>
      </c>
      <c r="B1741" s="73" t="str">
        <f t="shared" si="43"/>
        <v>MERKEZ</v>
      </c>
      <c r="C1741" t="s">
        <v>8</v>
      </c>
      <c r="D1741" s="73" t="str">
        <f t="shared" si="42"/>
        <v>MERKEZ/KIRIKKALE</v>
      </c>
      <c r="E1741" t="s">
        <v>34</v>
      </c>
      <c r="F1741" t="s">
        <v>34</v>
      </c>
      <c r="G1741" t="s">
        <v>3366</v>
      </c>
      <c r="H1741">
        <v>12264.8</v>
      </c>
      <c r="I1741">
        <v>1226.48</v>
      </c>
      <c r="J1741">
        <v>4274.1000000000004</v>
      </c>
      <c r="K1741">
        <v>427.41</v>
      </c>
      <c r="L1741">
        <v>7990.7</v>
      </c>
      <c r="M1741">
        <v>799.07</v>
      </c>
      <c r="O1741" s="79">
        <f>IFERROR(VLOOKUP(D1741,'KAPANAN BLD.'!$C$2:$D$793,2,FALSE),0)</f>
        <v>0</v>
      </c>
      <c r="P1741" s="79">
        <v>0</v>
      </c>
    </row>
    <row r="1742" spans="1:16" x14ac:dyDescent="0.25">
      <c r="A1742" t="s">
        <v>32</v>
      </c>
      <c r="B1742" s="73" t="str">
        <f t="shared" si="43"/>
        <v>YAHŞİHAN</v>
      </c>
      <c r="C1742" t="s">
        <v>8</v>
      </c>
      <c r="D1742" s="73" t="str">
        <f t="shared" si="42"/>
        <v>YAHŞİHAN/KIRIKKALE</v>
      </c>
      <c r="E1742" t="s">
        <v>369</v>
      </c>
      <c r="F1742" t="s">
        <v>369</v>
      </c>
      <c r="G1742" t="s">
        <v>3367</v>
      </c>
      <c r="H1742">
        <v>2531.5</v>
      </c>
      <c r="I1742">
        <v>253.15</v>
      </c>
      <c r="J1742">
        <v>0</v>
      </c>
      <c r="K1742">
        <v>0</v>
      </c>
      <c r="L1742">
        <v>2531.5</v>
      </c>
      <c r="M1742">
        <v>253.15</v>
      </c>
      <c r="O1742" s="79">
        <f>IFERROR(VLOOKUP(D1742,'KAPANAN BLD.'!$C$2:$D$793,2,FALSE),0)</f>
        <v>0</v>
      </c>
      <c r="P1742" s="79">
        <v>0</v>
      </c>
    </row>
    <row r="1743" spans="1:16" x14ac:dyDescent="0.25">
      <c r="A1743" t="s">
        <v>32</v>
      </c>
      <c r="B1743" s="73" t="str">
        <f t="shared" si="43"/>
        <v>YAHŞİHAN</v>
      </c>
      <c r="C1743" t="s">
        <v>8</v>
      </c>
      <c r="D1743" s="73" t="str">
        <f t="shared" si="42"/>
        <v>YAHŞİHAN/KIRIKKALE</v>
      </c>
      <c r="E1743" t="s">
        <v>369</v>
      </c>
      <c r="F1743" t="s">
        <v>369</v>
      </c>
      <c r="G1743" t="s">
        <v>3366</v>
      </c>
      <c r="H1743">
        <v>1553</v>
      </c>
      <c r="I1743">
        <v>155.30000000000001</v>
      </c>
      <c r="J1743">
        <v>0</v>
      </c>
      <c r="K1743">
        <v>0</v>
      </c>
      <c r="L1743">
        <v>1553</v>
      </c>
      <c r="M1743">
        <v>155.30000000000001</v>
      </c>
      <c r="O1743" s="79">
        <f>IFERROR(VLOOKUP(D1743,'KAPANAN BLD.'!$C$2:$D$793,2,FALSE),0)</f>
        <v>0</v>
      </c>
      <c r="P1743" s="79">
        <v>0</v>
      </c>
    </row>
    <row r="1744" spans="1:16" x14ac:dyDescent="0.25">
      <c r="A1744" t="s">
        <v>32</v>
      </c>
      <c r="B1744" s="73" t="str">
        <f t="shared" si="43"/>
        <v>YAHŞİHAN</v>
      </c>
      <c r="C1744" t="s">
        <v>8</v>
      </c>
      <c r="D1744" s="73" t="str">
        <f t="shared" si="42"/>
        <v>YAHŞİHAN/KIRIKKALE</v>
      </c>
      <c r="E1744" t="s">
        <v>369</v>
      </c>
      <c r="F1744" t="s">
        <v>369</v>
      </c>
      <c r="G1744" t="s">
        <v>3367</v>
      </c>
      <c r="H1744">
        <v>2266.31</v>
      </c>
      <c r="I1744">
        <v>226.63</v>
      </c>
      <c r="J1744">
        <v>0</v>
      </c>
      <c r="K1744">
        <v>0</v>
      </c>
      <c r="L1744">
        <v>2266.31</v>
      </c>
      <c r="M1744">
        <v>226.63</v>
      </c>
      <c r="O1744" s="79">
        <f>IFERROR(VLOOKUP(D1744,'KAPANAN BLD.'!$C$2:$D$793,2,FALSE),0)</f>
        <v>0</v>
      </c>
      <c r="P1744" s="79">
        <v>0</v>
      </c>
    </row>
    <row r="1745" spans="1:16" x14ac:dyDescent="0.25">
      <c r="A1745" t="s">
        <v>32</v>
      </c>
      <c r="B1745" s="73" t="str">
        <f t="shared" si="43"/>
        <v>YAHŞİHAN</v>
      </c>
      <c r="C1745" t="s">
        <v>8</v>
      </c>
      <c r="D1745" s="73" t="str">
        <f t="shared" si="42"/>
        <v>YAHŞİHAN/KIRIKKALE</v>
      </c>
      <c r="E1745" t="s">
        <v>369</v>
      </c>
      <c r="F1745" t="s">
        <v>369</v>
      </c>
      <c r="G1745" t="s">
        <v>3366</v>
      </c>
      <c r="H1745">
        <v>1050.3499999999999</v>
      </c>
      <c r="I1745">
        <v>105.03</v>
      </c>
      <c r="J1745">
        <v>0</v>
      </c>
      <c r="K1745">
        <v>0</v>
      </c>
      <c r="L1745">
        <v>1050.3499999999999</v>
      </c>
      <c r="M1745">
        <v>105.03</v>
      </c>
      <c r="O1745" s="79">
        <f>IFERROR(VLOOKUP(D1745,'KAPANAN BLD.'!$C$2:$D$793,2,FALSE),0)</f>
        <v>0</v>
      </c>
      <c r="P1745" s="79">
        <v>0</v>
      </c>
    </row>
    <row r="1746" spans="1:16" x14ac:dyDescent="0.25">
      <c r="A1746" t="s">
        <v>32</v>
      </c>
      <c r="B1746" s="73" t="str">
        <f t="shared" si="43"/>
        <v>LÜLEBURGAZ</v>
      </c>
      <c r="C1746" t="s">
        <v>155</v>
      </c>
      <c r="D1746" s="73" t="str">
        <f t="shared" si="42"/>
        <v>LÜLEBURGAZ/KIRKLARELİ</v>
      </c>
      <c r="E1746" s="9" t="s">
        <v>156</v>
      </c>
      <c r="F1746" s="9" t="s">
        <v>156</v>
      </c>
      <c r="G1746" t="s">
        <v>3366</v>
      </c>
      <c r="H1746">
        <v>409.9</v>
      </c>
      <c r="I1746">
        <v>40.99</v>
      </c>
      <c r="J1746">
        <v>0</v>
      </c>
      <c r="K1746">
        <v>0</v>
      </c>
      <c r="L1746">
        <v>409.9</v>
      </c>
      <c r="M1746">
        <v>40.99</v>
      </c>
      <c r="O1746" s="79">
        <f>IFERROR(VLOOKUP(D1746,'KAPANAN BLD.'!$C$2:$D$793,2,FALSE),0)</f>
        <v>0</v>
      </c>
      <c r="P1746" s="79">
        <v>0</v>
      </c>
    </row>
    <row r="1747" spans="1:16" x14ac:dyDescent="0.25">
      <c r="A1747" t="s">
        <v>32</v>
      </c>
      <c r="B1747" s="73" t="str">
        <f t="shared" si="43"/>
        <v>LÜLEBURGAZ</v>
      </c>
      <c r="C1747" t="s">
        <v>155</v>
      </c>
      <c r="D1747" s="73" t="str">
        <f t="shared" si="42"/>
        <v>LÜLEBURGAZ/KIRKLARELİ</v>
      </c>
      <c r="E1747" s="9" t="s">
        <v>156</v>
      </c>
      <c r="F1747" s="9" t="s">
        <v>156</v>
      </c>
      <c r="G1747" t="s">
        <v>3367</v>
      </c>
      <c r="H1747">
        <v>218.4</v>
      </c>
      <c r="I1747">
        <v>21.84</v>
      </c>
      <c r="J1747">
        <v>38.1</v>
      </c>
      <c r="K1747">
        <v>3.81</v>
      </c>
      <c r="L1747">
        <v>180.3</v>
      </c>
      <c r="M1747">
        <v>18.03</v>
      </c>
      <c r="O1747" s="79">
        <f>IFERROR(VLOOKUP(D1747,'KAPANAN BLD.'!$C$2:$D$793,2,FALSE),0)</f>
        <v>0</v>
      </c>
      <c r="P1747" s="79">
        <v>0</v>
      </c>
    </row>
    <row r="1748" spans="1:16" x14ac:dyDescent="0.25">
      <c r="A1748" t="s">
        <v>32</v>
      </c>
      <c r="B1748" s="73" t="str">
        <f t="shared" si="43"/>
        <v>BABAESKİ</v>
      </c>
      <c r="C1748" t="s">
        <v>155</v>
      </c>
      <c r="D1748" s="73" t="str">
        <f t="shared" si="42"/>
        <v>BABAESKİ/KIRKLARELİ</v>
      </c>
      <c r="E1748" s="9" t="s">
        <v>295</v>
      </c>
      <c r="F1748" s="9" t="s">
        <v>295</v>
      </c>
      <c r="G1748" t="s">
        <v>3366</v>
      </c>
      <c r="H1748">
        <v>135.80000000000001</v>
      </c>
      <c r="I1748">
        <v>13.58</v>
      </c>
      <c r="J1748">
        <v>0</v>
      </c>
      <c r="K1748">
        <v>0</v>
      </c>
      <c r="L1748">
        <v>135.80000000000001</v>
      </c>
      <c r="M1748">
        <v>13.58</v>
      </c>
      <c r="O1748" s="79">
        <f>IFERROR(VLOOKUP(D1748,'KAPANAN BLD.'!$C$2:$D$793,2,FALSE),0)</f>
        <v>0</v>
      </c>
      <c r="P1748" s="79">
        <v>0</v>
      </c>
    </row>
    <row r="1749" spans="1:16" x14ac:dyDescent="0.25">
      <c r="A1749" t="s">
        <v>32</v>
      </c>
      <c r="B1749" s="73" t="str">
        <f t="shared" si="43"/>
        <v>BABAESKİ</v>
      </c>
      <c r="C1749" t="s">
        <v>155</v>
      </c>
      <c r="D1749" s="73" t="str">
        <f t="shared" si="42"/>
        <v>BABAESKİ/KIRKLARELİ</v>
      </c>
      <c r="E1749" s="9" t="s">
        <v>295</v>
      </c>
      <c r="F1749" s="9" t="s">
        <v>295</v>
      </c>
      <c r="G1749" t="s">
        <v>3367</v>
      </c>
      <c r="H1749">
        <v>204.4</v>
      </c>
      <c r="I1749">
        <v>20.440000000000001</v>
      </c>
      <c r="J1749">
        <v>0</v>
      </c>
      <c r="K1749">
        <v>0</v>
      </c>
      <c r="L1749">
        <v>204.4</v>
      </c>
      <c r="M1749">
        <v>20.440000000000001</v>
      </c>
      <c r="O1749" s="79">
        <f>IFERROR(VLOOKUP(D1749,'KAPANAN BLD.'!$C$2:$D$793,2,FALSE),0)</f>
        <v>0</v>
      </c>
      <c r="P1749" s="79">
        <v>0</v>
      </c>
    </row>
    <row r="1750" spans="1:16" x14ac:dyDescent="0.25">
      <c r="A1750" t="s">
        <v>32</v>
      </c>
      <c r="B1750" s="73" t="str">
        <f t="shared" si="43"/>
        <v>BABAESKİ</v>
      </c>
      <c r="C1750" t="s">
        <v>155</v>
      </c>
      <c r="D1750" s="73" t="str">
        <f t="shared" si="42"/>
        <v>BABAESKİ/KIRKLARELİ</v>
      </c>
      <c r="E1750" t="s">
        <v>295</v>
      </c>
      <c r="F1750" t="s">
        <v>295</v>
      </c>
      <c r="G1750" t="s">
        <v>3367</v>
      </c>
      <c r="H1750">
        <v>0.2</v>
      </c>
      <c r="I1750">
        <v>0.02</v>
      </c>
      <c r="J1750">
        <v>0</v>
      </c>
      <c r="K1750">
        <v>0</v>
      </c>
      <c r="L1750">
        <v>0.2</v>
      </c>
      <c r="M1750">
        <v>0.02</v>
      </c>
      <c r="O1750" s="79">
        <f>IFERROR(VLOOKUP(D1750,'KAPANAN BLD.'!$C$2:$D$793,2,FALSE),0)</f>
        <v>0</v>
      </c>
      <c r="P1750" s="79">
        <v>0</v>
      </c>
    </row>
    <row r="1751" spans="1:16" x14ac:dyDescent="0.25">
      <c r="A1751" t="s">
        <v>32</v>
      </c>
      <c r="B1751" s="73" t="str">
        <f t="shared" si="43"/>
        <v>BABAESKİ</v>
      </c>
      <c r="C1751" t="s">
        <v>155</v>
      </c>
      <c r="D1751" s="73" t="str">
        <f t="shared" si="42"/>
        <v>BABAESKİ/KIRKLARELİ</v>
      </c>
      <c r="E1751" t="s">
        <v>295</v>
      </c>
      <c r="F1751" t="s">
        <v>295</v>
      </c>
      <c r="G1751" t="s">
        <v>3366</v>
      </c>
      <c r="H1751">
        <v>0.1</v>
      </c>
      <c r="I1751">
        <v>0.01</v>
      </c>
      <c r="J1751">
        <v>0</v>
      </c>
      <c r="K1751">
        <v>0</v>
      </c>
      <c r="L1751">
        <v>0.1</v>
      </c>
      <c r="M1751">
        <v>0.01</v>
      </c>
      <c r="O1751" s="79">
        <f>IFERROR(VLOOKUP(D1751,'KAPANAN BLD.'!$C$2:$D$793,2,FALSE),0)</f>
        <v>0</v>
      </c>
      <c r="P1751" s="79">
        <v>0</v>
      </c>
    </row>
    <row r="1752" spans="1:16" x14ac:dyDescent="0.25">
      <c r="A1752" t="s">
        <v>32</v>
      </c>
      <c r="B1752" s="73" t="str">
        <f t="shared" si="43"/>
        <v>BABAESKİ</v>
      </c>
      <c r="C1752" t="s">
        <v>155</v>
      </c>
      <c r="D1752" s="73" t="str">
        <f t="shared" si="42"/>
        <v>BABAESKİ/KIRKLARELİ</v>
      </c>
      <c r="E1752" s="9" t="s">
        <v>295</v>
      </c>
      <c r="F1752" s="9" t="s">
        <v>295</v>
      </c>
      <c r="G1752" t="s">
        <v>3366</v>
      </c>
      <c r="H1752">
        <v>402.8</v>
      </c>
      <c r="I1752">
        <v>40.28</v>
      </c>
      <c r="J1752">
        <v>0</v>
      </c>
      <c r="K1752">
        <v>0</v>
      </c>
      <c r="L1752">
        <v>402.8</v>
      </c>
      <c r="M1752">
        <v>40.28</v>
      </c>
      <c r="O1752" s="79">
        <f>IFERROR(VLOOKUP(D1752,'KAPANAN BLD.'!$C$2:$D$793,2,FALSE),0)</f>
        <v>0</v>
      </c>
      <c r="P1752" s="79">
        <v>0</v>
      </c>
    </row>
    <row r="1753" spans="1:16" x14ac:dyDescent="0.25">
      <c r="A1753" t="s">
        <v>32</v>
      </c>
      <c r="B1753" s="73" t="str">
        <f t="shared" si="43"/>
        <v>BABAESKİ</v>
      </c>
      <c r="C1753" t="s">
        <v>155</v>
      </c>
      <c r="D1753" s="73" t="str">
        <f t="shared" si="42"/>
        <v>BABAESKİ/KIRKLARELİ</v>
      </c>
      <c r="E1753" s="9" t="s">
        <v>295</v>
      </c>
      <c r="F1753" s="9" t="s">
        <v>295</v>
      </c>
      <c r="G1753" t="s">
        <v>3367</v>
      </c>
      <c r="H1753">
        <v>111.4</v>
      </c>
      <c r="I1753">
        <v>11.14</v>
      </c>
      <c r="J1753">
        <v>0</v>
      </c>
      <c r="K1753">
        <v>0</v>
      </c>
      <c r="L1753">
        <v>111.4</v>
      </c>
      <c r="M1753">
        <v>11.14</v>
      </c>
      <c r="O1753" s="79">
        <f>IFERROR(VLOOKUP(D1753,'KAPANAN BLD.'!$C$2:$D$793,2,FALSE),0)</f>
        <v>0</v>
      </c>
      <c r="P1753" s="79">
        <v>0</v>
      </c>
    </row>
    <row r="1754" spans="1:16" x14ac:dyDescent="0.25">
      <c r="A1754" t="s">
        <v>32</v>
      </c>
      <c r="B1754" s="73" t="str">
        <f t="shared" si="43"/>
        <v>LÜLEBURGAZ</v>
      </c>
      <c r="C1754" t="s">
        <v>155</v>
      </c>
      <c r="D1754" s="73" t="str">
        <f t="shared" si="42"/>
        <v>LÜLEBURGAZ/KIRKLARELİ</v>
      </c>
      <c r="E1754" s="9" t="s">
        <v>156</v>
      </c>
      <c r="F1754" s="9" t="s">
        <v>156</v>
      </c>
      <c r="G1754" t="s">
        <v>3366</v>
      </c>
      <c r="H1754">
        <v>507.4</v>
      </c>
      <c r="I1754">
        <v>50.74</v>
      </c>
      <c r="J1754">
        <v>0</v>
      </c>
      <c r="K1754">
        <v>0</v>
      </c>
      <c r="L1754">
        <v>507.4</v>
      </c>
      <c r="M1754">
        <v>50.74</v>
      </c>
      <c r="O1754" s="79">
        <f>IFERROR(VLOOKUP(D1754,'KAPANAN BLD.'!$C$2:$D$793,2,FALSE),0)</f>
        <v>0</v>
      </c>
      <c r="P1754" s="79">
        <v>0</v>
      </c>
    </row>
    <row r="1755" spans="1:16" x14ac:dyDescent="0.25">
      <c r="A1755" t="s">
        <v>32</v>
      </c>
      <c r="B1755" s="73" t="str">
        <f t="shared" si="43"/>
        <v>LÜLEBURGAZ</v>
      </c>
      <c r="C1755" t="s">
        <v>155</v>
      </c>
      <c r="D1755" s="73" t="str">
        <f t="shared" si="42"/>
        <v>LÜLEBURGAZ/KIRKLARELİ</v>
      </c>
      <c r="E1755" s="9" t="s">
        <v>156</v>
      </c>
      <c r="F1755" s="9" t="s">
        <v>156</v>
      </c>
      <c r="G1755" t="s">
        <v>3367</v>
      </c>
      <c r="H1755">
        <v>192.4</v>
      </c>
      <c r="I1755">
        <v>19.239999999999998</v>
      </c>
      <c r="J1755">
        <v>0</v>
      </c>
      <c r="K1755">
        <v>0</v>
      </c>
      <c r="L1755">
        <v>192.4</v>
      </c>
      <c r="M1755">
        <v>19.239999999999998</v>
      </c>
      <c r="O1755" s="79">
        <f>IFERROR(VLOOKUP(D1755,'KAPANAN BLD.'!$C$2:$D$793,2,FALSE),0)</f>
        <v>0</v>
      </c>
      <c r="P1755" s="79">
        <v>0</v>
      </c>
    </row>
    <row r="1756" spans="1:16" x14ac:dyDescent="0.25">
      <c r="A1756" t="s">
        <v>32</v>
      </c>
      <c r="B1756" s="73" t="str">
        <f t="shared" si="43"/>
        <v>VİZE</v>
      </c>
      <c r="C1756" t="s">
        <v>155</v>
      </c>
      <c r="D1756" s="73" t="str">
        <f t="shared" si="42"/>
        <v>VİZE/KIRKLARELİ</v>
      </c>
      <c r="E1756" s="9" t="s">
        <v>18</v>
      </c>
      <c r="F1756" s="9" t="s">
        <v>18</v>
      </c>
      <c r="G1756" t="s">
        <v>3366</v>
      </c>
      <c r="H1756">
        <v>103.3</v>
      </c>
      <c r="I1756">
        <v>10.33</v>
      </c>
      <c r="J1756">
        <v>0</v>
      </c>
      <c r="K1756">
        <v>0</v>
      </c>
      <c r="L1756">
        <v>103.3</v>
      </c>
      <c r="M1756">
        <v>10.33</v>
      </c>
      <c r="O1756" s="79">
        <f>IFERROR(VLOOKUP(D1756,'KAPANAN BLD.'!$C$2:$D$793,2,FALSE),0)</f>
        <v>0</v>
      </c>
      <c r="P1756" s="79">
        <v>0</v>
      </c>
    </row>
    <row r="1757" spans="1:16" x14ac:dyDescent="0.25">
      <c r="A1757" t="s">
        <v>32</v>
      </c>
      <c r="B1757" s="73" t="str">
        <f t="shared" si="43"/>
        <v>VİZE</v>
      </c>
      <c r="C1757" t="s">
        <v>155</v>
      </c>
      <c r="D1757" s="73" t="str">
        <f t="shared" si="42"/>
        <v>VİZE/KIRKLARELİ</v>
      </c>
      <c r="E1757" s="9" t="s">
        <v>18</v>
      </c>
      <c r="F1757" s="9" t="s">
        <v>18</v>
      </c>
      <c r="G1757" t="s">
        <v>3367</v>
      </c>
      <c r="H1757">
        <v>5.4</v>
      </c>
      <c r="I1757">
        <v>0.54</v>
      </c>
      <c r="J1757">
        <v>0</v>
      </c>
      <c r="K1757">
        <v>0</v>
      </c>
      <c r="L1757">
        <v>5.4</v>
      </c>
      <c r="M1757">
        <v>0.54</v>
      </c>
      <c r="O1757" s="79">
        <f>IFERROR(VLOOKUP(D1757,'KAPANAN BLD.'!$C$2:$D$793,2,FALSE),0)</f>
        <v>0</v>
      </c>
      <c r="P1757" s="79">
        <v>0</v>
      </c>
    </row>
    <row r="1758" spans="1:16" x14ac:dyDescent="0.25">
      <c r="A1758" t="s">
        <v>32</v>
      </c>
      <c r="B1758" s="73" t="str">
        <f t="shared" si="43"/>
        <v>DEMİRKÖY</v>
      </c>
      <c r="C1758" t="s">
        <v>155</v>
      </c>
      <c r="D1758" s="73" t="str">
        <f t="shared" si="42"/>
        <v>DEMİRKÖY/KIRKLARELİ</v>
      </c>
      <c r="E1758" t="s">
        <v>370</v>
      </c>
      <c r="F1758" t="s">
        <v>370</v>
      </c>
      <c r="G1758" t="s">
        <v>3366</v>
      </c>
      <c r="H1758">
        <v>136.4</v>
      </c>
      <c r="I1758">
        <v>13.64</v>
      </c>
      <c r="J1758">
        <v>0</v>
      </c>
      <c r="K1758">
        <v>0</v>
      </c>
      <c r="L1758">
        <v>136.4</v>
      </c>
      <c r="M1758">
        <v>13.64</v>
      </c>
      <c r="O1758" s="79">
        <f>IFERROR(VLOOKUP(D1758,'KAPANAN BLD.'!$C$2:$D$793,2,FALSE),0)</f>
        <v>0</v>
      </c>
      <c r="P1758" s="79">
        <v>0</v>
      </c>
    </row>
    <row r="1759" spans="1:16" x14ac:dyDescent="0.25">
      <c r="A1759" t="s">
        <v>32</v>
      </c>
      <c r="B1759" s="73" t="str">
        <f t="shared" si="43"/>
        <v>DEMİRKÖY</v>
      </c>
      <c r="C1759" t="s">
        <v>155</v>
      </c>
      <c r="D1759" s="73" t="str">
        <f t="shared" si="42"/>
        <v>DEMİRKÖY/KIRKLARELİ</v>
      </c>
      <c r="E1759" t="s">
        <v>370</v>
      </c>
      <c r="F1759" t="s">
        <v>370</v>
      </c>
      <c r="G1759" t="s">
        <v>3367</v>
      </c>
      <c r="H1759">
        <v>199.7</v>
      </c>
      <c r="I1759">
        <v>19.97</v>
      </c>
      <c r="J1759">
        <v>0</v>
      </c>
      <c r="K1759">
        <v>0</v>
      </c>
      <c r="L1759">
        <v>199.7</v>
      </c>
      <c r="M1759">
        <v>19.97</v>
      </c>
      <c r="O1759" s="79">
        <f>IFERROR(VLOOKUP(D1759,'KAPANAN BLD.'!$C$2:$D$793,2,FALSE),0)</f>
        <v>0</v>
      </c>
      <c r="P1759" s="79">
        <v>0</v>
      </c>
    </row>
    <row r="1760" spans="1:16" x14ac:dyDescent="0.25">
      <c r="A1760" t="s">
        <v>32</v>
      </c>
      <c r="B1760" s="73" t="str">
        <f t="shared" si="43"/>
        <v>LÜLEBURGAZ</v>
      </c>
      <c r="C1760" t="s">
        <v>155</v>
      </c>
      <c r="D1760" s="73" t="str">
        <f t="shared" si="42"/>
        <v>LÜLEBURGAZ/KIRKLARELİ</v>
      </c>
      <c r="E1760" s="9" t="s">
        <v>156</v>
      </c>
      <c r="F1760" s="9" t="s">
        <v>156</v>
      </c>
      <c r="G1760" t="s">
        <v>3366</v>
      </c>
      <c r="H1760">
        <v>738.7</v>
      </c>
      <c r="I1760">
        <v>73.87</v>
      </c>
      <c r="J1760">
        <v>0</v>
      </c>
      <c r="K1760">
        <v>0</v>
      </c>
      <c r="L1760">
        <v>738.7</v>
      </c>
      <c r="M1760">
        <v>73.87</v>
      </c>
      <c r="O1760" s="79">
        <f>IFERROR(VLOOKUP(D1760,'KAPANAN BLD.'!$C$2:$D$793,2,FALSE),0)</f>
        <v>0</v>
      </c>
      <c r="P1760" s="79">
        <v>0</v>
      </c>
    </row>
    <row r="1761" spans="1:16" x14ac:dyDescent="0.25">
      <c r="A1761" t="s">
        <v>32</v>
      </c>
      <c r="B1761" s="73" t="str">
        <f t="shared" si="43"/>
        <v>LÜLEBURGAZ</v>
      </c>
      <c r="C1761" t="s">
        <v>155</v>
      </c>
      <c r="D1761" s="73" t="str">
        <f t="shared" si="42"/>
        <v>LÜLEBURGAZ/KIRKLARELİ</v>
      </c>
      <c r="E1761" s="9" t="s">
        <v>156</v>
      </c>
      <c r="F1761" s="9" t="s">
        <v>156</v>
      </c>
      <c r="G1761" t="s">
        <v>3367</v>
      </c>
      <c r="H1761">
        <v>1027.4000000000001</v>
      </c>
      <c r="I1761">
        <v>102.74</v>
      </c>
      <c r="J1761">
        <v>0.3</v>
      </c>
      <c r="K1761">
        <v>0.03</v>
      </c>
      <c r="L1761">
        <v>1027.0999999999999</v>
      </c>
      <c r="M1761">
        <v>102.71</v>
      </c>
      <c r="O1761" s="79">
        <f>IFERROR(VLOOKUP(D1761,'KAPANAN BLD.'!$C$2:$D$793,2,FALSE),0)</f>
        <v>0</v>
      </c>
      <c r="P1761" s="79">
        <v>0</v>
      </c>
    </row>
    <row r="1762" spans="1:16" x14ac:dyDescent="0.25">
      <c r="A1762" t="s">
        <v>32</v>
      </c>
      <c r="B1762" s="73" t="str">
        <f t="shared" si="43"/>
        <v>DEMİRKÖY</v>
      </c>
      <c r="C1762" t="s">
        <v>155</v>
      </c>
      <c r="D1762" s="73" t="str">
        <f t="shared" si="42"/>
        <v>DEMİRKÖY/KIRKLARELİ</v>
      </c>
      <c r="E1762" s="9" t="s">
        <v>370</v>
      </c>
      <c r="F1762" s="9" t="s">
        <v>370</v>
      </c>
      <c r="G1762" t="s">
        <v>3366</v>
      </c>
      <c r="H1762">
        <v>734</v>
      </c>
      <c r="I1762">
        <v>73.400000000000006</v>
      </c>
      <c r="J1762">
        <v>0</v>
      </c>
      <c r="K1762">
        <v>0</v>
      </c>
      <c r="L1762">
        <v>734</v>
      </c>
      <c r="M1762">
        <v>73.400000000000006</v>
      </c>
      <c r="O1762" s="79">
        <f>IFERROR(VLOOKUP(D1762,'KAPANAN BLD.'!$C$2:$D$793,2,FALSE),0)</f>
        <v>0</v>
      </c>
      <c r="P1762" s="79">
        <v>0</v>
      </c>
    </row>
    <row r="1763" spans="1:16" x14ac:dyDescent="0.25">
      <c r="A1763" t="s">
        <v>32</v>
      </c>
      <c r="B1763" s="73" t="str">
        <f t="shared" si="43"/>
        <v>DEMİRKÖY</v>
      </c>
      <c r="C1763" t="s">
        <v>155</v>
      </c>
      <c r="D1763" s="73" t="str">
        <f t="shared" si="42"/>
        <v>DEMİRKÖY/KIRKLARELİ</v>
      </c>
      <c r="E1763" s="9" t="s">
        <v>370</v>
      </c>
      <c r="F1763" s="9" t="s">
        <v>370</v>
      </c>
      <c r="G1763" t="s">
        <v>3367</v>
      </c>
      <c r="H1763">
        <v>738.9</v>
      </c>
      <c r="I1763">
        <v>73.89</v>
      </c>
      <c r="J1763">
        <v>0</v>
      </c>
      <c r="K1763">
        <v>0</v>
      </c>
      <c r="L1763">
        <v>738.9</v>
      </c>
      <c r="M1763">
        <v>73.89</v>
      </c>
      <c r="O1763" s="79">
        <f>IFERROR(VLOOKUP(D1763,'KAPANAN BLD.'!$C$2:$D$793,2,FALSE),0)</f>
        <v>0</v>
      </c>
      <c r="P1763" s="79">
        <v>0</v>
      </c>
    </row>
    <row r="1764" spans="1:16" x14ac:dyDescent="0.25">
      <c r="A1764" t="s">
        <v>32</v>
      </c>
      <c r="B1764" s="73" t="str">
        <f t="shared" si="43"/>
        <v>MERKEZ</v>
      </c>
      <c r="C1764" t="s">
        <v>155</v>
      </c>
      <c r="D1764" s="73" t="str">
        <f t="shared" si="42"/>
        <v>MERKEZ/KIRKLARELİ</v>
      </c>
      <c r="E1764" s="9" t="s">
        <v>34</v>
      </c>
      <c r="F1764" s="9" t="s">
        <v>34</v>
      </c>
      <c r="G1764" t="s">
        <v>3366</v>
      </c>
      <c r="H1764">
        <v>4485.1000000000004</v>
      </c>
      <c r="I1764">
        <v>448.51</v>
      </c>
      <c r="J1764">
        <v>0.5</v>
      </c>
      <c r="K1764">
        <v>0.05</v>
      </c>
      <c r="L1764">
        <v>4484.6000000000004</v>
      </c>
      <c r="M1764">
        <v>448.46</v>
      </c>
      <c r="O1764" s="79">
        <f>IFERROR(VLOOKUP(D1764,'KAPANAN BLD.'!$C$2:$D$793,2,FALSE),0)</f>
        <v>0</v>
      </c>
      <c r="P1764" s="79">
        <v>0</v>
      </c>
    </row>
    <row r="1765" spans="1:16" x14ac:dyDescent="0.25">
      <c r="A1765" t="s">
        <v>32</v>
      </c>
      <c r="B1765" s="73" t="str">
        <f t="shared" si="43"/>
        <v>MERKEZ</v>
      </c>
      <c r="C1765" t="s">
        <v>155</v>
      </c>
      <c r="D1765" s="73" t="str">
        <f t="shared" si="42"/>
        <v>MERKEZ/KIRKLARELİ</v>
      </c>
      <c r="E1765" s="9" t="s">
        <v>34</v>
      </c>
      <c r="F1765" s="9" t="s">
        <v>34</v>
      </c>
      <c r="G1765" t="s">
        <v>3367</v>
      </c>
      <c r="H1765">
        <v>3408.6</v>
      </c>
      <c r="I1765">
        <v>340.86</v>
      </c>
      <c r="J1765">
        <v>72.2</v>
      </c>
      <c r="K1765">
        <v>7.22</v>
      </c>
      <c r="L1765">
        <v>3336.4</v>
      </c>
      <c r="M1765">
        <v>333.64</v>
      </c>
      <c r="O1765" s="79">
        <f>IFERROR(VLOOKUP(D1765,'KAPANAN BLD.'!$C$2:$D$793,2,FALSE),0)</f>
        <v>0</v>
      </c>
      <c r="P1765" s="79">
        <v>0</v>
      </c>
    </row>
    <row r="1766" spans="1:16" x14ac:dyDescent="0.25">
      <c r="A1766" t="s">
        <v>32</v>
      </c>
      <c r="B1766" s="73" t="str">
        <f t="shared" si="43"/>
        <v>BABAESKİ</v>
      </c>
      <c r="C1766" t="s">
        <v>155</v>
      </c>
      <c r="D1766" s="73" t="str">
        <f t="shared" si="42"/>
        <v>BABAESKİ/KIRKLARELİ</v>
      </c>
      <c r="E1766" s="9" t="s">
        <v>295</v>
      </c>
      <c r="F1766" s="9" t="s">
        <v>295</v>
      </c>
      <c r="G1766" t="s">
        <v>3367</v>
      </c>
      <c r="H1766">
        <v>1.2</v>
      </c>
      <c r="I1766">
        <v>0.12</v>
      </c>
      <c r="J1766">
        <v>61.3</v>
      </c>
      <c r="K1766">
        <v>6.13</v>
      </c>
      <c r="L1766">
        <v>-60.1</v>
      </c>
      <c r="M1766">
        <v>-6.01</v>
      </c>
      <c r="O1766" s="79">
        <f>IFERROR(VLOOKUP(D1766,'KAPANAN BLD.'!$C$2:$D$793,2,FALSE),0)</f>
        <v>0</v>
      </c>
      <c r="P1766" s="79">
        <v>0</v>
      </c>
    </row>
    <row r="1767" spans="1:16" x14ac:dyDescent="0.25">
      <c r="A1767" t="s">
        <v>32</v>
      </c>
      <c r="B1767" s="73" t="str">
        <f t="shared" si="43"/>
        <v>MERKEZ</v>
      </c>
      <c r="C1767" t="s">
        <v>155</v>
      </c>
      <c r="D1767" s="73" t="str">
        <f t="shared" si="42"/>
        <v>MERKEZ/KIRKLARELİ</v>
      </c>
      <c r="E1767" s="9" t="s">
        <v>34</v>
      </c>
      <c r="F1767" s="9" t="s">
        <v>34</v>
      </c>
      <c r="G1767" t="s">
        <v>3366</v>
      </c>
      <c r="H1767">
        <v>350.7</v>
      </c>
      <c r="I1767">
        <v>35.07</v>
      </c>
      <c r="J1767">
        <v>0</v>
      </c>
      <c r="K1767">
        <v>0</v>
      </c>
      <c r="L1767">
        <v>350.7</v>
      </c>
      <c r="M1767">
        <v>35.07</v>
      </c>
      <c r="O1767" s="79">
        <f>IFERROR(VLOOKUP(D1767,'KAPANAN BLD.'!$C$2:$D$793,2,FALSE),0)</f>
        <v>0</v>
      </c>
      <c r="P1767" s="79">
        <v>0</v>
      </c>
    </row>
    <row r="1768" spans="1:16" x14ac:dyDescent="0.25">
      <c r="A1768" t="s">
        <v>32</v>
      </c>
      <c r="B1768" s="73" t="str">
        <f t="shared" si="43"/>
        <v>MERKEZ</v>
      </c>
      <c r="C1768" t="s">
        <v>155</v>
      </c>
      <c r="D1768" s="73" t="str">
        <f t="shared" si="42"/>
        <v>MERKEZ/KIRKLARELİ</v>
      </c>
      <c r="E1768" s="9" t="s">
        <v>34</v>
      </c>
      <c r="F1768" s="9" t="s">
        <v>34</v>
      </c>
      <c r="G1768" t="s">
        <v>3367</v>
      </c>
      <c r="H1768">
        <v>1165.9000000000001</v>
      </c>
      <c r="I1768">
        <v>116.59</v>
      </c>
      <c r="J1768">
        <v>79.3</v>
      </c>
      <c r="K1768">
        <v>7.93</v>
      </c>
      <c r="L1768">
        <v>1086.5999999999999</v>
      </c>
      <c r="M1768">
        <v>108.66</v>
      </c>
      <c r="O1768" s="79">
        <f>IFERROR(VLOOKUP(D1768,'KAPANAN BLD.'!$C$2:$D$793,2,FALSE),0)</f>
        <v>0</v>
      </c>
      <c r="P1768" s="79">
        <v>0</v>
      </c>
    </row>
    <row r="1769" spans="1:16" x14ac:dyDescent="0.25">
      <c r="A1769" t="s">
        <v>32</v>
      </c>
      <c r="B1769" s="73" t="str">
        <f t="shared" si="43"/>
        <v>LÜLEBURGAZ</v>
      </c>
      <c r="C1769" t="s">
        <v>155</v>
      </c>
      <c r="D1769" s="73" t="str">
        <f t="shared" si="42"/>
        <v>LÜLEBURGAZ/KIRKLARELİ</v>
      </c>
      <c r="E1769" s="9" t="s">
        <v>156</v>
      </c>
      <c r="F1769" s="9" t="s">
        <v>156</v>
      </c>
      <c r="G1769" t="s">
        <v>3366</v>
      </c>
      <c r="H1769">
        <v>1117.5999999999999</v>
      </c>
      <c r="I1769">
        <v>111.76</v>
      </c>
      <c r="J1769">
        <v>704.9</v>
      </c>
      <c r="K1769">
        <v>70.489999999999995</v>
      </c>
      <c r="L1769">
        <v>412.7</v>
      </c>
      <c r="M1769">
        <v>41.27</v>
      </c>
      <c r="O1769" s="79">
        <f>IFERROR(VLOOKUP(D1769,'KAPANAN BLD.'!$C$2:$D$793,2,FALSE),0)</f>
        <v>0</v>
      </c>
      <c r="P1769" s="79">
        <v>0</v>
      </c>
    </row>
    <row r="1770" spans="1:16" x14ac:dyDescent="0.25">
      <c r="A1770" t="s">
        <v>32</v>
      </c>
      <c r="B1770" s="73" t="str">
        <f t="shared" si="43"/>
        <v>LÜLEBURGAZ</v>
      </c>
      <c r="C1770" t="s">
        <v>155</v>
      </c>
      <c r="D1770" s="73" t="str">
        <f t="shared" si="42"/>
        <v>LÜLEBURGAZ/KIRKLARELİ</v>
      </c>
      <c r="E1770" s="9" t="s">
        <v>156</v>
      </c>
      <c r="F1770" s="9" t="s">
        <v>156</v>
      </c>
      <c r="G1770" t="s">
        <v>3367</v>
      </c>
      <c r="H1770">
        <v>765.5</v>
      </c>
      <c r="I1770">
        <v>76.55</v>
      </c>
      <c r="J1770">
        <v>78.8</v>
      </c>
      <c r="K1770">
        <v>7.88</v>
      </c>
      <c r="L1770">
        <v>686.7</v>
      </c>
      <c r="M1770">
        <v>68.67</v>
      </c>
      <c r="O1770" s="79">
        <f>IFERROR(VLOOKUP(D1770,'KAPANAN BLD.'!$C$2:$D$793,2,FALSE),0)</f>
        <v>0</v>
      </c>
      <c r="P1770" s="79">
        <v>0</v>
      </c>
    </row>
    <row r="1771" spans="1:16" x14ac:dyDescent="0.25">
      <c r="A1771" t="s">
        <v>32</v>
      </c>
      <c r="B1771" s="73" t="str">
        <f t="shared" si="43"/>
        <v>VİZE</v>
      </c>
      <c r="C1771" t="s">
        <v>155</v>
      </c>
      <c r="D1771" s="73" t="str">
        <f t="shared" si="42"/>
        <v>VİZE/KIRKLARELİ</v>
      </c>
      <c r="E1771" s="9" t="s">
        <v>18</v>
      </c>
      <c r="F1771" s="9" t="s">
        <v>18</v>
      </c>
      <c r="G1771" t="s">
        <v>3366</v>
      </c>
      <c r="H1771">
        <v>331</v>
      </c>
      <c r="I1771">
        <v>33.1</v>
      </c>
      <c r="J1771">
        <v>0</v>
      </c>
      <c r="K1771">
        <v>0</v>
      </c>
      <c r="L1771">
        <v>331</v>
      </c>
      <c r="M1771">
        <v>33.1</v>
      </c>
      <c r="O1771" s="79">
        <f>IFERROR(VLOOKUP(D1771,'KAPANAN BLD.'!$C$2:$D$793,2,FALSE),0)</f>
        <v>0</v>
      </c>
      <c r="P1771" s="79">
        <v>0</v>
      </c>
    </row>
    <row r="1772" spans="1:16" x14ac:dyDescent="0.25">
      <c r="A1772" t="s">
        <v>32</v>
      </c>
      <c r="B1772" s="73" t="str">
        <f t="shared" si="43"/>
        <v>VİZE</v>
      </c>
      <c r="C1772" t="s">
        <v>155</v>
      </c>
      <c r="D1772" s="73" t="str">
        <f t="shared" si="42"/>
        <v>VİZE/KIRKLARELİ</v>
      </c>
      <c r="E1772" s="9" t="s">
        <v>18</v>
      </c>
      <c r="F1772" s="9" t="s">
        <v>18</v>
      </c>
      <c r="G1772" t="s">
        <v>3367</v>
      </c>
      <c r="H1772">
        <v>35.9</v>
      </c>
      <c r="I1772">
        <v>3.59</v>
      </c>
      <c r="J1772">
        <v>0</v>
      </c>
      <c r="K1772">
        <v>0</v>
      </c>
      <c r="L1772">
        <v>35.9</v>
      </c>
      <c r="M1772">
        <v>3.59</v>
      </c>
      <c r="O1772" s="79">
        <f>IFERROR(VLOOKUP(D1772,'KAPANAN BLD.'!$C$2:$D$793,2,FALSE),0)</f>
        <v>0</v>
      </c>
      <c r="P1772" s="79">
        <v>0</v>
      </c>
    </row>
    <row r="1773" spans="1:16" x14ac:dyDescent="0.25">
      <c r="A1773" t="s">
        <v>32</v>
      </c>
      <c r="B1773" s="73" t="str">
        <f t="shared" si="43"/>
        <v>LÜLEBURGAZ</v>
      </c>
      <c r="C1773" t="s">
        <v>155</v>
      </c>
      <c r="D1773" s="73" t="str">
        <f t="shared" si="42"/>
        <v>LÜLEBURGAZ/KIRKLARELİ</v>
      </c>
      <c r="E1773" t="s">
        <v>156</v>
      </c>
      <c r="F1773" t="s">
        <v>156</v>
      </c>
      <c r="G1773" t="s">
        <v>3367</v>
      </c>
      <c r="H1773">
        <v>7654.84</v>
      </c>
      <c r="I1773">
        <v>765.48</v>
      </c>
      <c r="J1773">
        <v>67.2</v>
      </c>
      <c r="K1773">
        <v>6.72</v>
      </c>
      <c r="L1773">
        <v>7587.64</v>
      </c>
      <c r="M1773">
        <v>758.76</v>
      </c>
      <c r="O1773" s="79">
        <f>IFERROR(VLOOKUP(D1773,'KAPANAN BLD.'!$C$2:$D$793,2,FALSE),0)</f>
        <v>0</v>
      </c>
      <c r="P1773" s="79">
        <v>0</v>
      </c>
    </row>
    <row r="1774" spans="1:16" x14ac:dyDescent="0.25">
      <c r="A1774" t="s">
        <v>32</v>
      </c>
      <c r="B1774" s="73" t="str">
        <f t="shared" si="43"/>
        <v>LÜLEBURGAZ</v>
      </c>
      <c r="C1774" t="s">
        <v>155</v>
      </c>
      <c r="D1774" s="73" t="str">
        <f t="shared" si="42"/>
        <v>LÜLEBURGAZ/KIRKLARELİ</v>
      </c>
      <c r="E1774" t="s">
        <v>156</v>
      </c>
      <c r="F1774" t="s">
        <v>156</v>
      </c>
      <c r="G1774" t="s">
        <v>3366</v>
      </c>
      <c r="H1774">
        <v>7818.15</v>
      </c>
      <c r="I1774">
        <v>781.82</v>
      </c>
      <c r="J1774">
        <v>24.7</v>
      </c>
      <c r="K1774">
        <v>2.4700000000000002</v>
      </c>
      <c r="L1774">
        <v>7793.45</v>
      </c>
      <c r="M1774">
        <v>779.35</v>
      </c>
      <c r="O1774" s="79">
        <f>IFERROR(VLOOKUP(D1774,'KAPANAN BLD.'!$C$2:$D$793,2,FALSE),0)</f>
        <v>0</v>
      </c>
      <c r="P1774" s="79">
        <v>0</v>
      </c>
    </row>
    <row r="1775" spans="1:16" x14ac:dyDescent="0.25">
      <c r="A1775" t="s">
        <v>32</v>
      </c>
      <c r="B1775" s="73" t="str">
        <f t="shared" si="43"/>
        <v>MERKEZ</v>
      </c>
      <c r="C1775" t="s">
        <v>155</v>
      </c>
      <c r="D1775" s="73" t="str">
        <f t="shared" si="42"/>
        <v>MERKEZ/KIRKLARELİ</v>
      </c>
      <c r="E1775" t="s">
        <v>34</v>
      </c>
      <c r="F1775" t="s">
        <v>34</v>
      </c>
      <c r="G1775" t="s">
        <v>3366</v>
      </c>
      <c r="H1775">
        <v>89519.4</v>
      </c>
      <c r="I1775">
        <v>8951.94</v>
      </c>
      <c r="J1775">
        <v>0</v>
      </c>
      <c r="K1775">
        <v>0</v>
      </c>
      <c r="L1775">
        <v>89519.4</v>
      </c>
      <c r="M1775">
        <v>8951.94</v>
      </c>
      <c r="O1775" s="79">
        <f>IFERROR(VLOOKUP(D1775,'KAPANAN BLD.'!$C$2:$D$793,2,FALSE),0)</f>
        <v>0</v>
      </c>
      <c r="P1775" s="79">
        <v>0</v>
      </c>
    </row>
    <row r="1776" spans="1:16" x14ac:dyDescent="0.25">
      <c r="A1776" t="s">
        <v>32</v>
      </c>
      <c r="B1776" s="73" t="str">
        <f t="shared" si="43"/>
        <v>MERKEZ</v>
      </c>
      <c r="C1776" t="s">
        <v>155</v>
      </c>
      <c r="D1776" s="73" t="str">
        <f t="shared" si="42"/>
        <v>MERKEZ/KIRKLARELİ</v>
      </c>
      <c r="E1776" t="s">
        <v>34</v>
      </c>
      <c r="F1776" t="s">
        <v>34</v>
      </c>
      <c r="G1776" t="s">
        <v>3367</v>
      </c>
      <c r="H1776">
        <v>72001.399999999994</v>
      </c>
      <c r="I1776">
        <v>7200.14</v>
      </c>
      <c r="J1776">
        <v>0</v>
      </c>
      <c r="K1776">
        <v>0</v>
      </c>
      <c r="L1776">
        <v>72001.399999999994</v>
      </c>
      <c r="M1776">
        <v>7200.14</v>
      </c>
      <c r="O1776" s="79">
        <f>IFERROR(VLOOKUP(D1776,'KAPANAN BLD.'!$C$2:$D$793,2,FALSE),0)</f>
        <v>0</v>
      </c>
      <c r="P1776" s="79">
        <v>0</v>
      </c>
    </row>
    <row r="1777" spans="1:16" x14ac:dyDescent="0.25">
      <c r="A1777" t="s">
        <v>32</v>
      </c>
      <c r="B1777" s="73" t="str">
        <f t="shared" si="43"/>
        <v>PEHLİVANKÖY</v>
      </c>
      <c r="C1777" t="s">
        <v>155</v>
      </c>
      <c r="D1777" s="73" t="str">
        <f t="shared" si="42"/>
        <v>PEHLİVANKÖY/KIRKLARELİ</v>
      </c>
      <c r="E1777" t="s">
        <v>2910</v>
      </c>
      <c r="F1777" t="s">
        <v>2910</v>
      </c>
      <c r="G1777" t="s">
        <v>3366</v>
      </c>
      <c r="H1777">
        <v>154.69999999999999</v>
      </c>
      <c r="I1777">
        <v>15.47</v>
      </c>
      <c r="J1777">
        <v>0</v>
      </c>
      <c r="K1777">
        <v>0</v>
      </c>
      <c r="L1777">
        <v>154.69999999999999</v>
      </c>
      <c r="M1777">
        <v>15.47</v>
      </c>
      <c r="O1777" s="79">
        <f>IFERROR(VLOOKUP(D1777,'KAPANAN BLD.'!$C$2:$D$793,2,FALSE),0)</f>
        <v>0</v>
      </c>
      <c r="P1777" s="79">
        <v>0</v>
      </c>
    </row>
    <row r="1778" spans="1:16" x14ac:dyDescent="0.25">
      <c r="A1778" t="s">
        <v>32</v>
      </c>
      <c r="B1778" s="73" t="str">
        <f t="shared" si="43"/>
        <v>PEHLİVANKÖY</v>
      </c>
      <c r="C1778" t="s">
        <v>155</v>
      </c>
      <c r="D1778" s="73" t="str">
        <f t="shared" si="42"/>
        <v>PEHLİVANKÖY/KIRKLARELİ</v>
      </c>
      <c r="E1778" t="s">
        <v>2910</v>
      </c>
      <c r="F1778" t="s">
        <v>2910</v>
      </c>
      <c r="G1778" t="s">
        <v>3367</v>
      </c>
      <c r="H1778">
        <v>185.3</v>
      </c>
      <c r="I1778">
        <v>18.53</v>
      </c>
      <c r="J1778">
        <v>0</v>
      </c>
      <c r="K1778">
        <v>0</v>
      </c>
      <c r="L1778">
        <v>185.3</v>
      </c>
      <c r="M1778">
        <v>18.53</v>
      </c>
      <c r="O1778" s="79">
        <f>IFERROR(VLOOKUP(D1778,'KAPANAN BLD.'!$C$2:$D$793,2,FALSE),0)</f>
        <v>0</v>
      </c>
      <c r="P1778" s="79">
        <v>0</v>
      </c>
    </row>
    <row r="1779" spans="1:16" x14ac:dyDescent="0.25">
      <c r="A1779" t="s">
        <v>32</v>
      </c>
      <c r="B1779" s="73" t="str">
        <f t="shared" si="43"/>
        <v>PINARHİSAR</v>
      </c>
      <c r="C1779" t="s">
        <v>155</v>
      </c>
      <c r="D1779" s="73" t="str">
        <f t="shared" si="42"/>
        <v>PINARHİSAR/KIRKLARELİ</v>
      </c>
      <c r="E1779" t="s">
        <v>371</v>
      </c>
      <c r="F1779" t="s">
        <v>371</v>
      </c>
      <c r="G1779" t="s">
        <v>3367</v>
      </c>
      <c r="H1779">
        <v>24.7</v>
      </c>
      <c r="I1779">
        <v>2.4700000000000002</v>
      </c>
      <c r="J1779">
        <v>0</v>
      </c>
      <c r="K1779">
        <v>0</v>
      </c>
      <c r="L1779">
        <v>24.7</v>
      </c>
      <c r="M1779">
        <v>2.4700000000000002</v>
      </c>
      <c r="O1779" s="79">
        <f>IFERROR(VLOOKUP(D1779,'KAPANAN BLD.'!$C$2:$D$793,2,FALSE),0)</f>
        <v>0</v>
      </c>
      <c r="P1779" s="79">
        <v>0</v>
      </c>
    </row>
    <row r="1780" spans="1:16" x14ac:dyDescent="0.25">
      <c r="A1780" t="s">
        <v>32</v>
      </c>
      <c r="B1780" s="73" t="str">
        <f t="shared" si="43"/>
        <v>PINARHİSAR</v>
      </c>
      <c r="C1780" t="s">
        <v>155</v>
      </c>
      <c r="D1780" s="73" t="str">
        <f t="shared" si="42"/>
        <v>PINARHİSAR/KIRKLARELİ</v>
      </c>
      <c r="E1780" t="s">
        <v>371</v>
      </c>
      <c r="F1780" t="s">
        <v>371</v>
      </c>
      <c r="G1780" t="s">
        <v>3366</v>
      </c>
      <c r="H1780">
        <v>10.7</v>
      </c>
      <c r="I1780">
        <v>1.07</v>
      </c>
      <c r="J1780">
        <v>0</v>
      </c>
      <c r="K1780">
        <v>0</v>
      </c>
      <c r="L1780">
        <v>10.7</v>
      </c>
      <c r="M1780">
        <v>1.07</v>
      </c>
      <c r="O1780" s="79">
        <f>IFERROR(VLOOKUP(D1780,'KAPANAN BLD.'!$C$2:$D$793,2,FALSE),0)</f>
        <v>0</v>
      </c>
      <c r="P1780" s="79">
        <v>0</v>
      </c>
    </row>
    <row r="1781" spans="1:16" x14ac:dyDescent="0.25">
      <c r="A1781" t="s">
        <v>32</v>
      </c>
      <c r="B1781" s="73" t="str">
        <f t="shared" si="43"/>
        <v>PINARHİSAR</v>
      </c>
      <c r="C1781" t="s">
        <v>155</v>
      </c>
      <c r="D1781" s="73" t="str">
        <f t="shared" si="42"/>
        <v>PINARHİSAR/KIRKLARELİ</v>
      </c>
      <c r="E1781" t="s">
        <v>371</v>
      </c>
      <c r="F1781" t="s">
        <v>371</v>
      </c>
      <c r="G1781" t="s">
        <v>3367</v>
      </c>
      <c r="H1781">
        <v>0.6</v>
      </c>
      <c r="I1781">
        <v>0.06</v>
      </c>
      <c r="J1781">
        <v>0</v>
      </c>
      <c r="K1781">
        <v>0</v>
      </c>
      <c r="L1781">
        <v>0.6</v>
      </c>
      <c r="M1781">
        <v>0.06</v>
      </c>
      <c r="O1781" s="79">
        <f>IFERROR(VLOOKUP(D1781,'KAPANAN BLD.'!$C$2:$D$793,2,FALSE),0)</f>
        <v>0</v>
      </c>
      <c r="P1781" s="79">
        <v>0</v>
      </c>
    </row>
    <row r="1782" spans="1:16" x14ac:dyDescent="0.25">
      <c r="A1782" t="s">
        <v>32</v>
      </c>
      <c r="B1782" s="73" t="str">
        <f t="shared" si="43"/>
        <v>LÜLEBURGAZ</v>
      </c>
      <c r="C1782" t="s">
        <v>155</v>
      </c>
      <c r="D1782" s="73" t="str">
        <f t="shared" si="42"/>
        <v>LÜLEBURGAZ/KIRKLARELİ</v>
      </c>
      <c r="E1782" s="9" t="s">
        <v>156</v>
      </c>
      <c r="F1782" s="9" t="s">
        <v>156</v>
      </c>
      <c r="G1782" t="s">
        <v>3366</v>
      </c>
      <c r="H1782">
        <v>9568.7999999999993</v>
      </c>
      <c r="I1782">
        <v>956.88</v>
      </c>
      <c r="J1782">
        <v>9135.1</v>
      </c>
      <c r="K1782">
        <v>913.51</v>
      </c>
      <c r="L1782">
        <v>433.7</v>
      </c>
      <c r="M1782">
        <v>43.37</v>
      </c>
      <c r="O1782" s="79">
        <f>IFERROR(VLOOKUP(D1782,'KAPANAN BLD.'!$C$2:$D$793,2,FALSE),0)</f>
        <v>0</v>
      </c>
      <c r="P1782" s="79">
        <v>0</v>
      </c>
    </row>
    <row r="1783" spans="1:16" x14ac:dyDescent="0.25">
      <c r="A1783" t="s">
        <v>32</v>
      </c>
      <c r="B1783" s="73" t="str">
        <f t="shared" si="43"/>
        <v>LÜLEBURGAZ</v>
      </c>
      <c r="C1783" t="s">
        <v>155</v>
      </c>
      <c r="D1783" s="73" t="str">
        <f t="shared" si="42"/>
        <v>LÜLEBURGAZ/KIRKLARELİ</v>
      </c>
      <c r="E1783" s="9" t="s">
        <v>156</v>
      </c>
      <c r="F1783" s="9" t="s">
        <v>156</v>
      </c>
      <c r="G1783" t="s">
        <v>3367</v>
      </c>
      <c r="H1783">
        <v>5740.9</v>
      </c>
      <c r="I1783">
        <v>574.09</v>
      </c>
      <c r="J1783">
        <v>234</v>
      </c>
      <c r="K1783">
        <v>23.4</v>
      </c>
      <c r="L1783">
        <v>5506.9</v>
      </c>
      <c r="M1783">
        <v>550.69000000000005</v>
      </c>
      <c r="O1783" s="79">
        <f>IFERROR(VLOOKUP(D1783,'KAPANAN BLD.'!$C$2:$D$793,2,FALSE),0)</f>
        <v>0</v>
      </c>
      <c r="P1783" s="79">
        <v>0</v>
      </c>
    </row>
    <row r="1784" spans="1:16" x14ac:dyDescent="0.25">
      <c r="A1784" t="s">
        <v>32</v>
      </c>
      <c r="B1784" s="73" t="str">
        <f t="shared" si="43"/>
        <v>BABAESKİ</v>
      </c>
      <c r="C1784" t="s">
        <v>155</v>
      </c>
      <c r="D1784" s="73" t="str">
        <f t="shared" si="42"/>
        <v>BABAESKİ/KIRKLARELİ</v>
      </c>
      <c r="E1784" s="9" t="s">
        <v>295</v>
      </c>
      <c r="F1784" s="9" t="s">
        <v>295</v>
      </c>
      <c r="G1784" t="s">
        <v>3367</v>
      </c>
      <c r="H1784">
        <v>126.1</v>
      </c>
      <c r="I1784">
        <v>12.61</v>
      </c>
      <c r="J1784">
        <v>0</v>
      </c>
      <c r="K1784">
        <v>0</v>
      </c>
      <c r="L1784">
        <v>126.1</v>
      </c>
      <c r="M1784">
        <v>12.61</v>
      </c>
      <c r="O1784" s="79">
        <f>IFERROR(VLOOKUP(D1784,'KAPANAN BLD.'!$C$2:$D$793,2,FALSE),0)</f>
        <v>0</v>
      </c>
      <c r="P1784" s="79">
        <v>0</v>
      </c>
    </row>
    <row r="1785" spans="1:16" x14ac:dyDescent="0.25">
      <c r="A1785" t="s">
        <v>32</v>
      </c>
      <c r="B1785" s="73" t="str">
        <f t="shared" si="43"/>
        <v>BABAESKİ</v>
      </c>
      <c r="C1785" t="s">
        <v>155</v>
      </c>
      <c r="D1785" s="73" t="str">
        <f t="shared" si="42"/>
        <v>BABAESKİ/KIRKLARELİ</v>
      </c>
      <c r="E1785" s="9" t="s">
        <v>295</v>
      </c>
      <c r="F1785" s="9" t="s">
        <v>295</v>
      </c>
      <c r="G1785" t="s">
        <v>3366</v>
      </c>
      <c r="H1785">
        <v>45.6</v>
      </c>
      <c r="I1785">
        <v>4.5599999999999996</v>
      </c>
      <c r="J1785">
        <v>0</v>
      </c>
      <c r="K1785">
        <v>0</v>
      </c>
      <c r="L1785">
        <v>45.6</v>
      </c>
      <c r="M1785">
        <v>4.5599999999999996</v>
      </c>
      <c r="O1785" s="79">
        <f>IFERROR(VLOOKUP(D1785,'KAPANAN BLD.'!$C$2:$D$793,2,FALSE),0)</f>
        <v>0</v>
      </c>
      <c r="P1785" s="79">
        <v>0</v>
      </c>
    </row>
    <row r="1786" spans="1:16" x14ac:dyDescent="0.25">
      <c r="A1786" t="s">
        <v>32</v>
      </c>
      <c r="B1786" s="73" t="str">
        <f t="shared" si="43"/>
        <v>MERKEZ</v>
      </c>
      <c r="C1786" t="s">
        <v>155</v>
      </c>
      <c r="D1786" s="73" t="str">
        <f t="shared" si="42"/>
        <v>MERKEZ/KIRKLARELİ</v>
      </c>
      <c r="E1786" s="9" t="s">
        <v>34</v>
      </c>
      <c r="F1786" s="9" t="s">
        <v>34</v>
      </c>
      <c r="G1786" t="s">
        <v>3366</v>
      </c>
      <c r="H1786">
        <v>854.2</v>
      </c>
      <c r="I1786">
        <v>85.42</v>
      </c>
      <c r="J1786">
        <v>0</v>
      </c>
      <c r="K1786">
        <v>0</v>
      </c>
      <c r="L1786">
        <v>854.2</v>
      </c>
      <c r="M1786">
        <v>85.42</v>
      </c>
      <c r="O1786" s="79">
        <f>IFERROR(VLOOKUP(D1786,'KAPANAN BLD.'!$C$2:$D$793,2,FALSE),0)</f>
        <v>0</v>
      </c>
      <c r="P1786" s="79">
        <v>0</v>
      </c>
    </row>
    <row r="1787" spans="1:16" x14ac:dyDescent="0.25">
      <c r="A1787" t="s">
        <v>32</v>
      </c>
      <c r="B1787" s="73" t="str">
        <f t="shared" si="43"/>
        <v>MERKEZ</v>
      </c>
      <c r="C1787" t="s">
        <v>155</v>
      </c>
      <c r="D1787" s="73" t="str">
        <f t="shared" si="42"/>
        <v>MERKEZ/KIRKLARELİ</v>
      </c>
      <c r="E1787" s="9" t="s">
        <v>34</v>
      </c>
      <c r="F1787" s="9" t="s">
        <v>34</v>
      </c>
      <c r="G1787" t="s">
        <v>3367</v>
      </c>
      <c r="H1787">
        <v>320.7</v>
      </c>
      <c r="I1787">
        <v>32.07</v>
      </c>
      <c r="J1787">
        <v>0.1</v>
      </c>
      <c r="K1787">
        <v>0.01</v>
      </c>
      <c r="L1787">
        <v>320.60000000000002</v>
      </c>
      <c r="M1787">
        <v>32.06</v>
      </c>
      <c r="O1787" s="79">
        <f>IFERROR(VLOOKUP(D1787,'KAPANAN BLD.'!$C$2:$D$793,2,FALSE),0)</f>
        <v>0</v>
      </c>
      <c r="P1787" s="79">
        <v>0</v>
      </c>
    </row>
    <row r="1788" spans="1:16" x14ac:dyDescent="0.25">
      <c r="A1788" t="s">
        <v>32</v>
      </c>
      <c r="B1788" s="73" t="str">
        <f t="shared" si="43"/>
        <v>VİZE</v>
      </c>
      <c r="C1788" t="s">
        <v>155</v>
      </c>
      <c r="D1788" s="73" t="str">
        <f t="shared" si="42"/>
        <v>VİZE/KIRKLARELİ</v>
      </c>
      <c r="E1788" t="s">
        <v>18</v>
      </c>
      <c r="F1788" t="s">
        <v>18</v>
      </c>
      <c r="G1788" t="s">
        <v>3366</v>
      </c>
      <c r="H1788">
        <v>0.3</v>
      </c>
      <c r="I1788">
        <v>0.03</v>
      </c>
      <c r="J1788">
        <v>0</v>
      </c>
      <c r="K1788">
        <v>0</v>
      </c>
      <c r="L1788">
        <v>0.3</v>
      </c>
      <c r="M1788">
        <v>0.03</v>
      </c>
      <c r="O1788" s="79">
        <f>IFERROR(VLOOKUP(D1788,'KAPANAN BLD.'!$C$2:$D$793,2,FALSE),0)</f>
        <v>0</v>
      </c>
      <c r="P1788" s="79">
        <v>0</v>
      </c>
    </row>
    <row r="1789" spans="1:16" x14ac:dyDescent="0.25">
      <c r="A1789" t="s">
        <v>32</v>
      </c>
      <c r="B1789" s="73" t="str">
        <f t="shared" si="43"/>
        <v>VİZE</v>
      </c>
      <c r="C1789" t="s">
        <v>155</v>
      </c>
      <c r="D1789" s="73" t="str">
        <f t="shared" si="42"/>
        <v>VİZE/KIRKLARELİ</v>
      </c>
      <c r="E1789" t="s">
        <v>18</v>
      </c>
      <c r="F1789" t="s">
        <v>18</v>
      </c>
      <c r="G1789" t="s">
        <v>3367</v>
      </c>
      <c r="H1789">
        <v>1.7</v>
      </c>
      <c r="I1789">
        <v>0.17</v>
      </c>
      <c r="J1789">
        <v>0</v>
      </c>
      <c r="K1789">
        <v>0</v>
      </c>
      <c r="L1789">
        <v>1.7</v>
      </c>
      <c r="M1789">
        <v>0.17</v>
      </c>
      <c r="O1789" s="79">
        <f>IFERROR(VLOOKUP(D1789,'KAPANAN BLD.'!$C$2:$D$793,2,FALSE),0)</f>
        <v>0</v>
      </c>
      <c r="P1789" s="79">
        <v>0</v>
      </c>
    </row>
    <row r="1790" spans="1:16" x14ac:dyDescent="0.25">
      <c r="A1790" t="s">
        <v>32</v>
      </c>
      <c r="B1790" s="73" t="str">
        <f t="shared" si="43"/>
        <v>KAMAN</v>
      </c>
      <c r="C1790" t="s">
        <v>144</v>
      </c>
      <c r="D1790" s="73" t="str">
        <f t="shared" si="42"/>
        <v>KAMAN/KIRŞEHİR</v>
      </c>
      <c r="E1790" s="9" t="s">
        <v>321</v>
      </c>
      <c r="F1790" s="9" t="s">
        <v>321</v>
      </c>
      <c r="G1790" t="s">
        <v>3367</v>
      </c>
      <c r="H1790">
        <v>0.1</v>
      </c>
      <c r="I1790">
        <v>0.01</v>
      </c>
      <c r="J1790">
        <v>0</v>
      </c>
      <c r="K1790">
        <v>0</v>
      </c>
      <c r="L1790">
        <v>0.1</v>
      </c>
      <c r="M1790">
        <v>0.01</v>
      </c>
      <c r="O1790" s="79">
        <f>IFERROR(VLOOKUP(D1790,'KAPANAN BLD.'!$C$2:$D$793,2,FALSE),0)</f>
        <v>0</v>
      </c>
      <c r="P1790" s="79">
        <v>0</v>
      </c>
    </row>
    <row r="1791" spans="1:16" x14ac:dyDescent="0.25">
      <c r="A1791" t="s">
        <v>32</v>
      </c>
      <c r="B1791" s="73" t="str">
        <f t="shared" si="43"/>
        <v>KAMAN</v>
      </c>
      <c r="C1791" t="s">
        <v>144</v>
      </c>
      <c r="D1791" s="73" t="str">
        <f t="shared" si="42"/>
        <v>KAMAN/KIRŞEHİR</v>
      </c>
      <c r="E1791" s="9" t="s">
        <v>321</v>
      </c>
      <c r="F1791" s="9" t="s">
        <v>321</v>
      </c>
      <c r="G1791" t="s">
        <v>3366</v>
      </c>
      <c r="H1791">
        <v>1449.3</v>
      </c>
      <c r="I1791">
        <v>144.93</v>
      </c>
      <c r="J1791">
        <v>0</v>
      </c>
      <c r="K1791">
        <v>0</v>
      </c>
      <c r="L1791">
        <v>1449.3</v>
      </c>
      <c r="M1791">
        <v>144.93</v>
      </c>
      <c r="O1791" s="79">
        <f>IFERROR(VLOOKUP(D1791,'KAPANAN BLD.'!$C$2:$D$793,2,FALSE),0)</f>
        <v>0</v>
      </c>
      <c r="P1791" s="79">
        <v>0</v>
      </c>
    </row>
    <row r="1792" spans="1:16" x14ac:dyDescent="0.25">
      <c r="A1792" t="s">
        <v>32</v>
      </c>
      <c r="B1792" s="73" t="str">
        <f t="shared" si="43"/>
        <v>ÇİÇEKDAĞI</v>
      </c>
      <c r="C1792" t="s">
        <v>144</v>
      </c>
      <c r="D1792" s="73" t="str">
        <f t="shared" si="42"/>
        <v>ÇİÇEKDAĞI/KIRŞEHİR</v>
      </c>
      <c r="E1792" s="9" t="s">
        <v>622</v>
      </c>
      <c r="F1792" s="9" t="s">
        <v>622</v>
      </c>
      <c r="G1792" t="s">
        <v>3366</v>
      </c>
      <c r="H1792">
        <v>402.8</v>
      </c>
      <c r="I1792">
        <v>40.28</v>
      </c>
      <c r="J1792">
        <v>0</v>
      </c>
      <c r="K1792">
        <v>0</v>
      </c>
      <c r="L1792">
        <v>402.8</v>
      </c>
      <c r="M1792">
        <v>40.28</v>
      </c>
      <c r="O1792" s="79">
        <f>IFERROR(VLOOKUP(D1792,'KAPANAN BLD.'!$C$2:$D$793,2,FALSE),0)</f>
        <v>0</v>
      </c>
      <c r="P1792" s="79">
        <v>0</v>
      </c>
    </row>
    <row r="1793" spans="1:16" x14ac:dyDescent="0.25">
      <c r="A1793" t="s">
        <v>32</v>
      </c>
      <c r="B1793" s="73" t="str">
        <f t="shared" si="43"/>
        <v>ÇİÇEKDAĞI</v>
      </c>
      <c r="C1793" t="s">
        <v>144</v>
      </c>
      <c r="D1793" s="73" t="str">
        <f t="shared" si="42"/>
        <v>ÇİÇEKDAĞI/KIRŞEHİR</v>
      </c>
      <c r="E1793" s="9" t="s">
        <v>622</v>
      </c>
      <c r="F1793" s="9" t="s">
        <v>622</v>
      </c>
      <c r="G1793" t="s">
        <v>3367</v>
      </c>
      <c r="H1793">
        <v>45</v>
      </c>
      <c r="I1793">
        <v>4.5</v>
      </c>
      <c r="J1793">
        <v>0</v>
      </c>
      <c r="K1793">
        <v>0</v>
      </c>
      <c r="L1793">
        <v>45</v>
      </c>
      <c r="M1793">
        <v>4.5</v>
      </c>
      <c r="O1793" s="79">
        <f>IFERROR(VLOOKUP(D1793,'KAPANAN BLD.'!$C$2:$D$793,2,FALSE),0)</f>
        <v>0</v>
      </c>
      <c r="P1793" s="79">
        <v>0</v>
      </c>
    </row>
    <row r="1794" spans="1:16" x14ac:dyDescent="0.25">
      <c r="A1794" t="s">
        <v>32</v>
      </c>
      <c r="B1794" s="73" t="str">
        <f t="shared" si="43"/>
        <v>MERKEZ</v>
      </c>
      <c r="C1794" t="s">
        <v>144</v>
      </c>
      <c r="D1794" s="73" t="str">
        <f t="shared" si="42"/>
        <v>MERKEZ/KIRŞEHİR</v>
      </c>
      <c r="E1794" s="9" t="s">
        <v>34</v>
      </c>
      <c r="F1794" s="9" t="s">
        <v>34</v>
      </c>
      <c r="G1794" t="s">
        <v>3367</v>
      </c>
      <c r="H1794">
        <v>2913.3</v>
      </c>
      <c r="I1794">
        <v>291.33</v>
      </c>
      <c r="J1794">
        <v>0</v>
      </c>
      <c r="K1794">
        <v>0</v>
      </c>
      <c r="L1794">
        <v>2913.3</v>
      </c>
      <c r="M1794">
        <v>291.33</v>
      </c>
      <c r="O1794" s="79">
        <f>IFERROR(VLOOKUP(D1794,'KAPANAN BLD.'!$C$2:$D$793,2,FALSE),0)</f>
        <v>0</v>
      </c>
      <c r="P1794" s="79">
        <v>0</v>
      </c>
    </row>
    <row r="1795" spans="1:16" x14ac:dyDescent="0.25">
      <c r="A1795" t="s">
        <v>32</v>
      </c>
      <c r="B1795" s="73" t="str">
        <f t="shared" si="43"/>
        <v>MERKEZ</v>
      </c>
      <c r="C1795" t="s">
        <v>144</v>
      </c>
      <c r="D1795" s="73" t="str">
        <f t="shared" ref="D1795:D1858" si="44">CONCATENATE(B1795,"/",C1795)</f>
        <v>MERKEZ/KIRŞEHİR</v>
      </c>
      <c r="E1795" s="9" t="s">
        <v>34</v>
      </c>
      <c r="F1795" s="9" t="s">
        <v>34</v>
      </c>
      <c r="G1795" t="s">
        <v>3366</v>
      </c>
      <c r="H1795">
        <v>278</v>
      </c>
      <c r="I1795">
        <v>27.8</v>
      </c>
      <c r="J1795">
        <v>0</v>
      </c>
      <c r="K1795">
        <v>0</v>
      </c>
      <c r="L1795">
        <v>278</v>
      </c>
      <c r="M1795">
        <v>27.8</v>
      </c>
      <c r="O1795" s="79">
        <f>IFERROR(VLOOKUP(D1795,'KAPANAN BLD.'!$C$2:$D$793,2,FALSE),0)</f>
        <v>0</v>
      </c>
      <c r="P1795" s="79">
        <v>0</v>
      </c>
    </row>
    <row r="1796" spans="1:16" x14ac:dyDescent="0.25">
      <c r="A1796" t="s">
        <v>32</v>
      </c>
      <c r="B1796" s="73" t="str">
        <f t="shared" si="43"/>
        <v>KAMAN</v>
      </c>
      <c r="C1796" t="s">
        <v>144</v>
      </c>
      <c r="D1796" s="73" t="str">
        <f t="shared" si="44"/>
        <v>KAMAN/KIRŞEHİR</v>
      </c>
      <c r="E1796" s="9" t="s">
        <v>321</v>
      </c>
      <c r="F1796" s="9" t="s">
        <v>321</v>
      </c>
      <c r="G1796" t="s">
        <v>3366</v>
      </c>
      <c r="H1796">
        <v>207.4</v>
      </c>
      <c r="I1796">
        <v>20.74</v>
      </c>
      <c r="J1796">
        <v>0</v>
      </c>
      <c r="K1796">
        <v>0</v>
      </c>
      <c r="L1796">
        <v>207.4</v>
      </c>
      <c r="M1796">
        <v>20.74</v>
      </c>
      <c r="O1796" s="79">
        <f>IFERROR(VLOOKUP(D1796,'KAPANAN BLD.'!$C$2:$D$793,2,FALSE),0)</f>
        <v>0</v>
      </c>
      <c r="P1796" s="79">
        <v>0</v>
      </c>
    </row>
    <row r="1797" spans="1:16" x14ac:dyDescent="0.25">
      <c r="A1797" t="s">
        <v>32</v>
      </c>
      <c r="B1797" s="73" t="str">
        <f t="shared" ref="B1797:B1819" si="45">F1797</f>
        <v>KAMAN</v>
      </c>
      <c r="C1797" t="s">
        <v>144</v>
      </c>
      <c r="D1797" s="73" t="str">
        <f t="shared" si="44"/>
        <v>KAMAN/KIRŞEHİR</v>
      </c>
      <c r="E1797" s="9" t="s">
        <v>321</v>
      </c>
      <c r="F1797" s="9" t="s">
        <v>321</v>
      </c>
      <c r="G1797" t="s">
        <v>3367</v>
      </c>
      <c r="H1797">
        <v>243.9</v>
      </c>
      <c r="I1797">
        <v>24.39</v>
      </c>
      <c r="J1797">
        <v>0</v>
      </c>
      <c r="K1797">
        <v>0</v>
      </c>
      <c r="L1797">
        <v>243.9</v>
      </c>
      <c r="M1797">
        <v>24.39</v>
      </c>
      <c r="O1797" s="79">
        <f>IFERROR(VLOOKUP(D1797,'KAPANAN BLD.'!$C$2:$D$793,2,FALSE),0)</f>
        <v>0</v>
      </c>
      <c r="P1797" s="79">
        <v>0</v>
      </c>
    </row>
    <row r="1798" spans="1:16" x14ac:dyDescent="0.25">
      <c r="A1798" t="s">
        <v>32</v>
      </c>
      <c r="B1798" s="73" t="str">
        <f t="shared" si="45"/>
        <v>KAMAN</v>
      </c>
      <c r="C1798" t="s">
        <v>144</v>
      </c>
      <c r="D1798" s="73" t="str">
        <f t="shared" si="44"/>
        <v>KAMAN/KIRŞEHİR</v>
      </c>
      <c r="E1798" t="s">
        <v>321</v>
      </c>
      <c r="F1798" t="s">
        <v>321</v>
      </c>
      <c r="G1798" t="s">
        <v>3366</v>
      </c>
      <c r="H1798">
        <v>2503.5</v>
      </c>
      <c r="I1798">
        <v>250.35</v>
      </c>
      <c r="J1798">
        <v>0</v>
      </c>
      <c r="K1798">
        <v>0</v>
      </c>
      <c r="L1798">
        <v>2503.5</v>
      </c>
      <c r="M1798">
        <v>250.35</v>
      </c>
      <c r="O1798" s="79">
        <f>IFERROR(VLOOKUP(D1798,'KAPANAN BLD.'!$C$2:$D$793,2,FALSE),0)</f>
        <v>0</v>
      </c>
      <c r="P1798" s="79">
        <v>0</v>
      </c>
    </row>
    <row r="1799" spans="1:16" x14ac:dyDescent="0.25">
      <c r="A1799" t="s">
        <v>32</v>
      </c>
      <c r="B1799" s="73" t="str">
        <f t="shared" si="45"/>
        <v>KAMAN</v>
      </c>
      <c r="C1799" t="s">
        <v>144</v>
      </c>
      <c r="D1799" s="73" t="str">
        <f t="shared" si="44"/>
        <v>KAMAN/KIRŞEHİR</v>
      </c>
      <c r="E1799" t="s">
        <v>321</v>
      </c>
      <c r="F1799" t="s">
        <v>321</v>
      </c>
      <c r="G1799" t="s">
        <v>3367</v>
      </c>
      <c r="H1799">
        <v>3271.5</v>
      </c>
      <c r="I1799">
        <v>327.14999999999998</v>
      </c>
      <c r="J1799">
        <v>0</v>
      </c>
      <c r="K1799">
        <v>0</v>
      </c>
      <c r="L1799">
        <v>3271.5</v>
      </c>
      <c r="M1799">
        <v>327.14999999999998</v>
      </c>
      <c r="O1799" s="79">
        <f>IFERROR(VLOOKUP(D1799,'KAPANAN BLD.'!$C$2:$D$793,2,FALSE),0)</f>
        <v>0</v>
      </c>
      <c r="P1799" s="79">
        <v>0</v>
      </c>
    </row>
    <row r="1800" spans="1:16" x14ac:dyDescent="0.25">
      <c r="A1800" t="s">
        <v>32</v>
      </c>
      <c r="B1800" s="73" t="str">
        <f t="shared" si="45"/>
        <v>AKPINAR</v>
      </c>
      <c r="C1800" t="s">
        <v>144</v>
      </c>
      <c r="D1800" s="73" t="str">
        <f t="shared" si="44"/>
        <v>AKPINAR/KIRŞEHİR</v>
      </c>
      <c r="E1800" s="9" t="s">
        <v>2057</v>
      </c>
      <c r="F1800" s="9" t="s">
        <v>2057</v>
      </c>
      <c r="G1800" t="s">
        <v>3367</v>
      </c>
      <c r="H1800">
        <v>110.2</v>
      </c>
      <c r="I1800">
        <v>11.02</v>
      </c>
      <c r="J1800">
        <v>0</v>
      </c>
      <c r="K1800">
        <v>0</v>
      </c>
      <c r="L1800">
        <v>110.2</v>
      </c>
      <c r="M1800">
        <v>11.02</v>
      </c>
      <c r="O1800" s="79">
        <f>IFERROR(VLOOKUP(D1800,'KAPANAN BLD.'!$C$2:$D$793,2,FALSE),0)</f>
        <v>0</v>
      </c>
      <c r="P1800" s="79">
        <v>0</v>
      </c>
    </row>
    <row r="1801" spans="1:16" x14ac:dyDescent="0.25">
      <c r="A1801" t="s">
        <v>32</v>
      </c>
      <c r="B1801" s="73" t="str">
        <f t="shared" si="45"/>
        <v>AKPINAR</v>
      </c>
      <c r="C1801" t="s">
        <v>144</v>
      </c>
      <c r="D1801" s="73" t="str">
        <f t="shared" si="44"/>
        <v>AKPINAR/KIRŞEHİR</v>
      </c>
      <c r="E1801" s="9" t="s">
        <v>2057</v>
      </c>
      <c r="F1801" s="9" t="s">
        <v>2057</v>
      </c>
      <c r="G1801" t="s">
        <v>3366</v>
      </c>
      <c r="H1801">
        <v>587.1</v>
      </c>
      <c r="I1801">
        <v>58.71</v>
      </c>
      <c r="J1801">
        <v>0</v>
      </c>
      <c r="K1801">
        <v>0</v>
      </c>
      <c r="L1801">
        <v>587.1</v>
      </c>
      <c r="M1801">
        <v>58.71</v>
      </c>
      <c r="O1801" s="79">
        <f>IFERROR(VLOOKUP(D1801,'KAPANAN BLD.'!$C$2:$D$793,2,FALSE),0)</f>
        <v>0</v>
      </c>
      <c r="P1801" s="79">
        <v>0</v>
      </c>
    </row>
    <row r="1802" spans="1:16" x14ac:dyDescent="0.25">
      <c r="A1802" t="s">
        <v>32</v>
      </c>
      <c r="B1802" s="73" t="str">
        <f t="shared" si="45"/>
        <v>MERKEZ</v>
      </c>
      <c r="C1802" t="s">
        <v>144</v>
      </c>
      <c r="D1802" s="73" t="str">
        <f t="shared" si="44"/>
        <v>MERKEZ/KIRŞEHİR</v>
      </c>
      <c r="E1802" t="s">
        <v>34</v>
      </c>
      <c r="F1802" t="s">
        <v>34</v>
      </c>
      <c r="G1802" t="s">
        <v>3366</v>
      </c>
      <c r="H1802">
        <v>289.3</v>
      </c>
      <c r="I1802">
        <v>28.93</v>
      </c>
      <c r="J1802">
        <v>0</v>
      </c>
      <c r="K1802">
        <v>0</v>
      </c>
      <c r="L1802">
        <v>289.3</v>
      </c>
      <c r="M1802">
        <v>28.93</v>
      </c>
      <c r="O1802" s="79">
        <f>IFERROR(VLOOKUP(D1802,'KAPANAN BLD.'!$C$2:$D$793,2,FALSE),0)</f>
        <v>0</v>
      </c>
      <c r="P1802" s="79">
        <v>0</v>
      </c>
    </row>
    <row r="1803" spans="1:16" x14ac:dyDescent="0.25">
      <c r="A1803" t="s">
        <v>32</v>
      </c>
      <c r="B1803" s="73" t="str">
        <f t="shared" si="45"/>
        <v>MERKEZ</v>
      </c>
      <c r="C1803" t="s">
        <v>144</v>
      </c>
      <c r="D1803" s="73" t="str">
        <f t="shared" si="44"/>
        <v>MERKEZ/KIRŞEHİR</v>
      </c>
      <c r="E1803" t="s">
        <v>34</v>
      </c>
      <c r="F1803" t="s">
        <v>34</v>
      </c>
      <c r="G1803" t="s">
        <v>3367</v>
      </c>
      <c r="H1803">
        <v>2971.7</v>
      </c>
      <c r="I1803">
        <v>297.17</v>
      </c>
      <c r="J1803">
        <v>0</v>
      </c>
      <c r="K1803">
        <v>0</v>
      </c>
      <c r="L1803">
        <v>2971.7</v>
      </c>
      <c r="M1803">
        <v>297.17</v>
      </c>
      <c r="O1803" s="79">
        <f>IFERROR(VLOOKUP(D1803,'KAPANAN BLD.'!$C$2:$D$793,2,FALSE),0)</f>
        <v>0</v>
      </c>
      <c r="P1803" s="79">
        <v>0</v>
      </c>
    </row>
    <row r="1804" spans="1:16" x14ac:dyDescent="0.25">
      <c r="A1804" t="s">
        <v>32</v>
      </c>
      <c r="B1804" s="73" t="str">
        <f t="shared" si="45"/>
        <v>MERKEZ</v>
      </c>
      <c r="C1804" t="s">
        <v>144</v>
      </c>
      <c r="D1804" s="73" t="str">
        <f t="shared" si="44"/>
        <v>MERKEZ/KIRŞEHİR</v>
      </c>
      <c r="E1804" t="s">
        <v>34</v>
      </c>
      <c r="F1804" t="s">
        <v>34</v>
      </c>
      <c r="G1804" t="s">
        <v>3366</v>
      </c>
      <c r="H1804">
        <v>3379.9</v>
      </c>
      <c r="I1804">
        <v>337.99</v>
      </c>
      <c r="J1804">
        <v>0</v>
      </c>
      <c r="K1804">
        <v>0</v>
      </c>
      <c r="L1804">
        <v>3379.9</v>
      </c>
      <c r="M1804">
        <v>337.99</v>
      </c>
      <c r="O1804" s="79">
        <f>IFERROR(VLOOKUP(D1804,'KAPANAN BLD.'!$C$2:$D$793,2,FALSE),0)</f>
        <v>0</v>
      </c>
      <c r="P1804" s="79">
        <v>0</v>
      </c>
    </row>
    <row r="1805" spans="1:16" x14ac:dyDescent="0.25">
      <c r="A1805" t="s">
        <v>32</v>
      </c>
      <c r="B1805" s="73" t="str">
        <f t="shared" si="45"/>
        <v>MERKEZ</v>
      </c>
      <c r="C1805" t="s">
        <v>144</v>
      </c>
      <c r="D1805" s="73" t="str">
        <f t="shared" si="44"/>
        <v>MERKEZ/KIRŞEHİR</v>
      </c>
      <c r="E1805" t="s">
        <v>34</v>
      </c>
      <c r="F1805" t="s">
        <v>34</v>
      </c>
      <c r="G1805" t="s">
        <v>3367</v>
      </c>
      <c r="H1805">
        <v>2417</v>
      </c>
      <c r="I1805">
        <v>241.7</v>
      </c>
      <c r="J1805">
        <v>0</v>
      </c>
      <c r="K1805">
        <v>0</v>
      </c>
      <c r="L1805">
        <v>2417</v>
      </c>
      <c r="M1805">
        <v>241.7</v>
      </c>
      <c r="O1805" s="79">
        <f>IFERROR(VLOOKUP(D1805,'KAPANAN BLD.'!$C$2:$D$793,2,FALSE),0)</f>
        <v>0</v>
      </c>
      <c r="P1805" s="79">
        <v>0</v>
      </c>
    </row>
    <row r="1806" spans="1:16" x14ac:dyDescent="0.25">
      <c r="A1806" t="s">
        <v>32</v>
      </c>
      <c r="B1806" s="73" t="str">
        <f t="shared" si="45"/>
        <v>MERKEZ</v>
      </c>
      <c r="C1806" t="s">
        <v>144</v>
      </c>
      <c r="D1806" s="73" t="str">
        <f t="shared" si="44"/>
        <v>MERKEZ/KIRŞEHİR</v>
      </c>
      <c r="E1806" t="s">
        <v>34</v>
      </c>
      <c r="F1806" t="s">
        <v>34</v>
      </c>
      <c r="G1806" t="s">
        <v>3367</v>
      </c>
      <c r="H1806">
        <v>1893.7</v>
      </c>
      <c r="I1806">
        <v>189.37</v>
      </c>
      <c r="J1806">
        <v>0</v>
      </c>
      <c r="K1806">
        <v>0</v>
      </c>
      <c r="L1806">
        <v>1893.7</v>
      </c>
      <c r="M1806">
        <v>189.37</v>
      </c>
      <c r="O1806" s="79">
        <f>IFERROR(VLOOKUP(D1806,'KAPANAN BLD.'!$C$2:$D$793,2,FALSE),0)</f>
        <v>0</v>
      </c>
      <c r="P1806" s="79">
        <v>0</v>
      </c>
    </row>
    <row r="1807" spans="1:16" x14ac:dyDescent="0.25">
      <c r="A1807" t="s">
        <v>32</v>
      </c>
      <c r="B1807" s="73" t="str">
        <f t="shared" si="45"/>
        <v>MERKEZ</v>
      </c>
      <c r="C1807" t="s">
        <v>144</v>
      </c>
      <c r="D1807" s="73" t="str">
        <f t="shared" si="44"/>
        <v>MERKEZ/KIRŞEHİR</v>
      </c>
      <c r="E1807" t="s">
        <v>34</v>
      </c>
      <c r="F1807" t="s">
        <v>34</v>
      </c>
      <c r="G1807" t="s">
        <v>3366</v>
      </c>
      <c r="H1807">
        <v>711</v>
      </c>
      <c r="I1807">
        <v>71.099999999999994</v>
      </c>
      <c r="J1807">
        <v>0</v>
      </c>
      <c r="K1807">
        <v>0</v>
      </c>
      <c r="L1807">
        <v>711</v>
      </c>
      <c r="M1807">
        <v>71.099999999999994</v>
      </c>
      <c r="O1807" s="79">
        <f>IFERROR(VLOOKUP(D1807,'KAPANAN BLD.'!$C$2:$D$793,2,FALSE),0)</f>
        <v>0</v>
      </c>
      <c r="P1807" s="79">
        <v>0</v>
      </c>
    </row>
    <row r="1808" spans="1:16" x14ac:dyDescent="0.25">
      <c r="A1808" t="s">
        <v>32</v>
      </c>
      <c r="B1808" s="73" t="str">
        <f t="shared" si="45"/>
        <v>MUCUR</v>
      </c>
      <c r="C1808" t="s">
        <v>144</v>
      </c>
      <c r="D1808" s="73" t="str">
        <f t="shared" si="44"/>
        <v>MUCUR/KIRŞEHİR</v>
      </c>
      <c r="E1808" t="s">
        <v>296</v>
      </c>
      <c r="F1808" t="s">
        <v>296</v>
      </c>
      <c r="G1808" t="s">
        <v>3367</v>
      </c>
      <c r="H1808">
        <v>325</v>
      </c>
      <c r="I1808">
        <v>32.5</v>
      </c>
      <c r="J1808">
        <v>0</v>
      </c>
      <c r="K1808">
        <v>0</v>
      </c>
      <c r="L1808">
        <v>325</v>
      </c>
      <c r="M1808">
        <v>32.5</v>
      </c>
      <c r="O1808" s="79">
        <f>IFERROR(VLOOKUP(D1808,'KAPANAN BLD.'!$C$2:$D$793,2,FALSE),0)</f>
        <v>0</v>
      </c>
      <c r="P1808" s="79">
        <v>0</v>
      </c>
    </row>
    <row r="1809" spans="1:16" x14ac:dyDescent="0.25">
      <c r="A1809" t="s">
        <v>32</v>
      </c>
      <c r="B1809" s="73" t="str">
        <f t="shared" si="45"/>
        <v>MUCUR</v>
      </c>
      <c r="C1809" t="s">
        <v>144</v>
      </c>
      <c r="D1809" s="73" t="str">
        <f t="shared" si="44"/>
        <v>MUCUR/KIRŞEHİR</v>
      </c>
      <c r="E1809" t="s">
        <v>296</v>
      </c>
      <c r="F1809" t="s">
        <v>296</v>
      </c>
      <c r="G1809" t="s">
        <v>3366</v>
      </c>
      <c r="H1809">
        <v>179.2</v>
      </c>
      <c r="I1809">
        <v>17.920000000000002</v>
      </c>
      <c r="J1809">
        <v>0</v>
      </c>
      <c r="K1809">
        <v>0</v>
      </c>
      <c r="L1809">
        <v>179.2</v>
      </c>
      <c r="M1809">
        <v>17.920000000000002</v>
      </c>
      <c r="O1809" s="79">
        <f>IFERROR(VLOOKUP(D1809,'KAPANAN BLD.'!$C$2:$D$793,2,FALSE),0)</f>
        <v>0</v>
      </c>
      <c r="P1809" s="79">
        <v>0</v>
      </c>
    </row>
    <row r="1810" spans="1:16" x14ac:dyDescent="0.25">
      <c r="A1810" t="s">
        <v>32</v>
      </c>
      <c r="B1810" s="73" t="str">
        <f t="shared" si="45"/>
        <v>MERKEZ</v>
      </c>
      <c r="C1810" t="s">
        <v>144</v>
      </c>
      <c r="D1810" s="73" t="str">
        <f t="shared" si="44"/>
        <v>MERKEZ/KIRŞEHİR</v>
      </c>
      <c r="E1810" s="9" t="s">
        <v>34</v>
      </c>
      <c r="F1810" s="9" t="s">
        <v>34</v>
      </c>
      <c r="G1810" t="s">
        <v>3366</v>
      </c>
      <c r="H1810">
        <v>106.6</v>
      </c>
      <c r="I1810">
        <v>10.66</v>
      </c>
      <c r="J1810">
        <v>0</v>
      </c>
      <c r="K1810">
        <v>0</v>
      </c>
      <c r="L1810">
        <v>106.6</v>
      </c>
      <c r="M1810">
        <v>10.66</v>
      </c>
      <c r="O1810" s="79">
        <f>IFERROR(VLOOKUP(D1810,'KAPANAN BLD.'!$C$2:$D$793,2,FALSE),0)</f>
        <v>0</v>
      </c>
      <c r="P1810" s="79">
        <v>0</v>
      </c>
    </row>
    <row r="1811" spans="1:16" x14ac:dyDescent="0.25">
      <c r="A1811" t="s">
        <v>32</v>
      </c>
      <c r="B1811" s="73" t="str">
        <f t="shared" si="45"/>
        <v>MERKEZ</v>
      </c>
      <c r="C1811" t="s">
        <v>144</v>
      </c>
      <c r="D1811" s="73" t="str">
        <f t="shared" si="44"/>
        <v>MERKEZ/KIRŞEHİR</v>
      </c>
      <c r="E1811" s="9" t="s">
        <v>34</v>
      </c>
      <c r="F1811" s="9" t="s">
        <v>34</v>
      </c>
      <c r="G1811" t="s">
        <v>3367</v>
      </c>
      <c r="H1811">
        <v>207</v>
      </c>
      <c r="I1811">
        <v>20.7</v>
      </c>
      <c r="J1811">
        <v>0</v>
      </c>
      <c r="K1811">
        <v>0</v>
      </c>
      <c r="L1811">
        <v>207</v>
      </c>
      <c r="M1811">
        <v>20.7</v>
      </c>
      <c r="O1811" s="79">
        <f>IFERROR(VLOOKUP(D1811,'KAPANAN BLD.'!$C$2:$D$793,2,FALSE),0)</f>
        <v>0</v>
      </c>
      <c r="P1811" s="79">
        <v>0</v>
      </c>
    </row>
    <row r="1812" spans="1:16" x14ac:dyDescent="0.25">
      <c r="A1812" t="s">
        <v>32</v>
      </c>
      <c r="B1812" s="73" t="str">
        <f t="shared" si="45"/>
        <v>MERKEZ</v>
      </c>
      <c r="C1812" t="s">
        <v>144</v>
      </c>
      <c r="D1812" s="73" t="str">
        <f t="shared" si="44"/>
        <v>MERKEZ/KIRŞEHİR</v>
      </c>
      <c r="E1812" s="9" t="s">
        <v>34</v>
      </c>
      <c r="F1812" s="9" t="s">
        <v>34</v>
      </c>
      <c r="G1812" t="s">
        <v>3366</v>
      </c>
      <c r="H1812">
        <v>365.2</v>
      </c>
      <c r="I1812">
        <v>36.520000000000003</v>
      </c>
      <c r="J1812">
        <v>0</v>
      </c>
      <c r="K1812">
        <v>0</v>
      </c>
      <c r="L1812">
        <v>365.2</v>
      </c>
      <c r="M1812">
        <v>36.520000000000003</v>
      </c>
      <c r="O1812" s="79">
        <f>IFERROR(VLOOKUP(D1812,'KAPANAN BLD.'!$C$2:$D$793,2,FALSE),0)</f>
        <v>0</v>
      </c>
      <c r="P1812" s="79">
        <v>0</v>
      </c>
    </row>
    <row r="1813" spans="1:16" x14ac:dyDescent="0.25">
      <c r="A1813" t="s">
        <v>32</v>
      </c>
      <c r="B1813" s="73" t="str">
        <f t="shared" si="45"/>
        <v>MERKEZ</v>
      </c>
      <c r="C1813" t="s">
        <v>144</v>
      </c>
      <c r="D1813" s="73" t="str">
        <f t="shared" si="44"/>
        <v>MERKEZ/KIRŞEHİR</v>
      </c>
      <c r="E1813" s="9" t="s">
        <v>34</v>
      </c>
      <c r="F1813" s="9" t="s">
        <v>34</v>
      </c>
      <c r="G1813" t="s">
        <v>3367</v>
      </c>
      <c r="H1813">
        <v>872.2</v>
      </c>
      <c r="I1813">
        <v>87.22</v>
      </c>
      <c r="J1813">
        <v>0</v>
      </c>
      <c r="K1813">
        <v>0</v>
      </c>
      <c r="L1813">
        <v>872.2</v>
      </c>
      <c r="M1813">
        <v>87.22</v>
      </c>
      <c r="O1813" s="79">
        <f>IFERROR(VLOOKUP(D1813,'KAPANAN BLD.'!$C$2:$D$793,2,FALSE),0)</f>
        <v>0</v>
      </c>
      <c r="P1813" s="79">
        <v>0</v>
      </c>
    </row>
    <row r="1814" spans="1:16" x14ac:dyDescent="0.25">
      <c r="A1814" t="s">
        <v>32</v>
      </c>
      <c r="B1814" s="73" t="str">
        <f t="shared" si="45"/>
        <v>MERKEZ</v>
      </c>
      <c r="C1814" t="s">
        <v>144</v>
      </c>
      <c r="D1814" s="73" t="str">
        <f t="shared" si="44"/>
        <v>MERKEZ/KIRŞEHİR</v>
      </c>
      <c r="E1814" s="9" t="s">
        <v>34</v>
      </c>
      <c r="F1814" s="9" t="s">
        <v>34</v>
      </c>
      <c r="G1814" t="s">
        <v>3366</v>
      </c>
      <c r="H1814">
        <v>1961.8</v>
      </c>
      <c r="I1814">
        <v>196.18</v>
      </c>
      <c r="J1814">
        <v>0</v>
      </c>
      <c r="K1814">
        <v>0</v>
      </c>
      <c r="L1814">
        <v>1961.8</v>
      </c>
      <c r="M1814">
        <v>196.18</v>
      </c>
      <c r="O1814" s="79">
        <f>IFERROR(VLOOKUP(D1814,'KAPANAN BLD.'!$C$2:$D$793,2,FALSE),0)</f>
        <v>0</v>
      </c>
      <c r="P1814" s="79">
        <v>0</v>
      </c>
    </row>
    <row r="1815" spans="1:16" x14ac:dyDescent="0.25">
      <c r="A1815" t="s">
        <v>32</v>
      </c>
      <c r="B1815" s="73" t="str">
        <f t="shared" si="45"/>
        <v>MERKEZ</v>
      </c>
      <c r="C1815" t="s">
        <v>144</v>
      </c>
      <c r="D1815" s="73" t="str">
        <f t="shared" si="44"/>
        <v>MERKEZ/KIRŞEHİR</v>
      </c>
      <c r="E1815" s="9" t="s">
        <v>34</v>
      </c>
      <c r="F1815" s="9" t="s">
        <v>34</v>
      </c>
      <c r="G1815" t="s">
        <v>3367</v>
      </c>
      <c r="H1815">
        <v>3752.4</v>
      </c>
      <c r="I1815">
        <v>375.24</v>
      </c>
      <c r="J1815">
        <v>0</v>
      </c>
      <c r="K1815">
        <v>0</v>
      </c>
      <c r="L1815">
        <v>3752.4</v>
      </c>
      <c r="M1815">
        <v>375.24</v>
      </c>
      <c r="O1815" s="79">
        <f>IFERROR(VLOOKUP(D1815,'KAPANAN BLD.'!$C$2:$D$793,2,FALSE),0)</f>
        <v>0</v>
      </c>
      <c r="P1815" s="79">
        <v>0</v>
      </c>
    </row>
    <row r="1816" spans="1:16" x14ac:dyDescent="0.25">
      <c r="A1816" t="s">
        <v>32</v>
      </c>
      <c r="B1816" s="73" t="str">
        <f t="shared" si="45"/>
        <v>MERKEZ</v>
      </c>
      <c r="C1816" t="s">
        <v>262</v>
      </c>
      <c r="D1816" s="73" t="str">
        <f t="shared" si="44"/>
        <v>MERKEZ/KİLİS</v>
      </c>
      <c r="E1816" t="s">
        <v>34</v>
      </c>
      <c r="F1816" t="s">
        <v>34</v>
      </c>
      <c r="G1816" t="s">
        <v>3367</v>
      </c>
      <c r="H1816">
        <v>1044.7</v>
      </c>
      <c r="I1816">
        <v>104.47</v>
      </c>
      <c r="J1816">
        <v>0</v>
      </c>
      <c r="K1816">
        <v>0</v>
      </c>
      <c r="L1816">
        <v>1044.7</v>
      </c>
      <c r="M1816">
        <v>104.47</v>
      </c>
      <c r="O1816" s="79">
        <f>IFERROR(VLOOKUP(D1816,'KAPANAN BLD.'!$C$2:$D$793,2,FALSE),0)</f>
        <v>0</v>
      </c>
      <c r="P1816" s="79">
        <v>0</v>
      </c>
    </row>
    <row r="1817" spans="1:16" x14ac:dyDescent="0.25">
      <c r="A1817" t="s">
        <v>32</v>
      </c>
      <c r="B1817" s="73" t="str">
        <f t="shared" si="45"/>
        <v>MERKEZ</v>
      </c>
      <c r="C1817" t="s">
        <v>262</v>
      </c>
      <c r="D1817" s="73" t="str">
        <f t="shared" si="44"/>
        <v>MERKEZ/KİLİS</v>
      </c>
      <c r="E1817" t="s">
        <v>34</v>
      </c>
      <c r="F1817" t="s">
        <v>34</v>
      </c>
      <c r="G1817" t="s">
        <v>3366</v>
      </c>
      <c r="H1817">
        <v>995.6</v>
      </c>
      <c r="I1817">
        <v>99.56</v>
      </c>
      <c r="J1817">
        <v>0</v>
      </c>
      <c r="K1817">
        <v>0</v>
      </c>
      <c r="L1817">
        <v>995.6</v>
      </c>
      <c r="M1817">
        <v>99.56</v>
      </c>
      <c r="O1817" s="79">
        <f>IFERROR(VLOOKUP(D1817,'KAPANAN BLD.'!$C$2:$D$793,2,FALSE),0)</f>
        <v>0</v>
      </c>
      <c r="P1817" s="79">
        <v>0</v>
      </c>
    </row>
    <row r="1818" spans="1:16" x14ac:dyDescent="0.25">
      <c r="A1818" t="s">
        <v>32</v>
      </c>
      <c r="B1818" s="73" t="str">
        <f t="shared" si="45"/>
        <v>MERKEZ</v>
      </c>
      <c r="C1818" t="s">
        <v>262</v>
      </c>
      <c r="D1818" s="73" t="str">
        <f t="shared" si="44"/>
        <v>MERKEZ/KİLİS</v>
      </c>
      <c r="E1818" s="9" t="s">
        <v>34</v>
      </c>
      <c r="F1818" s="9" t="s">
        <v>34</v>
      </c>
      <c r="G1818" t="s">
        <v>3367</v>
      </c>
      <c r="H1818">
        <v>301.10000000000002</v>
      </c>
      <c r="I1818">
        <v>30.11</v>
      </c>
      <c r="J1818">
        <v>0</v>
      </c>
      <c r="K1818">
        <v>0</v>
      </c>
      <c r="L1818">
        <v>301.10000000000002</v>
      </c>
      <c r="M1818">
        <v>30.11</v>
      </c>
      <c r="O1818" s="79">
        <f>IFERROR(VLOOKUP(D1818,'KAPANAN BLD.'!$C$2:$D$793,2,FALSE),0)</f>
        <v>0</v>
      </c>
      <c r="P1818" s="79">
        <v>0</v>
      </c>
    </row>
    <row r="1819" spans="1:16" x14ac:dyDescent="0.25">
      <c r="A1819" t="s">
        <v>32</v>
      </c>
      <c r="B1819" s="73" t="str">
        <f t="shared" si="45"/>
        <v>MERKEZ</v>
      </c>
      <c r="C1819" t="s">
        <v>262</v>
      </c>
      <c r="D1819" s="73" t="str">
        <f t="shared" si="44"/>
        <v>MERKEZ/KİLİS</v>
      </c>
      <c r="E1819" s="9" t="s">
        <v>34</v>
      </c>
      <c r="F1819" s="9" t="s">
        <v>34</v>
      </c>
      <c r="G1819" t="s">
        <v>3366</v>
      </c>
      <c r="H1819">
        <v>88.1</v>
      </c>
      <c r="I1819">
        <v>8.81</v>
      </c>
      <c r="J1819">
        <v>0</v>
      </c>
      <c r="K1819">
        <v>0</v>
      </c>
      <c r="L1819">
        <v>88.1</v>
      </c>
      <c r="M1819">
        <v>8.81</v>
      </c>
      <c r="O1819" s="79">
        <f>IFERROR(VLOOKUP(D1819,'KAPANAN BLD.'!$C$2:$D$793,2,FALSE),0)</f>
        <v>0</v>
      </c>
      <c r="P1819" s="79">
        <v>0</v>
      </c>
    </row>
    <row r="1820" spans="1:16" x14ac:dyDescent="0.25">
      <c r="A1820" t="s">
        <v>32</v>
      </c>
      <c r="B1820" s="73" t="str">
        <f>VLOOKUP(C1820,'Büyükşehir List'!$C$2:$D$31,2,FALSE)</f>
        <v>KOCAELİ BÜYÜKŞEHİR</v>
      </c>
      <c r="C1820" t="s">
        <v>117</v>
      </c>
      <c r="D1820" s="73" t="str">
        <f t="shared" si="44"/>
        <v>KOCAELİ BÜYÜKŞEHİR/KOCAELİ</v>
      </c>
      <c r="E1820" t="s">
        <v>3733</v>
      </c>
      <c r="F1820" t="s">
        <v>3733</v>
      </c>
      <c r="G1820" t="s">
        <v>3366</v>
      </c>
      <c r="H1820">
        <v>1254.4000000000001</v>
      </c>
      <c r="I1820">
        <v>125.44</v>
      </c>
      <c r="J1820">
        <v>13.4</v>
      </c>
      <c r="K1820">
        <v>1.34</v>
      </c>
      <c r="L1820">
        <v>1241</v>
      </c>
      <c r="M1820">
        <v>124.1</v>
      </c>
      <c r="O1820" s="79">
        <f>IFERROR(VLOOKUP(D1820,'KAPANAN BLD.'!$C$2:$D$793,2,FALSE),0)</f>
        <v>0</v>
      </c>
      <c r="P1820" s="79">
        <v>0</v>
      </c>
    </row>
    <row r="1821" spans="1:16" x14ac:dyDescent="0.25">
      <c r="A1821" t="s">
        <v>32</v>
      </c>
      <c r="B1821" s="73" t="str">
        <f>VLOOKUP(C1821,'Büyükşehir List'!$C$2:$D$31,2,FALSE)</f>
        <v>KOCAELİ BÜYÜKŞEHİR</v>
      </c>
      <c r="C1821" t="s">
        <v>117</v>
      </c>
      <c r="D1821" s="73" t="str">
        <f t="shared" si="44"/>
        <v>KOCAELİ BÜYÜKŞEHİR/KOCAELİ</v>
      </c>
      <c r="E1821" t="s">
        <v>3733</v>
      </c>
      <c r="F1821" t="s">
        <v>3733</v>
      </c>
      <c r="G1821" t="s">
        <v>3367</v>
      </c>
      <c r="H1821">
        <v>1700</v>
      </c>
      <c r="I1821">
        <v>170</v>
      </c>
      <c r="J1821">
        <v>0.8</v>
      </c>
      <c r="K1821">
        <v>0.08</v>
      </c>
      <c r="L1821">
        <v>1699.2</v>
      </c>
      <c r="M1821">
        <v>169.92</v>
      </c>
      <c r="O1821" s="79">
        <f>IFERROR(VLOOKUP(D1821,'KAPANAN BLD.'!$C$2:$D$793,2,FALSE),0)</f>
        <v>0</v>
      </c>
      <c r="P1821" s="79">
        <v>0</v>
      </c>
    </row>
    <row r="1822" spans="1:16" x14ac:dyDescent="0.25">
      <c r="A1822" t="s">
        <v>32</v>
      </c>
      <c r="B1822" s="73" t="str">
        <f>VLOOKUP(C1822,'Büyükşehir List'!$C$2:$D$31,2,FALSE)</f>
        <v>KOCAELİ BÜYÜKŞEHİR</v>
      </c>
      <c r="C1822" t="s">
        <v>117</v>
      </c>
      <c r="D1822" s="73" t="str">
        <f t="shared" si="44"/>
        <v>KOCAELİ BÜYÜKŞEHİR/KOCAELİ</v>
      </c>
      <c r="E1822" t="s">
        <v>1878</v>
      </c>
      <c r="F1822" t="s">
        <v>1878</v>
      </c>
      <c r="G1822" t="s">
        <v>3367</v>
      </c>
      <c r="H1822">
        <v>48361.599999999999</v>
      </c>
      <c r="I1822">
        <v>4836.16</v>
      </c>
      <c r="J1822">
        <v>11363.6</v>
      </c>
      <c r="K1822">
        <v>1136.3599999999999</v>
      </c>
      <c r="L1822">
        <v>36998</v>
      </c>
      <c r="M1822">
        <v>3699.8</v>
      </c>
      <c r="O1822" s="79">
        <f>IFERROR(VLOOKUP(D1822,'KAPANAN BLD.'!$C$2:$D$793,2,FALSE),0)</f>
        <v>0</v>
      </c>
      <c r="P1822" s="79">
        <v>0</v>
      </c>
    </row>
    <row r="1823" spans="1:16" x14ac:dyDescent="0.25">
      <c r="A1823" t="s">
        <v>32</v>
      </c>
      <c r="B1823" s="73" t="str">
        <f>VLOOKUP(C1823,'Büyükşehir List'!$C$2:$D$31,2,FALSE)</f>
        <v>KOCAELİ BÜYÜKŞEHİR</v>
      </c>
      <c r="C1823" t="s">
        <v>117</v>
      </c>
      <c r="D1823" s="73" t="str">
        <f t="shared" si="44"/>
        <v>KOCAELİ BÜYÜKŞEHİR/KOCAELİ</v>
      </c>
      <c r="E1823" t="s">
        <v>1878</v>
      </c>
      <c r="F1823" t="s">
        <v>1878</v>
      </c>
      <c r="G1823" t="s">
        <v>3366</v>
      </c>
      <c r="H1823">
        <v>82530.3</v>
      </c>
      <c r="I1823">
        <v>8253.0300000000007</v>
      </c>
      <c r="J1823">
        <v>21039.8</v>
      </c>
      <c r="K1823">
        <v>2103.98</v>
      </c>
      <c r="L1823">
        <v>61490.5</v>
      </c>
      <c r="M1823">
        <v>6149.05</v>
      </c>
      <c r="O1823" s="79">
        <f>IFERROR(VLOOKUP(D1823,'KAPANAN BLD.'!$C$2:$D$793,2,FALSE),0)</f>
        <v>0</v>
      </c>
      <c r="P1823" s="79">
        <v>0</v>
      </c>
    </row>
    <row r="1824" spans="1:16" x14ac:dyDescent="0.25">
      <c r="A1824" t="s">
        <v>32</v>
      </c>
      <c r="B1824" s="73" t="str">
        <f>VLOOKUP(C1824,'Büyükşehir List'!$C$2:$D$31,2,FALSE)</f>
        <v>KOCAELİ BÜYÜKŞEHİR</v>
      </c>
      <c r="C1824" t="s">
        <v>117</v>
      </c>
      <c r="D1824" s="73" t="str">
        <f t="shared" si="44"/>
        <v>KOCAELİ BÜYÜKŞEHİR/KOCAELİ</v>
      </c>
      <c r="E1824" t="s">
        <v>1878</v>
      </c>
      <c r="F1824" t="s">
        <v>1878</v>
      </c>
      <c r="G1824" t="s">
        <v>3367</v>
      </c>
      <c r="H1824">
        <v>32275.360000000001</v>
      </c>
      <c r="I1824">
        <v>3227.54</v>
      </c>
      <c r="J1824">
        <v>1344.5</v>
      </c>
      <c r="K1824">
        <v>134.44999999999999</v>
      </c>
      <c r="L1824">
        <v>30930.86</v>
      </c>
      <c r="M1824">
        <v>3093.09</v>
      </c>
      <c r="O1824" s="79">
        <f>IFERROR(VLOOKUP(D1824,'KAPANAN BLD.'!$C$2:$D$793,2,FALSE),0)</f>
        <v>0</v>
      </c>
      <c r="P1824" s="79">
        <v>0</v>
      </c>
    </row>
    <row r="1825" spans="1:16" x14ac:dyDescent="0.25">
      <c r="A1825" t="s">
        <v>32</v>
      </c>
      <c r="B1825" s="73" t="str">
        <f>VLOOKUP(C1825,'Büyükşehir List'!$C$2:$D$31,2,FALSE)</f>
        <v>KOCAELİ BÜYÜKŞEHİR</v>
      </c>
      <c r="C1825" t="s">
        <v>117</v>
      </c>
      <c r="D1825" s="73" t="str">
        <f t="shared" si="44"/>
        <v>KOCAELİ BÜYÜKŞEHİR/KOCAELİ</v>
      </c>
      <c r="E1825" t="s">
        <v>1878</v>
      </c>
      <c r="F1825" t="s">
        <v>1878</v>
      </c>
      <c r="G1825" t="s">
        <v>3366</v>
      </c>
      <c r="H1825">
        <v>426898.71</v>
      </c>
      <c r="I1825">
        <v>42689.86</v>
      </c>
      <c r="J1825">
        <v>292.83</v>
      </c>
      <c r="K1825">
        <v>29.28</v>
      </c>
      <c r="L1825">
        <v>426605.88</v>
      </c>
      <c r="M1825">
        <v>42660.58</v>
      </c>
      <c r="O1825" s="79">
        <f>IFERROR(VLOOKUP(D1825,'KAPANAN BLD.'!$C$2:$D$793,2,FALSE),0)</f>
        <v>0</v>
      </c>
      <c r="P1825" s="79">
        <v>0</v>
      </c>
    </row>
    <row r="1826" spans="1:16" x14ac:dyDescent="0.25">
      <c r="A1826" t="s">
        <v>32</v>
      </c>
      <c r="B1826" s="73" t="str">
        <f>VLOOKUP(C1826,'Büyükşehir List'!$C$2:$D$31,2,FALSE)</f>
        <v>KOCAELİ BÜYÜKŞEHİR</v>
      </c>
      <c r="C1826" t="s">
        <v>117</v>
      </c>
      <c r="D1826" s="73" t="str">
        <f t="shared" si="44"/>
        <v>KOCAELİ BÜYÜKŞEHİR/KOCAELİ</v>
      </c>
      <c r="E1826" t="s">
        <v>1878</v>
      </c>
      <c r="F1826" t="s">
        <v>1878</v>
      </c>
      <c r="G1826" t="s">
        <v>3366</v>
      </c>
      <c r="H1826">
        <v>16636.3</v>
      </c>
      <c r="I1826">
        <v>1663.63</v>
      </c>
      <c r="J1826">
        <v>335.1</v>
      </c>
      <c r="K1826">
        <v>33.51</v>
      </c>
      <c r="L1826">
        <v>16301.2</v>
      </c>
      <c r="M1826">
        <v>1630.12</v>
      </c>
      <c r="O1826" s="79">
        <f>IFERROR(VLOOKUP(D1826,'KAPANAN BLD.'!$C$2:$D$793,2,FALSE),0)</f>
        <v>0</v>
      </c>
      <c r="P1826" s="79">
        <v>0</v>
      </c>
    </row>
    <row r="1827" spans="1:16" x14ac:dyDescent="0.25">
      <c r="A1827" t="s">
        <v>32</v>
      </c>
      <c r="B1827" s="73" t="str">
        <f>VLOOKUP(C1827,'Büyükşehir List'!$C$2:$D$31,2,FALSE)</f>
        <v>KOCAELİ BÜYÜKŞEHİR</v>
      </c>
      <c r="C1827" t="s">
        <v>117</v>
      </c>
      <c r="D1827" s="73" t="str">
        <f t="shared" si="44"/>
        <v>KOCAELİ BÜYÜKŞEHİR/KOCAELİ</v>
      </c>
      <c r="E1827" t="s">
        <v>1878</v>
      </c>
      <c r="F1827" t="s">
        <v>1878</v>
      </c>
      <c r="G1827" t="s">
        <v>3367</v>
      </c>
      <c r="H1827">
        <v>22190.799999999999</v>
      </c>
      <c r="I1827">
        <v>2219.08</v>
      </c>
      <c r="J1827">
        <v>1514.1</v>
      </c>
      <c r="K1827">
        <v>151.41</v>
      </c>
      <c r="L1827">
        <v>20676.7</v>
      </c>
      <c r="M1827">
        <v>2067.67</v>
      </c>
      <c r="O1827" s="79">
        <f>IFERROR(VLOOKUP(D1827,'KAPANAN BLD.'!$C$2:$D$793,2,FALSE),0)</f>
        <v>0</v>
      </c>
      <c r="P1827" s="79">
        <v>0</v>
      </c>
    </row>
    <row r="1828" spans="1:16" x14ac:dyDescent="0.25">
      <c r="A1828" t="s">
        <v>32</v>
      </c>
      <c r="B1828" s="73" t="str">
        <f>VLOOKUP(C1828,'Büyükşehir List'!$C$2:$D$31,2,FALSE)</f>
        <v>KOCAELİ BÜYÜKŞEHİR</v>
      </c>
      <c r="C1828" t="s">
        <v>117</v>
      </c>
      <c r="D1828" s="73" t="str">
        <f t="shared" si="44"/>
        <v>KOCAELİ BÜYÜKŞEHİR/KOCAELİ</v>
      </c>
      <c r="E1828" t="s">
        <v>1878</v>
      </c>
      <c r="F1828" t="s">
        <v>1878</v>
      </c>
      <c r="G1828" t="s">
        <v>3366</v>
      </c>
      <c r="H1828">
        <v>9318.23</v>
      </c>
      <c r="I1828">
        <v>931.82</v>
      </c>
      <c r="J1828">
        <v>175.5</v>
      </c>
      <c r="K1828">
        <v>17.55</v>
      </c>
      <c r="L1828">
        <v>9142.73</v>
      </c>
      <c r="M1828">
        <v>914.27</v>
      </c>
      <c r="O1828" s="79">
        <f>IFERROR(VLOOKUP(D1828,'KAPANAN BLD.'!$C$2:$D$793,2,FALSE),0)</f>
        <v>0</v>
      </c>
      <c r="P1828" s="79">
        <v>0</v>
      </c>
    </row>
    <row r="1829" spans="1:16" x14ac:dyDescent="0.25">
      <c r="A1829" t="s">
        <v>32</v>
      </c>
      <c r="B1829" s="73" t="str">
        <f>VLOOKUP(C1829,'Büyükşehir List'!$C$2:$D$31,2,FALSE)</f>
        <v>KOCAELİ BÜYÜKŞEHİR</v>
      </c>
      <c r="C1829" t="s">
        <v>117</v>
      </c>
      <c r="D1829" s="73" t="str">
        <f t="shared" si="44"/>
        <v>KOCAELİ BÜYÜKŞEHİR/KOCAELİ</v>
      </c>
      <c r="E1829" t="s">
        <v>1878</v>
      </c>
      <c r="F1829" t="s">
        <v>1878</v>
      </c>
      <c r="G1829" t="s">
        <v>3367</v>
      </c>
      <c r="H1829">
        <v>11522.93</v>
      </c>
      <c r="I1829">
        <v>1152.3</v>
      </c>
      <c r="J1829">
        <v>792.3</v>
      </c>
      <c r="K1829">
        <v>79.23</v>
      </c>
      <c r="L1829">
        <v>10730.63</v>
      </c>
      <c r="M1829">
        <v>1073.07</v>
      </c>
      <c r="O1829" s="79">
        <f>IFERROR(VLOOKUP(D1829,'KAPANAN BLD.'!$C$2:$D$793,2,FALSE),0)</f>
        <v>0</v>
      </c>
      <c r="P1829" s="79">
        <v>0</v>
      </c>
    </row>
    <row r="1830" spans="1:16" x14ac:dyDescent="0.25">
      <c r="A1830" t="s">
        <v>32</v>
      </c>
      <c r="B1830" s="73" t="str">
        <f>VLOOKUP(C1830,'Büyükşehir List'!$C$2:$D$31,2,FALSE)</f>
        <v>KOCAELİ BÜYÜKŞEHİR</v>
      </c>
      <c r="C1830" t="s">
        <v>117</v>
      </c>
      <c r="D1830" s="73" t="str">
        <f t="shared" si="44"/>
        <v>KOCAELİ BÜYÜKŞEHİR/KOCAELİ</v>
      </c>
      <c r="E1830" t="s">
        <v>1878</v>
      </c>
      <c r="F1830" t="s">
        <v>1878</v>
      </c>
      <c r="G1830" t="s">
        <v>3367</v>
      </c>
      <c r="H1830">
        <v>262564.76</v>
      </c>
      <c r="I1830">
        <v>26256.48</v>
      </c>
      <c r="J1830">
        <v>12.5</v>
      </c>
      <c r="K1830">
        <v>1.25</v>
      </c>
      <c r="L1830">
        <v>262552.26</v>
      </c>
      <c r="M1830">
        <v>26255.23</v>
      </c>
      <c r="O1830" s="79">
        <f>IFERROR(VLOOKUP(D1830,'KAPANAN BLD.'!$C$2:$D$793,2,FALSE),0)</f>
        <v>0</v>
      </c>
      <c r="P1830" s="79">
        <v>0</v>
      </c>
    </row>
    <row r="1831" spans="1:16" x14ac:dyDescent="0.25">
      <c r="A1831" t="s">
        <v>32</v>
      </c>
      <c r="B1831" s="73" t="str">
        <f>VLOOKUP(C1831,'Büyükşehir List'!$C$2:$D$31,2,FALSE)</f>
        <v>KOCAELİ BÜYÜKŞEHİR</v>
      </c>
      <c r="C1831" t="s">
        <v>117</v>
      </c>
      <c r="D1831" s="73" t="str">
        <f t="shared" si="44"/>
        <v>KOCAELİ BÜYÜKŞEHİR/KOCAELİ</v>
      </c>
      <c r="E1831" t="s">
        <v>1878</v>
      </c>
      <c r="F1831" t="s">
        <v>1878</v>
      </c>
      <c r="G1831" t="s">
        <v>3366</v>
      </c>
      <c r="H1831">
        <v>445410.44</v>
      </c>
      <c r="I1831">
        <v>44541.04</v>
      </c>
      <c r="J1831">
        <v>122.7</v>
      </c>
      <c r="K1831">
        <v>12.27</v>
      </c>
      <c r="L1831">
        <v>445287.74</v>
      </c>
      <c r="M1831">
        <v>44528.77</v>
      </c>
      <c r="O1831" s="79">
        <f>IFERROR(VLOOKUP(D1831,'KAPANAN BLD.'!$C$2:$D$793,2,FALSE),0)</f>
        <v>0</v>
      </c>
      <c r="P1831" s="79">
        <v>0</v>
      </c>
    </row>
    <row r="1832" spans="1:16" x14ac:dyDescent="0.25">
      <c r="A1832" t="s">
        <v>32</v>
      </c>
      <c r="B1832" s="73" t="str">
        <f>VLOOKUP(C1832,'Büyükşehir List'!$C$2:$D$31,2,FALSE)</f>
        <v>KOCAELİ BÜYÜKŞEHİR</v>
      </c>
      <c r="C1832" t="s">
        <v>117</v>
      </c>
      <c r="D1832" s="73" t="str">
        <f t="shared" si="44"/>
        <v>KOCAELİ BÜYÜKŞEHİR/KOCAELİ</v>
      </c>
      <c r="E1832" t="s">
        <v>1878</v>
      </c>
      <c r="F1832" t="s">
        <v>1878</v>
      </c>
      <c r="G1832" t="s">
        <v>3367</v>
      </c>
      <c r="H1832">
        <v>122651.59</v>
      </c>
      <c r="I1832">
        <v>12265.16</v>
      </c>
      <c r="J1832">
        <v>602502.30000000005</v>
      </c>
      <c r="K1832">
        <v>60250.23</v>
      </c>
      <c r="L1832">
        <v>-479850.71</v>
      </c>
      <c r="M1832">
        <v>-47985.07</v>
      </c>
      <c r="O1832" s="79">
        <f>IFERROR(VLOOKUP(D1832,'KAPANAN BLD.'!$C$2:$D$793,2,FALSE),0)</f>
        <v>0</v>
      </c>
      <c r="P1832" s="79">
        <v>0</v>
      </c>
    </row>
    <row r="1833" spans="1:16" x14ac:dyDescent="0.25">
      <c r="A1833" t="s">
        <v>32</v>
      </c>
      <c r="B1833" s="73" t="str">
        <f>VLOOKUP(C1833,'Büyükşehir List'!$C$2:$D$31,2,FALSE)</f>
        <v>KOCAELİ BÜYÜKŞEHİR</v>
      </c>
      <c r="C1833" t="s">
        <v>117</v>
      </c>
      <c r="D1833" s="73" t="str">
        <f t="shared" si="44"/>
        <v>KOCAELİ BÜYÜKŞEHİR/KOCAELİ</v>
      </c>
      <c r="E1833" t="s">
        <v>1878</v>
      </c>
      <c r="F1833" t="s">
        <v>1878</v>
      </c>
      <c r="G1833" t="s">
        <v>3366</v>
      </c>
      <c r="H1833">
        <v>226696.78</v>
      </c>
      <c r="I1833">
        <v>22669.67</v>
      </c>
      <c r="J1833">
        <v>611807</v>
      </c>
      <c r="K1833">
        <v>61180.7</v>
      </c>
      <c r="L1833">
        <v>-385110.22</v>
      </c>
      <c r="M1833">
        <v>-38511.03</v>
      </c>
      <c r="O1833" s="79">
        <f>IFERROR(VLOOKUP(D1833,'KAPANAN BLD.'!$C$2:$D$793,2,FALSE),0)</f>
        <v>0</v>
      </c>
      <c r="P1833" s="79">
        <v>0</v>
      </c>
    </row>
    <row r="1834" spans="1:16" x14ac:dyDescent="0.25">
      <c r="A1834" t="s">
        <v>32</v>
      </c>
      <c r="B1834" s="73" t="str">
        <f>VLOOKUP(C1834,'Büyükşehir List'!$C$2:$D$31,2,FALSE)</f>
        <v>KOCAELİ BÜYÜKŞEHİR</v>
      </c>
      <c r="C1834" t="s">
        <v>117</v>
      </c>
      <c r="D1834" s="73" t="str">
        <f t="shared" si="44"/>
        <v>KOCAELİ BÜYÜKŞEHİR/KOCAELİ</v>
      </c>
      <c r="E1834" t="s">
        <v>1878</v>
      </c>
      <c r="F1834" t="s">
        <v>1878</v>
      </c>
      <c r="G1834" t="s">
        <v>3367</v>
      </c>
      <c r="H1834">
        <v>50901.94</v>
      </c>
      <c r="I1834">
        <v>5090.1899999999996</v>
      </c>
      <c r="J1834">
        <v>187.4</v>
      </c>
      <c r="K1834">
        <v>18.739999999999998</v>
      </c>
      <c r="L1834">
        <v>50714.54</v>
      </c>
      <c r="M1834">
        <v>5071.45</v>
      </c>
      <c r="O1834" s="79">
        <f>IFERROR(VLOOKUP(D1834,'KAPANAN BLD.'!$C$2:$D$793,2,FALSE),0)</f>
        <v>0</v>
      </c>
      <c r="P1834" s="79">
        <v>0</v>
      </c>
    </row>
    <row r="1835" spans="1:16" x14ac:dyDescent="0.25">
      <c r="A1835" t="s">
        <v>32</v>
      </c>
      <c r="B1835" s="73" t="str">
        <f>VLOOKUP(C1835,'Büyükşehir List'!$C$2:$D$31,2,FALSE)</f>
        <v>KOCAELİ BÜYÜKŞEHİR</v>
      </c>
      <c r="C1835" t="s">
        <v>117</v>
      </c>
      <c r="D1835" s="73" t="str">
        <f t="shared" si="44"/>
        <v>KOCAELİ BÜYÜKŞEHİR/KOCAELİ</v>
      </c>
      <c r="E1835" t="s">
        <v>1878</v>
      </c>
      <c r="F1835" t="s">
        <v>1878</v>
      </c>
      <c r="G1835" t="s">
        <v>3366</v>
      </c>
      <c r="H1835">
        <v>68403.31</v>
      </c>
      <c r="I1835">
        <v>6840.32</v>
      </c>
      <c r="J1835">
        <v>202.6</v>
      </c>
      <c r="K1835">
        <v>20.260000000000002</v>
      </c>
      <c r="L1835">
        <v>68200.710000000006</v>
      </c>
      <c r="M1835">
        <v>6820.06</v>
      </c>
      <c r="O1835" s="79">
        <f>IFERROR(VLOOKUP(D1835,'KAPANAN BLD.'!$C$2:$D$793,2,FALSE),0)</f>
        <v>0</v>
      </c>
      <c r="P1835" s="79">
        <v>0</v>
      </c>
    </row>
    <row r="1836" spans="1:16" x14ac:dyDescent="0.25">
      <c r="A1836" t="s">
        <v>32</v>
      </c>
      <c r="B1836" s="73" t="str">
        <f>VLOOKUP(C1836,'Büyükşehir List'!$C$2:$D$31,2,FALSE)</f>
        <v>KOCAELİ BÜYÜKŞEHİR</v>
      </c>
      <c r="C1836" t="s">
        <v>117</v>
      </c>
      <c r="D1836" s="73" t="str">
        <f t="shared" si="44"/>
        <v>KOCAELİ BÜYÜKŞEHİR/KOCAELİ</v>
      </c>
      <c r="E1836" t="s">
        <v>1878</v>
      </c>
      <c r="F1836" t="s">
        <v>1878</v>
      </c>
      <c r="G1836" t="s">
        <v>3366</v>
      </c>
      <c r="H1836">
        <v>1062.3</v>
      </c>
      <c r="I1836">
        <v>106.23</v>
      </c>
      <c r="J1836">
        <v>0</v>
      </c>
      <c r="K1836">
        <v>0</v>
      </c>
      <c r="L1836">
        <v>1062.3</v>
      </c>
      <c r="M1836">
        <v>106.23</v>
      </c>
      <c r="O1836" s="79">
        <f>IFERROR(VLOOKUP(D1836,'KAPANAN BLD.'!$C$2:$D$793,2,FALSE),0)</f>
        <v>0</v>
      </c>
      <c r="P1836" s="79">
        <v>0</v>
      </c>
    </row>
    <row r="1837" spans="1:16" x14ac:dyDescent="0.25">
      <c r="A1837" t="s">
        <v>32</v>
      </c>
      <c r="B1837" s="73" t="str">
        <f>VLOOKUP(C1837,'Büyükşehir List'!$C$2:$D$31,2,FALSE)</f>
        <v>KOCAELİ BÜYÜKŞEHİR</v>
      </c>
      <c r="C1837" t="s">
        <v>117</v>
      </c>
      <c r="D1837" s="73" t="str">
        <f t="shared" si="44"/>
        <v>KOCAELİ BÜYÜKŞEHİR/KOCAELİ</v>
      </c>
      <c r="E1837" t="s">
        <v>1878</v>
      </c>
      <c r="F1837" t="s">
        <v>1878</v>
      </c>
      <c r="G1837" t="s">
        <v>3367</v>
      </c>
      <c r="H1837">
        <v>1388.3</v>
      </c>
      <c r="I1837">
        <v>138.83000000000001</v>
      </c>
      <c r="J1837">
        <v>0</v>
      </c>
      <c r="K1837">
        <v>0</v>
      </c>
      <c r="L1837">
        <v>1388.3</v>
      </c>
      <c r="M1837">
        <v>138.83000000000001</v>
      </c>
      <c r="O1837" s="79">
        <f>IFERROR(VLOOKUP(D1837,'KAPANAN BLD.'!$C$2:$D$793,2,FALSE),0)</f>
        <v>0</v>
      </c>
      <c r="P1837" s="79">
        <v>0</v>
      </c>
    </row>
    <row r="1838" spans="1:16" x14ac:dyDescent="0.25">
      <c r="A1838" t="s">
        <v>32</v>
      </c>
      <c r="B1838" s="73" t="str">
        <f>VLOOKUP(C1838,'Büyükşehir List'!$C$2:$D$31,2,FALSE)</f>
        <v>KOCAELİ BÜYÜKŞEHİR</v>
      </c>
      <c r="C1838" t="s">
        <v>117</v>
      </c>
      <c r="D1838" s="73" t="str">
        <f t="shared" si="44"/>
        <v>KOCAELİ BÜYÜKŞEHİR/KOCAELİ</v>
      </c>
      <c r="E1838" t="s">
        <v>1878</v>
      </c>
      <c r="F1838" t="s">
        <v>1878</v>
      </c>
      <c r="G1838" t="s">
        <v>3367</v>
      </c>
      <c r="H1838">
        <v>17944.5</v>
      </c>
      <c r="I1838">
        <v>1794.45</v>
      </c>
      <c r="J1838">
        <v>1797.6</v>
      </c>
      <c r="K1838">
        <v>179.76</v>
      </c>
      <c r="L1838">
        <v>16146.9</v>
      </c>
      <c r="M1838">
        <v>1614.69</v>
      </c>
      <c r="O1838" s="79">
        <f>IFERROR(VLOOKUP(D1838,'KAPANAN BLD.'!$C$2:$D$793,2,FALSE),0)</f>
        <v>0</v>
      </c>
      <c r="P1838" s="79">
        <v>0</v>
      </c>
    </row>
    <row r="1839" spans="1:16" x14ac:dyDescent="0.25">
      <c r="A1839" t="s">
        <v>32</v>
      </c>
      <c r="B1839" s="73" t="str">
        <f>VLOOKUP(C1839,'Büyükşehir List'!$C$2:$D$31,2,FALSE)</f>
        <v>KOCAELİ BÜYÜKŞEHİR</v>
      </c>
      <c r="C1839" t="s">
        <v>117</v>
      </c>
      <c r="D1839" s="73" t="str">
        <f t="shared" si="44"/>
        <v>KOCAELİ BÜYÜKŞEHİR/KOCAELİ</v>
      </c>
      <c r="E1839" t="s">
        <v>1878</v>
      </c>
      <c r="F1839" t="s">
        <v>1878</v>
      </c>
      <c r="G1839" t="s">
        <v>3366</v>
      </c>
      <c r="H1839">
        <v>16294.2</v>
      </c>
      <c r="I1839">
        <v>1629.42</v>
      </c>
      <c r="J1839">
        <v>1624.1</v>
      </c>
      <c r="K1839">
        <v>162.41</v>
      </c>
      <c r="L1839">
        <v>14670.1</v>
      </c>
      <c r="M1839">
        <v>1467.01</v>
      </c>
      <c r="O1839" s="79">
        <f>IFERROR(VLOOKUP(D1839,'KAPANAN BLD.'!$C$2:$D$793,2,FALSE),0)</f>
        <v>0</v>
      </c>
      <c r="P1839" s="79">
        <v>0</v>
      </c>
    </row>
    <row r="1840" spans="1:16" x14ac:dyDescent="0.25">
      <c r="A1840" t="s">
        <v>32</v>
      </c>
      <c r="B1840" s="73" t="str">
        <f>VLOOKUP(C1840,'Büyükşehir List'!$C$2:$D$31,2,FALSE)</f>
        <v>KOCAELİ BÜYÜKŞEHİR</v>
      </c>
      <c r="C1840" t="s">
        <v>117</v>
      </c>
      <c r="D1840" s="73" t="str">
        <f t="shared" si="44"/>
        <v>KOCAELİ BÜYÜKŞEHİR/KOCAELİ</v>
      </c>
      <c r="E1840" t="s">
        <v>1878</v>
      </c>
      <c r="F1840" t="s">
        <v>1878</v>
      </c>
      <c r="G1840" t="s">
        <v>3366</v>
      </c>
      <c r="H1840">
        <v>20666.919999999998</v>
      </c>
      <c r="I1840">
        <v>2066.69</v>
      </c>
      <c r="J1840">
        <v>877.1</v>
      </c>
      <c r="K1840">
        <v>87.71</v>
      </c>
      <c r="L1840">
        <v>19789.82</v>
      </c>
      <c r="M1840">
        <v>1978.98</v>
      </c>
      <c r="O1840" s="79">
        <f>IFERROR(VLOOKUP(D1840,'KAPANAN BLD.'!$C$2:$D$793,2,FALSE),0)</f>
        <v>0</v>
      </c>
      <c r="P1840" s="79">
        <v>0</v>
      </c>
    </row>
    <row r="1841" spans="1:16" x14ac:dyDescent="0.25">
      <c r="A1841" t="s">
        <v>32</v>
      </c>
      <c r="B1841" s="73" t="str">
        <f>VLOOKUP(C1841,'Büyükşehir List'!$C$2:$D$31,2,FALSE)</f>
        <v>KOCAELİ BÜYÜKŞEHİR</v>
      </c>
      <c r="C1841" t="s">
        <v>117</v>
      </c>
      <c r="D1841" s="73" t="str">
        <f t="shared" si="44"/>
        <v>KOCAELİ BÜYÜKŞEHİR/KOCAELİ</v>
      </c>
      <c r="E1841" t="s">
        <v>1878</v>
      </c>
      <c r="F1841" t="s">
        <v>1878</v>
      </c>
      <c r="G1841" t="s">
        <v>3367</v>
      </c>
      <c r="H1841">
        <v>59838.11</v>
      </c>
      <c r="I1841">
        <v>5983.81</v>
      </c>
      <c r="J1841">
        <v>1574.4</v>
      </c>
      <c r="K1841">
        <v>157.44</v>
      </c>
      <c r="L1841">
        <v>58263.71</v>
      </c>
      <c r="M1841">
        <v>5826.37</v>
      </c>
      <c r="O1841" s="79">
        <f>IFERROR(VLOOKUP(D1841,'KAPANAN BLD.'!$C$2:$D$793,2,FALSE),0)</f>
        <v>0</v>
      </c>
      <c r="P1841" s="79">
        <v>0</v>
      </c>
    </row>
    <row r="1842" spans="1:16" x14ac:dyDescent="0.25">
      <c r="A1842" t="s">
        <v>32</v>
      </c>
      <c r="B1842" s="73" t="str">
        <f>VLOOKUP(C1842,'Büyükşehir List'!$C$2:$D$31,2,FALSE)</f>
        <v>KOCAELİ BÜYÜKŞEHİR</v>
      </c>
      <c r="C1842" t="s">
        <v>117</v>
      </c>
      <c r="D1842" s="73" t="str">
        <f t="shared" si="44"/>
        <v>KOCAELİ BÜYÜKŞEHİR/KOCAELİ</v>
      </c>
      <c r="E1842" t="s">
        <v>1878</v>
      </c>
      <c r="F1842" t="s">
        <v>1878</v>
      </c>
      <c r="G1842" t="s">
        <v>3366</v>
      </c>
      <c r="H1842">
        <v>2994.14</v>
      </c>
      <c r="I1842">
        <v>299.41000000000003</v>
      </c>
      <c r="J1842">
        <v>808.3</v>
      </c>
      <c r="K1842">
        <v>80.83</v>
      </c>
      <c r="L1842">
        <v>2185.84</v>
      </c>
      <c r="M1842">
        <v>218.58</v>
      </c>
      <c r="O1842" s="79">
        <f>IFERROR(VLOOKUP(D1842,'KAPANAN BLD.'!$C$2:$D$793,2,FALSE),0)</f>
        <v>0</v>
      </c>
      <c r="P1842" s="79">
        <v>0</v>
      </c>
    </row>
    <row r="1843" spans="1:16" x14ac:dyDescent="0.25">
      <c r="A1843" t="s">
        <v>32</v>
      </c>
      <c r="B1843" s="73" t="str">
        <f>VLOOKUP(C1843,'Büyükşehir List'!$C$2:$D$31,2,FALSE)</f>
        <v>KOCAELİ BÜYÜKŞEHİR</v>
      </c>
      <c r="C1843" t="s">
        <v>117</v>
      </c>
      <c r="D1843" s="73" t="str">
        <f t="shared" si="44"/>
        <v>KOCAELİ BÜYÜKŞEHİR/KOCAELİ</v>
      </c>
      <c r="E1843" t="s">
        <v>1878</v>
      </c>
      <c r="F1843" t="s">
        <v>1878</v>
      </c>
      <c r="G1843" t="s">
        <v>3367</v>
      </c>
      <c r="H1843">
        <v>11747.4</v>
      </c>
      <c r="I1843">
        <v>1174.74</v>
      </c>
      <c r="J1843">
        <v>4243</v>
      </c>
      <c r="K1843">
        <v>424.3</v>
      </c>
      <c r="L1843">
        <v>7504.4</v>
      </c>
      <c r="M1843">
        <v>750.44</v>
      </c>
      <c r="O1843" s="79">
        <f>IFERROR(VLOOKUP(D1843,'KAPANAN BLD.'!$C$2:$D$793,2,FALSE),0)</f>
        <v>0</v>
      </c>
      <c r="P1843" s="79">
        <v>0</v>
      </c>
    </row>
    <row r="1844" spans="1:16" x14ac:dyDescent="0.25">
      <c r="A1844" t="s">
        <v>32</v>
      </c>
      <c r="B1844" s="73" t="str">
        <f>VLOOKUP(C1844,'Büyükşehir List'!$C$2:$D$31,2,FALSE)</f>
        <v>KOCAELİ BÜYÜKŞEHİR</v>
      </c>
      <c r="C1844" t="s">
        <v>117</v>
      </c>
      <c r="D1844" s="73" t="str">
        <f t="shared" si="44"/>
        <v>KOCAELİ BÜYÜKŞEHİR/KOCAELİ</v>
      </c>
      <c r="E1844" t="s">
        <v>1878</v>
      </c>
      <c r="F1844" t="s">
        <v>1878</v>
      </c>
      <c r="G1844" t="s">
        <v>3366</v>
      </c>
      <c r="H1844">
        <v>154008.98000000001</v>
      </c>
      <c r="I1844">
        <v>15400.9</v>
      </c>
      <c r="J1844">
        <v>44331.26</v>
      </c>
      <c r="K1844">
        <v>4433.13</v>
      </c>
      <c r="L1844">
        <v>109677.72</v>
      </c>
      <c r="M1844">
        <v>10967.77</v>
      </c>
      <c r="O1844" s="79">
        <f>IFERROR(VLOOKUP(D1844,'KAPANAN BLD.'!$C$2:$D$793,2,FALSE),0)</f>
        <v>0</v>
      </c>
      <c r="P1844" s="79">
        <v>0</v>
      </c>
    </row>
    <row r="1845" spans="1:16" x14ac:dyDescent="0.25">
      <c r="A1845" t="s">
        <v>32</v>
      </c>
      <c r="B1845" s="73" t="str">
        <f>VLOOKUP(C1845,'Büyükşehir List'!$C$2:$D$31,2,FALSE)</f>
        <v>KOCAELİ BÜYÜKŞEHİR</v>
      </c>
      <c r="C1845" t="s">
        <v>117</v>
      </c>
      <c r="D1845" s="73" t="str">
        <f t="shared" si="44"/>
        <v>KOCAELİ BÜYÜKŞEHİR/KOCAELİ</v>
      </c>
      <c r="E1845" t="s">
        <v>1878</v>
      </c>
      <c r="F1845" t="s">
        <v>1878</v>
      </c>
      <c r="G1845" t="s">
        <v>3367</v>
      </c>
      <c r="H1845">
        <v>129856</v>
      </c>
      <c r="I1845">
        <v>12985.61</v>
      </c>
      <c r="J1845">
        <v>41729.68</v>
      </c>
      <c r="K1845">
        <v>4172.97</v>
      </c>
      <c r="L1845">
        <v>88126.32</v>
      </c>
      <c r="M1845">
        <v>8812.64</v>
      </c>
      <c r="O1845" s="79">
        <f>IFERROR(VLOOKUP(D1845,'KAPANAN BLD.'!$C$2:$D$793,2,FALSE),0)</f>
        <v>0</v>
      </c>
      <c r="P1845" s="79">
        <v>0</v>
      </c>
    </row>
    <row r="1846" spans="1:16" x14ac:dyDescent="0.25">
      <c r="A1846" t="s">
        <v>32</v>
      </c>
      <c r="B1846" s="73" t="str">
        <f>VLOOKUP(C1846,'Büyükşehir List'!$C$2:$D$31,2,FALSE)</f>
        <v>KOCAELİ BÜYÜKŞEHİR</v>
      </c>
      <c r="C1846" t="s">
        <v>117</v>
      </c>
      <c r="D1846" s="73" t="str">
        <f t="shared" si="44"/>
        <v>KOCAELİ BÜYÜKŞEHİR/KOCAELİ</v>
      </c>
      <c r="E1846" t="s">
        <v>373</v>
      </c>
      <c r="F1846" t="s">
        <v>373</v>
      </c>
      <c r="G1846" t="s">
        <v>3367</v>
      </c>
      <c r="H1846">
        <v>109995.68</v>
      </c>
      <c r="I1846">
        <v>10999.57</v>
      </c>
      <c r="J1846">
        <v>779.3</v>
      </c>
      <c r="K1846">
        <v>77.930000000000007</v>
      </c>
      <c r="L1846">
        <v>109216.38</v>
      </c>
      <c r="M1846">
        <v>10921.64</v>
      </c>
      <c r="O1846" s="79">
        <f>IFERROR(VLOOKUP(D1846,'KAPANAN BLD.'!$C$2:$D$793,2,FALSE),0)</f>
        <v>0</v>
      </c>
      <c r="P1846" s="79">
        <v>0</v>
      </c>
    </row>
    <row r="1847" spans="1:16" x14ac:dyDescent="0.25">
      <c r="A1847" t="s">
        <v>32</v>
      </c>
      <c r="B1847" s="73" t="str">
        <f>VLOOKUP(C1847,'Büyükşehir List'!$C$2:$D$31,2,FALSE)</f>
        <v>KOCAELİ BÜYÜKŞEHİR</v>
      </c>
      <c r="C1847" t="s">
        <v>117</v>
      </c>
      <c r="D1847" s="73" t="str">
        <f t="shared" si="44"/>
        <v>KOCAELİ BÜYÜKŞEHİR/KOCAELİ</v>
      </c>
      <c r="E1847" t="s">
        <v>373</v>
      </c>
      <c r="F1847" t="s">
        <v>373</v>
      </c>
      <c r="G1847" t="s">
        <v>3366</v>
      </c>
      <c r="H1847">
        <v>40985.360000000001</v>
      </c>
      <c r="I1847">
        <v>4098.54</v>
      </c>
      <c r="J1847">
        <v>9075.35</v>
      </c>
      <c r="K1847">
        <v>907.53</v>
      </c>
      <c r="L1847">
        <v>31910.01</v>
      </c>
      <c r="M1847">
        <v>3191.01</v>
      </c>
      <c r="O1847" s="79">
        <f>IFERROR(VLOOKUP(D1847,'KAPANAN BLD.'!$C$2:$D$793,2,FALSE),0)</f>
        <v>0</v>
      </c>
      <c r="P1847" s="79">
        <v>0</v>
      </c>
    </row>
    <row r="1848" spans="1:16" x14ac:dyDescent="0.25">
      <c r="A1848" t="s">
        <v>32</v>
      </c>
      <c r="B1848" s="73" t="str">
        <f>VLOOKUP(C1848,'Büyükşehir List'!$C$2:$D$31,2,FALSE)</f>
        <v>KONYA BÜYÜKŞEHİR</v>
      </c>
      <c r="C1848" t="s">
        <v>118</v>
      </c>
      <c r="D1848" s="73" t="str">
        <f t="shared" si="44"/>
        <v>KONYA BÜYÜKŞEHİR/KONYA</v>
      </c>
      <c r="E1848" t="s">
        <v>3784</v>
      </c>
      <c r="F1848" t="s">
        <v>3784</v>
      </c>
      <c r="G1848" t="s">
        <v>3366</v>
      </c>
      <c r="H1848">
        <v>4</v>
      </c>
      <c r="I1848">
        <v>0.4</v>
      </c>
      <c r="J1848">
        <v>0</v>
      </c>
      <c r="K1848">
        <v>0</v>
      </c>
      <c r="L1848">
        <v>4</v>
      </c>
      <c r="M1848">
        <v>0.4</v>
      </c>
      <c r="O1848" s="79">
        <f>IFERROR(VLOOKUP(D1848,'KAPANAN BLD.'!$C$2:$D$793,2,FALSE),0)</f>
        <v>0</v>
      </c>
      <c r="P1848" s="79">
        <v>0</v>
      </c>
    </row>
    <row r="1849" spans="1:16" x14ac:dyDescent="0.25">
      <c r="A1849" t="s">
        <v>32</v>
      </c>
      <c r="B1849" s="73" t="str">
        <f>VLOOKUP(C1849,'Büyükşehir List'!$C$2:$D$31,2,FALSE)</f>
        <v>KONYA BÜYÜKŞEHİR</v>
      </c>
      <c r="C1849" t="s">
        <v>118</v>
      </c>
      <c r="D1849" s="73" t="str">
        <f t="shared" si="44"/>
        <v>KONYA BÜYÜKŞEHİR/KONYA</v>
      </c>
      <c r="E1849" t="s">
        <v>3784</v>
      </c>
      <c r="F1849" t="s">
        <v>3784</v>
      </c>
      <c r="G1849" t="s">
        <v>3367</v>
      </c>
      <c r="H1849">
        <v>9.4</v>
      </c>
      <c r="I1849">
        <v>0.94</v>
      </c>
      <c r="J1849">
        <v>0</v>
      </c>
      <c r="K1849">
        <v>0</v>
      </c>
      <c r="L1849">
        <v>9.4</v>
      </c>
      <c r="M1849">
        <v>0.94</v>
      </c>
      <c r="O1849" s="79">
        <f>IFERROR(VLOOKUP(D1849,'KAPANAN BLD.'!$C$2:$D$793,2,FALSE),0)</f>
        <v>0</v>
      </c>
      <c r="P1849" s="79">
        <v>0</v>
      </c>
    </row>
    <row r="1850" spans="1:16" x14ac:dyDescent="0.25">
      <c r="A1850" t="s">
        <v>32</v>
      </c>
      <c r="B1850" s="73" t="str">
        <f>VLOOKUP(C1850,'Büyükşehir List'!$C$2:$D$31,2,FALSE)</f>
        <v>KONYA BÜYÜKŞEHİR</v>
      </c>
      <c r="C1850" t="s">
        <v>118</v>
      </c>
      <c r="D1850" s="73" t="str">
        <f t="shared" si="44"/>
        <v>KONYA BÜYÜKŞEHİR/KONYA</v>
      </c>
      <c r="E1850" t="s">
        <v>4391</v>
      </c>
      <c r="F1850" t="s">
        <v>4391</v>
      </c>
      <c r="G1850" t="s">
        <v>3367</v>
      </c>
      <c r="H1850">
        <v>8.9</v>
      </c>
      <c r="I1850">
        <v>0.89</v>
      </c>
      <c r="J1850">
        <v>0</v>
      </c>
      <c r="K1850">
        <v>0</v>
      </c>
      <c r="L1850">
        <v>8.9</v>
      </c>
      <c r="M1850">
        <v>0.89</v>
      </c>
      <c r="O1850" s="79">
        <f>IFERROR(VLOOKUP(D1850,'KAPANAN BLD.'!$C$2:$D$793,2,FALSE),0)</f>
        <v>0</v>
      </c>
      <c r="P1850" s="79">
        <v>0</v>
      </c>
    </row>
    <row r="1851" spans="1:16" x14ac:dyDescent="0.25">
      <c r="A1851" t="s">
        <v>32</v>
      </c>
      <c r="B1851" s="73" t="str">
        <f>VLOOKUP(C1851,'Büyükşehir List'!$C$2:$D$31,2,FALSE)</f>
        <v>KONYA BÜYÜKŞEHİR</v>
      </c>
      <c r="C1851" t="s">
        <v>118</v>
      </c>
      <c r="D1851" s="73" t="str">
        <f t="shared" si="44"/>
        <v>KONYA BÜYÜKŞEHİR/KONYA</v>
      </c>
      <c r="E1851" t="s">
        <v>4391</v>
      </c>
      <c r="F1851" t="s">
        <v>4391</v>
      </c>
      <c r="G1851" t="s">
        <v>3366</v>
      </c>
      <c r="H1851">
        <v>1239.7</v>
      </c>
      <c r="I1851">
        <v>123.97</v>
      </c>
      <c r="J1851">
        <v>0</v>
      </c>
      <c r="K1851">
        <v>0</v>
      </c>
      <c r="L1851">
        <v>1239.7</v>
      </c>
      <c r="M1851">
        <v>123.97</v>
      </c>
      <c r="O1851" s="79">
        <f>IFERROR(VLOOKUP(D1851,'KAPANAN BLD.'!$C$2:$D$793,2,FALSE),0)</f>
        <v>0</v>
      </c>
      <c r="P1851" s="79">
        <v>0</v>
      </c>
    </row>
    <row r="1852" spans="1:16" x14ac:dyDescent="0.25">
      <c r="A1852" t="s">
        <v>32</v>
      </c>
      <c r="B1852" s="73" t="str">
        <f>VLOOKUP(C1852,'Büyükşehir List'!$C$2:$D$31,2,FALSE)</f>
        <v>KONYA BÜYÜKŞEHİR</v>
      </c>
      <c r="C1852" t="s">
        <v>118</v>
      </c>
      <c r="D1852" s="73" t="str">
        <f t="shared" si="44"/>
        <v>KONYA BÜYÜKŞEHİR/KONYA</v>
      </c>
      <c r="E1852" t="s">
        <v>4495</v>
      </c>
      <c r="F1852" t="s">
        <v>4495</v>
      </c>
      <c r="G1852" t="s">
        <v>3367</v>
      </c>
      <c r="H1852">
        <v>13.6</v>
      </c>
      <c r="I1852">
        <v>1.36</v>
      </c>
      <c r="J1852">
        <v>0</v>
      </c>
      <c r="K1852">
        <v>0</v>
      </c>
      <c r="L1852">
        <v>13.6</v>
      </c>
      <c r="M1852">
        <v>1.36</v>
      </c>
      <c r="O1852" s="79">
        <f>IFERROR(VLOOKUP(D1852,'KAPANAN BLD.'!$C$2:$D$793,2,FALSE),0)</f>
        <v>0</v>
      </c>
      <c r="P1852" s="79">
        <v>0</v>
      </c>
    </row>
    <row r="1853" spans="1:16" x14ac:dyDescent="0.25">
      <c r="A1853" t="s">
        <v>32</v>
      </c>
      <c r="B1853" s="73" t="str">
        <f>VLOOKUP(C1853,'Büyükşehir List'!$C$2:$D$31,2,FALSE)</f>
        <v>KONYA BÜYÜKŞEHİR</v>
      </c>
      <c r="C1853" t="s">
        <v>118</v>
      </c>
      <c r="D1853" s="73" t="str">
        <f t="shared" si="44"/>
        <v>KONYA BÜYÜKŞEHİR/KONYA</v>
      </c>
      <c r="E1853" t="s">
        <v>4495</v>
      </c>
      <c r="F1853" t="s">
        <v>4495</v>
      </c>
      <c r="G1853" t="s">
        <v>3366</v>
      </c>
      <c r="H1853">
        <v>264.60000000000002</v>
      </c>
      <c r="I1853">
        <v>26.46</v>
      </c>
      <c r="J1853">
        <v>0</v>
      </c>
      <c r="K1853">
        <v>0</v>
      </c>
      <c r="L1853">
        <v>264.60000000000002</v>
      </c>
      <c r="M1853">
        <v>26.46</v>
      </c>
      <c r="O1853" s="79">
        <f>IFERROR(VLOOKUP(D1853,'KAPANAN BLD.'!$C$2:$D$793,2,FALSE),0)</f>
        <v>0</v>
      </c>
      <c r="P1853" s="79">
        <v>0</v>
      </c>
    </row>
    <row r="1854" spans="1:16" x14ac:dyDescent="0.25">
      <c r="A1854" t="s">
        <v>32</v>
      </c>
      <c r="B1854" s="73" t="str">
        <f>VLOOKUP(C1854,'Büyükşehir List'!$C$2:$D$31,2,FALSE)</f>
        <v>KONYA BÜYÜKŞEHİR</v>
      </c>
      <c r="C1854" t="s">
        <v>118</v>
      </c>
      <c r="D1854" s="73" t="str">
        <f t="shared" si="44"/>
        <v>KONYA BÜYÜKŞEHİR/KONYA</v>
      </c>
      <c r="E1854" t="s">
        <v>206</v>
      </c>
      <c r="F1854" t="s">
        <v>206</v>
      </c>
      <c r="G1854" t="s">
        <v>3367</v>
      </c>
      <c r="H1854">
        <v>44.1</v>
      </c>
      <c r="I1854">
        <v>4.41</v>
      </c>
      <c r="J1854">
        <v>0</v>
      </c>
      <c r="K1854">
        <v>0</v>
      </c>
      <c r="L1854">
        <v>44.1</v>
      </c>
      <c r="M1854">
        <v>4.41</v>
      </c>
      <c r="O1854" s="79">
        <f>IFERROR(VLOOKUP(D1854,'KAPANAN BLD.'!$C$2:$D$793,2,FALSE),0)</f>
        <v>0</v>
      </c>
      <c r="P1854" s="79">
        <v>0</v>
      </c>
    </row>
    <row r="1855" spans="1:16" x14ac:dyDescent="0.25">
      <c r="A1855" t="s">
        <v>32</v>
      </c>
      <c r="B1855" s="73" t="str">
        <f>VLOOKUP(C1855,'Büyükşehir List'!$C$2:$D$31,2,FALSE)</f>
        <v>KONYA BÜYÜKŞEHİR</v>
      </c>
      <c r="C1855" t="s">
        <v>118</v>
      </c>
      <c r="D1855" s="73" t="str">
        <f t="shared" si="44"/>
        <v>KONYA BÜYÜKŞEHİR/KONYA</v>
      </c>
      <c r="E1855" t="s">
        <v>206</v>
      </c>
      <c r="F1855" t="s">
        <v>206</v>
      </c>
      <c r="G1855" t="s">
        <v>3366</v>
      </c>
      <c r="H1855">
        <v>18.5</v>
      </c>
      <c r="I1855">
        <v>1.85</v>
      </c>
      <c r="J1855">
        <v>0</v>
      </c>
      <c r="K1855">
        <v>0</v>
      </c>
      <c r="L1855">
        <v>18.5</v>
      </c>
      <c r="M1855">
        <v>1.85</v>
      </c>
      <c r="O1855" s="79">
        <f>IFERROR(VLOOKUP(D1855,'KAPANAN BLD.'!$C$2:$D$793,2,FALSE),0)</f>
        <v>0</v>
      </c>
      <c r="P1855" s="79">
        <v>0</v>
      </c>
    </row>
    <row r="1856" spans="1:16" x14ac:dyDescent="0.25">
      <c r="A1856" t="s">
        <v>32</v>
      </c>
      <c r="B1856" s="73" t="str">
        <f>VLOOKUP(C1856,'Büyükşehir List'!$C$2:$D$31,2,FALSE)</f>
        <v>KONYA BÜYÜKŞEHİR</v>
      </c>
      <c r="C1856" t="s">
        <v>118</v>
      </c>
      <c r="D1856" s="73" t="str">
        <f t="shared" si="44"/>
        <v>KONYA BÜYÜKŞEHİR/KONYA</v>
      </c>
      <c r="E1856" t="s">
        <v>4496</v>
      </c>
      <c r="F1856" t="s">
        <v>4496</v>
      </c>
      <c r="G1856" t="s">
        <v>3367</v>
      </c>
      <c r="H1856">
        <v>223.8</v>
      </c>
      <c r="I1856">
        <v>22.38</v>
      </c>
      <c r="J1856">
        <v>0</v>
      </c>
      <c r="K1856">
        <v>0</v>
      </c>
      <c r="L1856">
        <v>223.8</v>
      </c>
      <c r="M1856">
        <v>22.38</v>
      </c>
      <c r="O1856" s="79">
        <f>IFERROR(VLOOKUP(D1856,'KAPANAN BLD.'!$C$2:$D$793,2,FALSE),0)</f>
        <v>0</v>
      </c>
      <c r="P1856" s="79">
        <v>0</v>
      </c>
    </row>
    <row r="1857" spans="1:16" x14ac:dyDescent="0.25">
      <c r="A1857" t="s">
        <v>32</v>
      </c>
      <c r="B1857" s="73" t="str">
        <f>VLOOKUP(C1857,'Büyükşehir List'!$C$2:$D$31,2,FALSE)</f>
        <v>KONYA BÜYÜKŞEHİR</v>
      </c>
      <c r="C1857" t="s">
        <v>118</v>
      </c>
      <c r="D1857" s="73" t="str">
        <f t="shared" si="44"/>
        <v>KONYA BÜYÜKŞEHİR/KONYA</v>
      </c>
      <c r="E1857" t="s">
        <v>4497</v>
      </c>
      <c r="F1857" t="s">
        <v>4497</v>
      </c>
      <c r="G1857" t="s">
        <v>3367</v>
      </c>
      <c r="H1857">
        <v>5.5</v>
      </c>
      <c r="I1857">
        <v>0.55000000000000004</v>
      </c>
      <c r="J1857">
        <v>0</v>
      </c>
      <c r="K1857">
        <v>0</v>
      </c>
      <c r="L1857">
        <v>5.5</v>
      </c>
      <c r="M1857">
        <v>0.55000000000000004</v>
      </c>
      <c r="O1857" s="79">
        <f>IFERROR(VLOOKUP(D1857,'KAPANAN BLD.'!$C$2:$D$793,2,FALSE),0)</f>
        <v>0</v>
      </c>
      <c r="P1857" s="79">
        <v>0</v>
      </c>
    </row>
    <row r="1858" spans="1:16" x14ac:dyDescent="0.25">
      <c r="A1858" t="s">
        <v>32</v>
      </c>
      <c r="B1858" s="73" t="str">
        <f>VLOOKUP(C1858,'Büyükşehir List'!$C$2:$D$31,2,FALSE)</f>
        <v>KONYA BÜYÜKŞEHİR</v>
      </c>
      <c r="C1858" t="s">
        <v>118</v>
      </c>
      <c r="D1858" s="73" t="str">
        <f t="shared" si="44"/>
        <v>KONYA BÜYÜKŞEHİR/KONYA</v>
      </c>
      <c r="E1858" t="s">
        <v>4497</v>
      </c>
      <c r="F1858" t="s">
        <v>4497</v>
      </c>
      <c r="G1858" t="s">
        <v>3366</v>
      </c>
      <c r="H1858">
        <v>105.5</v>
      </c>
      <c r="I1858">
        <v>10.55</v>
      </c>
      <c r="J1858">
        <v>0</v>
      </c>
      <c r="K1858">
        <v>0</v>
      </c>
      <c r="L1858">
        <v>105.5</v>
      </c>
      <c r="M1858">
        <v>10.55</v>
      </c>
      <c r="O1858" s="79">
        <f>IFERROR(VLOOKUP(D1858,'KAPANAN BLD.'!$C$2:$D$793,2,FALSE),0)</f>
        <v>0</v>
      </c>
      <c r="P1858" s="79">
        <v>0</v>
      </c>
    </row>
    <row r="1859" spans="1:16" x14ac:dyDescent="0.25">
      <c r="A1859" t="s">
        <v>32</v>
      </c>
      <c r="B1859" s="73" t="str">
        <f>VLOOKUP(C1859,'Büyükşehir List'!$C$2:$D$31,2,FALSE)</f>
        <v>KONYA BÜYÜKŞEHİR</v>
      </c>
      <c r="C1859" t="s">
        <v>118</v>
      </c>
      <c r="D1859" s="73" t="str">
        <f t="shared" ref="D1859:D1922" si="46">CONCATENATE(B1859,"/",C1859)</f>
        <v>KONYA BÜYÜKŞEHİR/KONYA</v>
      </c>
      <c r="E1859" t="s">
        <v>1787</v>
      </c>
      <c r="F1859" t="s">
        <v>1787</v>
      </c>
      <c r="G1859" t="s">
        <v>3367</v>
      </c>
      <c r="H1859">
        <v>1.4</v>
      </c>
      <c r="I1859">
        <v>0.14000000000000001</v>
      </c>
      <c r="J1859">
        <v>0</v>
      </c>
      <c r="K1859">
        <v>0</v>
      </c>
      <c r="L1859">
        <v>1.4</v>
      </c>
      <c r="M1859">
        <v>0.14000000000000001</v>
      </c>
      <c r="O1859" s="79">
        <f>IFERROR(VLOOKUP(D1859,'KAPANAN BLD.'!$C$2:$D$793,2,FALSE),0)</f>
        <v>0</v>
      </c>
      <c r="P1859" s="79">
        <v>0</v>
      </c>
    </row>
    <row r="1860" spans="1:16" x14ac:dyDescent="0.25">
      <c r="A1860" t="s">
        <v>32</v>
      </c>
      <c r="B1860" s="73" t="str">
        <f>VLOOKUP(C1860,'Büyükşehir List'!$C$2:$D$31,2,FALSE)</f>
        <v>KONYA BÜYÜKŞEHİR</v>
      </c>
      <c r="C1860" t="s">
        <v>118</v>
      </c>
      <c r="D1860" s="73" t="str">
        <f t="shared" si="46"/>
        <v>KONYA BÜYÜKŞEHİR/KONYA</v>
      </c>
      <c r="E1860" t="s">
        <v>1787</v>
      </c>
      <c r="F1860" t="s">
        <v>1787</v>
      </c>
      <c r="G1860" t="s">
        <v>3366</v>
      </c>
      <c r="H1860">
        <v>0.5</v>
      </c>
      <c r="I1860">
        <v>0.05</v>
      </c>
      <c r="J1860">
        <v>0</v>
      </c>
      <c r="K1860">
        <v>0</v>
      </c>
      <c r="L1860">
        <v>0.5</v>
      </c>
      <c r="M1860">
        <v>0.05</v>
      </c>
      <c r="O1860" s="79">
        <f>IFERROR(VLOOKUP(D1860,'KAPANAN BLD.'!$C$2:$D$793,2,FALSE),0)</f>
        <v>0</v>
      </c>
      <c r="P1860" s="79">
        <v>0</v>
      </c>
    </row>
    <row r="1861" spans="1:16" x14ac:dyDescent="0.25">
      <c r="A1861" t="s">
        <v>32</v>
      </c>
      <c r="B1861" s="73" t="str">
        <f>VLOOKUP(C1861,'Büyükşehir List'!$C$2:$D$31,2,FALSE)</f>
        <v>KONYA BÜYÜKŞEHİR</v>
      </c>
      <c r="C1861" t="s">
        <v>118</v>
      </c>
      <c r="D1861" s="73" t="str">
        <f t="shared" si="46"/>
        <v>KONYA BÜYÜKŞEHİR/KONYA</v>
      </c>
      <c r="E1861" t="s">
        <v>4392</v>
      </c>
      <c r="F1861" t="s">
        <v>4392</v>
      </c>
      <c r="G1861" t="s">
        <v>3367</v>
      </c>
      <c r="H1861">
        <v>164.2</v>
      </c>
      <c r="I1861">
        <v>16.420000000000002</v>
      </c>
      <c r="J1861">
        <v>45</v>
      </c>
      <c r="K1861">
        <v>4.5</v>
      </c>
      <c r="L1861">
        <v>119.2</v>
      </c>
      <c r="M1861">
        <v>11.92</v>
      </c>
      <c r="O1861" s="79">
        <f>IFERROR(VLOOKUP(D1861,'KAPANAN BLD.'!$C$2:$D$793,2,FALSE),0)</f>
        <v>0</v>
      </c>
      <c r="P1861" s="79">
        <v>0</v>
      </c>
    </row>
    <row r="1862" spans="1:16" x14ac:dyDescent="0.25">
      <c r="A1862" t="s">
        <v>32</v>
      </c>
      <c r="B1862" s="73" t="str">
        <f>VLOOKUP(C1862,'Büyükşehir List'!$C$2:$D$31,2,FALSE)</f>
        <v>KONYA BÜYÜKŞEHİR</v>
      </c>
      <c r="C1862" t="s">
        <v>118</v>
      </c>
      <c r="D1862" s="73" t="str">
        <f t="shared" si="46"/>
        <v>KONYA BÜYÜKŞEHİR/KONYA</v>
      </c>
      <c r="E1862" t="s">
        <v>4392</v>
      </c>
      <c r="F1862" t="s">
        <v>4392</v>
      </c>
      <c r="G1862" t="s">
        <v>3366</v>
      </c>
      <c r="H1862">
        <v>444.3</v>
      </c>
      <c r="I1862">
        <v>44.43</v>
      </c>
      <c r="J1862">
        <v>402.8</v>
      </c>
      <c r="K1862">
        <v>40.28</v>
      </c>
      <c r="L1862">
        <v>41.5</v>
      </c>
      <c r="M1862">
        <v>4.1500000000000004</v>
      </c>
      <c r="O1862" s="79">
        <f>IFERROR(VLOOKUP(D1862,'KAPANAN BLD.'!$C$2:$D$793,2,FALSE),0)</f>
        <v>0</v>
      </c>
      <c r="P1862" s="79">
        <v>0</v>
      </c>
    </row>
    <row r="1863" spans="1:16" x14ac:dyDescent="0.25">
      <c r="A1863" t="s">
        <v>32</v>
      </c>
      <c r="B1863" s="73" t="str">
        <f>VLOOKUP(C1863,'Büyükşehir List'!$C$2:$D$31,2,FALSE)</f>
        <v>KONYA BÜYÜKŞEHİR</v>
      </c>
      <c r="C1863" t="s">
        <v>118</v>
      </c>
      <c r="D1863" s="73" t="str">
        <f t="shared" si="46"/>
        <v>KONYA BÜYÜKŞEHİR/KONYA</v>
      </c>
      <c r="E1863" t="s">
        <v>4498</v>
      </c>
      <c r="F1863" t="s">
        <v>4498</v>
      </c>
      <c r="G1863" t="s">
        <v>3366</v>
      </c>
      <c r="H1863">
        <v>670.7</v>
      </c>
      <c r="I1863">
        <v>67.069999999999993</v>
      </c>
      <c r="J1863">
        <v>0</v>
      </c>
      <c r="K1863">
        <v>0</v>
      </c>
      <c r="L1863">
        <v>670.7</v>
      </c>
      <c r="M1863">
        <v>67.069999999999993</v>
      </c>
      <c r="O1863" s="79">
        <f>IFERROR(VLOOKUP(D1863,'KAPANAN BLD.'!$C$2:$D$793,2,FALSE),0)</f>
        <v>0</v>
      </c>
      <c r="P1863" s="79">
        <v>0</v>
      </c>
    </row>
    <row r="1864" spans="1:16" x14ac:dyDescent="0.25">
      <c r="A1864" t="s">
        <v>32</v>
      </c>
      <c r="B1864" s="73" t="str">
        <f>VLOOKUP(C1864,'Büyükşehir List'!$C$2:$D$31,2,FALSE)</f>
        <v>KONYA BÜYÜKŞEHİR</v>
      </c>
      <c r="C1864" t="s">
        <v>118</v>
      </c>
      <c r="D1864" s="73" t="str">
        <f t="shared" si="46"/>
        <v>KONYA BÜYÜKŞEHİR/KONYA</v>
      </c>
      <c r="E1864" t="s">
        <v>4498</v>
      </c>
      <c r="F1864" t="s">
        <v>4498</v>
      </c>
      <c r="G1864" t="s">
        <v>3367</v>
      </c>
      <c r="H1864">
        <v>45.2</v>
      </c>
      <c r="I1864">
        <v>4.5199999999999996</v>
      </c>
      <c r="J1864">
        <v>0</v>
      </c>
      <c r="K1864">
        <v>0</v>
      </c>
      <c r="L1864">
        <v>45.2</v>
      </c>
      <c r="M1864">
        <v>4.5199999999999996</v>
      </c>
      <c r="O1864" s="79">
        <f>IFERROR(VLOOKUP(D1864,'KAPANAN BLD.'!$C$2:$D$793,2,FALSE),0)</f>
        <v>0</v>
      </c>
      <c r="P1864" s="79">
        <v>0</v>
      </c>
    </row>
    <row r="1865" spans="1:16" x14ac:dyDescent="0.25">
      <c r="A1865" t="s">
        <v>32</v>
      </c>
      <c r="B1865" s="73" t="str">
        <f>VLOOKUP(C1865,'Büyükşehir List'!$C$2:$D$31,2,FALSE)</f>
        <v>KONYA BÜYÜKŞEHİR</v>
      </c>
      <c r="C1865" t="s">
        <v>118</v>
      </c>
      <c r="D1865" s="73" t="str">
        <f t="shared" si="46"/>
        <v>KONYA BÜYÜKŞEHİR/KONYA</v>
      </c>
      <c r="E1865" t="s">
        <v>4499</v>
      </c>
      <c r="F1865" t="s">
        <v>4499</v>
      </c>
      <c r="G1865" t="s">
        <v>3367</v>
      </c>
      <c r="H1865">
        <v>6.4</v>
      </c>
      <c r="I1865">
        <v>0.64</v>
      </c>
      <c r="J1865">
        <v>0</v>
      </c>
      <c r="K1865">
        <v>0</v>
      </c>
      <c r="L1865">
        <v>6.4</v>
      </c>
      <c r="M1865">
        <v>0.64</v>
      </c>
      <c r="O1865" s="79">
        <f>IFERROR(VLOOKUP(D1865,'KAPANAN BLD.'!$C$2:$D$793,2,FALSE),0)</f>
        <v>0</v>
      </c>
      <c r="P1865" s="79">
        <v>0</v>
      </c>
    </row>
    <row r="1866" spans="1:16" x14ac:dyDescent="0.25">
      <c r="A1866" t="s">
        <v>32</v>
      </c>
      <c r="B1866" s="73" t="str">
        <f>VLOOKUP(C1866,'Büyükşehir List'!$C$2:$D$31,2,FALSE)</f>
        <v>KONYA BÜYÜKŞEHİR</v>
      </c>
      <c r="C1866" t="s">
        <v>118</v>
      </c>
      <c r="D1866" s="73" t="str">
        <f t="shared" si="46"/>
        <v>KONYA BÜYÜKŞEHİR/KONYA</v>
      </c>
      <c r="E1866" t="s">
        <v>4499</v>
      </c>
      <c r="F1866" t="s">
        <v>4499</v>
      </c>
      <c r="G1866" t="s">
        <v>3366</v>
      </c>
      <c r="H1866">
        <v>103.6</v>
      </c>
      <c r="I1866">
        <v>10.36</v>
      </c>
      <c r="J1866">
        <v>0</v>
      </c>
      <c r="K1866">
        <v>0</v>
      </c>
      <c r="L1866">
        <v>103.6</v>
      </c>
      <c r="M1866">
        <v>10.36</v>
      </c>
      <c r="O1866" s="79">
        <f>IFERROR(VLOOKUP(D1866,'KAPANAN BLD.'!$C$2:$D$793,2,FALSE),0)</f>
        <v>0</v>
      </c>
      <c r="P1866" s="79">
        <v>0</v>
      </c>
    </row>
    <row r="1867" spans="1:16" x14ac:dyDescent="0.25">
      <c r="A1867" t="s">
        <v>32</v>
      </c>
      <c r="B1867" s="73" t="str">
        <f>VLOOKUP(C1867,'Büyükşehir List'!$C$2:$D$31,2,FALSE)</f>
        <v>KONYA BÜYÜKŞEHİR</v>
      </c>
      <c r="C1867" t="s">
        <v>118</v>
      </c>
      <c r="D1867" s="73" t="str">
        <f t="shared" si="46"/>
        <v>KONYA BÜYÜKŞEHİR/KONYA</v>
      </c>
      <c r="E1867" t="s">
        <v>4500</v>
      </c>
      <c r="F1867" t="s">
        <v>4500</v>
      </c>
      <c r="G1867" t="s">
        <v>3367</v>
      </c>
      <c r="H1867">
        <v>4161.6000000000004</v>
      </c>
      <c r="I1867">
        <v>416.16</v>
      </c>
      <c r="J1867">
        <v>4138.6000000000004</v>
      </c>
      <c r="K1867">
        <v>413.86</v>
      </c>
      <c r="L1867">
        <v>23</v>
      </c>
      <c r="M1867">
        <v>2.2999999999999998</v>
      </c>
      <c r="O1867" s="79">
        <f>IFERROR(VLOOKUP(D1867,'KAPANAN BLD.'!$C$2:$D$793,2,FALSE),0)</f>
        <v>0</v>
      </c>
      <c r="P1867" s="79">
        <v>0</v>
      </c>
    </row>
    <row r="1868" spans="1:16" x14ac:dyDescent="0.25">
      <c r="A1868" t="s">
        <v>32</v>
      </c>
      <c r="B1868" s="73" t="str">
        <f>VLOOKUP(C1868,'Büyükşehir List'!$C$2:$D$31,2,FALSE)</f>
        <v>KONYA BÜYÜKŞEHİR</v>
      </c>
      <c r="C1868" t="s">
        <v>118</v>
      </c>
      <c r="D1868" s="73" t="str">
        <f t="shared" si="46"/>
        <v>KONYA BÜYÜKŞEHİR/KONYA</v>
      </c>
      <c r="E1868" t="s">
        <v>4500</v>
      </c>
      <c r="F1868" t="s">
        <v>4500</v>
      </c>
      <c r="G1868" t="s">
        <v>3366</v>
      </c>
      <c r="H1868">
        <v>534.6</v>
      </c>
      <c r="I1868">
        <v>53.46</v>
      </c>
      <c r="J1868">
        <v>106.1</v>
      </c>
      <c r="K1868">
        <v>10.61</v>
      </c>
      <c r="L1868">
        <v>428.5</v>
      </c>
      <c r="M1868">
        <v>42.85</v>
      </c>
      <c r="O1868" s="79">
        <f>IFERROR(VLOOKUP(D1868,'KAPANAN BLD.'!$C$2:$D$793,2,FALSE),0)</f>
        <v>0</v>
      </c>
      <c r="P1868" s="79">
        <v>0</v>
      </c>
    </row>
    <row r="1869" spans="1:16" x14ac:dyDescent="0.25">
      <c r="A1869" t="s">
        <v>32</v>
      </c>
      <c r="B1869" s="73" t="str">
        <f>VLOOKUP(C1869,'Büyükşehir List'!$C$2:$D$31,2,FALSE)</f>
        <v>KONYA BÜYÜKŞEHİR</v>
      </c>
      <c r="C1869" t="s">
        <v>118</v>
      </c>
      <c r="D1869" s="73" t="str">
        <f t="shared" si="46"/>
        <v>KONYA BÜYÜKŞEHİR/KONYA</v>
      </c>
      <c r="E1869" t="s">
        <v>3760</v>
      </c>
      <c r="F1869" t="s">
        <v>3760</v>
      </c>
      <c r="G1869" t="s">
        <v>3367</v>
      </c>
      <c r="H1869">
        <v>8928.1</v>
      </c>
      <c r="I1869">
        <v>892.81</v>
      </c>
      <c r="J1869">
        <v>5419.3</v>
      </c>
      <c r="K1869">
        <v>541.92999999999995</v>
      </c>
      <c r="L1869">
        <v>3508.8</v>
      </c>
      <c r="M1869">
        <v>350.88</v>
      </c>
      <c r="O1869" s="79">
        <f>IFERROR(VLOOKUP(D1869,'KAPANAN BLD.'!$C$2:$D$793,2,FALSE),0)</f>
        <v>0</v>
      </c>
      <c r="P1869" s="79">
        <v>0</v>
      </c>
    </row>
    <row r="1870" spans="1:16" x14ac:dyDescent="0.25">
      <c r="A1870" t="s">
        <v>32</v>
      </c>
      <c r="B1870" s="73" t="str">
        <f>VLOOKUP(C1870,'Büyükşehir List'!$C$2:$D$31,2,FALSE)</f>
        <v>KONYA BÜYÜKŞEHİR</v>
      </c>
      <c r="C1870" t="s">
        <v>118</v>
      </c>
      <c r="D1870" s="73" t="str">
        <f t="shared" si="46"/>
        <v>KONYA BÜYÜKŞEHİR/KONYA</v>
      </c>
      <c r="E1870" t="s">
        <v>3760</v>
      </c>
      <c r="F1870" t="s">
        <v>3760</v>
      </c>
      <c r="G1870" t="s">
        <v>3366</v>
      </c>
      <c r="H1870">
        <v>4732</v>
      </c>
      <c r="I1870">
        <v>473.2</v>
      </c>
      <c r="J1870">
        <v>3680.2</v>
      </c>
      <c r="K1870">
        <v>368.02</v>
      </c>
      <c r="L1870">
        <v>1051.8</v>
      </c>
      <c r="M1870">
        <v>105.18</v>
      </c>
      <c r="O1870" s="79">
        <f>IFERROR(VLOOKUP(D1870,'KAPANAN BLD.'!$C$2:$D$793,2,FALSE),0)</f>
        <v>0</v>
      </c>
      <c r="P1870" s="79">
        <v>0</v>
      </c>
    </row>
    <row r="1871" spans="1:16" x14ac:dyDescent="0.25">
      <c r="A1871" t="s">
        <v>32</v>
      </c>
      <c r="B1871" s="73" t="str">
        <f>VLOOKUP(C1871,'Büyükşehir List'!$C$2:$D$31,2,FALSE)</f>
        <v>KONYA BÜYÜKŞEHİR</v>
      </c>
      <c r="C1871" t="s">
        <v>118</v>
      </c>
      <c r="D1871" s="73" t="str">
        <f t="shared" si="46"/>
        <v>KONYA BÜYÜKŞEHİR/KONYA</v>
      </c>
      <c r="E1871" t="s">
        <v>3772</v>
      </c>
      <c r="F1871" t="s">
        <v>3772</v>
      </c>
      <c r="G1871" t="s">
        <v>3367</v>
      </c>
      <c r="H1871">
        <v>0.2</v>
      </c>
      <c r="I1871">
        <v>0.02</v>
      </c>
      <c r="J1871">
        <v>0</v>
      </c>
      <c r="K1871">
        <v>0</v>
      </c>
      <c r="L1871">
        <v>0.2</v>
      </c>
      <c r="M1871">
        <v>0.02</v>
      </c>
      <c r="O1871" s="79">
        <f>IFERROR(VLOOKUP(D1871,'KAPANAN BLD.'!$C$2:$D$793,2,FALSE),0)</f>
        <v>0</v>
      </c>
      <c r="P1871" s="79">
        <v>0</v>
      </c>
    </row>
    <row r="1872" spans="1:16" x14ac:dyDescent="0.25">
      <c r="A1872" t="s">
        <v>32</v>
      </c>
      <c r="B1872" s="73" t="str">
        <f>VLOOKUP(C1872,'Büyükşehir List'!$C$2:$D$31,2,FALSE)</f>
        <v>KONYA BÜYÜKŞEHİR</v>
      </c>
      <c r="C1872" t="s">
        <v>118</v>
      </c>
      <c r="D1872" s="73" t="str">
        <f t="shared" si="46"/>
        <v>KONYA BÜYÜKŞEHİR/KONYA</v>
      </c>
      <c r="E1872" t="s">
        <v>3772</v>
      </c>
      <c r="F1872" t="s">
        <v>3772</v>
      </c>
      <c r="G1872" t="s">
        <v>3366</v>
      </c>
      <c r="H1872">
        <v>1420.8</v>
      </c>
      <c r="I1872">
        <v>142.08000000000001</v>
      </c>
      <c r="J1872">
        <v>0</v>
      </c>
      <c r="K1872">
        <v>0</v>
      </c>
      <c r="L1872">
        <v>1420.8</v>
      </c>
      <c r="M1872">
        <v>142.08000000000001</v>
      </c>
      <c r="O1872" s="79">
        <f>IFERROR(VLOOKUP(D1872,'KAPANAN BLD.'!$C$2:$D$793,2,FALSE),0)</f>
        <v>0</v>
      </c>
      <c r="P1872" s="79">
        <v>0</v>
      </c>
    </row>
    <row r="1873" spans="1:16" x14ac:dyDescent="0.25">
      <c r="A1873" t="s">
        <v>32</v>
      </c>
      <c r="B1873" s="73" t="str">
        <f>VLOOKUP(C1873,'Büyükşehir List'!$C$2:$D$31,2,FALSE)</f>
        <v>KONYA BÜYÜKŞEHİR</v>
      </c>
      <c r="C1873" t="s">
        <v>118</v>
      </c>
      <c r="D1873" s="73" t="str">
        <f t="shared" si="46"/>
        <v>KONYA BÜYÜKŞEHİR/KONYA</v>
      </c>
      <c r="E1873" t="s">
        <v>454</v>
      </c>
      <c r="F1873" t="s">
        <v>454</v>
      </c>
      <c r="G1873" t="s">
        <v>3366</v>
      </c>
      <c r="H1873">
        <v>11393.8</v>
      </c>
      <c r="I1873">
        <v>1139.3800000000001</v>
      </c>
      <c r="J1873">
        <v>1742.4</v>
      </c>
      <c r="K1873">
        <v>174.24</v>
      </c>
      <c r="L1873">
        <v>9651.4</v>
      </c>
      <c r="M1873">
        <v>965.14</v>
      </c>
      <c r="O1873" s="79">
        <f>IFERROR(VLOOKUP(D1873,'KAPANAN BLD.'!$C$2:$D$793,2,FALSE),0)</f>
        <v>0</v>
      </c>
      <c r="P1873" s="79">
        <v>0</v>
      </c>
    </row>
    <row r="1874" spans="1:16" x14ac:dyDescent="0.25">
      <c r="A1874" t="s">
        <v>32</v>
      </c>
      <c r="B1874" s="73" t="str">
        <f>VLOOKUP(C1874,'Büyükşehir List'!$C$2:$D$31,2,FALSE)</f>
        <v>KONYA BÜYÜKŞEHİR</v>
      </c>
      <c r="C1874" t="s">
        <v>118</v>
      </c>
      <c r="D1874" s="73" t="str">
        <f t="shared" si="46"/>
        <v>KONYA BÜYÜKŞEHİR/KONYA</v>
      </c>
      <c r="E1874" t="s">
        <v>454</v>
      </c>
      <c r="F1874" t="s">
        <v>454</v>
      </c>
      <c r="G1874" t="s">
        <v>3367</v>
      </c>
      <c r="H1874">
        <v>14279.6</v>
      </c>
      <c r="I1874">
        <v>1427.96</v>
      </c>
      <c r="J1874">
        <v>522.79999999999995</v>
      </c>
      <c r="K1874">
        <v>52.28</v>
      </c>
      <c r="L1874">
        <v>13756.8</v>
      </c>
      <c r="M1874">
        <v>1375.68</v>
      </c>
      <c r="O1874" s="79">
        <f>IFERROR(VLOOKUP(D1874,'KAPANAN BLD.'!$C$2:$D$793,2,FALSE),0)</f>
        <v>0</v>
      </c>
      <c r="P1874" s="79">
        <v>0</v>
      </c>
    </row>
    <row r="1875" spans="1:16" x14ac:dyDescent="0.25">
      <c r="A1875" t="s">
        <v>32</v>
      </c>
      <c r="B1875" s="73" t="str">
        <f>VLOOKUP(C1875,'Büyükşehir List'!$C$2:$D$31,2,FALSE)</f>
        <v>KONYA BÜYÜKŞEHİR</v>
      </c>
      <c r="C1875" t="s">
        <v>118</v>
      </c>
      <c r="D1875" s="73" t="str">
        <f t="shared" si="46"/>
        <v>KONYA BÜYÜKŞEHİR/KONYA</v>
      </c>
      <c r="E1875" t="s">
        <v>4501</v>
      </c>
      <c r="F1875" t="s">
        <v>4501</v>
      </c>
      <c r="G1875" t="s">
        <v>3367</v>
      </c>
      <c r="H1875">
        <v>807.6</v>
      </c>
      <c r="I1875">
        <v>80.760000000000005</v>
      </c>
      <c r="J1875">
        <v>0</v>
      </c>
      <c r="K1875">
        <v>0</v>
      </c>
      <c r="L1875">
        <v>807.6</v>
      </c>
      <c r="M1875">
        <v>80.760000000000005</v>
      </c>
      <c r="O1875" s="79">
        <f>IFERROR(VLOOKUP(D1875,'KAPANAN BLD.'!$C$2:$D$793,2,FALSE),0)</f>
        <v>0</v>
      </c>
      <c r="P1875" s="79">
        <v>0</v>
      </c>
    </row>
    <row r="1876" spans="1:16" x14ac:dyDescent="0.25">
      <c r="A1876" t="s">
        <v>32</v>
      </c>
      <c r="B1876" s="73" t="str">
        <f>VLOOKUP(C1876,'Büyükşehir List'!$C$2:$D$31,2,FALSE)</f>
        <v>KONYA BÜYÜKŞEHİR</v>
      </c>
      <c r="C1876" t="s">
        <v>118</v>
      </c>
      <c r="D1876" s="73" t="str">
        <f t="shared" si="46"/>
        <v>KONYA BÜYÜKŞEHİR/KONYA</v>
      </c>
      <c r="E1876" t="s">
        <v>4501</v>
      </c>
      <c r="F1876" t="s">
        <v>4501</v>
      </c>
      <c r="G1876" t="s">
        <v>3366</v>
      </c>
      <c r="H1876">
        <v>3435.6</v>
      </c>
      <c r="I1876">
        <v>343.56</v>
      </c>
      <c r="J1876">
        <v>0</v>
      </c>
      <c r="K1876">
        <v>0</v>
      </c>
      <c r="L1876">
        <v>3435.6</v>
      </c>
      <c r="M1876">
        <v>343.56</v>
      </c>
      <c r="O1876" s="79">
        <f>IFERROR(VLOOKUP(D1876,'KAPANAN BLD.'!$C$2:$D$793,2,FALSE),0)</f>
        <v>0</v>
      </c>
      <c r="P1876" s="79">
        <v>0</v>
      </c>
    </row>
    <row r="1877" spans="1:16" x14ac:dyDescent="0.25">
      <c r="A1877" t="s">
        <v>32</v>
      </c>
      <c r="B1877" s="73" t="str">
        <f>VLOOKUP(C1877,'Büyükşehir List'!$C$2:$D$31,2,FALSE)</f>
        <v>KONYA BÜYÜKŞEHİR</v>
      </c>
      <c r="C1877" t="s">
        <v>118</v>
      </c>
      <c r="D1877" s="73" t="str">
        <f t="shared" si="46"/>
        <v>KONYA BÜYÜKŞEHİR/KONYA</v>
      </c>
      <c r="E1877" t="s">
        <v>3960</v>
      </c>
      <c r="F1877" t="s">
        <v>3960</v>
      </c>
      <c r="G1877" t="s">
        <v>3367</v>
      </c>
      <c r="H1877">
        <v>5139.6000000000004</v>
      </c>
      <c r="I1877">
        <v>513.96</v>
      </c>
      <c r="J1877">
        <v>0.2</v>
      </c>
      <c r="K1877">
        <v>0.02</v>
      </c>
      <c r="L1877">
        <v>5139.3999999999996</v>
      </c>
      <c r="M1877">
        <v>513.94000000000005</v>
      </c>
      <c r="O1877" s="79">
        <f>IFERROR(VLOOKUP(D1877,'KAPANAN BLD.'!$C$2:$D$793,2,FALSE),0)</f>
        <v>0</v>
      </c>
      <c r="P1877" s="79">
        <v>0</v>
      </c>
    </row>
    <row r="1878" spans="1:16" x14ac:dyDescent="0.25">
      <c r="A1878" t="s">
        <v>32</v>
      </c>
      <c r="B1878" s="73" t="str">
        <f>VLOOKUP(C1878,'Büyükşehir List'!$C$2:$D$31,2,FALSE)</f>
        <v>KONYA BÜYÜKŞEHİR</v>
      </c>
      <c r="C1878" t="s">
        <v>118</v>
      </c>
      <c r="D1878" s="73" t="str">
        <f t="shared" si="46"/>
        <v>KONYA BÜYÜKŞEHİR/KONYA</v>
      </c>
      <c r="E1878" t="s">
        <v>3960</v>
      </c>
      <c r="F1878" t="s">
        <v>3960</v>
      </c>
      <c r="G1878" t="s">
        <v>3366</v>
      </c>
      <c r="H1878">
        <v>372.6</v>
      </c>
      <c r="I1878">
        <v>37.26</v>
      </c>
      <c r="J1878">
        <v>2</v>
      </c>
      <c r="K1878">
        <v>0.2</v>
      </c>
      <c r="L1878">
        <v>370.6</v>
      </c>
      <c r="M1878">
        <v>37.06</v>
      </c>
      <c r="O1878" s="79">
        <f>IFERROR(VLOOKUP(D1878,'KAPANAN BLD.'!$C$2:$D$793,2,FALSE),0)</f>
        <v>0</v>
      </c>
      <c r="P1878" s="79">
        <v>0</v>
      </c>
    </row>
    <row r="1879" spans="1:16" x14ac:dyDescent="0.25">
      <c r="A1879" t="s">
        <v>32</v>
      </c>
      <c r="B1879" s="73" t="str">
        <f>VLOOKUP(C1879,'Büyükşehir List'!$C$2:$D$31,2,FALSE)</f>
        <v>KONYA BÜYÜKŞEHİR</v>
      </c>
      <c r="C1879" t="s">
        <v>118</v>
      </c>
      <c r="D1879" s="73" t="str">
        <f t="shared" si="46"/>
        <v>KONYA BÜYÜKŞEHİR/KONYA</v>
      </c>
      <c r="E1879" t="s">
        <v>372</v>
      </c>
      <c r="F1879" t="s">
        <v>372</v>
      </c>
      <c r="G1879" t="s">
        <v>3366</v>
      </c>
      <c r="H1879">
        <v>1657.31</v>
      </c>
      <c r="I1879">
        <v>165.73</v>
      </c>
      <c r="J1879">
        <v>0</v>
      </c>
      <c r="K1879">
        <v>0</v>
      </c>
      <c r="L1879">
        <v>1657.31</v>
      </c>
      <c r="M1879">
        <v>165.73</v>
      </c>
      <c r="O1879" s="79">
        <f>IFERROR(VLOOKUP(D1879,'KAPANAN BLD.'!$C$2:$D$793,2,FALSE),0)</f>
        <v>0</v>
      </c>
      <c r="P1879" s="79">
        <v>0</v>
      </c>
    </row>
    <row r="1880" spans="1:16" x14ac:dyDescent="0.25">
      <c r="A1880" t="s">
        <v>32</v>
      </c>
      <c r="B1880" s="73" t="str">
        <f>VLOOKUP(C1880,'Büyükşehir List'!$C$2:$D$31,2,FALSE)</f>
        <v>KONYA BÜYÜKŞEHİR</v>
      </c>
      <c r="C1880" t="s">
        <v>118</v>
      </c>
      <c r="D1880" s="73" t="str">
        <f t="shared" si="46"/>
        <v>KONYA BÜYÜKŞEHİR/KONYA</v>
      </c>
      <c r="E1880" t="s">
        <v>372</v>
      </c>
      <c r="F1880" t="s">
        <v>372</v>
      </c>
      <c r="G1880" t="s">
        <v>3367</v>
      </c>
      <c r="H1880">
        <v>1633.73</v>
      </c>
      <c r="I1880">
        <v>163.37</v>
      </c>
      <c r="J1880">
        <v>0</v>
      </c>
      <c r="K1880">
        <v>0</v>
      </c>
      <c r="L1880">
        <v>1633.73</v>
      </c>
      <c r="M1880">
        <v>163.37</v>
      </c>
      <c r="O1880" s="79">
        <f>IFERROR(VLOOKUP(D1880,'KAPANAN BLD.'!$C$2:$D$793,2,FALSE),0)</f>
        <v>0</v>
      </c>
      <c r="P1880" s="79">
        <v>0</v>
      </c>
    </row>
    <row r="1881" spans="1:16" x14ac:dyDescent="0.25">
      <c r="A1881" t="s">
        <v>32</v>
      </c>
      <c r="B1881" s="73" t="str">
        <f>VLOOKUP(C1881,'Büyükşehir List'!$C$2:$D$31,2,FALSE)</f>
        <v>KONYA BÜYÜKŞEHİR</v>
      </c>
      <c r="C1881" t="s">
        <v>118</v>
      </c>
      <c r="D1881" s="73" t="str">
        <f t="shared" si="46"/>
        <v>KONYA BÜYÜKŞEHİR/KONYA</v>
      </c>
      <c r="E1881" t="s">
        <v>4502</v>
      </c>
      <c r="F1881" t="s">
        <v>4502</v>
      </c>
      <c r="G1881" t="s">
        <v>3367</v>
      </c>
      <c r="H1881">
        <v>0.4</v>
      </c>
      <c r="I1881">
        <v>0.04</v>
      </c>
      <c r="J1881">
        <v>0</v>
      </c>
      <c r="K1881">
        <v>0</v>
      </c>
      <c r="L1881">
        <v>0.4</v>
      </c>
      <c r="M1881">
        <v>0.04</v>
      </c>
      <c r="O1881" s="79">
        <f>IFERROR(VLOOKUP(D1881,'KAPANAN BLD.'!$C$2:$D$793,2,FALSE),0)</f>
        <v>0</v>
      </c>
      <c r="P1881" s="79">
        <v>0</v>
      </c>
    </row>
    <row r="1882" spans="1:16" x14ac:dyDescent="0.25">
      <c r="A1882" t="s">
        <v>32</v>
      </c>
      <c r="B1882" s="73" t="str">
        <f>VLOOKUP(C1882,'Büyükşehir List'!$C$2:$D$31,2,FALSE)</f>
        <v>KONYA BÜYÜKŞEHİR</v>
      </c>
      <c r="C1882" t="s">
        <v>118</v>
      </c>
      <c r="D1882" s="73" t="str">
        <f t="shared" si="46"/>
        <v>KONYA BÜYÜKŞEHİR/KONYA</v>
      </c>
      <c r="E1882" t="s">
        <v>4502</v>
      </c>
      <c r="F1882" t="s">
        <v>4502</v>
      </c>
      <c r="G1882" t="s">
        <v>3366</v>
      </c>
      <c r="H1882">
        <v>0.1</v>
      </c>
      <c r="I1882">
        <v>0.01</v>
      </c>
      <c r="J1882">
        <v>0</v>
      </c>
      <c r="K1882">
        <v>0</v>
      </c>
      <c r="L1882">
        <v>0.1</v>
      </c>
      <c r="M1882">
        <v>0.01</v>
      </c>
      <c r="O1882" s="79">
        <f>IFERROR(VLOOKUP(D1882,'KAPANAN BLD.'!$C$2:$D$793,2,FALSE),0)</f>
        <v>0</v>
      </c>
      <c r="P1882" s="79">
        <v>0</v>
      </c>
    </row>
    <row r="1883" spans="1:16" x14ac:dyDescent="0.25">
      <c r="A1883" t="s">
        <v>32</v>
      </c>
      <c r="B1883" s="73" t="str">
        <f>VLOOKUP(C1883,'Büyükşehir List'!$C$2:$D$31,2,FALSE)</f>
        <v>KONYA BÜYÜKŞEHİR</v>
      </c>
      <c r="C1883" t="s">
        <v>118</v>
      </c>
      <c r="D1883" s="73" t="str">
        <f t="shared" si="46"/>
        <v>KONYA BÜYÜKŞEHİR/KONYA</v>
      </c>
      <c r="E1883" t="s">
        <v>4393</v>
      </c>
      <c r="F1883" t="s">
        <v>4393</v>
      </c>
      <c r="G1883" t="s">
        <v>3367</v>
      </c>
      <c r="H1883">
        <v>192.6</v>
      </c>
      <c r="I1883">
        <v>19.260000000000002</v>
      </c>
      <c r="J1883">
        <v>0</v>
      </c>
      <c r="K1883">
        <v>0</v>
      </c>
      <c r="L1883">
        <v>192.6</v>
      </c>
      <c r="M1883">
        <v>19.260000000000002</v>
      </c>
      <c r="O1883" s="79">
        <f>IFERROR(VLOOKUP(D1883,'KAPANAN BLD.'!$C$2:$D$793,2,FALSE),0)</f>
        <v>0</v>
      </c>
      <c r="P1883" s="79">
        <v>0</v>
      </c>
    </row>
    <row r="1884" spans="1:16" x14ac:dyDescent="0.25">
      <c r="A1884" t="s">
        <v>32</v>
      </c>
      <c r="B1884" s="73" t="str">
        <f>VLOOKUP(C1884,'Büyükşehir List'!$C$2:$D$31,2,FALSE)</f>
        <v>KONYA BÜYÜKŞEHİR</v>
      </c>
      <c r="C1884" t="s">
        <v>118</v>
      </c>
      <c r="D1884" s="73" t="str">
        <f t="shared" si="46"/>
        <v>KONYA BÜYÜKŞEHİR/KONYA</v>
      </c>
      <c r="E1884" t="s">
        <v>4393</v>
      </c>
      <c r="F1884" t="s">
        <v>4393</v>
      </c>
      <c r="G1884" t="s">
        <v>3366</v>
      </c>
      <c r="H1884">
        <v>191.9</v>
      </c>
      <c r="I1884">
        <v>19.190000000000001</v>
      </c>
      <c r="J1884">
        <v>0</v>
      </c>
      <c r="K1884">
        <v>0</v>
      </c>
      <c r="L1884">
        <v>191.9</v>
      </c>
      <c r="M1884">
        <v>19.190000000000001</v>
      </c>
      <c r="O1884" s="79">
        <f>IFERROR(VLOOKUP(D1884,'KAPANAN BLD.'!$C$2:$D$793,2,FALSE),0)</f>
        <v>0</v>
      </c>
      <c r="P1884" s="79">
        <v>0</v>
      </c>
    </row>
    <row r="1885" spans="1:16" x14ac:dyDescent="0.25">
      <c r="A1885" t="s">
        <v>32</v>
      </c>
      <c r="B1885" s="73" t="str">
        <f>VLOOKUP(C1885,'Büyükşehir List'!$C$2:$D$31,2,FALSE)</f>
        <v>KONYA BÜYÜKŞEHİR</v>
      </c>
      <c r="C1885" t="s">
        <v>118</v>
      </c>
      <c r="D1885" s="73" t="str">
        <f t="shared" si="46"/>
        <v>KONYA BÜYÜKŞEHİR/KONYA</v>
      </c>
      <c r="E1885" t="s">
        <v>263</v>
      </c>
      <c r="F1885" t="s">
        <v>263</v>
      </c>
      <c r="G1885" t="s">
        <v>3366</v>
      </c>
      <c r="H1885">
        <v>122.2</v>
      </c>
      <c r="I1885">
        <v>12.22</v>
      </c>
      <c r="J1885">
        <v>0</v>
      </c>
      <c r="K1885">
        <v>0</v>
      </c>
      <c r="L1885">
        <v>122.2</v>
      </c>
      <c r="M1885">
        <v>12.22</v>
      </c>
      <c r="O1885" s="79">
        <f>IFERROR(VLOOKUP(D1885,'KAPANAN BLD.'!$C$2:$D$793,2,FALSE),0)</f>
        <v>0</v>
      </c>
      <c r="P1885" s="79">
        <v>0</v>
      </c>
    </row>
    <row r="1886" spans="1:16" x14ac:dyDescent="0.25">
      <c r="A1886" t="s">
        <v>32</v>
      </c>
      <c r="B1886" s="73" t="str">
        <f>VLOOKUP(C1886,'Büyükşehir List'!$C$2:$D$31,2,FALSE)</f>
        <v>KONYA BÜYÜKŞEHİR</v>
      </c>
      <c r="C1886" t="s">
        <v>118</v>
      </c>
      <c r="D1886" s="73" t="str">
        <f t="shared" si="46"/>
        <v>KONYA BÜYÜKŞEHİR/KONYA</v>
      </c>
      <c r="E1886" t="s">
        <v>263</v>
      </c>
      <c r="F1886" t="s">
        <v>263</v>
      </c>
      <c r="G1886" t="s">
        <v>3367</v>
      </c>
      <c r="H1886">
        <v>143.1</v>
      </c>
      <c r="I1886">
        <v>14.31</v>
      </c>
      <c r="J1886">
        <v>0</v>
      </c>
      <c r="K1886">
        <v>0</v>
      </c>
      <c r="L1886">
        <v>143.1</v>
      </c>
      <c r="M1886">
        <v>14.31</v>
      </c>
      <c r="O1886" s="79">
        <f>IFERROR(VLOOKUP(D1886,'KAPANAN BLD.'!$C$2:$D$793,2,FALSE),0)</f>
        <v>0</v>
      </c>
      <c r="P1886" s="79">
        <v>0</v>
      </c>
    </row>
    <row r="1887" spans="1:16" x14ac:dyDescent="0.25">
      <c r="A1887" t="s">
        <v>32</v>
      </c>
      <c r="B1887" s="73" t="str">
        <f>VLOOKUP(C1887,'Büyükşehir List'!$C$2:$D$31,2,FALSE)</f>
        <v>KONYA BÜYÜKŞEHİR</v>
      </c>
      <c r="C1887" t="s">
        <v>118</v>
      </c>
      <c r="D1887" s="73" t="str">
        <f t="shared" si="46"/>
        <v>KONYA BÜYÜKŞEHİR/KONYA</v>
      </c>
      <c r="E1887" t="s">
        <v>4394</v>
      </c>
      <c r="F1887" t="s">
        <v>4394</v>
      </c>
      <c r="G1887" t="s">
        <v>3367</v>
      </c>
      <c r="H1887">
        <v>5.4</v>
      </c>
      <c r="I1887">
        <v>0.54</v>
      </c>
      <c r="J1887">
        <v>0</v>
      </c>
      <c r="K1887">
        <v>0</v>
      </c>
      <c r="L1887">
        <v>5.4</v>
      </c>
      <c r="M1887">
        <v>0.54</v>
      </c>
      <c r="O1887" s="79">
        <f>IFERROR(VLOOKUP(D1887,'KAPANAN BLD.'!$C$2:$D$793,2,FALSE),0)</f>
        <v>0</v>
      </c>
      <c r="P1887" s="79">
        <v>0</v>
      </c>
    </row>
    <row r="1888" spans="1:16" x14ac:dyDescent="0.25">
      <c r="A1888" t="s">
        <v>32</v>
      </c>
      <c r="B1888" s="73" t="str">
        <f>VLOOKUP(C1888,'Büyükşehir List'!$C$2:$D$31,2,FALSE)</f>
        <v>KONYA BÜYÜKŞEHİR</v>
      </c>
      <c r="C1888" t="s">
        <v>118</v>
      </c>
      <c r="D1888" s="73" t="str">
        <f t="shared" si="46"/>
        <v>KONYA BÜYÜKŞEHİR/KONYA</v>
      </c>
      <c r="E1888" t="s">
        <v>4394</v>
      </c>
      <c r="F1888" t="s">
        <v>4394</v>
      </c>
      <c r="G1888" t="s">
        <v>3366</v>
      </c>
      <c r="H1888">
        <v>103.3</v>
      </c>
      <c r="I1888">
        <v>10.33</v>
      </c>
      <c r="J1888">
        <v>0</v>
      </c>
      <c r="K1888">
        <v>0</v>
      </c>
      <c r="L1888">
        <v>103.3</v>
      </c>
      <c r="M1888">
        <v>10.33</v>
      </c>
      <c r="O1888" s="79">
        <f>IFERROR(VLOOKUP(D1888,'KAPANAN BLD.'!$C$2:$D$793,2,FALSE),0)</f>
        <v>0</v>
      </c>
      <c r="P1888" s="79">
        <v>0</v>
      </c>
    </row>
    <row r="1889" spans="1:16" x14ac:dyDescent="0.25">
      <c r="A1889" t="s">
        <v>32</v>
      </c>
      <c r="B1889" s="73" t="str">
        <f>VLOOKUP(C1889,'Büyükşehir List'!$C$2:$D$31,2,FALSE)</f>
        <v>KONYA BÜYÜKŞEHİR</v>
      </c>
      <c r="C1889" t="s">
        <v>118</v>
      </c>
      <c r="D1889" s="73" t="str">
        <f t="shared" si="46"/>
        <v>KONYA BÜYÜKŞEHİR/KONYA</v>
      </c>
      <c r="E1889" t="s">
        <v>3908</v>
      </c>
      <c r="F1889" t="s">
        <v>3908</v>
      </c>
      <c r="G1889" t="s">
        <v>3367</v>
      </c>
      <c r="H1889">
        <v>997.4</v>
      </c>
      <c r="I1889">
        <v>99.74</v>
      </c>
      <c r="J1889">
        <v>0</v>
      </c>
      <c r="K1889">
        <v>0</v>
      </c>
      <c r="L1889">
        <v>997.4</v>
      </c>
      <c r="M1889">
        <v>99.74</v>
      </c>
      <c r="O1889" s="79">
        <f>IFERROR(VLOOKUP(D1889,'KAPANAN BLD.'!$C$2:$D$793,2,FALSE),0)</f>
        <v>0</v>
      </c>
      <c r="P1889" s="79">
        <v>0</v>
      </c>
    </row>
    <row r="1890" spans="1:16" x14ac:dyDescent="0.25">
      <c r="A1890" t="s">
        <v>32</v>
      </c>
      <c r="B1890" s="73" t="str">
        <f>VLOOKUP(C1890,'Büyükşehir List'!$C$2:$D$31,2,FALSE)</f>
        <v>KONYA BÜYÜKŞEHİR</v>
      </c>
      <c r="C1890" t="s">
        <v>118</v>
      </c>
      <c r="D1890" s="73" t="str">
        <f t="shared" si="46"/>
        <v>KONYA BÜYÜKŞEHİR/KONYA</v>
      </c>
      <c r="E1890" t="s">
        <v>3908</v>
      </c>
      <c r="F1890" t="s">
        <v>3908</v>
      </c>
      <c r="G1890" t="s">
        <v>3366</v>
      </c>
      <c r="H1890">
        <v>1048.9000000000001</v>
      </c>
      <c r="I1890">
        <v>104.89</v>
      </c>
      <c r="J1890">
        <v>0</v>
      </c>
      <c r="K1890">
        <v>0</v>
      </c>
      <c r="L1890">
        <v>1048.9000000000001</v>
      </c>
      <c r="M1890">
        <v>104.89</v>
      </c>
      <c r="O1890" s="79">
        <f>IFERROR(VLOOKUP(D1890,'KAPANAN BLD.'!$C$2:$D$793,2,FALSE),0)</f>
        <v>0</v>
      </c>
      <c r="P1890" s="79">
        <v>0</v>
      </c>
    </row>
    <row r="1891" spans="1:16" x14ac:dyDescent="0.25">
      <c r="A1891" t="s">
        <v>32</v>
      </c>
      <c r="B1891" s="73" t="str">
        <f>VLOOKUP(C1891,'Büyükşehir List'!$C$2:$D$31,2,FALSE)</f>
        <v>KONYA BÜYÜKŞEHİR</v>
      </c>
      <c r="C1891" t="s">
        <v>118</v>
      </c>
      <c r="D1891" s="73" t="str">
        <f t="shared" si="46"/>
        <v>KONYA BÜYÜKŞEHİR/KONYA</v>
      </c>
      <c r="E1891" t="s">
        <v>4503</v>
      </c>
      <c r="F1891" t="s">
        <v>4503</v>
      </c>
      <c r="G1891" t="s">
        <v>3367</v>
      </c>
      <c r="H1891">
        <v>5.4</v>
      </c>
      <c r="I1891">
        <v>0.54</v>
      </c>
      <c r="J1891">
        <v>0</v>
      </c>
      <c r="K1891">
        <v>0</v>
      </c>
      <c r="L1891">
        <v>5.4</v>
      </c>
      <c r="M1891">
        <v>0.54</v>
      </c>
      <c r="O1891" s="79">
        <f>IFERROR(VLOOKUP(D1891,'KAPANAN BLD.'!$C$2:$D$793,2,FALSE),0)</f>
        <v>0</v>
      </c>
      <c r="P1891" s="79">
        <v>0</v>
      </c>
    </row>
    <row r="1892" spans="1:16" x14ac:dyDescent="0.25">
      <c r="A1892" t="s">
        <v>32</v>
      </c>
      <c r="B1892" s="73" t="str">
        <f>VLOOKUP(C1892,'Büyükşehir List'!$C$2:$D$31,2,FALSE)</f>
        <v>KONYA BÜYÜKŞEHİR</v>
      </c>
      <c r="C1892" t="s">
        <v>118</v>
      </c>
      <c r="D1892" s="73" t="str">
        <f t="shared" si="46"/>
        <v>KONYA BÜYÜKŞEHİR/KONYA</v>
      </c>
      <c r="E1892" t="s">
        <v>4503</v>
      </c>
      <c r="F1892" t="s">
        <v>4503</v>
      </c>
      <c r="G1892" t="s">
        <v>3366</v>
      </c>
      <c r="H1892">
        <v>103.3</v>
      </c>
      <c r="I1892">
        <v>10.33</v>
      </c>
      <c r="J1892">
        <v>0</v>
      </c>
      <c r="K1892">
        <v>0</v>
      </c>
      <c r="L1892">
        <v>103.3</v>
      </c>
      <c r="M1892">
        <v>10.33</v>
      </c>
      <c r="O1892" s="79">
        <f>IFERROR(VLOOKUP(D1892,'KAPANAN BLD.'!$C$2:$D$793,2,FALSE),0)</f>
        <v>0</v>
      </c>
      <c r="P1892" s="79">
        <v>0</v>
      </c>
    </row>
    <row r="1893" spans="1:16" x14ac:dyDescent="0.25">
      <c r="A1893" t="s">
        <v>32</v>
      </c>
      <c r="B1893" s="73" t="str">
        <f>VLOOKUP(C1893,'Büyükşehir List'!$C$2:$D$31,2,FALSE)</f>
        <v>KONYA BÜYÜKŞEHİR</v>
      </c>
      <c r="C1893" t="s">
        <v>118</v>
      </c>
      <c r="D1893" s="73" t="str">
        <f t="shared" si="46"/>
        <v>KONYA BÜYÜKŞEHİR/KONYA</v>
      </c>
      <c r="E1893" t="s">
        <v>3313</v>
      </c>
      <c r="F1893" t="s">
        <v>3313</v>
      </c>
      <c r="G1893" t="s">
        <v>3367</v>
      </c>
      <c r="H1893">
        <v>113.4</v>
      </c>
      <c r="I1893">
        <v>11.34</v>
      </c>
      <c r="J1893">
        <v>0</v>
      </c>
      <c r="K1893">
        <v>0</v>
      </c>
      <c r="L1893">
        <v>113.4</v>
      </c>
      <c r="M1893">
        <v>11.34</v>
      </c>
      <c r="O1893" s="79">
        <f>IFERROR(VLOOKUP(D1893,'KAPANAN BLD.'!$C$2:$D$793,2,FALSE),0)</f>
        <v>0</v>
      </c>
      <c r="P1893" s="79">
        <v>0</v>
      </c>
    </row>
    <row r="1894" spans="1:16" x14ac:dyDescent="0.25">
      <c r="A1894" t="s">
        <v>32</v>
      </c>
      <c r="B1894" s="73" t="str">
        <f>VLOOKUP(C1894,'Büyükşehir List'!$C$2:$D$31,2,FALSE)</f>
        <v>KONYA BÜYÜKŞEHİR</v>
      </c>
      <c r="C1894" t="s">
        <v>118</v>
      </c>
      <c r="D1894" s="73" t="str">
        <f t="shared" si="46"/>
        <v>KONYA BÜYÜKŞEHİR/KONYA</v>
      </c>
      <c r="E1894" t="s">
        <v>3313</v>
      </c>
      <c r="F1894" t="s">
        <v>3313</v>
      </c>
      <c r="G1894" t="s">
        <v>3366</v>
      </c>
      <c r="H1894">
        <v>91.4</v>
      </c>
      <c r="I1894">
        <v>9.14</v>
      </c>
      <c r="J1894">
        <v>0</v>
      </c>
      <c r="K1894">
        <v>0</v>
      </c>
      <c r="L1894">
        <v>91.4</v>
      </c>
      <c r="M1894">
        <v>9.14</v>
      </c>
      <c r="O1894" s="79">
        <f>IFERROR(VLOOKUP(D1894,'KAPANAN BLD.'!$C$2:$D$793,2,FALSE),0)</f>
        <v>0</v>
      </c>
      <c r="P1894" s="79">
        <v>0</v>
      </c>
    </row>
    <row r="1895" spans="1:16" x14ac:dyDescent="0.25">
      <c r="A1895" t="s">
        <v>32</v>
      </c>
      <c r="B1895" s="73" t="str">
        <f>VLOOKUP(C1895,'Büyükşehir List'!$C$2:$D$31,2,FALSE)</f>
        <v>KONYA BÜYÜKŞEHİR</v>
      </c>
      <c r="C1895" t="s">
        <v>118</v>
      </c>
      <c r="D1895" s="73" t="str">
        <f t="shared" si="46"/>
        <v>KONYA BÜYÜKŞEHİR/KONYA</v>
      </c>
      <c r="E1895" t="s">
        <v>4504</v>
      </c>
      <c r="F1895" t="s">
        <v>4504</v>
      </c>
      <c r="G1895" t="s">
        <v>3367</v>
      </c>
      <c r="H1895">
        <v>100.1</v>
      </c>
      <c r="I1895">
        <v>10.01</v>
      </c>
      <c r="J1895">
        <v>0</v>
      </c>
      <c r="K1895">
        <v>0</v>
      </c>
      <c r="L1895">
        <v>100.1</v>
      </c>
      <c r="M1895">
        <v>10.01</v>
      </c>
      <c r="O1895" s="79">
        <f>IFERROR(VLOOKUP(D1895,'KAPANAN BLD.'!$C$2:$D$793,2,FALSE),0)</f>
        <v>0</v>
      </c>
      <c r="P1895" s="79">
        <v>0</v>
      </c>
    </row>
    <row r="1896" spans="1:16" x14ac:dyDescent="0.25">
      <c r="A1896" t="s">
        <v>32</v>
      </c>
      <c r="B1896" s="73" t="str">
        <f>VLOOKUP(C1896,'Büyükşehir List'!$C$2:$D$31,2,FALSE)</f>
        <v>KONYA BÜYÜKŞEHİR</v>
      </c>
      <c r="C1896" t="s">
        <v>118</v>
      </c>
      <c r="D1896" s="73" t="str">
        <f t="shared" si="46"/>
        <v>KONYA BÜYÜKŞEHİR/KONYA</v>
      </c>
      <c r="E1896" t="s">
        <v>4504</v>
      </c>
      <c r="F1896" t="s">
        <v>4504</v>
      </c>
      <c r="G1896" t="s">
        <v>3366</v>
      </c>
      <c r="H1896">
        <v>226.4</v>
      </c>
      <c r="I1896">
        <v>22.64</v>
      </c>
      <c r="J1896">
        <v>0</v>
      </c>
      <c r="K1896">
        <v>0</v>
      </c>
      <c r="L1896">
        <v>226.4</v>
      </c>
      <c r="M1896">
        <v>22.64</v>
      </c>
      <c r="O1896" s="79">
        <f>IFERROR(VLOOKUP(D1896,'KAPANAN BLD.'!$C$2:$D$793,2,FALSE),0)</f>
        <v>0</v>
      </c>
      <c r="P1896" s="79">
        <v>0</v>
      </c>
    </row>
    <row r="1897" spans="1:16" x14ac:dyDescent="0.25">
      <c r="A1897" t="s">
        <v>32</v>
      </c>
      <c r="B1897" s="73" t="str">
        <f>VLOOKUP(C1897,'Büyükşehir List'!$C$2:$D$31,2,FALSE)</f>
        <v>KONYA BÜYÜKŞEHİR</v>
      </c>
      <c r="C1897" t="s">
        <v>118</v>
      </c>
      <c r="D1897" s="73" t="str">
        <f t="shared" si="46"/>
        <v>KONYA BÜYÜKŞEHİR/KONYA</v>
      </c>
      <c r="E1897" t="s">
        <v>4352</v>
      </c>
      <c r="F1897" t="s">
        <v>4352</v>
      </c>
      <c r="G1897" t="s">
        <v>3367</v>
      </c>
      <c r="H1897">
        <v>713.9</v>
      </c>
      <c r="I1897">
        <v>71.39</v>
      </c>
      <c r="J1897">
        <v>0</v>
      </c>
      <c r="K1897">
        <v>0</v>
      </c>
      <c r="L1897">
        <v>713.9</v>
      </c>
      <c r="M1897">
        <v>71.39</v>
      </c>
      <c r="O1897" s="79">
        <f>IFERROR(VLOOKUP(D1897,'KAPANAN BLD.'!$C$2:$D$793,2,FALSE),0)</f>
        <v>0</v>
      </c>
      <c r="P1897" s="79">
        <v>0</v>
      </c>
    </row>
    <row r="1898" spans="1:16" x14ac:dyDescent="0.25">
      <c r="A1898" t="s">
        <v>32</v>
      </c>
      <c r="B1898" s="73" t="str">
        <f>VLOOKUP(C1898,'Büyükşehir List'!$C$2:$D$31,2,FALSE)</f>
        <v>KONYA BÜYÜKŞEHİR</v>
      </c>
      <c r="C1898" t="s">
        <v>118</v>
      </c>
      <c r="D1898" s="73" t="str">
        <f t="shared" si="46"/>
        <v>KONYA BÜYÜKŞEHİR/KONYA</v>
      </c>
      <c r="E1898" t="s">
        <v>4352</v>
      </c>
      <c r="F1898" t="s">
        <v>4352</v>
      </c>
      <c r="G1898" t="s">
        <v>3366</v>
      </c>
      <c r="H1898">
        <v>699.8</v>
      </c>
      <c r="I1898">
        <v>69.98</v>
      </c>
      <c r="J1898">
        <v>0</v>
      </c>
      <c r="K1898">
        <v>0</v>
      </c>
      <c r="L1898">
        <v>699.8</v>
      </c>
      <c r="M1898">
        <v>69.98</v>
      </c>
      <c r="O1898" s="79">
        <f>IFERROR(VLOOKUP(D1898,'KAPANAN BLD.'!$C$2:$D$793,2,FALSE),0)</f>
        <v>0</v>
      </c>
      <c r="P1898" s="79">
        <v>0</v>
      </c>
    </row>
    <row r="1899" spans="1:16" x14ac:dyDescent="0.25">
      <c r="A1899" t="s">
        <v>32</v>
      </c>
      <c r="B1899" s="73" t="str">
        <f>VLOOKUP(C1899,'Büyükşehir List'!$C$2:$D$31,2,FALSE)</f>
        <v>KONYA BÜYÜKŞEHİR</v>
      </c>
      <c r="C1899" t="s">
        <v>118</v>
      </c>
      <c r="D1899" s="73" t="str">
        <f t="shared" si="46"/>
        <v>KONYA BÜYÜKŞEHİR/KONYA</v>
      </c>
      <c r="E1899" t="s">
        <v>4505</v>
      </c>
      <c r="F1899" t="s">
        <v>4505</v>
      </c>
      <c r="G1899" t="s">
        <v>3367</v>
      </c>
      <c r="H1899">
        <v>68.900000000000006</v>
      </c>
      <c r="I1899">
        <v>6.89</v>
      </c>
      <c r="J1899">
        <v>1.8</v>
      </c>
      <c r="K1899">
        <v>0.18</v>
      </c>
      <c r="L1899">
        <v>67.099999999999994</v>
      </c>
      <c r="M1899">
        <v>6.71</v>
      </c>
      <c r="O1899" s="79">
        <f>IFERROR(VLOOKUP(D1899,'KAPANAN BLD.'!$C$2:$D$793,2,FALSE),0)</f>
        <v>0</v>
      </c>
      <c r="P1899" s="79">
        <v>0</v>
      </c>
    </row>
    <row r="1900" spans="1:16" x14ac:dyDescent="0.25">
      <c r="A1900" t="s">
        <v>32</v>
      </c>
      <c r="B1900" s="73" t="str">
        <f>VLOOKUP(C1900,'Büyükşehir List'!$C$2:$D$31,2,FALSE)</f>
        <v>KONYA BÜYÜKŞEHİR</v>
      </c>
      <c r="C1900" t="s">
        <v>118</v>
      </c>
      <c r="D1900" s="73" t="str">
        <f t="shared" si="46"/>
        <v>KONYA BÜYÜKŞEHİR/KONYA</v>
      </c>
      <c r="E1900" t="s">
        <v>119</v>
      </c>
      <c r="F1900" t="s">
        <v>119</v>
      </c>
      <c r="G1900" t="s">
        <v>3367</v>
      </c>
      <c r="H1900">
        <v>1382.9</v>
      </c>
      <c r="I1900">
        <v>138.29</v>
      </c>
      <c r="J1900">
        <v>5.4</v>
      </c>
      <c r="K1900">
        <v>0.54</v>
      </c>
      <c r="L1900">
        <v>1377.5</v>
      </c>
      <c r="M1900">
        <v>137.75</v>
      </c>
      <c r="O1900" s="79">
        <f>IFERROR(VLOOKUP(D1900,'KAPANAN BLD.'!$C$2:$D$793,2,FALSE),0)</f>
        <v>0</v>
      </c>
      <c r="P1900" s="79">
        <v>0</v>
      </c>
    </row>
    <row r="1901" spans="1:16" x14ac:dyDescent="0.25">
      <c r="A1901" t="s">
        <v>32</v>
      </c>
      <c r="B1901" s="73" t="str">
        <f>VLOOKUP(C1901,'Büyükşehir List'!$C$2:$D$31,2,FALSE)</f>
        <v>KONYA BÜYÜKŞEHİR</v>
      </c>
      <c r="C1901" t="s">
        <v>118</v>
      </c>
      <c r="D1901" s="73" t="str">
        <f t="shared" si="46"/>
        <v>KONYA BÜYÜKŞEHİR/KONYA</v>
      </c>
      <c r="E1901" t="s">
        <v>119</v>
      </c>
      <c r="F1901" t="s">
        <v>119</v>
      </c>
      <c r="G1901" t="s">
        <v>3366</v>
      </c>
      <c r="H1901">
        <v>1572.1</v>
      </c>
      <c r="I1901">
        <v>157.21</v>
      </c>
      <c r="J1901">
        <v>103.3</v>
      </c>
      <c r="K1901">
        <v>10.33</v>
      </c>
      <c r="L1901">
        <v>1468.8</v>
      </c>
      <c r="M1901">
        <v>146.88</v>
      </c>
      <c r="O1901" s="79">
        <f>IFERROR(VLOOKUP(D1901,'KAPANAN BLD.'!$C$2:$D$793,2,FALSE),0)</f>
        <v>0</v>
      </c>
      <c r="P1901" s="79">
        <v>0</v>
      </c>
    </row>
    <row r="1902" spans="1:16" x14ac:dyDescent="0.25">
      <c r="A1902" t="s">
        <v>32</v>
      </c>
      <c r="B1902" s="73" t="str">
        <f>VLOOKUP(C1902,'Büyükşehir List'!$C$2:$D$31,2,FALSE)</f>
        <v>KONYA BÜYÜKŞEHİR</v>
      </c>
      <c r="C1902" t="s">
        <v>118</v>
      </c>
      <c r="D1902" s="73" t="str">
        <f t="shared" si="46"/>
        <v>KONYA BÜYÜKŞEHİR/KONYA</v>
      </c>
      <c r="E1902" t="s">
        <v>4395</v>
      </c>
      <c r="F1902" t="s">
        <v>4395</v>
      </c>
      <c r="G1902" t="s">
        <v>3367</v>
      </c>
      <c r="H1902">
        <v>170.3</v>
      </c>
      <c r="I1902">
        <v>17.03</v>
      </c>
      <c r="J1902">
        <v>0</v>
      </c>
      <c r="K1902">
        <v>0</v>
      </c>
      <c r="L1902">
        <v>170.3</v>
      </c>
      <c r="M1902">
        <v>17.03</v>
      </c>
      <c r="O1902" s="79">
        <f>IFERROR(VLOOKUP(D1902,'KAPANAN BLD.'!$C$2:$D$793,2,FALSE),0)</f>
        <v>0</v>
      </c>
      <c r="P1902" s="79">
        <v>0</v>
      </c>
    </row>
    <row r="1903" spans="1:16" x14ac:dyDescent="0.25">
      <c r="A1903" t="s">
        <v>32</v>
      </c>
      <c r="B1903" s="73" t="str">
        <f>VLOOKUP(C1903,'Büyükşehir List'!$C$2:$D$31,2,FALSE)</f>
        <v>KONYA BÜYÜKŞEHİR</v>
      </c>
      <c r="C1903" t="s">
        <v>118</v>
      </c>
      <c r="D1903" s="73" t="str">
        <f t="shared" si="46"/>
        <v>KONYA BÜYÜKŞEHİR/KONYA</v>
      </c>
      <c r="E1903" t="s">
        <v>4395</v>
      </c>
      <c r="F1903" t="s">
        <v>4395</v>
      </c>
      <c r="G1903" t="s">
        <v>3366</v>
      </c>
      <c r="H1903">
        <v>16.8</v>
      </c>
      <c r="I1903">
        <v>1.68</v>
      </c>
      <c r="J1903">
        <v>0</v>
      </c>
      <c r="K1903">
        <v>0</v>
      </c>
      <c r="L1903">
        <v>16.8</v>
      </c>
      <c r="M1903">
        <v>1.68</v>
      </c>
      <c r="O1903" s="79">
        <f>IFERROR(VLOOKUP(D1903,'KAPANAN BLD.'!$C$2:$D$793,2,FALSE),0)</f>
        <v>0</v>
      </c>
      <c r="P1903" s="79">
        <v>0</v>
      </c>
    </row>
    <row r="1904" spans="1:16" x14ac:dyDescent="0.25">
      <c r="A1904" t="s">
        <v>32</v>
      </c>
      <c r="B1904" s="73" t="str">
        <f>VLOOKUP(C1904,'Büyükşehir List'!$C$2:$D$31,2,FALSE)</f>
        <v>KONYA BÜYÜKŞEHİR</v>
      </c>
      <c r="C1904" t="s">
        <v>118</v>
      </c>
      <c r="D1904" s="73" t="str">
        <f t="shared" si="46"/>
        <v>KONYA BÜYÜKŞEHİR/KONYA</v>
      </c>
      <c r="E1904" t="s">
        <v>4002</v>
      </c>
      <c r="F1904" t="s">
        <v>4002</v>
      </c>
      <c r="G1904" t="s">
        <v>3366</v>
      </c>
      <c r="H1904">
        <v>23.7</v>
      </c>
      <c r="I1904">
        <v>2.37</v>
      </c>
      <c r="J1904">
        <v>0</v>
      </c>
      <c r="K1904">
        <v>0</v>
      </c>
      <c r="L1904">
        <v>23.7</v>
      </c>
      <c r="M1904">
        <v>2.37</v>
      </c>
      <c r="O1904" s="79">
        <f>IFERROR(VLOOKUP(D1904,'KAPANAN BLD.'!$C$2:$D$793,2,FALSE),0)</f>
        <v>0</v>
      </c>
      <c r="P1904" s="79">
        <v>0</v>
      </c>
    </row>
    <row r="1905" spans="1:16" x14ac:dyDescent="0.25">
      <c r="A1905" t="s">
        <v>32</v>
      </c>
      <c r="B1905" s="73" t="str">
        <f>VLOOKUP(C1905,'Büyükşehir List'!$C$2:$D$31,2,FALSE)</f>
        <v>KONYA BÜYÜKŞEHİR</v>
      </c>
      <c r="C1905" t="s">
        <v>118</v>
      </c>
      <c r="D1905" s="73" t="str">
        <f t="shared" si="46"/>
        <v>KONYA BÜYÜKŞEHİR/KONYA</v>
      </c>
      <c r="E1905" t="s">
        <v>4002</v>
      </c>
      <c r="F1905" t="s">
        <v>4002</v>
      </c>
      <c r="G1905" t="s">
        <v>3367</v>
      </c>
      <c r="H1905">
        <v>72.099999999999994</v>
      </c>
      <c r="I1905">
        <v>7.21</v>
      </c>
      <c r="J1905">
        <v>0</v>
      </c>
      <c r="K1905">
        <v>0</v>
      </c>
      <c r="L1905">
        <v>72.099999999999994</v>
      </c>
      <c r="M1905">
        <v>7.21</v>
      </c>
      <c r="O1905" s="79">
        <f>IFERROR(VLOOKUP(D1905,'KAPANAN BLD.'!$C$2:$D$793,2,FALSE),0)</f>
        <v>0</v>
      </c>
      <c r="P1905" s="79">
        <v>0</v>
      </c>
    </row>
    <row r="1906" spans="1:16" x14ac:dyDescent="0.25">
      <c r="A1906" t="s">
        <v>32</v>
      </c>
      <c r="B1906" s="73" t="str">
        <f>VLOOKUP(C1906,'Büyükşehir List'!$C$2:$D$31,2,FALSE)</f>
        <v>KONYA BÜYÜKŞEHİR</v>
      </c>
      <c r="C1906" t="s">
        <v>118</v>
      </c>
      <c r="D1906" s="73" t="str">
        <f t="shared" si="46"/>
        <v>KONYA BÜYÜKŞEHİR/KONYA</v>
      </c>
      <c r="E1906" t="s">
        <v>4306</v>
      </c>
      <c r="F1906" t="s">
        <v>4306</v>
      </c>
      <c r="G1906" t="s">
        <v>3367</v>
      </c>
      <c r="H1906">
        <v>5.7</v>
      </c>
      <c r="I1906">
        <v>0.56999999999999995</v>
      </c>
      <c r="J1906">
        <v>0</v>
      </c>
      <c r="K1906">
        <v>0</v>
      </c>
      <c r="L1906">
        <v>5.7</v>
      </c>
      <c r="M1906">
        <v>0.56999999999999995</v>
      </c>
      <c r="O1906" s="79">
        <f>IFERROR(VLOOKUP(D1906,'KAPANAN BLD.'!$C$2:$D$793,2,FALSE),0)</f>
        <v>0</v>
      </c>
      <c r="P1906" s="79">
        <v>0</v>
      </c>
    </row>
    <row r="1907" spans="1:16" x14ac:dyDescent="0.25">
      <c r="A1907" t="s">
        <v>32</v>
      </c>
      <c r="B1907" s="73" t="str">
        <f>VLOOKUP(C1907,'Büyükşehir List'!$C$2:$D$31,2,FALSE)</f>
        <v>KONYA BÜYÜKŞEHİR</v>
      </c>
      <c r="C1907" t="s">
        <v>118</v>
      </c>
      <c r="D1907" s="73" t="str">
        <f t="shared" si="46"/>
        <v>KONYA BÜYÜKŞEHİR/KONYA</v>
      </c>
      <c r="E1907" t="s">
        <v>4306</v>
      </c>
      <c r="F1907" t="s">
        <v>4306</v>
      </c>
      <c r="G1907" t="s">
        <v>3366</v>
      </c>
      <c r="H1907">
        <v>1378.8</v>
      </c>
      <c r="I1907">
        <v>137.88</v>
      </c>
      <c r="J1907">
        <v>0</v>
      </c>
      <c r="K1907">
        <v>0</v>
      </c>
      <c r="L1907">
        <v>1378.8</v>
      </c>
      <c r="M1907">
        <v>137.88</v>
      </c>
      <c r="O1907" s="79">
        <f>IFERROR(VLOOKUP(D1907,'KAPANAN BLD.'!$C$2:$D$793,2,FALSE),0)</f>
        <v>0</v>
      </c>
      <c r="P1907" s="79">
        <v>0</v>
      </c>
    </row>
    <row r="1908" spans="1:16" x14ac:dyDescent="0.25">
      <c r="A1908" t="s">
        <v>32</v>
      </c>
      <c r="B1908" s="73" t="str">
        <f>VLOOKUP(C1908,'Büyükşehir List'!$C$2:$D$31,2,FALSE)</f>
        <v>KONYA BÜYÜKŞEHİR</v>
      </c>
      <c r="C1908" t="s">
        <v>118</v>
      </c>
      <c r="D1908" s="73" t="str">
        <f t="shared" si="46"/>
        <v>KONYA BÜYÜKŞEHİR/KONYA</v>
      </c>
      <c r="E1908" t="s">
        <v>4506</v>
      </c>
      <c r="F1908" t="s">
        <v>4506</v>
      </c>
      <c r="G1908" t="s">
        <v>3366</v>
      </c>
      <c r="H1908">
        <v>5.8</v>
      </c>
      <c r="I1908">
        <v>0.57999999999999996</v>
      </c>
      <c r="J1908">
        <v>0</v>
      </c>
      <c r="K1908">
        <v>0</v>
      </c>
      <c r="L1908">
        <v>5.8</v>
      </c>
      <c r="M1908">
        <v>0.57999999999999996</v>
      </c>
      <c r="O1908" s="79">
        <f>IFERROR(VLOOKUP(D1908,'KAPANAN BLD.'!$C$2:$D$793,2,FALSE),0)</f>
        <v>0</v>
      </c>
      <c r="P1908" s="79">
        <v>0</v>
      </c>
    </row>
    <row r="1909" spans="1:16" x14ac:dyDescent="0.25">
      <c r="A1909" t="s">
        <v>32</v>
      </c>
      <c r="B1909" s="73" t="str">
        <f>VLOOKUP(C1909,'Büyükşehir List'!$C$2:$D$31,2,FALSE)</f>
        <v>KONYA BÜYÜKŞEHİR</v>
      </c>
      <c r="C1909" t="s">
        <v>118</v>
      </c>
      <c r="D1909" s="73" t="str">
        <f t="shared" si="46"/>
        <v>KONYA BÜYÜKŞEHİR/KONYA</v>
      </c>
      <c r="E1909" t="s">
        <v>4506</v>
      </c>
      <c r="F1909" t="s">
        <v>4506</v>
      </c>
      <c r="G1909" t="s">
        <v>3367</v>
      </c>
      <c r="H1909">
        <v>19.7</v>
      </c>
      <c r="I1909">
        <v>1.97</v>
      </c>
      <c r="J1909">
        <v>0</v>
      </c>
      <c r="K1909">
        <v>0</v>
      </c>
      <c r="L1909">
        <v>19.7</v>
      </c>
      <c r="M1909">
        <v>1.97</v>
      </c>
      <c r="O1909" s="79">
        <f>IFERROR(VLOOKUP(D1909,'KAPANAN BLD.'!$C$2:$D$793,2,FALSE),0)</f>
        <v>0</v>
      </c>
      <c r="P1909" s="79">
        <v>0</v>
      </c>
    </row>
    <row r="1910" spans="1:16" x14ac:dyDescent="0.25">
      <c r="A1910" t="s">
        <v>32</v>
      </c>
      <c r="B1910" s="73" t="str">
        <f>VLOOKUP(C1910,'Büyükşehir List'!$C$2:$D$31,2,FALSE)</f>
        <v>KONYA BÜYÜKŞEHİR</v>
      </c>
      <c r="C1910" t="s">
        <v>118</v>
      </c>
      <c r="D1910" s="73" t="str">
        <f t="shared" si="46"/>
        <v>KONYA BÜYÜKŞEHİR/KONYA</v>
      </c>
      <c r="E1910" t="s">
        <v>4507</v>
      </c>
      <c r="F1910" t="s">
        <v>4507</v>
      </c>
      <c r="G1910" t="s">
        <v>3366</v>
      </c>
      <c r="H1910">
        <v>376.4</v>
      </c>
      <c r="I1910">
        <v>37.64</v>
      </c>
      <c r="J1910">
        <v>0</v>
      </c>
      <c r="K1910">
        <v>0</v>
      </c>
      <c r="L1910">
        <v>376.4</v>
      </c>
      <c r="M1910">
        <v>37.64</v>
      </c>
      <c r="O1910" s="79">
        <f>IFERROR(VLOOKUP(D1910,'KAPANAN BLD.'!$C$2:$D$793,2,FALSE),0)</f>
        <v>0</v>
      </c>
      <c r="P1910" s="79">
        <v>0</v>
      </c>
    </row>
    <row r="1911" spans="1:16" x14ac:dyDescent="0.25">
      <c r="A1911" t="s">
        <v>32</v>
      </c>
      <c r="B1911" s="73" t="str">
        <f>VLOOKUP(C1911,'Büyükşehir List'!$C$2:$D$31,2,FALSE)</f>
        <v>KONYA BÜYÜKŞEHİR</v>
      </c>
      <c r="C1911" t="s">
        <v>118</v>
      </c>
      <c r="D1911" s="73" t="str">
        <f t="shared" si="46"/>
        <v>KONYA BÜYÜKŞEHİR/KONYA</v>
      </c>
      <c r="E1911" t="s">
        <v>4507</v>
      </c>
      <c r="F1911" t="s">
        <v>4507</v>
      </c>
      <c r="G1911" t="s">
        <v>3367</v>
      </c>
      <c r="H1911">
        <v>376.8</v>
      </c>
      <c r="I1911">
        <v>37.68</v>
      </c>
      <c r="J1911">
        <v>0</v>
      </c>
      <c r="K1911">
        <v>0</v>
      </c>
      <c r="L1911">
        <v>376.8</v>
      </c>
      <c r="M1911">
        <v>37.68</v>
      </c>
      <c r="O1911" s="79">
        <f>IFERROR(VLOOKUP(D1911,'KAPANAN BLD.'!$C$2:$D$793,2,FALSE),0)</f>
        <v>0</v>
      </c>
      <c r="P1911" s="79">
        <v>0</v>
      </c>
    </row>
    <row r="1912" spans="1:16" x14ac:dyDescent="0.25">
      <c r="A1912" t="s">
        <v>32</v>
      </c>
      <c r="B1912" s="73" t="str">
        <f>VLOOKUP(C1912,'Büyükşehir List'!$C$2:$D$31,2,FALSE)</f>
        <v>KONYA BÜYÜKŞEHİR</v>
      </c>
      <c r="C1912" t="s">
        <v>118</v>
      </c>
      <c r="D1912" s="73" t="str">
        <f t="shared" si="46"/>
        <v>KONYA BÜYÜKŞEHİR/KONYA</v>
      </c>
      <c r="E1912" t="s">
        <v>455</v>
      </c>
      <c r="F1912" t="s">
        <v>455</v>
      </c>
      <c r="G1912" t="s">
        <v>3367</v>
      </c>
      <c r="H1912">
        <v>1883.8</v>
      </c>
      <c r="I1912">
        <v>188.38</v>
      </c>
      <c r="J1912">
        <v>7.5</v>
      </c>
      <c r="K1912">
        <v>0.75</v>
      </c>
      <c r="L1912">
        <v>1876.3</v>
      </c>
      <c r="M1912">
        <v>187.63</v>
      </c>
      <c r="O1912" s="79">
        <f>IFERROR(VLOOKUP(D1912,'KAPANAN BLD.'!$C$2:$D$793,2,FALSE),0)</f>
        <v>0</v>
      </c>
      <c r="P1912" s="79">
        <v>0</v>
      </c>
    </row>
    <row r="1913" spans="1:16" x14ac:dyDescent="0.25">
      <c r="A1913" t="s">
        <v>32</v>
      </c>
      <c r="B1913" s="73" t="str">
        <f>VLOOKUP(C1913,'Büyükşehir List'!$C$2:$D$31,2,FALSE)</f>
        <v>KONYA BÜYÜKŞEHİR</v>
      </c>
      <c r="C1913" t="s">
        <v>118</v>
      </c>
      <c r="D1913" s="73" t="str">
        <f t="shared" si="46"/>
        <v>KONYA BÜYÜKŞEHİR/KONYA</v>
      </c>
      <c r="E1913" t="s">
        <v>455</v>
      </c>
      <c r="F1913" t="s">
        <v>455</v>
      </c>
      <c r="G1913" t="s">
        <v>3366</v>
      </c>
      <c r="H1913">
        <v>1657.7</v>
      </c>
      <c r="I1913">
        <v>165.77</v>
      </c>
      <c r="J1913">
        <v>0</v>
      </c>
      <c r="K1913">
        <v>0</v>
      </c>
      <c r="L1913">
        <v>1657.7</v>
      </c>
      <c r="M1913">
        <v>165.77</v>
      </c>
      <c r="O1913" s="79">
        <f>IFERROR(VLOOKUP(D1913,'KAPANAN BLD.'!$C$2:$D$793,2,FALSE),0)</f>
        <v>0</v>
      </c>
      <c r="P1913" s="79">
        <v>0</v>
      </c>
    </row>
    <row r="1914" spans="1:16" x14ac:dyDescent="0.25">
      <c r="A1914" t="s">
        <v>32</v>
      </c>
      <c r="B1914" s="73" t="str">
        <f>VLOOKUP(C1914,'Büyükşehir List'!$C$2:$D$31,2,FALSE)</f>
        <v>KONYA BÜYÜKŞEHİR</v>
      </c>
      <c r="C1914" t="s">
        <v>118</v>
      </c>
      <c r="D1914" s="73" t="str">
        <f t="shared" si="46"/>
        <v>KONYA BÜYÜKŞEHİR/KONYA</v>
      </c>
      <c r="E1914" t="s">
        <v>3785</v>
      </c>
      <c r="F1914" t="s">
        <v>3785</v>
      </c>
      <c r="G1914" t="s">
        <v>3367</v>
      </c>
      <c r="H1914">
        <v>4401.3500000000004</v>
      </c>
      <c r="I1914">
        <v>440.14</v>
      </c>
      <c r="J1914">
        <v>1009.9</v>
      </c>
      <c r="K1914">
        <v>100.99</v>
      </c>
      <c r="L1914">
        <v>3391.45</v>
      </c>
      <c r="M1914">
        <v>339.15</v>
      </c>
      <c r="O1914" s="79">
        <f>IFERROR(VLOOKUP(D1914,'KAPANAN BLD.'!$C$2:$D$793,2,FALSE),0)</f>
        <v>0</v>
      </c>
      <c r="P1914" s="79">
        <v>0</v>
      </c>
    </row>
    <row r="1915" spans="1:16" x14ac:dyDescent="0.25">
      <c r="A1915" t="s">
        <v>32</v>
      </c>
      <c r="B1915" s="73" t="str">
        <f>VLOOKUP(C1915,'Büyükşehir List'!$C$2:$D$31,2,FALSE)</f>
        <v>KONYA BÜYÜKŞEHİR</v>
      </c>
      <c r="C1915" t="s">
        <v>118</v>
      </c>
      <c r="D1915" s="73" t="str">
        <f t="shared" si="46"/>
        <v>KONYA BÜYÜKŞEHİR/KONYA</v>
      </c>
      <c r="E1915" t="s">
        <v>3785</v>
      </c>
      <c r="F1915" t="s">
        <v>3785</v>
      </c>
      <c r="G1915" t="s">
        <v>3366</v>
      </c>
      <c r="H1915">
        <v>3231.34</v>
      </c>
      <c r="I1915">
        <v>323.14</v>
      </c>
      <c r="J1915">
        <v>15297.3</v>
      </c>
      <c r="K1915">
        <v>1529.73</v>
      </c>
      <c r="L1915">
        <v>-12065.96</v>
      </c>
      <c r="M1915">
        <v>-1206.5899999999999</v>
      </c>
      <c r="O1915" s="79">
        <f>IFERROR(VLOOKUP(D1915,'KAPANAN BLD.'!$C$2:$D$793,2,FALSE),0)</f>
        <v>0</v>
      </c>
      <c r="P1915" s="79">
        <v>0</v>
      </c>
    </row>
    <row r="1916" spans="1:16" x14ac:dyDescent="0.25">
      <c r="A1916" t="s">
        <v>32</v>
      </c>
      <c r="B1916" s="73" t="str">
        <f>VLOOKUP(C1916,'Büyükşehir List'!$C$2:$D$31,2,FALSE)</f>
        <v>KONYA BÜYÜKŞEHİR</v>
      </c>
      <c r="C1916" t="s">
        <v>118</v>
      </c>
      <c r="D1916" s="73" t="str">
        <f t="shared" si="46"/>
        <v>KONYA BÜYÜKŞEHİR/KONYA</v>
      </c>
      <c r="E1916" t="s">
        <v>4307</v>
      </c>
      <c r="F1916" t="s">
        <v>4307</v>
      </c>
      <c r="G1916" t="s">
        <v>3367</v>
      </c>
      <c r="H1916">
        <v>1511.8</v>
      </c>
      <c r="I1916">
        <v>151.18</v>
      </c>
      <c r="J1916">
        <v>117.7</v>
      </c>
      <c r="K1916">
        <v>11.77</v>
      </c>
      <c r="L1916">
        <v>1394.1</v>
      </c>
      <c r="M1916">
        <v>139.41</v>
      </c>
      <c r="O1916" s="79">
        <f>IFERROR(VLOOKUP(D1916,'KAPANAN BLD.'!$C$2:$D$793,2,FALSE),0)</f>
        <v>0</v>
      </c>
      <c r="P1916" s="79">
        <v>0</v>
      </c>
    </row>
    <row r="1917" spans="1:16" x14ac:dyDescent="0.25">
      <c r="A1917" t="s">
        <v>32</v>
      </c>
      <c r="B1917" s="73" t="str">
        <f>VLOOKUP(C1917,'Büyükşehir List'!$C$2:$D$31,2,FALSE)</f>
        <v>KONYA BÜYÜKŞEHİR</v>
      </c>
      <c r="C1917" t="s">
        <v>118</v>
      </c>
      <c r="D1917" s="73" t="str">
        <f t="shared" si="46"/>
        <v>KONYA BÜYÜKŞEHİR/KONYA</v>
      </c>
      <c r="E1917" t="s">
        <v>4307</v>
      </c>
      <c r="F1917" t="s">
        <v>4307</v>
      </c>
      <c r="G1917" t="s">
        <v>3366</v>
      </c>
      <c r="H1917">
        <v>2911.2</v>
      </c>
      <c r="I1917">
        <v>291.12</v>
      </c>
      <c r="J1917">
        <v>21.1</v>
      </c>
      <c r="K1917">
        <v>2.11</v>
      </c>
      <c r="L1917">
        <v>2890.1</v>
      </c>
      <c r="M1917">
        <v>289.01</v>
      </c>
      <c r="O1917" s="79">
        <f>IFERROR(VLOOKUP(D1917,'KAPANAN BLD.'!$C$2:$D$793,2,FALSE),0)</f>
        <v>0</v>
      </c>
      <c r="P1917" s="79">
        <v>0</v>
      </c>
    </row>
    <row r="1918" spans="1:16" x14ac:dyDescent="0.25">
      <c r="A1918" t="s">
        <v>32</v>
      </c>
      <c r="B1918" s="73" t="str">
        <f>VLOOKUP(C1918,'Büyükşehir List'!$C$2:$D$31,2,FALSE)</f>
        <v>KONYA BÜYÜKŞEHİR</v>
      </c>
      <c r="C1918" t="s">
        <v>118</v>
      </c>
      <c r="D1918" s="73" t="str">
        <f t="shared" si="46"/>
        <v>KONYA BÜYÜKŞEHİR/KONYA</v>
      </c>
      <c r="E1918" t="s">
        <v>4508</v>
      </c>
      <c r="F1918" t="s">
        <v>4508</v>
      </c>
      <c r="G1918" t="s">
        <v>3366</v>
      </c>
      <c r="H1918">
        <v>717.8</v>
      </c>
      <c r="I1918">
        <v>71.78</v>
      </c>
      <c r="J1918">
        <v>108.7</v>
      </c>
      <c r="K1918">
        <v>10.87</v>
      </c>
      <c r="L1918">
        <v>609.1</v>
      </c>
      <c r="M1918">
        <v>60.91</v>
      </c>
      <c r="O1918" s="79">
        <f>IFERROR(VLOOKUP(D1918,'KAPANAN BLD.'!$C$2:$D$793,2,FALSE),0)</f>
        <v>0</v>
      </c>
      <c r="P1918" s="79">
        <v>0</v>
      </c>
    </row>
    <row r="1919" spans="1:16" x14ac:dyDescent="0.25">
      <c r="A1919" t="s">
        <v>32</v>
      </c>
      <c r="B1919" s="73" t="str">
        <f>VLOOKUP(C1919,'Büyükşehir List'!$C$2:$D$31,2,FALSE)</f>
        <v>KONYA BÜYÜKŞEHİR</v>
      </c>
      <c r="C1919" t="s">
        <v>118</v>
      </c>
      <c r="D1919" s="73" t="str">
        <f t="shared" si="46"/>
        <v>KONYA BÜYÜKŞEHİR/KONYA</v>
      </c>
      <c r="E1919" t="s">
        <v>4508</v>
      </c>
      <c r="F1919" t="s">
        <v>4508</v>
      </c>
      <c r="G1919" t="s">
        <v>3367</v>
      </c>
      <c r="H1919">
        <v>4274.1000000000004</v>
      </c>
      <c r="I1919">
        <v>427.41</v>
      </c>
      <c r="J1919">
        <v>4242</v>
      </c>
      <c r="K1919">
        <v>424.2</v>
      </c>
      <c r="L1919">
        <v>32.1</v>
      </c>
      <c r="M1919">
        <v>3.21</v>
      </c>
      <c r="O1919" s="79">
        <f>IFERROR(VLOOKUP(D1919,'KAPANAN BLD.'!$C$2:$D$793,2,FALSE),0)</f>
        <v>0</v>
      </c>
      <c r="P1919" s="79">
        <v>0</v>
      </c>
    </row>
    <row r="1920" spans="1:16" x14ac:dyDescent="0.25">
      <c r="A1920" t="s">
        <v>32</v>
      </c>
      <c r="B1920" s="73" t="str">
        <f>VLOOKUP(C1920,'Büyükşehir List'!$C$2:$D$31,2,FALSE)</f>
        <v>KONYA BÜYÜKŞEHİR</v>
      </c>
      <c r="C1920" t="s">
        <v>118</v>
      </c>
      <c r="D1920" s="73" t="str">
        <f t="shared" si="46"/>
        <v>KONYA BÜYÜKŞEHİR/KONYA</v>
      </c>
      <c r="E1920" t="s">
        <v>631</v>
      </c>
      <c r="F1920" t="s">
        <v>631</v>
      </c>
      <c r="G1920" t="s">
        <v>3367</v>
      </c>
      <c r="H1920">
        <v>2.7</v>
      </c>
      <c r="I1920">
        <v>0.27</v>
      </c>
      <c r="J1920">
        <v>0</v>
      </c>
      <c r="K1920">
        <v>0</v>
      </c>
      <c r="L1920">
        <v>2.7</v>
      </c>
      <c r="M1920">
        <v>0.27</v>
      </c>
      <c r="O1920" s="79">
        <f>IFERROR(VLOOKUP(D1920,'KAPANAN BLD.'!$C$2:$D$793,2,FALSE),0)</f>
        <v>0</v>
      </c>
      <c r="P1920" s="79">
        <v>0</v>
      </c>
    </row>
    <row r="1921" spans="1:16" x14ac:dyDescent="0.25">
      <c r="A1921" t="s">
        <v>32</v>
      </c>
      <c r="B1921" s="73" t="str">
        <f>VLOOKUP(C1921,'Büyükşehir List'!$C$2:$D$31,2,FALSE)</f>
        <v>KONYA BÜYÜKŞEHİR</v>
      </c>
      <c r="C1921" t="s">
        <v>118</v>
      </c>
      <c r="D1921" s="73" t="str">
        <f t="shared" si="46"/>
        <v>KONYA BÜYÜKŞEHİR/KONYA</v>
      </c>
      <c r="E1921" t="s">
        <v>631</v>
      </c>
      <c r="F1921" t="s">
        <v>631</v>
      </c>
      <c r="G1921" t="s">
        <v>3366</v>
      </c>
      <c r="H1921">
        <v>1.4</v>
      </c>
      <c r="I1921">
        <v>0.14000000000000001</v>
      </c>
      <c r="J1921">
        <v>0</v>
      </c>
      <c r="K1921">
        <v>0</v>
      </c>
      <c r="L1921">
        <v>1.4</v>
      </c>
      <c r="M1921">
        <v>0.14000000000000001</v>
      </c>
      <c r="O1921" s="79">
        <f>IFERROR(VLOOKUP(D1921,'KAPANAN BLD.'!$C$2:$D$793,2,FALSE),0)</f>
        <v>0</v>
      </c>
      <c r="P1921" s="79">
        <v>0</v>
      </c>
    </row>
    <row r="1922" spans="1:16" x14ac:dyDescent="0.25">
      <c r="A1922" t="s">
        <v>32</v>
      </c>
      <c r="B1922" s="73" t="str">
        <f>VLOOKUP(C1922,'Büyükşehir List'!$C$2:$D$31,2,FALSE)</f>
        <v>KONYA BÜYÜKŞEHİR</v>
      </c>
      <c r="C1922" t="s">
        <v>118</v>
      </c>
      <c r="D1922" s="73" t="str">
        <f t="shared" si="46"/>
        <v>KONYA BÜYÜKŞEHİR/KONYA</v>
      </c>
      <c r="E1922" t="s">
        <v>3090</v>
      </c>
      <c r="F1922" t="s">
        <v>3090</v>
      </c>
      <c r="G1922" t="s">
        <v>3367</v>
      </c>
      <c r="H1922">
        <v>45</v>
      </c>
      <c r="I1922">
        <v>4.5</v>
      </c>
      <c r="J1922">
        <v>0</v>
      </c>
      <c r="K1922">
        <v>0</v>
      </c>
      <c r="L1922">
        <v>45</v>
      </c>
      <c r="M1922">
        <v>4.5</v>
      </c>
      <c r="O1922" s="79">
        <f>IFERROR(VLOOKUP(D1922,'KAPANAN BLD.'!$C$2:$D$793,2,FALSE),0)</f>
        <v>0</v>
      </c>
      <c r="P1922" s="79">
        <v>0</v>
      </c>
    </row>
    <row r="1923" spans="1:16" x14ac:dyDescent="0.25">
      <c r="A1923" t="s">
        <v>32</v>
      </c>
      <c r="B1923" s="73" t="str">
        <f>VLOOKUP(C1923,'Büyükşehir List'!$C$2:$D$31,2,FALSE)</f>
        <v>KONYA BÜYÜKŞEHİR</v>
      </c>
      <c r="C1923" t="s">
        <v>118</v>
      </c>
      <c r="D1923" s="73" t="str">
        <f t="shared" ref="D1923:D1986" si="47">CONCATENATE(B1923,"/",C1923)</f>
        <v>KONYA BÜYÜKŞEHİR/KONYA</v>
      </c>
      <c r="E1923" t="s">
        <v>3090</v>
      </c>
      <c r="F1923" t="s">
        <v>3090</v>
      </c>
      <c r="G1923" t="s">
        <v>3366</v>
      </c>
      <c r="H1923">
        <v>402.8</v>
      </c>
      <c r="I1923">
        <v>40.28</v>
      </c>
      <c r="J1923">
        <v>0</v>
      </c>
      <c r="K1923">
        <v>0</v>
      </c>
      <c r="L1923">
        <v>402.8</v>
      </c>
      <c r="M1923">
        <v>40.28</v>
      </c>
      <c r="O1923" s="79">
        <f>IFERROR(VLOOKUP(D1923,'KAPANAN BLD.'!$C$2:$D$793,2,FALSE),0)</f>
        <v>0</v>
      </c>
      <c r="P1923" s="79">
        <v>0</v>
      </c>
    </row>
    <row r="1924" spans="1:16" x14ac:dyDescent="0.25">
      <c r="A1924" t="s">
        <v>32</v>
      </c>
      <c r="B1924" s="73" t="str">
        <f>VLOOKUP(C1924,'Büyükşehir List'!$C$2:$D$31,2,FALSE)</f>
        <v>KONYA BÜYÜKŞEHİR</v>
      </c>
      <c r="C1924" t="s">
        <v>118</v>
      </c>
      <c r="D1924" s="73" t="str">
        <f t="shared" si="47"/>
        <v>KONYA BÜYÜKŞEHİR/KONYA</v>
      </c>
      <c r="E1924" t="s">
        <v>3381</v>
      </c>
      <c r="F1924" t="s">
        <v>3381</v>
      </c>
      <c r="G1924" t="s">
        <v>3367</v>
      </c>
      <c r="H1924">
        <v>1224.2</v>
      </c>
      <c r="I1924">
        <v>122.42</v>
      </c>
      <c r="J1924">
        <v>0</v>
      </c>
      <c r="K1924">
        <v>0</v>
      </c>
      <c r="L1924">
        <v>1224.2</v>
      </c>
      <c r="M1924">
        <v>122.42</v>
      </c>
      <c r="O1924" s="79">
        <f>IFERROR(VLOOKUP(D1924,'KAPANAN BLD.'!$C$2:$D$793,2,FALSE),0)</f>
        <v>0</v>
      </c>
      <c r="P1924" s="79">
        <v>0</v>
      </c>
    </row>
    <row r="1925" spans="1:16" x14ac:dyDescent="0.25">
      <c r="A1925" t="s">
        <v>32</v>
      </c>
      <c r="B1925" s="73" t="str">
        <f>VLOOKUP(C1925,'Büyükşehir List'!$C$2:$D$31,2,FALSE)</f>
        <v>KONYA BÜYÜKŞEHİR</v>
      </c>
      <c r="C1925" t="s">
        <v>118</v>
      </c>
      <c r="D1925" s="73" t="str">
        <f t="shared" si="47"/>
        <v>KONYA BÜYÜKŞEHİR/KONYA</v>
      </c>
      <c r="E1925" t="s">
        <v>3381</v>
      </c>
      <c r="F1925" t="s">
        <v>3381</v>
      </c>
      <c r="G1925" t="s">
        <v>3366</v>
      </c>
      <c r="H1925">
        <v>459.6</v>
      </c>
      <c r="I1925">
        <v>45.96</v>
      </c>
      <c r="J1925">
        <v>0</v>
      </c>
      <c r="K1925">
        <v>0</v>
      </c>
      <c r="L1925">
        <v>459.6</v>
      </c>
      <c r="M1925">
        <v>45.96</v>
      </c>
      <c r="O1925" s="79">
        <f>IFERROR(VLOOKUP(D1925,'KAPANAN BLD.'!$C$2:$D$793,2,FALSE),0)</f>
        <v>0</v>
      </c>
      <c r="P1925" s="79">
        <v>0</v>
      </c>
    </row>
    <row r="1926" spans="1:16" x14ac:dyDescent="0.25">
      <c r="A1926" t="s">
        <v>32</v>
      </c>
      <c r="B1926" s="73" t="str">
        <f>VLOOKUP(C1926,'Büyükşehir List'!$C$2:$D$31,2,FALSE)</f>
        <v>KONYA BÜYÜKŞEHİR</v>
      </c>
      <c r="C1926" t="s">
        <v>118</v>
      </c>
      <c r="D1926" s="73" t="str">
        <f t="shared" si="47"/>
        <v>KONYA BÜYÜKŞEHİR/KONYA</v>
      </c>
      <c r="E1926" t="s">
        <v>3922</v>
      </c>
      <c r="F1926" t="s">
        <v>3922</v>
      </c>
      <c r="G1926" t="s">
        <v>3367</v>
      </c>
      <c r="H1926">
        <v>402.7</v>
      </c>
      <c r="I1926">
        <v>40.270000000000003</v>
      </c>
      <c r="J1926">
        <v>0</v>
      </c>
      <c r="K1926">
        <v>0</v>
      </c>
      <c r="L1926">
        <v>402.7</v>
      </c>
      <c r="M1926">
        <v>40.270000000000003</v>
      </c>
      <c r="O1926" s="79">
        <f>IFERROR(VLOOKUP(D1926,'KAPANAN BLD.'!$C$2:$D$793,2,FALSE),0)</f>
        <v>0</v>
      </c>
      <c r="P1926" s="79">
        <v>0</v>
      </c>
    </row>
    <row r="1927" spans="1:16" x14ac:dyDescent="0.25">
      <c r="A1927" t="s">
        <v>32</v>
      </c>
      <c r="B1927" s="73" t="str">
        <f>VLOOKUP(C1927,'Büyükşehir List'!$C$2:$D$31,2,FALSE)</f>
        <v>KONYA BÜYÜKŞEHİR</v>
      </c>
      <c r="C1927" t="s">
        <v>118</v>
      </c>
      <c r="D1927" s="73" t="str">
        <f t="shared" si="47"/>
        <v>KONYA BÜYÜKŞEHİR/KONYA</v>
      </c>
      <c r="E1927" t="s">
        <v>3922</v>
      </c>
      <c r="F1927" t="s">
        <v>3922</v>
      </c>
      <c r="G1927" t="s">
        <v>3366</v>
      </c>
      <c r="H1927">
        <v>401.3</v>
      </c>
      <c r="I1927">
        <v>40.130000000000003</v>
      </c>
      <c r="J1927">
        <v>0</v>
      </c>
      <c r="K1927">
        <v>0</v>
      </c>
      <c r="L1927">
        <v>401.3</v>
      </c>
      <c r="M1927">
        <v>40.130000000000003</v>
      </c>
      <c r="O1927" s="79">
        <f>IFERROR(VLOOKUP(D1927,'KAPANAN BLD.'!$C$2:$D$793,2,FALSE),0)</f>
        <v>0</v>
      </c>
      <c r="P1927" s="79">
        <v>0</v>
      </c>
    </row>
    <row r="1928" spans="1:16" x14ac:dyDescent="0.25">
      <c r="A1928" t="s">
        <v>32</v>
      </c>
      <c r="B1928" s="73" t="str">
        <f>VLOOKUP(C1928,'Büyükşehir List'!$C$2:$D$31,2,FALSE)</f>
        <v>KONYA BÜYÜKŞEHİR</v>
      </c>
      <c r="C1928" t="s">
        <v>118</v>
      </c>
      <c r="D1928" s="73" t="str">
        <f t="shared" si="47"/>
        <v>KONYA BÜYÜKŞEHİR/KONYA</v>
      </c>
      <c r="E1928" t="s">
        <v>3786</v>
      </c>
      <c r="F1928" t="s">
        <v>3786</v>
      </c>
      <c r="G1928" t="s">
        <v>3367</v>
      </c>
      <c r="H1928">
        <v>14547.2</v>
      </c>
      <c r="I1928">
        <v>1454.72</v>
      </c>
      <c r="J1928">
        <v>1172.9000000000001</v>
      </c>
      <c r="K1928">
        <v>117.29</v>
      </c>
      <c r="L1928">
        <v>13374.3</v>
      </c>
      <c r="M1928">
        <v>1337.43</v>
      </c>
      <c r="O1928" s="79">
        <f>IFERROR(VLOOKUP(D1928,'KAPANAN BLD.'!$C$2:$D$793,2,FALSE),0)</f>
        <v>0</v>
      </c>
      <c r="P1928" s="79">
        <v>0</v>
      </c>
    </row>
    <row r="1929" spans="1:16" x14ac:dyDescent="0.25">
      <c r="A1929" t="s">
        <v>32</v>
      </c>
      <c r="B1929" s="73" t="str">
        <f>VLOOKUP(C1929,'Büyükşehir List'!$C$2:$D$31,2,FALSE)</f>
        <v>KONYA BÜYÜKŞEHİR</v>
      </c>
      <c r="C1929" t="s">
        <v>118</v>
      </c>
      <c r="D1929" s="73" t="str">
        <f t="shared" si="47"/>
        <v>KONYA BÜYÜKŞEHİR/KONYA</v>
      </c>
      <c r="E1929" t="s">
        <v>3786</v>
      </c>
      <c r="F1929" t="s">
        <v>3786</v>
      </c>
      <c r="G1929" t="s">
        <v>3366</v>
      </c>
      <c r="H1929">
        <v>23629</v>
      </c>
      <c r="I1929">
        <v>2362.9</v>
      </c>
      <c r="J1929">
        <v>21419.1</v>
      </c>
      <c r="K1929">
        <v>2141.91</v>
      </c>
      <c r="L1929">
        <v>2209.9</v>
      </c>
      <c r="M1929">
        <v>220.99</v>
      </c>
      <c r="O1929" s="79">
        <f>IFERROR(VLOOKUP(D1929,'KAPANAN BLD.'!$C$2:$D$793,2,FALSE),0)</f>
        <v>0</v>
      </c>
      <c r="P1929" s="79">
        <v>0</v>
      </c>
    </row>
    <row r="1930" spans="1:16" x14ac:dyDescent="0.25">
      <c r="A1930" t="s">
        <v>32</v>
      </c>
      <c r="B1930" s="73" t="str">
        <f>VLOOKUP(C1930,'Büyükşehir List'!$C$2:$D$31,2,FALSE)</f>
        <v>KONYA BÜYÜKŞEHİR</v>
      </c>
      <c r="C1930" t="s">
        <v>118</v>
      </c>
      <c r="D1930" s="73" t="str">
        <f t="shared" si="47"/>
        <v>KONYA BÜYÜKŞEHİR/KONYA</v>
      </c>
      <c r="E1930" t="s">
        <v>4509</v>
      </c>
      <c r="F1930" t="s">
        <v>4509</v>
      </c>
      <c r="G1930" t="s">
        <v>3367</v>
      </c>
      <c r="H1930">
        <v>803.7</v>
      </c>
      <c r="I1930">
        <v>80.37</v>
      </c>
      <c r="J1930">
        <v>0</v>
      </c>
      <c r="K1930">
        <v>0</v>
      </c>
      <c r="L1930">
        <v>803.7</v>
      </c>
      <c r="M1930">
        <v>80.37</v>
      </c>
      <c r="O1930" s="79">
        <f>IFERROR(VLOOKUP(D1930,'KAPANAN BLD.'!$C$2:$D$793,2,FALSE),0)</f>
        <v>0</v>
      </c>
      <c r="P1930" s="79">
        <v>0</v>
      </c>
    </row>
    <row r="1931" spans="1:16" x14ac:dyDescent="0.25">
      <c r="A1931" t="s">
        <v>32</v>
      </c>
      <c r="B1931" s="73" t="str">
        <f>VLOOKUP(C1931,'Büyükşehir List'!$C$2:$D$31,2,FALSE)</f>
        <v>KONYA BÜYÜKŞEHİR</v>
      </c>
      <c r="C1931" t="s">
        <v>118</v>
      </c>
      <c r="D1931" s="73" t="str">
        <f t="shared" si="47"/>
        <v>KONYA BÜYÜKŞEHİR/KONYA</v>
      </c>
      <c r="E1931" t="s">
        <v>4509</v>
      </c>
      <c r="F1931" t="s">
        <v>4509</v>
      </c>
      <c r="G1931" t="s">
        <v>3366</v>
      </c>
      <c r="H1931">
        <v>107.3</v>
      </c>
      <c r="I1931">
        <v>10.73</v>
      </c>
      <c r="J1931">
        <v>0</v>
      </c>
      <c r="K1931">
        <v>0</v>
      </c>
      <c r="L1931">
        <v>107.3</v>
      </c>
      <c r="M1931">
        <v>10.73</v>
      </c>
      <c r="O1931" s="79">
        <f>IFERROR(VLOOKUP(D1931,'KAPANAN BLD.'!$C$2:$D$793,2,FALSE),0)</f>
        <v>0</v>
      </c>
      <c r="P1931" s="79">
        <v>0</v>
      </c>
    </row>
    <row r="1932" spans="1:16" x14ac:dyDescent="0.25">
      <c r="A1932" t="s">
        <v>32</v>
      </c>
      <c r="B1932" s="73" t="str">
        <f>VLOOKUP(C1932,'Büyükşehir List'!$C$2:$D$31,2,FALSE)</f>
        <v>KONYA BÜYÜKŞEHİR</v>
      </c>
      <c r="C1932" t="s">
        <v>118</v>
      </c>
      <c r="D1932" s="73" t="str">
        <f t="shared" si="47"/>
        <v>KONYA BÜYÜKŞEHİR/KONYA</v>
      </c>
      <c r="E1932" t="s">
        <v>3938</v>
      </c>
      <c r="F1932" t="s">
        <v>3938</v>
      </c>
      <c r="G1932" t="s">
        <v>3366</v>
      </c>
      <c r="H1932">
        <v>2421.6999999999998</v>
      </c>
      <c r="I1932">
        <v>242.17</v>
      </c>
      <c r="J1932">
        <v>0</v>
      </c>
      <c r="K1932">
        <v>0</v>
      </c>
      <c r="L1932">
        <v>2421.6999999999998</v>
      </c>
      <c r="M1932">
        <v>242.17</v>
      </c>
      <c r="O1932" s="79">
        <f>IFERROR(VLOOKUP(D1932,'KAPANAN BLD.'!$C$2:$D$793,2,FALSE),0)</f>
        <v>0</v>
      </c>
      <c r="P1932" s="79">
        <v>0</v>
      </c>
    </row>
    <row r="1933" spans="1:16" x14ac:dyDescent="0.25">
      <c r="A1933" t="s">
        <v>32</v>
      </c>
      <c r="B1933" s="73" t="str">
        <f>VLOOKUP(C1933,'Büyükşehir List'!$C$2:$D$31,2,FALSE)</f>
        <v>KONYA BÜYÜKŞEHİR</v>
      </c>
      <c r="C1933" t="s">
        <v>118</v>
      </c>
      <c r="D1933" s="73" t="str">
        <f t="shared" si="47"/>
        <v>KONYA BÜYÜKŞEHİR/KONYA</v>
      </c>
      <c r="E1933" t="s">
        <v>3938</v>
      </c>
      <c r="F1933" t="s">
        <v>3938</v>
      </c>
      <c r="G1933" t="s">
        <v>3367</v>
      </c>
      <c r="H1933">
        <v>1519.1</v>
      </c>
      <c r="I1933">
        <v>151.91</v>
      </c>
      <c r="J1933">
        <v>0</v>
      </c>
      <c r="K1933">
        <v>0</v>
      </c>
      <c r="L1933">
        <v>1519.1</v>
      </c>
      <c r="M1933">
        <v>151.91</v>
      </c>
      <c r="O1933" s="79">
        <f>IFERROR(VLOOKUP(D1933,'KAPANAN BLD.'!$C$2:$D$793,2,FALSE),0)</f>
        <v>0</v>
      </c>
      <c r="P1933" s="79">
        <v>0</v>
      </c>
    </row>
    <row r="1934" spans="1:16" x14ac:dyDescent="0.25">
      <c r="A1934" t="s">
        <v>32</v>
      </c>
      <c r="B1934" s="73" t="str">
        <f>VLOOKUP(C1934,'Büyükşehir List'!$C$2:$D$31,2,FALSE)</f>
        <v>KONYA BÜYÜKŞEHİR</v>
      </c>
      <c r="C1934" t="s">
        <v>118</v>
      </c>
      <c r="D1934" s="73" t="str">
        <f t="shared" si="47"/>
        <v>KONYA BÜYÜKŞEHİR/KONYA</v>
      </c>
      <c r="E1934" t="s">
        <v>4308</v>
      </c>
      <c r="F1934" t="s">
        <v>4308</v>
      </c>
      <c r="G1934" t="s">
        <v>3367</v>
      </c>
      <c r="H1934">
        <v>305.2</v>
      </c>
      <c r="I1934">
        <v>30.52</v>
      </c>
      <c r="J1934">
        <v>0</v>
      </c>
      <c r="K1934">
        <v>0</v>
      </c>
      <c r="L1934">
        <v>305.2</v>
      </c>
      <c r="M1934">
        <v>30.52</v>
      </c>
      <c r="O1934" s="79">
        <f>IFERROR(VLOOKUP(D1934,'KAPANAN BLD.'!$C$2:$D$793,2,FALSE),0)</f>
        <v>0</v>
      </c>
      <c r="P1934" s="79">
        <v>0</v>
      </c>
    </row>
    <row r="1935" spans="1:16" x14ac:dyDescent="0.25">
      <c r="A1935" t="s">
        <v>32</v>
      </c>
      <c r="B1935" s="73" t="str">
        <f>VLOOKUP(C1935,'Büyükşehir List'!$C$2:$D$31,2,FALSE)</f>
        <v>KONYA BÜYÜKŞEHİR</v>
      </c>
      <c r="C1935" t="s">
        <v>118</v>
      </c>
      <c r="D1935" s="73" t="str">
        <f t="shared" si="47"/>
        <v>KONYA BÜYÜKŞEHİR/KONYA</v>
      </c>
      <c r="E1935" t="s">
        <v>4308</v>
      </c>
      <c r="F1935" t="s">
        <v>4308</v>
      </c>
      <c r="G1935" t="s">
        <v>3366</v>
      </c>
      <c r="H1935">
        <v>123.8</v>
      </c>
      <c r="I1935">
        <v>12.38</v>
      </c>
      <c r="J1935">
        <v>0</v>
      </c>
      <c r="K1935">
        <v>0</v>
      </c>
      <c r="L1935">
        <v>123.8</v>
      </c>
      <c r="M1935">
        <v>12.38</v>
      </c>
      <c r="O1935" s="79">
        <f>IFERROR(VLOOKUP(D1935,'KAPANAN BLD.'!$C$2:$D$793,2,FALSE),0)</f>
        <v>0</v>
      </c>
      <c r="P1935" s="79">
        <v>0</v>
      </c>
    </row>
    <row r="1936" spans="1:16" x14ac:dyDescent="0.25">
      <c r="A1936" t="s">
        <v>32</v>
      </c>
      <c r="B1936" s="73" t="str">
        <f>VLOOKUP(C1936,'Büyükşehir List'!$C$2:$D$31,2,FALSE)</f>
        <v>KONYA BÜYÜKŞEHİR</v>
      </c>
      <c r="C1936" t="s">
        <v>118</v>
      </c>
      <c r="D1936" s="73" t="str">
        <f t="shared" si="47"/>
        <v>KONYA BÜYÜKŞEHİR/KONYA</v>
      </c>
      <c r="E1936" t="s">
        <v>456</v>
      </c>
      <c r="F1936" t="s">
        <v>456</v>
      </c>
      <c r="G1936" t="s">
        <v>3367</v>
      </c>
      <c r="H1936">
        <v>531.79999999999995</v>
      </c>
      <c r="I1936">
        <v>53.18</v>
      </c>
      <c r="J1936">
        <v>0</v>
      </c>
      <c r="K1936">
        <v>0</v>
      </c>
      <c r="L1936">
        <v>531.79999999999995</v>
      </c>
      <c r="M1936">
        <v>53.18</v>
      </c>
      <c r="O1936" s="79">
        <f>IFERROR(VLOOKUP(D1936,'KAPANAN BLD.'!$C$2:$D$793,2,FALSE),0)</f>
        <v>0</v>
      </c>
      <c r="P1936" s="79">
        <v>0</v>
      </c>
    </row>
    <row r="1937" spans="1:16" x14ac:dyDescent="0.25">
      <c r="A1937" t="s">
        <v>32</v>
      </c>
      <c r="B1937" s="73" t="str">
        <f>VLOOKUP(C1937,'Büyükşehir List'!$C$2:$D$31,2,FALSE)</f>
        <v>KONYA BÜYÜKŞEHİR</v>
      </c>
      <c r="C1937" t="s">
        <v>118</v>
      </c>
      <c r="D1937" s="73" t="str">
        <f t="shared" si="47"/>
        <v>KONYA BÜYÜKŞEHİR/KONYA</v>
      </c>
      <c r="E1937" t="s">
        <v>456</v>
      </c>
      <c r="F1937" t="s">
        <v>456</v>
      </c>
      <c r="G1937" t="s">
        <v>3366</v>
      </c>
      <c r="H1937">
        <v>805.6</v>
      </c>
      <c r="I1937">
        <v>80.56</v>
      </c>
      <c r="J1937">
        <v>0</v>
      </c>
      <c r="K1937">
        <v>0</v>
      </c>
      <c r="L1937">
        <v>805.6</v>
      </c>
      <c r="M1937">
        <v>80.56</v>
      </c>
      <c r="O1937" s="79">
        <f>IFERROR(VLOOKUP(D1937,'KAPANAN BLD.'!$C$2:$D$793,2,FALSE),0)</f>
        <v>0</v>
      </c>
      <c r="P1937" s="79">
        <v>0</v>
      </c>
    </row>
    <row r="1938" spans="1:16" x14ac:dyDescent="0.25">
      <c r="A1938" t="s">
        <v>32</v>
      </c>
      <c r="B1938" s="73" t="str">
        <f>VLOOKUP(C1938,'Büyükşehir List'!$C$2:$D$31,2,FALSE)</f>
        <v>KONYA BÜYÜKŞEHİR</v>
      </c>
      <c r="C1938" t="s">
        <v>118</v>
      </c>
      <c r="D1938" s="73" t="str">
        <f t="shared" si="47"/>
        <v>KONYA BÜYÜKŞEHİR/KONYA</v>
      </c>
      <c r="E1938" t="s">
        <v>1879</v>
      </c>
      <c r="F1938" t="s">
        <v>1879</v>
      </c>
      <c r="G1938" t="s">
        <v>3367</v>
      </c>
      <c r="H1938">
        <v>3900.5</v>
      </c>
      <c r="I1938">
        <v>390.05</v>
      </c>
      <c r="J1938">
        <v>1112</v>
      </c>
      <c r="K1938">
        <v>111.2</v>
      </c>
      <c r="L1938">
        <v>2788.5</v>
      </c>
      <c r="M1938">
        <v>278.85000000000002</v>
      </c>
      <c r="O1938" s="79">
        <f>IFERROR(VLOOKUP(D1938,'KAPANAN BLD.'!$C$2:$D$793,2,FALSE),0)</f>
        <v>0</v>
      </c>
      <c r="P1938" s="79">
        <v>0</v>
      </c>
    </row>
    <row r="1939" spans="1:16" x14ac:dyDescent="0.25">
      <c r="A1939" t="s">
        <v>32</v>
      </c>
      <c r="B1939" s="73" t="str">
        <f>VLOOKUP(C1939,'Büyükşehir List'!$C$2:$D$31,2,FALSE)</f>
        <v>KONYA BÜYÜKŞEHİR</v>
      </c>
      <c r="C1939" t="s">
        <v>118</v>
      </c>
      <c r="D1939" s="73" t="str">
        <f t="shared" si="47"/>
        <v>KONYA BÜYÜKŞEHİR/KONYA</v>
      </c>
      <c r="E1939" t="s">
        <v>1879</v>
      </c>
      <c r="F1939" t="s">
        <v>1879</v>
      </c>
      <c r="G1939" t="s">
        <v>3366</v>
      </c>
      <c r="H1939">
        <v>2919.33</v>
      </c>
      <c r="I1939">
        <v>291.93</v>
      </c>
      <c r="J1939">
        <v>425.2</v>
      </c>
      <c r="K1939">
        <v>42.52</v>
      </c>
      <c r="L1939">
        <v>2494.13</v>
      </c>
      <c r="M1939">
        <v>249.41</v>
      </c>
      <c r="O1939" s="79">
        <f>IFERROR(VLOOKUP(D1939,'KAPANAN BLD.'!$C$2:$D$793,2,FALSE),0)</f>
        <v>0</v>
      </c>
      <c r="P1939" s="79">
        <v>0</v>
      </c>
    </row>
    <row r="1940" spans="1:16" x14ac:dyDescent="0.25">
      <c r="A1940" t="s">
        <v>32</v>
      </c>
      <c r="B1940" s="73" t="str">
        <f>VLOOKUP(C1940,'Büyükşehir List'!$C$2:$D$31,2,FALSE)</f>
        <v>KONYA BÜYÜKŞEHİR</v>
      </c>
      <c r="C1940" t="s">
        <v>118</v>
      </c>
      <c r="D1940" s="73" t="str">
        <f t="shared" si="47"/>
        <v>KONYA BÜYÜKŞEHİR/KONYA</v>
      </c>
      <c r="E1940" t="s">
        <v>2416</v>
      </c>
      <c r="F1940" t="s">
        <v>2416</v>
      </c>
      <c r="G1940" t="s">
        <v>3366</v>
      </c>
      <c r="H1940">
        <v>2015</v>
      </c>
      <c r="I1940">
        <v>201.5</v>
      </c>
      <c r="J1940">
        <v>640.70000000000005</v>
      </c>
      <c r="K1940">
        <v>64.069999999999993</v>
      </c>
      <c r="L1940">
        <v>1374.3</v>
      </c>
      <c r="M1940">
        <v>137.43</v>
      </c>
      <c r="O1940" s="79">
        <f>IFERROR(VLOOKUP(D1940,'KAPANAN BLD.'!$C$2:$D$793,2,FALSE),0)</f>
        <v>0</v>
      </c>
      <c r="P1940" s="79">
        <v>0</v>
      </c>
    </row>
    <row r="1941" spans="1:16" x14ac:dyDescent="0.25">
      <c r="A1941" t="s">
        <v>32</v>
      </c>
      <c r="B1941" s="73" t="str">
        <f>VLOOKUP(C1941,'Büyükşehir List'!$C$2:$D$31,2,FALSE)</f>
        <v>KONYA BÜYÜKŞEHİR</v>
      </c>
      <c r="C1941" t="s">
        <v>118</v>
      </c>
      <c r="D1941" s="73" t="str">
        <f t="shared" si="47"/>
        <v>KONYA BÜYÜKŞEHİR/KONYA</v>
      </c>
      <c r="E1941" t="s">
        <v>2416</v>
      </c>
      <c r="F1941" t="s">
        <v>2416</v>
      </c>
      <c r="G1941" t="s">
        <v>3367</v>
      </c>
      <c r="H1941">
        <v>1192.3</v>
      </c>
      <c r="I1941">
        <v>119.23</v>
      </c>
      <c r="J1941">
        <v>187.8</v>
      </c>
      <c r="K1941">
        <v>18.78</v>
      </c>
      <c r="L1941">
        <v>1004.5</v>
      </c>
      <c r="M1941">
        <v>100.45</v>
      </c>
      <c r="O1941" s="79">
        <f>IFERROR(VLOOKUP(D1941,'KAPANAN BLD.'!$C$2:$D$793,2,FALSE),0)</f>
        <v>0</v>
      </c>
      <c r="P1941" s="79">
        <v>0</v>
      </c>
    </row>
    <row r="1942" spans="1:16" x14ac:dyDescent="0.25">
      <c r="A1942" t="s">
        <v>32</v>
      </c>
      <c r="B1942" s="73" t="str">
        <f>VLOOKUP(C1942,'Büyükşehir List'!$C$2:$D$31,2,FALSE)</f>
        <v>KONYA BÜYÜKŞEHİR</v>
      </c>
      <c r="C1942" t="s">
        <v>118</v>
      </c>
      <c r="D1942" s="73" t="str">
        <f t="shared" si="47"/>
        <v>KONYA BÜYÜKŞEHİR/KONYA</v>
      </c>
      <c r="E1942" t="s">
        <v>4510</v>
      </c>
      <c r="F1942" t="s">
        <v>4510</v>
      </c>
      <c r="G1942" t="s">
        <v>3366</v>
      </c>
      <c r="H1942">
        <v>0</v>
      </c>
      <c r="I1942">
        <v>0</v>
      </c>
      <c r="J1942">
        <v>3.9</v>
      </c>
      <c r="K1942">
        <v>0.39</v>
      </c>
      <c r="L1942">
        <v>-3.9</v>
      </c>
      <c r="M1942">
        <v>-0.39</v>
      </c>
      <c r="O1942" s="79">
        <f>IFERROR(VLOOKUP(D1942,'KAPANAN BLD.'!$C$2:$D$793,2,FALSE),0)</f>
        <v>0</v>
      </c>
      <c r="P1942" s="79">
        <v>0</v>
      </c>
    </row>
    <row r="1943" spans="1:16" x14ac:dyDescent="0.25">
      <c r="A1943" t="s">
        <v>32</v>
      </c>
      <c r="B1943" s="73" t="str">
        <f>VLOOKUP(C1943,'Büyükşehir List'!$C$2:$D$31,2,FALSE)</f>
        <v>KONYA BÜYÜKŞEHİR</v>
      </c>
      <c r="C1943" t="s">
        <v>118</v>
      </c>
      <c r="D1943" s="73" t="str">
        <f t="shared" si="47"/>
        <v>KONYA BÜYÜKŞEHİR/KONYA</v>
      </c>
      <c r="E1943" t="s">
        <v>4510</v>
      </c>
      <c r="F1943" t="s">
        <v>4510</v>
      </c>
      <c r="G1943" t="s">
        <v>3367</v>
      </c>
      <c r="H1943">
        <v>0</v>
      </c>
      <c r="I1943">
        <v>0</v>
      </c>
      <c r="J1943">
        <v>14.9</v>
      </c>
      <c r="K1943">
        <v>1.49</v>
      </c>
      <c r="L1943">
        <v>-14.9</v>
      </c>
      <c r="M1943">
        <v>-1.49</v>
      </c>
      <c r="O1943" s="79">
        <f>IFERROR(VLOOKUP(D1943,'KAPANAN BLD.'!$C$2:$D$793,2,FALSE),0)</f>
        <v>0</v>
      </c>
      <c r="P1943" s="79">
        <v>0</v>
      </c>
    </row>
    <row r="1944" spans="1:16" x14ac:dyDescent="0.25">
      <c r="A1944" t="s">
        <v>32</v>
      </c>
      <c r="B1944" s="73" t="str">
        <f>VLOOKUP(C1944,'Büyükşehir List'!$C$2:$D$31,2,FALSE)</f>
        <v>KONYA BÜYÜKŞEHİR</v>
      </c>
      <c r="C1944" t="s">
        <v>118</v>
      </c>
      <c r="D1944" s="73" t="str">
        <f t="shared" si="47"/>
        <v>KONYA BÜYÜKŞEHİR/KONYA</v>
      </c>
      <c r="E1944" t="s">
        <v>4511</v>
      </c>
      <c r="F1944" t="s">
        <v>4511</v>
      </c>
      <c r="G1944" t="s">
        <v>3367</v>
      </c>
      <c r="H1944">
        <v>603.29999999999995</v>
      </c>
      <c r="I1944">
        <v>60.33</v>
      </c>
      <c r="J1944">
        <v>0</v>
      </c>
      <c r="K1944">
        <v>0</v>
      </c>
      <c r="L1944">
        <v>603.29999999999995</v>
      </c>
      <c r="M1944">
        <v>60.33</v>
      </c>
      <c r="O1944" s="79">
        <f>IFERROR(VLOOKUP(D1944,'KAPANAN BLD.'!$C$2:$D$793,2,FALSE),0)</f>
        <v>0</v>
      </c>
      <c r="P1944" s="79">
        <v>0</v>
      </c>
    </row>
    <row r="1945" spans="1:16" x14ac:dyDescent="0.25">
      <c r="A1945" t="s">
        <v>32</v>
      </c>
      <c r="B1945" s="73" t="str">
        <f>VLOOKUP(C1945,'Büyükşehir List'!$C$2:$D$31,2,FALSE)</f>
        <v>KONYA BÜYÜKŞEHİR</v>
      </c>
      <c r="C1945" t="s">
        <v>118</v>
      </c>
      <c r="D1945" s="73" t="str">
        <f t="shared" si="47"/>
        <v>KONYA BÜYÜKŞEHİR/KONYA</v>
      </c>
      <c r="E1945" t="s">
        <v>4511</v>
      </c>
      <c r="F1945" t="s">
        <v>4511</v>
      </c>
      <c r="G1945" t="s">
        <v>3366</v>
      </c>
      <c r="H1945">
        <v>3858.8</v>
      </c>
      <c r="I1945">
        <v>385.88</v>
      </c>
      <c r="J1945">
        <v>0</v>
      </c>
      <c r="K1945">
        <v>0</v>
      </c>
      <c r="L1945">
        <v>3858.8</v>
      </c>
      <c r="M1945">
        <v>385.88</v>
      </c>
      <c r="O1945" s="79">
        <f>IFERROR(VLOOKUP(D1945,'KAPANAN BLD.'!$C$2:$D$793,2,FALSE),0)</f>
        <v>0</v>
      </c>
      <c r="P1945" s="79">
        <v>0</v>
      </c>
    </row>
    <row r="1946" spans="1:16" x14ac:dyDescent="0.25">
      <c r="A1946" t="s">
        <v>32</v>
      </c>
      <c r="B1946" s="73" t="str">
        <f>VLOOKUP(C1946,'Büyükşehir List'!$C$2:$D$31,2,FALSE)</f>
        <v>KONYA BÜYÜKŞEHİR</v>
      </c>
      <c r="C1946" t="s">
        <v>118</v>
      </c>
      <c r="D1946" s="73" t="str">
        <f t="shared" si="47"/>
        <v>KONYA BÜYÜKŞEHİR/KONYA</v>
      </c>
      <c r="E1946" t="s">
        <v>4512</v>
      </c>
      <c r="F1946" t="s">
        <v>4512</v>
      </c>
      <c r="G1946" t="s">
        <v>3367</v>
      </c>
      <c r="H1946">
        <v>115.7</v>
      </c>
      <c r="I1946">
        <v>11.57</v>
      </c>
      <c r="J1946">
        <v>0</v>
      </c>
      <c r="K1946">
        <v>0</v>
      </c>
      <c r="L1946">
        <v>115.7</v>
      </c>
      <c r="M1946">
        <v>11.57</v>
      </c>
      <c r="O1946" s="79">
        <f>IFERROR(VLOOKUP(D1946,'KAPANAN BLD.'!$C$2:$D$793,2,FALSE),0)</f>
        <v>0</v>
      </c>
      <c r="P1946" s="79">
        <v>0</v>
      </c>
    </row>
    <row r="1947" spans="1:16" x14ac:dyDescent="0.25">
      <c r="A1947" t="s">
        <v>32</v>
      </c>
      <c r="B1947" s="73" t="str">
        <f>VLOOKUP(C1947,'Büyükşehir List'!$C$2:$D$31,2,FALSE)</f>
        <v>KONYA BÜYÜKŞEHİR</v>
      </c>
      <c r="C1947" t="s">
        <v>118</v>
      </c>
      <c r="D1947" s="73" t="str">
        <f t="shared" si="47"/>
        <v>KONYA BÜYÜKŞEHİR/KONYA</v>
      </c>
      <c r="E1947" t="s">
        <v>4512</v>
      </c>
      <c r="F1947" t="s">
        <v>4512</v>
      </c>
      <c r="G1947" t="s">
        <v>3366</v>
      </c>
      <c r="H1947">
        <v>56.4</v>
      </c>
      <c r="I1947">
        <v>5.64</v>
      </c>
      <c r="J1947">
        <v>0</v>
      </c>
      <c r="K1947">
        <v>0</v>
      </c>
      <c r="L1947">
        <v>56.4</v>
      </c>
      <c r="M1947">
        <v>5.64</v>
      </c>
      <c r="O1947" s="79">
        <f>IFERROR(VLOOKUP(D1947,'KAPANAN BLD.'!$C$2:$D$793,2,FALSE),0)</f>
        <v>0</v>
      </c>
      <c r="P1947" s="79">
        <v>0</v>
      </c>
    </row>
    <row r="1948" spans="1:16" x14ac:dyDescent="0.25">
      <c r="A1948" t="s">
        <v>32</v>
      </c>
      <c r="B1948" s="73" t="str">
        <f>VLOOKUP(C1948,'Büyükşehir List'!$C$2:$D$31,2,FALSE)</f>
        <v>KONYA BÜYÜKŞEHİR</v>
      </c>
      <c r="C1948" t="s">
        <v>118</v>
      </c>
      <c r="D1948" s="73" t="str">
        <f t="shared" si="47"/>
        <v>KONYA BÜYÜKŞEHİR/KONYA</v>
      </c>
      <c r="E1948" t="s">
        <v>4513</v>
      </c>
      <c r="F1948" t="s">
        <v>4513</v>
      </c>
      <c r="G1948" t="s">
        <v>3367</v>
      </c>
      <c r="H1948">
        <v>47</v>
      </c>
      <c r="I1948">
        <v>4.7</v>
      </c>
      <c r="J1948">
        <v>0</v>
      </c>
      <c r="K1948">
        <v>0</v>
      </c>
      <c r="L1948">
        <v>47</v>
      </c>
      <c r="M1948">
        <v>4.7</v>
      </c>
      <c r="O1948" s="79">
        <f>IFERROR(VLOOKUP(D1948,'KAPANAN BLD.'!$C$2:$D$793,2,FALSE),0)</f>
        <v>0</v>
      </c>
      <c r="P1948" s="79">
        <v>0</v>
      </c>
    </row>
    <row r="1949" spans="1:16" x14ac:dyDescent="0.25">
      <c r="A1949" t="s">
        <v>32</v>
      </c>
      <c r="B1949" s="73" t="str">
        <f>VLOOKUP(C1949,'Büyükşehir List'!$C$2:$D$31,2,FALSE)</f>
        <v>KONYA BÜYÜKŞEHİR</v>
      </c>
      <c r="C1949" t="s">
        <v>118</v>
      </c>
      <c r="D1949" s="73" t="str">
        <f t="shared" si="47"/>
        <v>KONYA BÜYÜKŞEHİR/KONYA</v>
      </c>
      <c r="E1949" t="s">
        <v>4513</v>
      </c>
      <c r="F1949" t="s">
        <v>4513</v>
      </c>
      <c r="G1949" t="s">
        <v>3366</v>
      </c>
      <c r="H1949">
        <v>403.5</v>
      </c>
      <c r="I1949">
        <v>40.35</v>
      </c>
      <c r="J1949">
        <v>0</v>
      </c>
      <c r="K1949">
        <v>0</v>
      </c>
      <c r="L1949">
        <v>403.5</v>
      </c>
      <c r="M1949">
        <v>40.35</v>
      </c>
      <c r="O1949" s="79">
        <f>IFERROR(VLOOKUP(D1949,'KAPANAN BLD.'!$C$2:$D$793,2,FALSE),0)</f>
        <v>0</v>
      </c>
      <c r="P1949" s="79">
        <v>0</v>
      </c>
    </row>
    <row r="1950" spans="1:16" x14ac:dyDescent="0.25">
      <c r="A1950" t="s">
        <v>32</v>
      </c>
      <c r="B1950" s="73" t="str">
        <f>VLOOKUP(C1950,'Büyükşehir List'!$C$2:$D$31,2,FALSE)</f>
        <v>KONYA BÜYÜKŞEHİR</v>
      </c>
      <c r="C1950" t="s">
        <v>118</v>
      </c>
      <c r="D1950" s="73" t="str">
        <f t="shared" si="47"/>
        <v>KONYA BÜYÜKŞEHİR/KONYA</v>
      </c>
      <c r="E1950" t="s">
        <v>4514</v>
      </c>
      <c r="F1950" t="s">
        <v>4514</v>
      </c>
      <c r="G1950" t="s">
        <v>3367</v>
      </c>
      <c r="H1950">
        <v>110.2</v>
      </c>
      <c r="I1950">
        <v>11.02</v>
      </c>
      <c r="J1950">
        <v>0</v>
      </c>
      <c r="K1950">
        <v>0</v>
      </c>
      <c r="L1950">
        <v>110.2</v>
      </c>
      <c r="M1950">
        <v>11.02</v>
      </c>
      <c r="O1950" s="79">
        <f>IFERROR(VLOOKUP(D1950,'KAPANAN BLD.'!$C$2:$D$793,2,FALSE),0)</f>
        <v>0</v>
      </c>
      <c r="P1950" s="79">
        <v>0</v>
      </c>
    </row>
    <row r="1951" spans="1:16" x14ac:dyDescent="0.25">
      <c r="A1951" t="s">
        <v>32</v>
      </c>
      <c r="B1951" s="73" t="str">
        <f>VLOOKUP(C1951,'Büyükşehir List'!$C$2:$D$31,2,FALSE)</f>
        <v>KONYA BÜYÜKŞEHİR</v>
      </c>
      <c r="C1951" t="s">
        <v>118</v>
      </c>
      <c r="D1951" s="73" t="str">
        <f t="shared" si="47"/>
        <v>KONYA BÜYÜKŞEHİR/KONYA</v>
      </c>
      <c r="E1951" t="s">
        <v>4514</v>
      </c>
      <c r="F1951" t="s">
        <v>4514</v>
      </c>
      <c r="G1951" t="s">
        <v>3366</v>
      </c>
      <c r="H1951">
        <v>587.1</v>
      </c>
      <c r="I1951">
        <v>58.71</v>
      </c>
      <c r="J1951">
        <v>0</v>
      </c>
      <c r="K1951">
        <v>0</v>
      </c>
      <c r="L1951">
        <v>587.1</v>
      </c>
      <c r="M1951">
        <v>58.71</v>
      </c>
      <c r="O1951" s="79">
        <f>IFERROR(VLOOKUP(D1951,'KAPANAN BLD.'!$C$2:$D$793,2,FALSE),0)</f>
        <v>0</v>
      </c>
      <c r="P1951" s="79">
        <v>0</v>
      </c>
    </row>
    <row r="1952" spans="1:16" x14ac:dyDescent="0.25">
      <c r="A1952" t="s">
        <v>32</v>
      </c>
      <c r="B1952" s="73" t="str">
        <f>VLOOKUP(C1952,'Büyükşehir List'!$C$2:$D$31,2,FALSE)</f>
        <v>KONYA BÜYÜKŞEHİR</v>
      </c>
      <c r="C1952" t="s">
        <v>118</v>
      </c>
      <c r="D1952" s="73" t="str">
        <f t="shared" si="47"/>
        <v>KONYA BÜYÜKŞEHİR/KONYA</v>
      </c>
      <c r="E1952" t="s">
        <v>457</v>
      </c>
      <c r="F1952" t="s">
        <v>457</v>
      </c>
      <c r="G1952" t="s">
        <v>3366</v>
      </c>
      <c r="H1952">
        <v>3984.2</v>
      </c>
      <c r="I1952">
        <v>398.42</v>
      </c>
      <c r="J1952">
        <v>0</v>
      </c>
      <c r="K1952">
        <v>0</v>
      </c>
      <c r="L1952">
        <v>3984.2</v>
      </c>
      <c r="M1952">
        <v>398.42</v>
      </c>
      <c r="O1952" s="79">
        <f>IFERROR(VLOOKUP(D1952,'KAPANAN BLD.'!$C$2:$D$793,2,FALSE),0)</f>
        <v>0</v>
      </c>
      <c r="P1952" s="79">
        <v>0</v>
      </c>
    </row>
    <row r="1953" spans="1:16" x14ac:dyDescent="0.25">
      <c r="A1953" t="s">
        <v>32</v>
      </c>
      <c r="B1953" s="73" t="str">
        <f>VLOOKUP(C1953,'Büyükşehir List'!$C$2:$D$31,2,FALSE)</f>
        <v>KONYA BÜYÜKŞEHİR</v>
      </c>
      <c r="C1953" t="s">
        <v>118</v>
      </c>
      <c r="D1953" s="73" t="str">
        <f t="shared" si="47"/>
        <v>KONYA BÜYÜKŞEHİR/KONYA</v>
      </c>
      <c r="E1953" t="s">
        <v>457</v>
      </c>
      <c r="F1953" t="s">
        <v>457</v>
      </c>
      <c r="G1953" t="s">
        <v>3367</v>
      </c>
      <c r="H1953">
        <v>3371.2</v>
      </c>
      <c r="I1953">
        <v>337.12</v>
      </c>
      <c r="J1953">
        <v>0</v>
      </c>
      <c r="K1953">
        <v>0</v>
      </c>
      <c r="L1953">
        <v>3371.2</v>
      </c>
      <c r="M1953">
        <v>337.12</v>
      </c>
      <c r="O1953" s="79">
        <f>IFERROR(VLOOKUP(D1953,'KAPANAN BLD.'!$C$2:$D$793,2,FALSE),0)</f>
        <v>0</v>
      </c>
      <c r="P1953" s="79">
        <v>0</v>
      </c>
    </row>
    <row r="1954" spans="1:16" x14ac:dyDescent="0.25">
      <c r="A1954" t="s">
        <v>32</v>
      </c>
      <c r="B1954" s="73" t="str">
        <f>VLOOKUP(C1954,'Büyükşehir List'!$C$2:$D$31,2,FALSE)</f>
        <v>KONYA BÜYÜKŞEHİR</v>
      </c>
      <c r="C1954" t="s">
        <v>118</v>
      </c>
      <c r="D1954" s="73" t="str">
        <f t="shared" si="47"/>
        <v>KONYA BÜYÜKŞEHİR/KONYA</v>
      </c>
      <c r="E1954" t="s">
        <v>543</v>
      </c>
      <c r="F1954" t="s">
        <v>543</v>
      </c>
      <c r="G1954" t="s">
        <v>3367</v>
      </c>
      <c r="H1954">
        <v>390.1</v>
      </c>
      <c r="I1954">
        <v>39.01</v>
      </c>
      <c r="J1954">
        <v>0</v>
      </c>
      <c r="K1954">
        <v>0</v>
      </c>
      <c r="L1954">
        <v>390.1</v>
      </c>
      <c r="M1954">
        <v>39.01</v>
      </c>
      <c r="O1954" s="79">
        <f>IFERROR(VLOOKUP(D1954,'KAPANAN BLD.'!$C$2:$D$793,2,FALSE),0)</f>
        <v>0</v>
      </c>
      <c r="P1954" s="79">
        <v>0</v>
      </c>
    </row>
    <row r="1955" spans="1:16" x14ac:dyDescent="0.25">
      <c r="A1955" t="s">
        <v>32</v>
      </c>
      <c r="B1955" s="73" t="str">
        <f>VLOOKUP(C1955,'Büyükşehir List'!$C$2:$D$31,2,FALSE)</f>
        <v>KONYA BÜYÜKŞEHİR</v>
      </c>
      <c r="C1955" t="s">
        <v>118</v>
      </c>
      <c r="D1955" s="73" t="str">
        <f t="shared" si="47"/>
        <v>KONYA BÜYÜKŞEHİR/KONYA</v>
      </c>
      <c r="E1955" t="s">
        <v>543</v>
      </c>
      <c r="F1955" t="s">
        <v>543</v>
      </c>
      <c r="G1955" t="s">
        <v>3366</v>
      </c>
      <c r="H1955">
        <v>390.1</v>
      </c>
      <c r="I1955">
        <v>39.01</v>
      </c>
      <c r="J1955">
        <v>0</v>
      </c>
      <c r="K1955">
        <v>0</v>
      </c>
      <c r="L1955">
        <v>390.1</v>
      </c>
      <c r="M1955">
        <v>39.01</v>
      </c>
      <c r="O1955" s="79">
        <f>IFERROR(VLOOKUP(D1955,'KAPANAN BLD.'!$C$2:$D$793,2,FALSE),0)</f>
        <v>0</v>
      </c>
      <c r="P1955" s="79">
        <v>0</v>
      </c>
    </row>
    <row r="1956" spans="1:16" x14ac:dyDescent="0.25">
      <c r="A1956" t="s">
        <v>32</v>
      </c>
      <c r="B1956" s="73" t="str">
        <f>VLOOKUP(C1956,'Büyükşehir List'!$C$2:$D$31,2,FALSE)</f>
        <v>KONYA BÜYÜKŞEHİR</v>
      </c>
      <c r="C1956" t="s">
        <v>118</v>
      </c>
      <c r="D1956" s="73" t="str">
        <f t="shared" si="47"/>
        <v>KONYA BÜYÜKŞEHİR/KONYA</v>
      </c>
      <c r="E1956" t="s">
        <v>4050</v>
      </c>
      <c r="F1956" t="s">
        <v>4050</v>
      </c>
      <c r="G1956" t="s">
        <v>3367</v>
      </c>
      <c r="H1956">
        <v>3611.3</v>
      </c>
      <c r="I1956">
        <v>361.13</v>
      </c>
      <c r="J1956">
        <v>0</v>
      </c>
      <c r="K1956">
        <v>0</v>
      </c>
      <c r="L1956">
        <v>3611.3</v>
      </c>
      <c r="M1956">
        <v>361.13</v>
      </c>
      <c r="O1956" s="79">
        <f>IFERROR(VLOOKUP(D1956,'KAPANAN BLD.'!$C$2:$D$793,2,FALSE),0)</f>
        <v>0</v>
      </c>
      <c r="P1956" s="79">
        <v>0</v>
      </c>
    </row>
    <row r="1957" spans="1:16" x14ac:dyDescent="0.25">
      <c r="A1957" t="s">
        <v>32</v>
      </c>
      <c r="B1957" s="73" t="str">
        <f>VLOOKUP(C1957,'Büyükşehir List'!$C$2:$D$31,2,FALSE)</f>
        <v>KONYA BÜYÜKŞEHİR</v>
      </c>
      <c r="C1957" t="s">
        <v>118</v>
      </c>
      <c r="D1957" s="73" t="str">
        <f t="shared" si="47"/>
        <v>KONYA BÜYÜKŞEHİR/KONYA</v>
      </c>
      <c r="E1957" t="s">
        <v>4050</v>
      </c>
      <c r="F1957" t="s">
        <v>4050</v>
      </c>
      <c r="G1957" t="s">
        <v>3366</v>
      </c>
      <c r="H1957">
        <v>508.2</v>
      </c>
      <c r="I1957">
        <v>50.82</v>
      </c>
      <c r="J1957">
        <v>0</v>
      </c>
      <c r="K1957">
        <v>0</v>
      </c>
      <c r="L1957">
        <v>508.2</v>
      </c>
      <c r="M1957">
        <v>50.82</v>
      </c>
      <c r="O1957" s="79">
        <f>IFERROR(VLOOKUP(D1957,'KAPANAN BLD.'!$C$2:$D$793,2,FALSE),0)</f>
        <v>0</v>
      </c>
      <c r="P1957" s="79">
        <v>0</v>
      </c>
    </row>
    <row r="1958" spans="1:16" x14ac:dyDescent="0.25">
      <c r="A1958" t="s">
        <v>32</v>
      </c>
      <c r="B1958" s="73" t="str">
        <f>VLOOKUP(C1958,'Büyükşehir List'!$C$2:$D$31,2,FALSE)</f>
        <v>KONYA BÜYÜKŞEHİR</v>
      </c>
      <c r="C1958" t="s">
        <v>118</v>
      </c>
      <c r="D1958" s="73" t="str">
        <f t="shared" si="47"/>
        <v>KONYA BÜYÜKŞEHİR/KONYA</v>
      </c>
      <c r="E1958" t="s">
        <v>4353</v>
      </c>
      <c r="F1958" t="s">
        <v>4353</v>
      </c>
      <c r="G1958" t="s">
        <v>3367</v>
      </c>
      <c r="H1958">
        <v>305.8</v>
      </c>
      <c r="I1958">
        <v>30.58</v>
      </c>
      <c r="J1958">
        <v>378.6</v>
      </c>
      <c r="K1958">
        <v>37.86</v>
      </c>
      <c r="L1958">
        <v>-72.8</v>
      </c>
      <c r="M1958">
        <v>-7.28</v>
      </c>
      <c r="O1958" s="79">
        <f>IFERROR(VLOOKUP(D1958,'KAPANAN BLD.'!$C$2:$D$793,2,FALSE),0)</f>
        <v>0</v>
      </c>
      <c r="P1958" s="79">
        <v>0</v>
      </c>
    </row>
    <row r="1959" spans="1:16" x14ac:dyDescent="0.25">
      <c r="A1959" t="s">
        <v>32</v>
      </c>
      <c r="B1959" s="73" t="str">
        <f>VLOOKUP(C1959,'Büyükşehir List'!$C$2:$D$31,2,FALSE)</f>
        <v>KONYA BÜYÜKŞEHİR</v>
      </c>
      <c r="C1959" t="s">
        <v>118</v>
      </c>
      <c r="D1959" s="73" t="str">
        <f t="shared" si="47"/>
        <v>KONYA BÜYÜKŞEHİR/KONYA</v>
      </c>
      <c r="E1959" t="s">
        <v>4353</v>
      </c>
      <c r="F1959" t="s">
        <v>4353</v>
      </c>
      <c r="G1959" t="s">
        <v>3366</v>
      </c>
      <c r="H1959">
        <v>278.89999999999998</v>
      </c>
      <c r="I1959">
        <v>27.89</v>
      </c>
      <c r="J1959">
        <v>374</v>
      </c>
      <c r="K1959">
        <v>37.4</v>
      </c>
      <c r="L1959">
        <v>-95.1</v>
      </c>
      <c r="M1959">
        <v>-9.51</v>
      </c>
      <c r="O1959" s="79">
        <f>IFERROR(VLOOKUP(D1959,'KAPANAN BLD.'!$C$2:$D$793,2,FALSE),0)</f>
        <v>0</v>
      </c>
      <c r="P1959" s="79">
        <v>0</v>
      </c>
    </row>
    <row r="1960" spans="1:16" x14ac:dyDescent="0.25">
      <c r="A1960" t="s">
        <v>32</v>
      </c>
      <c r="B1960" s="73" t="str">
        <f>VLOOKUP(C1960,'Büyükşehir List'!$C$2:$D$31,2,FALSE)</f>
        <v>KONYA BÜYÜKŞEHİR</v>
      </c>
      <c r="C1960" t="s">
        <v>118</v>
      </c>
      <c r="D1960" s="73" t="str">
        <f t="shared" si="47"/>
        <v>KONYA BÜYÜKŞEHİR/KONYA</v>
      </c>
      <c r="E1960" t="s">
        <v>1879</v>
      </c>
      <c r="F1960" t="s">
        <v>1879</v>
      </c>
      <c r="G1960" t="s">
        <v>3367</v>
      </c>
      <c r="H1960">
        <v>3293.5</v>
      </c>
      <c r="I1960">
        <v>329.35</v>
      </c>
      <c r="J1960">
        <v>7</v>
      </c>
      <c r="K1960">
        <v>0.7</v>
      </c>
      <c r="L1960">
        <v>3286.5</v>
      </c>
      <c r="M1960">
        <v>328.65</v>
      </c>
      <c r="O1960" s="79">
        <f>IFERROR(VLOOKUP(D1960,'KAPANAN BLD.'!$C$2:$D$793,2,FALSE),0)</f>
        <v>0</v>
      </c>
      <c r="P1960" s="79">
        <v>0</v>
      </c>
    </row>
    <row r="1961" spans="1:16" x14ac:dyDescent="0.25">
      <c r="A1961" t="s">
        <v>32</v>
      </c>
      <c r="B1961" s="73" t="str">
        <f>VLOOKUP(C1961,'Büyükşehir List'!$C$2:$D$31,2,FALSE)</f>
        <v>KONYA BÜYÜKŞEHİR</v>
      </c>
      <c r="C1961" t="s">
        <v>118</v>
      </c>
      <c r="D1961" s="73" t="str">
        <f t="shared" si="47"/>
        <v>KONYA BÜYÜKŞEHİR/KONYA</v>
      </c>
      <c r="E1961" t="s">
        <v>1879</v>
      </c>
      <c r="F1961" t="s">
        <v>1879</v>
      </c>
      <c r="G1961" t="s">
        <v>3366</v>
      </c>
      <c r="H1961">
        <v>123986</v>
      </c>
      <c r="I1961">
        <v>12398.6</v>
      </c>
      <c r="J1961">
        <v>1218.9000000000001</v>
      </c>
      <c r="K1961">
        <v>121.89</v>
      </c>
      <c r="L1961">
        <v>122767.1</v>
      </c>
      <c r="M1961">
        <v>12276.71</v>
      </c>
      <c r="O1961" s="79">
        <f>IFERROR(VLOOKUP(D1961,'KAPANAN BLD.'!$C$2:$D$793,2,FALSE),0)</f>
        <v>0</v>
      </c>
      <c r="P1961" s="79">
        <v>0</v>
      </c>
    </row>
    <row r="1962" spans="1:16" x14ac:dyDescent="0.25">
      <c r="A1962" t="s">
        <v>32</v>
      </c>
      <c r="B1962" s="73" t="str">
        <f>VLOOKUP(C1962,'Büyükşehir List'!$C$2:$D$31,2,FALSE)</f>
        <v>KONYA BÜYÜKŞEHİR</v>
      </c>
      <c r="C1962" t="s">
        <v>118</v>
      </c>
      <c r="D1962" s="73" t="str">
        <f t="shared" si="47"/>
        <v>KONYA BÜYÜKŞEHİR/KONYA</v>
      </c>
      <c r="E1962" t="s">
        <v>448</v>
      </c>
      <c r="F1962" t="s">
        <v>448</v>
      </c>
      <c r="G1962" t="s">
        <v>3367</v>
      </c>
      <c r="H1962">
        <v>45</v>
      </c>
      <c r="I1962">
        <v>4.5</v>
      </c>
      <c r="J1962">
        <v>0</v>
      </c>
      <c r="K1962">
        <v>0</v>
      </c>
      <c r="L1962">
        <v>45</v>
      </c>
      <c r="M1962">
        <v>4.5</v>
      </c>
      <c r="O1962" s="79">
        <f>IFERROR(VLOOKUP(D1962,'KAPANAN BLD.'!$C$2:$D$793,2,FALSE),0)</f>
        <v>0</v>
      </c>
      <c r="P1962" s="79">
        <v>0</v>
      </c>
    </row>
    <row r="1963" spans="1:16" x14ac:dyDescent="0.25">
      <c r="A1963" t="s">
        <v>32</v>
      </c>
      <c r="B1963" s="73" t="str">
        <f>VLOOKUP(C1963,'Büyükşehir List'!$C$2:$D$31,2,FALSE)</f>
        <v>KONYA BÜYÜKŞEHİR</v>
      </c>
      <c r="C1963" t="s">
        <v>118</v>
      </c>
      <c r="D1963" s="73" t="str">
        <f t="shared" si="47"/>
        <v>KONYA BÜYÜKŞEHİR/KONYA</v>
      </c>
      <c r="E1963" t="s">
        <v>448</v>
      </c>
      <c r="F1963" t="s">
        <v>448</v>
      </c>
      <c r="G1963" t="s">
        <v>3366</v>
      </c>
      <c r="H1963">
        <v>402.8</v>
      </c>
      <c r="I1963">
        <v>40.28</v>
      </c>
      <c r="J1963">
        <v>0</v>
      </c>
      <c r="K1963">
        <v>0</v>
      </c>
      <c r="L1963">
        <v>402.8</v>
      </c>
      <c r="M1963">
        <v>40.28</v>
      </c>
      <c r="O1963" s="79">
        <f>IFERROR(VLOOKUP(D1963,'KAPANAN BLD.'!$C$2:$D$793,2,FALSE),0)</f>
        <v>0</v>
      </c>
      <c r="P1963" s="79">
        <v>0</v>
      </c>
    </row>
    <row r="1964" spans="1:16" x14ac:dyDescent="0.25">
      <c r="A1964" t="s">
        <v>32</v>
      </c>
      <c r="B1964" s="73" t="str">
        <f>VLOOKUP(C1964,'Büyükşehir List'!$C$2:$D$31,2,FALSE)</f>
        <v>KONYA BÜYÜKŞEHİR</v>
      </c>
      <c r="C1964" t="s">
        <v>118</v>
      </c>
      <c r="D1964" s="73" t="str">
        <f t="shared" si="47"/>
        <v>KONYA BÜYÜKŞEHİR/KONYA</v>
      </c>
      <c r="E1964" t="s">
        <v>4010</v>
      </c>
      <c r="F1964" t="s">
        <v>4010</v>
      </c>
      <c r="G1964" t="s">
        <v>3367</v>
      </c>
      <c r="H1964">
        <v>134.4</v>
      </c>
      <c r="I1964">
        <v>13.44</v>
      </c>
      <c r="J1964">
        <v>5.4</v>
      </c>
      <c r="K1964">
        <v>0.54</v>
      </c>
      <c r="L1964">
        <v>129</v>
      </c>
      <c r="M1964">
        <v>12.9</v>
      </c>
      <c r="O1964" s="79">
        <f>IFERROR(VLOOKUP(D1964,'KAPANAN BLD.'!$C$2:$D$793,2,FALSE),0)</f>
        <v>0</v>
      </c>
      <c r="P1964" s="79">
        <v>0</v>
      </c>
    </row>
    <row r="1965" spans="1:16" x14ac:dyDescent="0.25">
      <c r="A1965" t="s">
        <v>32</v>
      </c>
      <c r="B1965" s="73" t="str">
        <f>VLOOKUP(C1965,'Büyükşehir List'!$C$2:$D$31,2,FALSE)</f>
        <v>KONYA BÜYÜKŞEHİR</v>
      </c>
      <c r="C1965" t="s">
        <v>118</v>
      </c>
      <c r="D1965" s="73" t="str">
        <f t="shared" si="47"/>
        <v>KONYA BÜYÜKŞEHİR/KONYA</v>
      </c>
      <c r="E1965" t="s">
        <v>4010</v>
      </c>
      <c r="F1965" t="s">
        <v>4010</v>
      </c>
      <c r="G1965" t="s">
        <v>3366</v>
      </c>
      <c r="H1965">
        <v>134.19999999999999</v>
      </c>
      <c r="I1965">
        <v>13.42</v>
      </c>
      <c r="J1965">
        <v>103.3</v>
      </c>
      <c r="K1965">
        <v>10.33</v>
      </c>
      <c r="L1965">
        <v>30.9</v>
      </c>
      <c r="M1965">
        <v>3.09</v>
      </c>
      <c r="O1965" s="79">
        <f>IFERROR(VLOOKUP(D1965,'KAPANAN BLD.'!$C$2:$D$793,2,FALSE),0)</f>
        <v>0</v>
      </c>
      <c r="P1965" s="79">
        <v>0</v>
      </c>
    </row>
    <row r="1966" spans="1:16" x14ac:dyDescent="0.25">
      <c r="A1966" t="s">
        <v>32</v>
      </c>
      <c r="B1966" s="73" t="str">
        <f>VLOOKUP(C1966,'Büyükşehir List'!$C$2:$D$31,2,FALSE)</f>
        <v>KONYA BÜYÜKŞEHİR</v>
      </c>
      <c r="C1966" t="s">
        <v>118</v>
      </c>
      <c r="D1966" s="73" t="str">
        <f t="shared" si="47"/>
        <v>KONYA BÜYÜKŞEHİR/KONYA</v>
      </c>
      <c r="E1966" t="s">
        <v>349</v>
      </c>
      <c r="F1966" t="s">
        <v>349</v>
      </c>
      <c r="G1966" t="s">
        <v>3367</v>
      </c>
      <c r="H1966">
        <v>52.8</v>
      </c>
      <c r="I1966">
        <v>5.28</v>
      </c>
      <c r="J1966">
        <v>0</v>
      </c>
      <c r="K1966">
        <v>0</v>
      </c>
      <c r="L1966">
        <v>52.8</v>
      </c>
      <c r="M1966">
        <v>5.28</v>
      </c>
      <c r="O1966" s="79">
        <f>IFERROR(VLOOKUP(D1966,'KAPANAN BLD.'!$C$2:$D$793,2,FALSE),0)</f>
        <v>0</v>
      </c>
      <c r="P1966" s="79">
        <v>0</v>
      </c>
    </row>
    <row r="1967" spans="1:16" x14ac:dyDescent="0.25">
      <c r="A1967" t="s">
        <v>32</v>
      </c>
      <c r="B1967" s="73" t="str">
        <f>VLOOKUP(C1967,'Büyükşehir List'!$C$2:$D$31,2,FALSE)</f>
        <v>KONYA BÜYÜKŞEHİR</v>
      </c>
      <c r="C1967" t="s">
        <v>118</v>
      </c>
      <c r="D1967" s="73" t="str">
        <f t="shared" si="47"/>
        <v>KONYA BÜYÜKŞEHİR/KONYA</v>
      </c>
      <c r="E1967" t="s">
        <v>349</v>
      </c>
      <c r="F1967" t="s">
        <v>349</v>
      </c>
      <c r="G1967" t="s">
        <v>3366</v>
      </c>
      <c r="H1967">
        <v>131.80000000000001</v>
      </c>
      <c r="I1967">
        <v>13.18</v>
      </c>
      <c r="J1967">
        <v>0</v>
      </c>
      <c r="K1967">
        <v>0</v>
      </c>
      <c r="L1967">
        <v>131.80000000000001</v>
      </c>
      <c r="M1967">
        <v>13.18</v>
      </c>
      <c r="O1967" s="79">
        <f>IFERROR(VLOOKUP(D1967,'KAPANAN BLD.'!$C$2:$D$793,2,FALSE),0)</f>
        <v>0</v>
      </c>
      <c r="P1967" s="79">
        <v>0</v>
      </c>
    </row>
    <row r="1968" spans="1:16" x14ac:dyDescent="0.25">
      <c r="A1968" t="s">
        <v>32</v>
      </c>
      <c r="B1968" s="73" t="str">
        <f>VLOOKUP(C1968,'Büyükşehir List'!$C$2:$D$31,2,FALSE)</f>
        <v>KONYA BÜYÜKŞEHİR</v>
      </c>
      <c r="C1968" t="s">
        <v>118</v>
      </c>
      <c r="D1968" s="73" t="str">
        <f t="shared" si="47"/>
        <v>KONYA BÜYÜKŞEHİR/KONYA</v>
      </c>
      <c r="E1968" t="s">
        <v>549</v>
      </c>
      <c r="F1968" t="s">
        <v>549</v>
      </c>
      <c r="G1968" t="s">
        <v>3367</v>
      </c>
      <c r="H1968">
        <v>5.4</v>
      </c>
      <c r="I1968">
        <v>0.54</v>
      </c>
      <c r="J1968">
        <v>0</v>
      </c>
      <c r="K1968">
        <v>0</v>
      </c>
      <c r="L1968">
        <v>5.4</v>
      </c>
      <c r="M1968">
        <v>0.54</v>
      </c>
      <c r="O1968" s="79">
        <f>IFERROR(VLOOKUP(D1968,'KAPANAN BLD.'!$C$2:$D$793,2,FALSE),0)</f>
        <v>0</v>
      </c>
      <c r="P1968" s="79">
        <v>0</v>
      </c>
    </row>
    <row r="1969" spans="1:16" x14ac:dyDescent="0.25">
      <c r="A1969" t="s">
        <v>32</v>
      </c>
      <c r="B1969" s="73" t="str">
        <f>VLOOKUP(C1969,'Büyükşehir List'!$C$2:$D$31,2,FALSE)</f>
        <v>KONYA BÜYÜKŞEHİR</v>
      </c>
      <c r="C1969" t="s">
        <v>118</v>
      </c>
      <c r="D1969" s="73" t="str">
        <f t="shared" si="47"/>
        <v>KONYA BÜYÜKŞEHİR/KONYA</v>
      </c>
      <c r="E1969" t="s">
        <v>549</v>
      </c>
      <c r="F1969" t="s">
        <v>549</v>
      </c>
      <c r="G1969" t="s">
        <v>3366</v>
      </c>
      <c r="H1969">
        <v>103.3</v>
      </c>
      <c r="I1969">
        <v>10.33</v>
      </c>
      <c r="J1969">
        <v>0</v>
      </c>
      <c r="K1969">
        <v>0</v>
      </c>
      <c r="L1969">
        <v>103.3</v>
      </c>
      <c r="M1969">
        <v>10.33</v>
      </c>
      <c r="O1969" s="79">
        <f>IFERROR(VLOOKUP(D1969,'KAPANAN BLD.'!$C$2:$D$793,2,FALSE),0)</f>
        <v>0</v>
      </c>
      <c r="P1969" s="79">
        <v>0</v>
      </c>
    </row>
    <row r="1970" spans="1:16" x14ac:dyDescent="0.25">
      <c r="A1970" t="s">
        <v>32</v>
      </c>
      <c r="B1970" s="73" t="str">
        <f>VLOOKUP(C1970,'Büyükşehir List'!$C$2:$D$31,2,FALSE)</f>
        <v>KONYA BÜYÜKŞEHİR</v>
      </c>
      <c r="C1970" t="s">
        <v>118</v>
      </c>
      <c r="D1970" s="73" t="str">
        <f t="shared" si="47"/>
        <v>KONYA BÜYÜKŞEHİR/KONYA</v>
      </c>
      <c r="E1970" t="s">
        <v>3787</v>
      </c>
      <c r="F1970" t="s">
        <v>3787</v>
      </c>
      <c r="G1970" t="s">
        <v>3366</v>
      </c>
      <c r="H1970">
        <v>5316.1</v>
      </c>
      <c r="I1970">
        <v>531.61</v>
      </c>
      <c r="J1970">
        <v>0</v>
      </c>
      <c r="K1970">
        <v>0</v>
      </c>
      <c r="L1970">
        <v>5316.1</v>
      </c>
      <c r="M1970">
        <v>531.61</v>
      </c>
      <c r="O1970" s="79">
        <f>IFERROR(VLOOKUP(D1970,'KAPANAN BLD.'!$C$2:$D$793,2,FALSE),0)</f>
        <v>0</v>
      </c>
      <c r="P1970" s="79">
        <v>0</v>
      </c>
    </row>
    <row r="1971" spans="1:16" x14ac:dyDescent="0.25">
      <c r="A1971" t="s">
        <v>32</v>
      </c>
      <c r="B1971" s="73" t="str">
        <f>VLOOKUP(C1971,'Büyükşehir List'!$C$2:$D$31,2,FALSE)</f>
        <v>KONYA BÜYÜKŞEHİR</v>
      </c>
      <c r="C1971" t="s">
        <v>118</v>
      </c>
      <c r="D1971" s="73" t="str">
        <f t="shared" si="47"/>
        <v>KONYA BÜYÜKŞEHİR/KONYA</v>
      </c>
      <c r="E1971" t="s">
        <v>3787</v>
      </c>
      <c r="F1971" t="s">
        <v>3787</v>
      </c>
      <c r="G1971" t="s">
        <v>3367</v>
      </c>
      <c r="H1971">
        <v>10344.6</v>
      </c>
      <c r="I1971">
        <v>1034.46</v>
      </c>
      <c r="J1971">
        <v>0</v>
      </c>
      <c r="K1971">
        <v>0</v>
      </c>
      <c r="L1971">
        <v>10344.6</v>
      </c>
      <c r="M1971">
        <v>1034.46</v>
      </c>
      <c r="O1971" s="79">
        <f>IFERROR(VLOOKUP(D1971,'KAPANAN BLD.'!$C$2:$D$793,2,FALSE),0)</f>
        <v>0</v>
      </c>
      <c r="P1971" s="79">
        <v>0</v>
      </c>
    </row>
    <row r="1972" spans="1:16" x14ac:dyDescent="0.25">
      <c r="A1972" t="s">
        <v>32</v>
      </c>
      <c r="B1972" s="73" t="str">
        <f>VLOOKUP(C1972,'Büyükşehir List'!$C$2:$D$31,2,FALSE)</f>
        <v>KONYA BÜYÜKŞEHİR</v>
      </c>
      <c r="C1972" t="s">
        <v>118</v>
      </c>
      <c r="D1972" s="73" t="str">
        <f t="shared" si="47"/>
        <v>KONYA BÜYÜKŞEHİR/KONYA</v>
      </c>
      <c r="E1972" t="s">
        <v>4229</v>
      </c>
      <c r="F1972" t="s">
        <v>4229</v>
      </c>
      <c r="G1972" t="s">
        <v>3367</v>
      </c>
      <c r="H1972">
        <v>11.1</v>
      </c>
      <c r="I1972">
        <v>1.1100000000000001</v>
      </c>
      <c r="J1972">
        <v>0</v>
      </c>
      <c r="K1972">
        <v>0</v>
      </c>
      <c r="L1972">
        <v>11.1</v>
      </c>
      <c r="M1972">
        <v>1.1100000000000001</v>
      </c>
      <c r="O1972" s="79">
        <f>IFERROR(VLOOKUP(D1972,'KAPANAN BLD.'!$C$2:$D$793,2,FALSE),0)</f>
        <v>0</v>
      </c>
      <c r="P1972" s="79">
        <v>0</v>
      </c>
    </row>
    <row r="1973" spans="1:16" x14ac:dyDescent="0.25">
      <c r="A1973" t="s">
        <v>32</v>
      </c>
      <c r="B1973" s="73" t="str">
        <f>VLOOKUP(C1973,'Büyükşehir List'!$C$2:$D$31,2,FALSE)</f>
        <v>KONYA BÜYÜKŞEHİR</v>
      </c>
      <c r="C1973" t="s">
        <v>118</v>
      </c>
      <c r="D1973" s="73" t="str">
        <f t="shared" si="47"/>
        <v>KONYA BÜYÜKŞEHİR/KONYA</v>
      </c>
      <c r="E1973" t="s">
        <v>4229</v>
      </c>
      <c r="F1973" t="s">
        <v>4229</v>
      </c>
      <c r="G1973" t="s">
        <v>3366</v>
      </c>
      <c r="H1973">
        <v>106.4</v>
      </c>
      <c r="I1973">
        <v>10.64</v>
      </c>
      <c r="J1973">
        <v>0</v>
      </c>
      <c r="K1973">
        <v>0</v>
      </c>
      <c r="L1973">
        <v>106.4</v>
      </c>
      <c r="M1973">
        <v>10.64</v>
      </c>
      <c r="O1973" s="79">
        <f>IFERROR(VLOOKUP(D1973,'KAPANAN BLD.'!$C$2:$D$793,2,FALSE),0)</f>
        <v>0</v>
      </c>
      <c r="P1973" s="79">
        <v>0</v>
      </c>
    </row>
    <row r="1974" spans="1:16" x14ac:dyDescent="0.25">
      <c r="A1974" t="s">
        <v>32</v>
      </c>
      <c r="B1974" s="73" t="str">
        <f>VLOOKUP(C1974,'Büyükşehir List'!$C$2:$D$31,2,FALSE)</f>
        <v>KONYA BÜYÜKŞEHİR</v>
      </c>
      <c r="C1974" t="s">
        <v>118</v>
      </c>
      <c r="D1974" s="73" t="str">
        <f t="shared" si="47"/>
        <v>KONYA BÜYÜKŞEHİR/KONYA</v>
      </c>
      <c r="E1974" t="s">
        <v>4515</v>
      </c>
      <c r="F1974" t="s">
        <v>4515</v>
      </c>
      <c r="G1974" t="s">
        <v>3366</v>
      </c>
      <c r="H1974">
        <v>20.2</v>
      </c>
      <c r="I1974">
        <v>2.02</v>
      </c>
      <c r="J1974">
        <v>0</v>
      </c>
      <c r="K1974">
        <v>0</v>
      </c>
      <c r="L1974">
        <v>20.2</v>
      </c>
      <c r="M1974">
        <v>2.02</v>
      </c>
      <c r="O1974" s="79">
        <f>IFERROR(VLOOKUP(D1974,'KAPANAN BLD.'!$C$2:$D$793,2,FALSE),0)</f>
        <v>0</v>
      </c>
      <c r="P1974" s="79">
        <v>0</v>
      </c>
    </row>
    <row r="1975" spans="1:16" x14ac:dyDescent="0.25">
      <c r="A1975" t="s">
        <v>32</v>
      </c>
      <c r="B1975" s="73" t="str">
        <f>VLOOKUP(C1975,'Büyükşehir List'!$C$2:$D$31,2,FALSE)</f>
        <v>KONYA BÜYÜKŞEHİR</v>
      </c>
      <c r="C1975" t="s">
        <v>118</v>
      </c>
      <c r="D1975" s="73" t="str">
        <f t="shared" si="47"/>
        <v>KONYA BÜYÜKŞEHİR/KONYA</v>
      </c>
      <c r="E1975" t="s">
        <v>4515</v>
      </c>
      <c r="F1975" t="s">
        <v>4515</v>
      </c>
      <c r="G1975" t="s">
        <v>3367</v>
      </c>
      <c r="H1975">
        <v>402.1</v>
      </c>
      <c r="I1975">
        <v>40.21</v>
      </c>
      <c r="J1975">
        <v>0</v>
      </c>
      <c r="K1975">
        <v>0</v>
      </c>
      <c r="L1975">
        <v>402.1</v>
      </c>
      <c r="M1975">
        <v>40.21</v>
      </c>
      <c r="O1975" s="79">
        <f>IFERROR(VLOOKUP(D1975,'KAPANAN BLD.'!$C$2:$D$793,2,FALSE),0)</f>
        <v>0</v>
      </c>
      <c r="P1975" s="79">
        <v>0</v>
      </c>
    </row>
    <row r="1976" spans="1:16" x14ac:dyDescent="0.25">
      <c r="A1976" t="s">
        <v>32</v>
      </c>
      <c r="B1976" s="73" t="str">
        <f>VLOOKUP(C1976,'Büyükşehir List'!$C$2:$D$31,2,FALSE)</f>
        <v>KONYA BÜYÜKŞEHİR</v>
      </c>
      <c r="C1976" t="s">
        <v>118</v>
      </c>
      <c r="D1976" s="73" t="str">
        <f t="shared" si="47"/>
        <v>KONYA BÜYÜKŞEHİR/KONYA</v>
      </c>
      <c r="E1976" t="s">
        <v>2911</v>
      </c>
      <c r="F1976" t="s">
        <v>2911</v>
      </c>
      <c r="G1976" t="s">
        <v>3367</v>
      </c>
      <c r="H1976">
        <v>5162.8</v>
      </c>
      <c r="I1976">
        <v>516.28</v>
      </c>
      <c r="J1976">
        <v>0</v>
      </c>
      <c r="K1976">
        <v>0</v>
      </c>
      <c r="L1976">
        <v>5162.8</v>
      </c>
      <c r="M1976">
        <v>516.28</v>
      </c>
      <c r="O1976" s="79">
        <f>IFERROR(VLOOKUP(D1976,'KAPANAN BLD.'!$C$2:$D$793,2,FALSE),0)</f>
        <v>0</v>
      </c>
      <c r="P1976" s="79">
        <v>0</v>
      </c>
    </row>
    <row r="1977" spans="1:16" x14ac:dyDescent="0.25">
      <c r="A1977" t="s">
        <v>32</v>
      </c>
      <c r="B1977" s="73" t="str">
        <f>VLOOKUP(C1977,'Büyükşehir List'!$C$2:$D$31,2,FALSE)</f>
        <v>KONYA BÜYÜKŞEHİR</v>
      </c>
      <c r="C1977" t="s">
        <v>118</v>
      </c>
      <c r="D1977" s="73" t="str">
        <f t="shared" si="47"/>
        <v>KONYA BÜYÜKŞEHİR/KONYA</v>
      </c>
      <c r="E1977" t="s">
        <v>2911</v>
      </c>
      <c r="F1977" t="s">
        <v>2911</v>
      </c>
      <c r="G1977" t="s">
        <v>3366</v>
      </c>
      <c r="H1977">
        <v>1240.7</v>
      </c>
      <c r="I1977">
        <v>124.07</v>
      </c>
      <c r="J1977">
        <v>0</v>
      </c>
      <c r="K1977">
        <v>0</v>
      </c>
      <c r="L1977">
        <v>1240.7</v>
      </c>
      <c r="M1977">
        <v>124.07</v>
      </c>
      <c r="O1977" s="79">
        <f>IFERROR(VLOOKUP(D1977,'KAPANAN BLD.'!$C$2:$D$793,2,FALSE),0)</f>
        <v>0</v>
      </c>
      <c r="P1977" s="79">
        <v>0</v>
      </c>
    </row>
    <row r="1978" spans="1:16" x14ac:dyDescent="0.25">
      <c r="A1978" t="s">
        <v>32</v>
      </c>
      <c r="B1978" s="73" t="str">
        <f>VLOOKUP(C1978,'Büyükşehir List'!$C$2:$D$31,2,FALSE)</f>
        <v>KONYA BÜYÜKŞEHİR</v>
      </c>
      <c r="C1978" t="s">
        <v>118</v>
      </c>
      <c r="D1978" s="73" t="str">
        <f t="shared" si="47"/>
        <v>KONYA BÜYÜKŞEHİR/KONYA</v>
      </c>
      <c r="E1978" t="s">
        <v>283</v>
      </c>
      <c r="F1978" t="s">
        <v>283</v>
      </c>
      <c r="G1978" t="s">
        <v>3366</v>
      </c>
      <c r="H1978">
        <v>75700.600000000006</v>
      </c>
      <c r="I1978">
        <v>7570.06</v>
      </c>
      <c r="J1978">
        <v>0</v>
      </c>
      <c r="K1978">
        <v>0</v>
      </c>
      <c r="L1978">
        <v>75700.600000000006</v>
      </c>
      <c r="M1978">
        <v>7570.06</v>
      </c>
      <c r="O1978" s="79">
        <f>IFERROR(VLOOKUP(D1978,'KAPANAN BLD.'!$C$2:$D$793,2,FALSE),0)</f>
        <v>0</v>
      </c>
      <c r="P1978" s="79">
        <v>0</v>
      </c>
    </row>
    <row r="1979" spans="1:16" x14ac:dyDescent="0.25">
      <c r="A1979" t="s">
        <v>32</v>
      </c>
      <c r="B1979" s="73" t="str">
        <f>VLOOKUP(C1979,'Büyükşehir List'!$C$2:$D$31,2,FALSE)</f>
        <v>KONYA BÜYÜKŞEHİR</v>
      </c>
      <c r="C1979" t="s">
        <v>118</v>
      </c>
      <c r="D1979" s="73" t="str">
        <f t="shared" si="47"/>
        <v>KONYA BÜYÜKŞEHİR/KONYA</v>
      </c>
      <c r="E1979" t="s">
        <v>283</v>
      </c>
      <c r="F1979" t="s">
        <v>283</v>
      </c>
      <c r="G1979" t="s">
        <v>3367</v>
      </c>
      <c r="H1979">
        <v>53813.2</v>
      </c>
      <c r="I1979">
        <v>5381.32</v>
      </c>
      <c r="J1979">
        <v>0</v>
      </c>
      <c r="K1979">
        <v>0</v>
      </c>
      <c r="L1979">
        <v>53813.2</v>
      </c>
      <c r="M1979">
        <v>5381.32</v>
      </c>
      <c r="O1979" s="79">
        <f>IFERROR(VLOOKUP(D1979,'KAPANAN BLD.'!$C$2:$D$793,2,FALSE),0)</f>
        <v>0</v>
      </c>
      <c r="P1979" s="79">
        <v>0</v>
      </c>
    </row>
    <row r="1980" spans="1:16" x14ac:dyDescent="0.25">
      <c r="A1980" t="s">
        <v>32</v>
      </c>
      <c r="B1980" s="73" t="str">
        <f>VLOOKUP(C1980,'Büyükşehir List'!$C$2:$D$31,2,FALSE)</f>
        <v>KONYA BÜYÜKŞEHİR</v>
      </c>
      <c r="C1980" t="s">
        <v>118</v>
      </c>
      <c r="D1980" s="73" t="str">
        <f t="shared" si="47"/>
        <v>KONYA BÜYÜKŞEHİR/KONYA</v>
      </c>
      <c r="E1980" t="s">
        <v>3788</v>
      </c>
      <c r="F1980" t="s">
        <v>3788</v>
      </c>
      <c r="G1980" t="s">
        <v>3367</v>
      </c>
      <c r="H1980">
        <v>2610.6999999999998</v>
      </c>
      <c r="I1980">
        <v>261.07</v>
      </c>
      <c r="J1980">
        <v>0</v>
      </c>
      <c r="K1980">
        <v>0</v>
      </c>
      <c r="L1980">
        <v>2610.6999999999998</v>
      </c>
      <c r="M1980">
        <v>261.07</v>
      </c>
      <c r="O1980" s="79">
        <f>IFERROR(VLOOKUP(D1980,'KAPANAN BLD.'!$C$2:$D$793,2,FALSE),0)</f>
        <v>0</v>
      </c>
      <c r="P1980" s="79">
        <v>0</v>
      </c>
    </row>
    <row r="1981" spans="1:16" x14ac:dyDescent="0.25">
      <c r="A1981" t="s">
        <v>32</v>
      </c>
      <c r="B1981" s="73" t="str">
        <f>VLOOKUP(C1981,'Büyükşehir List'!$C$2:$D$31,2,FALSE)</f>
        <v>KONYA BÜYÜKŞEHİR</v>
      </c>
      <c r="C1981" t="s">
        <v>118</v>
      </c>
      <c r="D1981" s="73" t="str">
        <f t="shared" si="47"/>
        <v>KONYA BÜYÜKŞEHİR/KONYA</v>
      </c>
      <c r="E1981" t="s">
        <v>3789</v>
      </c>
      <c r="F1981" t="s">
        <v>3789</v>
      </c>
      <c r="G1981" t="s">
        <v>3366</v>
      </c>
      <c r="H1981">
        <v>3511.4</v>
      </c>
      <c r="I1981">
        <v>351.14</v>
      </c>
      <c r="J1981">
        <v>402.8</v>
      </c>
      <c r="K1981">
        <v>40.28</v>
      </c>
      <c r="L1981">
        <v>3108.6</v>
      </c>
      <c r="M1981">
        <v>310.86</v>
      </c>
      <c r="O1981" s="79">
        <f>IFERROR(VLOOKUP(D1981,'KAPANAN BLD.'!$C$2:$D$793,2,FALSE),0)</f>
        <v>0</v>
      </c>
      <c r="P1981" s="79">
        <v>0</v>
      </c>
    </row>
    <row r="1982" spans="1:16" x14ac:dyDescent="0.25">
      <c r="A1982" t="s">
        <v>32</v>
      </c>
      <c r="B1982" s="73" t="str">
        <f>VLOOKUP(C1982,'Büyükşehir List'!$C$2:$D$31,2,FALSE)</f>
        <v>KONYA BÜYÜKŞEHİR</v>
      </c>
      <c r="C1982" t="s">
        <v>118</v>
      </c>
      <c r="D1982" s="73" t="str">
        <f t="shared" si="47"/>
        <v>KONYA BÜYÜKŞEHİR/KONYA</v>
      </c>
      <c r="E1982" t="s">
        <v>3789</v>
      </c>
      <c r="F1982" t="s">
        <v>3789</v>
      </c>
      <c r="G1982" t="s">
        <v>3367</v>
      </c>
      <c r="H1982">
        <v>4313</v>
      </c>
      <c r="I1982">
        <v>431.3</v>
      </c>
      <c r="J1982">
        <v>45</v>
      </c>
      <c r="K1982">
        <v>4.5</v>
      </c>
      <c r="L1982">
        <v>4268</v>
      </c>
      <c r="M1982">
        <v>426.8</v>
      </c>
      <c r="O1982" s="79">
        <f>IFERROR(VLOOKUP(D1982,'KAPANAN BLD.'!$C$2:$D$793,2,FALSE),0)</f>
        <v>0</v>
      </c>
      <c r="P1982" s="79">
        <v>0</v>
      </c>
    </row>
    <row r="1983" spans="1:16" x14ac:dyDescent="0.25">
      <c r="A1983" t="s">
        <v>32</v>
      </c>
      <c r="B1983" s="73" t="str">
        <f>VLOOKUP(C1983,'Büyükşehir List'!$C$2:$D$31,2,FALSE)</f>
        <v>KONYA BÜYÜKŞEHİR</v>
      </c>
      <c r="C1983" t="s">
        <v>118</v>
      </c>
      <c r="D1983" s="73" t="str">
        <f t="shared" si="47"/>
        <v>KONYA BÜYÜKŞEHİR/KONYA</v>
      </c>
      <c r="E1983" t="s">
        <v>1879</v>
      </c>
      <c r="F1983" t="s">
        <v>1879</v>
      </c>
      <c r="G1983" t="s">
        <v>3366</v>
      </c>
      <c r="H1983">
        <v>59755.95</v>
      </c>
      <c r="I1983">
        <v>5975.6</v>
      </c>
      <c r="J1983">
        <v>1803.7</v>
      </c>
      <c r="K1983">
        <v>180.37</v>
      </c>
      <c r="L1983">
        <v>57952.25</v>
      </c>
      <c r="M1983">
        <v>5795.23</v>
      </c>
      <c r="O1983" s="79">
        <f>IFERROR(VLOOKUP(D1983,'KAPANAN BLD.'!$C$2:$D$793,2,FALSE),0)</f>
        <v>0</v>
      </c>
      <c r="P1983" s="79">
        <v>0</v>
      </c>
    </row>
    <row r="1984" spans="1:16" x14ac:dyDescent="0.25">
      <c r="A1984" t="s">
        <v>32</v>
      </c>
      <c r="B1984" s="73" t="str">
        <f>VLOOKUP(C1984,'Büyükşehir List'!$C$2:$D$31,2,FALSE)</f>
        <v>KONYA BÜYÜKŞEHİR</v>
      </c>
      <c r="C1984" t="s">
        <v>118</v>
      </c>
      <c r="D1984" s="73" t="str">
        <f t="shared" si="47"/>
        <v>KONYA BÜYÜKŞEHİR/KONYA</v>
      </c>
      <c r="E1984" t="s">
        <v>1879</v>
      </c>
      <c r="F1984" t="s">
        <v>1879</v>
      </c>
      <c r="G1984" t="s">
        <v>3367</v>
      </c>
      <c r="H1984">
        <v>102249.1</v>
      </c>
      <c r="I1984">
        <v>10224.91</v>
      </c>
      <c r="J1984">
        <v>53.5</v>
      </c>
      <c r="K1984">
        <v>5.35</v>
      </c>
      <c r="L1984">
        <v>102195.6</v>
      </c>
      <c r="M1984">
        <v>10219.56</v>
      </c>
      <c r="O1984" s="79">
        <f>IFERROR(VLOOKUP(D1984,'KAPANAN BLD.'!$C$2:$D$793,2,FALSE),0)</f>
        <v>0</v>
      </c>
      <c r="P1984" s="79">
        <v>0</v>
      </c>
    </row>
    <row r="1985" spans="1:16" x14ac:dyDescent="0.25">
      <c r="A1985" t="s">
        <v>32</v>
      </c>
      <c r="B1985" s="73" t="str">
        <f>VLOOKUP(C1985,'Büyükşehir List'!$C$2:$D$31,2,FALSE)</f>
        <v>KONYA BÜYÜKŞEHİR</v>
      </c>
      <c r="C1985" t="s">
        <v>118</v>
      </c>
      <c r="D1985" s="73" t="str">
        <f t="shared" si="47"/>
        <v>KONYA BÜYÜKŞEHİR/KONYA</v>
      </c>
      <c r="E1985" t="s">
        <v>373</v>
      </c>
      <c r="F1985" t="s">
        <v>373</v>
      </c>
      <c r="G1985" t="s">
        <v>3366</v>
      </c>
      <c r="H1985">
        <v>176.8</v>
      </c>
      <c r="I1985">
        <v>17.68</v>
      </c>
      <c r="J1985">
        <v>0</v>
      </c>
      <c r="K1985">
        <v>0</v>
      </c>
      <c r="L1985">
        <v>176.8</v>
      </c>
      <c r="M1985">
        <v>17.68</v>
      </c>
      <c r="O1985" s="79">
        <f>IFERROR(VLOOKUP(D1985,'KAPANAN BLD.'!$C$2:$D$793,2,FALSE),0)</f>
        <v>0</v>
      </c>
      <c r="P1985" s="79">
        <v>0</v>
      </c>
    </row>
    <row r="1986" spans="1:16" x14ac:dyDescent="0.25">
      <c r="A1986" t="s">
        <v>32</v>
      </c>
      <c r="B1986" s="73" t="str">
        <f>VLOOKUP(C1986,'Büyükşehir List'!$C$2:$D$31,2,FALSE)</f>
        <v>KONYA BÜYÜKŞEHİR</v>
      </c>
      <c r="C1986" t="s">
        <v>118</v>
      </c>
      <c r="D1986" s="73" t="str">
        <f t="shared" si="47"/>
        <v>KONYA BÜYÜKŞEHİR/KONYA</v>
      </c>
      <c r="E1986" t="s">
        <v>373</v>
      </c>
      <c r="F1986" t="s">
        <v>373</v>
      </c>
      <c r="G1986" t="s">
        <v>3367</v>
      </c>
      <c r="H1986">
        <v>317.60000000000002</v>
      </c>
      <c r="I1986">
        <v>31.76</v>
      </c>
      <c r="J1986">
        <v>0</v>
      </c>
      <c r="K1986">
        <v>0</v>
      </c>
      <c r="L1986">
        <v>317.60000000000002</v>
      </c>
      <c r="M1986">
        <v>31.76</v>
      </c>
      <c r="O1986" s="79">
        <f>IFERROR(VLOOKUP(D1986,'KAPANAN BLD.'!$C$2:$D$793,2,FALSE),0)</f>
        <v>0</v>
      </c>
      <c r="P1986" s="79">
        <v>0</v>
      </c>
    </row>
    <row r="1987" spans="1:16" x14ac:dyDescent="0.25">
      <c r="A1987" t="s">
        <v>32</v>
      </c>
      <c r="B1987" s="73" t="str">
        <f>VLOOKUP(C1987,'Büyükşehir List'!$C$2:$D$31,2,FALSE)</f>
        <v>KONYA BÜYÜKŞEHİR</v>
      </c>
      <c r="C1987" t="s">
        <v>118</v>
      </c>
      <c r="D1987" s="73" t="str">
        <f t="shared" ref="D1987:D2050" si="48">CONCATENATE(B1987,"/",C1987)</f>
        <v>KONYA BÜYÜKŞEHİR/KONYA</v>
      </c>
      <c r="E1987" t="s">
        <v>3790</v>
      </c>
      <c r="F1987" t="s">
        <v>3790</v>
      </c>
      <c r="G1987" t="s">
        <v>3367</v>
      </c>
      <c r="H1987">
        <v>16238.6</v>
      </c>
      <c r="I1987">
        <v>1623.86</v>
      </c>
      <c r="J1987">
        <v>664.2</v>
      </c>
      <c r="K1987">
        <v>66.42</v>
      </c>
      <c r="L1987">
        <v>15574.4</v>
      </c>
      <c r="M1987">
        <v>1557.44</v>
      </c>
      <c r="O1987" s="79">
        <f>IFERROR(VLOOKUP(D1987,'KAPANAN BLD.'!$C$2:$D$793,2,FALSE),0)</f>
        <v>0</v>
      </c>
      <c r="P1987" s="79">
        <v>0</v>
      </c>
    </row>
    <row r="1988" spans="1:16" x14ac:dyDescent="0.25">
      <c r="A1988" t="s">
        <v>32</v>
      </c>
      <c r="B1988" s="73" t="str">
        <f>VLOOKUP(C1988,'Büyükşehir List'!$C$2:$D$31,2,FALSE)</f>
        <v>KONYA BÜYÜKŞEHİR</v>
      </c>
      <c r="C1988" t="s">
        <v>118</v>
      </c>
      <c r="D1988" s="73" t="str">
        <f t="shared" si="48"/>
        <v>KONYA BÜYÜKŞEHİR/KONYA</v>
      </c>
      <c r="E1988" t="s">
        <v>3790</v>
      </c>
      <c r="F1988" t="s">
        <v>3790</v>
      </c>
      <c r="G1988" t="s">
        <v>3366</v>
      </c>
      <c r="H1988">
        <v>10432</v>
      </c>
      <c r="I1988">
        <v>1043.2</v>
      </c>
      <c r="J1988">
        <v>1695.3</v>
      </c>
      <c r="K1988">
        <v>169.53</v>
      </c>
      <c r="L1988">
        <v>8736.7000000000007</v>
      </c>
      <c r="M1988">
        <v>873.67</v>
      </c>
      <c r="O1988" s="79">
        <f>IFERROR(VLOOKUP(D1988,'KAPANAN BLD.'!$C$2:$D$793,2,FALSE),0)</f>
        <v>0</v>
      </c>
      <c r="P1988" s="79">
        <v>0</v>
      </c>
    </row>
    <row r="1989" spans="1:16" x14ac:dyDescent="0.25">
      <c r="A1989" t="s">
        <v>32</v>
      </c>
      <c r="B1989" s="73" t="str">
        <f>VLOOKUP(C1989,'Büyükşehir List'!$C$2:$D$31,2,FALSE)</f>
        <v>KONYA BÜYÜKŞEHİR</v>
      </c>
      <c r="C1989" t="s">
        <v>118</v>
      </c>
      <c r="D1989" s="73" t="str">
        <f t="shared" si="48"/>
        <v>KONYA BÜYÜKŞEHİR/KONYA</v>
      </c>
      <c r="E1989" t="s">
        <v>4287</v>
      </c>
      <c r="F1989" t="s">
        <v>4287</v>
      </c>
      <c r="G1989" t="s">
        <v>3366</v>
      </c>
      <c r="H1989">
        <v>3833.2</v>
      </c>
      <c r="I1989">
        <v>383.32</v>
      </c>
      <c r="J1989">
        <v>0</v>
      </c>
      <c r="K1989">
        <v>0</v>
      </c>
      <c r="L1989">
        <v>3833.2</v>
      </c>
      <c r="M1989">
        <v>383.32</v>
      </c>
      <c r="O1989" s="79">
        <f>IFERROR(VLOOKUP(D1989,'KAPANAN BLD.'!$C$2:$D$793,2,FALSE),0)</f>
        <v>0</v>
      </c>
      <c r="P1989" s="79">
        <v>0</v>
      </c>
    </row>
    <row r="1990" spans="1:16" x14ac:dyDescent="0.25">
      <c r="A1990" t="s">
        <v>32</v>
      </c>
      <c r="B1990" s="73" t="str">
        <f>VLOOKUP(C1990,'Büyükşehir List'!$C$2:$D$31,2,FALSE)</f>
        <v>KONYA BÜYÜKŞEHİR</v>
      </c>
      <c r="C1990" t="s">
        <v>118</v>
      </c>
      <c r="D1990" s="73" t="str">
        <f t="shared" si="48"/>
        <v>KONYA BÜYÜKŞEHİR/KONYA</v>
      </c>
      <c r="E1990" t="s">
        <v>4287</v>
      </c>
      <c r="F1990" t="s">
        <v>4287</v>
      </c>
      <c r="G1990" t="s">
        <v>3367</v>
      </c>
      <c r="H1990">
        <v>4503.8</v>
      </c>
      <c r="I1990">
        <v>450.38</v>
      </c>
      <c r="J1990">
        <v>0</v>
      </c>
      <c r="K1990">
        <v>0</v>
      </c>
      <c r="L1990">
        <v>4503.8</v>
      </c>
      <c r="M1990">
        <v>450.38</v>
      </c>
      <c r="O1990" s="79">
        <f>IFERROR(VLOOKUP(D1990,'KAPANAN BLD.'!$C$2:$D$793,2,FALSE),0)</f>
        <v>0</v>
      </c>
      <c r="P1990" s="79">
        <v>0</v>
      </c>
    </row>
    <row r="1991" spans="1:16" x14ac:dyDescent="0.25">
      <c r="A1991" t="s">
        <v>32</v>
      </c>
      <c r="B1991" s="73" t="str">
        <f>VLOOKUP(C1991,'Büyükşehir List'!$C$2:$D$31,2,FALSE)</f>
        <v>KONYA BÜYÜKŞEHİR</v>
      </c>
      <c r="C1991" t="s">
        <v>118</v>
      </c>
      <c r="D1991" s="73" t="str">
        <f t="shared" si="48"/>
        <v>KONYA BÜYÜKŞEHİR/KONYA</v>
      </c>
      <c r="E1991" t="s">
        <v>3791</v>
      </c>
      <c r="F1991" t="s">
        <v>3791</v>
      </c>
      <c r="G1991" t="s">
        <v>3367</v>
      </c>
      <c r="H1991">
        <v>17448.3</v>
      </c>
      <c r="I1991">
        <v>1744.83</v>
      </c>
      <c r="J1991">
        <v>265.10000000000002</v>
      </c>
      <c r="K1991">
        <v>26.51</v>
      </c>
      <c r="L1991">
        <v>17183.2</v>
      </c>
      <c r="M1991">
        <v>1718.32</v>
      </c>
      <c r="O1991" s="79">
        <f>IFERROR(VLOOKUP(D1991,'KAPANAN BLD.'!$C$2:$D$793,2,FALSE),0)</f>
        <v>0</v>
      </c>
      <c r="P1991" s="79">
        <v>0</v>
      </c>
    </row>
    <row r="1992" spans="1:16" x14ac:dyDescent="0.25">
      <c r="A1992" t="s">
        <v>32</v>
      </c>
      <c r="B1992" s="73" t="str">
        <f>VLOOKUP(C1992,'Büyükşehir List'!$C$2:$D$31,2,FALSE)</f>
        <v>KONYA BÜYÜKŞEHİR</v>
      </c>
      <c r="C1992" t="s">
        <v>118</v>
      </c>
      <c r="D1992" s="73" t="str">
        <f t="shared" si="48"/>
        <v>KONYA BÜYÜKŞEHİR/KONYA</v>
      </c>
      <c r="E1992" t="s">
        <v>3791</v>
      </c>
      <c r="F1992" t="s">
        <v>3791</v>
      </c>
      <c r="G1992" t="s">
        <v>3366</v>
      </c>
      <c r="H1992">
        <v>14574.8</v>
      </c>
      <c r="I1992">
        <v>1457.48</v>
      </c>
      <c r="J1992">
        <v>13.9</v>
      </c>
      <c r="K1992">
        <v>1.39</v>
      </c>
      <c r="L1992">
        <v>14560.9</v>
      </c>
      <c r="M1992">
        <v>1456.09</v>
      </c>
      <c r="O1992" s="79">
        <f>IFERROR(VLOOKUP(D1992,'KAPANAN BLD.'!$C$2:$D$793,2,FALSE),0)</f>
        <v>0</v>
      </c>
      <c r="P1992" s="79">
        <v>0</v>
      </c>
    </row>
    <row r="1993" spans="1:16" x14ac:dyDescent="0.25">
      <c r="A1993" t="s">
        <v>32</v>
      </c>
      <c r="B1993" s="73" t="str">
        <f>VLOOKUP(C1993,'Büyükşehir List'!$C$2:$D$31,2,FALSE)</f>
        <v>KONYA BÜYÜKŞEHİR</v>
      </c>
      <c r="C1993" t="s">
        <v>118</v>
      </c>
      <c r="D1993" s="73" t="str">
        <f t="shared" si="48"/>
        <v>KONYA BÜYÜKŞEHİR/KONYA</v>
      </c>
      <c r="E1993" t="s">
        <v>635</v>
      </c>
      <c r="F1993" t="s">
        <v>635</v>
      </c>
      <c r="G1993" t="s">
        <v>3367</v>
      </c>
      <c r="H1993">
        <v>1.9</v>
      </c>
      <c r="I1993">
        <v>0.19</v>
      </c>
      <c r="J1993">
        <v>0</v>
      </c>
      <c r="K1993">
        <v>0</v>
      </c>
      <c r="L1993">
        <v>1.9</v>
      </c>
      <c r="M1993">
        <v>0.19</v>
      </c>
      <c r="O1993" s="79">
        <f>IFERROR(VLOOKUP(D1993,'KAPANAN BLD.'!$C$2:$D$793,2,FALSE),0)</f>
        <v>0</v>
      </c>
      <c r="P1993" s="79">
        <v>0</v>
      </c>
    </row>
    <row r="1994" spans="1:16" x14ac:dyDescent="0.25">
      <c r="A1994" t="s">
        <v>32</v>
      </c>
      <c r="B1994" s="73" t="str">
        <f>VLOOKUP(C1994,'Büyükşehir List'!$C$2:$D$31,2,FALSE)</f>
        <v>KONYA BÜYÜKŞEHİR</v>
      </c>
      <c r="C1994" t="s">
        <v>118</v>
      </c>
      <c r="D1994" s="73" t="str">
        <f t="shared" si="48"/>
        <v>KONYA BÜYÜKŞEHİR/KONYA</v>
      </c>
      <c r="E1994" t="s">
        <v>575</v>
      </c>
      <c r="F1994" t="s">
        <v>575</v>
      </c>
      <c r="G1994" t="s">
        <v>3367</v>
      </c>
      <c r="H1994">
        <v>31.7</v>
      </c>
      <c r="I1994">
        <v>3.17</v>
      </c>
      <c r="J1994">
        <v>0</v>
      </c>
      <c r="K1994">
        <v>0</v>
      </c>
      <c r="L1994">
        <v>31.7</v>
      </c>
      <c r="M1994">
        <v>3.17</v>
      </c>
      <c r="O1994" s="79">
        <f>IFERROR(VLOOKUP(D1994,'KAPANAN BLD.'!$C$2:$D$793,2,FALSE),0)</f>
        <v>0</v>
      </c>
      <c r="P1994" s="79">
        <v>0</v>
      </c>
    </row>
    <row r="1995" spans="1:16" x14ac:dyDescent="0.25">
      <c r="A1995" t="s">
        <v>32</v>
      </c>
      <c r="B1995" s="73" t="str">
        <f>VLOOKUP(C1995,'Büyükşehir List'!$C$2:$D$31,2,FALSE)</f>
        <v>KONYA BÜYÜKŞEHİR</v>
      </c>
      <c r="C1995" t="s">
        <v>118</v>
      </c>
      <c r="D1995" s="73" t="str">
        <f t="shared" si="48"/>
        <v>KONYA BÜYÜKŞEHİR/KONYA</v>
      </c>
      <c r="E1995" t="s">
        <v>575</v>
      </c>
      <c r="F1995" t="s">
        <v>575</v>
      </c>
      <c r="G1995" t="s">
        <v>3366</v>
      </c>
      <c r="H1995">
        <v>565.79999999999995</v>
      </c>
      <c r="I1995">
        <v>56.58</v>
      </c>
      <c r="J1995">
        <v>0</v>
      </c>
      <c r="K1995">
        <v>0</v>
      </c>
      <c r="L1995">
        <v>565.79999999999995</v>
      </c>
      <c r="M1995">
        <v>56.58</v>
      </c>
      <c r="O1995" s="79">
        <f>IFERROR(VLOOKUP(D1995,'KAPANAN BLD.'!$C$2:$D$793,2,FALSE),0)</f>
        <v>0</v>
      </c>
      <c r="P1995" s="79">
        <v>0</v>
      </c>
    </row>
    <row r="1996" spans="1:16" x14ac:dyDescent="0.25">
      <c r="A1996" t="s">
        <v>32</v>
      </c>
      <c r="B1996" s="73" t="str">
        <f>VLOOKUP(C1996,'Büyükşehir List'!$C$2:$D$31,2,FALSE)</f>
        <v>KONYA BÜYÜKŞEHİR</v>
      </c>
      <c r="C1996" t="s">
        <v>118</v>
      </c>
      <c r="D1996" s="73" t="str">
        <f t="shared" si="48"/>
        <v>KONYA BÜYÜKŞEHİR/KONYA</v>
      </c>
      <c r="E1996" t="s">
        <v>3792</v>
      </c>
      <c r="F1996" t="s">
        <v>3792</v>
      </c>
      <c r="G1996" t="s">
        <v>3367</v>
      </c>
      <c r="H1996">
        <v>4310.3999999999996</v>
      </c>
      <c r="I1996">
        <v>431.04</v>
      </c>
      <c r="J1996">
        <v>0</v>
      </c>
      <c r="K1996">
        <v>0</v>
      </c>
      <c r="L1996">
        <v>4310.3999999999996</v>
      </c>
      <c r="M1996">
        <v>431.04</v>
      </c>
      <c r="O1996" s="79">
        <f>IFERROR(VLOOKUP(D1996,'KAPANAN BLD.'!$C$2:$D$793,2,FALSE),0)</f>
        <v>0</v>
      </c>
      <c r="P1996" s="79">
        <v>0</v>
      </c>
    </row>
    <row r="1997" spans="1:16" x14ac:dyDescent="0.25">
      <c r="A1997" t="s">
        <v>32</v>
      </c>
      <c r="B1997" s="73" t="str">
        <f>VLOOKUP(C1997,'Büyükşehir List'!$C$2:$D$31,2,FALSE)</f>
        <v>KONYA BÜYÜKŞEHİR</v>
      </c>
      <c r="C1997" t="s">
        <v>118</v>
      </c>
      <c r="D1997" s="73" t="str">
        <f t="shared" si="48"/>
        <v>KONYA BÜYÜKŞEHİR/KONYA</v>
      </c>
      <c r="E1997" t="s">
        <v>3792</v>
      </c>
      <c r="F1997" t="s">
        <v>3792</v>
      </c>
      <c r="G1997" t="s">
        <v>3366</v>
      </c>
      <c r="H1997">
        <v>11266.7</v>
      </c>
      <c r="I1997">
        <v>1126.67</v>
      </c>
      <c r="J1997">
        <v>20.3</v>
      </c>
      <c r="K1997">
        <v>2.0299999999999998</v>
      </c>
      <c r="L1997">
        <v>11246.4</v>
      </c>
      <c r="M1997">
        <v>1124.6400000000001</v>
      </c>
      <c r="O1997" s="79">
        <f>IFERROR(VLOOKUP(D1997,'KAPANAN BLD.'!$C$2:$D$793,2,FALSE),0)</f>
        <v>0</v>
      </c>
      <c r="P1997" s="79">
        <v>0</v>
      </c>
    </row>
    <row r="1998" spans="1:16" x14ac:dyDescent="0.25">
      <c r="A1998" t="s">
        <v>32</v>
      </c>
      <c r="B1998" s="73" t="str">
        <f>VLOOKUP(C1998,'Büyükşehir List'!$C$2:$D$31,2,FALSE)</f>
        <v>KONYA BÜYÜKŞEHİR</v>
      </c>
      <c r="C1998" t="s">
        <v>118</v>
      </c>
      <c r="D1998" s="73" t="str">
        <f t="shared" si="48"/>
        <v>KONYA BÜYÜKŞEHİR/KONYA</v>
      </c>
      <c r="E1998" t="s">
        <v>522</v>
      </c>
      <c r="F1998" t="s">
        <v>522</v>
      </c>
      <c r="G1998" t="s">
        <v>3367</v>
      </c>
      <c r="H1998">
        <v>41.2</v>
      </c>
      <c r="I1998">
        <v>4.12</v>
      </c>
      <c r="J1998">
        <v>0</v>
      </c>
      <c r="K1998">
        <v>0</v>
      </c>
      <c r="L1998">
        <v>41.2</v>
      </c>
      <c r="M1998">
        <v>4.12</v>
      </c>
      <c r="O1998" s="79">
        <f>IFERROR(VLOOKUP(D1998,'KAPANAN BLD.'!$C$2:$D$793,2,FALSE),0)</f>
        <v>0</v>
      </c>
      <c r="P1998" s="79">
        <v>0</v>
      </c>
    </row>
    <row r="1999" spans="1:16" x14ac:dyDescent="0.25">
      <c r="A1999" t="s">
        <v>32</v>
      </c>
      <c r="B1999" s="73" t="str">
        <f>VLOOKUP(C1999,'Büyükşehir List'!$C$2:$D$31,2,FALSE)</f>
        <v>KONYA BÜYÜKŞEHİR</v>
      </c>
      <c r="C1999" t="s">
        <v>118</v>
      </c>
      <c r="D1999" s="73" t="str">
        <f t="shared" si="48"/>
        <v>KONYA BÜYÜKŞEHİR/KONYA</v>
      </c>
      <c r="E1999" t="s">
        <v>522</v>
      </c>
      <c r="F1999" t="s">
        <v>522</v>
      </c>
      <c r="G1999" t="s">
        <v>3366</v>
      </c>
      <c r="H1999">
        <v>12.4</v>
      </c>
      <c r="I1999">
        <v>1.24</v>
      </c>
      <c r="J1999">
        <v>0</v>
      </c>
      <c r="K1999">
        <v>0</v>
      </c>
      <c r="L1999">
        <v>12.4</v>
      </c>
      <c r="M1999">
        <v>1.24</v>
      </c>
      <c r="O1999" s="79">
        <f>IFERROR(VLOOKUP(D1999,'KAPANAN BLD.'!$C$2:$D$793,2,FALSE),0)</f>
        <v>0</v>
      </c>
      <c r="P1999" s="79">
        <v>0</v>
      </c>
    </row>
    <row r="2000" spans="1:16" x14ac:dyDescent="0.25">
      <c r="A2000" t="s">
        <v>32</v>
      </c>
      <c r="B2000" s="73" t="str">
        <f>VLOOKUP(C2000,'Büyükşehir List'!$C$2:$D$31,2,FALSE)</f>
        <v>KONYA BÜYÜKŞEHİR</v>
      </c>
      <c r="C2000" t="s">
        <v>118</v>
      </c>
      <c r="D2000" s="73" t="str">
        <f t="shared" si="48"/>
        <v>KONYA BÜYÜKŞEHİR/KONYA</v>
      </c>
      <c r="E2000" t="s">
        <v>3382</v>
      </c>
      <c r="F2000" t="s">
        <v>3382</v>
      </c>
      <c r="G2000" t="s">
        <v>3367</v>
      </c>
      <c r="H2000">
        <v>135</v>
      </c>
      <c r="I2000">
        <v>13.5</v>
      </c>
      <c r="J2000">
        <v>0</v>
      </c>
      <c r="K2000">
        <v>0</v>
      </c>
      <c r="L2000">
        <v>135</v>
      </c>
      <c r="M2000">
        <v>13.5</v>
      </c>
      <c r="O2000" s="79">
        <f>IFERROR(VLOOKUP(D2000,'KAPANAN BLD.'!$C$2:$D$793,2,FALSE),0)</f>
        <v>0</v>
      </c>
      <c r="P2000" s="79">
        <v>0</v>
      </c>
    </row>
    <row r="2001" spans="1:16" x14ac:dyDescent="0.25">
      <c r="A2001" t="s">
        <v>32</v>
      </c>
      <c r="B2001" s="73" t="str">
        <f>VLOOKUP(C2001,'Büyükşehir List'!$C$2:$D$31,2,FALSE)</f>
        <v>KONYA BÜYÜKŞEHİR</v>
      </c>
      <c r="C2001" t="s">
        <v>118</v>
      </c>
      <c r="D2001" s="73" t="str">
        <f t="shared" si="48"/>
        <v>KONYA BÜYÜKŞEHİR/KONYA</v>
      </c>
      <c r="E2001" t="s">
        <v>3382</v>
      </c>
      <c r="F2001" t="s">
        <v>3382</v>
      </c>
      <c r="G2001" t="s">
        <v>3366</v>
      </c>
      <c r="H2001">
        <v>1208.4000000000001</v>
      </c>
      <c r="I2001">
        <v>120.84</v>
      </c>
      <c r="J2001">
        <v>0</v>
      </c>
      <c r="K2001">
        <v>0</v>
      </c>
      <c r="L2001">
        <v>1208.4000000000001</v>
      </c>
      <c r="M2001">
        <v>120.84</v>
      </c>
      <c r="O2001" s="79">
        <f>IFERROR(VLOOKUP(D2001,'KAPANAN BLD.'!$C$2:$D$793,2,FALSE),0)</f>
        <v>0</v>
      </c>
      <c r="P2001" s="79">
        <v>0</v>
      </c>
    </row>
    <row r="2002" spans="1:16" x14ac:dyDescent="0.25">
      <c r="A2002" t="s">
        <v>32</v>
      </c>
      <c r="B2002" s="73" t="str">
        <f>VLOOKUP(C2002,'Büyükşehir List'!$C$2:$D$31,2,FALSE)</f>
        <v>KONYA BÜYÜKŞEHİR</v>
      </c>
      <c r="C2002" t="s">
        <v>118</v>
      </c>
      <c r="D2002" s="73" t="str">
        <f t="shared" si="48"/>
        <v>KONYA BÜYÜKŞEHİR/KONYA</v>
      </c>
      <c r="E2002" t="s">
        <v>376</v>
      </c>
      <c r="F2002" t="s">
        <v>376</v>
      </c>
      <c r="G2002" t="s">
        <v>3367</v>
      </c>
      <c r="H2002">
        <v>1747.1</v>
      </c>
      <c r="I2002">
        <v>174.71</v>
      </c>
      <c r="J2002">
        <v>0</v>
      </c>
      <c r="K2002">
        <v>0</v>
      </c>
      <c r="L2002">
        <v>1747.1</v>
      </c>
      <c r="M2002">
        <v>174.71</v>
      </c>
      <c r="O2002" s="79">
        <f>IFERROR(VLOOKUP(D2002,'KAPANAN BLD.'!$C$2:$D$793,2,FALSE),0)</f>
        <v>0</v>
      </c>
      <c r="P2002" s="79">
        <v>0</v>
      </c>
    </row>
    <row r="2003" spans="1:16" x14ac:dyDescent="0.25">
      <c r="A2003" t="s">
        <v>32</v>
      </c>
      <c r="B2003" s="73" t="str">
        <f>VLOOKUP(C2003,'Büyükşehir List'!$C$2:$D$31,2,FALSE)</f>
        <v>KONYA BÜYÜKŞEHİR</v>
      </c>
      <c r="C2003" t="s">
        <v>118</v>
      </c>
      <c r="D2003" s="73" t="str">
        <f t="shared" si="48"/>
        <v>KONYA BÜYÜKŞEHİR/KONYA</v>
      </c>
      <c r="E2003" t="s">
        <v>376</v>
      </c>
      <c r="F2003" t="s">
        <v>376</v>
      </c>
      <c r="G2003" t="s">
        <v>3366</v>
      </c>
      <c r="H2003">
        <v>1</v>
      </c>
      <c r="I2003">
        <v>0.1</v>
      </c>
      <c r="J2003">
        <v>0</v>
      </c>
      <c r="K2003">
        <v>0</v>
      </c>
      <c r="L2003">
        <v>1</v>
      </c>
      <c r="M2003">
        <v>0.1</v>
      </c>
      <c r="O2003" s="79">
        <f>IFERROR(VLOOKUP(D2003,'KAPANAN BLD.'!$C$2:$D$793,2,FALSE),0)</f>
        <v>0</v>
      </c>
      <c r="P2003" s="79">
        <v>0</v>
      </c>
    </row>
    <row r="2004" spans="1:16" x14ac:dyDescent="0.25">
      <c r="A2004" t="s">
        <v>32</v>
      </c>
      <c r="B2004" s="73" t="str">
        <f>VLOOKUP(C2004,'Büyükşehir List'!$C$2:$D$31,2,FALSE)</f>
        <v>KONYA BÜYÜKŞEHİR</v>
      </c>
      <c r="C2004" t="s">
        <v>118</v>
      </c>
      <c r="D2004" s="73" t="str">
        <f t="shared" si="48"/>
        <v>KONYA BÜYÜKŞEHİR/KONYA</v>
      </c>
      <c r="E2004" t="s">
        <v>4354</v>
      </c>
      <c r="F2004" t="s">
        <v>4354</v>
      </c>
      <c r="G2004" t="s">
        <v>3367</v>
      </c>
      <c r="H2004">
        <v>157.6</v>
      </c>
      <c r="I2004">
        <v>15.76</v>
      </c>
      <c r="J2004">
        <v>0</v>
      </c>
      <c r="K2004">
        <v>0</v>
      </c>
      <c r="L2004">
        <v>157.6</v>
      </c>
      <c r="M2004">
        <v>15.76</v>
      </c>
      <c r="O2004" s="79">
        <f>IFERROR(VLOOKUP(D2004,'KAPANAN BLD.'!$C$2:$D$793,2,FALSE),0)</f>
        <v>0</v>
      </c>
      <c r="P2004" s="79">
        <v>0</v>
      </c>
    </row>
    <row r="2005" spans="1:16" x14ac:dyDescent="0.25">
      <c r="A2005" t="s">
        <v>32</v>
      </c>
      <c r="B2005" s="73" t="str">
        <f>VLOOKUP(C2005,'Büyükşehir List'!$C$2:$D$31,2,FALSE)</f>
        <v>KONYA BÜYÜKŞEHİR</v>
      </c>
      <c r="C2005" t="s">
        <v>118</v>
      </c>
      <c r="D2005" s="73" t="str">
        <f t="shared" si="48"/>
        <v>KONYA BÜYÜKŞEHİR/KONYA</v>
      </c>
      <c r="E2005" t="s">
        <v>4354</v>
      </c>
      <c r="F2005" t="s">
        <v>4354</v>
      </c>
      <c r="G2005" t="s">
        <v>3366</v>
      </c>
      <c r="H2005">
        <v>458.7</v>
      </c>
      <c r="I2005">
        <v>45.87</v>
      </c>
      <c r="J2005">
        <v>0</v>
      </c>
      <c r="K2005">
        <v>0</v>
      </c>
      <c r="L2005">
        <v>458.7</v>
      </c>
      <c r="M2005">
        <v>45.87</v>
      </c>
      <c r="O2005" s="79">
        <f>IFERROR(VLOOKUP(D2005,'KAPANAN BLD.'!$C$2:$D$793,2,FALSE),0)</f>
        <v>0</v>
      </c>
      <c r="P2005" s="79">
        <v>0</v>
      </c>
    </row>
    <row r="2006" spans="1:16" x14ac:dyDescent="0.25">
      <c r="A2006" t="s">
        <v>32</v>
      </c>
      <c r="B2006" s="73" t="str">
        <f>VLOOKUP(C2006,'Büyükşehir List'!$C$2:$D$31,2,FALSE)</f>
        <v>KONYA BÜYÜKŞEHİR</v>
      </c>
      <c r="C2006" t="s">
        <v>118</v>
      </c>
      <c r="D2006" s="73" t="str">
        <f t="shared" si="48"/>
        <v>KONYA BÜYÜKŞEHİR/KONYA</v>
      </c>
      <c r="E2006" t="s">
        <v>637</v>
      </c>
      <c r="F2006" t="s">
        <v>637</v>
      </c>
      <c r="G2006" t="s">
        <v>3366</v>
      </c>
      <c r="H2006">
        <v>68.5</v>
      </c>
      <c r="I2006">
        <v>6.85</v>
      </c>
      <c r="J2006">
        <v>0</v>
      </c>
      <c r="K2006">
        <v>0</v>
      </c>
      <c r="L2006">
        <v>68.5</v>
      </c>
      <c r="M2006">
        <v>6.85</v>
      </c>
      <c r="O2006" s="79">
        <f>IFERROR(VLOOKUP(D2006,'KAPANAN BLD.'!$C$2:$D$793,2,FALSE),0)</f>
        <v>0</v>
      </c>
      <c r="P2006" s="79">
        <v>0</v>
      </c>
    </row>
    <row r="2007" spans="1:16" x14ac:dyDescent="0.25">
      <c r="A2007" t="s">
        <v>32</v>
      </c>
      <c r="B2007" s="73" t="str">
        <f>VLOOKUP(C2007,'Büyükşehir List'!$C$2:$D$31,2,FALSE)</f>
        <v>KONYA BÜYÜKŞEHİR</v>
      </c>
      <c r="C2007" t="s">
        <v>118</v>
      </c>
      <c r="D2007" s="73" t="str">
        <f t="shared" si="48"/>
        <v>KONYA BÜYÜKŞEHİR/KONYA</v>
      </c>
      <c r="E2007" t="s">
        <v>637</v>
      </c>
      <c r="F2007" t="s">
        <v>637</v>
      </c>
      <c r="G2007" t="s">
        <v>3367</v>
      </c>
      <c r="H2007">
        <v>304.7</v>
      </c>
      <c r="I2007">
        <v>30.47</v>
      </c>
      <c r="J2007">
        <v>0</v>
      </c>
      <c r="K2007">
        <v>0</v>
      </c>
      <c r="L2007">
        <v>304.7</v>
      </c>
      <c r="M2007">
        <v>30.47</v>
      </c>
      <c r="O2007" s="79">
        <f>IFERROR(VLOOKUP(D2007,'KAPANAN BLD.'!$C$2:$D$793,2,FALSE),0)</f>
        <v>0</v>
      </c>
      <c r="P2007" s="79">
        <v>0</v>
      </c>
    </row>
    <row r="2008" spans="1:16" x14ac:dyDescent="0.25">
      <c r="A2008" t="s">
        <v>32</v>
      </c>
      <c r="B2008" s="73" t="str">
        <f>VLOOKUP(C2008,'Büyükşehir List'!$C$2:$D$31,2,FALSE)</f>
        <v>KONYA BÜYÜKŞEHİR</v>
      </c>
      <c r="C2008" t="s">
        <v>118</v>
      </c>
      <c r="D2008" s="73" t="str">
        <f t="shared" si="48"/>
        <v>KONYA BÜYÜKŞEHİR/KONYA</v>
      </c>
      <c r="E2008" t="s">
        <v>3993</v>
      </c>
      <c r="F2008" t="s">
        <v>3993</v>
      </c>
      <c r="G2008" t="s">
        <v>3367</v>
      </c>
      <c r="H2008">
        <v>588.29999999999995</v>
      </c>
      <c r="I2008">
        <v>58.83</v>
      </c>
      <c r="J2008">
        <v>0</v>
      </c>
      <c r="K2008">
        <v>0</v>
      </c>
      <c r="L2008">
        <v>588.29999999999995</v>
      </c>
      <c r="M2008">
        <v>58.83</v>
      </c>
      <c r="O2008" s="79">
        <f>IFERROR(VLOOKUP(D2008,'KAPANAN BLD.'!$C$2:$D$793,2,FALSE),0)</f>
        <v>0</v>
      </c>
      <c r="P2008" s="79">
        <v>0</v>
      </c>
    </row>
    <row r="2009" spans="1:16" x14ac:dyDescent="0.25">
      <c r="A2009" t="s">
        <v>32</v>
      </c>
      <c r="B2009" s="73" t="str">
        <f>VLOOKUP(C2009,'Büyükşehir List'!$C$2:$D$31,2,FALSE)</f>
        <v>KONYA BÜYÜKŞEHİR</v>
      </c>
      <c r="C2009" t="s">
        <v>118</v>
      </c>
      <c r="D2009" s="73" t="str">
        <f t="shared" si="48"/>
        <v>KONYA BÜYÜKŞEHİR/KONYA</v>
      </c>
      <c r="E2009" t="s">
        <v>3993</v>
      </c>
      <c r="F2009" t="s">
        <v>3993</v>
      </c>
      <c r="G2009" t="s">
        <v>3366</v>
      </c>
      <c r="H2009">
        <v>485.1</v>
      </c>
      <c r="I2009">
        <v>48.51</v>
      </c>
      <c r="J2009">
        <v>0</v>
      </c>
      <c r="K2009">
        <v>0</v>
      </c>
      <c r="L2009">
        <v>485.1</v>
      </c>
      <c r="M2009">
        <v>48.51</v>
      </c>
      <c r="O2009" s="79">
        <f>IFERROR(VLOOKUP(D2009,'KAPANAN BLD.'!$C$2:$D$793,2,FALSE),0)</f>
        <v>0</v>
      </c>
      <c r="P2009" s="79">
        <v>0</v>
      </c>
    </row>
    <row r="2010" spans="1:16" x14ac:dyDescent="0.25">
      <c r="A2010" t="s">
        <v>32</v>
      </c>
      <c r="B2010" s="73" t="str">
        <f>VLOOKUP(C2010,'Büyükşehir List'!$C$2:$D$31,2,FALSE)</f>
        <v>KONYA BÜYÜKŞEHİR</v>
      </c>
      <c r="C2010" t="s">
        <v>118</v>
      </c>
      <c r="D2010" s="73" t="str">
        <f t="shared" si="48"/>
        <v>KONYA BÜYÜKŞEHİR/KONYA</v>
      </c>
      <c r="E2010" t="s">
        <v>4396</v>
      </c>
      <c r="F2010" t="s">
        <v>4396</v>
      </c>
      <c r="G2010" t="s">
        <v>3367</v>
      </c>
      <c r="H2010">
        <v>82.7</v>
      </c>
      <c r="I2010">
        <v>8.27</v>
      </c>
      <c r="J2010">
        <v>0</v>
      </c>
      <c r="K2010">
        <v>0</v>
      </c>
      <c r="L2010">
        <v>82.7</v>
      </c>
      <c r="M2010">
        <v>8.27</v>
      </c>
      <c r="O2010" s="79">
        <f>IFERROR(VLOOKUP(D2010,'KAPANAN BLD.'!$C$2:$D$793,2,FALSE),0)</f>
        <v>0</v>
      </c>
      <c r="P2010" s="79">
        <v>0</v>
      </c>
    </row>
    <row r="2011" spans="1:16" x14ac:dyDescent="0.25">
      <c r="A2011" t="s">
        <v>32</v>
      </c>
      <c r="B2011" s="73" t="str">
        <f>VLOOKUP(C2011,'Büyükşehir List'!$C$2:$D$31,2,FALSE)</f>
        <v>KONYA BÜYÜKŞEHİR</v>
      </c>
      <c r="C2011" t="s">
        <v>118</v>
      </c>
      <c r="D2011" s="73" t="str">
        <f t="shared" si="48"/>
        <v>KONYA BÜYÜKŞEHİR/KONYA</v>
      </c>
      <c r="E2011" t="s">
        <v>4396</v>
      </c>
      <c r="F2011" t="s">
        <v>4396</v>
      </c>
      <c r="G2011" t="s">
        <v>3366</v>
      </c>
      <c r="H2011">
        <v>1537.1</v>
      </c>
      <c r="I2011">
        <v>153.71</v>
      </c>
      <c r="J2011">
        <v>0</v>
      </c>
      <c r="K2011">
        <v>0</v>
      </c>
      <c r="L2011">
        <v>1537.1</v>
      </c>
      <c r="M2011">
        <v>153.71</v>
      </c>
      <c r="O2011" s="79">
        <f>IFERROR(VLOOKUP(D2011,'KAPANAN BLD.'!$C$2:$D$793,2,FALSE),0)</f>
        <v>0</v>
      </c>
      <c r="P2011" s="79">
        <v>0</v>
      </c>
    </row>
    <row r="2012" spans="1:16" x14ac:dyDescent="0.25">
      <c r="A2012" t="s">
        <v>32</v>
      </c>
      <c r="B2012" s="73" t="str">
        <f t="shared" ref="B2012:B2066" si="49">F2012</f>
        <v>TAVŞANLI</v>
      </c>
      <c r="C2012" t="s">
        <v>76</v>
      </c>
      <c r="D2012" s="73" t="str">
        <f t="shared" si="48"/>
        <v>TAVŞANLI/KÜTAHYA</v>
      </c>
      <c r="E2012" s="9" t="s">
        <v>374</v>
      </c>
      <c r="F2012" s="9" t="s">
        <v>374</v>
      </c>
      <c r="G2012" t="s">
        <v>3367</v>
      </c>
      <c r="H2012">
        <v>94.2</v>
      </c>
      <c r="I2012">
        <v>9.42</v>
      </c>
      <c r="J2012">
        <v>0</v>
      </c>
      <c r="K2012">
        <v>0</v>
      </c>
      <c r="L2012">
        <v>94.2</v>
      </c>
      <c r="M2012">
        <v>9.42</v>
      </c>
      <c r="O2012" s="79">
        <f>IFERROR(VLOOKUP(D2012,'KAPANAN BLD.'!$C$2:$D$793,2,FALSE),0)</f>
        <v>0</v>
      </c>
      <c r="P2012" s="79">
        <v>0</v>
      </c>
    </row>
    <row r="2013" spans="1:16" x14ac:dyDescent="0.25">
      <c r="A2013" t="s">
        <v>32</v>
      </c>
      <c r="B2013" s="73" t="str">
        <f t="shared" si="49"/>
        <v>TAVŞANLI</v>
      </c>
      <c r="C2013" t="s">
        <v>76</v>
      </c>
      <c r="D2013" s="73" t="str">
        <f t="shared" si="48"/>
        <v>TAVŞANLI/KÜTAHYA</v>
      </c>
      <c r="E2013" s="9" t="s">
        <v>374</v>
      </c>
      <c r="F2013" s="9" t="s">
        <v>374</v>
      </c>
      <c r="G2013" t="s">
        <v>3366</v>
      </c>
      <c r="H2013">
        <v>422.8</v>
      </c>
      <c r="I2013">
        <v>42.28</v>
      </c>
      <c r="J2013">
        <v>0</v>
      </c>
      <c r="K2013">
        <v>0</v>
      </c>
      <c r="L2013">
        <v>422.8</v>
      </c>
      <c r="M2013">
        <v>42.28</v>
      </c>
      <c r="O2013" s="79">
        <f>IFERROR(VLOOKUP(D2013,'KAPANAN BLD.'!$C$2:$D$793,2,FALSE),0)</f>
        <v>0</v>
      </c>
      <c r="P2013" s="79">
        <v>0</v>
      </c>
    </row>
    <row r="2014" spans="1:16" x14ac:dyDescent="0.25">
      <c r="A2014" t="s">
        <v>32</v>
      </c>
      <c r="B2014" s="73" t="str">
        <f t="shared" si="49"/>
        <v>GEDİZ</v>
      </c>
      <c r="C2014" t="s">
        <v>76</v>
      </c>
      <c r="D2014" s="73" t="str">
        <f t="shared" si="48"/>
        <v>GEDİZ/KÜTAHYA</v>
      </c>
      <c r="E2014" s="9" t="s">
        <v>307</v>
      </c>
      <c r="F2014" s="9" t="s">
        <v>307</v>
      </c>
      <c r="G2014" t="s">
        <v>3367</v>
      </c>
      <c r="H2014">
        <v>17</v>
      </c>
      <c r="I2014">
        <v>1.7</v>
      </c>
      <c r="J2014">
        <v>0</v>
      </c>
      <c r="K2014">
        <v>0</v>
      </c>
      <c r="L2014">
        <v>17</v>
      </c>
      <c r="M2014">
        <v>1.7</v>
      </c>
      <c r="O2014" s="79">
        <f>IFERROR(VLOOKUP(D2014,'KAPANAN BLD.'!$C$2:$D$793,2,FALSE),0)</f>
        <v>0</v>
      </c>
      <c r="P2014" s="79">
        <v>0</v>
      </c>
    </row>
    <row r="2015" spans="1:16" x14ac:dyDescent="0.25">
      <c r="A2015" t="s">
        <v>32</v>
      </c>
      <c r="B2015" s="73" t="str">
        <f t="shared" si="49"/>
        <v>GEDİZ</v>
      </c>
      <c r="C2015" t="s">
        <v>76</v>
      </c>
      <c r="D2015" s="73" t="str">
        <f t="shared" si="48"/>
        <v>GEDİZ/KÜTAHYA</v>
      </c>
      <c r="E2015" s="9" t="s">
        <v>307</v>
      </c>
      <c r="F2015" s="9" t="s">
        <v>307</v>
      </c>
      <c r="G2015" t="s">
        <v>3366</v>
      </c>
      <c r="H2015">
        <v>10.4</v>
      </c>
      <c r="I2015">
        <v>1.04</v>
      </c>
      <c r="J2015">
        <v>0</v>
      </c>
      <c r="K2015">
        <v>0</v>
      </c>
      <c r="L2015">
        <v>10.4</v>
      </c>
      <c r="M2015">
        <v>1.04</v>
      </c>
      <c r="O2015" s="79">
        <f>IFERROR(VLOOKUP(D2015,'KAPANAN BLD.'!$C$2:$D$793,2,FALSE),0)</f>
        <v>0</v>
      </c>
      <c r="P2015" s="79">
        <v>0</v>
      </c>
    </row>
    <row r="2016" spans="1:16" x14ac:dyDescent="0.25">
      <c r="A2016" t="s">
        <v>32</v>
      </c>
      <c r="B2016" s="73" t="str">
        <f t="shared" si="49"/>
        <v>ALTINTAŞ</v>
      </c>
      <c r="C2016" t="s">
        <v>76</v>
      </c>
      <c r="D2016" s="73" t="str">
        <f t="shared" si="48"/>
        <v>ALTINTAŞ/KÜTAHYA</v>
      </c>
      <c r="E2016" t="s">
        <v>639</v>
      </c>
      <c r="F2016" t="s">
        <v>639</v>
      </c>
      <c r="G2016" t="s">
        <v>3367</v>
      </c>
      <c r="H2016">
        <v>398.7</v>
      </c>
      <c r="I2016">
        <v>39.869999999999997</v>
      </c>
      <c r="J2016">
        <v>4393.2</v>
      </c>
      <c r="K2016">
        <v>439.32</v>
      </c>
      <c r="L2016">
        <v>-3994.5</v>
      </c>
      <c r="M2016">
        <v>-399.45</v>
      </c>
      <c r="O2016" s="79">
        <f>IFERROR(VLOOKUP(D2016,'KAPANAN BLD.'!$C$2:$D$793,2,FALSE),0)</f>
        <v>0</v>
      </c>
      <c r="P2016" s="79">
        <v>0</v>
      </c>
    </row>
    <row r="2017" spans="1:16" x14ac:dyDescent="0.25">
      <c r="A2017" t="s">
        <v>32</v>
      </c>
      <c r="B2017" s="73" t="str">
        <f t="shared" si="49"/>
        <v>ALTINTAŞ</v>
      </c>
      <c r="C2017" t="s">
        <v>76</v>
      </c>
      <c r="D2017" s="73" t="str">
        <f t="shared" si="48"/>
        <v>ALTINTAŞ/KÜTAHYA</v>
      </c>
      <c r="E2017" t="s">
        <v>639</v>
      </c>
      <c r="F2017" t="s">
        <v>639</v>
      </c>
      <c r="G2017" t="s">
        <v>3366</v>
      </c>
      <c r="H2017">
        <v>413.2</v>
      </c>
      <c r="I2017">
        <v>41.32</v>
      </c>
      <c r="J2017">
        <v>309.89999999999998</v>
      </c>
      <c r="K2017">
        <v>30.99</v>
      </c>
      <c r="L2017">
        <v>103.3</v>
      </c>
      <c r="M2017">
        <v>10.33</v>
      </c>
      <c r="O2017" s="79">
        <f>IFERROR(VLOOKUP(D2017,'KAPANAN BLD.'!$C$2:$D$793,2,FALSE),0)</f>
        <v>0</v>
      </c>
      <c r="P2017" s="79">
        <v>0</v>
      </c>
    </row>
    <row r="2018" spans="1:16" x14ac:dyDescent="0.25">
      <c r="A2018" t="s">
        <v>32</v>
      </c>
      <c r="B2018" s="73" t="str">
        <f t="shared" si="49"/>
        <v>TAVŞANLI</v>
      </c>
      <c r="C2018" t="s">
        <v>76</v>
      </c>
      <c r="D2018" s="73" t="str">
        <f t="shared" si="48"/>
        <v>TAVŞANLI/KÜTAHYA</v>
      </c>
      <c r="E2018" s="9" t="s">
        <v>374</v>
      </c>
      <c r="F2018" s="9" t="s">
        <v>374</v>
      </c>
      <c r="G2018" t="s">
        <v>3367</v>
      </c>
      <c r="H2018">
        <v>120.9</v>
      </c>
      <c r="I2018">
        <v>12.09</v>
      </c>
      <c r="J2018">
        <v>0</v>
      </c>
      <c r="K2018">
        <v>0</v>
      </c>
      <c r="L2018">
        <v>120.9</v>
      </c>
      <c r="M2018">
        <v>12.09</v>
      </c>
      <c r="O2018" s="79">
        <f>IFERROR(VLOOKUP(D2018,'KAPANAN BLD.'!$C$2:$D$793,2,FALSE),0)</f>
        <v>0</v>
      </c>
      <c r="P2018" s="79">
        <v>0</v>
      </c>
    </row>
    <row r="2019" spans="1:16" x14ac:dyDescent="0.25">
      <c r="A2019" t="s">
        <v>32</v>
      </c>
      <c r="B2019" s="73" t="str">
        <f t="shared" si="49"/>
        <v>TAVŞANLI</v>
      </c>
      <c r="C2019" t="s">
        <v>76</v>
      </c>
      <c r="D2019" s="73" t="str">
        <f t="shared" si="48"/>
        <v>TAVŞANLI/KÜTAHYA</v>
      </c>
      <c r="E2019" s="9" t="s">
        <v>374</v>
      </c>
      <c r="F2019" s="9" t="s">
        <v>374</v>
      </c>
      <c r="G2019" t="s">
        <v>3366</v>
      </c>
      <c r="H2019">
        <v>309.89999999999998</v>
      </c>
      <c r="I2019">
        <v>30.99</v>
      </c>
      <c r="J2019">
        <v>0</v>
      </c>
      <c r="K2019">
        <v>0</v>
      </c>
      <c r="L2019">
        <v>309.89999999999998</v>
      </c>
      <c r="M2019">
        <v>30.99</v>
      </c>
      <c r="O2019" s="79">
        <f>IFERROR(VLOOKUP(D2019,'KAPANAN BLD.'!$C$2:$D$793,2,FALSE),0)</f>
        <v>0</v>
      </c>
      <c r="P2019" s="79">
        <v>0</v>
      </c>
    </row>
    <row r="2020" spans="1:16" x14ac:dyDescent="0.25">
      <c r="A2020" t="s">
        <v>32</v>
      </c>
      <c r="B2020" s="73" t="str">
        <f t="shared" si="49"/>
        <v>ALTINTAŞ</v>
      </c>
      <c r="C2020" t="s">
        <v>76</v>
      </c>
      <c r="D2020" s="73" t="str">
        <f t="shared" si="48"/>
        <v>ALTINTAŞ/KÜTAHYA</v>
      </c>
      <c r="E2020" s="9" t="s">
        <v>639</v>
      </c>
      <c r="F2020" s="9" t="s">
        <v>639</v>
      </c>
      <c r="G2020" t="s">
        <v>3367</v>
      </c>
      <c r="H2020">
        <v>23.7</v>
      </c>
      <c r="I2020">
        <v>2.37</v>
      </c>
      <c r="J2020">
        <v>16.2</v>
      </c>
      <c r="K2020">
        <v>1.62</v>
      </c>
      <c r="L2020">
        <v>7.5</v>
      </c>
      <c r="M2020">
        <v>0.75</v>
      </c>
      <c r="O2020" s="79">
        <f>IFERROR(VLOOKUP(D2020,'KAPANAN BLD.'!$C$2:$D$793,2,FALSE),0)</f>
        <v>0</v>
      </c>
      <c r="P2020" s="79">
        <v>0</v>
      </c>
    </row>
    <row r="2021" spans="1:16" x14ac:dyDescent="0.25">
      <c r="A2021" t="s">
        <v>32</v>
      </c>
      <c r="B2021" s="73" t="str">
        <f t="shared" si="49"/>
        <v>SİMAV</v>
      </c>
      <c r="C2021" t="s">
        <v>76</v>
      </c>
      <c r="D2021" s="73" t="str">
        <f t="shared" si="48"/>
        <v>SİMAV/KÜTAHYA</v>
      </c>
      <c r="E2021" s="9" t="s">
        <v>458</v>
      </c>
      <c r="F2021" s="9" t="s">
        <v>458</v>
      </c>
      <c r="G2021" t="s">
        <v>3367</v>
      </c>
      <c r="H2021">
        <v>33.299999999999997</v>
      </c>
      <c r="I2021">
        <v>3.33</v>
      </c>
      <c r="J2021">
        <v>0</v>
      </c>
      <c r="K2021">
        <v>0</v>
      </c>
      <c r="L2021">
        <v>33.299999999999997</v>
      </c>
      <c r="M2021">
        <v>3.33</v>
      </c>
      <c r="O2021" s="79">
        <f>IFERROR(VLOOKUP(D2021,'KAPANAN BLD.'!$C$2:$D$793,2,FALSE),0)</f>
        <v>0</v>
      </c>
      <c r="P2021" s="79">
        <v>0</v>
      </c>
    </row>
    <row r="2022" spans="1:16" x14ac:dyDescent="0.25">
      <c r="A2022" t="s">
        <v>32</v>
      </c>
      <c r="B2022" s="73" t="str">
        <f t="shared" si="49"/>
        <v>SİMAV</v>
      </c>
      <c r="C2022" t="s">
        <v>76</v>
      </c>
      <c r="D2022" s="73" t="str">
        <f t="shared" si="48"/>
        <v>SİMAV/KÜTAHYA</v>
      </c>
      <c r="E2022" s="9" t="s">
        <v>458</v>
      </c>
      <c r="F2022" s="9" t="s">
        <v>458</v>
      </c>
      <c r="G2022" t="s">
        <v>3366</v>
      </c>
      <c r="H2022">
        <v>10.9</v>
      </c>
      <c r="I2022">
        <v>1.0900000000000001</v>
      </c>
      <c r="J2022">
        <v>0</v>
      </c>
      <c r="K2022">
        <v>0</v>
      </c>
      <c r="L2022">
        <v>10.9</v>
      </c>
      <c r="M2022">
        <v>1.0900000000000001</v>
      </c>
      <c r="O2022" s="79">
        <f>IFERROR(VLOOKUP(D2022,'KAPANAN BLD.'!$C$2:$D$793,2,FALSE),0)</f>
        <v>0</v>
      </c>
      <c r="P2022" s="79">
        <v>0</v>
      </c>
    </row>
    <row r="2023" spans="1:16" x14ac:dyDescent="0.25">
      <c r="A2023" t="s">
        <v>32</v>
      </c>
      <c r="B2023" s="73" t="str">
        <f t="shared" si="49"/>
        <v>GEDİZ</v>
      </c>
      <c r="C2023" t="s">
        <v>76</v>
      </c>
      <c r="D2023" s="73" t="str">
        <f t="shared" si="48"/>
        <v>GEDİZ/KÜTAHYA</v>
      </c>
      <c r="E2023" s="9" t="s">
        <v>307</v>
      </c>
      <c r="F2023" s="9" t="s">
        <v>307</v>
      </c>
      <c r="G2023" t="s">
        <v>3367</v>
      </c>
      <c r="H2023">
        <v>5.4</v>
      </c>
      <c r="I2023">
        <v>0.54</v>
      </c>
      <c r="J2023">
        <v>0</v>
      </c>
      <c r="K2023">
        <v>0</v>
      </c>
      <c r="L2023">
        <v>5.4</v>
      </c>
      <c r="M2023">
        <v>0.54</v>
      </c>
      <c r="O2023" s="79">
        <f>IFERROR(VLOOKUP(D2023,'KAPANAN BLD.'!$C$2:$D$793,2,FALSE),0)</f>
        <v>0</v>
      </c>
      <c r="P2023" s="79">
        <v>0</v>
      </c>
    </row>
    <row r="2024" spans="1:16" x14ac:dyDescent="0.25">
      <c r="A2024" t="s">
        <v>32</v>
      </c>
      <c r="B2024" s="73" t="str">
        <f t="shared" si="49"/>
        <v>GEDİZ</v>
      </c>
      <c r="C2024" t="s">
        <v>76</v>
      </c>
      <c r="D2024" s="73" t="str">
        <f t="shared" si="48"/>
        <v>GEDİZ/KÜTAHYA</v>
      </c>
      <c r="E2024" s="9" t="s">
        <v>307</v>
      </c>
      <c r="F2024" s="9" t="s">
        <v>307</v>
      </c>
      <c r="G2024" t="s">
        <v>3366</v>
      </c>
      <c r="H2024">
        <v>103.3</v>
      </c>
      <c r="I2024">
        <v>10.33</v>
      </c>
      <c r="J2024">
        <v>0</v>
      </c>
      <c r="K2024">
        <v>0</v>
      </c>
      <c r="L2024">
        <v>103.3</v>
      </c>
      <c r="M2024">
        <v>10.33</v>
      </c>
      <c r="O2024" s="79">
        <f>IFERROR(VLOOKUP(D2024,'KAPANAN BLD.'!$C$2:$D$793,2,FALSE),0)</f>
        <v>0</v>
      </c>
      <c r="P2024" s="79">
        <v>0</v>
      </c>
    </row>
    <row r="2025" spans="1:16" x14ac:dyDescent="0.25">
      <c r="A2025" t="s">
        <v>32</v>
      </c>
      <c r="B2025" s="73" t="str">
        <f t="shared" si="49"/>
        <v>GEDİZ</v>
      </c>
      <c r="C2025" t="s">
        <v>76</v>
      </c>
      <c r="D2025" s="73" t="str">
        <f t="shared" si="48"/>
        <v>GEDİZ/KÜTAHYA</v>
      </c>
      <c r="E2025" s="9" t="s">
        <v>307</v>
      </c>
      <c r="F2025" s="9" t="s">
        <v>307</v>
      </c>
      <c r="G2025" t="s">
        <v>3367</v>
      </c>
      <c r="H2025">
        <v>38.799999999999997</v>
      </c>
      <c r="I2025">
        <v>3.88</v>
      </c>
      <c r="J2025">
        <v>0</v>
      </c>
      <c r="K2025">
        <v>0</v>
      </c>
      <c r="L2025">
        <v>38.799999999999997</v>
      </c>
      <c r="M2025">
        <v>3.88</v>
      </c>
      <c r="O2025" s="79">
        <f>IFERROR(VLOOKUP(D2025,'KAPANAN BLD.'!$C$2:$D$793,2,FALSE),0)</f>
        <v>0</v>
      </c>
      <c r="P2025" s="79">
        <v>0</v>
      </c>
    </row>
    <row r="2026" spans="1:16" x14ac:dyDescent="0.25">
      <c r="A2026" t="s">
        <v>32</v>
      </c>
      <c r="B2026" s="73" t="str">
        <f t="shared" si="49"/>
        <v>GEDİZ</v>
      </c>
      <c r="C2026" t="s">
        <v>76</v>
      </c>
      <c r="D2026" s="73" t="str">
        <f t="shared" si="48"/>
        <v>GEDİZ/KÜTAHYA</v>
      </c>
      <c r="E2026" s="9" t="s">
        <v>307</v>
      </c>
      <c r="F2026" s="9" t="s">
        <v>307</v>
      </c>
      <c r="G2026" t="s">
        <v>3366</v>
      </c>
      <c r="H2026">
        <v>21.2</v>
      </c>
      <c r="I2026">
        <v>2.12</v>
      </c>
      <c r="J2026">
        <v>0</v>
      </c>
      <c r="K2026">
        <v>0</v>
      </c>
      <c r="L2026">
        <v>21.2</v>
      </c>
      <c r="M2026">
        <v>2.12</v>
      </c>
      <c r="O2026" s="79">
        <f>IFERROR(VLOOKUP(D2026,'KAPANAN BLD.'!$C$2:$D$793,2,FALSE),0)</f>
        <v>0</v>
      </c>
      <c r="P2026" s="79">
        <v>0</v>
      </c>
    </row>
    <row r="2027" spans="1:16" x14ac:dyDescent="0.25">
      <c r="A2027" t="s">
        <v>32</v>
      </c>
      <c r="B2027" s="73" t="str">
        <f t="shared" si="49"/>
        <v>ÇAVDARHİSAR</v>
      </c>
      <c r="C2027" t="s">
        <v>76</v>
      </c>
      <c r="D2027" s="73" t="str">
        <f t="shared" si="48"/>
        <v>ÇAVDARHİSAR/KÜTAHYA</v>
      </c>
      <c r="E2027" s="9" t="s">
        <v>640</v>
      </c>
      <c r="F2027" s="9" t="s">
        <v>640</v>
      </c>
      <c r="G2027" t="s">
        <v>3367</v>
      </c>
      <c r="H2027">
        <v>2.8</v>
      </c>
      <c r="I2027">
        <v>0.28000000000000003</v>
      </c>
      <c r="J2027">
        <v>0</v>
      </c>
      <c r="K2027">
        <v>0</v>
      </c>
      <c r="L2027">
        <v>2.8</v>
      </c>
      <c r="M2027">
        <v>0.28000000000000003</v>
      </c>
      <c r="O2027" s="79">
        <f>IFERROR(VLOOKUP(D2027,'KAPANAN BLD.'!$C$2:$D$793,2,FALSE),0)</f>
        <v>0</v>
      </c>
      <c r="P2027" s="79">
        <v>0</v>
      </c>
    </row>
    <row r="2028" spans="1:16" x14ac:dyDescent="0.25">
      <c r="A2028" t="s">
        <v>32</v>
      </c>
      <c r="B2028" s="73" t="str">
        <f t="shared" si="49"/>
        <v>ÇAVDARHİSAR</v>
      </c>
      <c r="C2028" t="s">
        <v>76</v>
      </c>
      <c r="D2028" s="73" t="str">
        <f t="shared" si="48"/>
        <v>ÇAVDARHİSAR/KÜTAHYA</v>
      </c>
      <c r="E2028" s="9" t="s">
        <v>640</v>
      </c>
      <c r="F2028" s="9" t="s">
        <v>640</v>
      </c>
      <c r="G2028" t="s">
        <v>3366</v>
      </c>
      <c r="H2028">
        <v>46.9</v>
      </c>
      <c r="I2028">
        <v>4.6900000000000004</v>
      </c>
      <c r="J2028">
        <v>0</v>
      </c>
      <c r="K2028">
        <v>0</v>
      </c>
      <c r="L2028">
        <v>46.9</v>
      </c>
      <c r="M2028">
        <v>4.6900000000000004</v>
      </c>
      <c r="O2028" s="79">
        <f>IFERROR(VLOOKUP(D2028,'KAPANAN BLD.'!$C$2:$D$793,2,FALSE),0)</f>
        <v>0</v>
      </c>
      <c r="P2028" s="79">
        <v>0</v>
      </c>
    </row>
    <row r="2029" spans="1:16" x14ac:dyDescent="0.25">
      <c r="A2029" t="s">
        <v>32</v>
      </c>
      <c r="B2029" s="73" t="str">
        <f t="shared" si="49"/>
        <v>HİSARCIK</v>
      </c>
      <c r="C2029" t="s">
        <v>76</v>
      </c>
      <c r="D2029" s="73" t="str">
        <f t="shared" si="48"/>
        <v>HİSARCIK/KÜTAHYA</v>
      </c>
      <c r="E2029" t="s">
        <v>2393</v>
      </c>
      <c r="F2029" t="s">
        <v>2393</v>
      </c>
      <c r="G2029" t="s">
        <v>3367</v>
      </c>
      <c r="H2029">
        <v>5.4</v>
      </c>
      <c r="I2029">
        <v>0.54</v>
      </c>
      <c r="J2029">
        <v>0</v>
      </c>
      <c r="K2029">
        <v>0</v>
      </c>
      <c r="L2029">
        <v>5.4</v>
      </c>
      <c r="M2029">
        <v>0.54</v>
      </c>
      <c r="O2029" s="79">
        <f>IFERROR(VLOOKUP(D2029,'KAPANAN BLD.'!$C$2:$D$793,2,FALSE),0)</f>
        <v>0</v>
      </c>
      <c r="P2029" s="79">
        <v>0</v>
      </c>
    </row>
    <row r="2030" spans="1:16" x14ac:dyDescent="0.25">
      <c r="A2030" t="s">
        <v>32</v>
      </c>
      <c r="B2030" s="73" t="str">
        <f t="shared" si="49"/>
        <v>HİSARCIK</v>
      </c>
      <c r="C2030" t="s">
        <v>76</v>
      </c>
      <c r="D2030" s="73" t="str">
        <f t="shared" si="48"/>
        <v>HİSARCIK/KÜTAHYA</v>
      </c>
      <c r="E2030" t="s">
        <v>2393</v>
      </c>
      <c r="F2030" t="s">
        <v>2393</v>
      </c>
      <c r="G2030" t="s">
        <v>3366</v>
      </c>
      <c r="H2030">
        <v>103.3</v>
      </c>
      <c r="I2030">
        <v>10.33</v>
      </c>
      <c r="J2030">
        <v>0</v>
      </c>
      <c r="K2030">
        <v>0</v>
      </c>
      <c r="L2030">
        <v>103.3</v>
      </c>
      <c r="M2030">
        <v>10.33</v>
      </c>
      <c r="O2030" s="79">
        <f>IFERROR(VLOOKUP(D2030,'KAPANAN BLD.'!$C$2:$D$793,2,FALSE),0)</f>
        <v>0</v>
      </c>
      <c r="P2030" s="79">
        <v>0</v>
      </c>
    </row>
    <row r="2031" spans="1:16" x14ac:dyDescent="0.25">
      <c r="A2031" t="s">
        <v>32</v>
      </c>
      <c r="B2031" s="73" t="str">
        <f t="shared" si="49"/>
        <v>SİMAV</v>
      </c>
      <c r="C2031" t="s">
        <v>76</v>
      </c>
      <c r="D2031" s="73" t="str">
        <f t="shared" si="48"/>
        <v>SİMAV/KÜTAHYA</v>
      </c>
      <c r="E2031" s="9" t="s">
        <v>458</v>
      </c>
      <c r="F2031" s="9" t="s">
        <v>458</v>
      </c>
      <c r="G2031" t="s">
        <v>3367</v>
      </c>
      <c r="H2031">
        <v>148.6</v>
      </c>
      <c r="I2031">
        <v>14.86</v>
      </c>
      <c r="J2031">
        <v>0</v>
      </c>
      <c r="K2031">
        <v>0</v>
      </c>
      <c r="L2031">
        <v>148.6</v>
      </c>
      <c r="M2031">
        <v>14.86</v>
      </c>
      <c r="O2031" s="79">
        <f>IFERROR(VLOOKUP(D2031,'KAPANAN BLD.'!$C$2:$D$793,2,FALSE),0)</f>
        <v>0</v>
      </c>
      <c r="P2031" s="79">
        <v>0</v>
      </c>
    </row>
    <row r="2032" spans="1:16" x14ac:dyDescent="0.25">
      <c r="A2032" t="s">
        <v>32</v>
      </c>
      <c r="B2032" s="73" t="str">
        <f t="shared" si="49"/>
        <v>SİMAV</v>
      </c>
      <c r="C2032" t="s">
        <v>76</v>
      </c>
      <c r="D2032" s="73" t="str">
        <f t="shared" si="48"/>
        <v>SİMAV/KÜTAHYA</v>
      </c>
      <c r="E2032" s="9" t="s">
        <v>458</v>
      </c>
      <c r="F2032" s="9" t="s">
        <v>458</v>
      </c>
      <c r="G2032" t="s">
        <v>3366</v>
      </c>
      <c r="H2032">
        <v>65.7</v>
      </c>
      <c r="I2032">
        <v>6.57</v>
      </c>
      <c r="J2032">
        <v>0</v>
      </c>
      <c r="K2032">
        <v>0</v>
      </c>
      <c r="L2032">
        <v>65.7</v>
      </c>
      <c r="M2032">
        <v>6.57</v>
      </c>
      <c r="O2032" s="79">
        <f>IFERROR(VLOOKUP(D2032,'KAPANAN BLD.'!$C$2:$D$793,2,FALSE),0)</f>
        <v>0</v>
      </c>
      <c r="P2032" s="79">
        <v>0</v>
      </c>
    </row>
    <row r="2033" spans="1:16" x14ac:dyDescent="0.25">
      <c r="A2033" t="s">
        <v>32</v>
      </c>
      <c r="B2033" s="73" t="str">
        <f t="shared" si="49"/>
        <v>ŞAPHANE</v>
      </c>
      <c r="C2033" t="s">
        <v>76</v>
      </c>
      <c r="D2033" s="73" t="str">
        <f t="shared" si="48"/>
        <v>ŞAPHANE/KÜTAHYA</v>
      </c>
      <c r="E2033" s="9" t="s">
        <v>643</v>
      </c>
      <c r="F2033" s="9" t="s">
        <v>643</v>
      </c>
      <c r="G2033" t="s">
        <v>3367</v>
      </c>
      <c r="H2033">
        <v>155.6</v>
      </c>
      <c r="I2033">
        <v>15.56</v>
      </c>
      <c r="J2033">
        <v>0</v>
      </c>
      <c r="K2033">
        <v>0</v>
      </c>
      <c r="L2033">
        <v>155.6</v>
      </c>
      <c r="M2033">
        <v>15.56</v>
      </c>
      <c r="O2033" s="79">
        <f>IFERROR(VLOOKUP(D2033,'KAPANAN BLD.'!$C$2:$D$793,2,FALSE),0)</f>
        <v>0</v>
      </c>
      <c r="P2033" s="79">
        <v>0</v>
      </c>
    </row>
    <row r="2034" spans="1:16" x14ac:dyDescent="0.25">
      <c r="A2034" t="s">
        <v>32</v>
      </c>
      <c r="B2034" s="73" t="str">
        <f t="shared" si="49"/>
        <v>ŞAPHANE</v>
      </c>
      <c r="C2034" t="s">
        <v>76</v>
      </c>
      <c r="D2034" s="73" t="str">
        <f t="shared" si="48"/>
        <v>ŞAPHANE/KÜTAHYA</v>
      </c>
      <c r="E2034" s="9" t="s">
        <v>643</v>
      </c>
      <c r="F2034" s="9" t="s">
        <v>643</v>
      </c>
      <c r="G2034" t="s">
        <v>3366</v>
      </c>
      <c r="H2034">
        <v>107.3</v>
      </c>
      <c r="I2034">
        <v>10.73</v>
      </c>
      <c r="J2034">
        <v>0</v>
      </c>
      <c r="K2034">
        <v>0</v>
      </c>
      <c r="L2034">
        <v>107.3</v>
      </c>
      <c r="M2034">
        <v>10.73</v>
      </c>
      <c r="O2034" s="79">
        <f>IFERROR(VLOOKUP(D2034,'KAPANAN BLD.'!$C$2:$D$793,2,FALSE),0)</f>
        <v>0</v>
      </c>
      <c r="P2034" s="79">
        <v>0</v>
      </c>
    </row>
    <row r="2035" spans="1:16" x14ac:dyDescent="0.25">
      <c r="A2035" t="s">
        <v>32</v>
      </c>
      <c r="B2035" s="73" t="str">
        <f t="shared" si="49"/>
        <v>SİMAV</v>
      </c>
      <c r="C2035" t="s">
        <v>76</v>
      </c>
      <c r="D2035" s="73" t="str">
        <f t="shared" si="48"/>
        <v>SİMAV/KÜTAHYA</v>
      </c>
      <c r="E2035" s="9" t="s">
        <v>458</v>
      </c>
      <c r="F2035" s="9" t="s">
        <v>458</v>
      </c>
      <c r="G2035" t="s">
        <v>3367</v>
      </c>
      <c r="H2035">
        <v>22.2</v>
      </c>
      <c r="I2035">
        <v>2.2200000000000002</v>
      </c>
      <c r="J2035">
        <v>0</v>
      </c>
      <c r="K2035">
        <v>0</v>
      </c>
      <c r="L2035">
        <v>22.2</v>
      </c>
      <c r="M2035">
        <v>2.2200000000000002</v>
      </c>
      <c r="O2035" s="79">
        <f>IFERROR(VLOOKUP(D2035,'KAPANAN BLD.'!$C$2:$D$793,2,FALSE),0)</f>
        <v>0</v>
      </c>
      <c r="P2035" s="79">
        <v>0</v>
      </c>
    </row>
    <row r="2036" spans="1:16" x14ac:dyDescent="0.25">
      <c r="A2036" t="s">
        <v>32</v>
      </c>
      <c r="B2036" s="73" t="str">
        <f t="shared" si="49"/>
        <v>TAVŞANLI</v>
      </c>
      <c r="C2036" t="s">
        <v>76</v>
      </c>
      <c r="D2036" s="73" t="str">
        <f t="shared" si="48"/>
        <v>TAVŞANLI/KÜTAHYA</v>
      </c>
      <c r="E2036" s="9" t="s">
        <v>374</v>
      </c>
      <c r="F2036" s="9" t="s">
        <v>374</v>
      </c>
      <c r="G2036" t="s">
        <v>3367</v>
      </c>
      <c r="H2036">
        <v>5.4</v>
      </c>
      <c r="I2036">
        <v>0.54</v>
      </c>
      <c r="J2036">
        <v>0</v>
      </c>
      <c r="K2036">
        <v>0</v>
      </c>
      <c r="L2036">
        <v>5.4</v>
      </c>
      <c r="M2036">
        <v>0.54</v>
      </c>
      <c r="O2036" s="79">
        <f>IFERROR(VLOOKUP(D2036,'KAPANAN BLD.'!$C$2:$D$793,2,FALSE),0)</f>
        <v>0</v>
      </c>
      <c r="P2036" s="79">
        <v>0</v>
      </c>
    </row>
    <row r="2037" spans="1:16" x14ac:dyDescent="0.25">
      <c r="A2037" t="s">
        <v>32</v>
      </c>
      <c r="B2037" s="73" t="str">
        <f t="shared" si="49"/>
        <v>TAVŞANLI</v>
      </c>
      <c r="C2037" t="s">
        <v>76</v>
      </c>
      <c r="D2037" s="73" t="str">
        <f t="shared" si="48"/>
        <v>TAVŞANLI/KÜTAHYA</v>
      </c>
      <c r="E2037" s="9" t="s">
        <v>374</v>
      </c>
      <c r="F2037" s="9" t="s">
        <v>374</v>
      </c>
      <c r="G2037" t="s">
        <v>3366</v>
      </c>
      <c r="H2037">
        <v>103.3</v>
      </c>
      <c r="I2037">
        <v>10.33</v>
      </c>
      <c r="J2037">
        <v>0</v>
      </c>
      <c r="K2037">
        <v>0</v>
      </c>
      <c r="L2037">
        <v>103.3</v>
      </c>
      <c r="M2037">
        <v>10.33</v>
      </c>
      <c r="O2037" s="79">
        <f>IFERROR(VLOOKUP(D2037,'KAPANAN BLD.'!$C$2:$D$793,2,FALSE),0)</f>
        <v>0</v>
      </c>
      <c r="P2037" s="79">
        <v>0</v>
      </c>
    </row>
    <row r="2038" spans="1:16" x14ac:dyDescent="0.25">
      <c r="A2038" t="s">
        <v>32</v>
      </c>
      <c r="B2038" s="73" t="str">
        <f t="shared" si="49"/>
        <v>MERKEZ</v>
      </c>
      <c r="C2038" t="s">
        <v>76</v>
      </c>
      <c r="D2038" s="73" t="str">
        <f t="shared" si="48"/>
        <v>MERKEZ/KÜTAHYA</v>
      </c>
      <c r="E2038" t="s">
        <v>34</v>
      </c>
      <c r="F2038" t="s">
        <v>34</v>
      </c>
      <c r="G2038" t="s">
        <v>3366</v>
      </c>
      <c r="H2038">
        <v>5794.6</v>
      </c>
      <c r="I2038">
        <v>579.46</v>
      </c>
      <c r="J2038">
        <v>410.5</v>
      </c>
      <c r="K2038">
        <v>41.05</v>
      </c>
      <c r="L2038">
        <v>5384.1</v>
      </c>
      <c r="M2038">
        <v>538.41</v>
      </c>
      <c r="O2038" s="79">
        <f>IFERROR(VLOOKUP(D2038,'KAPANAN BLD.'!$C$2:$D$793,2,FALSE),0)</f>
        <v>0</v>
      </c>
      <c r="P2038" s="79">
        <v>0</v>
      </c>
    </row>
    <row r="2039" spans="1:16" x14ac:dyDescent="0.25">
      <c r="A2039" t="s">
        <v>32</v>
      </c>
      <c r="B2039" s="73" t="str">
        <f t="shared" si="49"/>
        <v>MERKEZ</v>
      </c>
      <c r="C2039" t="s">
        <v>76</v>
      </c>
      <c r="D2039" s="73" t="str">
        <f t="shared" si="48"/>
        <v>MERKEZ/KÜTAHYA</v>
      </c>
      <c r="E2039" t="s">
        <v>34</v>
      </c>
      <c r="F2039" t="s">
        <v>34</v>
      </c>
      <c r="G2039" t="s">
        <v>3367</v>
      </c>
      <c r="H2039">
        <v>4069.1</v>
      </c>
      <c r="I2039">
        <v>406.91</v>
      </c>
      <c r="J2039">
        <v>45.7</v>
      </c>
      <c r="K2039">
        <v>4.57</v>
      </c>
      <c r="L2039">
        <v>4023.4</v>
      </c>
      <c r="M2039">
        <v>402.34</v>
      </c>
      <c r="O2039" s="79">
        <f>IFERROR(VLOOKUP(D2039,'KAPANAN BLD.'!$C$2:$D$793,2,FALSE),0)</f>
        <v>0</v>
      </c>
      <c r="P2039" s="79">
        <v>0</v>
      </c>
    </row>
    <row r="2040" spans="1:16" x14ac:dyDescent="0.25">
      <c r="A2040" t="s">
        <v>32</v>
      </c>
      <c r="B2040" s="73" t="str">
        <f t="shared" si="49"/>
        <v>MERKEZ</v>
      </c>
      <c r="C2040" t="s">
        <v>76</v>
      </c>
      <c r="D2040" s="73" t="str">
        <f t="shared" si="48"/>
        <v>MERKEZ/KÜTAHYA</v>
      </c>
      <c r="E2040" t="s">
        <v>34</v>
      </c>
      <c r="F2040" t="s">
        <v>34</v>
      </c>
      <c r="G2040" t="s">
        <v>3367</v>
      </c>
      <c r="H2040">
        <v>597.20000000000005</v>
      </c>
      <c r="I2040">
        <v>59.72</v>
      </c>
      <c r="J2040">
        <v>10.8</v>
      </c>
      <c r="K2040">
        <v>1.08</v>
      </c>
      <c r="L2040">
        <v>586.4</v>
      </c>
      <c r="M2040">
        <v>58.64</v>
      </c>
      <c r="O2040" s="79">
        <f>IFERROR(VLOOKUP(D2040,'KAPANAN BLD.'!$C$2:$D$793,2,FALSE),0)</f>
        <v>0</v>
      </c>
      <c r="P2040" s="79">
        <v>0</v>
      </c>
    </row>
    <row r="2041" spans="1:16" x14ac:dyDescent="0.25">
      <c r="A2041" t="s">
        <v>32</v>
      </c>
      <c r="B2041" s="73" t="str">
        <f t="shared" si="49"/>
        <v>MERKEZ</v>
      </c>
      <c r="C2041" t="s">
        <v>76</v>
      </c>
      <c r="D2041" s="73" t="str">
        <f t="shared" si="48"/>
        <v>MERKEZ/KÜTAHYA</v>
      </c>
      <c r="E2041" t="s">
        <v>34</v>
      </c>
      <c r="F2041" t="s">
        <v>34</v>
      </c>
      <c r="G2041" t="s">
        <v>3366</v>
      </c>
      <c r="H2041">
        <v>4476.0600000000004</v>
      </c>
      <c r="I2041">
        <v>447.6</v>
      </c>
      <c r="J2041">
        <v>206.6</v>
      </c>
      <c r="K2041">
        <v>20.66</v>
      </c>
      <c r="L2041">
        <v>4269.46</v>
      </c>
      <c r="M2041">
        <v>426.94</v>
      </c>
      <c r="O2041" s="79">
        <f>IFERROR(VLOOKUP(D2041,'KAPANAN BLD.'!$C$2:$D$793,2,FALSE),0)</f>
        <v>0</v>
      </c>
      <c r="P2041" s="79">
        <v>0</v>
      </c>
    </row>
    <row r="2042" spans="1:16" x14ac:dyDescent="0.25">
      <c r="A2042" t="s">
        <v>32</v>
      </c>
      <c r="B2042" s="73" t="str">
        <f t="shared" si="49"/>
        <v>SİMAV</v>
      </c>
      <c r="C2042" t="s">
        <v>76</v>
      </c>
      <c r="D2042" s="73" t="str">
        <f t="shared" si="48"/>
        <v>SİMAV/KÜTAHYA</v>
      </c>
      <c r="E2042" s="9" t="s">
        <v>458</v>
      </c>
      <c r="F2042" s="9" t="s">
        <v>458</v>
      </c>
      <c r="G2042" t="s">
        <v>3367</v>
      </c>
      <c r="H2042">
        <v>0.3</v>
      </c>
      <c r="I2042">
        <v>0.03</v>
      </c>
      <c r="J2042">
        <v>0</v>
      </c>
      <c r="K2042">
        <v>0</v>
      </c>
      <c r="L2042">
        <v>0.3</v>
      </c>
      <c r="M2042">
        <v>0.03</v>
      </c>
      <c r="O2042" s="79">
        <f>IFERROR(VLOOKUP(D2042,'KAPANAN BLD.'!$C$2:$D$793,2,FALSE),0)</f>
        <v>0</v>
      </c>
      <c r="P2042" s="79">
        <v>0</v>
      </c>
    </row>
    <row r="2043" spans="1:16" x14ac:dyDescent="0.25">
      <c r="A2043" t="s">
        <v>32</v>
      </c>
      <c r="B2043" s="73" t="str">
        <f t="shared" si="49"/>
        <v>SİMAV</v>
      </c>
      <c r="C2043" t="s">
        <v>76</v>
      </c>
      <c r="D2043" s="73" t="str">
        <f t="shared" si="48"/>
        <v>SİMAV/KÜTAHYA</v>
      </c>
      <c r="E2043" s="9" t="s">
        <v>458</v>
      </c>
      <c r="F2043" s="9" t="s">
        <v>458</v>
      </c>
      <c r="G2043" t="s">
        <v>3366</v>
      </c>
      <c r="H2043">
        <v>5.4</v>
      </c>
      <c r="I2043">
        <v>0.54</v>
      </c>
      <c r="J2043">
        <v>0</v>
      </c>
      <c r="K2043">
        <v>0</v>
      </c>
      <c r="L2043">
        <v>5.4</v>
      </c>
      <c r="M2043">
        <v>0.54</v>
      </c>
      <c r="O2043" s="79">
        <f>IFERROR(VLOOKUP(D2043,'KAPANAN BLD.'!$C$2:$D$793,2,FALSE),0)</f>
        <v>0</v>
      </c>
      <c r="P2043" s="79">
        <v>0</v>
      </c>
    </row>
    <row r="2044" spans="1:16" x14ac:dyDescent="0.25">
      <c r="A2044" t="s">
        <v>32</v>
      </c>
      <c r="B2044" s="73" t="str">
        <f t="shared" si="49"/>
        <v>PAZARLAR</v>
      </c>
      <c r="C2044" t="s">
        <v>76</v>
      </c>
      <c r="D2044" s="73" t="str">
        <f t="shared" si="48"/>
        <v>PAZARLAR/KÜTAHYA</v>
      </c>
      <c r="E2044" t="s">
        <v>4355</v>
      </c>
      <c r="F2044" t="s">
        <v>4355</v>
      </c>
      <c r="G2044" t="s">
        <v>3367</v>
      </c>
      <c r="H2044">
        <v>394.8</v>
      </c>
      <c r="I2044">
        <v>39.479999999999997</v>
      </c>
      <c r="J2044">
        <v>0</v>
      </c>
      <c r="K2044">
        <v>0</v>
      </c>
      <c r="L2044">
        <v>394.8</v>
      </c>
      <c r="M2044">
        <v>39.479999999999997</v>
      </c>
      <c r="O2044" s="79">
        <f>IFERROR(VLOOKUP(D2044,'KAPANAN BLD.'!$C$2:$D$793,2,FALSE),0)</f>
        <v>0</v>
      </c>
      <c r="P2044" s="79">
        <v>0</v>
      </c>
    </row>
    <row r="2045" spans="1:16" x14ac:dyDescent="0.25">
      <c r="A2045" t="s">
        <v>32</v>
      </c>
      <c r="B2045" s="73" t="str">
        <f t="shared" si="49"/>
        <v>PAZARLAR</v>
      </c>
      <c r="C2045" t="s">
        <v>76</v>
      </c>
      <c r="D2045" s="73" t="str">
        <f t="shared" si="48"/>
        <v>PAZARLAR/KÜTAHYA</v>
      </c>
      <c r="E2045" t="s">
        <v>4355</v>
      </c>
      <c r="F2045" t="s">
        <v>4355</v>
      </c>
      <c r="G2045" t="s">
        <v>3366</v>
      </c>
      <c r="H2045">
        <v>7046.4</v>
      </c>
      <c r="I2045">
        <v>704.64</v>
      </c>
      <c r="J2045">
        <v>0</v>
      </c>
      <c r="K2045">
        <v>0</v>
      </c>
      <c r="L2045">
        <v>7046.4</v>
      </c>
      <c r="M2045">
        <v>704.64</v>
      </c>
      <c r="O2045" s="79">
        <f>IFERROR(VLOOKUP(D2045,'KAPANAN BLD.'!$C$2:$D$793,2,FALSE),0)</f>
        <v>0</v>
      </c>
      <c r="P2045" s="79">
        <v>0</v>
      </c>
    </row>
    <row r="2046" spans="1:16" x14ac:dyDescent="0.25">
      <c r="A2046" t="s">
        <v>32</v>
      </c>
      <c r="B2046" s="73" t="str">
        <f t="shared" si="49"/>
        <v>MERKEZ</v>
      </c>
      <c r="C2046" t="s">
        <v>76</v>
      </c>
      <c r="D2046" s="73" t="str">
        <f t="shared" si="48"/>
        <v>MERKEZ/KÜTAHYA</v>
      </c>
      <c r="E2046" s="9" t="s">
        <v>34</v>
      </c>
      <c r="F2046" s="9" t="s">
        <v>34</v>
      </c>
      <c r="G2046" t="s">
        <v>3367</v>
      </c>
      <c r="H2046">
        <v>3082</v>
      </c>
      <c r="I2046">
        <v>308.2</v>
      </c>
      <c r="J2046">
        <v>3.7</v>
      </c>
      <c r="K2046">
        <v>0.37</v>
      </c>
      <c r="L2046">
        <v>3078.3</v>
      </c>
      <c r="M2046">
        <v>307.83</v>
      </c>
      <c r="O2046" s="79">
        <f>IFERROR(VLOOKUP(D2046,'KAPANAN BLD.'!$C$2:$D$793,2,FALSE),0)</f>
        <v>0</v>
      </c>
      <c r="P2046" s="79">
        <v>0</v>
      </c>
    </row>
    <row r="2047" spans="1:16" x14ac:dyDescent="0.25">
      <c r="A2047" t="s">
        <v>32</v>
      </c>
      <c r="B2047" s="73" t="str">
        <f t="shared" si="49"/>
        <v>MERKEZ</v>
      </c>
      <c r="C2047" t="s">
        <v>76</v>
      </c>
      <c r="D2047" s="73" t="str">
        <f t="shared" si="48"/>
        <v>MERKEZ/KÜTAHYA</v>
      </c>
      <c r="E2047" s="9" t="s">
        <v>34</v>
      </c>
      <c r="F2047" s="9" t="s">
        <v>34</v>
      </c>
      <c r="G2047" t="s">
        <v>3366</v>
      </c>
      <c r="H2047">
        <v>20213.099999999999</v>
      </c>
      <c r="I2047">
        <v>2021.31</v>
      </c>
      <c r="J2047">
        <v>0</v>
      </c>
      <c r="K2047">
        <v>0</v>
      </c>
      <c r="L2047">
        <v>20213.099999999999</v>
      </c>
      <c r="M2047">
        <v>2021.31</v>
      </c>
      <c r="O2047" s="79">
        <f>IFERROR(VLOOKUP(D2047,'KAPANAN BLD.'!$C$2:$D$793,2,FALSE),0)</f>
        <v>0</v>
      </c>
      <c r="P2047" s="79">
        <v>0</v>
      </c>
    </row>
    <row r="2048" spans="1:16" x14ac:dyDescent="0.25">
      <c r="A2048" t="s">
        <v>32</v>
      </c>
      <c r="B2048" s="73" t="str">
        <f t="shared" si="49"/>
        <v>SİMAV</v>
      </c>
      <c r="C2048" t="s">
        <v>76</v>
      </c>
      <c r="D2048" s="73" t="str">
        <f t="shared" si="48"/>
        <v>SİMAV/KÜTAHYA</v>
      </c>
      <c r="E2048" s="9" t="s">
        <v>458</v>
      </c>
      <c r="F2048" s="9" t="s">
        <v>458</v>
      </c>
      <c r="G2048" t="s">
        <v>3366</v>
      </c>
      <c r="H2048">
        <v>805.6</v>
      </c>
      <c r="I2048">
        <v>80.56</v>
      </c>
      <c r="J2048">
        <v>0</v>
      </c>
      <c r="K2048">
        <v>0</v>
      </c>
      <c r="L2048">
        <v>805.6</v>
      </c>
      <c r="M2048">
        <v>80.56</v>
      </c>
      <c r="O2048" s="79">
        <f>IFERROR(VLOOKUP(D2048,'KAPANAN BLD.'!$C$2:$D$793,2,FALSE),0)</f>
        <v>0</v>
      </c>
      <c r="P2048" s="79">
        <v>0</v>
      </c>
    </row>
    <row r="2049" spans="1:16" x14ac:dyDescent="0.25">
      <c r="A2049" t="s">
        <v>32</v>
      </c>
      <c r="B2049" s="73" t="str">
        <f t="shared" si="49"/>
        <v>SİMAV</v>
      </c>
      <c r="C2049" t="s">
        <v>76</v>
      </c>
      <c r="D2049" s="73" t="str">
        <f t="shared" si="48"/>
        <v>SİMAV/KÜTAHYA</v>
      </c>
      <c r="E2049" s="9" t="s">
        <v>458</v>
      </c>
      <c r="F2049" s="9" t="s">
        <v>458</v>
      </c>
      <c r="G2049" t="s">
        <v>3367</v>
      </c>
      <c r="H2049">
        <v>138.4</v>
      </c>
      <c r="I2049">
        <v>13.84</v>
      </c>
      <c r="J2049">
        <v>0</v>
      </c>
      <c r="K2049">
        <v>0</v>
      </c>
      <c r="L2049">
        <v>138.4</v>
      </c>
      <c r="M2049">
        <v>13.84</v>
      </c>
      <c r="O2049" s="79">
        <f>IFERROR(VLOOKUP(D2049,'KAPANAN BLD.'!$C$2:$D$793,2,FALSE),0)</f>
        <v>0</v>
      </c>
      <c r="P2049" s="79">
        <v>0</v>
      </c>
    </row>
    <row r="2050" spans="1:16" x14ac:dyDescent="0.25">
      <c r="A2050" t="s">
        <v>32</v>
      </c>
      <c r="B2050" s="73" t="str">
        <f t="shared" si="49"/>
        <v>TAVŞANLI</v>
      </c>
      <c r="C2050" t="s">
        <v>76</v>
      </c>
      <c r="D2050" s="73" t="str">
        <f t="shared" si="48"/>
        <v>TAVŞANLI/KÜTAHYA</v>
      </c>
      <c r="E2050" t="s">
        <v>374</v>
      </c>
      <c r="F2050" t="s">
        <v>374</v>
      </c>
      <c r="G2050" t="s">
        <v>3367</v>
      </c>
      <c r="H2050">
        <v>554.9</v>
      </c>
      <c r="I2050">
        <v>55.49</v>
      </c>
      <c r="J2050">
        <v>0</v>
      </c>
      <c r="K2050">
        <v>0</v>
      </c>
      <c r="L2050">
        <v>554.9</v>
      </c>
      <c r="M2050">
        <v>55.49</v>
      </c>
      <c r="O2050" s="79">
        <f>IFERROR(VLOOKUP(D2050,'KAPANAN BLD.'!$C$2:$D$793,2,FALSE),0)</f>
        <v>0</v>
      </c>
      <c r="P2050" s="79">
        <v>0</v>
      </c>
    </row>
    <row r="2051" spans="1:16" x14ac:dyDescent="0.25">
      <c r="A2051" t="s">
        <v>32</v>
      </c>
      <c r="B2051" s="73" t="str">
        <f t="shared" si="49"/>
        <v>TAVŞANLI</v>
      </c>
      <c r="C2051" t="s">
        <v>76</v>
      </c>
      <c r="D2051" s="73" t="str">
        <f t="shared" ref="D2051:D2114" si="50">CONCATENATE(B2051,"/",C2051)</f>
        <v>TAVŞANLI/KÜTAHYA</v>
      </c>
      <c r="E2051" t="s">
        <v>374</v>
      </c>
      <c r="F2051" t="s">
        <v>374</v>
      </c>
      <c r="G2051" t="s">
        <v>3366</v>
      </c>
      <c r="H2051">
        <v>1256.9000000000001</v>
      </c>
      <c r="I2051">
        <v>125.69</v>
      </c>
      <c r="J2051">
        <v>0</v>
      </c>
      <c r="K2051">
        <v>0</v>
      </c>
      <c r="L2051">
        <v>1256.9000000000001</v>
      </c>
      <c r="M2051">
        <v>125.69</v>
      </c>
      <c r="O2051" s="79">
        <f>IFERROR(VLOOKUP(D2051,'KAPANAN BLD.'!$C$2:$D$793,2,FALSE),0)</f>
        <v>0</v>
      </c>
      <c r="P2051" s="79">
        <v>0</v>
      </c>
    </row>
    <row r="2052" spans="1:16" x14ac:dyDescent="0.25">
      <c r="A2052" t="s">
        <v>32</v>
      </c>
      <c r="B2052" s="73" t="str">
        <f t="shared" si="49"/>
        <v>TAVŞANLI</v>
      </c>
      <c r="C2052" t="s">
        <v>76</v>
      </c>
      <c r="D2052" s="73" t="str">
        <f t="shared" si="50"/>
        <v>TAVŞANLI/KÜTAHYA</v>
      </c>
      <c r="E2052" s="9" t="s">
        <v>374</v>
      </c>
      <c r="F2052" s="9" t="s">
        <v>374</v>
      </c>
      <c r="G2052" t="s">
        <v>3367</v>
      </c>
      <c r="H2052">
        <v>435.8</v>
      </c>
      <c r="I2052">
        <v>43.58</v>
      </c>
      <c r="J2052">
        <v>5.4</v>
      </c>
      <c r="K2052">
        <v>0.54</v>
      </c>
      <c r="L2052">
        <v>430.4</v>
      </c>
      <c r="M2052">
        <v>43.04</v>
      </c>
      <c r="O2052" s="79">
        <f>IFERROR(VLOOKUP(D2052,'KAPANAN BLD.'!$C$2:$D$793,2,FALSE),0)</f>
        <v>0</v>
      </c>
      <c r="P2052" s="79">
        <v>0</v>
      </c>
    </row>
    <row r="2053" spans="1:16" x14ac:dyDescent="0.25">
      <c r="A2053" t="s">
        <v>32</v>
      </c>
      <c r="B2053" s="73" t="str">
        <f t="shared" si="49"/>
        <v>TAVŞANLI</v>
      </c>
      <c r="C2053" t="s">
        <v>76</v>
      </c>
      <c r="D2053" s="73" t="str">
        <f t="shared" si="50"/>
        <v>TAVŞANLI/KÜTAHYA</v>
      </c>
      <c r="E2053" s="9" t="s">
        <v>374</v>
      </c>
      <c r="F2053" s="9" t="s">
        <v>374</v>
      </c>
      <c r="G2053" t="s">
        <v>3366</v>
      </c>
      <c r="H2053">
        <v>512.4</v>
      </c>
      <c r="I2053">
        <v>51.24</v>
      </c>
      <c r="J2053">
        <v>103.3</v>
      </c>
      <c r="K2053">
        <v>10.33</v>
      </c>
      <c r="L2053">
        <v>409.1</v>
      </c>
      <c r="M2053">
        <v>40.909999999999997</v>
      </c>
      <c r="O2053" s="79">
        <f>IFERROR(VLOOKUP(D2053,'KAPANAN BLD.'!$C$2:$D$793,2,FALSE),0)</f>
        <v>0</v>
      </c>
      <c r="P2053" s="79">
        <v>0</v>
      </c>
    </row>
    <row r="2054" spans="1:16" x14ac:dyDescent="0.25">
      <c r="A2054" t="s">
        <v>32</v>
      </c>
      <c r="B2054" s="73" t="str">
        <f t="shared" si="49"/>
        <v>TAVŞANLI</v>
      </c>
      <c r="C2054" t="s">
        <v>76</v>
      </c>
      <c r="D2054" s="73" t="str">
        <f t="shared" si="50"/>
        <v>TAVŞANLI/KÜTAHYA</v>
      </c>
      <c r="E2054" s="9" t="s">
        <v>374</v>
      </c>
      <c r="F2054" s="9" t="s">
        <v>374</v>
      </c>
      <c r="G2054" t="s">
        <v>3367</v>
      </c>
      <c r="H2054">
        <v>399.8</v>
      </c>
      <c r="I2054">
        <v>39.979999999999997</v>
      </c>
      <c r="J2054">
        <v>0</v>
      </c>
      <c r="K2054">
        <v>0</v>
      </c>
      <c r="L2054">
        <v>399.8</v>
      </c>
      <c r="M2054">
        <v>39.979999999999997</v>
      </c>
      <c r="O2054" s="79">
        <f>IFERROR(VLOOKUP(D2054,'KAPANAN BLD.'!$C$2:$D$793,2,FALSE),0)</f>
        <v>0</v>
      </c>
      <c r="P2054" s="79">
        <v>0</v>
      </c>
    </row>
    <row r="2055" spans="1:16" x14ac:dyDescent="0.25">
      <c r="A2055" t="s">
        <v>32</v>
      </c>
      <c r="B2055" s="73" t="str">
        <f t="shared" si="49"/>
        <v>TAVŞANLI</v>
      </c>
      <c r="C2055" t="s">
        <v>76</v>
      </c>
      <c r="D2055" s="73" t="str">
        <f t="shared" si="50"/>
        <v>TAVŞANLI/KÜTAHYA</v>
      </c>
      <c r="E2055" s="9" t="s">
        <v>374</v>
      </c>
      <c r="F2055" s="9" t="s">
        <v>374</v>
      </c>
      <c r="G2055" t="s">
        <v>3366</v>
      </c>
      <c r="H2055">
        <v>408.2</v>
      </c>
      <c r="I2055">
        <v>40.82</v>
      </c>
      <c r="J2055">
        <v>0</v>
      </c>
      <c r="K2055">
        <v>0</v>
      </c>
      <c r="L2055">
        <v>408.2</v>
      </c>
      <c r="M2055">
        <v>40.82</v>
      </c>
      <c r="O2055" s="79">
        <f>IFERROR(VLOOKUP(D2055,'KAPANAN BLD.'!$C$2:$D$793,2,FALSE),0)</f>
        <v>0</v>
      </c>
      <c r="P2055" s="79">
        <v>0</v>
      </c>
    </row>
    <row r="2056" spans="1:16" x14ac:dyDescent="0.25">
      <c r="A2056" t="s">
        <v>32</v>
      </c>
      <c r="B2056" s="73" t="str">
        <f t="shared" si="49"/>
        <v>SİMAV</v>
      </c>
      <c r="C2056" t="s">
        <v>76</v>
      </c>
      <c r="D2056" s="73" t="str">
        <f t="shared" si="50"/>
        <v>SİMAV/KÜTAHYA</v>
      </c>
      <c r="E2056" s="9" t="s">
        <v>458</v>
      </c>
      <c r="F2056" s="9" t="s">
        <v>458</v>
      </c>
      <c r="G2056" t="s">
        <v>3367</v>
      </c>
      <c r="H2056">
        <v>45</v>
      </c>
      <c r="I2056">
        <v>4.5</v>
      </c>
      <c r="J2056">
        <v>0</v>
      </c>
      <c r="K2056">
        <v>0</v>
      </c>
      <c r="L2056">
        <v>45</v>
      </c>
      <c r="M2056">
        <v>4.5</v>
      </c>
      <c r="O2056" s="79">
        <f>IFERROR(VLOOKUP(D2056,'KAPANAN BLD.'!$C$2:$D$793,2,FALSE),0)</f>
        <v>0</v>
      </c>
      <c r="P2056" s="79">
        <v>0</v>
      </c>
    </row>
    <row r="2057" spans="1:16" x14ac:dyDescent="0.25">
      <c r="A2057" t="s">
        <v>32</v>
      </c>
      <c r="B2057" s="73" t="str">
        <f t="shared" si="49"/>
        <v>SİMAV</v>
      </c>
      <c r="C2057" t="s">
        <v>76</v>
      </c>
      <c r="D2057" s="73" t="str">
        <f t="shared" si="50"/>
        <v>SİMAV/KÜTAHYA</v>
      </c>
      <c r="E2057" s="9" t="s">
        <v>458</v>
      </c>
      <c r="F2057" s="9" t="s">
        <v>458</v>
      </c>
      <c r="G2057" t="s">
        <v>3366</v>
      </c>
      <c r="H2057">
        <v>402.8</v>
      </c>
      <c r="I2057">
        <v>40.28</v>
      </c>
      <c r="J2057">
        <v>0</v>
      </c>
      <c r="K2057">
        <v>0</v>
      </c>
      <c r="L2057">
        <v>402.8</v>
      </c>
      <c r="M2057">
        <v>40.28</v>
      </c>
      <c r="O2057" s="79">
        <f>IFERROR(VLOOKUP(D2057,'KAPANAN BLD.'!$C$2:$D$793,2,FALSE),0)</f>
        <v>0</v>
      </c>
      <c r="P2057" s="79">
        <v>0</v>
      </c>
    </row>
    <row r="2058" spans="1:16" x14ac:dyDescent="0.25">
      <c r="A2058" t="s">
        <v>32</v>
      </c>
      <c r="B2058" s="73" t="str">
        <f t="shared" si="49"/>
        <v>SİMAV</v>
      </c>
      <c r="C2058" t="s">
        <v>76</v>
      </c>
      <c r="D2058" s="73" t="str">
        <f t="shared" si="50"/>
        <v>SİMAV/KÜTAHYA</v>
      </c>
      <c r="E2058" s="9" t="s">
        <v>458</v>
      </c>
      <c r="F2058" s="9" t="s">
        <v>458</v>
      </c>
      <c r="G2058" t="s">
        <v>3367</v>
      </c>
      <c r="H2058">
        <v>182.1</v>
      </c>
      <c r="I2058">
        <v>18.21</v>
      </c>
      <c r="J2058">
        <v>0</v>
      </c>
      <c r="K2058">
        <v>0</v>
      </c>
      <c r="L2058">
        <v>182.1</v>
      </c>
      <c r="M2058">
        <v>18.21</v>
      </c>
      <c r="O2058" s="79">
        <f>IFERROR(VLOOKUP(D2058,'KAPANAN BLD.'!$C$2:$D$793,2,FALSE),0)</f>
        <v>0</v>
      </c>
      <c r="P2058" s="79">
        <v>0</v>
      </c>
    </row>
    <row r="2059" spans="1:16" x14ac:dyDescent="0.25">
      <c r="A2059" t="s">
        <v>32</v>
      </c>
      <c r="B2059" s="73" t="str">
        <f t="shared" si="49"/>
        <v>SİMAV</v>
      </c>
      <c r="C2059" t="s">
        <v>76</v>
      </c>
      <c r="D2059" s="73" t="str">
        <f t="shared" si="50"/>
        <v>SİMAV/KÜTAHYA</v>
      </c>
      <c r="E2059" s="9" t="s">
        <v>458</v>
      </c>
      <c r="F2059" s="9" t="s">
        <v>458</v>
      </c>
      <c r="G2059" t="s">
        <v>3367</v>
      </c>
      <c r="H2059">
        <v>69.7</v>
      </c>
      <c r="I2059">
        <v>6.97</v>
      </c>
      <c r="J2059">
        <v>0</v>
      </c>
      <c r="K2059">
        <v>0</v>
      </c>
      <c r="L2059">
        <v>69.7</v>
      </c>
      <c r="M2059">
        <v>6.97</v>
      </c>
      <c r="O2059" s="79">
        <f>IFERROR(VLOOKUP(D2059,'KAPANAN BLD.'!$C$2:$D$793,2,FALSE),0)</f>
        <v>0</v>
      </c>
      <c r="P2059" s="79">
        <v>0</v>
      </c>
    </row>
    <row r="2060" spans="1:16" x14ac:dyDescent="0.25">
      <c r="A2060" t="s">
        <v>32</v>
      </c>
      <c r="B2060" s="73" t="str">
        <f t="shared" si="49"/>
        <v>SİMAV</v>
      </c>
      <c r="C2060" t="s">
        <v>76</v>
      </c>
      <c r="D2060" s="73" t="str">
        <f t="shared" si="50"/>
        <v>SİMAV/KÜTAHYA</v>
      </c>
      <c r="E2060" s="9" t="s">
        <v>458</v>
      </c>
      <c r="F2060" s="9" t="s">
        <v>458</v>
      </c>
      <c r="G2060" t="s">
        <v>3366</v>
      </c>
      <c r="H2060">
        <v>30.8</v>
      </c>
      <c r="I2060">
        <v>3.08</v>
      </c>
      <c r="J2060">
        <v>0</v>
      </c>
      <c r="K2060">
        <v>0</v>
      </c>
      <c r="L2060">
        <v>30.8</v>
      </c>
      <c r="M2060">
        <v>3.08</v>
      </c>
      <c r="O2060" s="79">
        <f>IFERROR(VLOOKUP(D2060,'KAPANAN BLD.'!$C$2:$D$793,2,FALSE),0)</f>
        <v>0</v>
      </c>
      <c r="P2060" s="79">
        <v>0</v>
      </c>
    </row>
    <row r="2061" spans="1:16" x14ac:dyDescent="0.25">
      <c r="A2061" t="s">
        <v>32</v>
      </c>
      <c r="B2061" s="73" t="str">
        <f t="shared" si="49"/>
        <v>GEDİZ</v>
      </c>
      <c r="C2061" t="s">
        <v>76</v>
      </c>
      <c r="D2061" s="73" t="str">
        <f t="shared" si="50"/>
        <v>GEDİZ/KÜTAHYA</v>
      </c>
      <c r="E2061" s="9" t="s">
        <v>307</v>
      </c>
      <c r="F2061" s="9" t="s">
        <v>307</v>
      </c>
      <c r="G2061" t="s">
        <v>3367</v>
      </c>
      <c r="H2061">
        <v>69.7</v>
      </c>
      <c r="I2061">
        <v>6.97</v>
      </c>
      <c r="J2061">
        <v>0</v>
      </c>
      <c r="K2061">
        <v>0</v>
      </c>
      <c r="L2061">
        <v>69.7</v>
      </c>
      <c r="M2061">
        <v>6.97</v>
      </c>
      <c r="O2061" s="79">
        <f>IFERROR(VLOOKUP(D2061,'KAPANAN BLD.'!$C$2:$D$793,2,FALSE),0)</f>
        <v>0</v>
      </c>
      <c r="P2061" s="79">
        <v>0</v>
      </c>
    </row>
    <row r="2062" spans="1:16" x14ac:dyDescent="0.25">
      <c r="A2062" t="s">
        <v>32</v>
      </c>
      <c r="B2062" s="73" t="str">
        <f t="shared" si="49"/>
        <v>GEDİZ</v>
      </c>
      <c r="C2062" t="s">
        <v>76</v>
      </c>
      <c r="D2062" s="73" t="str">
        <f t="shared" si="50"/>
        <v>GEDİZ/KÜTAHYA</v>
      </c>
      <c r="E2062" s="9" t="s">
        <v>307</v>
      </c>
      <c r="F2062" s="9" t="s">
        <v>307</v>
      </c>
      <c r="G2062" t="s">
        <v>3366</v>
      </c>
      <c r="H2062">
        <v>31</v>
      </c>
      <c r="I2062">
        <v>3.1</v>
      </c>
      <c r="J2062">
        <v>0</v>
      </c>
      <c r="K2062">
        <v>0</v>
      </c>
      <c r="L2062">
        <v>31</v>
      </c>
      <c r="M2062">
        <v>3.1</v>
      </c>
      <c r="O2062" s="79">
        <f>IFERROR(VLOOKUP(D2062,'KAPANAN BLD.'!$C$2:$D$793,2,FALSE),0)</f>
        <v>0</v>
      </c>
      <c r="P2062" s="79">
        <v>0</v>
      </c>
    </row>
    <row r="2063" spans="1:16" x14ac:dyDescent="0.25">
      <c r="A2063" t="s">
        <v>32</v>
      </c>
      <c r="B2063" s="73" t="str">
        <f t="shared" si="49"/>
        <v>GEDİZ</v>
      </c>
      <c r="C2063" t="s">
        <v>76</v>
      </c>
      <c r="D2063" s="73" t="str">
        <f t="shared" si="50"/>
        <v>GEDİZ/KÜTAHYA</v>
      </c>
      <c r="E2063" s="9" t="s">
        <v>307</v>
      </c>
      <c r="F2063" s="9" t="s">
        <v>307</v>
      </c>
      <c r="G2063" t="s">
        <v>3367</v>
      </c>
      <c r="H2063">
        <v>5.4</v>
      </c>
      <c r="I2063">
        <v>0.54</v>
      </c>
      <c r="J2063">
        <v>0</v>
      </c>
      <c r="K2063">
        <v>0</v>
      </c>
      <c r="L2063">
        <v>5.4</v>
      </c>
      <c r="M2063">
        <v>0.54</v>
      </c>
      <c r="O2063" s="79">
        <f>IFERROR(VLOOKUP(D2063,'KAPANAN BLD.'!$C$2:$D$793,2,FALSE),0)</f>
        <v>0</v>
      </c>
      <c r="P2063" s="79">
        <v>0</v>
      </c>
    </row>
    <row r="2064" spans="1:16" x14ac:dyDescent="0.25">
      <c r="A2064" t="s">
        <v>32</v>
      </c>
      <c r="B2064" s="73" t="str">
        <f t="shared" si="49"/>
        <v>GEDİZ</v>
      </c>
      <c r="C2064" t="s">
        <v>76</v>
      </c>
      <c r="D2064" s="73" t="str">
        <f t="shared" si="50"/>
        <v>GEDİZ/KÜTAHYA</v>
      </c>
      <c r="E2064" s="9" t="s">
        <v>307</v>
      </c>
      <c r="F2064" s="9" t="s">
        <v>307</v>
      </c>
      <c r="G2064" t="s">
        <v>3366</v>
      </c>
      <c r="H2064">
        <v>103.3</v>
      </c>
      <c r="I2064">
        <v>10.33</v>
      </c>
      <c r="J2064">
        <v>0</v>
      </c>
      <c r="K2064">
        <v>0</v>
      </c>
      <c r="L2064">
        <v>103.3</v>
      </c>
      <c r="M2064">
        <v>10.33</v>
      </c>
      <c r="O2064" s="79">
        <f>IFERROR(VLOOKUP(D2064,'KAPANAN BLD.'!$C$2:$D$793,2,FALSE),0)</f>
        <v>0</v>
      </c>
      <c r="P2064" s="79">
        <v>0</v>
      </c>
    </row>
    <row r="2065" spans="1:16" x14ac:dyDescent="0.25">
      <c r="A2065" t="s">
        <v>32</v>
      </c>
      <c r="B2065" s="73" t="str">
        <f t="shared" si="49"/>
        <v>ALTINTAŞ</v>
      </c>
      <c r="C2065" t="s">
        <v>76</v>
      </c>
      <c r="D2065" s="73" t="str">
        <f t="shared" si="50"/>
        <v>ALTINTAŞ/KÜTAHYA</v>
      </c>
      <c r="E2065" s="9" t="s">
        <v>639</v>
      </c>
      <c r="F2065" s="9" t="s">
        <v>639</v>
      </c>
      <c r="G2065" t="s">
        <v>3366</v>
      </c>
      <c r="H2065">
        <v>1115.5</v>
      </c>
      <c r="I2065">
        <v>111.55</v>
      </c>
      <c r="J2065">
        <v>413.2</v>
      </c>
      <c r="K2065">
        <v>41.32</v>
      </c>
      <c r="L2065">
        <v>702.3</v>
      </c>
      <c r="M2065">
        <v>70.23</v>
      </c>
      <c r="O2065" s="79">
        <f>IFERROR(VLOOKUP(D2065,'KAPANAN BLD.'!$C$2:$D$793,2,FALSE),0)</f>
        <v>0</v>
      </c>
      <c r="P2065" s="79">
        <v>0</v>
      </c>
    </row>
    <row r="2066" spans="1:16" x14ac:dyDescent="0.25">
      <c r="A2066" t="s">
        <v>32</v>
      </c>
      <c r="B2066" s="73" t="str">
        <f t="shared" si="49"/>
        <v>ALTINTAŞ</v>
      </c>
      <c r="C2066" t="s">
        <v>76</v>
      </c>
      <c r="D2066" s="73" t="str">
        <f t="shared" si="50"/>
        <v>ALTINTAŞ/KÜTAHYA</v>
      </c>
      <c r="E2066" s="9" t="s">
        <v>639</v>
      </c>
      <c r="F2066" s="9" t="s">
        <v>639</v>
      </c>
      <c r="G2066" t="s">
        <v>3367</v>
      </c>
      <c r="H2066">
        <v>266.5</v>
      </c>
      <c r="I2066">
        <v>26.65</v>
      </c>
      <c r="J2066">
        <v>21.6</v>
      </c>
      <c r="K2066">
        <v>2.16</v>
      </c>
      <c r="L2066">
        <v>244.9</v>
      </c>
      <c r="M2066">
        <v>24.49</v>
      </c>
      <c r="O2066" s="79">
        <f>IFERROR(VLOOKUP(D2066,'KAPANAN BLD.'!$C$2:$D$793,2,FALSE),0)</f>
        <v>0</v>
      </c>
      <c r="P2066" s="79">
        <v>0</v>
      </c>
    </row>
    <row r="2067" spans="1:16" x14ac:dyDescent="0.25">
      <c r="A2067" t="s">
        <v>32</v>
      </c>
      <c r="B2067" s="73" t="str">
        <f>VLOOKUP(C2067,'Büyükşehir List'!$C$2:$D$31,2,FALSE)</f>
        <v>MALATYA BÜYÜKŞEHİR</v>
      </c>
      <c r="C2067" t="s">
        <v>120</v>
      </c>
      <c r="D2067" s="73" t="str">
        <f t="shared" si="50"/>
        <v>MALATYA BÜYÜKŞEHİR/MALATYA</v>
      </c>
      <c r="E2067" t="s">
        <v>644</v>
      </c>
      <c r="F2067" t="s">
        <v>644</v>
      </c>
      <c r="G2067" t="s">
        <v>3367</v>
      </c>
      <c r="H2067">
        <v>241.8</v>
      </c>
      <c r="I2067">
        <v>24.18</v>
      </c>
      <c r="J2067">
        <v>0</v>
      </c>
      <c r="K2067">
        <v>0</v>
      </c>
      <c r="L2067">
        <v>241.8</v>
      </c>
      <c r="M2067">
        <v>24.18</v>
      </c>
      <c r="O2067" s="79">
        <f>IFERROR(VLOOKUP(D2067,'KAPANAN BLD.'!$C$2:$D$793,2,FALSE),0)</f>
        <v>0</v>
      </c>
      <c r="P2067" s="79">
        <v>0</v>
      </c>
    </row>
    <row r="2068" spans="1:16" x14ac:dyDescent="0.25">
      <c r="A2068" t="s">
        <v>32</v>
      </c>
      <c r="B2068" s="73" t="str">
        <f>VLOOKUP(C2068,'Büyükşehir List'!$C$2:$D$31,2,FALSE)</f>
        <v>MALATYA BÜYÜKŞEHİR</v>
      </c>
      <c r="C2068" t="s">
        <v>120</v>
      </c>
      <c r="D2068" s="73" t="str">
        <f t="shared" si="50"/>
        <v>MALATYA BÜYÜKŞEHİR/MALATYA</v>
      </c>
      <c r="E2068" t="s">
        <v>375</v>
      </c>
      <c r="F2068" t="s">
        <v>375</v>
      </c>
      <c r="G2068" t="s">
        <v>3366</v>
      </c>
      <c r="H2068">
        <v>2856.9</v>
      </c>
      <c r="I2068">
        <v>285.69</v>
      </c>
      <c r="J2068">
        <v>88.1</v>
      </c>
      <c r="K2068">
        <v>8.81</v>
      </c>
      <c r="L2068">
        <v>2768.8</v>
      </c>
      <c r="M2068">
        <v>276.88</v>
      </c>
      <c r="O2068" s="79">
        <f>IFERROR(VLOOKUP(D2068,'KAPANAN BLD.'!$C$2:$D$793,2,FALSE),0)</f>
        <v>0</v>
      </c>
      <c r="P2068" s="79">
        <v>0</v>
      </c>
    </row>
    <row r="2069" spans="1:16" x14ac:dyDescent="0.25">
      <c r="A2069" t="s">
        <v>32</v>
      </c>
      <c r="B2069" s="73" t="str">
        <f>VLOOKUP(C2069,'Büyükşehir List'!$C$2:$D$31,2,FALSE)</f>
        <v>MALATYA BÜYÜKŞEHİR</v>
      </c>
      <c r="C2069" t="s">
        <v>120</v>
      </c>
      <c r="D2069" s="73" t="str">
        <f t="shared" si="50"/>
        <v>MALATYA BÜYÜKŞEHİR/MALATYA</v>
      </c>
      <c r="E2069" t="s">
        <v>375</v>
      </c>
      <c r="F2069" t="s">
        <v>375</v>
      </c>
      <c r="G2069" t="s">
        <v>3367</v>
      </c>
      <c r="H2069">
        <v>3037.7</v>
      </c>
      <c r="I2069">
        <v>303.77</v>
      </c>
      <c r="J2069">
        <v>2.8</v>
      </c>
      <c r="K2069">
        <v>0.28000000000000003</v>
      </c>
      <c r="L2069">
        <v>3034.9</v>
      </c>
      <c r="M2069">
        <v>303.49</v>
      </c>
      <c r="O2069" s="79">
        <f>IFERROR(VLOOKUP(D2069,'KAPANAN BLD.'!$C$2:$D$793,2,FALSE),0)</f>
        <v>0</v>
      </c>
      <c r="P2069" s="79">
        <v>0</v>
      </c>
    </row>
    <row r="2070" spans="1:16" x14ac:dyDescent="0.25">
      <c r="A2070" t="s">
        <v>32</v>
      </c>
      <c r="B2070" s="73" t="str">
        <f>VLOOKUP(C2070,'Büyükşehir List'!$C$2:$D$31,2,FALSE)</f>
        <v>MALATYA BÜYÜKŞEHİR</v>
      </c>
      <c r="C2070" t="s">
        <v>120</v>
      </c>
      <c r="D2070" s="73" t="str">
        <f t="shared" si="50"/>
        <v>MALATYA BÜYÜKŞEHİR/MALATYA</v>
      </c>
      <c r="E2070" t="s">
        <v>288</v>
      </c>
      <c r="F2070" t="s">
        <v>288</v>
      </c>
      <c r="G2070" t="s">
        <v>3367</v>
      </c>
      <c r="H2070">
        <v>3569.2</v>
      </c>
      <c r="I2070">
        <v>356.92</v>
      </c>
      <c r="J2070">
        <v>12.3</v>
      </c>
      <c r="K2070">
        <v>1.23</v>
      </c>
      <c r="L2070">
        <v>3556.9</v>
      </c>
      <c r="M2070">
        <v>355.69</v>
      </c>
      <c r="O2070" s="79">
        <f>IFERROR(VLOOKUP(D2070,'KAPANAN BLD.'!$C$2:$D$793,2,FALSE),0)</f>
        <v>0</v>
      </c>
      <c r="P2070" s="79">
        <v>0</v>
      </c>
    </row>
    <row r="2071" spans="1:16" x14ac:dyDescent="0.25">
      <c r="A2071" t="s">
        <v>32</v>
      </c>
      <c r="B2071" s="73" t="str">
        <f>VLOOKUP(C2071,'Büyükşehir List'!$C$2:$D$31,2,FALSE)</f>
        <v>MALATYA BÜYÜKŞEHİR</v>
      </c>
      <c r="C2071" t="s">
        <v>120</v>
      </c>
      <c r="D2071" s="73" t="str">
        <f t="shared" si="50"/>
        <v>MALATYA BÜYÜKŞEHİR/MALATYA</v>
      </c>
      <c r="E2071" t="s">
        <v>288</v>
      </c>
      <c r="F2071" t="s">
        <v>288</v>
      </c>
      <c r="G2071" t="s">
        <v>3366</v>
      </c>
      <c r="H2071">
        <v>4489.7</v>
      </c>
      <c r="I2071">
        <v>448.97</v>
      </c>
      <c r="J2071">
        <v>61</v>
      </c>
      <c r="K2071">
        <v>6.1</v>
      </c>
      <c r="L2071">
        <v>4428.7</v>
      </c>
      <c r="M2071">
        <v>442.87</v>
      </c>
      <c r="O2071" s="79">
        <f>IFERROR(VLOOKUP(D2071,'KAPANAN BLD.'!$C$2:$D$793,2,FALSE),0)</f>
        <v>0</v>
      </c>
      <c r="P2071" s="79">
        <v>0</v>
      </c>
    </row>
    <row r="2072" spans="1:16" x14ac:dyDescent="0.25">
      <c r="A2072" t="s">
        <v>32</v>
      </c>
      <c r="B2072" s="73" t="str">
        <f>VLOOKUP(C2072,'Büyükşehir List'!$C$2:$D$31,2,FALSE)</f>
        <v>MALATYA BÜYÜKŞEHİR</v>
      </c>
      <c r="C2072" t="s">
        <v>120</v>
      </c>
      <c r="D2072" s="73" t="str">
        <f t="shared" si="50"/>
        <v>MALATYA BÜYÜKŞEHİR/MALATYA</v>
      </c>
      <c r="E2072" t="s">
        <v>647</v>
      </c>
      <c r="F2072" t="s">
        <v>647</v>
      </c>
      <c r="G2072" t="s">
        <v>3366</v>
      </c>
      <c r="H2072">
        <v>262.10000000000002</v>
      </c>
      <c r="I2072">
        <v>26.21</v>
      </c>
      <c r="J2072">
        <v>0</v>
      </c>
      <c r="K2072">
        <v>0</v>
      </c>
      <c r="L2072">
        <v>262.10000000000002</v>
      </c>
      <c r="M2072">
        <v>26.21</v>
      </c>
      <c r="O2072" s="79">
        <f>IFERROR(VLOOKUP(D2072,'KAPANAN BLD.'!$C$2:$D$793,2,FALSE),0)</f>
        <v>0</v>
      </c>
      <c r="P2072" s="79">
        <v>0</v>
      </c>
    </row>
    <row r="2073" spans="1:16" x14ac:dyDescent="0.25">
      <c r="A2073" t="s">
        <v>32</v>
      </c>
      <c r="B2073" s="73" t="str">
        <f>VLOOKUP(C2073,'Büyükşehir List'!$C$2:$D$31,2,FALSE)</f>
        <v>MALATYA BÜYÜKŞEHİR</v>
      </c>
      <c r="C2073" t="s">
        <v>120</v>
      </c>
      <c r="D2073" s="73" t="str">
        <f t="shared" si="50"/>
        <v>MALATYA BÜYÜKŞEHİR/MALATYA</v>
      </c>
      <c r="E2073" t="s">
        <v>647</v>
      </c>
      <c r="F2073" t="s">
        <v>647</v>
      </c>
      <c r="G2073" t="s">
        <v>3367</v>
      </c>
      <c r="H2073">
        <v>480.5</v>
      </c>
      <c r="I2073">
        <v>48.05</v>
      </c>
      <c r="J2073">
        <v>0</v>
      </c>
      <c r="K2073">
        <v>0</v>
      </c>
      <c r="L2073">
        <v>480.5</v>
      </c>
      <c r="M2073">
        <v>48.05</v>
      </c>
      <c r="O2073" s="79">
        <f>IFERROR(VLOOKUP(D2073,'KAPANAN BLD.'!$C$2:$D$793,2,FALSE),0)</f>
        <v>0</v>
      </c>
      <c r="P2073" s="79">
        <v>0</v>
      </c>
    </row>
    <row r="2074" spans="1:16" x14ac:dyDescent="0.25">
      <c r="A2074" t="s">
        <v>32</v>
      </c>
      <c r="B2074" s="73" t="str">
        <f>VLOOKUP(C2074,'Büyükşehir List'!$C$2:$D$31,2,FALSE)</f>
        <v>MALATYA BÜYÜKŞEHİR</v>
      </c>
      <c r="C2074" t="s">
        <v>120</v>
      </c>
      <c r="D2074" s="73" t="str">
        <f t="shared" si="50"/>
        <v>MALATYA BÜYÜKŞEHİR/MALATYA</v>
      </c>
      <c r="E2074" t="s">
        <v>3793</v>
      </c>
      <c r="F2074" t="s">
        <v>3793</v>
      </c>
      <c r="G2074" t="s">
        <v>3367</v>
      </c>
      <c r="H2074">
        <v>7469.7</v>
      </c>
      <c r="I2074">
        <v>746.97</v>
      </c>
      <c r="J2074">
        <v>1806.3</v>
      </c>
      <c r="K2074">
        <v>180.63</v>
      </c>
      <c r="L2074">
        <v>5663.4</v>
      </c>
      <c r="M2074">
        <v>566.34</v>
      </c>
      <c r="O2074" s="79">
        <f>IFERROR(VLOOKUP(D2074,'KAPANAN BLD.'!$C$2:$D$793,2,FALSE),0)</f>
        <v>0</v>
      </c>
      <c r="P2074" s="79">
        <v>0</v>
      </c>
    </row>
    <row r="2075" spans="1:16" x14ac:dyDescent="0.25">
      <c r="A2075" t="s">
        <v>32</v>
      </c>
      <c r="B2075" s="73" t="str">
        <f>VLOOKUP(C2075,'Büyükşehir List'!$C$2:$D$31,2,FALSE)</f>
        <v>MALATYA BÜYÜKŞEHİR</v>
      </c>
      <c r="C2075" t="s">
        <v>120</v>
      </c>
      <c r="D2075" s="73" t="str">
        <f t="shared" si="50"/>
        <v>MALATYA BÜYÜKŞEHİR/MALATYA</v>
      </c>
      <c r="E2075" t="s">
        <v>3793</v>
      </c>
      <c r="F2075" t="s">
        <v>3793</v>
      </c>
      <c r="G2075" t="s">
        <v>3366</v>
      </c>
      <c r="H2075">
        <v>6951.6</v>
      </c>
      <c r="I2075">
        <v>695.16</v>
      </c>
      <c r="J2075">
        <v>8.5</v>
      </c>
      <c r="K2075">
        <v>0.85</v>
      </c>
      <c r="L2075">
        <v>6943.1</v>
      </c>
      <c r="M2075">
        <v>694.31</v>
      </c>
      <c r="O2075" s="79">
        <f>IFERROR(VLOOKUP(D2075,'KAPANAN BLD.'!$C$2:$D$793,2,FALSE),0)</f>
        <v>0</v>
      </c>
      <c r="P2075" s="79">
        <v>0</v>
      </c>
    </row>
    <row r="2076" spans="1:16" x14ac:dyDescent="0.25">
      <c r="A2076" t="s">
        <v>32</v>
      </c>
      <c r="B2076" s="73" t="str">
        <f>VLOOKUP(C2076,'Büyükşehir List'!$C$2:$D$31,2,FALSE)</f>
        <v>MALATYA BÜYÜKŞEHİR</v>
      </c>
      <c r="C2076" t="s">
        <v>120</v>
      </c>
      <c r="D2076" s="73" t="str">
        <f t="shared" si="50"/>
        <v>MALATYA BÜYÜKŞEHİR/MALATYA</v>
      </c>
      <c r="E2076" t="s">
        <v>3794</v>
      </c>
      <c r="F2076" t="s">
        <v>3794</v>
      </c>
      <c r="G2076" t="s">
        <v>3366</v>
      </c>
      <c r="H2076">
        <v>1760.2</v>
      </c>
      <c r="I2076">
        <v>176.02</v>
      </c>
      <c r="J2076">
        <v>0</v>
      </c>
      <c r="K2076">
        <v>0</v>
      </c>
      <c r="L2076">
        <v>1760.2</v>
      </c>
      <c r="M2076">
        <v>176.02</v>
      </c>
      <c r="O2076" s="79">
        <f>IFERROR(VLOOKUP(D2076,'KAPANAN BLD.'!$C$2:$D$793,2,FALSE),0)</f>
        <v>0</v>
      </c>
      <c r="P2076" s="79">
        <v>0</v>
      </c>
    </row>
    <row r="2077" spans="1:16" x14ac:dyDescent="0.25">
      <c r="A2077" t="s">
        <v>32</v>
      </c>
      <c r="B2077" s="73" t="str">
        <f>VLOOKUP(C2077,'Büyükşehir List'!$C$2:$D$31,2,FALSE)</f>
        <v>MALATYA BÜYÜKŞEHİR</v>
      </c>
      <c r="C2077" t="s">
        <v>120</v>
      </c>
      <c r="D2077" s="73" t="str">
        <f t="shared" si="50"/>
        <v>MALATYA BÜYÜKŞEHİR/MALATYA</v>
      </c>
      <c r="E2077" t="s">
        <v>3794</v>
      </c>
      <c r="F2077" t="s">
        <v>3794</v>
      </c>
      <c r="G2077" t="s">
        <v>3367</v>
      </c>
      <c r="H2077">
        <v>3792.4</v>
      </c>
      <c r="I2077">
        <v>379.24</v>
      </c>
      <c r="J2077">
        <v>0</v>
      </c>
      <c r="K2077">
        <v>0</v>
      </c>
      <c r="L2077">
        <v>3792.4</v>
      </c>
      <c r="M2077">
        <v>379.24</v>
      </c>
      <c r="O2077" s="79">
        <f>IFERROR(VLOOKUP(D2077,'KAPANAN BLD.'!$C$2:$D$793,2,FALSE),0)</f>
        <v>0</v>
      </c>
      <c r="P2077" s="79">
        <v>0</v>
      </c>
    </row>
    <row r="2078" spans="1:16" x14ac:dyDescent="0.25">
      <c r="A2078" t="s">
        <v>32</v>
      </c>
      <c r="B2078" s="73" t="str">
        <f>VLOOKUP(C2078,'Büyükşehir List'!$C$2:$D$31,2,FALSE)</f>
        <v>MALATYA BÜYÜKŞEHİR</v>
      </c>
      <c r="C2078" t="s">
        <v>120</v>
      </c>
      <c r="D2078" s="73" t="str">
        <f t="shared" si="50"/>
        <v>MALATYA BÜYÜKŞEHİR/MALATYA</v>
      </c>
      <c r="E2078" t="s">
        <v>3795</v>
      </c>
      <c r="F2078" t="s">
        <v>3795</v>
      </c>
      <c r="G2078" t="s">
        <v>3367</v>
      </c>
      <c r="H2078">
        <v>7898.54</v>
      </c>
      <c r="I2078">
        <v>789.85</v>
      </c>
      <c r="J2078">
        <v>262</v>
      </c>
      <c r="K2078">
        <v>26.2</v>
      </c>
      <c r="L2078">
        <v>7636.54</v>
      </c>
      <c r="M2078">
        <v>763.65</v>
      </c>
      <c r="O2078" s="79">
        <f>IFERROR(VLOOKUP(D2078,'KAPANAN BLD.'!$C$2:$D$793,2,FALSE),0)</f>
        <v>0</v>
      </c>
      <c r="P2078" s="79">
        <v>0</v>
      </c>
    </row>
    <row r="2079" spans="1:16" x14ac:dyDescent="0.25">
      <c r="A2079" t="s">
        <v>32</v>
      </c>
      <c r="B2079" s="73" t="str">
        <f>VLOOKUP(C2079,'Büyükşehir List'!$C$2:$D$31,2,FALSE)</f>
        <v>MALATYA BÜYÜKŞEHİR</v>
      </c>
      <c r="C2079" t="s">
        <v>120</v>
      </c>
      <c r="D2079" s="73" t="str">
        <f t="shared" si="50"/>
        <v>MALATYA BÜYÜKŞEHİR/MALATYA</v>
      </c>
      <c r="E2079" t="s">
        <v>3795</v>
      </c>
      <c r="F2079" t="s">
        <v>3795</v>
      </c>
      <c r="G2079" t="s">
        <v>3366</v>
      </c>
      <c r="H2079">
        <v>7951</v>
      </c>
      <c r="I2079">
        <v>795.1</v>
      </c>
      <c r="J2079">
        <v>2077.9</v>
      </c>
      <c r="K2079">
        <v>207.79</v>
      </c>
      <c r="L2079">
        <v>5873.1</v>
      </c>
      <c r="M2079">
        <v>587.30999999999995</v>
      </c>
      <c r="O2079" s="79">
        <f>IFERROR(VLOOKUP(D2079,'KAPANAN BLD.'!$C$2:$D$793,2,FALSE),0)</f>
        <v>0</v>
      </c>
      <c r="P2079" s="79">
        <v>0</v>
      </c>
    </row>
    <row r="2080" spans="1:16" x14ac:dyDescent="0.25">
      <c r="A2080" t="s">
        <v>32</v>
      </c>
      <c r="B2080" s="73" t="str">
        <f>VLOOKUP(C2080,'Büyükşehir List'!$C$2:$D$31,2,FALSE)</f>
        <v>MALATYA BÜYÜKŞEHİR</v>
      </c>
      <c r="C2080" t="s">
        <v>120</v>
      </c>
      <c r="D2080" s="73" t="str">
        <f t="shared" si="50"/>
        <v>MALATYA BÜYÜKŞEHİR/MALATYA</v>
      </c>
      <c r="E2080" t="s">
        <v>4516</v>
      </c>
      <c r="F2080" t="s">
        <v>4516</v>
      </c>
      <c r="G2080" t="s">
        <v>3367</v>
      </c>
      <c r="H2080">
        <v>5.4</v>
      </c>
      <c r="I2080">
        <v>0.54</v>
      </c>
      <c r="J2080">
        <v>0</v>
      </c>
      <c r="K2080">
        <v>0</v>
      </c>
      <c r="L2080">
        <v>5.4</v>
      </c>
      <c r="M2080">
        <v>0.54</v>
      </c>
      <c r="O2080" s="79">
        <f>IFERROR(VLOOKUP(D2080,'KAPANAN BLD.'!$C$2:$D$793,2,FALSE),0)</f>
        <v>0</v>
      </c>
      <c r="P2080" s="79">
        <v>0</v>
      </c>
    </row>
    <row r="2081" spans="1:16" x14ac:dyDescent="0.25">
      <c r="A2081" t="s">
        <v>32</v>
      </c>
      <c r="B2081" s="73" t="str">
        <f>VLOOKUP(C2081,'Büyükşehir List'!$C$2:$D$31,2,FALSE)</f>
        <v>MALATYA BÜYÜKŞEHİR</v>
      </c>
      <c r="C2081" t="s">
        <v>120</v>
      </c>
      <c r="D2081" s="73" t="str">
        <f t="shared" si="50"/>
        <v>MALATYA BÜYÜKŞEHİR/MALATYA</v>
      </c>
      <c r="E2081" t="s">
        <v>4516</v>
      </c>
      <c r="F2081" t="s">
        <v>4516</v>
      </c>
      <c r="G2081" t="s">
        <v>3366</v>
      </c>
      <c r="H2081">
        <v>103.3</v>
      </c>
      <c r="I2081">
        <v>10.33</v>
      </c>
      <c r="J2081">
        <v>0</v>
      </c>
      <c r="K2081">
        <v>0</v>
      </c>
      <c r="L2081">
        <v>103.3</v>
      </c>
      <c r="M2081">
        <v>10.33</v>
      </c>
      <c r="O2081" s="79">
        <f>IFERROR(VLOOKUP(D2081,'KAPANAN BLD.'!$C$2:$D$793,2,FALSE),0)</f>
        <v>0</v>
      </c>
      <c r="P2081" s="79">
        <v>0</v>
      </c>
    </row>
    <row r="2082" spans="1:16" x14ac:dyDescent="0.25">
      <c r="A2082" t="s">
        <v>32</v>
      </c>
      <c r="B2082" s="73" t="str">
        <f>VLOOKUP(C2082,'Büyükşehir List'!$C$2:$D$31,2,FALSE)</f>
        <v>MALATYA BÜYÜKŞEHİR</v>
      </c>
      <c r="C2082" t="s">
        <v>120</v>
      </c>
      <c r="D2082" s="73" t="str">
        <f t="shared" si="50"/>
        <v>MALATYA BÜYÜKŞEHİR/MALATYA</v>
      </c>
      <c r="E2082" t="s">
        <v>3378</v>
      </c>
      <c r="F2082" t="s">
        <v>3378</v>
      </c>
      <c r="G2082" t="s">
        <v>3366</v>
      </c>
      <c r="H2082">
        <v>219.4</v>
      </c>
      <c r="I2082">
        <v>21.94</v>
      </c>
      <c r="J2082">
        <v>0</v>
      </c>
      <c r="K2082">
        <v>0</v>
      </c>
      <c r="L2082">
        <v>219.4</v>
      </c>
      <c r="M2082">
        <v>21.94</v>
      </c>
      <c r="O2082" s="79">
        <f>IFERROR(VLOOKUP(D2082,'KAPANAN BLD.'!$C$2:$D$793,2,FALSE),0)</f>
        <v>0</v>
      </c>
      <c r="P2082" s="79">
        <v>0</v>
      </c>
    </row>
    <row r="2083" spans="1:16" x14ac:dyDescent="0.25">
      <c r="A2083" t="s">
        <v>32</v>
      </c>
      <c r="B2083" s="73" t="str">
        <f>VLOOKUP(C2083,'Büyükşehir List'!$C$2:$D$31,2,FALSE)</f>
        <v>MALATYA BÜYÜKŞEHİR</v>
      </c>
      <c r="C2083" t="s">
        <v>120</v>
      </c>
      <c r="D2083" s="73" t="str">
        <f t="shared" si="50"/>
        <v>MALATYA BÜYÜKŞEHİR/MALATYA</v>
      </c>
      <c r="E2083" t="s">
        <v>3378</v>
      </c>
      <c r="F2083" t="s">
        <v>3378</v>
      </c>
      <c r="G2083" t="s">
        <v>3367</v>
      </c>
      <c r="H2083">
        <v>242.9</v>
      </c>
      <c r="I2083">
        <v>24.29</v>
      </c>
      <c r="J2083">
        <v>0</v>
      </c>
      <c r="K2083">
        <v>0</v>
      </c>
      <c r="L2083">
        <v>242.9</v>
      </c>
      <c r="M2083">
        <v>24.29</v>
      </c>
      <c r="O2083" s="79">
        <f>IFERROR(VLOOKUP(D2083,'KAPANAN BLD.'!$C$2:$D$793,2,FALSE),0)</f>
        <v>0</v>
      </c>
      <c r="P2083" s="79">
        <v>0</v>
      </c>
    </row>
    <row r="2084" spans="1:16" x14ac:dyDescent="0.25">
      <c r="A2084" t="s">
        <v>32</v>
      </c>
      <c r="B2084" s="73" t="str">
        <f>VLOOKUP(C2084,'Büyükşehir List'!$C$2:$D$31,2,FALSE)</f>
        <v>MALATYA BÜYÜKŞEHİR</v>
      </c>
      <c r="C2084" t="s">
        <v>120</v>
      </c>
      <c r="D2084" s="73" t="str">
        <f t="shared" si="50"/>
        <v>MALATYA BÜYÜKŞEHİR/MALATYA</v>
      </c>
      <c r="E2084" t="s">
        <v>4517</v>
      </c>
      <c r="F2084" t="s">
        <v>4517</v>
      </c>
      <c r="G2084" t="s">
        <v>3367</v>
      </c>
      <c r="H2084">
        <v>625.9</v>
      </c>
      <c r="I2084">
        <v>62.59</v>
      </c>
      <c r="J2084">
        <v>0</v>
      </c>
      <c r="K2084">
        <v>0</v>
      </c>
      <c r="L2084">
        <v>625.9</v>
      </c>
      <c r="M2084">
        <v>62.59</v>
      </c>
      <c r="O2084" s="79">
        <f>IFERROR(VLOOKUP(D2084,'KAPANAN BLD.'!$C$2:$D$793,2,FALSE),0)</f>
        <v>0</v>
      </c>
      <c r="P2084" s="79">
        <v>0</v>
      </c>
    </row>
    <row r="2085" spans="1:16" x14ac:dyDescent="0.25">
      <c r="A2085" t="s">
        <v>32</v>
      </c>
      <c r="B2085" s="73" t="str">
        <f>VLOOKUP(C2085,'Büyükşehir List'!$C$2:$D$31,2,FALSE)</f>
        <v>MALATYA BÜYÜKŞEHİR</v>
      </c>
      <c r="C2085" t="s">
        <v>120</v>
      </c>
      <c r="D2085" s="73" t="str">
        <f t="shared" si="50"/>
        <v>MALATYA BÜYÜKŞEHİR/MALATYA</v>
      </c>
      <c r="E2085" t="s">
        <v>4517</v>
      </c>
      <c r="F2085" t="s">
        <v>4517</v>
      </c>
      <c r="G2085" t="s">
        <v>3366</v>
      </c>
      <c r="H2085">
        <v>4.8</v>
      </c>
      <c r="I2085">
        <v>0.48</v>
      </c>
      <c r="J2085">
        <v>0</v>
      </c>
      <c r="K2085">
        <v>0</v>
      </c>
      <c r="L2085">
        <v>4.8</v>
      </c>
      <c r="M2085">
        <v>0.48</v>
      </c>
      <c r="O2085" s="79">
        <f>IFERROR(VLOOKUP(D2085,'KAPANAN BLD.'!$C$2:$D$793,2,FALSE),0)</f>
        <v>0</v>
      </c>
      <c r="P2085" s="79">
        <v>0</v>
      </c>
    </row>
    <row r="2086" spans="1:16" x14ac:dyDescent="0.25">
      <c r="A2086" t="s">
        <v>32</v>
      </c>
      <c r="B2086" s="73" t="str">
        <f>VLOOKUP(C2086,'Büyükşehir List'!$C$2:$D$31,2,FALSE)</f>
        <v>MALATYA BÜYÜKŞEHİR</v>
      </c>
      <c r="C2086" t="s">
        <v>120</v>
      </c>
      <c r="D2086" s="73" t="str">
        <f t="shared" si="50"/>
        <v>MALATYA BÜYÜKŞEHİR/MALATYA</v>
      </c>
      <c r="E2086" t="s">
        <v>276</v>
      </c>
      <c r="F2086" t="s">
        <v>276</v>
      </c>
      <c r="G2086" t="s">
        <v>3366</v>
      </c>
      <c r="H2086">
        <v>5187.63</v>
      </c>
      <c r="I2086">
        <v>518.75</v>
      </c>
      <c r="J2086">
        <v>0</v>
      </c>
      <c r="K2086">
        <v>0</v>
      </c>
      <c r="L2086">
        <v>5187.63</v>
      </c>
      <c r="M2086">
        <v>518.75</v>
      </c>
      <c r="O2086" s="79">
        <f>IFERROR(VLOOKUP(D2086,'KAPANAN BLD.'!$C$2:$D$793,2,FALSE),0)</f>
        <v>0</v>
      </c>
      <c r="P2086" s="79">
        <v>0</v>
      </c>
    </row>
    <row r="2087" spans="1:16" x14ac:dyDescent="0.25">
      <c r="A2087" t="s">
        <v>32</v>
      </c>
      <c r="B2087" s="73" t="str">
        <f>VLOOKUP(C2087,'Büyükşehir List'!$C$2:$D$31,2,FALSE)</f>
        <v>MALATYA BÜYÜKŞEHİR</v>
      </c>
      <c r="C2087" t="s">
        <v>120</v>
      </c>
      <c r="D2087" s="73" t="str">
        <f t="shared" si="50"/>
        <v>MALATYA BÜYÜKŞEHİR/MALATYA</v>
      </c>
      <c r="E2087" t="s">
        <v>276</v>
      </c>
      <c r="F2087" t="s">
        <v>276</v>
      </c>
      <c r="G2087" t="s">
        <v>3367</v>
      </c>
      <c r="H2087">
        <v>5752.3</v>
      </c>
      <c r="I2087">
        <v>575.23</v>
      </c>
      <c r="J2087">
        <v>0</v>
      </c>
      <c r="K2087">
        <v>0</v>
      </c>
      <c r="L2087">
        <v>5752.3</v>
      </c>
      <c r="M2087">
        <v>575.23</v>
      </c>
      <c r="O2087" s="79">
        <f>IFERROR(VLOOKUP(D2087,'KAPANAN BLD.'!$C$2:$D$793,2,FALSE),0)</f>
        <v>0</v>
      </c>
      <c r="P2087" s="79">
        <v>0</v>
      </c>
    </row>
    <row r="2088" spans="1:16" x14ac:dyDescent="0.25">
      <c r="A2088" t="s">
        <v>32</v>
      </c>
      <c r="B2088" s="73" t="str">
        <f>VLOOKUP(C2088,'Büyükşehir List'!$C$2:$D$31,2,FALSE)</f>
        <v>MALATYA BÜYÜKŞEHİR</v>
      </c>
      <c r="C2088" t="s">
        <v>120</v>
      </c>
      <c r="D2088" s="73" t="str">
        <f t="shared" si="50"/>
        <v>MALATYA BÜYÜKŞEHİR/MALATYA</v>
      </c>
      <c r="E2088" t="s">
        <v>376</v>
      </c>
      <c r="F2088" t="s">
        <v>376</v>
      </c>
      <c r="G2088" t="s">
        <v>3366</v>
      </c>
      <c r="H2088">
        <v>1932.3</v>
      </c>
      <c r="I2088">
        <v>193.23</v>
      </c>
      <c r="J2088">
        <v>57.6</v>
      </c>
      <c r="K2088">
        <v>5.76</v>
      </c>
      <c r="L2088">
        <v>1874.7</v>
      </c>
      <c r="M2088">
        <v>187.47</v>
      </c>
      <c r="O2088" s="79">
        <f>IFERROR(VLOOKUP(D2088,'KAPANAN BLD.'!$C$2:$D$793,2,FALSE),0)</f>
        <v>0</v>
      </c>
      <c r="P2088" s="79">
        <v>0</v>
      </c>
    </row>
    <row r="2089" spans="1:16" x14ac:dyDescent="0.25">
      <c r="A2089" t="s">
        <v>32</v>
      </c>
      <c r="B2089" s="73" t="str">
        <f>VLOOKUP(C2089,'Büyükşehir List'!$C$2:$D$31,2,FALSE)</f>
        <v>MALATYA BÜYÜKŞEHİR</v>
      </c>
      <c r="C2089" t="s">
        <v>120</v>
      </c>
      <c r="D2089" s="73" t="str">
        <f t="shared" si="50"/>
        <v>MALATYA BÜYÜKŞEHİR/MALATYA</v>
      </c>
      <c r="E2089" t="s">
        <v>376</v>
      </c>
      <c r="F2089" t="s">
        <v>376</v>
      </c>
      <c r="G2089" t="s">
        <v>3367</v>
      </c>
      <c r="H2089">
        <v>4864.2</v>
      </c>
      <c r="I2089">
        <v>486.42</v>
      </c>
      <c r="J2089">
        <v>33.200000000000003</v>
      </c>
      <c r="K2089">
        <v>3.32</v>
      </c>
      <c r="L2089">
        <v>4831</v>
      </c>
      <c r="M2089">
        <v>483.1</v>
      </c>
      <c r="O2089" s="79">
        <f>IFERROR(VLOOKUP(D2089,'KAPANAN BLD.'!$C$2:$D$793,2,FALSE),0)</f>
        <v>0</v>
      </c>
      <c r="P2089" s="79">
        <v>0</v>
      </c>
    </row>
    <row r="2090" spans="1:16" x14ac:dyDescent="0.25">
      <c r="A2090" t="s">
        <v>32</v>
      </c>
      <c r="B2090" s="73" t="str">
        <f>VLOOKUP(C2090,'Büyükşehir List'!$C$2:$D$31,2,FALSE)</f>
        <v>MANİSA BÜYÜKŞEHİR</v>
      </c>
      <c r="C2090" t="s">
        <v>121</v>
      </c>
      <c r="D2090" s="73" t="str">
        <f t="shared" si="50"/>
        <v>MANİSA BÜYÜKŞEHİR/MANİSA</v>
      </c>
      <c r="E2090" t="s">
        <v>3796</v>
      </c>
      <c r="F2090" t="s">
        <v>3796</v>
      </c>
      <c r="G2090" t="s">
        <v>3367</v>
      </c>
      <c r="H2090">
        <v>219</v>
      </c>
      <c r="I2090">
        <v>21.9</v>
      </c>
      <c r="J2090">
        <v>0</v>
      </c>
      <c r="K2090">
        <v>0</v>
      </c>
      <c r="L2090">
        <v>219</v>
      </c>
      <c r="M2090">
        <v>21.9</v>
      </c>
      <c r="O2090" s="79">
        <f>IFERROR(VLOOKUP(D2090,'KAPANAN BLD.'!$C$2:$D$793,2,FALSE),0)</f>
        <v>0</v>
      </c>
      <c r="P2090" s="79">
        <v>0</v>
      </c>
    </row>
    <row r="2091" spans="1:16" x14ac:dyDescent="0.25">
      <c r="A2091" t="s">
        <v>32</v>
      </c>
      <c r="B2091" s="73" t="str">
        <f>VLOOKUP(C2091,'Büyükşehir List'!$C$2:$D$31,2,FALSE)</f>
        <v>MANİSA BÜYÜKŞEHİR</v>
      </c>
      <c r="C2091" t="s">
        <v>121</v>
      </c>
      <c r="D2091" s="73" t="str">
        <f t="shared" si="50"/>
        <v>MANİSA BÜYÜKŞEHİR/MANİSA</v>
      </c>
      <c r="E2091" t="s">
        <v>3796</v>
      </c>
      <c r="F2091" t="s">
        <v>3796</v>
      </c>
      <c r="G2091" t="s">
        <v>3366</v>
      </c>
      <c r="H2091">
        <v>484.3</v>
      </c>
      <c r="I2091">
        <v>48.43</v>
      </c>
      <c r="J2091">
        <v>0</v>
      </c>
      <c r="K2091">
        <v>0</v>
      </c>
      <c r="L2091">
        <v>484.3</v>
      </c>
      <c r="M2091">
        <v>48.43</v>
      </c>
      <c r="O2091" s="79">
        <f>IFERROR(VLOOKUP(D2091,'KAPANAN BLD.'!$C$2:$D$793,2,FALSE),0)</f>
        <v>0</v>
      </c>
      <c r="P2091" s="79">
        <v>0</v>
      </c>
    </row>
    <row r="2092" spans="1:16" x14ac:dyDescent="0.25">
      <c r="A2092" t="s">
        <v>32</v>
      </c>
      <c r="B2092" s="73" t="str">
        <f>VLOOKUP(C2092,'Büyükşehir List'!$C$2:$D$31,2,FALSE)</f>
        <v>MANİSA BÜYÜKŞEHİR</v>
      </c>
      <c r="C2092" t="s">
        <v>121</v>
      </c>
      <c r="D2092" s="73" t="str">
        <f t="shared" si="50"/>
        <v>MANİSA BÜYÜKŞEHİR/MANİSA</v>
      </c>
      <c r="E2092" t="s">
        <v>649</v>
      </c>
      <c r="F2092" t="s">
        <v>649</v>
      </c>
      <c r="G2092" t="s">
        <v>3367</v>
      </c>
      <c r="H2092">
        <v>160.6</v>
      </c>
      <c r="I2092">
        <v>16.059999999999999</v>
      </c>
      <c r="J2092">
        <v>0</v>
      </c>
      <c r="K2092">
        <v>0</v>
      </c>
      <c r="L2092">
        <v>160.6</v>
      </c>
      <c r="M2092">
        <v>16.059999999999999</v>
      </c>
      <c r="O2092" s="79">
        <f>IFERROR(VLOOKUP(D2092,'KAPANAN BLD.'!$C$2:$D$793,2,FALSE),0)</f>
        <v>0</v>
      </c>
      <c r="P2092" s="79">
        <v>0</v>
      </c>
    </row>
    <row r="2093" spans="1:16" x14ac:dyDescent="0.25">
      <c r="A2093" t="s">
        <v>32</v>
      </c>
      <c r="B2093" s="73" t="str">
        <f>VLOOKUP(C2093,'Büyükşehir List'!$C$2:$D$31,2,FALSE)</f>
        <v>MANİSA BÜYÜKŞEHİR</v>
      </c>
      <c r="C2093" t="s">
        <v>121</v>
      </c>
      <c r="D2093" s="73" t="str">
        <f t="shared" si="50"/>
        <v>MANİSA BÜYÜKŞEHİR/MANİSA</v>
      </c>
      <c r="E2093" t="s">
        <v>649</v>
      </c>
      <c r="F2093" t="s">
        <v>649</v>
      </c>
      <c r="G2093" t="s">
        <v>3366</v>
      </c>
      <c r="H2093">
        <v>1093.2</v>
      </c>
      <c r="I2093">
        <v>109.32</v>
      </c>
      <c r="J2093">
        <v>0</v>
      </c>
      <c r="K2093">
        <v>0</v>
      </c>
      <c r="L2093">
        <v>1093.2</v>
      </c>
      <c r="M2093">
        <v>109.32</v>
      </c>
      <c r="O2093" s="79">
        <f>IFERROR(VLOOKUP(D2093,'KAPANAN BLD.'!$C$2:$D$793,2,FALSE),0)</f>
        <v>0</v>
      </c>
      <c r="P2093" s="79">
        <v>0</v>
      </c>
    </row>
    <row r="2094" spans="1:16" x14ac:dyDescent="0.25">
      <c r="A2094" t="s">
        <v>32</v>
      </c>
      <c r="B2094" s="73" t="str">
        <f>VLOOKUP(C2094,'Büyükşehir List'!$C$2:$D$31,2,FALSE)</f>
        <v>MANİSA BÜYÜKŞEHİR</v>
      </c>
      <c r="C2094" t="s">
        <v>121</v>
      </c>
      <c r="D2094" s="73" t="str">
        <f t="shared" si="50"/>
        <v>MANİSA BÜYÜKŞEHİR/MANİSA</v>
      </c>
      <c r="E2094" t="s">
        <v>174</v>
      </c>
      <c r="F2094" t="s">
        <v>174</v>
      </c>
      <c r="G2094" t="s">
        <v>3367</v>
      </c>
      <c r="H2094">
        <v>682.7</v>
      </c>
      <c r="I2094">
        <v>68.27</v>
      </c>
      <c r="J2094">
        <v>0</v>
      </c>
      <c r="K2094">
        <v>0</v>
      </c>
      <c r="L2094">
        <v>682.7</v>
      </c>
      <c r="M2094">
        <v>68.27</v>
      </c>
      <c r="O2094" s="79">
        <f>IFERROR(VLOOKUP(D2094,'KAPANAN BLD.'!$C$2:$D$793,2,FALSE),0)</f>
        <v>0</v>
      </c>
      <c r="P2094" s="79">
        <v>0</v>
      </c>
    </row>
    <row r="2095" spans="1:16" x14ac:dyDescent="0.25">
      <c r="A2095" t="s">
        <v>32</v>
      </c>
      <c r="B2095" s="73" t="str">
        <f>VLOOKUP(C2095,'Büyükşehir List'!$C$2:$D$31,2,FALSE)</f>
        <v>MANİSA BÜYÜKŞEHİR</v>
      </c>
      <c r="C2095" t="s">
        <v>121</v>
      </c>
      <c r="D2095" s="73" t="str">
        <f t="shared" si="50"/>
        <v>MANİSA BÜYÜKŞEHİR/MANİSA</v>
      </c>
      <c r="E2095" t="s">
        <v>174</v>
      </c>
      <c r="F2095" t="s">
        <v>174</v>
      </c>
      <c r="G2095" t="s">
        <v>3366</v>
      </c>
      <c r="H2095">
        <v>148.30000000000001</v>
      </c>
      <c r="I2095">
        <v>14.83</v>
      </c>
      <c r="J2095">
        <v>0</v>
      </c>
      <c r="K2095">
        <v>0</v>
      </c>
      <c r="L2095">
        <v>148.30000000000001</v>
      </c>
      <c r="M2095">
        <v>14.83</v>
      </c>
      <c r="O2095" s="79">
        <f>IFERROR(VLOOKUP(D2095,'KAPANAN BLD.'!$C$2:$D$793,2,FALSE),0)</f>
        <v>0</v>
      </c>
      <c r="P2095" s="79">
        <v>0</v>
      </c>
    </row>
    <row r="2096" spans="1:16" x14ac:dyDescent="0.25">
      <c r="A2096" t="s">
        <v>32</v>
      </c>
      <c r="B2096" s="73" t="str">
        <f>VLOOKUP(C2096,'Büyükşehir List'!$C$2:$D$31,2,FALSE)</f>
        <v>MANİSA BÜYÜKŞEHİR</v>
      </c>
      <c r="C2096" t="s">
        <v>121</v>
      </c>
      <c r="D2096" s="73" t="str">
        <f t="shared" si="50"/>
        <v>MANİSA BÜYÜKŞEHİR/MANİSA</v>
      </c>
      <c r="E2096" t="s">
        <v>3797</v>
      </c>
      <c r="F2096" t="s">
        <v>3797</v>
      </c>
      <c r="G2096" t="s">
        <v>3366</v>
      </c>
      <c r="H2096">
        <v>428.7</v>
      </c>
      <c r="I2096">
        <v>42.87</v>
      </c>
      <c r="J2096">
        <v>0</v>
      </c>
      <c r="K2096">
        <v>0</v>
      </c>
      <c r="L2096">
        <v>428.7</v>
      </c>
      <c r="M2096">
        <v>42.87</v>
      </c>
      <c r="O2096" s="79">
        <f>IFERROR(VLOOKUP(D2096,'KAPANAN BLD.'!$C$2:$D$793,2,FALSE),0)</f>
        <v>0</v>
      </c>
      <c r="P2096" s="79">
        <v>0</v>
      </c>
    </row>
    <row r="2097" spans="1:16" x14ac:dyDescent="0.25">
      <c r="A2097" t="s">
        <v>32</v>
      </c>
      <c r="B2097" s="73" t="str">
        <f>VLOOKUP(C2097,'Büyükşehir List'!$C$2:$D$31,2,FALSE)</f>
        <v>MANİSA BÜYÜKŞEHİR</v>
      </c>
      <c r="C2097" t="s">
        <v>121</v>
      </c>
      <c r="D2097" s="73" t="str">
        <f t="shared" si="50"/>
        <v>MANİSA BÜYÜKŞEHİR/MANİSA</v>
      </c>
      <c r="E2097" t="s">
        <v>3797</v>
      </c>
      <c r="F2097" t="s">
        <v>3797</v>
      </c>
      <c r="G2097" t="s">
        <v>3367</v>
      </c>
      <c r="H2097">
        <v>740.2</v>
      </c>
      <c r="I2097">
        <v>74.02</v>
      </c>
      <c r="J2097">
        <v>0</v>
      </c>
      <c r="K2097">
        <v>0</v>
      </c>
      <c r="L2097">
        <v>740.2</v>
      </c>
      <c r="M2097">
        <v>74.02</v>
      </c>
      <c r="O2097" s="79">
        <f>IFERROR(VLOOKUP(D2097,'KAPANAN BLD.'!$C$2:$D$793,2,FALSE),0)</f>
        <v>0</v>
      </c>
      <c r="P2097" s="79">
        <v>0</v>
      </c>
    </row>
    <row r="2098" spans="1:16" x14ac:dyDescent="0.25">
      <c r="A2098" t="s">
        <v>32</v>
      </c>
      <c r="B2098" s="73" t="str">
        <f>VLOOKUP(C2098,'Büyükşehir List'!$C$2:$D$31,2,FALSE)</f>
        <v>MANİSA BÜYÜKŞEHİR</v>
      </c>
      <c r="C2098" t="s">
        <v>121</v>
      </c>
      <c r="D2098" s="73" t="str">
        <f t="shared" si="50"/>
        <v>MANİSA BÜYÜKŞEHİR/MANİSA</v>
      </c>
      <c r="E2098" t="s">
        <v>220</v>
      </c>
      <c r="F2098" t="s">
        <v>220</v>
      </c>
      <c r="G2098" t="s">
        <v>3366</v>
      </c>
      <c r="H2098">
        <v>609.4</v>
      </c>
      <c r="I2098">
        <v>60.94</v>
      </c>
      <c r="J2098">
        <v>293.5</v>
      </c>
      <c r="K2098">
        <v>29.35</v>
      </c>
      <c r="L2098">
        <v>315.89999999999998</v>
      </c>
      <c r="M2098">
        <v>31.59</v>
      </c>
      <c r="O2098" s="79">
        <f>IFERROR(VLOOKUP(D2098,'KAPANAN BLD.'!$C$2:$D$793,2,FALSE),0)</f>
        <v>0</v>
      </c>
      <c r="P2098" s="79">
        <v>0</v>
      </c>
    </row>
    <row r="2099" spans="1:16" x14ac:dyDescent="0.25">
      <c r="A2099" t="s">
        <v>32</v>
      </c>
      <c r="B2099" s="73" t="str">
        <f>VLOOKUP(C2099,'Büyükşehir List'!$C$2:$D$31,2,FALSE)</f>
        <v>MANİSA BÜYÜKŞEHİR</v>
      </c>
      <c r="C2099" t="s">
        <v>121</v>
      </c>
      <c r="D2099" s="73" t="str">
        <f t="shared" si="50"/>
        <v>MANİSA BÜYÜKŞEHİR/MANİSA</v>
      </c>
      <c r="E2099" t="s">
        <v>220</v>
      </c>
      <c r="F2099" t="s">
        <v>220</v>
      </c>
      <c r="G2099" t="s">
        <v>3367</v>
      </c>
      <c r="H2099">
        <v>137</v>
      </c>
      <c r="I2099">
        <v>13.7</v>
      </c>
      <c r="J2099">
        <v>231.4</v>
      </c>
      <c r="K2099">
        <v>23.14</v>
      </c>
      <c r="L2099">
        <v>-94.4</v>
      </c>
      <c r="M2099">
        <v>-9.44</v>
      </c>
      <c r="O2099" s="79">
        <f>IFERROR(VLOOKUP(D2099,'KAPANAN BLD.'!$C$2:$D$793,2,FALSE),0)</f>
        <v>0</v>
      </c>
      <c r="P2099" s="79">
        <v>0</v>
      </c>
    </row>
    <row r="2100" spans="1:16" x14ac:dyDescent="0.25">
      <c r="A2100" t="s">
        <v>32</v>
      </c>
      <c r="B2100" s="73" t="str">
        <f>VLOOKUP(C2100,'Büyükşehir List'!$C$2:$D$31,2,FALSE)</f>
        <v>MANİSA BÜYÜKŞEHİR</v>
      </c>
      <c r="C2100" t="s">
        <v>121</v>
      </c>
      <c r="D2100" s="73" t="str">
        <f t="shared" si="50"/>
        <v>MANİSA BÜYÜKŞEHİR/MANİSA</v>
      </c>
      <c r="E2100" t="s">
        <v>3927</v>
      </c>
      <c r="F2100" t="s">
        <v>3927</v>
      </c>
      <c r="G2100" t="s">
        <v>3367</v>
      </c>
      <c r="H2100">
        <v>54.8</v>
      </c>
      <c r="I2100">
        <v>5.48</v>
      </c>
      <c r="J2100">
        <v>0</v>
      </c>
      <c r="K2100">
        <v>0</v>
      </c>
      <c r="L2100">
        <v>54.8</v>
      </c>
      <c r="M2100">
        <v>5.48</v>
      </c>
      <c r="O2100" s="79">
        <f>IFERROR(VLOOKUP(D2100,'KAPANAN BLD.'!$C$2:$D$793,2,FALSE),0)</f>
        <v>0</v>
      </c>
      <c r="P2100" s="79">
        <v>0</v>
      </c>
    </row>
    <row r="2101" spans="1:16" x14ac:dyDescent="0.25">
      <c r="A2101" t="s">
        <v>32</v>
      </c>
      <c r="B2101" s="73" t="str">
        <f>VLOOKUP(C2101,'Büyükşehir List'!$C$2:$D$31,2,FALSE)</f>
        <v>MANİSA BÜYÜKŞEHİR</v>
      </c>
      <c r="C2101" t="s">
        <v>121</v>
      </c>
      <c r="D2101" s="73" t="str">
        <f t="shared" si="50"/>
        <v>MANİSA BÜYÜKŞEHİR/MANİSA</v>
      </c>
      <c r="E2101" t="s">
        <v>3798</v>
      </c>
      <c r="F2101" t="s">
        <v>3798</v>
      </c>
      <c r="G2101" t="s">
        <v>3367</v>
      </c>
      <c r="H2101">
        <v>710.5</v>
      </c>
      <c r="I2101">
        <v>71.05</v>
      </c>
      <c r="J2101">
        <v>88.6</v>
      </c>
      <c r="K2101">
        <v>8.86</v>
      </c>
      <c r="L2101">
        <v>621.9</v>
      </c>
      <c r="M2101">
        <v>62.19</v>
      </c>
      <c r="O2101" s="79">
        <f>IFERROR(VLOOKUP(D2101,'KAPANAN BLD.'!$C$2:$D$793,2,FALSE),0)</f>
        <v>0</v>
      </c>
      <c r="P2101" s="79">
        <v>0</v>
      </c>
    </row>
    <row r="2102" spans="1:16" x14ac:dyDescent="0.25">
      <c r="A2102" t="s">
        <v>32</v>
      </c>
      <c r="B2102" s="73" t="str">
        <f>VLOOKUP(C2102,'Büyükşehir List'!$C$2:$D$31,2,FALSE)</f>
        <v>MANİSA BÜYÜKŞEHİR</v>
      </c>
      <c r="C2102" t="s">
        <v>121</v>
      </c>
      <c r="D2102" s="73" t="str">
        <f t="shared" si="50"/>
        <v>MANİSA BÜYÜKŞEHİR/MANİSA</v>
      </c>
      <c r="E2102" t="s">
        <v>3798</v>
      </c>
      <c r="F2102" t="s">
        <v>3798</v>
      </c>
      <c r="G2102" t="s">
        <v>3366</v>
      </c>
      <c r="H2102">
        <v>4218.1000000000004</v>
      </c>
      <c r="I2102">
        <v>421.81</v>
      </c>
      <c r="J2102">
        <v>402.8</v>
      </c>
      <c r="K2102">
        <v>40.28</v>
      </c>
      <c r="L2102">
        <v>3815.3</v>
      </c>
      <c r="M2102">
        <v>381.53</v>
      </c>
      <c r="O2102" s="79">
        <f>IFERROR(VLOOKUP(D2102,'KAPANAN BLD.'!$C$2:$D$793,2,FALSE),0)</f>
        <v>0</v>
      </c>
      <c r="P2102" s="79">
        <v>0</v>
      </c>
    </row>
    <row r="2103" spans="1:16" x14ac:dyDescent="0.25">
      <c r="A2103" t="s">
        <v>32</v>
      </c>
      <c r="B2103" s="73" t="str">
        <f>VLOOKUP(C2103,'Büyükşehir List'!$C$2:$D$31,2,FALSE)</f>
        <v>MANİSA BÜYÜKŞEHİR</v>
      </c>
      <c r="C2103" t="s">
        <v>121</v>
      </c>
      <c r="D2103" s="73" t="str">
        <f t="shared" si="50"/>
        <v>MANİSA BÜYÜKŞEHİR/MANİSA</v>
      </c>
      <c r="E2103" t="s">
        <v>4230</v>
      </c>
      <c r="F2103" t="s">
        <v>4230</v>
      </c>
      <c r="G2103" t="s">
        <v>3367</v>
      </c>
      <c r="H2103">
        <v>2256.1</v>
      </c>
      <c r="I2103">
        <v>225.61</v>
      </c>
      <c r="J2103">
        <v>0</v>
      </c>
      <c r="K2103">
        <v>0</v>
      </c>
      <c r="L2103">
        <v>2256.1</v>
      </c>
      <c r="M2103">
        <v>225.61</v>
      </c>
      <c r="O2103" s="79">
        <f>IFERROR(VLOOKUP(D2103,'KAPANAN BLD.'!$C$2:$D$793,2,FALSE),0)</f>
        <v>0</v>
      </c>
      <c r="P2103" s="79">
        <v>0</v>
      </c>
    </row>
    <row r="2104" spans="1:16" x14ac:dyDescent="0.25">
      <c r="A2104" t="s">
        <v>32</v>
      </c>
      <c r="B2104" s="73" t="str">
        <f>VLOOKUP(C2104,'Büyükşehir List'!$C$2:$D$31,2,FALSE)</f>
        <v>MANİSA BÜYÜKŞEHİR</v>
      </c>
      <c r="C2104" t="s">
        <v>121</v>
      </c>
      <c r="D2104" s="73" t="str">
        <f t="shared" si="50"/>
        <v>MANİSA BÜYÜKŞEHİR/MANİSA</v>
      </c>
      <c r="E2104" t="s">
        <v>801</v>
      </c>
      <c r="F2104" t="s">
        <v>801</v>
      </c>
      <c r="G2104" t="s">
        <v>3366</v>
      </c>
      <c r="H2104">
        <v>46</v>
      </c>
      <c r="I2104">
        <v>4.5999999999999996</v>
      </c>
      <c r="J2104">
        <v>0</v>
      </c>
      <c r="K2104">
        <v>0</v>
      </c>
      <c r="L2104">
        <v>46</v>
      </c>
      <c r="M2104">
        <v>4.5999999999999996</v>
      </c>
      <c r="O2104" s="79">
        <f>IFERROR(VLOOKUP(D2104,'KAPANAN BLD.'!$C$2:$D$793,2,FALSE),0)</f>
        <v>0</v>
      </c>
      <c r="P2104" s="79">
        <v>0</v>
      </c>
    </row>
    <row r="2105" spans="1:16" x14ac:dyDescent="0.25">
      <c r="A2105" t="s">
        <v>32</v>
      </c>
      <c r="B2105" s="73" t="str">
        <f>VLOOKUP(C2105,'Büyükşehir List'!$C$2:$D$31,2,FALSE)</f>
        <v>MANİSA BÜYÜKŞEHİR</v>
      </c>
      <c r="C2105" t="s">
        <v>121</v>
      </c>
      <c r="D2105" s="73" t="str">
        <f t="shared" si="50"/>
        <v>MANİSA BÜYÜKŞEHİR/MANİSA</v>
      </c>
      <c r="E2105" t="s">
        <v>801</v>
      </c>
      <c r="F2105" t="s">
        <v>801</v>
      </c>
      <c r="G2105" t="s">
        <v>3367</v>
      </c>
      <c r="H2105">
        <v>276.39999999999998</v>
      </c>
      <c r="I2105">
        <v>27.64</v>
      </c>
      <c r="J2105">
        <v>0</v>
      </c>
      <c r="K2105">
        <v>0</v>
      </c>
      <c r="L2105">
        <v>276.39999999999998</v>
      </c>
      <c r="M2105">
        <v>27.64</v>
      </c>
      <c r="O2105" s="79">
        <f>IFERROR(VLOOKUP(D2105,'KAPANAN BLD.'!$C$2:$D$793,2,FALSE),0)</f>
        <v>0</v>
      </c>
      <c r="P2105" s="79">
        <v>0</v>
      </c>
    </row>
    <row r="2106" spans="1:16" x14ac:dyDescent="0.25">
      <c r="A2106" t="s">
        <v>32</v>
      </c>
      <c r="B2106" s="73" t="str">
        <f>VLOOKUP(C2106,'Büyükşehir List'!$C$2:$D$31,2,FALSE)</f>
        <v>MANİSA BÜYÜKŞEHİR</v>
      </c>
      <c r="C2106" t="s">
        <v>121</v>
      </c>
      <c r="D2106" s="73" t="str">
        <f t="shared" si="50"/>
        <v>MANİSA BÜYÜKŞEHİR/MANİSA</v>
      </c>
      <c r="E2106" t="s">
        <v>3799</v>
      </c>
      <c r="F2106" t="s">
        <v>3799</v>
      </c>
      <c r="G2106" t="s">
        <v>3367</v>
      </c>
      <c r="H2106">
        <v>327.2</v>
      </c>
      <c r="I2106">
        <v>32.72</v>
      </c>
      <c r="J2106">
        <v>0</v>
      </c>
      <c r="K2106">
        <v>0</v>
      </c>
      <c r="L2106">
        <v>327.2</v>
      </c>
      <c r="M2106">
        <v>32.72</v>
      </c>
      <c r="O2106" s="79">
        <f>IFERROR(VLOOKUP(D2106,'KAPANAN BLD.'!$C$2:$D$793,2,FALSE),0)</f>
        <v>0</v>
      </c>
      <c r="P2106" s="79">
        <v>0</v>
      </c>
    </row>
    <row r="2107" spans="1:16" x14ac:dyDescent="0.25">
      <c r="A2107" t="s">
        <v>32</v>
      </c>
      <c r="B2107" s="73" t="str">
        <f>VLOOKUP(C2107,'Büyükşehir List'!$C$2:$D$31,2,FALSE)</f>
        <v>MANİSA BÜYÜKŞEHİR</v>
      </c>
      <c r="C2107" t="s">
        <v>121</v>
      </c>
      <c r="D2107" s="73" t="str">
        <f t="shared" si="50"/>
        <v>MANİSA BÜYÜKŞEHİR/MANİSA</v>
      </c>
      <c r="E2107" t="s">
        <v>3799</v>
      </c>
      <c r="F2107" t="s">
        <v>3799</v>
      </c>
      <c r="G2107" t="s">
        <v>3366</v>
      </c>
      <c r="H2107">
        <v>770.6</v>
      </c>
      <c r="I2107">
        <v>77.06</v>
      </c>
      <c r="J2107">
        <v>0</v>
      </c>
      <c r="K2107">
        <v>0</v>
      </c>
      <c r="L2107">
        <v>770.6</v>
      </c>
      <c r="M2107">
        <v>77.06</v>
      </c>
      <c r="O2107" s="79">
        <f>IFERROR(VLOOKUP(D2107,'KAPANAN BLD.'!$C$2:$D$793,2,FALSE),0)</f>
        <v>0</v>
      </c>
      <c r="P2107" s="79">
        <v>0</v>
      </c>
    </row>
    <row r="2108" spans="1:16" x14ac:dyDescent="0.25">
      <c r="A2108" t="s">
        <v>32</v>
      </c>
      <c r="B2108" s="73" t="str">
        <f>VLOOKUP(C2108,'Büyükşehir List'!$C$2:$D$31,2,FALSE)</f>
        <v>MANİSA BÜYÜKŞEHİR</v>
      </c>
      <c r="C2108" t="s">
        <v>121</v>
      </c>
      <c r="D2108" s="73" t="str">
        <f t="shared" si="50"/>
        <v>MANİSA BÜYÜKŞEHİR/MANİSA</v>
      </c>
      <c r="E2108" t="s">
        <v>3800</v>
      </c>
      <c r="F2108" t="s">
        <v>3800</v>
      </c>
      <c r="G2108" t="s">
        <v>3367</v>
      </c>
      <c r="H2108">
        <v>4150.3999999999996</v>
      </c>
      <c r="I2108">
        <v>415.04</v>
      </c>
      <c r="J2108">
        <v>0</v>
      </c>
      <c r="K2108">
        <v>0</v>
      </c>
      <c r="L2108">
        <v>4150.3999999999996</v>
      </c>
      <c r="M2108">
        <v>415.04</v>
      </c>
      <c r="O2108" s="79">
        <f>IFERROR(VLOOKUP(D2108,'KAPANAN BLD.'!$C$2:$D$793,2,FALSE),0)</f>
        <v>0</v>
      </c>
      <c r="P2108" s="79">
        <v>0</v>
      </c>
    </row>
    <row r="2109" spans="1:16" x14ac:dyDescent="0.25">
      <c r="A2109" t="s">
        <v>32</v>
      </c>
      <c r="B2109" s="73" t="str">
        <f>VLOOKUP(C2109,'Büyükşehir List'!$C$2:$D$31,2,FALSE)</f>
        <v>MANİSA BÜYÜKŞEHİR</v>
      </c>
      <c r="C2109" t="s">
        <v>121</v>
      </c>
      <c r="D2109" s="73" t="str">
        <f t="shared" si="50"/>
        <v>MANİSA BÜYÜKŞEHİR/MANİSA</v>
      </c>
      <c r="E2109" t="s">
        <v>3800</v>
      </c>
      <c r="F2109" t="s">
        <v>3800</v>
      </c>
      <c r="G2109" t="s">
        <v>3366</v>
      </c>
      <c r="H2109">
        <v>16430.2</v>
      </c>
      <c r="I2109">
        <v>1643.02</v>
      </c>
      <c r="J2109">
        <v>0</v>
      </c>
      <c r="K2109">
        <v>0</v>
      </c>
      <c r="L2109">
        <v>16430.2</v>
      </c>
      <c r="M2109">
        <v>1643.02</v>
      </c>
      <c r="O2109" s="79">
        <f>IFERROR(VLOOKUP(D2109,'KAPANAN BLD.'!$C$2:$D$793,2,FALSE),0)</f>
        <v>0</v>
      </c>
      <c r="P2109" s="79">
        <v>0</v>
      </c>
    </row>
    <row r="2110" spans="1:16" x14ac:dyDescent="0.25">
      <c r="A2110" t="s">
        <v>32</v>
      </c>
      <c r="B2110" s="73" t="str">
        <f>VLOOKUP(C2110,'Büyükşehir List'!$C$2:$D$31,2,FALSE)</f>
        <v>MANİSA BÜYÜKŞEHİR</v>
      </c>
      <c r="C2110" t="s">
        <v>121</v>
      </c>
      <c r="D2110" s="73" t="str">
        <f t="shared" si="50"/>
        <v>MANİSA BÜYÜKŞEHİR/MANİSA</v>
      </c>
      <c r="E2110" t="s">
        <v>4004</v>
      </c>
      <c r="F2110" t="s">
        <v>4004</v>
      </c>
      <c r="G2110" t="s">
        <v>3367</v>
      </c>
      <c r="H2110">
        <v>408.7</v>
      </c>
      <c r="I2110">
        <v>40.869999999999997</v>
      </c>
      <c r="J2110">
        <v>1.3</v>
      </c>
      <c r="K2110">
        <v>0.13</v>
      </c>
      <c r="L2110">
        <v>407.4</v>
      </c>
      <c r="M2110">
        <v>40.74</v>
      </c>
      <c r="O2110" s="79">
        <f>IFERROR(VLOOKUP(D2110,'KAPANAN BLD.'!$C$2:$D$793,2,FALSE),0)</f>
        <v>0</v>
      </c>
      <c r="P2110" s="79">
        <v>0</v>
      </c>
    </row>
    <row r="2111" spans="1:16" x14ac:dyDescent="0.25">
      <c r="A2111" t="s">
        <v>32</v>
      </c>
      <c r="B2111" s="73" t="str">
        <f>VLOOKUP(C2111,'Büyükşehir List'!$C$2:$D$31,2,FALSE)</f>
        <v>MANİSA BÜYÜKŞEHİR</v>
      </c>
      <c r="C2111" t="s">
        <v>121</v>
      </c>
      <c r="D2111" s="73" t="str">
        <f t="shared" si="50"/>
        <v>MANİSA BÜYÜKŞEHİR/MANİSA</v>
      </c>
      <c r="E2111" t="s">
        <v>4004</v>
      </c>
      <c r="F2111" t="s">
        <v>4004</v>
      </c>
      <c r="G2111" t="s">
        <v>3366</v>
      </c>
      <c r="H2111">
        <v>654.20000000000005</v>
      </c>
      <c r="I2111">
        <v>65.42</v>
      </c>
      <c r="J2111">
        <v>24</v>
      </c>
      <c r="K2111">
        <v>2.4</v>
      </c>
      <c r="L2111">
        <v>630.20000000000005</v>
      </c>
      <c r="M2111">
        <v>63.02</v>
      </c>
      <c r="O2111" s="79">
        <f>IFERROR(VLOOKUP(D2111,'KAPANAN BLD.'!$C$2:$D$793,2,FALSE),0)</f>
        <v>0</v>
      </c>
      <c r="P2111" s="79">
        <v>0</v>
      </c>
    </row>
    <row r="2112" spans="1:16" x14ac:dyDescent="0.25">
      <c r="A2112" t="s">
        <v>32</v>
      </c>
      <c r="B2112" s="73" t="str">
        <f>VLOOKUP(C2112,'Büyükşehir List'!$C$2:$D$31,2,FALSE)</f>
        <v>MANİSA BÜYÜKŞEHİR</v>
      </c>
      <c r="C2112" t="s">
        <v>121</v>
      </c>
      <c r="D2112" s="73" t="str">
        <f t="shared" si="50"/>
        <v>MANİSA BÜYÜKŞEHİR/MANİSA</v>
      </c>
      <c r="E2112" t="s">
        <v>3801</v>
      </c>
      <c r="F2112" t="s">
        <v>3801</v>
      </c>
      <c r="G2112" t="s">
        <v>3367</v>
      </c>
      <c r="H2112">
        <v>12995.3</v>
      </c>
      <c r="I2112">
        <v>1299.53</v>
      </c>
      <c r="J2112">
        <v>4.8</v>
      </c>
      <c r="K2112">
        <v>0.48</v>
      </c>
      <c r="L2112">
        <v>12990.5</v>
      </c>
      <c r="M2112">
        <v>1299.05</v>
      </c>
      <c r="O2112" s="79">
        <f>IFERROR(VLOOKUP(D2112,'KAPANAN BLD.'!$C$2:$D$793,2,FALSE),0)</f>
        <v>0</v>
      </c>
      <c r="P2112" s="79">
        <v>0</v>
      </c>
    </row>
    <row r="2113" spans="1:16" x14ac:dyDescent="0.25">
      <c r="A2113" t="s">
        <v>32</v>
      </c>
      <c r="B2113" s="73" t="str">
        <f>VLOOKUP(C2113,'Büyükşehir List'!$C$2:$D$31,2,FALSE)</f>
        <v>MANİSA BÜYÜKŞEHİR</v>
      </c>
      <c r="C2113" t="s">
        <v>121</v>
      </c>
      <c r="D2113" s="73" t="str">
        <f t="shared" si="50"/>
        <v>MANİSA BÜYÜKŞEHİR/MANİSA</v>
      </c>
      <c r="E2113" t="s">
        <v>3801</v>
      </c>
      <c r="F2113" t="s">
        <v>3801</v>
      </c>
      <c r="G2113" t="s">
        <v>3366</v>
      </c>
      <c r="H2113">
        <v>26107.1</v>
      </c>
      <c r="I2113">
        <v>2610.71</v>
      </c>
      <c r="J2113">
        <v>0</v>
      </c>
      <c r="K2113">
        <v>0</v>
      </c>
      <c r="L2113">
        <v>26107.1</v>
      </c>
      <c r="M2113">
        <v>2610.71</v>
      </c>
      <c r="O2113" s="79">
        <f>IFERROR(VLOOKUP(D2113,'KAPANAN BLD.'!$C$2:$D$793,2,FALSE),0)</f>
        <v>0</v>
      </c>
      <c r="P2113" s="79">
        <v>0</v>
      </c>
    </row>
    <row r="2114" spans="1:16" x14ac:dyDescent="0.25">
      <c r="A2114" t="s">
        <v>32</v>
      </c>
      <c r="B2114" s="73" t="str">
        <f>VLOOKUP(C2114,'Büyükşehir List'!$C$2:$D$31,2,FALSE)</f>
        <v>MANİSA BÜYÜKŞEHİR</v>
      </c>
      <c r="C2114" t="s">
        <v>121</v>
      </c>
      <c r="D2114" s="73" t="str">
        <f t="shared" si="50"/>
        <v>MANİSA BÜYÜKŞEHİR/MANİSA</v>
      </c>
      <c r="E2114" t="s">
        <v>3802</v>
      </c>
      <c r="F2114" t="s">
        <v>3802</v>
      </c>
      <c r="G2114" t="s">
        <v>3367</v>
      </c>
      <c r="H2114">
        <v>3021.8</v>
      </c>
      <c r="I2114">
        <v>302.18</v>
      </c>
      <c r="J2114">
        <v>0</v>
      </c>
      <c r="K2114">
        <v>0</v>
      </c>
      <c r="L2114">
        <v>3021.8</v>
      </c>
      <c r="M2114">
        <v>302.18</v>
      </c>
      <c r="O2114" s="79">
        <f>IFERROR(VLOOKUP(D2114,'KAPANAN BLD.'!$C$2:$D$793,2,FALSE),0)</f>
        <v>0</v>
      </c>
      <c r="P2114" s="79">
        <v>0</v>
      </c>
    </row>
    <row r="2115" spans="1:16" x14ac:dyDescent="0.25">
      <c r="A2115" t="s">
        <v>32</v>
      </c>
      <c r="B2115" s="73" t="str">
        <f>VLOOKUP(C2115,'Büyükşehir List'!$C$2:$D$31,2,FALSE)</f>
        <v>MANİSA BÜYÜKŞEHİR</v>
      </c>
      <c r="C2115" t="s">
        <v>121</v>
      </c>
      <c r="D2115" s="73" t="str">
        <f t="shared" ref="D2115:D2178" si="51">CONCATENATE(B2115,"/",C2115)</f>
        <v>MANİSA BÜYÜKŞEHİR/MANİSA</v>
      </c>
      <c r="E2115" t="s">
        <v>3802</v>
      </c>
      <c r="F2115" t="s">
        <v>3802</v>
      </c>
      <c r="G2115" t="s">
        <v>3366</v>
      </c>
      <c r="H2115">
        <v>6591.2</v>
      </c>
      <c r="I2115">
        <v>659.12</v>
      </c>
      <c r="J2115">
        <v>0</v>
      </c>
      <c r="K2115">
        <v>0</v>
      </c>
      <c r="L2115">
        <v>6591.2</v>
      </c>
      <c r="M2115">
        <v>659.12</v>
      </c>
      <c r="O2115" s="79">
        <f>IFERROR(VLOOKUP(D2115,'KAPANAN BLD.'!$C$2:$D$793,2,FALSE),0)</f>
        <v>0</v>
      </c>
      <c r="P2115" s="79">
        <v>0</v>
      </c>
    </row>
    <row r="2116" spans="1:16" x14ac:dyDescent="0.25">
      <c r="A2116" t="s">
        <v>32</v>
      </c>
      <c r="B2116" s="73" t="str">
        <f>VLOOKUP(C2116,'Büyükşehir List'!$C$2:$D$31,2,FALSE)</f>
        <v>MANİSA BÜYÜKŞEHİR</v>
      </c>
      <c r="C2116" t="s">
        <v>121</v>
      </c>
      <c r="D2116" s="73" t="str">
        <f t="shared" si="51"/>
        <v>MANİSA BÜYÜKŞEHİR/MANİSA</v>
      </c>
      <c r="E2116" t="s">
        <v>4518</v>
      </c>
      <c r="F2116" t="s">
        <v>4518</v>
      </c>
      <c r="G2116" t="s">
        <v>3366</v>
      </c>
      <c r="H2116">
        <v>28.1</v>
      </c>
      <c r="I2116">
        <v>2.81</v>
      </c>
      <c r="J2116">
        <v>0</v>
      </c>
      <c r="K2116">
        <v>0</v>
      </c>
      <c r="L2116">
        <v>28.1</v>
      </c>
      <c r="M2116">
        <v>2.81</v>
      </c>
      <c r="O2116" s="79">
        <f>IFERROR(VLOOKUP(D2116,'KAPANAN BLD.'!$C$2:$D$793,2,FALSE),0)</f>
        <v>0</v>
      </c>
      <c r="P2116" s="79">
        <v>0</v>
      </c>
    </row>
    <row r="2117" spans="1:16" x14ac:dyDescent="0.25">
      <c r="A2117" t="s">
        <v>32</v>
      </c>
      <c r="B2117" s="73" t="str">
        <f>VLOOKUP(C2117,'Büyükşehir List'!$C$2:$D$31,2,FALSE)</f>
        <v>MANİSA BÜYÜKŞEHİR</v>
      </c>
      <c r="C2117" t="s">
        <v>121</v>
      </c>
      <c r="D2117" s="73" t="str">
        <f t="shared" si="51"/>
        <v>MANİSA BÜYÜKŞEHİR/MANİSA</v>
      </c>
      <c r="E2117" t="s">
        <v>4518</v>
      </c>
      <c r="F2117" t="s">
        <v>4518</v>
      </c>
      <c r="G2117" t="s">
        <v>3367</v>
      </c>
      <c r="H2117">
        <v>63</v>
      </c>
      <c r="I2117">
        <v>6.3</v>
      </c>
      <c r="J2117">
        <v>0</v>
      </c>
      <c r="K2117">
        <v>0</v>
      </c>
      <c r="L2117">
        <v>63</v>
      </c>
      <c r="M2117">
        <v>6.3</v>
      </c>
      <c r="O2117" s="79">
        <f>IFERROR(VLOOKUP(D2117,'KAPANAN BLD.'!$C$2:$D$793,2,FALSE),0)</f>
        <v>0</v>
      </c>
      <c r="P2117" s="79">
        <v>0</v>
      </c>
    </row>
    <row r="2118" spans="1:16" x14ac:dyDescent="0.25">
      <c r="A2118" t="s">
        <v>32</v>
      </c>
      <c r="B2118" s="73" t="str">
        <f>VLOOKUP(C2118,'Büyükşehir List'!$C$2:$D$31,2,FALSE)</f>
        <v>MANİSA BÜYÜKŞEHİR</v>
      </c>
      <c r="C2118" t="s">
        <v>121</v>
      </c>
      <c r="D2118" s="73" t="str">
        <f t="shared" si="51"/>
        <v>MANİSA BÜYÜKŞEHİR/MANİSA</v>
      </c>
      <c r="E2118" t="s">
        <v>4519</v>
      </c>
      <c r="F2118" t="s">
        <v>4519</v>
      </c>
      <c r="G2118" t="s">
        <v>3367</v>
      </c>
      <c r="H2118">
        <v>666.5</v>
      </c>
      <c r="I2118">
        <v>66.650000000000006</v>
      </c>
      <c r="J2118">
        <v>0</v>
      </c>
      <c r="K2118">
        <v>0</v>
      </c>
      <c r="L2118">
        <v>666.5</v>
      </c>
      <c r="M2118">
        <v>66.650000000000006</v>
      </c>
      <c r="O2118" s="79">
        <f>IFERROR(VLOOKUP(D2118,'KAPANAN BLD.'!$C$2:$D$793,2,FALSE),0)</f>
        <v>0</v>
      </c>
      <c r="P2118" s="79">
        <v>0</v>
      </c>
    </row>
    <row r="2119" spans="1:16" x14ac:dyDescent="0.25">
      <c r="A2119" t="s">
        <v>32</v>
      </c>
      <c r="B2119" s="73" t="str">
        <f>VLOOKUP(C2119,'Büyükşehir List'!$C$2:$D$31,2,FALSE)</f>
        <v>MANİSA BÜYÜKŞEHİR</v>
      </c>
      <c r="C2119" t="s">
        <v>121</v>
      </c>
      <c r="D2119" s="73" t="str">
        <f t="shared" si="51"/>
        <v>MANİSA BÜYÜKŞEHİR/MANİSA</v>
      </c>
      <c r="E2119" t="s">
        <v>3803</v>
      </c>
      <c r="F2119" t="s">
        <v>3803</v>
      </c>
      <c r="G2119" t="s">
        <v>3367</v>
      </c>
      <c r="H2119">
        <v>22565.5</v>
      </c>
      <c r="I2119">
        <v>2256.5500000000002</v>
      </c>
      <c r="J2119">
        <v>41.8</v>
      </c>
      <c r="K2119">
        <v>4.18</v>
      </c>
      <c r="L2119">
        <v>22523.7</v>
      </c>
      <c r="M2119">
        <v>2252.37</v>
      </c>
      <c r="O2119" s="79">
        <f>IFERROR(VLOOKUP(D2119,'KAPANAN BLD.'!$C$2:$D$793,2,FALSE),0)</f>
        <v>0</v>
      </c>
      <c r="P2119" s="79">
        <v>0</v>
      </c>
    </row>
    <row r="2120" spans="1:16" x14ac:dyDescent="0.25">
      <c r="A2120" t="s">
        <v>32</v>
      </c>
      <c r="B2120" s="73" t="str">
        <f>VLOOKUP(C2120,'Büyükşehir List'!$C$2:$D$31,2,FALSE)</f>
        <v>MANİSA BÜYÜKŞEHİR</v>
      </c>
      <c r="C2120" t="s">
        <v>121</v>
      </c>
      <c r="D2120" s="73" t="str">
        <f t="shared" si="51"/>
        <v>MANİSA BÜYÜKŞEHİR/MANİSA</v>
      </c>
      <c r="E2120" t="s">
        <v>3803</v>
      </c>
      <c r="F2120" t="s">
        <v>3803</v>
      </c>
      <c r="G2120" t="s">
        <v>3366</v>
      </c>
      <c r="H2120">
        <v>38451.5</v>
      </c>
      <c r="I2120">
        <v>3845.15</v>
      </c>
      <c r="J2120">
        <v>0</v>
      </c>
      <c r="K2120">
        <v>0</v>
      </c>
      <c r="L2120">
        <v>38451.5</v>
      </c>
      <c r="M2120">
        <v>3845.15</v>
      </c>
      <c r="O2120" s="79">
        <f>IFERROR(VLOOKUP(D2120,'KAPANAN BLD.'!$C$2:$D$793,2,FALSE),0)</f>
        <v>0</v>
      </c>
      <c r="P2120" s="79">
        <v>0</v>
      </c>
    </row>
    <row r="2121" spans="1:16" x14ac:dyDescent="0.25">
      <c r="A2121" t="s">
        <v>32</v>
      </c>
      <c r="B2121" s="73" t="str">
        <f>VLOOKUP(C2121,'Büyükşehir List'!$C$2:$D$31,2,FALSE)</f>
        <v>MANİSA BÜYÜKŞEHİR</v>
      </c>
      <c r="C2121" t="s">
        <v>121</v>
      </c>
      <c r="D2121" s="73" t="str">
        <f t="shared" si="51"/>
        <v>MANİSA BÜYÜKŞEHİR/MANİSA</v>
      </c>
      <c r="E2121" t="s">
        <v>4356</v>
      </c>
      <c r="F2121" t="s">
        <v>4356</v>
      </c>
      <c r="G2121" t="s">
        <v>3367</v>
      </c>
      <c r="H2121">
        <v>32.700000000000003</v>
      </c>
      <c r="I2121">
        <v>3.27</v>
      </c>
      <c r="J2121">
        <v>0</v>
      </c>
      <c r="K2121">
        <v>0</v>
      </c>
      <c r="L2121">
        <v>32.700000000000003</v>
      </c>
      <c r="M2121">
        <v>3.27</v>
      </c>
      <c r="O2121" s="79">
        <f>IFERROR(VLOOKUP(D2121,'KAPANAN BLD.'!$C$2:$D$793,2,FALSE),0)</f>
        <v>0</v>
      </c>
      <c r="P2121" s="79">
        <v>0</v>
      </c>
    </row>
    <row r="2122" spans="1:16" x14ac:dyDescent="0.25">
      <c r="A2122" t="s">
        <v>32</v>
      </c>
      <c r="B2122" s="73" t="str">
        <f>VLOOKUP(C2122,'Büyükşehir List'!$C$2:$D$31,2,FALSE)</f>
        <v>MANİSA BÜYÜKŞEHİR</v>
      </c>
      <c r="C2122" t="s">
        <v>121</v>
      </c>
      <c r="D2122" s="73" t="str">
        <f t="shared" si="51"/>
        <v>MANİSA BÜYÜKŞEHİR/MANİSA</v>
      </c>
      <c r="E2122" t="s">
        <v>333</v>
      </c>
      <c r="F2122" t="s">
        <v>333</v>
      </c>
      <c r="G2122" t="s">
        <v>3367</v>
      </c>
      <c r="H2122">
        <v>57252.6</v>
      </c>
      <c r="I2122">
        <v>5725.26</v>
      </c>
      <c r="J2122">
        <v>400.2</v>
      </c>
      <c r="K2122">
        <v>40.020000000000003</v>
      </c>
      <c r="L2122">
        <v>56852.4</v>
      </c>
      <c r="M2122">
        <v>5685.24</v>
      </c>
      <c r="O2122" s="79">
        <f>IFERROR(VLOOKUP(D2122,'KAPANAN BLD.'!$C$2:$D$793,2,FALSE),0)</f>
        <v>0</v>
      </c>
      <c r="P2122" s="79">
        <v>0</v>
      </c>
    </row>
    <row r="2123" spans="1:16" x14ac:dyDescent="0.25">
      <c r="A2123" t="s">
        <v>32</v>
      </c>
      <c r="B2123" s="73" t="str">
        <f>VLOOKUP(C2123,'Büyükşehir List'!$C$2:$D$31,2,FALSE)</f>
        <v>MANİSA BÜYÜKŞEHİR</v>
      </c>
      <c r="C2123" t="s">
        <v>121</v>
      </c>
      <c r="D2123" s="73" t="str">
        <f t="shared" si="51"/>
        <v>MANİSA BÜYÜKŞEHİR/MANİSA</v>
      </c>
      <c r="E2123" t="s">
        <v>333</v>
      </c>
      <c r="F2123" t="s">
        <v>333</v>
      </c>
      <c r="G2123" t="s">
        <v>3366</v>
      </c>
      <c r="H2123">
        <v>63852.9</v>
      </c>
      <c r="I2123">
        <v>6385.29</v>
      </c>
      <c r="J2123">
        <v>207</v>
      </c>
      <c r="K2123">
        <v>20.7</v>
      </c>
      <c r="L2123">
        <v>63645.9</v>
      </c>
      <c r="M2123">
        <v>6364.59</v>
      </c>
      <c r="O2123" s="79">
        <f>IFERROR(VLOOKUP(D2123,'KAPANAN BLD.'!$C$2:$D$793,2,FALSE),0)</f>
        <v>0</v>
      </c>
      <c r="P2123" s="79">
        <v>0</v>
      </c>
    </row>
    <row r="2124" spans="1:16" x14ac:dyDescent="0.25">
      <c r="A2124" t="s">
        <v>32</v>
      </c>
      <c r="B2124" s="73" t="str">
        <f>VLOOKUP(C2124,'Büyükşehir List'!$C$2:$D$31,2,FALSE)</f>
        <v>MANİSA BÜYÜKŞEHİR</v>
      </c>
      <c r="C2124" t="s">
        <v>121</v>
      </c>
      <c r="D2124" s="73" t="str">
        <f t="shared" si="51"/>
        <v>MANİSA BÜYÜKŞEHİR/MANİSA</v>
      </c>
      <c r="E2124" t="s">
        <v>4035</v>
      </c>
      <c r="F2124" t="s">
        <v>4035</v>
      </c>
      <c r="G2124" t="s">
        <v>3367</v>
      </c>
      <c r="H2124">
        <v>5.4</v>
      </c>
      <c r="I2124">
        <v>0.54</v>
      </c>
      <c r="J2124">
        <v>0</v>
      </c>
      <c r="K2124">
        <v>0</v>
      </c>
      <c r="L2124">
        <v>5.4</v>
      </c>
      <c r="M2124">
        <v>0.54</v>
      </c>
      <c r="O2124" s="79">
        <f>IFERROR(VLOOKUP(D2124,'KAPANAN BLD.'!$C$2:$D$793,2,FALSE),0)</f>
        <v>0</v>
      </c>
      <c r="P2124" s="79">
        <v>0</v>
      </c>
    </row>
    <row r="2125" spans="1:16" x14ac:dyDescent="0.25">
      <c r="A2125" t="s">
        <v>32</v>
      </c>
      <c r="B2125" s="73" t="str">
        <f>VLOOKUP(C2125,'Büyükşehir List'!$C$2:$D$31,2,FALSE)</f>
        <v>MANİSA BÜYÜKŞEHİR</v>
      </c>
      <c r="C2125" t="s">
        <v>121</v>
      </c>
      <c r="D2125" s="73" t="str">
        <f t="shared" si="51"/>
        <v>MANİSA BÜYÜKŞEHİR/MANİSA</v>
      </c>
      <c r="E2125" t="s">
        <v>4035</v>
      </c>
      <c r="F2125" t="s">
        <v>4035</v>
      </c>
      <c r="G2125" t="s">
        <v>3366</v>
      </c>
      <c r="H2125">
        <v>103.3</v>
      </c>
      <c r="I2125">
        <v>10.33</v>
      </c>
      <c r="J2125">
        <v>0</v>
      </c>
      <c r="K2125">
        <v>0</v>
      </c>
      <c r="L2125">
        <v>103.3</v>
      </c>
      <c r="M2125">
        <v>10.33</v>
      </c>
      <c r="O2125" s="79">
        <f>IFERROR(VLOOKUP(D2125,'KAPANAN BLD.'!$C$2:$D$793,2,FALSE),0)</f>
        <v>0</v>
      </c>
      <c r="P2125" s="79">
        <v>0</v>
      </c>
    </row>
    <row r="2126" spans="1:16" x14ac:dyDescent="0.25">
      <c r="A2126" t="s">
        <v>32</v>
      </c>
      <c r="B2126" s="73" t="str">
        <f>VLOOKUP(C2126,'Büyükşehir List'!$C$2:$D$31,2,FALSE)</f>
        <v>MANİSA BÜYÜKŞEHİR</v>
      </c>
      <c r="C2126" t="s">
        <v>121</v>
      </c>
      <c r="D2126" s="73" t="str">
        <f t="shared" si="51"/>
        <v>MANİSA BÜYÜKŞEHİR/MANİSA</v>
      </c>
      <c r="E2126" t="s">
        <v>4520</v>
      </c>
      <c r="F2126" t="s">
        <v>4520</v>
      </c>
      <c r="G2126" t="s">
        <v>3367</v>
      </c>
      <c r="H2126">
        <v>54.7</v>
      </c>
      <c r="I2126">
        <v>5.47</v>
      </c>
      <c r="J2126">
        <v>0</v>
      </c>
      <c r="K2126">
        <v>0</v>
      </c>
      <c r="L2126">
        <v>54.7</v>
      </c>
      <c r="M2126">
        <v>5.47</v>
      </c>
      <c r="O2126" s="79">
        <f>IFERROR(VLOOKUP(D2126,'KAPANAN BLD.'!$C$2:$D$793,2,FALSE),0)</f>
        <v>0</v>
      </c>
      <c r="P2126" s="79">
        <v>0</v>
      </c>
    </row>
    <row r="2127" spans="1:16" x14ac:dyDescent="0.25">
      <c r="A2127" t="s">
        <v>32</v>
      </c>
      <c r="B2127" s="73" t="str">
        <f>VLOOKUP(C2127,'Büyükşehir List'!$C$2:$D$31,2,FALSE)</f>
        <v>MANİSA BÜYÜKŞEHİR</v>
      </c>
      <c r="C2127" t="s">
        <v>121</v>
      </c>
      <c r="D2127" s="73" t="str">
        <f t="shared" si="51"/>
        <v>MANİSA BÜYÜKŞEHİR/MANİSA</v>
      </c>
      <c r="E2127" t="s">
        <v>4520</v>
      </c>
      <c r="F2127" t="s">
        <v>4520</v>
      </c>
      <c r="G2127" t="s">
        <v>3366</v>
      </c>
      <c r="H2127">
        <v>714.7</v>
      </c>
      <c r="I2127">
        <v>71.47</v>
      </c>
      <c r="J2127">
        <v>0</v>
      </c>
      <c r="K2127">
        <v>0</v>
      </c>
      <c r="L2127">
        <v>714.7</v>
      </c>
      <c r="M2127">
        <v>71.47</v>
      </c>
      <c r="O2127" s="79">
        <f>IFERROR(VLOOKUP(D2127,'KAPANAN BLD.'!$C$2:$D$793,2,FALSE),0)</f>
        <v>0</v>
      </c>
      <c r="P2127" s="79">
        <v>0</v>
      </c>
    </row>
    <row r="2128" spans="1:16" x14ac:dyDescent="0.25">
      <c r="A2128" t="s">
        <v>32</v>
      </c>
      <c r="B2128" s="73" t="str">
        <f>VLOOKUP(C2128,'Büyükşehir List'!$C$2:$D$31,2,FALSE)</f>
        <v>MANİSA BÜYÜKŞEHİR</v>
      </c>
      <c r="C2128" t="s">
        <v>121</v>
      </c>
      <c r="D2128" s="73" t="str">
        <f t="shared" si="51"/>
        <v>MANİSA BÜYÜKŞEHİR/MANİSA</v>
      </c>
      <c r="E2128" t="s">
        <v>3804</v>
      </c>
      <c r="F2128" t="s">
        <v>3804</v>
      </c>
      <c r="G2128" t="s">
        <v>3366</v>
      </c>
      <c r="H2128">
        <v>2390.8000000000002</v>
      </c>
      <c r="I2128">
        <v>239.08</v>
      </c>
      <c r="J2128">
        <v>0</v>
      </c>
      <c r="K2128">
        <v>0</v>
      </c>
      <c r="L2128">
        <v>2390.8000000000002</v>
      </c>
      <c r="M2128">
        <v>239.08</v>
      </c>
      <c r="O2128" s="79">
        <f>IFERROR(VLOOKUP(D2128,'KAPANAN BLD.'!$C$2:$D$793,2,FALSE),0)</f>
        <v>0</v>
      </c>
      <c r="P2128" s="79">
        <v>0</v>
      </c>
    </row>
    <row r="2129" spans="1:16" x14ac:dyDescent="0.25">
      <c r="A2129" t="s">
        <v>32</v>
      </c>
      <c r="B2129" s="73" t="str">
        <f>VLOOKUP(C2129,'Büyükşehir List'!$C$2:$D$31,2,FALSE)</f>
        <v>MANİSA BÜYÜKŞEHİR</v>
      </c>
      <c r="C2129" t="s">
        <v>121</v>
      </c>
      <c r="D2129" s="73" t="str">
        <f t="shared" si="51"/>
        <v>MANİSA BÜYÜKŞEHİR/MANİSA</v>
      </c>
      <c r="E2129" t="s">
        <v>3804</v>
      </c>
      <c r="F2129" t="s">
        <v>3804</v>
      </c>
      <c r="G2129" t="s">
        <v>3367</v>
      </c>
      <c r="H2129">
        <v>1305</v>
      </c>
      <c r="I2129">
        <v>130.5</v>
      </c>
      <c r="J2129">
        <v>0</v>
      </c>
      <c r="K2129">
        <v>0</v>
      </c>
      <c r="L2129">
        <v>1305</v>
      </c>
      <c r="M2129">
        <v>130.5</v>
      </c>
      <c r="O2129" s="79">
        <f>IFERROR(VLOOKUP(D2129,'KAPANAN BLD.'!$C$2:$D$793,2,FALSE),0)</f>
        <v>0</v>
      </c>
      <c r="P2129" s="79">
        <v>0</v>
      </c>
    </row>
    <row r="2130" spans="1:16" x14ac:dyDescent="0.25">
      <c r="A2130" t="s">
        <v>32</v>
      </c>
      <c r="B2130" s="73" t="str">
        <f>VLOOKUP(C2130,'Büyükşehir List'!$C$2:$D$31,2,FALSE)</f>
        <v>MANİSA BÜYÜKŞEHİR</v>
      </c>
      <c r="C2130" t="s">
        <v>121</v>
      </c>
      <c r="D2130" s="73" t="str">
        <f t="shared" si="51"/>
        <v>MANİSA BÜYÜKŞEHİR/MANİSA</v>
      </c>
      <c r="E2130" t="s">
        <v>3805</v>
      </c>
      <c r="F2130" t="s">
        <v>3805</v>
      </c>
      <c r="G2130" t="s">
        <v>3367</v>
      </c>
      <c r="H2130">
        <v>441.8</v>
      </c>
      <c r="I2130">
        <v>44.18</v>
      </c>
      <c r="J2130">
        <v>0</v>
      </c>
      <c r="K2130">
        <v>0</v>
      </c>
      <c r="L2130">
        <v>441.8</v>
      </c>
      <c r="M2130">
        <v>44.18</v>
      </c>
      <c r="O2130" s="79">
        <f>IFERROR(VLOOKUP(D2130,'KAPANAN BLD.'!$C$2:$D$793,2,FALSE),0)</f>
        <v>0</v>
      </c>
      <c r="P2130" s="79">
        <v>0</v>
      </c>
    </row>
    <row r="2131" spans="1:16" x14ac:dyDescent="0.25">
      <c r="A2131" t="s">
        <v>32</v>
      </c>
      <c r="B2131" s="73" t="str">
        <f>VLOOKUP(C2131,'Büyükşehir List'!$C$2:$D$31,2,FALSE)</f>
        <v>MANİSA BÜYÜKŞEHİR</v>
      </c>
      <c r="C2131" t="s">
        <v>121</v>
      </c>
      <c r="D2131" s="73" t="str">
        <f t="shared" si="51"/>
        <v>MANİSA BÜYÜKŞEHİR/MANİSA</v>
      </c>
      <c r="E2131" t="s">
        <v>3805</v>
      </c>
      <c r="F2131" t="s">
        <v>3805</v>
      </c>
      <c r="G2131" t="s">
        <v>3366</v>
      </c>
      <c r="H2131">
        <v>113.5</v>
      </c>
      <c r="I2131">
        <v>11.35</v>
      </c>
      <c r="J2131">
        <v>0</v>
      </c>
      <c r="K2131">
        <v>0</v>
      </c>
      <c r="L2131">
        <v>113.5</v>
      </c>
      <c r="M2131">
        <v>11.35</v>
      </c>
      <c r="O2131" s="79">
        <f>IFERROR(VLOOKUP(D2131,'KAPANAN BLD.'!$C$2:$D$793,2,FALSE),0)</f>
        <v>0</v>
      </c>
      <c r="P2131" s="79">
        <v>0</v>
      </c>
    </row>
    <row r="2132" spans="1:16" x14ac:dyDescent="0.25">
      <c r="A2132" t="s">
        <v>32</v>
      </c>
      <c r="B2132" s="73" t="str">
        <f>VLOOKUP(C2132,'Büyükşehir List'!$C$2:$D$31,2,FALSE)</f>
        <v>MANİSA BÜYÜKŞEHİR</v>
      </c>
      <c r="C2132" t="s">
        <v>121</v>
      </c>
      <c r="D2132" s="73" t="str">
        <f t="shared" si="51"/>
        <v>MANİSA BÜYÜKŞEHİR/MANİSA</v>
      </c>
      <c r="E2132" t="s">
        <v>572</v>
      </c>
      <c r="F2132" t="s">
        <v>572</v>
      </c>
      <c r="G2132" t="s">
        <v>3367</v>
      </c>
      <c r="H2132">
        <v>215.6</v>
      </c>
      <c r="I2132">
        <v>21.56</v>
      </c>
      <c r="J2132">
        <v>148.19999999999999</v>
      </c>
      <c r="K2132">
        <v>14.82</v>
      </c>
      <c r="L2132">
        <v>67.400000000000006</v>
      </c>
      <c r="M2132">
        <v>6.74</v>
      </c>
      <c r="O2132" s="79">
        <f>IFERROR(VLOOKUP(D2132,'KAPANAN BLD.'!$C$2:$D$793,2,FALSE),0)</f>
        <v>0</v>
      </c>
      <c r="P2132" s="79">
        <v>0</v>
      </c>
    </row>
    <row r="2133" spans="1:16" x14ac:dyDescent="0.25">
      <c r="A2133" t="s">
        <v>32</v>
      </c>
      <c r="B2133" s="73" t="str">
        <f>VLOOKUP(C2133,'Büyükşehir List'!$C$2:$D$31,2,FALSE)</f>
        <v>MANİSA BÜYÜKŞEHİR</v>
      </c>
      <c r="C2133" t="s">
        <v>121</v>
      </c>
      <c r="D2133" s="73" t="str">
        <f t="shared" si="51"/>
        <v>MANİSA BÜYÜKŞEHİR/MANİSA</v>
      </c>
      <c r="E2133" t="s">
        <v>572</v>
      </c>
      <c r="F2133" t="s">
        <v>572</v>
      </c>
      <c r="G2133" t="s">
        <v>3366</v>
      </c>
      <c r="H2133">
        <v>1157.9000000000001</v>
      </c>
      <c r="I2133">
        <v>115.79</v>
      </c>
      <c r="J2133">
        <v>89.7</v>
      </c>
      <c r="K2133">
        <v>8.9700000000000006</v>
      </c>
      <c r="L2133">
        <v>1068.2</v>
      </c>
      <c r="M2133">
        <v>106.82</v>
      </c>
      <c r="O2133" s="79">
        <f>IFERROR(VLOOKUP(D2133,'KAPANAN BLD.'!$C$2:$D$793,2,FALSE),0)</f>
        <v>0</v>
      </c>
      <c r="P2133" s="79">
        <v>0</v>
      </c>
    </row>
    <row r="2134" spans="1:16" x14ac:dyDescent="0.25">
      <c r="A2134" t="s">
        <v>32</v>
      </c>
      <c r="B2134" s="73" t="str">
        <f>VLOOKUP(C2134,'Büyükşehir List'!$C$2:$D$31,2,FALSE)</f>
        <v>MANİSA BÜYÜKŞEHİR</v>
      </c>
      <c r="C2134" t="s">
        <v>121</v>
      </c>
      <c r="D2134" s="73" t="str">
        <f t="shared" si="51"/>
        <v>MANİSA BÜYÜKŞEHİR/MANİSA</v>
      </c>
      <c r="E2134" t="s">
        <v>3928</v>
      </c>
      <c r="F2134" t="s">
        <v>3928</v>
      </c>
      <c r="G2134" t="s">
        <v>3367</v>
      </c>
      <c r="H2134">
        <v>90</v>
      </c>
      <c r="I2134">
        <v>9</v>
      </c>
      <c r="J2134">
        <v>0</v>
      </c>
      <c r="K2134">
        <v>0</v>
      </c>
      <c r="L2134">
        <v>90</v>
      </c>
      <c r="M2134">
        <v>9</v>
      </c>
      <c r="O2134" s="79">
        <f>IFERROR(VLOOKUP(D2134,'KAPANAN BLD.'!$C$2:$D$793,2,FALSE),0)</f>
        <v>0</v>
      </c>
      <c r="P2134" s="79">
        <v>0</v>
      </c>
    </row>
    <row r="2135" spans="1:16" x14ac:dyDescent="0.25">
      <c r="A2135" t="s">
        <v>32</v>
      </c>
      <c r="B2135" s="73" t="str">
        <f>VLOOKUP(C2135,'Büyükşehir List'!$C$2:$D$31,2,FALSE)</f>
        <v>MANİSA BÜYÜKŞEHİR</v>
      </c>
      <c r="C2135" t="s">
        <v>121</v>
      </c>
      <c r="D2135" s="73" t="str">
        <f t="shared" si="51"/>
        <v>MANİSA BÜYÜKŞEHİR/MANİSA</v>
      </c>
      <c r="E2135" t="s">
        <v>3928</v>
      </c>
      <c r="F2135" t="s">
        <v>3928</v>
      </c>
      <c r="G2135" t="s">
        <v>3366</v>
      </c>
      <c r="H2135">
        <v>805.6</v>
      </c>
      <c r="I2135">
        <v>80.56</v>
      </c>
      <c r="J2135">
        <v>0</v>
      </c>
      <c r="K2135">
        <v>0</v>
      </c>
      <c r="L2135">
        <v>805.6</v>
      </c>
      <c r="M2135">
        <v>80.56</v>
      </c>
      <c r="O2135" s="79">
        <f>IFERROR(VLOOKUP(D2135,'KAPANAN BLD.'!$C$2:$D$793,2,FALSE),0)</f>
        <v>0</v>
      </c>
      <c r="P2135" s="79">
        <v>0</v>
      </c>
    </row>
    <row r="2136" spans="1:16" x14ac:dyDescent="0.25">
      <c r="A2136" t="s">
        <v>32</v>
      </c>
      <c r="B2136" s="73" t="str">
        <f>VLOOKUP(C2136,'Büyükşehir List'!$C$2:$D$31,2,FALSE)</f>
        <v>MANİSA BÜYÜKŞEHİR</v>
      </c>
      <c r="C2136" t="s">
        <v>121</v>
      </c>
      <c r="D2136" s="73" t="str">
        <f t="shared" si="51"/>
        <v>MANİSA BÜYÜKŞEHİR/MANİSA</v>
      </c>
      <c r="E2136" t="s">
        <v>461</v>
      </c>
      <c r="F2136" t="s">
        <v>461</v>
      </c>
      <c r="G2136" t="s">
        <v>3367</v>
      </c>
      <c r="H2136">
        <v>228.3</v>
      </c>
      <c r="I2136">
        <v>22.83</v>
      </c>
      <c r="J2136">
        <v>5.4</v>
      </c>
      <c r="K2136">
        <v>0.54</v>
      </c>
      <c r="L2136">
        <v>222.9</v>
      </c>
      <c r="M2136">
        <v>22.29</v>
      </c>
      <c r="O2136" s="79">
        <f>IFERROR(VLOOKUP(D2136,'KAPANAN BLD.'!$C$2:$D$793,2,FALSE),0)</f>
        <v>0</v>
      </c>
      <c r="P2136" s="79">
        <v>0</v>
      </c>
    </row>
    <row r="2137" spans="1:16" x14ac:dyDescent="0.25">
      <c r="A2137" t="s">
        <v>32</v>
      </c>
      <c r="B2137" s="73" t="str">
        <f>VLOOKUP(C2137,'Büyükşehir List'!$C$2:$D$31,2,FALSE)</f>
        <v>MANİSA BÜYÜKŞEHİR</v>
      </c>
      <c r="C2137" t="s">
        <v>121</v>
      </c>
      <c r="D2137" s="73" t="str">
        <f t="shared" si="51"/>
        <v>MANİSA BÜYÜKŞEHİR/MANİSA</v>
      </c>
      <c r="E2137" t="s">
        <v>461</v>
      </c>
      <c r="F2137" t="s">
        <v>461</v>
      </c>
      <c r="G2137" t="s">
        <v>3366</v>
      </c>
      <c r="H2137">
        <v>319.7</v>
      </c>
      <c r="I2137">
        <v>31.97</v>
      </c>
      <c r="J2137">
        <v>103.3</v>
      </c>
      <c r="K2137">
        <v>10.33</v>
      </c>
      <c r="L2137">
        <v>216.4</v>
      </c>
      <c r="M2137">
        <v>21.64</v>
      </c>
      <c r="O2137" s="79">
        <f>IFERROR(VLOOKUP(D2137,'KAPANAN BLD.'!$C$2:$D$793,2,FALSE),0)</f>
        <v>0</v>
      </c>
      <c r="P2137" s="79">
        <v>0</v>
      </c>
    </row>
    <row r="2138" spans="1:16" x14ac:dyDescent="0.25">
      <c r="A2138" t="s">
        <v>32</v>
      </c>
      <c r="B2138" s="73" t="str">
        <f>VLOOKUP(C2138,'Büyükşehir List'!$C$2:$D$31,2,FALSE)</f>
        <v>MANİSA BÜYÜKŞEHİR</v>
      </c>
      <c r="C2138" t="s">
        <v>121</v>
      </c>
      <c r="D2138" s="73" t="str">
        <f t="shared" si="51"/>
        <v>MANİSA BÜYÜKŞEHİR/MANİSA</v>
      </c>
      <c r="E2138" t="s">
        <v>3806</v>
      </c>
      <c r="F2138" t="s">
        <v>3806</v>
      </c>
      <c r="G2138" t="s">
        <v>3367</v>
      </c>
      <c r="H2138">
        <v>170</v>
      </c>
      <c r="I2138">
        <v>17</v>
      </c>
      <c r="J2138">
        <v>45</v>
      </c>
      <c r="K2138">
        <v>4.5</v>
      </c>
      <c r="L2138">
        <v>125</v>
      </c>
      <c r="M2138">
        <v>12.5</v>
      </c>
      <c r="O2138" s="79">
        <f>IFERROR(VLOOKUP(D2138,'KAPANAN BLD.'!$C$2:$D$793,2,FALSE),0)</f>
        <v>0</v>
      </c>
      <c r="P2138" s="79">
        <v>0</v>
      </c>
    </row>
    <row r="2139" spans="1:16" x14ac:dyDescent="0.25">
      <c r="A2139" t="s">
        <v>32</v>
      </c>
      <c r="B2139" s="73" t="str">
        <f>VLOOKUP(C2139,'Büyükşehir List'!$C$2:$D$31,2,FALSE)</f>
        <v>MANİSA BÜYÜKŞEHİR</v>
      </c>
      <c r="C2139" t="s">
        <v>121</v>
      </c>
      <c r="D2139" s="73" t="str">
        <f t="shared" si="51"/>
        <v>MANİSA BÜYÜKŞEHİR/MANİSA</v>
      </c>
      <c r="E2139" t="s">
        <v>3806</v>
      </c>
      <c r="F2139" t="s">
        <v>3806</v>
      </c>
      <c r="G2139" t="s">
        <v>3366</v>
      </c>
      <c r="H2139">
        <v>1794.6</v>
      </c>
      <c r="I2139">
        <v>179.46</v>
      </c>
      <c r="J2139">
        <v>402.8</v>
      </c>
      <c r="K2139">
        <v>40.28</v>
      </c>
      <c r="L2139">
        <v>1391.8</v>
      </c>
      <c r="M2139">
        <v>139.18</v>
      </c>
      <c r="O2139" s="79">
        <f>IFERROR(VLOOKUP(D2139,'KAPANAN BLD.'!$C$2:$D$793,2,FALSE),0)</f>
        <v>0</v>
      </c>
      <c r="P2139" s="79">
        <v>0</v>
      </c>
    </row>
    <row r="2140" spans="1:16" x14ac:dyDescent="0.25">
      <c r="A2140" t="s">
        <v>32</v>
      </c>
      <c r="B2140" s="73" t="str">
        <f>VLOOKUP(C2140,'Büyükşehir List'!$C$2:$D$31,2,FALSE)</f>
        <v>MANİSA BÜYÜKŞEHİR</v>
      </c>
      <c r="C2140" t="s">
        <v>121</v>
      </c>
      <c r="D2140" s="73" t="str">
        <f t="shared" si="51"/>
        <v>MANİSA BÜYÜKŞEHİR/MANİSA</v>
      </c>
      <c r="E2140" t="s">
        <v>4397</v>
      </c>
      <c r="F2140" t="s">
        <v>4397</v>
      </c>
      <c r="G2140" t="s">
        <v>3367</v>
      </c>
      <c r="H2140">
        <v>422.9</v>
      </c>
      <c r="I2140">
        <v>42.29</v>
      </c>
      <c r="J2140">
        <v>0</v>
      </c>
      <c r="K2140">
        <v>0</v>
      </c>
      <c r="L2140">
        <v>422.9</v>
      </c>
      <c r="M2140">
        <v>42.29</v>
      </c>
      <c r="O2140" s="79">
        <f>IFERROR(VLOOKUP(D2140,'KAPANAN BLD.'!$C$2:$D$793,2,FALSE),0)</f>
        <v>0</v>
      </c>
      <c r="P2140" s="79">
        <v>0</v>
      </c>
    </row>
    <row r="2141" spans="1:16" x14ac:dyDescent="0.25">
      <c r="A2141" t="s">
        <v>32</v>
      </c>
      <c r="B2141" s="73" t="str">
        <f>VLOOKUP(C2141,'Büyükşehir List'!$C$2:$D$31,2,FALSE)</f>
        <v>MANİSA BÜYÜKŞEHİR</v>
      </c>
      <c r="C2141" t="s">
        <v>121</v>
      </c>
      <c r="D2141" s="73" t="str">
        <f t="shared" si="51"/>
        <v>MANİSA BÜYÜKŞEHİR/MANİSA</v>
      </c>
      <c r="E2141" t="s">
        <v>4397</v>
      </c>
      <c r="F2141" t="s">
        <v>4397</v>
      </c>
      <c r="G2141" t="s">
        <v>3366</v>
      </c>
      <c r="H2141">
        <v>167.6</v>
      </c>
      <c r="I2141">
        <v>16.760000000000002</v>
      </c>
      <c r="J2141">
        <v>0</v>
      </c>
      <c r="K2141">
        <v>0</v>
      </c>
      <c r="L2141">
        <v>167.6</v>
      </c>
      <c r="M2141">
        <v>16.760000000000002</v>
      </c>
      <c r="O2141" s="79">
        <f>IFERROR(VLOOKUP(D2141,'KAPANAN BLD.'!$C$2:$D$793,2,FALSE),0)</f>
        <v>0</v>
      </c>
      <c r="P2141" s="79">
        <v>0</v>
      </c>
    </row>
    <row r="2142" spans="1:16" x14ac:dyDescent="0.25">
      <c r="A2142" t="s">
        <v>32</v>
      </c>
      <c r="B2142" s="73" t="str">
        <f>VLOOKUP(C2142,'Büyükşehir List'!$C$2:$D$31,2,FALSE)</f>
        <v>MANİSA BÜYÜKŞEHİR</v>
      </c>
      <c r="C2142" t="s">
        <v>121</v>
      </c>
      <c r="D2142" s="73" t="str">
        <f t="shared" si="51"/>
        <v>MANİSA BÜYÜKŞEHİR/MANİSA</v>
      </c>
      <c r="E2142" t="s">
        <v>34</v>
      </c>
      <c r="F2142" t="s">
        <v>34</v>
      </c>
      <c r="G2142" t="s">
        <v>3366</v>
      </c>
      <c r="H2142">
        <v>76962.03</v>
      </c>
      <c r="I2142">
        <v>7696.21</v>
      </c>
      <c r="J2142">
        <v>3985.1</v>
      </c>
      <c r="K2142">
        <v>398.51</v>
      </c>
      <c r="L2142">
        <v>72976.929999999993</v>
      </c>
      <c r="M2142">
        <v>7297.7</v>
      </c>
      <c r="O2142" s="79">
        <f>IFERROR(VLOOKUP(D2142,'KAPANAN BLD.'!$C$2:$D$793,2,FALSE),0)</f>
        <v>0</v>
      </c>
      <c r="P2142" s="79">
        <v>0</v>
      </c>
    </row>
    <row r="2143" spans="1:16" x14ac:dyDescent="0.25">
      <c r="A2143" t="s">
        <v>32</v>
      </c>
      <c r="B2143" s="73" t="str">
        <f>VLOOKUP(C2143,'Büyükşehir List'!$C$2:$D$31,2,FALSE)</f>
        <v>MANİSA BÜYÜKŞEHİR</v>
      </c>
      <c r="C2143" t="s">
        <v>121</v>
      </c>
      <c r="D2143" s="73" t="str">
        <f t="shared" si="51"/>
        <v>MANİSA BÜYÜKŞEHİR/MANİSA</v>
      </c>
      <c r="E2143" t="s">
        <v>34</v>
      </c>
      <c r="F2143" t="s">
        <v>34</v>
      </c>
      <c r="G2143" t="s">
        <v>3367</v>
      </c>
      <c r="H2143">
        <v>21243.94</v>
      </c>
      <c r="I2143">
        <v>2124.39</v>
      </c>
      <c r="J2143">
        <v>2266.6</v>
      </c>
      <c r="K2143">
        <v>226.66</v>
      </c>
      <c r="L2143">
        <v>18977.34</v>
      </c>
      <c r="M2143">
        <v>1897.73</v>
      </c>
      <c r="O2143" s="79">
        <f>IFERROR(VLOOKUP(D2143,'KAPANAN BLD.'!$C$2:$D$793,2,FALSE),0)</f>
        <v>0</v>
      </c>
      <c r="P2143" s="79">
        <v>0</v>
      </c>
    </row>
    <row r="2144" spans="1:16" x14ac:dyDescent="0.25">
      <c r="A2144" t="s">
        <v>32</v>
      </c>
      <c r="B2144" s="73" t="str">
        <f>VLOOKUP(C2144,'Büyükşehir List'!$C$2:$D$31,2,FALSE)</f>
        <v>MANİSA BÜYÜKŞEHİR</v>
      </c>
      <c r="C2144" t="s">
        <v>121</v>
      </c>
      <c r="D2144" s="73" t="str">
        <f t="shared" si="51"/>
        <v>MANİSA BÜYÜKŞEHİR/MANİSA</v>
      </c>
      <c r="E2144" t="s">
        <v>3807</v>
      </c>
      <c r="F2144" t="s">
        <v>3807</v>
      </c>
      <c r="G2144" t="s">
        <v>3367</v>
      </c>
      <c r="H2144">
        <v>2563.5</v>
      </c>
      <c r="I2144">
        <v>256.35000000000002</v>
      </c>
      <c r="J2144">
        <v>366.7</v>
      </c>
      <c r="K2144">
        <v>36.67</v>
      </c>
      <c r="L2144">
        <v>2196.8000000000002</v>
      </c>
      <c r="M2144">
        <v>219.68</v>
      </c>
      <c r="O2144" s="79">
        <f>IFERROR(VLOOKUP(D2144,'KAPANAN BLD.'!$C$2:$D$793,2,FALSE),0)</f>
        <v>0</v>
      </c>
      <c r="P2144" s="79">
        <v>0</v>
      </c>
    </row>
    <row r="2145" spans="1:16" x14ac:dyDescent="0.25">
      <c r="A2145" t="s">
        <v>32</v>
      </c>
      <c r="B2145" s="73" t="str">
        <f>VLOOKUP(C2145,'Büyükşehir List'!$C$2:$D$31,2,FALSE)</f>
        <v>MANİSA BÜYÜKŞEHİR</v>
      </c>
      <c r="C2145" t="s">
        <v>121</v>
      </c>
      <c r="D2145" s="73" t="str">
        <f t="shared" si="51"/>
        <v>MANİSA BÜYÜKŞEHİR/MANİSA</v>
      </c>
      <c r="E2145" t="s">
        <v>3807</v>
      </c>
      <c r="F2145" t="s">
        <v>3807</v>
      </c>
      <c r="G2145" t="s">
        <v>3366</v>
      </c>
      <c r="H2145">
        <v>7762</v>
      </c>
      <c r="I2145">
        <v>776.2</v>
      </c>
      <c r="J2145">
        <v>0</v>
      </c>
      <c r="K2145">
        <v>0</v>
      </c>
      <c r="L2145">
        <v>7762</v>
      </c>
      <c r="M2145">
        <v>776.2</v>
      </c>
      <c r="O2145" s="79">
        <f>IFERROR(VLOOKUP(D2145,'KAPANAN BLD.'!$C$2:$D$793,2,FALSE),0)</f>
        <v>0</v>
      </c>
      <c r="P2145" s="79">
        <v>0</v>
      </c>
    </row>
    <row r="2146" spans="1:16" x14ac:dyDescent="0.25">
      <c r="A2146" t="s">
        <v>32</v>
      </c>
      <c r="B2146" s="73" t="str">
        <f>VLOOKUP(C2146,'Büyükşehir List'!$C$2:$D$31,2,FALSE)</f>
        <v>MANİSA BÜYÜKŞEHİR</v>
      </c>
      <c r="C2146" t="s">
        <v>121</v>
      </c>
      <c r="D2146" s="73" t="str">
        <f t="shared" si="51"/>
        <v>MANİSA BÜYÜKŞEHİR/MANİSA</v>
      </c>
      <c r="E2146" t="s">
        <v>4231</v>
      </c>
      <c r="F2146" t="s">
        <v>4231</v>
      </c>
      <c r="G2146" t="s">
        <v>3367</v>
      </c>
      <c r="H2146">
        <v>111.1</v>
      </c>
      <c r="I2146">
        <v>11.11</v>
      </c>
      <c r="J2146">
        <v>0</v>
      </c>
      <c r="K2146">
        <v>0</v>
      </c>
      <c r="L2146">
        <v>111.1</v>
      </c>
      <c r="M2146">
        <v>11.11</v>
      </c>
      <c r="O2146" s="79">
        <f>IFERROR(VLOOKUP(D2146,'KAPANAN BLD.'!$C$2:$D$793,2,FALSE),0)</f>
        <v>0</v>
      </c>
      <c r="P2146" s="79">
        <v>0</v>
      </c>
    </row>
    <row r="2147" spans="1:16" x14ac:dyDescent="0.25">
      <c r="A2147" t="s">
        <v>32</v>
      </c>
      <c r="B2147" s="73" t="str">
        <f>VLOOKUP(C2147,'Büyükşehir List'!$C$2:$D$31,2,FALSE)</f>
        <v>MANİSA BÜYÜKŞEHİR</v>
      </c>
      <c r="C2147" t="s">
        <v>121</v>
      </c>
      <c r="D2147" s="73" t="str">
        <f t="shared" si="51"/>
        <v>MANİSA BÜYÜKŞEHİR/MANİSA</v>
      </c>
      <c r="E2147" t="s">
        <v>4231</v>
      </c>
      <c r="F2147" t="s">
        <v>4231</v>
      </c>
      <c r="G2147" t="s">
        <v>3366</v>
      </c>
      <c r="H2147">
        <v>402.8</v>
      </c>
      <c r="I2147">
        <v>40.28</v>
      </c>
      <c r="J2147">
        <v>0</v>
      </c>
      <c r="K2147">
        <v>0</v>
      </c>
      <c r="L2147">
        <v>402.8</v>
      </c>
      <c r="M2147">
        <v>40.28</v>
      </c>
      <c r="O2147" s="79">
        <f>IFERROR(VLOOKUP(D2147,'KAPANAN BLD.'!$C$2:$D$793,2,FALSE),0)</f>
        <v>0</v>
      </c>
      <c r="P2147" s="79">
        <v>0</v>
      </c>
    </row>
    <row r="2148" spans="1:16" x14ac:dyDescent="0.25">
      <c r="A2148" t="s">
        <v>32</v>
      </c>
      <c r="B2148" s="73" t="str">
        <f>VLOOKUP(C2148,'Büyükşehir List'!$C$2:$D$31,2,FALSE)</f>
        <v>MANİSA BÜYÜKŞEHİR</v>
      </c>
      <c r="C2148" t="s">
        <v>121</v>
      </c>
      <c r="D2148" s="73" t="str">
        <f t="shared" si="51"/>
        <v>MANİSA BÜYÜKŞEHİR/MANİSA</v>
      </c>
      <c r="E2148" t="s">
        <v>3878</v>
      </c>
      <c r="F2148" t="s">
        <v>3878</v>
      </c>
      <c r="G2148" t="s">
        <v>3367</v>
      </c>
      <c r="H2148">
        <v>364.9</v>
      </c>
      <c r="I2148">
        <v>36.49</v>
      </c>
      <c r="J2148">
        <v>0</v>
      </c>
      <c r="K2148">
        <v>0</v>
      </c>
      <c r="L2148">
        <v>364.9</v>
      </c>
      <c r="M2148">
        <v>36.49</v>
      </c>
      <c r="O2148" s="79">
        <f>IFERROR(VLOOKUP(D2148,'KAPANAN BLD.'!$C$2:$D$793,2,FALSE),0)</f>
        <v>0</v>
      </c>
      <c r="P2148" s="79">
        <v>0</v>
      </c>
    </row>
    <row r="2149" spans="1:16" x14ac:dyDescent="0.25">
      <c r="A2149" t="s">
        <v>32</v>
      </c>
      <c r="B2149" s="73" t="str">
        <f>VLOOKUP(C2149,'Büyükşehir List'!$C$2:$D$31,2,FALSE)</f>
        <v>MANİSA BÜYÜKŞEHİR</v>
      </c>
      <c r="C2149" t="s">
        <v>121</v>
      </c>
      <c r="D2149" s="73" t="str">
        <f t="shared" si="51"/>
        <v>MANİSA BÜYÜKŞEHİR/MANİSA</v>
      </c>
      <c r="E2149" t="s">
        <v>3878</v>
      </c>
      <c r="F2149" t="s">
        <v>3878</v>
      </c>
      <c r="G2149" t="s">
        <v>3366</v>
      </c>
      <c r="H2149">
        <v>611.5</v>
      </c>
      <c r="I2149">
        <v>61.15</v>
      </c>
      <c r="J2149">
        <v>0</v>
      </c>
      <c r="K2149">
        <v>0</v>
      </c>
      <c r="L2149">
        <v>611.5</v>
      </c>
      <c r="M2149">
        <v>61.15</v>
      </c>
      <c r="O2149" s="79">
        <f>IFERROR(VLOOKUP(D2149,'KAPANAN BLD.'!$C$2:$D$793,2,FALSE),0)</f>
        <v>0</v>
      </c>
      <c r="P2149" s="79">
        <v>0</v>
      </c>
    </row>
    <row r="2150" spans="1:16" x14ac:dyDescent="0.25">
      <c r="A2150" t="s">
        <v>32</v>
      </c>
      <c r="B2150" s="73" t="str">
        <f>VLOOKUP(C2150,'Büyükşehir List'!$C$2:$D$31,2,FALSE)</f>
        <v>MANİSA BÜYÜKŞEHİR</v>
      </c>
      <c r="C2150" t="s">
        <v>121</v>
      </c>
      <c r="D2150" s="73" t="str">
        <f t="shared" si="51"/>
        <v>MANİSA BÜYÜKŞEHİR/MANİSA</v>
      </c>
      <c r="E2150" t="s">
        <v>3808</v>
      </c>
      <c r="F2150" t="s">
        <v>3808</v>
      </c>
      <c r="G2150" t="s">
        <v>3367</v>
      </c>
      <c r="H2150">
        <v>2925.7</v>
      </c>
      <c r="I2150">
        <v>292.57</v>
      </c>
      <c r="J2150">
        <v>5.4</v>
      </c>
      <c r="K2150">
        <v>0.54</v>
      </c>
      <c r="L2150">
        <v>2920.3</v>
      </c>
      <c r="M2150">
        <v>292.02999999999997</v>
      </c>
      <c r="O2150" s="79">
        <f>IFERROR(VLOOKUP(D2150,'KAPANAN BLD.'!$C$2:$D$793,2,FALSE),0)</f>
        <v>0</v>
      </c>
      <c r="P2150" s="79">
        <v>0</v>
      </c>
    </row>
    <row r="2151" spans="1:16" x14ac:dyDescent="0.25">
      <c r="A2151" t="s">
        <v>32</v>
      </c>
      <c r="B2151" s="73" t="str">
        <f>VLOOKUP(C2151,'Büyükşehir List'!$C$2:$D$31,2,FALSE)</f>
        <v>MANİSA BÜYÜKŞEHİR</v>
      </c>
      <c r="C2151" t="s">
        <v>121</v>
      </c>
      <c r="D2151" s="73" t="str">
        <f t="shared" si="51"/>
        <v>MANİSA BÜYÜKŞEHİR/MANİSA</v>
      </c>
      <c r="E2151" t="s">
        <v>3808</v>
      </c>
      <c r="F2151" t="s">
        <v>3808</v>
      </c>
      <c r="G2151" t="s">
        <v>3366</v>
      </c>
      <c r="H2151">
        <v>4271.3999999999996</v>
      </c>
      <c r="I2151">
        <v>427.14</v>
      </c>
      <c r="J2151">
        <v>103.3</v>
      </c>
      <c r="K2151">
        <v>10.33</v>
      </c>
      <c r="L2151">
        <v>4168.1000000000004</v>
      </c>
      <c r="M2151">
        <v>416.81</v>
      </c>
      <c r="O2151" s="79">
        <f>IFERROR(VLOOKUP(D2151,'KAPANAN BLD.'!$C$2:$D$793,2,FALSE),0)</f>
        <v>0</v>
      </c>
      <c r="P2151" s="79">
        <v>0</v>
      </c>
    </row>
    <row r="2152" spans="1:16" x14ac:dyDescent="0.25">
      <c r="A2152" t="s">
        <v>32</v>
      </c>
      <c r="B2152" s="73" t="str">
        <f>VLOOKUP(C2152,'Büyükşehir List'!$C$2:$D$31,2,FALSE)</f>
        <v>MANİSA BÜYÜKŞEHİR</v>
      </c>
      <c r="C2152" t="s">
        <v>121</v>
      </c>
      <c r="D2152" s="73" t="str">
        <f t="shared" si="51"/>
        <v>MANİSA BÜYÜKŞEHİR/MANİSA</v>
      </c>
      <c r="E2152" t="s">
        <v>178</v>
      </c>
      <c r="F2152" t="s">
        <v>178</v>
      </c>
      <c r="G2152" t="s">
        <v>3367</v>
      </c>
      <c r="H2152">
        <v>1162.8</v>
      </c>
      <c r="I2152">
        <v>116.28</v>
      </c>
      <c r="J2152">
        <v>0.4</v>
      </c>
      <c r="K2152">
        <v>0.04</v>
      </c>
      <c r="L2152">
        <v>1162.4000000000001</v>
      </c>
      <c r="M2152">
        <v>116.24</v>
      </c>
      <c r="O2152" s="79">
        <f>IFERROR(VLOOKUP(D2152,'KAPANAN BLD.'!$C$2:$D$793,2,FALSE),0)</f>
        <v>0</v>
      </c>
      <c r="P2152" s="79">
        <v>0</v>
      </c>
    </row>
    <row r="2153" spans="1:16" x14ac:dyDescent="0.25">
      <c r="A2153" t="s">
        <v>32</v>
      </c>
      <c r="B2153" s="73" t="str">
        <f>VLOOKUP(C2153,'Büyükşehir List'!$C$2:$D$31,2,FALSE)</f>
        <v>MANİSA BÜYÜKŞEHİR</v>
      </c>
      <c r="C2153" t="s">
        <v>121</v>
      </c>
      <c r="D2153" s="73" t="str">
        <f t="shared" si="51"/>
        <v>MANİSA BÜYÜKŞEHİR/MANİSA</v>
      </c>
      <c r="E2153" t="s">
        <v>178</v>
      </c>
      <c r="F2153" t="s">
        <v>178</v>
      </c>
      <c r="G2153" t="s">
        <v>3366</v>
      </c>
      <c r="H2153">
        <v>1557.1</v>
      </c>
      <c r="I2153">
        <v>155.71</v>
      </c>
      <c r="J2153">
        <v>18.5</v>
      </c>
      <c r="K2153">
        <v>1.85</v>
      </c>
      <c r="L2153">
        <v>1538.6</v>
      </c>
      <c r="M2153">
        <v>153.86000000000001</v>
      </c>
      <c r="O2153" s="79">
        <f>IFERROR(VLOOKUP(D2153,'KAPANAN BLD.'!$C$2:$D$793,2,FALSE),0)</f>
        <v>0</v>
      </c>
      <c r="P2153" s="79">
        <v>0</v>
      </c>
    </row>
    <row r="2154" spans="1:16" x14ac:dyDescent="0.25">
      <c r="A2154" t="s">
        <v>32</v>
      </c>
      <c r="B2154" s="73" t="str">
        <f>VLOOKUP(C2154,'Büyükşehir List'!$C$2:$D$31,2,FALSE)</f>
        <v>MANİSA BÜYÜKŞEHİR</v>
      </c>
      <c r="C2154" t="s">
        <v>121</v>
      </c>
      <c r="D2154" s="73" t="str">
        <f t="shared" si="51"/>
        <v>MANİSA BÜYÜKŞEHİR/MANİSA</v>
      </c>
      <c r="E2154" t="s">
        <v>4309</v>
      </c>
      <c r="F2154" t="s">
        <v>4309</v>
      </c>
      <c r="G2154" t="s">
        <v>3367</v>
      </c>
      <c r="H2154">
        <v>50.4</v>
      </c>
      <c r="I2154">
        <v>5.04</v>
      </c>
      <c r="J2154">
        <v>0</v>
      </c>
      <c r="K2154">
        <v>0</v>
      </c>
      <c r="L2154">
        <v>50.4</v>
      </c>
      <c r="M2154">
        <v>5.04</v>
      </c>
      <c r="O2154" s="79">
        <f>IFERROR(VLOOKUP(D2154,'KAPANAN BLD.'!$C$2:$D$793,2,FALSE),0)</f>
        <v>0</v>
      </c>
      <c r="P2154" s="79">
        <v>0</v>
      </c>
    </row>
    <row r="2155" spans="1:16" x14ac:dyDescent="0.25">
      <c r="A2155" t="s">
        <v>32</v>
      </c>
      <c r="B2155" s="73" t="str">
        <f>VLOOKUP(C2155,'Büyükşehir List'!$C$2:$D$31,2,FALSE)</f>
        <v>MANİSA BÜYÜKŞEHİR</v>
      </c>
      <c r="C2155" t="s">
        <v>121</v>
      </c>
      <c r="D2155" s="73" t="str">
        <f t="shared" si="51"/>
        <v>MANİSA BÜYÜKŞEHİR/MANİSA</v>
      </c>
      <c r="E2155" t="s">
        <v>4309</v>
      </c>
      <c r="F2155" t="s">
        <v>4309</v>
      </c>
      <c r="G2155" t="s">
        <v>3366</v>
      </c>
      <c r="H2155">
        <v>506.1</v>
      </c>
      <c r="I2155">
        <v>50.61</v>
      </c>
      <c r="J2155">
        <v>0</v>
      </c>
      <c r="K2155">
        <v>0</v>
      </c>
      <c r="L2155">
        <v>506.1</v>
      </c>
      <c r="M2155">
        <v>50.61</v>
      </c>
      <c r="O2155" s="79">
        <f>IFERROR(VLOOKUP(D2155,'KAPANAN BLD.'!$C$2:$D$793,2,FALSE),0)</f>
        <v>0</v>
      </c>
      <c r="P2155" s="79">
        <v>0</v>
      </c>
    </row>
    <row r="2156" spans="1:16" x14ac:dyDescent="0.25">
      <c r="A2156" t="s">
        <v>32</v>
      </c>
      <c r="B2156" s="73" t="str">
        <f>VLOOKUP(C2156,'Büyükşehir List'!$C$2:$D$31,2,FALSE)</f>
        <v>MANİSA BÜYÜKŞEHİR</v>
      </c>
      <c r="C2156" t="s">
        <v>121</v>
      </c>
      <c r="D2156" s="73" t="str">
        <f t="shared" si="51"/>
        <v>MANİSA BÜYÜKŞEHİR/MANİSA</v>
      </c>
      <c r="E2156" t="s">
        <v>241</v>
      </c>
      <c r="F2156" t="s">
        <v>241</v>
      </c>
      <c r="G2156" t="s">
        <v>3366</v>
      </c>
      <c r="H2156">
        <v>122.3</v>
      </c>
      <c r="I2156">
        <v>12.23</v>
      </c>
      <c r="J2156">
        <v>1.8</v>
      </c>
      <c r="K2156">
        <v>0.18</v>
      </c>
      <c r="L2156">
        <v>120.5</v>
      </c>
      <c r="M2156">
        <v>12.05</v>
      </c>
      <c r="O2156" s="79">
        <f>IFERROR(VLOOKUP(D2156,'KAPANAN BLD.'!$C$2:$D$793,2,FALSE),0)</f>
        <v>0</v>
      </c>
      <c r="P2156" s="79">
        <v>0</v>
      </c>
    </row>
    <row r="2157" spans="1:16" x14ac:dyDescent="0.25">
      <c r="A2157" t="s">
        <v>32</v>
      </c>
      <c r="B2157" s="73" t="str">
        <f>VLOOKUP(C2157,'Büyükşehir List'!$C$2:$D$31,2,FALSE)</f>
        <v>MANİSA BÜYÜKŞEHİR</v>
      </c>
      <c r="C2157" t="s">
        <v>121</v>
      </c>
      <c r="D2157" s="73" t="str">
        <f t="shared" si="51"/>
        <v>MANİSA BÜYÜKŞEHİR/MANİSA</v>
      </c>
      <c r="E2157" t="s">
        <v>241</v>
      </c>
      <c r="F2157" t="s">
        <v>241</v>
      </c>
      <c r="G2157" t="s">
        <v>3367</v>
      </c>
      <c r="H2157">
        <v>850.9</v>
      </c>
      <c r="I2157">
        <v>85.09</v>
      </c>
      <c r="J2157">
        <v>0.1</v>
      </c>
      <c r="K2157">
        <v>0.01</v>
      </c>
      <c r="L2157">
        <v>850.8</v>
      </c>
      <c r="M2157">
        <v>85.08</v>
      </c>
      <c r="O2157" s="79">
        <f>IFERROR(VLOOKUP(D2157,'KAPANAN BLD.'!$C$2:$D$793,2,FALSE),0)</f>
        <v>0</v>
      </c>
      <c r="P2157" s="79">
        <v>0</v>
      </c>
    </row>
    <row r="2158" spans="1:16" x14ac:dyDescent="0.25">
      <c r="A2158" t="s">
        <v>32</v>
      </c>
      <c r="B2158" s="73" t="str">
        <f>VLOOKUP(C2158,'Büyükşehir List'!$C$2:$D$31,2,FALSE)</f>
        <v>MANİSA BÜYÜKŞEHİR</v>
      </c>
      <c r="C2158" t="s">
        <v>121</v>
      </c>
      <c r="D2158" s="73" t="str">
        <f t="shared" si="51"/>
        <v>MANİSA BÜYÜKŞEHİR/MANİSA</v>
      </c>
      <c r="E2158" t="s">
        <v>3809</v>
      </c>
      <c r="F2158" t="s">
        <v>3809</v>
      </c>
      <c r="G2158" t="s">
        <v>3366</v>
      </c>
      <c r="H2158">
        <v>1563.6</v>
      </c>
      <c r="I2158">
        <v>156.36000000000001</v>
      </c>
      <c r="J2158">
        <v>103.3</v>
      </c>
      <c r="K2158">
        <v>10.33</v>
      </c>
      <c r="L2158">
        <v>1460.3</v>
      </c>
      <c r="M2158">
        <v>146.03</v>
      </c>
      <c r="O2158" s="79">
        <f>IFERROR(VLOOKUP(D2158,'KAPANAN BLD.'!$C$2:$D$793,2,FALSE),0)</f>
        <v>0</v>
      </c>
      <c r="P2158" s="79">
        <v>0</v>
      </c>
    </row>
    <row r="2159" spans="1:16" x14ac:dyDescent="0.25">
      <c r="A2159" t="s">
        <v>32</v>
      </c>
      <c r="B2159" s="73" t="str">
        <f>VLOOKUP(C2159,'Büyükşehir List'!$C$2:$D$31,2,FALSE)</f>
        <v>MANİSA BÜYÜKŞEHİR</v>
      </c>
      <c r="C2159" t="s">
        <v>121</v>
      </c>
      <c r="D2159" s="73" t="str">
        <f t="shared" si="51"/>
        <v>MANİSA BÜYÜKŞEHİR/MANİSA</v>
      </c>
      <c r="E2159" t="s">
        <v>3809</v>
      </c>
      <c r="F2159" t="s">
        <v>3809</v>
      </c>
      <c r="G2159" t="s">
        <v>3367</v>
      </c>
      <c r="H2159">
        <v>1509</v>
      </c>
      <c r="I2159">
        <v>150.9</v>
      </c>
      <c r="J2159">
        <v>211.4</v>
      </c>
      <c r="K2159">
        <v>21.14</v>
      </c>
      <c r="L2159">
        <v>1297.5999999999999</v>
      </c>
      <c r="M2159">
        <v>129.76</v>
      </c>
      <c r="O2159" s="79">
        <f>IFERROR(VLOOKUP(D2159,'KAPANAN BLD.'!$C$2:$D$793,2,FALSE),0)</f>
        <v>0</v>
      </c>
      <c r="P2159" s="79">
        <v>0</v>
      </c>
    </row>
    <row r="2160" spans="1:16" x14ac:dyDescent="0.25">
      <c r="A2160" t="s">
        <v>32</v>
      </c>
      <c r="B2160" s="73" t="str">
        <f>VLOOKUP(C2160,'Büyükşehir List'!$C$2:$D$31,2,FALSE)</f>
        <v>MANİSA BÜYÜKŞEHİR</v>
      </c>
      <c r="C2160" t="s">
        <v>121</v>
      </c>
      <c r="D2160" s="73" t="str">
        <f t="shared" si="51"/>
        <v>MANİSA BÜYÜKŞEHİR/MANİSA</v>
      </c>
      <c r="E2160" t="s">
        <v>92</v>
      </c>
      <c r="F2160" t="s">
        <v>92</v>
      </c>
      <c r="G2160" t="s">
        <v>3367</v>
      </c>
      <c r="H2160">
        <v>2504.8000000000002</v>
      </c>
      <c r="I2160">
        <v>250.48</v>
      </c>
      <c r="J2160">
        <v>0</v>
      </c>
      <c r="K2160">
        <v>0</v>
      </c>
      <c r="L2160">
        <v>2504.8000000000002</v>
      </c>
      <c r="M2160">
        <v>250.48</v>
      </c>
      <c r="O2160" s="79">
        <f>IFERROR(VLOOKUP(D2160,'KAPANAN BLD.'!$C$2:$D$793,2,FALSE),0)</f>
        <v>0</v>
      </c>
      <c r="P2160" s="79">
        <v>0</v>
      </c>
    </row>
    <row r="2161" spans="1:16" x14ac:dyDescent="0.25">
      <c r="A2161" t="s">
        <v>32</v>
      </c>
      <c r="B2161" s="73" t="str">
        <f>VLOOKUP(C2161,'Büyükşehir List'!$C$2:$D$31,2,FALSE)</f>
        <v>MANİSA BÜYÜKŞEHİR</v>
      </c>
      <c r="C2161" t="s">
        <v>121</v>
      </c>
      <c r="D2161" s="73" t="str">
        <f t="shared" si="51"/>
        <v>MANİSA BÜYÜKŞEHİR/MANİSA</v>
      </c>
      <c r="E2161" t="s">
        <v>92</v>
      </c>
      <c r="F2161" t="s">
        <v>92</v>
      </c>
      <c r="G2161" t="s">
        <v>3366</v>
      </c>
      <c r="H2161">
        <v>6.5</v>
      </c>
      <c r="I2161">
        <v>0.65</v>
      </c>
      <c r="J2161">
        <v>0</v>
      </c>
      <c r="K2161">
        <v>0</v>
      </c>
      <c r="L2161">
        <v>6.5</v>
      </c>
      <c r="M2161">
        <v>0.65</v>
      </c>
      <c r="O2161" s="79">
        <f>IFERROR(VLOOKUP(D2161,'KAPANAN BLD.'!$C$2:$D$793,2,FALSE),0)</f>
        <v>0</v>
      </c>
      <c r="P2161" s="79">
        <v>0</v>
      </c>
    </row>
    <row r="2162" spans="1:16" x14ac:dyDescent="0.25">
      <c r="A2162" t="s">
        <v>32</v>
      </c>
      <c r="B2162" s="73" t="str">
        <f>VLOOKUP(C2162,'Büyükşehir List'!$C$2:$D$31,2,FALSE)</f>
        <v>MANİSA BÜYÜKŞEHİR</v>
      </c>
      <c r="C2162" t="s">
        <v>121</v>
      </c>
      <c r="D2162" s="73" t="str">
        <f t="shared" si="51"/>
        <v>MANİSA BÜYÜKŞEHİR/MANİSA</v>
      </c>
      <c r="E2162" t="s">
        <v>3973</v>
      </c>
      <c r="F2162" t="s">
        <v>3973</v>
      </c>
      <c r="G2162" t="s">
        <v>3366</v>
      </c>
      <c r="H2162">
        <v>92.7</v>
      </c>
      <c r="I2162">
        <v>9.27</v>
      </c>
      <c r="J2162">
        <v>200</v>
      </c>
      <c r="K2162">
        <v>20</v>
      </c>
      <c r="L2162">
        <v>-107.3</v>
      </c>
      <c r="M2162">
        <v>-10.73</v>
      </c>
      <c r="O2162" s="79">
        <f>IFERROR(VLOOKUP(D2162,'KAPANAN BLD.'!$C$2:$D$793,2,FALSE),0)</f>
        <v>0</v>
      </c>
      <c r="P2162" s="79">
        <v>0</v>
      </c>
    </row>
    <row r="2163" spans="1:16" x14ac:dyDescent="0.25">
      <c r="A2163" t="s">
        <v>32</v>
      </c>
      <c r="B2163" s="73" t="str">
        <f>VLOOKUP(C2163,'Büyükşehir List'!$C$2:$D$31,2,FALSE)</f>
        <v>MANİSA BÜYÜKŞEHİR</v>
      </c>
      <c r="C2163" t="s">
        <v>121</v>
      </c>
      <c r="D2163" s="73" t="str">
        <f t="shared" si="51"/>
        <v>MANİSA BÜYÜKŞEHİR/MANİSA</v>
      </c>
      <c r="E2163" t="s">
        <v>3973</v>
      </c>
      <c r="F2163" t="s">
        <v>3973</v>
      </c>
      <c r="G2163" t="s">
        <v>3367</v>
      </c>
      <c r="H2163">
        <v>640.5</v>
      </c>
      <c r="I2163">
        <v>64.05</v>
      </c>
      <c r="J2163">
        <v>22.2</v>
      </c>
      <c r="K2163">
        <v>2.2200000000000002</v>
      </c>
      <c r="L2163">
        <v>618.29999999999995</v>
      </c>
      <c r="M2163">
        <v>61.83</v>
      </c>
      <c r="O2163" s="79">
        <f>IFERROR(VLOOKUP(D2163,'KAPANAN BLD.'!$C$2:$D$793,2,FALSE),0)</f>
        <v>0</v>
      </c>
      <c r="P2163" s="79">
        <v>0</v>
      </c>
    </row>
    <row r="2164" spans="1:16" x14ac:dyDescent="0.25">
      <c r="A2164" t="s">
        <v>32</v>
      </c>
      <c r="B2164" s="73" t="str">
        <f>VLOOKUP(C2164,'Büyükşehir List'!$C$2:$D$31,2,FALSE)</f>
        <v>MANİSA BÜYÜKŞEHİR</v>
      </c>
      <c r="C2164" t="s">
        <v>121</v>
      </c>
      <c r="D2164" s="73" t="str">
        <f t="shared" si="51"/>
        <v>MANİSA BÜYÜKŞEHİR/MANİSA</v>
      </c>
      <c r="E2164" t="s">
        <v>3810</v>
      </c>
      <c r="F2164" t="s">
        <v>3810</v>
      </c>
      <c r="G2164" t="s">
        <v>3367</v>
      </c>
      <c r="H2164">
        <v>762.2</v>
      </c>
      <c r="I2164">
        <v>76.22</v>
      </c>
      <c r="J2164">
        <v>97.7</v>
      </c>
      <c r="K2164">
        <v>9.77</v>
      </c>
      <c r="L2164">
        <v>664.5</v>
      </c>
      <c r="M2164">
        <v>66.45</v>
      </c>
      <c r="O2164" s="79">
        <f>IFERROR(VLOOKUP(D2164,'KAPANAN BLD.'!$C$2:$D$793,2,FALSE),0)</f>
        <v>0</v>
      </c>
      <c r="P2164" s="79">
        <v>0</v>
      </c>
    </row>
    <row r="2165" spans="1:16" x14ac:dyDescent="0.25">
      <c r="A2165" t="s">
        <v>32</v>
      </c>
      <c r="B2165" s="73" t="str">
        <f>VLOOKUP(C2165,'Büyükşehir List'!$C$2:$D$31,2,FALSE)</f>
        <v>MANİSA BÜYÜKŞEHİR</v>
      </c>
      <c r="C2165" t="s">
        <v>121</v>
      </c>
      <c r="D2165" s="73" t="str">
        <f t="shared" si="51"/>
        <v>MANİSA BÜYÜKŞEHİR/MANİSA</v>
      </c>
      <c r="E2165" t="s">
        <v>3810</v>
      </c>
      <c r="F2165" t="s">
        <v>3810</v>
      </c>
      <c r="G2165" t="s">
        <v>3366</v>
      </c>
      <c r="H2165">
        <v>1189.5</v>
      </c>
      <c r="I2165">
        <v>118.95</v>
      </c>
      <c r="J2165">
        <v>0</v>
      </c>
      <c r="K2165">
        <v>0</v>
      </c>
      <c r="L2165">
        <v>1189.5</v>
      </c>
      <c r="M2165">
        <v>118.95</v>
      </c>
      <c r="O2165" s="79">
        <f>IFERROR(VLOOKUP(D2165,'KAPANAN BLD.'!$C$2:$D$793,2,FALSE),0)</f>
        <v>0</v>
      </c>
      <c r="P2165" s="79">
        <v>0</v>
      </c>
    </row>
    <row r="2166" spans="1:16" x14ac:dyDescent="0.25">
      <c r="A2166" t="s">
        <v>32</v>
      </c>
      <c r="B2166" s="73" t="str">
        <f>VLOOKUP(C2166,'Büyükşehir List'!$C$2:$D$31,2,FALSE)</f>
        <v>MANİSA BÜYÜKŞEHİR</v>
      </c>
      <c r="C2166" t="s">
        <v>121</v>
      </c>
      <c r="D2166" s="73" t="str">
        <f t="shared" si="51"/>
        <v>MANİSA BÜYÜKŞEHİR/MANİSA</v>
      </c>
      <c r="E2166" t="s">
        <v>3811</v>
      </c>
      <c r="F2166" t="s">
        <v>3811</v>
      </c>
      <c r="G2166" t="s">
        <v>3367</v>
      </c>
      <c r="H2166">
        <v>3560.3</v>
      </c>
      <c r="I2166">
        <v>356.03</v>
      </c>
      <c r="J2166">
        <v>0</v>
      </c>
      <c r="K2166">
        <v>0</v>
      </c>
      <c r="L2166">
        <v>3560.3</v>
      </c>
      <c r="M2166">
        <v>356.03</v>
      </c>
      <c r="O2166" s="79">
        <f>IFERROR(VLOOKUP(D2166,'KAPANAN BLD.'!$C$2:$D$793,2,FALSE),0)</f>
        <v>0</v>
      </c>
      <c r="P2166" s="79">
        <v>0</v>
      </c>
    </row>
    <row r="2167" spans="1:16" x14ac:dyDescent="0.25">
      <c r="A2167" t="s">
        <v>32</v>
      </c>
      <c r="B2167" s="73" t="str">
        <f>VLOOKUP(C2167,'Büyükşehir List'!$C$2:$D$31,2,FALSE)</f>
        <v>MANİSA BÜYÜKŞEHİR</v>
      </c>
      <c r="C2167" t="s">
        <v>121</v>
      </c>
      <c r="D2167" s="73" t="str">
        <f t="shared" si="51"/>
        <v>MANİSA BÜYÜKŞEHİR/MANİSA</v>
      </c>
      <c r="E2167" t="s">
        <v>3811</v>
      </c>
      <c r="F2167" t="s">
        <v>3811</v>
      </c>
      <c r="G2167" t="s">
        <v>3366</v>
      </c>
      <c r="H2167">
        <v>1278.5</v>
      </c>
      <c r="I2167">
        <v>127.85</v>
      </c>
      <c r="J2167">
        <v>0</v>
      </c>
      <c r="K2167">
        <v>0</v>
      </c>
      <c r="L2167">
        <v>1278.5</v>
      </c>
      <c r="M2167">
        <v>127.85</v>
      </c>
      <c r="O2167" s="79">
        <f>IFERROR(VLOOKUP(D2167,'KAPANAN BLD.'!$C$2:$D$793,2,FALSE),0)</f>
        <v>0</v>
      </c>
      <c r="P2167" s="79">
        <v>0</v>
      </c>
    </row>
    <row r="2168" spans="1:16" x14ac:dyDescent="0.25">
      <c r="A2168" t="s">
        <v>32</v>
      </c>
      <c r="B2168" s="73" t="str">
        <f>VLOOKUP(C2168,'Büyükşehir List'!$C$2:$D$31,2,FALSE)</f>
        <v>MANİSA BÜYÜKŞEHİR</v>
      </c>
      <c r="C2168" t="s">
        <v>121</v>
      </c>
      <c r="D2168" s="73" t="str">
        <f t="shared" si="51"/>
        <v>MANİSA BÜYÜKŞEHİR/MANİSA</v>
      </c>
      <c r="E2168" t="s">
        <v>73</v>
      </c>
      <c r="F2168" t="s">
        <v>73</v>
      </c>
      <c r="G2168" t="s">
        <v>3367</v>
      </c>
      <c r="H2168">
        <v>2541.6999999999998</v>
      </c>
      <c r="I2168">
        <v>254.17</v>
      </c>
      <c r="J2168">
        <v>131.4</v>
      </c>
      <c r="K2168">
        <v>13.14</v>
      </c>
      <c r="L2168">
        <v>2410.3000000000002</v>
      </c>
      <c r="M2168">
        <v>241.03</v>
      </c>
      <c r="O2168" s="79">
        <f>IFERROR(VLOOKUP(D2168,'KAPANAN BLD.'!$C$2:$D$793,2,FALSE),0)</f>
        <v>0</v>
      </c>
      <c r="P2168" s="79">
        <v>0</v>
      </c>
    </row>
    <row r="2169" spans="1:16" x14ac:dyDescent="0.25">
      <c r="A2169" t="s">
        <v>32</v>
      </c>
      <c r="B2169" s="73" t="str">
        <f>VLOOKUP(C2169,'Büyükşehir List'!$C$2:$D$31,2,FALSE)</f>
        <v>MANİSA BÜYÜKŞEHİR</v>
      </c>
      <c r="C2169" t="s">
        <v>121</v>
      </c>
      <c r="D2169" s="73" t="str">
        <f t="shared" si="51"/>
        <v>MANİSA BÜYÜKŞEHİR/MANİSA</v>
      </c>
      <c r="E2169" t="s">
        <v>73</v>
      </c>
      <c r="F2169" t="s">
        <v>73</v>
      </c>
      <c r="G2169" t="s">
        <v>3366</v>
      </c>
      <c r="H2169">
        <v>3621.9</v>
      </c>
      <c r="I2169">
        <v>362.19</v>
      </c>
      <c r="J2169">
        <v>0</v>
      </c>
      <c r="K2169">
        <v>0</v>
      </c>
      <c r="L2169">
        <v>3621.9</v>
      </c>
      <c r="M2169">
        <v>362.19</v>
      </c>
      <c r="O2169" s="79">
        <f>IFERROR(VLOOKUP(D2169,'KAPANAN BLD.'!$C$2:$D$793,2,FALSE),0)</f>
        <v>0</v>
      </c>
      <c r="P2169" s="79">
        <v>0</v>
      </c>
    </row>
    <row r="2170" spans="1:16" x14ac:dyDescent="0.25">
      <c r="A2170" t="s">
        <v>32</v>
      </c>
      <c r="B2170" s="73" t="str">
        <f>VLOOKUP(C2170,'Büyükşehir List'!$C$2:$D$31,2,FALSE)</f>
        <v>MANİSA BÜYÜKŞEHİR</v>
      </c>
      <c r="C2170" t="s">
        <v>121</v>
      </c>
      <c r="D2170" s="73" t="str">
        <f t="shared" si="51"/>
        <v>MANİSA BÜYÜKŞEHİR/MANİSA</v>
      </c>
      <c r="E2170" t="s">
        <v>3812</v>
      </c>
      <c r="F2170" t="s">
        <v>3812</v>
      </c>
      <c r="G2170" t="s">
        <v>3367</v>
      </c>
      <c r="H2170">
        <v>1716.4</v>
      </c>
      <c r="I2170">
        <v>171.64</v>
      </c>
      <c r="J2170">
        <v>28.6</v>
      </c>
      <c r="K2170">
        <v>2.86</v>
      </c>
      <c r="L2170">
        <v>1687.8</v>
      </c>
      <c r="M2170">
        <v>168.78</v>
      </c>
      <c r="O2170" s="79">
        <f>IFERROR(VLOOKUP(D2170,'KAPANAN BLD.'!$C$2:$D$793,2,FALSE),0)</f>
        <v>0</v>
      </c>
      <c r="P2170" s="79">
        <v>0</v>
      </c>
    </row>
    <row r="2171" spans="1:16" x14ac:dyDescent="0.25">
      <c r="A2171" t="s">
        <v>32</v>
      </c>
      <c r="B2171" s="73" t="str">
        <f>VLOOKUP(C2171,'Büyükşehir List'!$C$2:$D$31,2,FALSE)</f>
        <v>MANİSA BÜYÜKŞEHİR</v>
      </c>
      <c r="C2171" t="s">
        <v>121</v>
      </c>
      <c r="D2171" s="73" t="str">
        <f t="shared" si="51"/>
        <v>MANİSA BÜYÜKŞEHİR/MANİSA</v>
      </c>
      <c r="E2171" t="s">
        <v>3812</v>
      </c>
      <c r="F2171" t="s">
        <v>3812</v>
      </c>
      <c r="G2171" t="s">
        <v>3366</v>
      </c>
      <c r="H2171">
        <v>2818.7</v>
      </c>
      <c r="I2171">
        <v>281.87</v>
      </c>
      <c r="J2171">
        <v>0</v>
      </c>
      <c r="K2171">
        <v>0</v>
      </c>
      <c r="L2171">
        <v>2818.7</v>
      </c>
      <c r="M2171">
        <v>281.87</v>
      </c>
      <c r="O2171" s="79">
        <f>IFERROR(VLOOKUP(D2171,'KAPANAN BLD.'!$C$2:$D$793,2,FALSE),0)</f>
        <v>0</v>
      </c>
      <c r="P2171" s="79">
        <v>0</v>
      </c>
    </row>
    <row r="2172" spans="1:16" x14ac:dyDescent="0.25">
      <c r="A2172" t="s">
        <v>32</v>
      </c>
      <c r="B2172" s="73" t="str">
        <f>VLOOKUP(C2172,'Büyükşehir List'!$C$2:$D$31,2,FALSE)</f>
        <v>MANİSA BÜYÜKŞEHİR</v>
      </c>
      <c r="C2172" t="s">
        <v>121</v>
      </c>
      <c r="D2172" s="73" t="str">
        <f t="shared" si="51"/>
        <v>MANİSA BÜYÜKŞEHİR/MANİSA</v>
      </c>
      <c r="E2172" t="s">
        <v>3813</v>
      </c>
      <c r="F2172" t="s">
        <v>3813</v>
      </c>
      <c r="G2172" t="s">
        <v>3367</v>
      </c>
      <c r="H2172">
        <v>793.28</v>
      </c>
      <c r="I2172">
        <v>79.33</v>
      </c>
      <c r="J2172">
        <v>61.1</v>
      </c>
      <c r="K2172">
        <v>6.11</v>
      </c>
      <c r="L2172">
        <v>732.18</v>
      </c>
      <c r="M2172">
        <v>73.22</v>
      </c>
      <c r="O2172" s="79">
        <f>IFERROR(VLOOKUP(D2172,'KAPANAN BLD.'!$C$2:$D$793,2,FALSE),0)</f>
        <v>0</v>
      </c>
      <c r="P2172" s="79">
        <v>0</v>
      </c>
    </row>
    <row r="2173" spans="1:16" x14ac:dyDescent="0.25">
      <c r="A2173" t="s">
        <v>32</v>
      </c>
      <c r="B2173" s="73" t="str">
        <f>VLOOKUP(C2173,'Büyükşehir List'!$C$2:$D$31,2,FALSE)</f>
        <v>MANİSA BÜYÜKŞEHİR</v>
      </c>
      <c r="C2173" t="s">
        <v>121</v>
      </c>
      <c r="D2173" s="73" t="str">
        <f t="shared" si="51"/>
        <v>MANİSA BÜYÜKŞEHİR/MANİSA</v>
      </c>
      <c r="E2173" t="s">
        <v>3813</v>
      </c>
      <c r="F2173" t="s">
        <v>3813</v>
      </c>
      <c r="G2173" t="s">
        <v>3366</v>
      </c>
      <c r="H2173">
        <v>4904.53</v>
      </c>
      <c r="I2173">
        <v>490.45</v>
      </c>
      <c r="J2173">
        <v>1069.2</v>
      </c>
      <c r="K2173">
        <v>106.92</v>
      </c>
      <c r="L2173">
        <v>3835.33</v>
      </c>
      <c r="M2173">
        <v>383.53</v>
      </c>
      <c r="O2173" s="79">
        <f>IFERROR(VLOOKUP(D2173,'KAPANAN BLD.'!$C$2:$D$793,2,FALSE),0)</f>
        <v>0</v>
      </c>
      <c r="P2173" s="79">
        <v>0</v>
      </c>
    </row>
    <row r="2174" spans="1:16" x14ac:dyDescent="0.25">
      <c r="A2174" t="s">
        <v>32</v>
      </c>
      <c r="B2174" s="73" t="str">
        <f>VLOOKUP(C2174,'Büyükşehir List'!$C$2:$D$31,2,FALSE)</f>
        <v>MANİSA BÜYÜKŞEHİR</v>
      </c>
      <c r="C2174" t="s">
        <v>121</v>
      </c>
      <c r="D2174" s="73" t="str">
        <f t="shared" si="51"/>
        <v>MANİSA BÜYÜKŞEHİR/MANİSA</v>
      </c>
      <c r="E2174" t="s">
        <v>3814</v>
      </c>
      <c r="F2174" t="s">
        <v>3814</v>
      </c>
      <c r="G2174" t="s">
        <v>3367</v>
      </c>
      <c r="H2174">
        <v>2654.1</v>
      </c>
      <c r="I2174">
        <v>265.41000000000003</v>
      </c>
      <c r="J2174">
        <v>86.2</v>
      </c>
      <c r="K2174">
        <v>8.6199999999999992</v>
      </c>
      <c r="L2174">
        <v>2567.9</v>
      </c>
      <c r="M2174">
        <v>256.79000000000002</v>
      </c>
      <c r="O2174" s="79">
        <f>IFERROR(VLOOKUP(D2174,'KAPANAN BLD.'!$C$2:$D$793,2,FALSE),0)</f>
        <v>0</v>
      </c>
      <c r="P2174" s="79">
        <v>0</v>
      </c>
    </row>
    <row r="2175" spans="1:16" x14ac:dyDescent="0.25">
      <c r="A2175" t="s">
        <v>32</v>
      </c>
      <c r="B2175" s="73" t="str">
        <f>VLOOKUP(C2175,'Büyükşehir List'!$C$2:$D$31,2,FALSE)</f>
        <v>MANİSA BÜYÜKŞEHİR</v>
      </c>
      <c r="C2175" t="s">
        <v>121</v>
      </c>
      <c r="D2175" s="73" t="str">
        <f t="shared" si="51"/>
        <v>MANİSA BÜYÜKŞEHİR/MANİSA</v>
      </c>
      <c r="E2175" t="s">
        <v>3814</v>
      </c>
      <c r="F2175" t="s">
        <v>3814</v>
      </c>
      <c r="G2175" t="s">
        <v>3366</v>
      </c>
      <c r="H2175">
        <v>777.9</v>
      </c>
      <c r="I2175">
        <v>77.790000000000006</v>
      </c>
      <c r="J2175">
        <v>0</v>
      </c>
      <c r="K2175">
        <v>0</v>
      </c>
      <c r="L2175">
        <v>777.9</v>
      </c>
      <c r="M2175">
        <v>77.790000000000006</v>
      </c>
      <c r="O2175" s="79">
        <f>IFERROR(VLOOKUP(D2175,'KAPANAN BLD.'!$C$2:$D$793,2,FALSE),0)</f>
        <v>0</v>
      </c>
      <c r="P2175" s="79">
        <v>0</v>
      </c>
    </row>
    <row r="2176" spans="1:16" x14ac:dyDescent="0.25">
      <c r="A2176" t="s">
        <v>32</v>
      </c>
      <c r="B2176" s="73" t="str">
        <f>VLOOKUP(C2176,'Büyükşehir List'!$C$2:$D$31,2,FALSE)</f>
        <v>MANİSA BÜYÜKŞEHİR</v>
      </c>
      <c r="C2176" t="s">
        <v>121</v>
      </c>
      <c r="D2176" s="73" t="str">
        <f t="shared" si="51"/>
        <v>MANİSA BÜYÜKŞEHİR/MANİSA</v>
      </c>
      <c r="E2176" t="s">
        <v>376</v>
      </c>
      <c r="F2176" t="s">
        <v>376</v>
      </c>
      <c r="G2176" t="s">
        <v>3367</v>
      </c>
      <c r="H2176">
        <v>247.7</v>
      </c>
      <c r="I2176">
        <v>24.77</v>
      </c>
      <c r="J2176">
        <v>164</v>
      </c>
      <c r="K2176">
        <v>16.399999999999999</v>
      </c>
      <c r="L2176">
        <v>83.7</v>
      </c>
      <c r="M2176">
        <v>8.3699999999999992</v>
      </c>
      <c r="O2176" s="79">
        <f>IFERROR(VLOOKUP(D2176,'KAPANAN BLD.'!$C$2:$D$793,2,FALSE),0)</f>
        <v>0</v>
      </c>
      <c r="P2176" s="79">
        <v>0</v>
      </c>
    </row>
    <row r="2177" spans="1:16" x14ac:dyDescent="0.25">
      <c r="A2177" t="s">
        <v>32</v>
      </c>
      <c r="B2177" s="73" t="str">
        <f>VLOOKUP(C2177,'Büyükşehir List'!$C$2:$D$31,2,FALSE)</f>
        <v>MANİSA BÜYÜKŞEHİR</v>
      </c>
      <c r="C2177" t="s">
        <v>121</v>
      </c>
      <c r="D2177" s="73" t="str">
        <f t="shared" si="51"/>
        <v>MANİSA BÜYÜKŞEHİR/MANİSA</v>
      </c>
      <c r="E2177" t="s">
        <v>376</v>
      </c>
      <c r="F2177" t="s">
        <v>376</v>
      </c>
      <c r="G2177" t="s">
        <v>3366</v>
      </c>
      <c r="H2177">
        <v>345.6</v>
      </c>
      <c r="I2177">
        <v>34.56</v>
      </c>
      <c r="J2177">
        <v>353.7</v>
      </c>
      <c r="K2177">
        <v>35.369999999999997</v>
      </c>
      <c r="L2177">
        <v>-8.1</v>
      </c>
      <c r="M2177">
        <v>-0.81</v>
      </c>
      <c r="O2177" s="79">
        <f>IFERROR(VLOOKUP(D2177,'KAPANAN BLD.'!$C$2:$D$793,2,FALSE),0)</f>
        <v>0</v>
      </c>
      <c r="P2177" s="79">
        <v>0</v>
      </c>
    </row>
    <row r="2178" spans="1:16" x14ac:dyDescent="0.25">
      <c r="A2178" t="s">
        <v>32</v>
      </c>
      <c r="B2178" s="73" t="str">
        <f>VLOOKUP(C2178,'Büyükşehir List'!$C$2:$D$31,2,FALSE)</f>
        <v>MANİSA BÜYÜKŞEHİR</v>
      </c>
      <c r="C2178" t="s">
        <v>121</v>
      </c>
      <c r="D2178" s="73" t="str">
        <f t="shared" si="51"/>
        <v>MANİSA BÜYÜKŞEHİR/MANİSA</v>
      </c>
      <c r="E2178" t="s">
        <v>3871</v>
      </c>
      <c r="F2178" t="s">
        <v>3871</v>
      </c>
      <c r="G2178" t="s">
        <v>3367</v>
      </c>
      <c r="H2178">
        <v>683.5</v>
      </c>
      <c r="I2178">
        <v>68.349999999999994</v>
      </c>
      <c r="J2178">
        <v>1498.5</v>
      </c>
      <c r="K2178">
        <v>149.85</v>
      </c>
      <c r="L2178">
        <v>-815</v>
      </c>
      <c r="M2178">
        <v>-81.5</v>
      </c>
      <c r="O2178" s="79">
        <f>IFERROR(VLOOKUP(D2178,'KAPANAN BLD.'!$C$2:$D$793,2,FALSE),0)</f>
        <v>0</v>
      </c>
      <c r="P2178" s="79">
        <v>0</v>
      </c>
    </row>
    <row r="2179" spans="1:16" x14ac:dyDescent="0.25">
      <c r="A2179" t="s">
        <v>32</v>
      </c>
      <c r="B2179" s="73" t="str">
        <f>VLOOKUP(C2179,'Büyükşehir List'!$C$2:$D$31,2,FALSE)</f>
        <v>MANİSA BÜYÜKŞEHİR</v>
      </c>
      <c r="C2179" t="s">
        <v>121</v>
      </c>
      <c r="D2179" s="73" t="str">
        <f t="shared" ref="D2179:D2242" si="52">CONCATENATE(B2179,"/",C2179)</f>
        <v>MANİSA BÜYÜKŞEHİR/MANİSA</v>
      </c>
      <c r="E2179" t="s">
        <v>3871</v>
      </c>
      <c r="F2179" t="s">
        <v>3871</v>
      </c>
      <c r="G2179" t="s">
        <v>3366</v>
      </c>
      <c r="H2179">
        <v>1877.5</v>
      </c>
      <c r="I2179">
        <v>187.75</v>
      </c>
      <c r="J2179">
        <v>819.1</v>
      </c>
      <c r="K2179">
        <v>81.91</v>
      </c>
      <c r="L2179">
        <v>1058.4000000000001</v>
      </c>
      <c r="M2179">
        <v>105.84</v>
      </c>
      <c r="O2179" s="79">
        <f>IFERROR(VLOOKUP(D2179,'KAPANAN BLD.'!$C$2:$D$793,2,FALSE),0)</f>
        <v>0</v>
      </c>
      <c r="P2179" s="79">
        <v>0</v>
      </c>
    </row>
    <row r="2180" spans="1:16" x14ac:dyDescent="0.25">
      <c r="A2180" t="s">
        <v>32</v>
      </c>
      <c r="B2180" s="73" t="str">
        <f>VLOOKUP(C2180,'Büyükşehir List'!$C$2:$D$31,2,FALSE)</f>
        <v>MANİSA BÜYÜKŞEHİR</v>
      </c>
      <c r="C2180" t="s">
        <v>121</v>
      </c>
      <c r="D2180" s="73" t="str">
        <f t="shared" si="52"/>
        <v>MANİSA BÜYÜKŞEHİR/MANİSA</v>
      </c>
      <c r="E2180" t="s">
        <v>4310</v>
      </c>
      <c r="F2180" t="s">
        <v>4310</v>
      </c>
      <c r="G2180" t="s">
        <v>3366</v>
      </c>
      <c r="H2180">
        <v>692.6</v>
      </c>
      <c r="I2180">
        <v>69.260000000000005</v>
      </c>
      <c r="J2180">
        <v>0</v>
      </c>
      <c r="K2180">
        <v>0</v>
      </c>
      <c r="L2180">
        <v>692.6</v>
      </c>
      <c r="M2180">
        <v>69.260000000000005</v>
      </c>
      <c r="O2180" s="79">
        <f>IFERROR(VLOOKUP(D2180,'KAPANAN BLD.'!$C$2:$D$793,2,FALSE),0)</f>
        <v>0</v>
      </c>
      <c r="P2180" s="79">
        <v>0</v>
      </c>
    </row>
    <row r="2181" spans="1:16" x14ac:dyDescent="0.25">
      <c r="A2181" t="s">
        <v>32</v>
      </c>
      <c r="B2181" s="73" t="str">
        <f>VLOOKUP(C2181,'Büyükşehir List'!$C$2:$D$31,2,FALSE)</f>
        <v>MANİSA BÜYÜKŞEHİR</v>
      </c>
      <c r="C2181" t="s">
        <v>121</v>
      </c>
      <c r="D2181" s="73" t="str">
        <f t="shared" si="52"/>
        <v>MANİSA BÜYÜKŞEHİR/MANİSA</v>
      </c>
      <c r="E2181" t="s">
        <v>4310</v>
      </c>
      <c r="F2181" t="s">
        <v>4310</v>
      </c>
      <c r="G2181" t="s">
        <v>3367</v>
      </c>
      <c r="H2181">
        <v>299.60000000000002</v>
      </c>
      <c r="I2181">
        <v>29.96</v>
      </c>
      <c r="J2181">
        <v>0</v>
      </c>
      <c r="K2181">
        <v>0</v>
      </c>
      <c r="L2181">
        <v>299.60000000000002</v>
      </c>
      <c r="M2181">
        <v>29.96</v>
      </c>
      <c r="O2181" s="79">
        <f>IFERROR(VLOOKUP(D2181,'KAPANAN BLD.'!$C$2:$D$793,2,FALSE),0)</f>
        <v>0</v>
      </c>
      <c r="P2181" s="79">
        <v>0</v>
      </c>
    </row>
    <row r="2182" spans="1:16" x14ac:dyDescent="0.25">
      <c r="A2182" t="s">
        <v>32</v>
      </c>
      <c r="B2182" s="73" t="str">
        <f>VLOOKUP(C2182,'Büyükşehir List'!$C$2:$D$31,2,FALSE)</f>
        <v>MARDİN BÜYÜKŞEHİR</v>
      </c>
      <c r="C2182" t="s">
        <v>24</v>
      </c>
      <c r="D2182" s="73" t="str">
        <f t="shared" si="52"/>
        <v>MARDİN BÜYÜKŞEHİR/MARDİN</v>
      </c>
      <c r="E2182" t="s">
        <v>4521</v>
      </c>
      <c r="F2182" t="s">
        <v>4521</v>
      </c>
      <c r="G2182" t="s">
        <v>3367</v>
      </c>
      <c r="H2182">
        <v>229.5</v>
      </c>
      <c r="I2182">
        <v>22.95</v>
      </c>
      <c r="J2182">
        <v>0</v>
      </c>
      <c r="K2182">
        <v>0</v>
      </c>
      <c r="L2182">
        <v>229.5</v>
      </c>
      <c r="M2182">
        <v>22.95</v>
      </c>
      <c r="O2182" s="79">
        <f>IFERROR(VLOOKUP(D2182,'KAPANAN BLD.'!$C$2:$D$793,2,FALSE),0)</f>
        <v>0</v>
      </c>
      <c r="P2182" s="79">
        <v>0</v>
      </c>
    </row>
    <row r="2183" spans="1:16" x14ac:dyDescent="0.25">
      <c r="A2183" t="s">
        <v>32</v>
      </c>
      <c r="B2183" s="73" t="str">
        <f>VLOOKUP(C2183,'Büyükşehir List'!$C$2:$D$31,2,FALSE)</f>
        <v>MARDİN BÜYÜKŞEHİR</v>
      </c>
      <c r="C2183" t="s">
        <v>24</v>
      </c>
      <c r="D2183" s="73" t="str">
        <f t="shared" si="52"/>
        <v>MARDİN BÜYÜKŞEHİR/MARDİN</v>
      </c>
      <c r="E2183" t="s">
        <v>4521</v>
      </c>
      <c r="F2183" t="s">
        <v>4521</v>
      </c>
      <c r="G2183" t="s">
        <v>3366</v>
      </c>
      <c r="H2183">
        <v>191.7</v>
      </c>
      <c r="I2183">
        <v>19.170000000000002</v>
      </c>
      <c r="J2183">
        <v>0</v>
      </c>
      <c r="K2183">
        <v>0</v>
      </c>
      <c r="L2183">
        <v>191.7</v>
      </c>
      <c r="M2183">
        <v>19.170000000000002</v>
      </c>
      <c r="O2183" s="79">
        <f>IFERROR(VLOOKUP(D2183,'KAPANAN BLD.'!$C$2:$D$793,2,FALSE),0)</f>
        <v>0</v>
      </c>
      <c r="P2183" s="79">
        <v>0</v>
      </c>
    </row>
    <row r="2184" spans="1:16" x14ac:dyDescent="0.25">
      <c r="A2184" t="s">
        <v>32</v>
      </c>
      <c r="B2184" s="73" t="str">
        <f>VLOOKUP(C2184,'Büyükşehir List'!$C$2:$D$31,2,FALSE)</f>
        <v>MARDİN BÜYÜKŞEHİR</v>
      </c>
      <c r="C2184" t="s">
        <v>24</v>
      </c>
      <c r="D2184" s="73" t="str">
        <f t="shared" si="52"/>
        <v>MARDİN BÜYÜKŞEHİR/MARDİN</v>
      </c>
      <c r="E2184" t="s">
        <v>2889</v>
      </c>
      <c r="F2184" t="s">
        <v>2889</v>
      </c>
      <c r="G2184" t="s">
        <v>3367</v>
      </c>
      <c r="H2184">
        <v>469.1</v>
      </c>
      <c r="I2184">
        <v>46.91</v>
      </c>
      <c r="J2184">
        <v>0</v>
      </c>
      <c r="K2184">
        <v>0</v>
      </c>
      <c r="L2184">
        <v>469.1</v>
      </c>
      <c r="M2184">
        <v>46.91</v>
      </c>
      <c r="O2184" s="79">
        <f>IFERROR(VLOOKUP(D2184,'KAPANAN BLD.'!$C$2:$D$793,2,FALSE),0)</f>
        <v>0</v>
      </c>
      <c r="P2184" s="79">
        <v>0</v>
      </c>
    </row>
    <row r="2185" spans="1:16" x14ac:dyDescent="0.25">
      <c r="A2185" t="s">
        <v>32</v>
      </c>
      <c r="B2185" s="73" t="str">
        <f>VLOOKUP(C2185,'Büyükşehir List'!$C$2:$D$31,2,FALSE)</f>
        <v>MARDİN BÜYÜKŞEHİR</v>
      </c>
      <c r="C2185" t="s">
        <v>24</v>
      </c>
      <c r="D2185" s="73" t="str">
        <f t="shared" si="52"/>
        <v>MARDİN BÜYÜKŞEHİR/MARDİN</v>
      </c>
      <c r="E2185" t="s">
        <v>2889</v>
      </c>
      <c r="F2185" t="s">
        <v>2889</v>
      </c>
      <c r="G2185" t="s">
        <v>3366</v>
      </c>
      <c r="H2185">
        <v>805.6</v>
      </c>
      <c r="I2185">
        <v>80.56</v>
      </c>
      <c r="J2185">
        <v>0</v>
      </c>
      <c r="K2185">
        <v>0</v>
      </c>
      <c r="L2185">
        <v>805.6</v>
      </c>
      <c r="M2185">
        <v>80.56</v>
      </c>
      <c r="O2185" s="79">
        <f>IFERROR(VLOOKUP(D2185,'KAPANAN BLD.'!$C$2:$D$793,2,FALSE),0)</f>
        <v>0</v>
      </c>
      <c r="P2185" s="79">
        <v>0</v>
      </c>
    </row>
    <row r="2186" spans="1:16" x14ac:dyDescent="0.25">
      <c r="A2186" t="s">
        <v>32</v>
      </c>
      <c r="B2186" s="73" t="str">
        <f>VLOOKUP(C2186,'Büyükşehir List'!$C$2:$D$31,2,FALSE)</f>
        <v>MARDİN BÜYÜKŞEHİR</v>
      </c>
      <c r="C2186" t="s">
        <v>24</v>
      </c>
      <c r="D2186" s="73" t="str">
        <f t="shared" si="52"/>
        <v>MARDİN BÜYÜKŞEHİR/MARDİN</v>
      </c>
      <c r="E2186" t="s">
        <v>4522</v>
      </c>
      <c r="F2186" t="s">
        <v>4522</v>
      </c>
      <c r="G2186" t="s">
        <v>3367</v>
      </c>
      <c r="H2186">
        <v>402.9</v>
      </c>
      <c r="I2186">
        <v>40.29</v>
      </c>
      <c r="J2186">
        <v>0</v>
      </c>
      <c r="K2186">
        <v>0</v>
      </c>
      <c r="L2186">
        <v>402.9</v>
      </c>
      <c r="M2186">
        <v>40.29</v>
      </c>
      <c r="O2186" s="79">
        <f>IFERROR(VLOOKUP(D2186,'KAPANAN BLD.'!$C$2:$D$793,2,FALSE),0)</f>
        <v>0</v>
      </c>
      <c r="P2186" s="79">
        <v>0</v>
      </c>
    </row>
    <row r="2187" spans="1:16" x14ac:dyDescent="0.25">
      <c r="A2187" t="s">
        <v>32</v>
      </c>
      <c r="B2187" s="73" t="str">
        <f>VLOOKUP(C2187,'Büyükşehir List'!$C$2:$D$31,2,FALSE)</f>
        <v>MARDİN BÜYÜKŞEHİR</v>
      </c>
      <c r="C2187" t="s">
        <v>24</v>
      </c>
      <c r="D2187" s="73" t="str">
        <f t="shared" si="52"/>
        <v>MARDİN BÜYÜKŞEHİR/MARDİN</v>
      </c>
      <c r="E2187" t="s">
        <v>653</v>
      </c>
      <c r="F2187" t="s">
        <v>653</v>
      </c>
      <c r="G2187" t="s">
        <v>3366</v>
      </c>
      <c r="H2187">
        <v>69343.8</v>
      </c>
      <c r="I2187">
        <v>6934.38</v>
      </c>
      <c r="J2187">
        <v>455.2</v>
      </c>
      <c r="K2187">
        <v>45.52</v>
      </c>
      <c r="L2187">
        <v>68888.600000000006</v>
      </c>
      <c r="M2187">
        <v>6888.86</v>
      </c>
      <c r="O2187" s="79">
        <f>IFERROR(VLOOKUP(D2187,'KAPANAN BLD.'!$C$2:$D$793,2,FALSE),0)</f>
        <v>0</v>
      </c>
      <c r="P2187" s="79">
        <v>0</v>
      </c>
    </row>
    <row r="2188" spans="1:16" x14ac:dyDescent="0.25">
      <c r="A2188" t="s">
        <v>32</v>
      </c>
      <c r="B2188" s="73" t="str">
        <f>VLOOKUP(C2188,'Büyükşehir List'!$C$2:$D$31,2,FALSE)</f>
        <v>MARDİN BÜYÜKŞEHİR</v>
      </c>
      <c r="C2188" t="s">
        <v>24</v>
      </c>
      <c r="D2188" s="73" t="str">
        <f t="shared" si="52"/>
        <v>MARDİN BÜYÜKŞEHİR/MARDİN</v>
      </c>
      <c r="E2188" t="s">
        <v>653</v>
      </c>
      <c r="F2188" t="s">
        <v>653</v>
      </c>
      <c r="G2188" t="s">
        <v>3367</v>
      </c>
      <c r="H2188">
        <v>156652.9</v>
      </c>
      <c r="I2188">
        <v>15665.29</v>
      </c>
      <c r="J2188">
        <v>0</v>
      </c>
      <c r="K2188">
        <v>0</v>
      </c>
      <c r="L2188">
        <v>156652.9</v>
      </c>
      <c r="M2188">
        <v>15665.29</v>
      </c>
      <c r="O2188" s="79">
        <f>IFERROR(VLOOKUP(D2188,'KAPANAN BLD.'!$C$2:$D$793,2,FALSE),0)</f>
        <v>0</v>
      </c>
      <c r="P2188" s="79">
        <v>0</v>
      </c>
    </row>
    <row r="2189" spans="1:16" x14ac:dyDescent="0.25">
      <c r="A2189" t="s">
        <v>32</v>
      </c>
      <c r="B2189" s="73" t="str">
        <f>VLOOKUP(C2189,'Büyükşehir List'!$C$2:$D$31,2,FALSE)</f>
        <v>MARDİN BÜYÜKŞEHİR</v>
      </c>
      <c r="C2189" t="s">
        <v>24</v>
      </c>
      <c r="D2189" s="73" t="str">
        <f t="shared" si="52"/>
        <v>MARDİN BÜYÜKŞEHİR/MARDİN</v>
      </c>
      <c r="E2189" t="s">
        <v>2912</v>
      </c>
      <c r="F2189" t="s">
        <v>2912</v>
      </c>
      <c r="G2189" t="s">
        <v>3367</v>
      </c>
      <c r="H2189">
        <v>490.8</v>
      </c>
      <c r="I2189">
        <v>49.08</v>
      </c>
      <c r="J2189">
        <v>0</v>
      </c>
      <c r="K2189">
        <v>0</v>
      </c>
      <c r="L2189">
        <v>490.8</v>
      </c>
      <c r="M2189">
        <v>49.08</v>
      </c>
      <c r="O2189" s="79">
        <f>IFERROR(VLOOKUP(D2189,'KAPANAN BLD.'!$C$2:$D$793,2,FALSE),0)</f>
        <v>0</v>
      </c>
      <c r="P2189" s="79">
        <v>0</v>
      </c>
    </row>
    <row r="2190" spans="1:16" x14ac:dyDescent="0.25">
      <c r="A2190" t="s">
        <v>32</v>
      </c>
      <c r="B2190" s="73" t="str">
        <f>VLOOKUP(C2190,'Büyükşehir List'!$C$2:$D$31,2,FALSE)</f>
        <v>MARDİN BÜYÜKŞEHİR</v>
      </c>
      <c r="C2190" t="s">
        <v>24</v>
      </c>
      <c r="D2190" s="73" t="str">
        <f t="shared" si="52"/>
        <v>MARDİN BÜYÜKŞEHİR/MARDİN</v>
      </c>
      <c r="E2190" t="s">
        <v>4523</v>
      </c>
      <c r="F2190" t="s">
        <v>4523</v>
      </c>
      <c r="G2190" t="s">
        <v>3367</v>
      </c>
      <c r="H2190">
        <v>2132.1</v>
      </c>
      <c r="I2190">
        <v>213.21</v>
      </c>
      <c r="J2190">
        <v>0</v>
      </c>
      <c r="K2190">
        <v>0</v>
      </c>
      <c r="L2190">
        <v>2132.1</v>
      </c>
      <c r="M2190">
        <v>213.21</v>
      </c>
      <c r="O2190" s="79">
        <f>IFERROR(VLOOKUP(D2190,'KAPANAN BLD.'!$C$2:$D$793,2,FALSE),0)</f>
        <v>0</v>
      </c>
      <c r="P2190" s="79">
        <v>0</v>
      </c>
    </row>
    <row r="2191" spans="1:16" x14ac:dyDescent="0.25">
      <c r="A2191" t="s">
        <v>32</v>
      </c>
      <c r="B2191" s="73" t="str">
        <f>VLOOKUP(C2191,'Büyükşehir List'!$C$2:$D$31,2,FALSE)</f>
        <v>MARDİN BÜYÜKŞEHİR</v>
      </c>
      <c r="C2191" t="s">
        <v>24</v>
      </c>
      <c r="D2191" s="73" t="str">
        <f t="shared" si="52"/>
        <v>MARDİN BÜYÜKŞEHİR/MARDİN</v>
      </c>
      <c r="E2191" t="s">
        <v>4523</v>
      </c>
      <c r="F2191" t="s">
        <v>4523</v>
      </c>
      <c r="G2191" t="s">
        <v>3366</v>
      </c>
      <c r="H2191">
        <v>77.400000000000006</v>
      </c>
      <c r="I2191">
        <v>7.74</v>
      </c>
      <c r="J2191">
        <v>0</v>
      </c>
      <c r="K2191">
        <v>0</v>
      </c>
      <c r="L2191">
        <v>77.400000000000006</v>
      </c>
      <c r="M2191">
        <v>7.74</v>
      </c>
      <c r="O2191" s="79">
        <f>IFERROR(VLOOKUP(D2191,'KAPANAN BLD.'!$C$2:$D$793,2,FALSE),0)</f>
        <v>0</v>
      </c>
      <c r="P2191" s="79">
        <v>0</v>
      </c>
    </row>
    <row r="2192" spans="1:16" x14ac:dyDescent="0.25">
      <c r="A2192" t="s">
        <v>32</v>
      </c>
      <c r="B2192" s="73" t="str">
        <f>VLOOKUP(C2192,'Büyükşehir List'!$C$2:$D$31,2,FALSE)</f>
        <v>MARDİN BÜYÜKŞEHİR</v>
      </c>
      <c r="C2192" t="s">
        <v>24</v>
      </c>
      <c r="D2192" s="73" t="str">
        <f t="shared" si="52"/>
        <v>MARDİN BÜYÜKŞEHİR/MARDİN</v>
      </c>
      <c r="E2192" t="s">
        <v>10</v>
      </c>
      <c r="F2192" t="s">
        <v>10</v>
      </c>
      <c r="G2192" t="s">
        <v>3367</v>
      </c>
      <c r="H2192">
        <v>2777.1</v>
      </c>
      <c r="I2192">
        <v>277.70999999999998</v>
      </c>
      <c r="J2192">
        <v>0</v>
      </c>
      <c r="K2192">
        <v>0</v>
      </c>
      <c r="L2192">
        <v>2777.1</v>
      </c>
      <c r="M2192">
        <v>277.70999999999998</v>
      </c>
      <c r="O2192" s="79">
        <f>IFERROR(VLOOKUP(D2192,'KAPANAN BLD.'!$C$2:$D$793,2,FALSE),0)</f>
        <v>0</v>
      </c>
      <c r="P2192" s="79">
        <v>0</v>
      </c>
    </row>
    <row r="2193" spans="1:16" x14ac:dyDescent="0.25">
      <c r="A2193" t="s">
        <v>32</v>
      </c>
      <c r="B2193" s="73" t="str">
        <f>VLOOKUP(C2193,'Büyükşehir List'!$C$2:$D$31,2,FALSE)</f>
        <v>MARDİN BÜYÜKŞEHİR</v>
      </c>
      <c r="C2193" t="s">
        <v>24</v>
      </c>
      <c r="D2193" s="73" t="str">
        <f t="shared" si="52"/>
        <v>MARDİN BÜYÜKŞEHİR/MARDİN</v>
      </c>
      <c r="E2193" t="s">
        <v>10</v>
      </c>
      <c r="F2193" t="s">
        <v>10</v>
      </c>
      <c r="G2193" t="s">
        <v>3366</v>
      </c>
      <c r="H2193">
        <v>621.79999999999995</v>
      </c>
      <c r="I2193">
        <v>62.18</v>
      </c>
      <c r="J2193">
        <v>0</v>
      </c>
      <c r="K2193">
        <v>0</v>
      </c>
      <c r="L2193">
        <v>621.79999999999995</v>
      </c>
      <c r="M2193">
        <v>62.18</v>
      </c>
      <c r="O2193" s="79">
        <f>IFERROR(VLOOKUP(D2193,'KAPANAN BLD.'!$C$2:$D$793,2,FALSE),0)</f>
        <v>0</v>
      </c>
      <c r="P2193" s="79">
        <v>0</v>
      </c>
    </row>
    <row r="2194" spans="1:16" x14ac:dyDescent="0.25">
      <c r="A2194" t="s">
        <v>32</v>
      </c>
      <c r="B2194" s="73" t="str">
        <f>VLOOKUP(C2194,'Büyükşehir List'!$C$2:$D$31,2,FALSE)</f>
        <v>MARDİN BÜYÜKŞEHİR</v>
      </c>
      <c r="C2194" t="s">
        <v>24</v>
      </c>
      <c r="D2194" s="73" t="str">
        <f t="shared" si="52"/>
        <v>MARDİN BÜYÜKŞEHİR/MARDİN</v>
      </c>
      <c r="E2194" t="s">
        <v>34</v>
      </c>
      <c r="F2194" t="s">
        <v>34</v>
      </c>
      <c r="G2194" t="s">
        <v>3367</v>
      </c>
      <c r="H2194">
        <v>17411.2</v>
      </c>
      <c r="I2194">
        <v>1741.12</v>
      </c>
      <c r="J2194">
        <v>9438.1</v>
      </c>
      <c r="K2194">
        <v>943.81</v>
      </c>
      <c r="L2194">
        <v>7973.1</v>
      </c>
      <c r="M2194">
        <v>797.31</v>
      </c>
      <c r="O2194" s="79">
        <f>IFERROR(VLOOKUP(D2194,'KAPANAN BLD.'!$C$2:$D$793,2,FALSE),0)</f>
        <v>0</v>
      </c>
      <c r="P2194" s="79">
        <v>0</v>
      </c>
    </row>
    <row r="2195" spans="1:16" x14ac:dyDescent="0.25">
      <c r="A2195" t="s">
        <v>32</v>
      </c>
      <c r="B2195" s="73" t="str">
        <f>VLOOKUP(C2195,'Büyükşehir List'!$C$2:$D$31,2,FALSE)</f>
        <v>MARDİN BÜYÜKŞEHİR</v>
      </c>
      <c r="C2195" t="s">
        <v>24</v>
      </c>
      <c r="D2195" s="73" t="str">
        <f t="shared" si="52"/>
        <v>MARDİN BÜYÜKŞEHİR/MARDİN</v>
      </c>
      <c r="E2195" t="s">
        <v>34</v>
      </c>
      <c r="F2195" t="s">
        <v>34</v>
      </c>
      <c r="G2195" t="s">
        <v>3366</v>
      </c>
      <c r="H2195">
        <v>11523.3</v>
      </c>
      <c r="I2195">
        <v>1152.33</v>
      </c>
      <c r="J2195">
        <v>10182.5</v>
      </c>
      <c r="K2195">
        <v>1018.25</v>
      </c>
      <c r="L2195">
        <v>1340.8</v>
      </c>
      <c r="M2195">
        <v>134.08000000000001</v>
      </c>
      <c r="O2195" s="79">
        <f>IFERROR(VLOOKUP(D2195,'KAPANAN BLD.'!$C$2:$D$793,2,FALSE),0)</f>
        <v>0</v>
      </c>
      <c r="P2195" s="79">
        <v>0</v>
      </c>
    </row>
    <row r="2196" spans="1:16" x14ac:dyDescent="0.25">
      <c r="A2196" t="s">
        <v>32</v>
      </c>
      <c r="B2196" s="73" t="str">
        <f>VLOOKUP(C2196,'Büyükşehir List'!$C$2:$D$31,2,FALSE)</f>
        <v>MARDİN BÜYÜKŞEHİR</v>
      </c>
      <c r="C2196" t="s">
        <v>24</v>
      </c>
      <c r="D2196" s="73" t="str">
        <f t="shared" si="52"/>
        <v>MARDİN BÜYÜKŞEHİR/MARDİN</v>
      </c>
      <c r="E2196" t="s">
        <v>3778</v>
      </c>
      <c r="F2196" t="s">
        <v>3778</v>
      </c>
      <c r="G2196" t="s">
        <v>3366</v>
      </c>
      <c r="H2196">
        <v>86.1</v>
      </c>
      <c r="I2196">
        <v>8.61</v>
      </c>
      <c r="J2196">
        <v>0</v>
      </c>
      <c r="K2196">
        <v>0</v>
      </c>
      <c r="L2196">
        <v>86.1</v>
      </c>
      <c r="M2196">
        <v>8.61</v>
      </c>
      <c r="O2196" s="79">
        <f>IFERROR(VLOOKUP(D2196,'KAPANAN BLD.'!$C$2:$D$793,2,FALSE),0)</f>
        <v>0</v>
      </c>
      <c r="P2196" s="79">
        <v>0</v>
      </c>
    </row>
    <row r="2197" spans="1:16" x14ac:dyDescent="0.25">
      <c r="A2197" t="s">
        <v>32</v>
      </c>
      <c r="B2197" s="73" t="str">
        <f>VLOOKUP(C2197,'Büyükşehir List'!$C$2:$D$31,2,FALSE)</f>
        <v>MARDİN BÜYÜKŞEHİR</v>
      </c>
      <c r="C2197" t="s">
        <v>24</v>
      </c>
      <c r="D2197" s="73" t="str">
        <f t="shared" si="52"/>
        <v>MARDİN BÜYÜKŞEHİR/MARDİN</v>
      </c>
      <c r="E2197" t="s">
        <v>3778</v>
      </c>
      <c r="F2197" t="s">
        <v>3778</v>
      </c>
      <c r="G2197" t="s">
        <v>3367</v>
      </c>
      <c r="H2197">
        <v>156.6</v>
      </c>
      <c r="I2197">
        <v>15.66</v>
      </c>
      <c r="J2197">
        <v>0</v>
      </c>
      <c r="K2197">
        <v>0</v>
      </c>
      <c r="L2197">
        <v>156.6</v>
      </c>
      <c r="M2197">
        <v>15.66</v>
      </c>
      <c r="O2197" s="79">
        <f>IFERROR(VLOOKUP(D2197,'KAPANAN BLD.'!$C$2:$D$793,2,FALSE),0)</f>
        <v>0</v>
      </c>
      <c r="P2197" s="79">
        <v>0</v>
      </c>
    </row>
    <row r="2198" spans="1:16" x14ac:dyDescent="0.25">
      <c r="A2198" t="s">
        <v>32</v>
      </c>
      <c r="B2198" s="73" t="str">
        <f>VLOOKUP(C2198,'Büyükşehir List'!$C$2:$D$31,2,FALSE)</f>
        <v>MARDİN BÜYÜKŞEHİR</v>
      </c>
      <c r="C2198" t="s">
        <v>24</v>
      </c>
      <c r="D2198" s="73" t="str">
        <f t="shared" si="52"/>
        <v>MARDİN BÜYÜKŞEHİR/MARDİN</v>
      </c>
      <c r="E2198" t="s">
        <v>2408</v>
      </c>
      <c r="F2198" t="s">
        <v>2408</v>
      </c>
      <c r="G2198" t="s">
        <v>3367</v>
      </c>
      <c r="H2198">
        <v>1092.5</v>
      </c>
      <c r="I2198">
        <v>109.25</v>
      </c>
      <c r="J2198">
        <v>43.2</v>
      </c>
      <c r="K2198">
        <v>4.32</v>
      </c>
      <c r="L2198">
        <v>1049.3</v>
      </c>
      <c r="M2198">
        <v>104.93</v>
      </c>
      <c r="O2198" s="79">
        <f>IFERROR(VLOOKUP(D2198,'KAPANAN BLD.'!$C$2:$D$793,2,FALSE),0)</f>
        <v>0</v>
      </c>
      <c r="P2198" s="79">
        <v>0</v>
      </c>
    </row>
    <row r="2199" spans="1:16" x14ac:dyDescent="0.25">
      <c r="A2199" t="s">
        <v>32</v>
      </c>
      <c r="B2199" s="73" t="str">
        <f>VLOOKUP(C2199,'Büyükşehir List'!$C$2:$D$31,2,FALSE)</f>
        <v>MARDİN BÜYÜKŞEHİR</v>
      </c>
      <c r="C2199" t="s">
        <v>24</v>
      </c>
      <c r="D2199" s="73" t="str">
        <f t="shared" si="52"/>
        <v>MARDİN BÜYÜKŞEHİR/MARDİN</v>
      </c>
      <c r="E2199" t="s">
        <v>3940</v>
      </c>
      <c r="F2199" t="s">
        <v>3940</v>
      </c>
      <c r="G2199" t="s">
        <v>3367</v>
      </c>
      <c r="H2199">
        <v>10868.5</v>
      </c>
      <c r="I2199">
        <v>1086.8499999999999</v>
      </c>
      <c r="J2199">
        <v>0</v>
      </c>
      <c r="K2199">
        <v>0</v>
      </c>
      <c r="L2199">
        <v>10868.5</v>
      </c>
      <c r="M2199">
        <v>1086.8499999999999</v>
      </c>
      <c r="O2199" s="79">
        <f>IFERROR(VLOOKUP(D2199,'KAPANAN BLD.'!$C$2:$D$793,2,FALSE),0)</f>
        <v>0</v>
      </c>
      <c r="P2199" s="79">
        <v>0</v>
      </c>
    </row>
    <row r="2200" spans="1:16" x14ac:dyDescent="0.25">
      <c r="A2200" t="s">
        <v>32</v>
      </c>
      <c r="B2200" s="73" t="str">
        <f>VLOOKUP(C2200,'Büyükşehir List'!$C$2:$D$31,2,FALSE)</f>
        <v>MERSİN BÜYÜKŞEHİR</v>
      </c>
      <c r="C2200" t="s">
        <v>122</v>
      </c>
      <c r="D2200" s="73" t="str">
        <f t="shared" si="52"/>
        <v>MERSİN BÜYÜKŞEHİR/MERSİN</v>
      </c>
      <c r="E2200" t="s">
        <v>34</v>
      </c>
      <c r="F2200" t="s">
        <v>34</v>
      </c>
      <c r="G2200" t="s">
        <v>3367</v>
      </c>
      <c r="H2200">
        <v>117.4</v>
      </c>
      <c r="I2200">
        <v>11.74</v>
      </c>
      <c r="J2200">
        <v>0</v>
      </c>
      <c r="K2200">
        <v>0</v>
      </c>
      <c r="L2200">
        <v>117.4</v>
      </c>
      <c r="M2200">
        <v>11.74</v>
      </c>
      <c r="O2200" s="79">
        <f>IFERROR(VLOOKUP(D2200,'KAPANAN BLD.'!$C$2:$D$793,2,FALSE),0)</f>
        <v>0</v>
      </c>
      <c r="P2200" s="79">
        <v>0</v>
      </c>
    </row>
    <row r="2201" spans="1:16" x14ac:dyDescent="0.25">
      <c r="A2201" t="s">
        <v>32</v>
      </c>
      <c r="B2201" s="73" t="str">
        <f>VLOOKUP(C2201,'Büyükşehir List'!$C$2:$D$31,2,FALSE)</f>
        <v>MERSİN BÜYÜKŞEHİR</v>
      </c>
      <c r="C2201" t="s">
        <v>122</v>
      </c>
      <c r="D2201" s="73" t="str">
        <f t="shared" si="52"/>
        <v>MERSİN BÜYÜKŞEHİR/MERSİN</v>
      </c>
      <c r="E2201" t="s">
        <v>34</v>
      </c>
      <c r="F2201" t="s">
        <v>34</v>
      </c>
      <c r="G2201" t="s">
        <v>3366</v>
      </c>
      <c r="H2201">
        <v>105.4</v>
      </c>
      <c r="I2201">
        <v>10.54</v>
      </c>
      <c r="J2201">
        <v>0</v>
      </c>
      <c r="K2201">
        <v>0</v>
      </c>
      <c r="L2201">
        <v>105.4</v>
      </c>
      <c r="M2201">
        <v>10.54</v>
      </c>
      <c r="O2201" s="79">
        <f>IFERROR(VLOOKUP(D2201,'KAPANAN BLD.'!$C$2:$D$793,2,FALSE),0)</f>
        <v>0</v>
      </c>
      <c r="P2201" s="79">
        <v>0</v>
      </c>
    </row>
    <row r="2202" spans="1:16" x14ac:dyDescent="0.25">
      <c r="A2202" t="s">
        <v>32</v>
      </c>
      <c r="B2202" s="73" t="str">
        <f>VLOOKUP(C2202,'Büyükşehir List'!$C$2:$D$31,2,FALSE)</f>
        <v>MERSİN BÜYÜKŞEHİR</v>
      </c>
      <c r="C2202" t="s">
        <v>122</v>
      </c>
      <c r="D2202" s="73" t="str">
        <f t="shared" si="52"/>
        <v>MERSİN BÜYÜKŞEHİR/MERSİN</v>
      </c>
      <c r="E2202" t="s">
        <v>1880</v>
      </c>
      <c r="F2202" t="s">
        <v>1880</v>
      </c>
      <c r="G2202" t="s">
        <v>3366</v>
      </c>
      <c r="H2202">
        <v>121720.15</v>
      </c>
      <c r="I2202">
        <v>12172.02</v>
      </c>
      <c r="J2202">
        <v>1626</v>
      </c>
      <c r="K2202">
        <v>162.6</v>
      </c>
      <c r="L2202">
        <v>120094.15</v>
      </c>
      <c r="M2202">
        <v>12009.42</v>
      </c>
      <c r="O2202" s="79">
        <f>IFERROR(VLOOKUP(D2202,'KAPANAN BLD.'!$C$2:$D$793,2,FALSE),0)</f>
        <v>0</v>
      </c>
      <c r="P2202" s="79">
        <v>0</v>
      </c>
    </row>
    <row r="2203" spans="1:16" x14ac:dyDescent="0.25">
      <c r="A2203" t="s">
        <v>32</v>
      </c>
      <c r="B2203" s="73" t="str">
        <f>VLOOKUP(C2203,'Büyükşehir List'!$C$2:$D$31,2,FALSE)</f>
        <v>MERSİN BÜYÜKŞEHİR</v>
      </c>
      <c r="C2203" t="s">
        <v>122</v>
      </c>
      <c r="D2203" s="73" t="str">
        <f t="shared" si="52"/>
        <v>MERSİN BÜYÜKŞEHİR/MERSİN</v>
      </c>
      <c r="E2203" t="s">
        <v>1880</v>
      </c>
      <c r="F2203" t="s">
        <v>1880</v>
      </c>
      <c r="G2203" t="s">
        <v>3367</v>
      </c>
      <c r="H2203">
        <v>43426.29</v>
      </c>
      <c r="I2203">
        <v>4342.63</v>
      </c>
      <c r="J2203">
        <v>675.82</v>
      </c>
      <c r="K2203">
        <v>67.58</v>
      </c>
      <c r="L2203">
        <v>42750.47</v>
      </c>
      <c r="M2203">
        <v>4275.05</v>
      </c>
      <c r="O2203" s="79">
        <f>IFERROR(VLOOKUP(D2203,'KAPANAN BLD.'!$C$2:$D$793,2,FALSE),0)</f>
        <v>0</v>
      </c>
      <c r="P2203" s="79">
        <v>0</v>
      </c>
    </row>
    <row r="2204" spans="1:16" x14ac:dyDescent="0.25">
      <c r="A2204" t="s">
        <v>32</v>
      </c>
      <c r="B2204" s="73" t="str">
        <f>VLOOKUP(C2204,'Büyükşehir List'!$C$2:$D$31,2,FALSE)</f>
        <v>MERSİN BÜYÜKŞEHİR</v>
      </c>
      <c r="C2204" t="s">
        <v>122</v>
      </c>
      <c r="D2204" s="73" t="str">
        <f t="shared" si="52"/>
        <v>MERSİN BÜYÜKŞEHİR/MERSİN</v>
      </c>
      <c r="E2204" t="s">
        <v>3815</v>
      </c>
      <c r="F2204" t="s">
        <v>3815</v>
      </c>
      <c r="G2204" t="s">
        <v>3367</v>
      </c>
      <c r="H2204">
        <v>921.3</v>
      </c>
      <c r="I2204">
        <v>92.13</v>
      </c>
      <c r="J2204">
        <v>0</v>
      </c>
      <c r="K2204">
        <v>0</v>
      </c>
      <c r="L2204">
        <v>921.3</v>
      </c>
      <c r="M2204">
        <v>92.13</v>
      </c>
      <c r="O2204" s="79">
        <f>IFERROR(VLOOKUP(D2204,'KAPANAN BLD.'!$C$2:$D$793,2,FALSE),0)</f>
        <v>0</v>
      </c>
      <c r="P2204" s="79">
        <v>0</v>
      </c>
    </row>
    <row r="2205" spans="1:16" x14ac:dyDescent="0.25">
      <c r="A2205" t="s">
        <v>32</v>
      </c>
      <c r="B2205" s="73" t="str">
        <f>VLOOKUP(C2205,'Büyükşehir List'!$C$2:$D$31,2,FALSE)</f>
        <v>MERSİN BÜYÜKŞEHİR</v>
      </c>
      <c r="C2205" t="s">
        <v>122</v>
      </c>
      <c r="D2205" s="73" t="str">
        <f t="shared" si="52"/>
        <v>MERSİN BÜYÜKŞEHİR/MERSİN</v>
      </c>
      <c r="E2205" t="s">
        <v>3815</v>
      </c>
      <c r="F2205" t="s">
        <v>3815</v>
      </c>
      <c r="G2205" t="s">
        <v>3366</v>
      </c>
      <c r="H2205">
        <v>316.7</v>
      </c>
      <c r="I2205">
        <v>31.67</v>
      </c>
      <c r="J2205">
        <v>0</v>
      </c>
      <c r="K2205">
        <v>0</v>
      </c>
      <c r="L2205">
        <v>316.7</v>
      </c>
      <c r="M2205">
        <v>31.67</v>
      </c>
      <c r="O2205" s="79">
        <f>IFERROR(VLOOKUP(D2205,'KAPANAN BLD.'!$C$2:$D$793,2,FALSE),0)</f>
        <v>0</v>
      </c>
      <c r="P2205" s="79">
        <v>0</v>
      </c>
    </row>
    <row r="2206" spans="1:16" x14ac:dyDescent="0.25">
      <c r="A2206" t="s">
        <v>32</v>
      </c>
      <c r="B2206" s="73" t="str">
        <f>VLOOKUP(C2206,'Büyükşehir List'!$C$2:$D$31,2,FALSE)</f>
        <v>MERSİN BÜYÜKŞEHİR</v>
      </c>
      <c r="C2206" t="s">
        <v>122</v>
      </c>
      <c r="D2206" s="73" t="str">
        <f t="shared" si="52"/>
        <v>MERSİN BÜYÜKŞEHİR/MERSİN</v>
      </c>
      <c r="E2206" t="s">
        <v>657</v>
      </c>
      <c r="F2206" t="s">
        <v>657</v>
      </c>
      <c r="G2206" t="s">
        <v>3367</v>
      </c>
      <c r="H2206">
        <v>721.1</v>
      </c>
      <c r="I2206">
        <v>72.11</v>
      </c>
      <c r="J2206">
        <v>7.4</v>
      </c>
      <c r="K2206">
        <v>0.74</v>
      </c>
      <c r="L2206">
        <v>713.7</v>
      </c>
      <c r="M2206">
        <v>71.37</v>
      </c>
      <c r="O2206" s="79">
        <f>IFERROR(VLOOKUP(D2206,'KAPANAN BLD.'!$C$2:$D$793,2,FALSE),0)</f>
        <v>0</v>
      </c>
      <c r="P2206" s="79">
        <v>0</v>
      </c>
    </row>
    <row r="2207" spans="1:16" x14ac:dyDescent="0.25">
      <c r="A2207" t="s">
        <v>32</v>
      </c>
      <c r="B2207" s="73" t="str">
        <f>VLOOKUP(C2207,'Büyükşehir List'!$C$2:$D$31,2,FALSE)</f>
        <v>MERSİN BÜYÜKŞEHİR</v>
      </c>
      <c r="C2207" t="s">
        <v>122</v>
      </c>
      <c r="D2207" s="73" t="str">
        <f t="shared" si="52"/>
        <v>MERSİN BÜYÜKŞEHİR/MERSİN</v>
      </c>
      <c r="E2207" t="s">
        <v>657</v>
      </c>
      <c r="F2207" t="s">
        <v>657</v>
      </c>
      <c r="G2207" t="s">
        <v>3366</v>
      </c>
      <c r="H2207">
        <v>1963.5</v>
      </c>
      <c r="I2207">
        <v>196.35</v>
      </c>
      <c r="J2207">
        <v>0</v>
      </c>
      <c r="K2207">
        <v>0</v>
      </c>
      <c r="L2207">
        <v>1963.5</v>
      </c>
      <c r="M2207">
        <v>196.35</v>
      </c>
      <c r="O2207" s="79">
        <f>IFERROR(VLOOKUP(D2207,'KAPANAN BLD.'!$C$2:$D$793,2,FALSE),0)</f>
        <v>0</v>
      </c>
      <c r="P2207" s="79">
        <v>0</v>
      </c>
    </row>
    <row r="2208" spans="1:16" x14ac:dyDescent="0.25">
      <c r="A2208" t="s">
        <v>32</v>
      </c>
      <c r="B2208" s="73" t="str">
        <f>VLOOKUP(C2208,'Büyükşehir List'!$C$2:$D$31,2,FALSE)</f>
        <v>MERSİN BÜYÜKŞEHİR</v>
      </c>
      <c r="C2208" t="s">
        <v>122</v>
      </c>
      <c r="D2208" s="73" t="str">
        <f t="shared" si="52"/>
        <v>MERSİN BÜYÜKŞEHİR/MERSİN</v>
      </c>
      <c r="E2208" t="s">
        <v>3816</v>
      </c>
      <c r="F2208" t="s">
        <v>3816</v>
      </c>
      <c r="G2208" t="s">
        <v>3367</v>
      </c>
      <c r="H2208">
        <v>1515.49</v>
      </c>
      <c r="I2208">
        <v>151.55000000000001</v>
      </c>
      <c r="J2208">
        <v>0</v>
      </c>
      <c r="K2208">
        <v>0</v>
      </c>
      <c r="L2208">
        <v>1515.49</v>
      </c>
      <c r="M2208">
        <v>151.55000000000001</v>
      </c>
      <c r="O2208" s="79">
        <f>IFERROR(VLOOKUP(D2208,'KAPANAN BLD.'!$C$2:$D$793,2,FALSE),0)</f>
        <v>0</v>
      </c>
      <c r="P2208" s="79">
        <v>0</v>
      </c>
    </row>
    <row r="2209" spans="1:16" x14ac:dyDescent="0.25">
      <c r="A2209" t="s">
        <v>32</v>
      </c>
      <c r="B2209" s="73" t="str">
        <f>VLOOKUP(C2209,'Büyükşehir List'!$C$2:$D$31,2,FALSE)</f>
        <v>MERSİN BÜYÜKŞEHİR</v>
      </c>
      <c r="C2209" t="s">
        <v>122</v>
      </c>
      <c r="D2209" s="73" t="str">
        <f t="shared" si="52"/>
        <v>MERSİN BÜYÜKŞEHİR/MERSİN</v>
      </c>
      <c r="E2209" t="s">
        <v>3816</v>
      </c>
      <c r="F2209" t="s">
        <v>3816</v>
      </c>
      <c r="G2209" t="s">
        <v>3366</v>
      </c>
      <c r="H2209">
        <v>1165.6199999999999</v>
      </c>
      <c r="I2209">
        <v>116.56</v>
      </c>
      <c r="J2209">
        <v>0</v>
      </c>
      <c r="K2209">
        <v>0</v>
      </c>
      <c r="L2209">
        <v>1165.6199999999999</v>
      </c>
      <c r="M2209">
        <v>116.56</v>
      </c>
      <c r="O2209" s="79">
        <f>IFERROR(VLOOKUP(D2209,'KAPANAN BLD.'!$C$2:$D$793,2,FALSE),0)</f>
        <v>0</v>
      </c>
      <c r="P2209" s="79">
        <v>0</v>
      </c>
    </row>
    <row r="2210" spans="1:16" x14ac:dyDescent="0.25">
      <c r="A2210" t="s">
        <v>32</v>
      </c>
      <c r="B2210" s="73" t="str">
        <f>VLOOKUP(C2210,'Büyükşehir List'!$C$2:$D$31,2,FALSE)</f>
        <v>MERSİN BÜYÜKŞEHİR</v>
      </c>
      <c r="C2210" t="s">
        <v>122</v>
      </c>
      <c r="D2210" s="73" t="str">
        <f t="shared" si="52"/>
        <v>MERSİN BÜYÜKŞEHİR/MERSİN</v>
      </c>
      <c r="E2210" t="s">
        <v>1788</v>
      </c>
      <c r="F2210" t="s">
        <v>1788</v>
      </c>
      <c r="G2210" t="s">
        <v>3366</v>
      </c>
      <c r="H2210">
        <v>189.3</v>
      </c>
      <c r="I2210">
        <v>18.93</v>
      </c>
      <c r="J2210">
        <v>0</v>
      </c>
      <c r="K2210">
        <v>0</v>
      </c>
      <c r="L2210">
        <v>189.3</v>
      </c>
      <c r="M2210">
        <v>18.93</v>
      </c>
      <c r="O2210" s="79">
        <f>IFERROR(VLOOKUP(D2210,'KAPANAN BLD.'!$C$2:$D$793,2,FALSE),0)</f>
        <v>0</v>
      </c>
      <c r="P2210" s="79">
        <v>0</v>
      </c>
    </row>
    <row r="2211" spans="1:16" x14ac:dyDescent="0.25">
      <c r="A2211" t="s">
        <v>32</v>
      </c>
      <c r="B2211" s="73" t="str">
        <f>VLOOKUP(C2211,'Büyükşehir List'!$C$2:$D$31,2,FALSE)</f>
        <v>MERSİN BÜYÜKŞEHİR</v>
      </c>
      <c r="C2211" t="s">
        <v>122</v>
      </c>
      <c r="D2211" s="73" t="str">
        <f t="shared" si="52"/>
        <v>MERSİN BÜYÜKŞEHİR/MERSİN</v>
      </c>
      <c r="E2211" t="s">
        <v>1788</v>
      </c>
      <c r="F2211" t="s">
        <v>1788</v>
      </c>
      <c r="G2211" t="s">
        <v>3367</v>
      </c>
      <c r="H2211">
        <v>2292</v>
      </c>
      <c r="I2211">
        <v>229.2</v>
      </c>
      <c r="J2211">
        <v>0</v>
      </c>
      <c r="K2211">
        <v>0</v>
      </c>
      <c r="L2211">
        <v>2292</v>
      </c>
      <c r="M2211">
        <v>229.2</v>
      </c>
      <c r="O2211" s="79">
        <f>IFERROR(VLOOKUP(D2211,'KAPANAN BLD.'!$C$2:$D$793,2,FALSE),0)</f>
        <v>0</v>
      </c>
      <c r="P2211" s="79">
        <v>0</v>
      </c>
    </row>
    <row r="2212" spans="1:16" x14ac:dyDescent="0.25">
      <c r="A2212" t="s">
        <v>32</v>
      </c>
      <c r="B2212" s="73" t="str">
        <f>VLOOKUP(C2212,'Büyükşehir List'!$C$2:$D$31,2,FALSE)</f>
        <v>MERSİN BÜYÜKŞEHİR</v>
      </c>
      <c r="C2212" t="s">
        <v>122</v>
      </c>
      <c r="D2212" s="73" t="str">
        <f t="shared" si="52"/>
        <v>MERSİN BÜYÜKŞEHİR/MERSİN</v>
      </c>
      <c r="E2212" t="s">
        <v>324</v>
      </c>
      <c r="F2212" t="s">
        <v>324</v>
      </c>
      <c r="G2212" t="s">
        <v>3367</v>
      </c>
      <c r="H2212">
        <v>643.4</v>
      </c>
      <c r="I2212">
        <v>64.34</v>
      </c>
      <c r="J2212">
        <v>0</v>
      </c>
      <c r="K2212">
        <v>0</v>
      </c>
      <c r="L2212">
        <v>643.4</v>
      </c>
      <c r="M2212">
        <v>64.34</v>
      </c>
      <c r="O2212" s="79">
        <f>IFERROR(VLOOKUP(D2212,'KAPANAN BLD.'!$C$2:$D$793,2,FALSE),0)</f>
        <v>0</v>
      </c>
      <c r="P2212" s="79">
        <v>0</v>
      </c>
    </row>
    <row r="2213" spans="1:16" x14ac:dyDescent="0.25">
      <c r="A2213" t="s">
        <v>32</v>
      </c>
      <c r="B2213" s="73" t="str">
        <f>VLOOKUP(C2213,'Büyükşehir List'!$C$2:$D$31,2,FALSE)</f>
        <v>MERSİN BÜYÜKŞEHİR</v>
      </c>
      <c r="C2213" t="s">
        <v>122</v>
      </c>
      <c r="D2213" s="73" t="str">
        <f t="shared" si="52"/>
        <v>MERSİN BÜYÜKŞEHİR/MERSİN</v>
      </c>
      <c r="E2213" t="s">
        <v>324</v>
      </c>
      <c r="F2213" t="s">
        <v>324</v>
      </c>
      <c r="G2213" t="s">
        <v>3366</v>
      </c>
      <c r="H2213">
        <v>227.5</v>
      </c>
      <c r="I2213">
        <v>22.75</v>
      </c>
      <c r="J2213">
        <v>0</v>
      </c>
      <c r="K2213">
        <v>0</v>
      </c>
      <c r="L2213">
        <v>227.5</v>
      </c>
      <c r="M2213">
        <v>22.75</v>
      </c>
      <c r="O2213" s="79">
        <f>IFERROR(VLOOKUP(D2213,'KAPANAN BLD.'!$C$2:$D$793,2,FALSE),0)</f>
        <v>0</v>
      </c>
      <c r="P2213" s="79">
        <v>0</v>
      </c>
    </row>
    <row r="2214" spans="1:16" x14ac:dyDescent="0.25">
      <c r="A2214" t="s">
        <v>32</v>
      </c>
      <c r="B2214" s="73" t="str">
        <f>VLOOKUP(C2214,'Büyükşehir List'!$C$2:$D$31,2,FALSE)</f>
        <v>MERSİN BÜYÜKŞEHİR</v>
      </c>
      <c r="C2214" t="s">
        <v>122</v>
      </c>
      <c r="D2214" s="73" t="str">
        <f t="shared" si="52"/>
        <v>MERSİN BÜYÜKŞEHİR/MERSİN</v>
      </c>
      <c r="E2214" t="s">
        <v>3817</v>
      </c>
      <c r="F2214" t="s">
        <v>3817</v>
      </c>
      <c r="G2214" t="s">
        <v>3366</v>
      </c>
      <c r="H2214">
        <v>2321</v>
      </c>
      <c r="I2214">
        <v>232.1</v>
      </c>
      <c r="J2214">
        <v>846.4</v>
      </c>
      <c r="K2214">
        <v>84.64</v>
      </c>
      <c r="L2214">
        <v>1474.6</v>
      </c>
      <c r="M2214">
        <v>147.46</v>
      </c>
      <c r="O2214" s="79">
        <f>IFERROR(VLOOKUP(D2214,'KAPANAN BLD.'!$C$2:$D$793,2,FALSE),0)</f>
        <v>0</v>
      </c>
      <c r="P2214" s="79">
        <v>0</v>
      </c>
    </row>
    <row r="2215" spans="1:16" x14ac:dyDescent="0.25">
      <c r="A2215" t="s">
        <v>32</v>
      </c>
      <c r="B2215" s="73" t="str">
        <f>VLOOKUP(C2215,'Büyükşehir List'!$C$2:$D$31,2,FALSE)</f>
        <v>MERSİN BÜYÜKŞEHİR</v>
      </c>
      <c r="C2215" t="s">
        <v>122</v>
      </c>
      <c r="D2215" s="73" t="str">
        <f t="shared" si="52"/>
        <v>MERSİN BÜYÜKŞEHİR/MERSİN</v>
      </c>
      <c r="E2215" t="s">
        <v>3817</v>
      </c>
      <c r="F2215" t="s">
        <v>3817</v>
      </c>
      <c r="G2215" t="s">
        <v>3367</v>
      </c>
      <c r="H2215">
        <v>11438.6</v>
      </c>
      <c r="I2215">
        <v>1143.8599999999999</v>
      </c>
      <c r="J2215">
        <v>1234.4000000000001</v>
      </c>
      <c r="K2215">
        <v>123.44</v>
      </c>
      <c r="L2215">
        <v>10204.200000000001</v>
      </c>
      <c r="M2215">
        <v>1020.42</v>
      </c>
      <c r="O2215" s="79">
        <f>IFERROR(VLOOKUP(D2215,'KAPANAN BLD.'!$C$2:$D$793,2,FALSE),0)</f>
        <v>0</v>
      </c>
      <c r="P2215" s="79">
        <v>0</v>
      </c>
    </row>
    <row r="2216" spans="1:16" x14ac:dyDescent="0.25">
      <c r="A2216" t="s">
        <v>32</v>
      </c>
      <c r="B2216" s="73" t="str">
        <f>VLOOKUP(C2216,'Büyükşehir List'!$C$2:$D$31,2,FALSE)</f>
        <v>MERSİN BÜYÜKŞEHİR</v>
      </c>
      <c r="C2216" t="s">
        <v>122</v>
      </c>
      <c r="D2216" s="73" t="str">
        <f t="shared" si="52"/>
        <v>MERSİN BÜYÜKŞEHİR/MERSİN</v>
      </c>
      <c r="E2216" t="s">
        <v>658</v>
      </c>
      <c r="F2216" t="s">
        <v>658</v>
      </c>
      <c r="G2216" t="s">
        <v>3367</v>
      </c>
      <c r="H2216">
        <v>1023.3</v>
      </c>
      <c r="I2216">
        <v>102.33</v>
      </c>
      <c r="J2216">
        <v>0</v>
      </c>
      <c r="K2216">
        <v>0</v>
      </c>
      <c r="L2216">
        <v>1023.3</v>
      </c>
      <c r="M2216">
        <v>102.33</v>
      </c>
      <c r="O2216" s="79">
        <f>IFERROR(VLOOKUP(D2216,'KAPANAN BLD.'!$C$2:$D$793,2,FALSE),0)</f>
        <v>0</v>
      </c>
      <c r="P2216" s="79">
        <v>0</v>
      </c>
    </row>
    <row r="2217" spans="1:16" x14ac:dyDescent="0.25">
      <c r="A2217" t="s">
        <v>32</v>
      </c>
      <c r="B2217" s="73" t="str">
        <f>VLOOKUP(C2217,'Büyükşehir List'!$C$2:$D$31,2,FALSE)</f>
        <v>MERSİN BÜYÜKŞEHİR</v>
      </c>
      <c r="C2217" t="s">
        <v>122</v>
      </c>
      <c r="D2217" s="73" t="str">
        <f t="shared" si="52"/>
        <v>MERSİN BÜYÜKŞEHİR/MERSİN</v>
      </c>
      <c r="E2217" t="s">
        <v>658</v>
      </c>
      <c r="F2217" t="s">
        <v>658</v>
      </c>
      <c r="G2217" t="s">
        <v>3366</v>
      </c>
      <c r="H2217">
        <v>2256.5</v>
      </c>
      <c r="I2217">
        <v>225.65</v>
      </c>
      <c r="J2217">
        <v>0</v>
      </c>
      <c r="K2217">
        <v>0</v>
      </c>
      <c r="L2217">
        <v>2256.5</v>
      </c>
      <c r="M2217">
        <v>225.65</v>
      </c>
      <c r="O2217" s="79">
        <f>IFERROR(VLOOKUP(D2217,'KAPANAN BLD.'!$C$2:$D$793,2,FALSE),0)</f>
        <v>0</v>
      </c>
      <c r="P2217" s="79">
        <v>0</v>
      </c>
    </row>
    <row r="2218" spans="1:16" x14ac:dyDescent="0.25">
      <c r="A2218" t="s">
        <v>32</v>
      </c>
      <c r="B2218" s="73" t="str">
        <f>VLOOKUP(C2218,'Büyükşehir List'!$C$2:$D$31,2,FALSE)</f>
        <v>MERSİN BÜYÜKŞEHİR</v>
      </c>
      <c r="C2218" t="s">
        <v>122</v>
      </c>
      <c r="D2218" s="73" t="str">
        <f t="shared" si="52"/>
        <v>MERSİN BÜYÜKŞEHİR/MERSİN</v>
      </c>
      <c r="E2218" t="s">
        <v>251</v>
      </c>
      <c r="F2218" t="s">
        <v>251</v>
      </c>
      <c r="G2218" t="s">
        <v>3367</v>
      </c>
      <c r="H2218">
        <v>1093.4000000000001</v>
      </c>
      <c r="I2218">
        <v>109.34</v>
      </c>
      <c r="J2218">
        <v>0</v>
      </c>
      <c r="K2218">
        <v>0</v>
      </c>
      <c r="L2218">
        <v>1093.4000000000001</v>
      </c>
      <c r="M2218">
        <v>109.34</v>
      </c>
      <c r="O2218" s="79">
        <f>IFERROR(VLOOKUP(D2218,'KAPANAN BLD.'!$C$2:$D$793,2,FALSE),0)</f>
        <v>0</v>
      </c>
      <c r="P2218" s="79">
        <v>0</v>
      </c>
    </row>
    <row r="2219" spans="1:16" x14ac:dyDescent="0.25">
      <c r="A2219" t="s">
        <v>32</v>
      </c>
      <c r="B2219" s="73" t="str">
        <f>VLOOKUP(C2219,'Büyükşehir List'!$C$2:$D$31,2,FALSE)</f>
        <v>MERSİN BÜYÜKŞEHİR</v>
      </c>
      <c r="C2219" t="s">
        <v>122</v>
      </c>
      <c r="D2219" s="73" t="str">
        <f t="shared" si="52"/>
        <v>MERSİN BÜYÜKŞEHİR/MERSİN</v>
      </c>
      <c r="E2219" t="s">
        <v>251</v>
      </c>
      <c r="F2219" t="s">
        <v>251</v>
      </c>
      <c r="G2219" t="s">
        <v>3366</v>
      </c>
      <c r="H2219">
        <v>397</v>
      </c>
      <c r="I2219">
        <v>39.700000000000003</v>
      </c>
      <c r="J2219">
        <v>0</v>
      </c>
      <c r="K2219">
        <v>0</v>
      </c>
      <c r="L2219">
        <v>397</v>
      </c>
      <c r="M2219">
        <v>39.700000000000003</v>
      </c>
      <c r="O2219" s="79">
        <f>IFERROR(VLOOKUP(D2219,'KAPANAN BLD.'!$C$2:$D$793,2,FALSE),0)</f>
        <v>0</v>
      </c>
      <c r="P2219" s="79">
        <v>0</v>
      </c>
    </row>
    <row r="2220" spans="1:16" x14ac:dyDescent="0.25">
      <c r="A2220" t="s">
        <v>32</v>
      </c>
      <c r="B2220" s="73" t="str">
        <f>VLOOKUP(C2220,'Büyükşehir List'!$C$2:$D$31,2,FALSE)</f>
        <v>MERSİN BÜYÜKŞEHİR</v>
      </c>
      <c r="C2220" t="s">
        <v>122</v>
      </c>
      <c r="D2220" s="73" t="str">
        <f t="shared" si="52"/>
        <v>MERSİN BÜYÜKŞEHİR/MERSİN</v>
      </c>
      <c r="E2220" t="s">
        <v>659</v>
      </c>
      <c r="F2220" t="s">
        <v>659</v>
      </c>
      <c r="G2220" t="s">
        <v>3366</v>
      </c>
      <c r="H2220">
        <v>419.2</v>
      </c>
      <c r="I2220">
        <v>41.92</v>
      </c>
      <c r="J2220">
        <v>0</v>
      </c>
      <c r="K2220">
        <v>0</v>
      </c>
      <c r="L2220">
        <v>419.2</v>
      </c>
      <c r="M2220">
        <v>41.92</v>
      </c>
      <c r="O2220" s="79">
        <f>IFERROR(VLOOKUP(D2220,'KAPANAN BLD.'!$C$2:$D$793,2,FALSE),0)</f>
        <v>0</v>
      </c>
      <c r="P2220" s="79">
        <v>0</v>
      </c>
    </row>
    <row r="2221" spans="1:16" x14ac:dyDescent="0.25">
      <c r="A2221" t="s">
        <v>32</v>
      </c>
      <c r="B2221" s="73" t="str">
        <f>VLOOKUP(C2221,'Büyükşehir List'!$C$2:$D$31,2,FALSE)</f>
        <v>MERSİN BÜYÜKŞEHİR</v>
      </c>
      <c r="C2221" t="s">
        <v>122</v>
      </c>
      <c r="D2221" s="73" t="str">
        <f t="shared" si="52"/>
        <v>MERSİN BÜYÜKŞEHİR/MERSİN</v>
      </c>
      <c r="E2221" t="s">
        <v>659</v>
      </c>
      <c r="F2221" t="s">
        <v>659</v>
      </c>
      <c r="G2221" t="s">
        <v>3367</v>
      </c>
      <c r="H2221">
        <v>264.8</v>
      </c>
      <c r="I2221">
        <v>26.48</v>
      </c>
      <c r="J2221">
        <v>0</v>
      </c>
      <c r="K2221">
        <v>0</v>
      </c>
      <c r="L2221">
        <v>264.8</v>
      </c>
      <c r="M2221">
        <v>26.48</v>
      </c>
      <c r="O2221" s="79">
        <f>IFERROR(VLOOKUP(D2221,'KAPANAN BLD.'!$C$2:$D$793,2,FALSE),0)</f>
        <v>0</v>
      </c>
      <c r="P2221" s="79">
        <v>0</v>
      </c>
    </row>
    <row r="2222" spans="1:16" x14ac:dyDescent="0.25">
      <c r="A2222" t="s">
        <v>32</v>
      </c>
      <c r="B2222" s="73" t="str">
        <f>VLOOKUP(C2222,'Büyükşehir List'!$C$2:$D$31,2,FALSE)</f>
        <v>MERSİN BÜYÜKŞEHİR</v>
      </c>
      <c r="C2222" t="s">
        <v>122</v>
      </c>
      <c r="D2222" s="73" t="str">
        <f t="shared" si="52"/>
        <v>MERSİN BÜYÜKŞEHİR/MERSİN</v>
      </c>
      <c r="E2222" t="s">
        <v>3818</v>
      </c>
      <c r="F2222" t="s">
        <v>3818</v>
      </c>
      <c r="G2222" t="s">
        <v>3367</v>
      </c>
      <c r="H2222">
        <v>803.6</v>
      </c>
      <c r="I2222">
        <v>80.36</v>
      </c>
      <c r="J2222">
        <v>5.4</v>
      </c>
      <c r="K2222">
        <v>0.54</v>
      </c>
      <c r="L2222">
        <v>798.2</v>
      </c>
      <c r="M2222">
        <v>79.819999999999993</v>
      </c>
      <c r="O2222" s="79">
        <f>IFERROR(VLOOKUP(D2222,'KAPANAN BLD.'!$C$2:$D$793,2,FALSE),0)</f>
        <v>0</v>
      </c>
      <c r="P2222" s="79">
        <v>0</v>
      </c>
    </row>
    <row r="2223" spans="1:16" x14ac:dyDescent="0.25">
      <c r="A2223" t="s">
        <v>32</v>
      </c>
      <c r="B2223" s="73" t="str">
        <f>VLOOKUP(C2223,'Büyükşehir List'!$C$2:$D$31,2,FALSE)</f>
        <v>MERSİN BÜYÜKŞEHİR</v>
      </c>
      <c r="C2223" t="s">
        <v>122</v>
      </c>
      <c r="D2223" s="73" t="str">
        <f t="shared" si="52"/>
        <v>MERSİN BÜYÜKŞEHİR/MERSİN</v>
      </c>
      <c r="E2223" t="s">
        <v>3818</v>
      </c>
      <c r="F2223" t="s">
        <v>3818</v>
      </c>
      <c r="G2223" t="s">
        <v>3366</v>
      </c>
      <c r="H2223">
        <v>449.4</v>
      </c>
      <c r="I2223">
        <v>44.94</v>
      </c>
      <c r="J2223">
        <v>103.3</v>
      </c>
      <c r="K2223">
        <v>10.33</v>
      </c>
      <c r="L2223">
        <v>346.1</v>
      </c>
      <c r="M2223">
        <v>34.61</v>
      </c>
      <c r="O2223" s="79">
        <f>IFERROR(VLOOKUP(D2223,'KAPANAN BLD.'!$C$2:$D$793,2,FALSE),0)</f>
        <v>0</v>
      </c>
      <c r="P2223" s="79">
        <v>0</v>
      </c>
    </row>
    <row r="2224" spans="1:16" x14ac:dyDescent="0.25">
      <c r="A2224" t="s">
        <v>32</v>
      </c>
      <c r="B2224" s="73" t="str">
        <f>VLOOKUP(C2224,'Büyükşehir List'!$C$2:$D$31,2,FALSE)</f>
        <v>MERSİN BÜYÜKŞEHİR</v>
      </c>
      <c r="C2224" t="s">
        <v>122</v>
      </c>
      <c r="D2224" s="73" t="str">
        <f t="shared" si="52"/>
        <v>MERSİN BÜYÜKŞEHİR/MERSİN</v>
      </c>
      <c r="E2224" t="s">
        <v>297</v>
      </c>
      <c r="F2224" t="s">
        <v>297</v>
      </c>
      <c r="G2224" t="s">
        <v>3367</v>
      </c>
      <c r="H2224">
        <v>558.9</v>
      </c>
      <c r="I2224">
        <v>55.89</v>
      </c>
      <c r="J2224">
        <v>0</v>
      </c>
      <c r="K2224">
        <v>0</v>
      </c>
      <c r="L2224">
        <v>558.9</v>
      </c>
      <c r="M2224">
        <v>55.89</v>
      </c>
      <c r="O2224" s="79">
        <f>IFERROR(VLOOKUP(D2224,'KAPANAN BLD.'!$C$2:$D$793,2,FALSE),0)</f>
        <v>0</v>
      </c>
      <c r="P2224" s="79">
        <v>0</v>
      </c>
    </row>
    <row r="2225" spans="1:16" x14ac:dyDescent="0.25">
      <c r="A2225" t="s">
        <v>32</v>
      </c>
      <c r="B2225" s="73" t="str">
        <f>VLOOKUP(C2225,'Büyükşehir List'!$C$2:$D$31,2,FALSE)</f>
        <v>MERSİN BÜYÜKŞEHİR</v>
      </c>
      <c r="C2225" t="s">
        <v>122</v>
      </c>
      <c r="D2225" s="73" t="str">
        <f t="shared" si="52"/>
        <v>MERSİN BÜYÜKŞEHİR/MERSİN</v>
      </c>
      <c r="E2225" t="s">
        <v>297</v>
      </c>
      <c r="F2225" t="s">
        <v>297</v>
      </c>
      <c r="G2225" t="s">
        <v>3366</v>
      </c>
      <c r="H2225">
        <v>204.3</v>
      </c>
      <c r="I2225">
        <v>20.43</v>
      </c>
      <c r="J2225">
        <v>0</v>
      </c>
      <c r="K2225">
        <v>0</v>
      </c>
      <c r="L2225">
        <v>204.3</v>
      </c>
      <c r="M2225">
        <v>20.43</v>
      </c>
      <c r="O2225" s="79">
        <f>IFERROR(VLOOKUP(D2225,'KAPANAN BLD.'!$C$2:$D$793,2,FALSE),0)</f>
        <v>0</v>
      </c>
      <c r="P2225" s="79">
        <v>0</v>
      </c>
    </row>
    <row r="2226" spans="1:16" x14ac:dyDescent="0.25">
      <c r="A2226" t="s">
        <v>32</v>
      </c>
      <c r="B2226" s="73" t="str">
        <f>VLOOKUP(C2226,'Büyükşehir List'!$C$2:$D$31,2,FALSE)</f>
        <v>MERSİN BÜYÜKŞEHİR</v>
      </c>
      <c r="C2226" t="s">
        <v>122</v>
      </c>
      <c r="D2226" s="73" t="str">
        <f t="shared" si="52"/>
        <v>MERSİN BÜYÜKŞEHİR/MERSİN</v>
      </c>
      <c r="E2226" t="s">
        <v>1881</v>
      </c>
      <c r="F2226" t="s">
        <v>1881</v>
      </c>
      <c r="G2226" t="s">
        <v>3366</v>
      </c>
      <c r="H2226">
        <v>25.4</v>
      </c>
      <c r="I2226">
        <v>2.54</v>
      </c>
      <c r="J2226">
        <v>0</v>
      </c>
      <c r="K2226">
        <v>0</v>
      </c>
      <c r="L2226">
        <v>25.4</v>
      </c>
      <c r="M2226">
        <v>2.54</v>
      </c>
      <c r="O2226" s="79">
        <f>IFERROR(VLOOKUP(D2226,'KAPANAN BLD.'!$C$2:$D$793,2,FALSE),0)</f>
        <v>0</v>
      </c>
      <c r="P2226" s="79">
        <v>0</v>
      </c>
    </row>
    <row r="2227" spans="1:16" x14ac:dyDescent="0.25">
      <c r="A2227" t="s">
        <v>32</v>
      </c>
      <c r="B2227" s="73" t="str">
        <f>VLOOKUP(C2227,'Büyükşehir List'!$C$2:$D$31,2,FALSE)</f>
        <v>MERSİN BÜYÜKŞEHİR</v>
      </c>
      <c r="C2227" t="s">
        <v>122</v>
      </c>
      <c r="D2227" s="73" t="str">
        <f t="shared" si="52"/>
        <v>MERSİN BÜYÜKŞEHİR/MERSİN</v>
      </c>
      <c r="E2227" t="s">
        <v>1881</v>
      </c>
      <c r="F2227" t="s">
        <v>1881</v>
      </c>
      <c r="G2227" t="s">
        <v>3367</v>
      </c>
      <c r="H2227">
        <v>47.2</v>
      </c>
      <c r="I2227">
        <v>4.72</v>
      </c>
      <c r="J2227">
        <v>0</v>
      </c>
      <c r="K2227">
        <v>0</v>
      </c>
      <c r="L2227">
        <v>47.2</v>
      </c>
      <c r="M2227">
        <v>4.72</v>
      </c>
      <c r="O2227" s="79">
        <f>IFERROR(VLOOKUP(D2227,'KAPANAN BLD.'!$C$2:$D$793,2,FALSE),0)</f>
        <v>0</v>
      </c>
      <c r="P2227" s="79">
        <v>0</v>
      </c>
    </row>
    <row r="2228" spans="1:16" x14ac:dyDescent="0.25">
      <c r="A2228" t="s">
        <v>32</v>
      </c>
      <c r="B2228" s="73" t="str">
        <f>VLOOKUP(C2228,'Büyükşehir List'!$C$2:$D$31,2,FALSE)</f>
        <v>MERSİN BÜYÜKŞEHİR</v>
      </c>
      <c r="C2228" t="s">
        <v>122</v>
      </c>
      <c r="D2228" s="73" t="str">
        <f t="shared" si="52"/>
        <v>MERSİN BÜYÜKŞEHİR/MERSİN</v>
      </c>
      <c r="E2228" t="s">
        <v>298</v>
      </c>
      <c r="F2228" t="s">
        <v>298</v>
      </c>
      <c r="G2228" t="s">
        <v>3366</v>
      </c>
      <c r="H2228">
        <v>23.7</v>
      </c>
      <c r="I2228">
        <v>2.37</v>
      </c>
      <c r="J2228">
        <v>0</v>
      </c>
      <c r="K2228">
        <v>0</v>
      </c>
      <c r="L2228">
        <v>23.7</v>
      </c>
      <c r="M2228">
        <v>2.37</v>
      </c>
      <c r="O2228" s="79">
        <f>IFERROR(VLOOKUP(D2228,'KAPANAN BLD.'!$C$2:$D$793,2,FALSE),0)</f>
        <v>0</v>
      </c>
      <c r="P2228" s="79">
        <v>0</v>
      </c>
    </row>
    <row r="2229" spans="1:16" x14ac:dyDescent="0.25">
      <c r="A2229" t="s">
        <v>32</v>
      </c>
      <c r="B2229" s="73" t="str">
        <f>VLOOKUP(C2229,'Büyükşehir List'!$C$2:$D$31,2,FALSE)</f>
        <v>MERSİN BÜYÜKŞEHİR</v>
      </c>
      <c r="C2229" t="s">
        <v>122</v>
      </c>
      <c r="D2229" s="73" t="str">
        <f t="shared" si="52"/>
        <v>MERSİN BÜYÜKŞEHİR/MERSİN</v>
      </c>
      <c r="E2229" t="s">
        <v>298</v>
      </c>
      <c r="F2229" t="s">
        <v>298</v>
      </c>
      <c r="G2229" t="s">
        <v>3367</v>
      </c>
      <c r="H2229">
        <v>39.4</v>
      </c>
      <c r="I2229">
        <v>3.94</v>
      </c>
      <c r="J2229">
        <v>0</v>
      </c>
      <c r="K2229">
        <v>0</v>
      </c>
      <c r="L2229">
        <v>39.4</v>
      </c>
      <c r="M2229">
        <v>3.94</v>
      </c>
      <c r="O2229" s="79">
        <f>IFERROR(VLOOKUP(D2229,'KAPANAN BLD.'!$C$2:$D$793,2,FALSE),0)</f>
        <v>0</v>
      </c>
      <c r="P2229" s="79">
        <v>0</v>
      </c>
    </row>
    <row r="2230" spans="1:16" x14ac:dyDescent="0.25">
      <c r="A2230" t="s">
        <v>32</v>
      </c>
      <c r="B2230" s="73" t="str">
        <f>VLOOKUP(C2230,'Büyükşehir List'!$C$2:$D$31,2,FALSE)</f>
        <v>MERSİN BÜYÜKŞEHİR</v>
      </c>
      <c r="C2230" t="s">
        <v>122</v>
      </c>
      <c r="D2230" s="73" t="str">
        <f t="shared" si="52"/>
        <v>MERSİN BÜYÜKŞEHİR/MERSİN</v>
      </c>
      <c r="E2230" t="s">
        <v>3929</v>
      </c>
      <c r="F2230" t="s">
        <v>3929</v>
      </c>
      <c r="G2230" t="s">
        <v>3367</v>
      </c>
      <c r="H2230">
        <v>310.60000000000002</v>
      </c>
      <c r="I2230">
        <v>31.06</v>
      </c>
      <c r="J2230">
        <v>45</v>
      </c>
      <c r="K2230">
        <v>4.5</v>
      </c>
      <c r="L2230">
        <v>265.60000000000002</v>
      </c>
      <c r="M2230">
        <v>26.56</v>
      </c>
      <c r="O2230" s="79">
        <f>IFERROR(VLOOKUP(D2230,'KAPANAN BLD.'!$C$2:$D$793,2,FALSE),0)</f>
        <v>0</v>
      </c>
      <c r="P2230" s="79">
        <v>0</v>
      </c>
    </row>
    <row r="2231" spans="1:16" x14ac:dyDescent="0.25">
      <c r="A2231" t="s">
        <v>32</v>
      </c>
      <c r="B2231" s="73" t="str">
        <f>VLOOKUP(C2231,'Büyükşehir List'!$C$2:$D$31,2,FALSE)</f>
        <v>MERSİN BÜYÜKŞEHİR</v>
      </c>
      <c r="C2231" t="s">
        <v>122</v>
      </c>
      <c r="D2231" s="73" t="str">
        <f t="shared" si="52"/>
        <v>MERSİN BÜYÜKŞEHİR/MERSİN</v>
      </c>
      <c r="E2231" t="s">
        <v>3929</v>
      </c>
      <c r="F2231" t="s">
        <v>3929</v>
      </c>
      <c r="G2231" t="s">
        <v>3366</v>
      </c>
      <c r="H2231">
        <v>485.5</v>
      </c>
      <c r="I2231">
        <v>48.55</v>
      </c>
      <c r="J2231">
        <v>402.8</v>
      </c>
      <c r="K2231">
        <v>40.28</v>
      </c>
      <c r="L2231">
        <v>82.7</v>
      </c>
      <c r="M2231">
        <v>8.27</v>
      </c>
      <c r="O2231" s="79">
        <f>IFERROR(VLOOKUP(D2231,'KAPANAN BLD.'!$C$2:$D$793,2,FALSE),0)</f>
        <v>0</v>
      </c>
      <c r="P2231" s="79">
        <v>0</v>
      </c>
    </row>
    <row r="2232" spans="1:16" x14ac:dyDescent="0.25">
      <c r="A2232" t="s">
        <v>32</v>
      </c>
      <c r="B2232" s="73" t="str">
        <f>VLOOKUP(C2232,'Büyükşehir List'!$C$2:$D$31,2,FALSE)</f>
        <v>MERSİN BÜYÜKŞEHİR</v>
      </c>
      <c r="C2232" t="s">
        <v>122</v>
      </c>
      <c r="D2232" s="73" t="str">
        <f t="shared" si="52"/>
        <v>MERSİN BÜYÜKŞEHİR/MERSİN</v>
      </c>
      <c r="E2232" t="s">
        <v>142</v>
      </c>
      <c r="F2232" t="s">
        <v>142</v>
      </c>
      <c r="G2232" t="s">
        <v>3367</v>
      </c>
      <c r="H2232">
        <v>1951.4</v>
      </c>
      <c r="I2232">
        <v>195.14</v>
      </c>
      <c r="J2232">
        <v>27.6</v>
      </c>
      <c r="K2232">
        <v>2.76</v>
      </c>
      <c r="L2232">
        <v>1923.8</v>
      </c>
      <c r="M2232">
        <v>192.38</v>
      </c>
      <c r="O2232" s="79">
        <f>IFERROR(VLOOKUP(D2232,'KAPANAN BLD.'!$C$2:$D$793,2,FALSE),0)</f>
        <v>0</v>
      </c>
      <c r="P2232" s="79">
        <v>0</v>
      </c>
    </row>
    <row r="2233" spans="1:16" x14ac:dyDescent="0.25">
      <c r="A2233" t="s">
        <v>32</v>
      </c>
      <c r="B2233" s="73" t="str">
        <f>VLOOKUP(C2233,'Büyükşehir List'!$C$2:$D$31,2,FALSE)</f>
        <v>MERSİN BÜYÜKŞEHİR</v>
      </c>
      <c r="C2233" t="s">
        <v>122</v>
      </c>
      <c r="D2233" s="73" t="str">
        <f t="shared" si="52"/>
        <v>MERSİN BÜYÜKŞEHİR/MERSİN</v>
      </c>
      <c r="E2233" t="s">
        <v>142</v>
      </c>
      <c r="F2233" t="s">
        <v>142</v>
      </c>
      <c r="G2233" t="s">
        <v>3366</v>
      </c>
      <c r="H2233">
        <v>866.8</v>
      </c>
      <c r="I2233">
        <v>86.68</v>
      </c>
      <c r="J2233">
        <v>0</v>
      </c>
      <c r="K2233">
        <v>0</v>
      </c>
      <c r="L2233">
        <v>866.8</v>
      </c>
      <c r="M2233">
        <v>86.68</v>
      </c>
      <c r="O2233" s="79">
        <f>IFERROR(VLOOKUP(D2233,'KAPANAN BLD.'!$C$2:$D$793,2,FALSE),0)</f>
        <v>0</v>
      </c>
      <c r="P2233" s="79">
        <v>0</v>
      </c>
    </row>
    <row r="2234" spans="1:16" x14ac:dyDescent="0.25">
      <c r="A2234" t="s">
        <v>32</v>
      </c>
      <c r="B2234" s="73" t="str">
        <f>VLOOKUP(C2234,'Büyükşehir List'!$C$2:$D$31,2,FALSE)</f>
        <v>MERSİN BÜYÜKŞEHİR</v>
      </c>
      <c r="C2234" t="s">
        <v>122</v>
      </c>
      <c r="D2234" s="73" t="str">
        <f t="shared" si="52"/>
        <v>MERSİN BÜYÜKŞEHİR/MERSİN</v>
      </c>
      <c r="E2234" t="s">
        <v>179</v>
      </c>
      <c r="F2234" t="s">
        <v>179</v>
      </c>
      <c r="G2234" t="s">
        <v>3366</v>
      </c>
      <c r="H2234">
        <v>280.48</v>
      </c>
      <c r="I2234">
        <v>28.05</v>
      </c>
      <c r="J2234">
        <v>0</v>
      </c>
      <c r="K2234">
        <v>0</v>
      </c>
      <c r="L2234">
        <v>280.48</v>
      </c>
      <c r="M2234">
        <v>28.05</v>
      </c>
      <c r="O2234" s="79">
        <f>IFERROR(VLOOKUP(D2234,'KAPANAN BLD.'!$C$2:$D$793,2,FALSE),0)</f>
        <v>0</v>
      </c>
      <c r="P2234" s="79">
        <v>0</v>
      </c>
    </row>
    <row r="2235" spans="1:16" x14ac:dyDescent="0.25">
      <c r="A2235" t="s">
        <v>32</v>
      </c>
      <c r="B2235" s="73" t="str">
        <f>VLOOKUP(C2235,'Büyükşehir List'!$C$2:$D$31,2,FALSE)</f>
        <v>MERSİN BÜYÜKŞEHİR</v>
      </c>
      <c r="C2235" t="s">
        <v>122</v>
      </c>
      <c r="D2235" s="73" t="str">
        <f t="shared" si="52"/>
        <v>MERSİN BÜYÜKŞEHİR/MERSİN</v>
      </c>
      <c r="E2235" t="s">
        <v>179</v>
      </c>
      <c r="F2235" t="s">
        <v>179</v>
      </c>
      <c r="G2235" t="s">
        <v>3367</v>
      </c>
      <c r="H2235">
        <v>1518.92</v>
      </c>
      <c r="I2235">
        <v>151.9</v>
      </c>
      <c r="J2235">
        <v>4.5999999999999996</v>
      </c>
      <c r="K2235">
        <v>0.46</v>
      </c>
      <c r="L2235">
        <v>1514.32</v>
      </c>
      <c r="M2235">
        <v>151.44</v>
      </c>
      <c r="O2235" s="79">
        <f>IFERROR(VLOOKUP(D2235,'KAPANAN BLD.'!$C$2:$D$793,2,FALSE),0)</f>
        <v>0</v>
      </c>
      <c r="P2235" s="79">
        <v>0</v>
      </c>
    </row>
    <row r="2236" spans="1:16" x14ac:dyDescent="0.25">
      <c r="A2236" t="s">
        <v>32</v>
      </c>
      <c r="B2236" s="73" t="str">
        <f>VLOOKUP(C2236,'Büyükşehir List'!$C$2:$D$31,2,FALSE)</f>
        <v>MERSİN BÜYÜKŞEHİR</v>
      </c>
      <c r="C2236" t="s">
        <v>122</v>
      </c>
      <c r="D2236" s="73" t="str">
        <f t="shared" si="52"/>
        <v>MERSİN BÜYÜKŞEHİR/MERSİN</v>
      </c>
      <c r="E2236" t="s">
        <v>3819</v>
      </c>
      <c r="F2236" t="s">
        <v>3819</v>
      </c>
      <c r="G2236" t="s">
        <v>3366</v>
      </c>
      <c r="H2236">
        <v>275.3</v>
      </c>
      <c r="I2236">
        <v>27.53</v>
      </c>
      <c r="J2236">
        <v>10.29</v>
      </c>
      <c r="K2236">
        <v>1.03</v>
      </c>
      <c r="L2236">
        <v>265.01</v>
      </c>
      <c r="M2236">
        <v>26.5</v>
      </c>
      <c r="O2236" s="79">
        <f>IFERROR(VLOOKUP(D2236,'KAPANAN BLD.'!$C$2:$D$793,2,FALSE),0)</f>
        <v>0</v>
      </c>
      <c r="P2236" s="79">
        <v>0</v>
      </c>
    </row>
    <row r="2237" spans="1:16" x14ac:dyDescent="0.25">
      <c r="A2237" t="s">
        <v>32</v>
      </c>
      <c r="B2237" s="73" t="str">
        <f>VLOOKUP(C2237,'Büyükşehir List'!$C$2:$D$31,2,FALSE)</f>
        <v>MERSİN BÜYÜKŞEHİR</v>
      </c>
      <c r="C2237" t="s">
        <v>122</v>
      </c>
      <c r="D2237" s="73" t="str">
        <f t="shared" si="52"/>
        <v>MERSİN BÜYÜKŞEHİR/MERSİN</v>
      </c>
      <c r="E2237" t="s">
        <v>3819</v>
      </c>
      <c r="F2237" t="s">
        <v>3819</v>
      </c>
      <c r="G2237" t="s">
        <v>3367</v>
      </c>
      <c r="H2237">
        <v>1711.8</v>
      </c>
      <c r="I2237">
        <v>171.18</v>
      </c>
      <c r="J2237">
        <v>41.17</v>
      </c>
      <c r="K2237">
        <v>4.1100000000000003</v>
      </c>
      <c r="L2237">
        <v>1670.63</v>
      </c>
      <c r="M2237">
        <v>167.07</v>
      </c>
      <c r="O2237" s="79">
        <f>IFERROR(VLOOKUP(D2237,'KAPANAN BLD.'!$C$2:$D$793,2,FALSE),0)</f>
        <v>0</v>
      </c>
      <c r="P2237" s="79">
        <v>0</v>
      </c>
    </row>
    <row r="2238" spans="1:16" x14ac:dyDescent="0.25">
      <c r="A2238" t="s">
        <v>32</v>
      </c>
      <c r="B2238" s="73" t="str">
        <f>VLOOKUP(C2238,'Büyükşehir List'!$C$2:$D$31,2,FALSE)</f>
        <v>MERSİN BÜYÜKŞEHİR</v>
      </c>
      <c r="C2238" t="s">
        <v>122</v>
      </c>
      <c r="D2238" s="73" t="str">
        <f t="shared" si="52"/>
        <v>MERSİN BÜYÜKŞEHİR/MERSİN</v>
      </c>
      <c r="E2238" t="s">
        <v>3820</v>
      </c>
      <c r="F2238" t="s">
        <v>3820</v>
      </c>
      <c r="G2238" t="s">
        <v>3366</v>
      </c>
      <c r="H2238">
        <v>643.20000000000005</v>
      </c>
      <c r="I2238">
        <v>64.319999999999993</v>
      </c>
      <c r="J2238">
        <v>0</v>
      </c>
      <c r="K2238">
        <v>0</v>
      </c>
      <c r="L2238">
        <v>643.20000000000005</v>
      </c>
      <c r="M2238">
        <v>64.319999999999993</v>
      </c>
      <c r="O2238" s="79">
        <f>IFERROR(VLOOKUP(D2238,'KAPANAN BLD.'!$C$2:$D$793,2,FALSE),0)</f>
        <v>0</v>
      </c>
      <c r="P2238" s="79">
        <v>0</v>
      </c>
    </row>
    <row r="2239" spans="1:16" x14ac:dyDescent="0.25">
      <c r="A2239" t="s">
        <v>32</v>
      </c>
      <c r="B2239" s="73" t="str">
        <f>VLOOKUP(C2239,'Büyükşehir List'!$C$2:$D$31,2,FALSE)</f>
        <v>MERSİN BÜYÜKŞEHİR</v>
      </c>
      <c r="C2239" t="s">
        <v>122</v>
      </c>
      <c r="D2239" s="73" t="str">
        <f t="shared" si="52"/>
        <v>MERSİN BÜYÜKŞEHİR/MERSİN</v>
      </c>
      <c r="E2239" t="s">
        <v>3820</v>
      </c>
      <c r="F2239" t="s">
        <v>3820</v>
      </c>
      <c r="G2239" t="s">
        <v>3367</v>
      </c>
      <c r="H2239">
        <v>965.8</v>
      </c>
      <c r="I2239">
        <v>96.58</v>
      </c>
      <c r="J2239">
        <v>0</v>
      </c>
      <c r="K2239">
        <v>0</v>
      </c>
      <c r="L2239">
        <v>965.8</v>
      </c>
      <c r="M2239">
        <v>96.58</v>
      </c>
      <c r="O2239" s="79">
        <f>IFERROR(VLOOKUP(D2239,'KAPANAN BLD.'!$C$2:$D$793,2,FALSE),0)</f>
        <v>0</v>
      </c>
      <c r="P2239" s="79">
        <v>0</v>
      </c>
    </row>
    <row r="2240" spans="1:16" x14ac:dyDescent="0.25">
      <c r="A2240" t="s">
        <v>32</v>
      </c>
      <c r="B2240" s="73" t="str">
        <f>VLOOKUP(C2240,'Büyükşehir List'!$C$2:$D$31,2,FALSE)</f>
        <v>MERSİN BÜYÜKŞEHİR</v>
      </c>
      <c r="C2240" t="s">
        <v>122</v>
      </c>
      <c r="D2240" s="73" t="str">
        <f t="shared" si="52"/>
        <v>MERSİN BÜYÜKŞEHİR/MERSİN</v>
      </c>
      <c r="E2240" t="s">
        <v>3821</v>
      </c>
      <c r="F2240" t="s">
        <v>3821</v>
      </c>
      <c r="G2240" t="s">
        <v>3366</v>
      </c>
      <c r="H2240">
        <v>3314.5</v>
      </c>
      <c r="I2240">
        <v>331.45</v>
      </c>
      <c r="J2240">
        <v>12</v>
      </c>
      <c r="K2240">
        <v>1.2</v>
      </c>
      <c r="L2240">
        <v>3302.5</v>
      </c>
      <c r="M2240">
        <v>330.25</v>
      </c>
      <c r="O2240" s="79">
        <f>IFERROR(VLOOKUP(D2240,'KAPANAN BLD.'!$C$2:$D$793,2,FALSE),0)</f>
        <v>0</v>
      </c>
      <c r="P2240" s="79">
        <v>0</v>
      </c>
    </row>
    <row r="2241" spans="1:16" x14ac:dyDescent="0.25">
      <c r="A2241" t="s">
        <v>32</v>
      </c>
      <c r="B2241" s="73" t="str">
        <f>VLOOKUP(C2241,'Büyükşehir List'!$C$2:$D$31,2,FALSE)</f>
        <v>MERSİN BÜYÜKŞEHİR</v>
      </c>
      <c r="C2241" t="s">
        <v>122</v>
      </c>
      <c r="D2241" s="73" t="str">
        <f t="shared" si="52"/>
        <v>MERSİN BÜYÜKŞEHİR/MERSİN</v>
      </c>
      <c r="E2241" t="s">
        <v>3821</v>
      </c>
      <c r="F2241" t="s">
        <v>3821</v>
      </c>
      <c r="G2241" t="s">
        <v>3367</v>
      </c>
      <c r="H2241">
        <v>2521.8000000000002</v>
      </c>
      <c r="I2241">
        <v>252.18</v>
      </c>
      <c r="J2241">
        <v>25</v>
      </c>
      <c r="K2241">
        <v>2.5</v>
      </c>
      <c r="L2241">
        <v>2496.8000000000002</v>
      </c>
      <c r="M2241">
        <v>249.68</v>
      </c>
      <c r="O2241" s="79">
        <f>IFERROR(VLOOKUP(D2241,'KAPANAN BLD.'!$C$2:$D$793,2,FALSE),0)</f>
        <v>0</v>
      </c>
      <c r="P2241" s="79">
        <v>0</v>
      </c>
    </row>
    <row r="2242" spans="1:16" x14ac:dyDescent="0.25">
      <c r="A2242" t="s">
        <v>32</v>
      </c>
      <c r="B2242" s="73" t="str">
        <f>VLOOKUP(C2242,'Büyükşehir List'!$C$2:$D$31,2,FALSE)</f>
        <v>MERSİN BÜYÜKŞEHİR</v>
      </c>
      <c r="C2242" t="s">
        <v>122</v>
      </c>
      <c r="D2242" s="73" t="str">
        <f t="shared" si="52"/>
        <v>MERSİN BÜYÜKŞEHİR/MERSİN</v>
      </c>
      <c r="E2242" t="s">
        <v>281</v>
      </c>
      <c r="F2242" t="s">
        <v>281</v>
      </c>
      <c r="G2242" t="s">
        <v>3366</v>
      </c>
      <c r="H2242">
        <v>131.6</v>
      </c>
      <c r="I2242">
        <v>13.16</v>
      </c>
      <c r="J2242">
        <v>0</v>
      </c>
      <c r="K2242">
        <v>0</v>
      </c>
      <c r="L2242">
        <v>131.6</v>
      </c>
      <c r="M2242">
        <v>13.16</v>
      </c>
      <c r="O2242" s="79">
        <f>IFERROR(VLOOKUP(D2242,'KAPANAN BLD.'!$C$2:$D$793,2,FALSE),0)</f>
        <v>0</v>
      </c>
      <c r="P2242" s="79">
        <v>0</v>
      </c>
    </row>
    <row r="2243" spans="1:16" x14ac:dyDescent="0.25">
      <c r="A2243" t="s">
        <v>32</v>
      </c>
      <c r="B2243" s="73" t="str">
        <f>VLOOKUP(C2243,'Büyükşehir List'!$C$2:$D$31,2,FALSE)</f>
        <v>MERSİN BÜYÜKŞEHİR</v>
      </c>
      <c r="C2243" t="s">
        <v>122</v>
      </c>
      <c r="D2243" s="73" t="str">
        <f t="shared" ref="D2243:D2306" si="53">CONCATENATE(B2243,"/",C2243)</f>
        <v>MERSİN BÜYÜKŞEHİR/MERSİN</v>
      </c>
      <c r="E2243" t="s">
        <v>281</v>
      </c>
      <c r="F2243" t="s">
        <v>281</v>
      </c>
      <c r="G2243" t="s">
        <v>3367</v>
      </c>
      <c r="H2243">
        <v>856.8</v>
      </c>
      <c r="I2243">
        <v>85.68</v>
      </c>
      <c r="J2243">
        <v>0</v>
      </c>
      <c r="K2243">
        <v>0</v>
      </c>
      <c r="L2243">
        <v>856.8</v>
      </c>
      <c r="M2243">
        <v>85.68</v>
      </c>
      <c r="O2243" s="79">
        <f>IFERROR(VLOOKUP(D2243,'KAPANAN BLD.'!$C$2:$D$793,2,FALSE),0)</f>
        <v>0</v>
      </c>
      <c r="P2243" s="79">
        <v>0</v>
      </c>
    </row>
    <row r="2244" spans="1:16" x14ac:dyDescent="0.25">
      <c r="A2244" t="s">
        <v>32</v>
      </c>
      <c r="B2244" s="73" t="str">
        <f>VLOOKUP(C2244,'Büyükşehir List'!$C$2:$D$31,2,FALSE)</f>
        <v>MERSİN BÜYÜKŞEHİR</v>
      </c>
      <c r="C2244" t="s">
        <v>122</v>
      </c>
      <c r="D2244" s="73" t="str">
        <f t="shared" si="53"/>
        <v>MERSİN BÜYÜKŞEHİR/MERSİN</v>
      </c>
      <c r="E2244" t="s">
        <v>378</v>
      </c>
      <c r="F2244" t="s">
        <v>378</v>
      </c>
      <c r="G2244" t="s">
        <v>3367</v>
      </c>
      <c r="H2244">
        <v>2707.6</v>
      </c>
      <c r="I2244">
        <v>270.76</v>
      </c>
      <c r="J2244">
        <v>0</v>
      </c>
      <c r="K2244">
        <v>0</v>
      </c>
      <c r="L2244">
        <v>2707.6</v>
      </c>
      <c r="M2244">
        <v>270.76</v>
      </c>
      <c r="O2244" s="79">
        <f>IFERROR(VLOOKUP(D2244,'KAPANAN BLD.'!$C$2:$D$793,2,FALSE),0)</f>
        <v>0</v>
      </c>
      <c r="P2244" s="79">
        <v>0</v>
      </c>
    </row>
    <row r="2245" spans="1:16" x14ac:dyDescent="0.25">
      <c r="A2245" t="s">
        <v>32</v>
      </c>
      <c r="B2245" s="73" t="str">
        <f>VLOOKUP(C2245,'Büyükşehir List'!$C$2:$D$31,2,FALSE)</f>
        <v>MERSİN BÜYÜKŞEHİR</v>
      </c>
      <c r="C2245" t="s">
        <v>122</v>
      </c>
      <c r="D2245" s="73" t="str">
        <f t="shared" si="53"/>
        <v>MERSİN BÜYÜKŞEHİR/MERSİN</v>
      </c>
      <c r="E2245" t="s">
        <v>378</v>
      </c>
      <c r="F2245" t="s">
        <v>378</v>
      </c>
      <c r="G2245" t="s">
        <v>3366</v>
      </c>
      <c r="H2245">
        <v>956.5</v>
      </c>
      <c r="I2245">
        <v>95.65</v>
      </c>
      <c r="J2245">
        <v>0</v>
      </c>
      <c r="K2245">
        <v>0</v>
      </c>
      <c r="L2245">
        <v>956.5</v>
      </c>
      <c r="M2245">
        <v>95.65</v>
      </c>
      <c r="O2245" s="79">
        <f>IFERROR(VLOOKUP(D2245,'KAPANAN BLD.'!$C$2:$D$793,2,FALSE),0)</f>
        <v>0</v>
      </c>
      <c r="P2245" s="79">
        <v>0</v>
      </c>
    </row>
    <row r="2246" spans="1:16" x14ac:dyDescent="0.25">
      <c r="A2246" t="s">
        <v>32</v>
      </c>
      <c r="B2246" s="73" t="str">
        <f>VLOOKUP(C2246,'Büyükşehir List'!$C$2:$D$31,2,FALSE)</f>
        <v>MERSİN BÜYÜKŞEHİR</v>
      </c>
      <c r="C2246" t="s">
        <v>122</v>
      </c>
      <c r="D2246" s="73" t="str">
        <f t="shared" si="53"/>
        <v>MERSİN BÜYÜKŞEHİR/MERSİN</v>
      </c>
      <c r="E2246" t="s">
        <v>3822</v>
      </c>
      <c r="F2246" t="s">
        <v>3822</v>
      </c>
      <c r="G2246" t="s">
        <v>3366</v>
      </c>
      <c r="H2246">
        <v>978.8</v>
      </c>
      <c r="I2246">
        <v>97.88</v>
      </c>
      <c r="J2246">
        <v>45.7</v>
      </c>
      <c r="K2246">
        <v>4.57</v>
      </c>
      <c r="L2246">
        <v>933.1</v>
      </c>
      <c r="M2246">
        <v>93.31</v>
      </c>
      <c r="O2246" s="79">
        <f>IFERROR(VLOOKUP(D2246,'KAPANAN BLD.'!$C$2:$D$793,2,FALSE),0)</f>
        <v>0</v>
      </c>
      <c r="P2246" s="79">
        <v>0</v>
      </c>
    </row>
    <row r="2247" spans="1:16" x14ac:dyDescent="0.25">
      <c r="A2247" t="s">
        <v>32</v>
      </c>
      <c r="B2247" s="73" t="str">
        <f>VLOOKUP(C2247,'Büyükşehir List'!$C$2:$D$31,2,FALSE)</f>
        <v>MERSİN BÜYÜKŞEHİR</v>
      </c>
      <c r="C2247" t="s">
        <v>122</v>
      </c>
      <c r="D2247" s="73" t="str">
        <f t="shared" si="53"/>
        <v>MERSİN BÜYÜKŞEHİR/MERSİN</v>
      </c>
      <c r="E2247" t="s">
        <v>3822</v>
      </c>
      <c r="F2247" t="s">
        <v>3822</v>
      </c>
      <c r="G2247" t="s">
        <v>3367</v>
      </c>
      <c r="H2247">
        <v>905.4</v>
      </c>
      <c r="I2247">
        <v>90.54</v>
      </c>
      <c r="J2247">
        <v>157.69999999999999</v>
      </c>
      <c r="K2247">
        <v>15.77</v>
      </c>
      <c r="L2247">
        <v>747.7</v>
      </c>
      <c r="M2247">
        <v>74.77</v>
      </c>
      <c r="O2247" s="79">
        <f>IFERROR(VLOOKUP(D2247,'KAPANAN BLD.'!$C$2:$D$793,2,FALSE),0)</f>
        <v>0</v>
      </c>
      <c r="P2247" s="79">
        <v>0</v>
      </c>
    </row>
    <row r="2248" spans="1:16" x14ac:dyDescent="0.25">
      <c r="A2248" t="s">
        <v>32</v>
      </c>
      <c r="B2248" s="73" t="str">
        <f>VLOOKUP(C2248,'Büyükşehir List'!$C$2:$D$31,2,FALSE)</f>
        <v>MERSİN BÜYÜKŞEHİR</v>
      </c>
      <c r="C2248" t="s">
        <v>122</v>
      </c>
      <c r="D2248" s="73" t="str">
        <f t="shared" si="53"/>
        <v>MERSİN BÜYÜKŞEHİR/MERSİN</v>
      </c>
      <c r="E2248" t="s">
        <v>4311</v>
      </c>
      <c r="F2248" t="s">
        <v>4311</v>
      </c>
      <c r="G2248" t="s">
        <v>3366</v>
      </c>
      <c r="H2248">
        <v>128.4</v>
      </c>
      <c r="I2248">
        <v>12.84</v>
      </c>
      <c r="J2248">
        <v>0</v>
      </c>
      <c r="K2248">
        <v>0</v>
      </c>
      <c r="L2248">
        <v>128.4</v>
      </c>
      <c r="M2248">
        <v>12.84</v>
      </c>
      <c r="O2248" s="79">
        <f>IFERROR(VLOOKUP(D2248,'KAPANAN BLD.'!$C$2:$D$793,2,FALSE),0)</f>
        <v>0</v>
      </c>
      <c r="P2248" s="79">
        <v>0</v>
      </c>
    </row>
    <row r="2249" spans="1:16" x14ac:dyDescent="0.25">
      <c r="A2249" t="s">
        <v>32</v>
      </c>
      <c r="B2249" s="73" t="str">
        <f>VLOOKUP(C2249,'Büyükşehir List'!$C$2:$D$31,2,FALSE)</f>
        <v>MERSİN BÜYÜKŞEHİR</v>
      </c>
      <c r="C2249" t="s">
        <v>122</v>
      </c>
      <c r="D2249" s="73" t="str">
        <f t="shared" si="53"/>
        <v>MERSİN BÜYÜKŞEHİR/MERSİN</v>
      </c>
      <c r="E2249" t="s">
        <v>4311</v>
      </c>
      <c r="F2249" t="s">
        <v>4311</v>
      </c>
      <c r="G2249" t="s">
        <v>3367</v>
      </c>
      <c r="H2249">
        <v>164.1</v>
      </c>
      <c r="I2249">
        <v>16.41</v>
      </c>
      <c r="J2249">
        <v>0</v>
      </c>
      <c r="K2249">
        <v>0</v>
      </c>
      <c r="L2249">
        <v>164.1</v>
      </c>
      <c r="M2249">
        <v>16.41</v>
      </c>
      <c r="O2249" s="79">
        <f>IFERROR(VLOOKUP(D2249,'KAPANAN BLD.'!$C$2:$D$793,2,FALSE),0)</f>
        <v>0</v>
      </c>
      <c r="P2249" s="79">
        <v>0</v>
      </c>
    </row>
    <row r="2250" spans="1:16" x14ac:dyDescent="0.25">
      <c r="A2250" t="s">
        <v>32</v>
      </c>
      <c r="B2250" s="73" t="str">
        <f>VLOOKUP(C2250,'Büyükşehir List'!$C$2:$D$31,2,FALSE)</f>
        <v>MERSİN BÜYÜKŞEHİR</v>
      </c>
      <c r="C2250" t="s">
        <v>122</v>
      </c>
      <c r="D2250" s="73" t="str">
        <f t="shared" si="53"/>
        <v>MERSİN BÜYÜKŞEHİR/MERSİN</v>
      </c>
      <c r="E2250" t="s">
        <v>660</v>
      </c>
      <c r="F2250" t="s">
        <v>660</v>
      </c>
      <c r="G2250" t="s">
        <v>3366</v>
      </c>
      <c r="H2250">
        <v>1192.0899999999999</v>
      </c>
      <c r="I2250">
        <v>119.21</v>
      </c>
      <c r="J2250">
        <v>0</v>
      </c>
      <c r="K2250">
        <v>0</v>
      </c>
      <c r="L2250">
        <v>1192.0899999999999</v>
      </c>
      <c r="M2250">
        <v>119.21</v>
      </c>
      <c r="O2250" s="79">
        <f>IFERROR(VLOOKUP(D2250,'KAPANAN BLD.'!$C$2:$D$793,2,FALSE),0)</f>
        <v>0</v>
      </c>
      <c r="P2250" s="79">
        <v>0</v>
      </c>
    </row>
    <row r="2251" spans="1:16" x14ac:dyDescent="0.25">
      <c r="A2251" t="s">
        <v>32</v>
      </c>
      <c r="B2251" s="73" t="str">
        <f>VLOOKUP(C2251,'Büyükşehir List'!$C$2:$D$31,2,FALSE)</f>
        <v>MERSİN BÜYÜKŞEHİR</v>
      </c>
      <c r="C2251" t="s">
        <v>122</v>
      </c>
      <c r="D2251" s="73" t="str">
        <f t="shared" si="53"/>
        <v>MERSİN BÜYÜKŞEHİR/MERSİN</v>
      </c>
      <c r="E2251" t="s">
        <v>660</v>
      </c>
      <c r="F2251" t="s">
        <v>660</v>
      </c>
      <c r="G2251" t="s">
        <v>3367</v>
      </c>
      <c r="H2251">
        <v>3750.49</v>
      </c>
      <c r="I2251">
        <v>375.05</v>
      </c>
      <c r="J2251">
        <v>0</v>
      </c>
      <c r="K2251">
        <v>0</v>
      </c>
      <c r="L2251">
        <v>3750.49</v>
      </c>
      <c r="M2251">
        <v>375.05</v>
      </c>
      <c r="O2251" s="79">
        <f>IFERROR(VLOOKUP(D2251,'KAPANAN BLD.'!$C$2:$D$793,2,FALSE),0)</f>
        <v>0</v>
      </c>
      <c r="P2251" s="79">
        <v>0</v>
      </c>
    </row>
    <row r="2252" spans="1:16" x14ac:dyDescent="0.25">
      <c r="A2252" t="s">
        <v>32</v>
      </c>
      <c r="B2252" s="73" t="str">
        <f>VLOOKUP(C2252,'Büyükşehir List'!$C$2:$D$31,2,FALSE)</f>
        <v>MERSİN BÜYÜKŞEHİR</v>
      </c>
      <c r="C2252" t="s">
        <v>122</v>
      </c>
      <c r="D2252" s="73" t="str">
        <f t="shared" si="53"/>
        <v>MERSİN BÜYÜKŞEHİR/MERSİN</v>
      </c>
      <c r="E2252" t="s">
        <v>661</v>
      </c>
      <c r="F2252" t="s">
        <v>661</v>
      </c>
      <c r="G2252" t="s">
        <v>3367</v>
      </c>
      <c r="H2252">
        <v>3812.7</v>
      </c>
      <c r="I2252">
        <v>381.27</v>
      </c>
      <c r="J2252">
        <v>25.6</v>
      </c>
      <c r="K2252">
        <v>2.56</v>
      </c>
      <c r="L2252">
        <v>3787.1</v>
      </c>
      <c r="M2252">
        <v>378.71</v>
      </c>
      <c r="O2252" s="79">
        <f>IFERROR(VLOOKUP(D2252,'KAPANAN BLD.'!$C$2:$D$793,2,FALSE),0)</f>
        <v>0</v>
      </c>
      <c r="P2252" s="79">
        <v>0</v>
      </c>
    </row>
    <row r="2253" spans="1:16" x14ac:dyDescent="0.25">
      <c r="A2253" t="s">
        <v>32</v>
      </c>
      <c r="B2253" s="73" t="str">
        <f>VLOOKUP(C2253,'Büyükşehir List'!$C$2:$D$31,2,FALSE)</f>
        <v>MERSİN BÜYÜKŞEHİR</v>
      </c>
      <c r="C2253" t="s">
        <v>122</v>
      </c>
      <c r="D2253" s="73" t="str">
        <f t="shared" si="53"/>
        <v>MERSİN BÜYÜKŞEHİR/MERSİN</v>
      </c>
      <c r="E2253" t="s">
        <v>661</v>
      </c>
      <c r="F2253" t="s">
        <v>661</v>
      </c>
      <c r="G2253" t="s">
        <v>3366</v>
      </c>
      <c r="H2253">
        <v>1938.3</v>
      </c>
      <c r="I2253">
        <v>193.83</v>
      </c>
      <c r="J2253">
        <v>9.6999999999999993</v>
      </c>
      <c r="K2253">
        <v>0.97</v>
      </c>
      <c r="L2253">
        <v>1928.6</v>
      </c>
      <c r="M2253">
        <v>192.86</v>
      </c>
      <c r="O2253" s="79">
        <f>IFERROR(VLOOKUP(D2253,'KAPANAN BLD.'!$C$2:$D$793,2,FALSE),0)</f>
        <v>0</v>
      </c>
      <c r="P2253" s="79">
        <v>0</v>
      </c>
    </row>
    <row r="2254" spans="1:16" x14ac:dyDescent="0.25">
      <c r="A2254" t="s">
        <v>32</v>
      </c>
      <c r="B2254" s="73" t="str">
        <f>VLOOKUP(C2254,'Büyükşehir List'!$C$2:$D$31,2,FALSE)</f>
        <v>MERSİN BÜYÜKŞEHİR</v>
      </c>
      <c r="C2254" t="s">
        <v>122</v>
      </c>
      <c r="D2254" s="73" t="str">
        <f t="shared" si="53"/>
        <v>MERSİN BÜYÜKŞEHİR/MERSİN</v>
      </c>
      <c r="E2254" t="s">
        <v>1880</v>
      </c>
      <c r="F2254" t="s">
        <v>1880</v>
      </c>
      <c r="G2254" t="s">
        <v>3366</v>
      </c>
      <c r="H2254">
        <v>63120.5</v>
      </c>
      <c r="I2254">
        <v>6312.05</v>
      </c>
      <c r="J2254">
        <v>306.39999999999998</v>
      </c>
      <c r="K2254">
        <v>30.64</v>
      </c>
      <c r="L2254">
        <v>62814.1</v>
      </c>
      <c r="M2254">
        <v>6281.41</v>
      </c>
      <c r="O2254" s="79">
        <f>IFERROR(VLOOKUP(D2254,'KAPANAN BLD.'!$C$2:$D$793,2,FALSE),0)</f>
        <v>0</v>
      </c>
      <c r="P2254" s="79">
        <v>0</v>
      </c>
    </row>
    <row r="2255" spans="1:16" x14ac:dyDescent="0.25">
      <c r="A2255" t="s">
        <v>32</v>
      </c>
      <c r="B2255" s="73" t="str">
        <f>VLOOKUP(C2255,'Büyükşehir List'!$C$2:$D$31,2,FALSE)</f>
        <v>MERSİN BÜYÜKŞEHİR</v>
      </c>
      <c r="C2255" t="s">
        <v>122</v>
      </c>
      <c r="D2255" s="73" t="str">
        <f t="shared" si="53"/>
        <v>MERSİN BÜYÜKŞEHİR/MERSİN</v>
      </c>
      <c r="E2255" t="s">
        <v>1880</v>
      </c>
      <c r="F2255" t="s">
        <v>1880</v>
      </c>
      <c r="G2255" t="s">
        <v>3367</v>
      </c>
      <c r="H2255">
        <v>56794.400000000001</v>
      </c>
      <c r="I2255">
        <v>5679.44</v>
      </c>
      <c r="J2255">
        <v>1830.8</v>
      </c>
      <c r="K2255">
        <v>183.08</v>
      </c>
      <c r="L2255">
        <v>54963.6</v>
      </c>
      <c r="M2255">
        <v>5496.36</v>
      </c>
      <c r="O2255" s="79">
        <f>IFERROR(VLOOKUP(D2255,'KAPANAN BLD.'!$C$2:$D$793,2,FALSE),0)</f>
        <v>0</v>
      </c>
      <c r="P2255" s="79">
        <v>0</v>
      </c>
    </row>
    <row r="2256" spans="1:16" x14ac:dyDescent="0.25">
      <c r="A2256" t="s">
        <v>32</v>
      </c>
      <c r="B2256" s="73" t="str">
        <f>VLOOKUP(C2256,'Büyükşehir List'!$C$2:$D$31,2,FALSE)</f>
        <v>MERSİN BÜYÜKŞEHİR</v>
      </c>
      <c r="C2256" t="s">
        <v>122</v>
      </c>
      <c r="D2256" s="73" t="str">
        <f t="shared" si="53"/>
        <v>MERSİN BÜYÜKŞEHİR/MERSİN</v>
      </c>
      <c r="E2256" t="s">
        <v>308</v>
      </c>
      <c r="F2256" t="s">
        <v>308</v>
      </c>
      <c r="G2256" t="s">
        <v>3366</v>
      </c>
      <c r="H2256">
        <v>1992.2</v>
      </c>
      <c r="I2256">
        <v>199.22</v>
      </c>
      <c r="J2256">
        <v>0</v>
      </c>
      <c r="K2256">
        <v>0</v>
      </c>
      <c r="L2256">
        <v>1992.2</v>
      </c>
      <c r="M2256">
        <v>199.22</v>
      </c>
      <c r="O2256" s="79">
        <f>IFERROR(VLOOKUP(D2256,'KAPANAN BLD.'!$C$2:$D$793,2,FALSE),0)</f>
        <v>0</v>
      </c>
      <c r="P2256" s="79">
        <v>0</v>
      </c>
    </row>
    <row r="2257" spans="1:16" x14ac:dyDescent="0.25">
      <c r="A2257" t="s">
        <v>32</v>
      </c>
      <c r="B2257" s="73" t="str">
        <f>VLOOKUP(C2257,'Büyükşehir List'!$C$2:$D$31,2,FALSE)</f>
        <v>MERSİN BÜYÜKŞEHİR</v>
      </c>
      <c r="C2257" t="s">
        <v>122</v>
      </c>
      <c r="D2257" s="73" t="str">
        <f t="shared" si="53"/>
        <v>MERSİN BÜYÜKŞEHİR/MERSİN</v>
      </c>
      <c r="E2257" t="s">
        <v>308</v>
      </c>
      <c r="F2257" t="s">
        <v>308</v>
      </c>
      <c r="G2257" t="s">
        <v>3367</v>
      </c>
      <c r="H2257">
        <v>807.7</v>
      </c>
      <c r="I2257">
        <v>80.77</v>
      </c>
      <c r="J2257">
        <v>0</v>
      </c>
      <c r="K2257">
        <v>0</v>
      </c>
      <c r="L2257">
        <v>807.7</v>
      </c>
      <c r="M2257">
        <v>80.77</v>
      </c>
      <c r="O2257" s="79">
        <f>IFERROR(VLOOKUP(D2257,'KAPANAN BLD.'!$C$2:$D$793,2,FALSE),0)</f>
        <v>0</v>
      </c>
      <c r="P2257" s="79">
        <v>0</v>
      </c>
    </row>
    <row r="2258" spans="1:16" x14ac:dyDescent="0.25">
      <c r="A2258" t="s">
        <v>32</v>
      </c>
      <c r="B2258" s="73" t="str">
        <f>VLOOKUP(C2258,'Büyükşehir List'!$C$2:$D$31,2,FALSE)</f>
        <v>MERSİN BÜYÜKŞEHİR</v>
      </c>
      <c r="C2258" t="s">
        <v>122</v>
      </c>
      <c r="D2258" s="73" t="str">
        <f t="shared" si="53"/>
        <v>MERSİN BÜYÜKŞEHİR/MERSİN</v>
      </c>
      <c r="E2258" t="s">
        <v>3823</v>
      </c>
      <c r="F2258" t="s">
        <v>3823</v>
      </c>
      <c r="G2258" t="s">
        <v>3366</v>
      </c>
      <c r="H2258">
        <v>2038.8</v>
      </c>
      <c r="I2258">
        <v>203.88</v>
      </c>
      <c r="J2258">
        <v>0</v>
      </c>
      <c r="K2258">
        <v>0</v>
      </c>
      <c r="L2258">
        <v>2038.8</v>
      </c>
      <c r="M2258">
        <v>203.88</v>
      </c>
      <c r="O2258" s="79">
        <f>IFERROR(VLOOKUP(D2258,'KAPANAN BLD.'!$C$2:$D$793,2,FALSE),0)</f>
        <v>0</v>
      </c>
      <c r="P2258" s="79">
        <v>0</v>
      </c>
    </row>
    <row r="2259" spans="1:16" x14ac:dyDescent="0.25">
      <c r="A2259" t="s">
        <v>32</v>
      </c>
      <c r="B2259" s="73" t="str">
        <f>VLOOKUP(C2259,'Büyükşehir List'!$C$2:$D$31,2,FALSE)</f>
        <v>MERSİN BÜYÜKŞEHİR</v>
      </c>
      <c r="C2259" t="s">
        <v>122</v>
      </c>
      <c r="D2259" s="73" t="str">
        <f t="shared" si="53"/>
        <v>MERSİN BÜYÜKŞEHİR/MERSİN</v>
      </c>
      <c r="E2259" t="s">
        <v>3823</v>
      </c>
      <c r="F2259" t="s">
        <v>3823</v>
      </c>
      <c r="G2259" t="s">
        <v>3367</v>
      </c>
      <c r="H2259">
        <v>1898.4</v>
      </c>
      <c r="I2259">
        <v>189.84</v>
      </c>
      <c r="J2259">
        <v>0</v>
      </c>
      <c r="K2259">
        <v>0</v>
      </c>
      <c r="L2259">
        <v>1898.4</v>
      </c>
      <c r="M2259">
        <v>189.84</v>
      </c>
      <c r="O2259" s="79">
        <f>IFERROR(VLOOKUP(D2259,'KAPANAN BLD.'!$C$2:$D$793,2,FALSE),0)</f>
        <v>0</v>
      </c>
      <c r="P2259" s="79">
        <v>0</v>
      </c>
    </row>
    <row r="2260" spans="1:16" x14ac:dyDescent="0.25">
      <c r="A2260" t="s">
        <v>32</v>
      </c>
      <c r="B2260" s="73" t="str">
        <f>VLOOKUP(C2260,'Büyükşehir List'!$C$2:$D$31,2,FALSE)</f>
        <v>MERSİN BÜYÜKŞEHİR</v>
      </c>
      <c r="C2260" t="s">
        <v>122</v>
      </c>
      <c r="D2260" s="73" t="str">
        <f t="shared" si="53"/>
        <v>MERSİN BÜYÜKŞEHİR/MERSİN</v>
      </c>
      <c r="E2260" t="s">
        <v>3378</v>
      </c>
      <c r="F2260" t="s">
        <v>3378</v>
      </c>
      <c r="G2260" t="s">
        <v>3367</v>
      </c>
      <c r="H2260">
        <v>1329.7</v>
      </c>
      <c r="I2260">
        <v>132.97</v>
      </c>
      <c r="J2260">
        <v>0</v>
      </c>
      <c r="K2260">
        <v>0</v>
      </c>
      <c r="L2260">
        <v>1329.7</v>
      </c>
      <c r="M2260">
        <v>132.97</v>
      </c>
      <c r="O2260" s="79">
        <f>IFERROR(VLOOKUP(D2260,'KAPANAN BLD.'!$C$2:$D$793,2,FALSE),0)</f>
        <v>0</v>
      </c>
      <c r="P2260" s="79">
        <v>0</v>
      </c>
    </row>
    <row r="2261" spans="1:16" x14ac:dyDescent="0.25">
      <c r="A2261" t="s">
        <v>32</v>
      </c>
      <c r="B2261" s="73" t="str">
        <f>VLOOKUP(C2261,'Büyükşehir List'!$C$2:$D$31,2,FALSE)</f>
        <v>MERSİN BÜYÜKŞEHİR</v>
      </c>
      <c r="C2261" t="s">
        <v>122</v>
      </c>
      <c r="D2261" s="73" t="str">
        <f t="shared" si="53"/>
        <v>MERSİN BÜYÜKŞEHİR/MERSİN</v>
      </c>
      <c r="E2261" t="s">
        <v>3378</v>
      </c>
      <c r="F2261" t="s">
        <v>3378</v>
      </c>
      <c r="G2261" t="s">
        <v>3366</v>
      </c>
      <c r="H2261">
        <v>7149.1</v>
      </c>
      <c r="I2261">
        <v>714.91</v>
      </c>
      <c r="J2261">
        <v>0</v>
      </c>
      <c r="K2261">
        <v>0</v>
      </c>
      <c r="L2261">
        <v>7149.1</v>
      </c>
      <c r="M2261">
        <v>714.91</v>
      </c>
      <c r="O2261" s="79">
        <f>IFERROR(VLOOKUP(D2261,'KAPANAN BLD.'!$C$2:$D$793,2,FALSE),0)</f>
        <v>0</v>
      </c>
      <c r="P2261" s="79">
        <v>0</v>
      </c>
    </row>
    <row r="2262" spans="1:16" x14ac:dyDescent="0.25">
      <c r="A2262" t="s">
        <v>32</v>
      </c>
      <c r="B2262" s="73" t="str">
        <f>VLOOKUP(C2262,'Büyükşehir List'!$C$2:$D$31,2,FALSE)</f>
        <v>MERSİN BÜYÜKŞEHİR</v>
      </c>
      <c r="C2262" t="s">
        <v>122</v>
      </c>
      <c r="D2262" s="73" t="str">
        <f t="shared" si="53"/>
        <v>MERSİN BÜYÜKŞEHİR/MERSİN</v>
      </c>
      <c r="E2262" t="s">
        <v>208</v>
      </c>
      <c r="F2262" t="s">
        <v>208</v>
      </c>
      <c r="G2262" t="s">
        <v>3366</v>
      </c>
      <c r="H2262">
        <v>2063.1999999999998</v>
      </c>
      <c r="I2262">
        <v>206.32</v>
      </c>
      <c r="J2262">
        <v>38.200000000000003</v>
      </c>
      <c r="K2262">
        <v>3.82</v>
      </c>
      <c r="L2262">
        <v>2025</v>
      </c>
      <c r="M2262">
        <v>202.5</v>
      </c>
      <c r="O2262" s="79">
        <f>IFERROR(VLOOKUP(D2262,'KAPANAN BLD.'!$C$2:$D$793,2,FALSE),0)</f>
        <v>0</v>
      </c>
      <c r="P2262" s="79">
        <v>0</v>
      </c>
    </row>
    <row r="2263" spans="1:16" x14ac:dyDescent="0.25">
      <c r="A2263" t="s">
        <v>32</v>
      </c>
      <c r="B2263" s="73" t="str">
        <f>VLOOKUP(C2263,'Büyükşehir List'!$C$2:$D$31,2,FALSE)</f>
        <v>MERSİN BÜYÜKŞEHİR</v>
      </c>
      <c r="C2263" t="s">
        <v>122</v>
      </c>
      <c r="D2263" s="73" t="str">
        <f t="shared" si="53"/>
        <v>MERSİN BÜYÜKŞEHİR/MERSİN</v>
      </c>
      <c r="E2263" t="s">
        <v>208</v>
      </c>
      <c r="F2263" t="s">
        <v>208</v>
      </c>
      <c r="G2263" t="s">
        <v>3367</v>
      </c>
      <c r="H2263">
        <v>1745.3</v>
      </c>
      <c r="I2263">
        <v>174.53</v>
      </c>
      <c r="J2263">
        <v>106.4</v>
      </c>
      <c r="K2263">
        <v>10.64</v>
      </c>
      <c r="L2263">
        <v>1638.9</v>
      </c>
      <c r="M2263">
        <v>163.89</v>
      </c>
      <c r="O2263" s="79">
        <f>IFERROR(VLOOKUP(D2263,'KAPANAN BLD.'!$C$2:$D$793,2,FALSE),0)</f>
        <v>0</v>
      </c>
      <c r="P2263" s="79">
        <v>0</v>
      </c>
    </row>
    <row r="2264" spans="1:16" x14ac:dyDescent="0.25">
      <c r="A2264" t="s">
        <v>32</v>
      </c>
      <c r="B2264" s="73" t="str">
        <f>VLOOKUP(C2264,'Büyükşehir List'!$C$2:$D$31,2,FALSE)</f>
        <v>MERSİN BÜYÜKŞEHİR</v>
      </c>
      <c r="C2264" t="s">
        <v>122</v>
      </c>
      <c r="D2264" s="73" t="str">
        <f t="shared" si="53"/>
        <v>MERSİN BÜYÜKŞEHİR/MERSİN</v>
      </c>
      <c r="E2264" t="s">
        <v>123</v>
      </c>
      <c r="F2264" t="s">
        <v>123</v>
      </c>
      <c r="G2264" t="s">
        <v>3367</v>
      </c>
      <c r="H2264">
        <v>2158.1999999999998</v>
      </c>
      <c r="I2264">
        <v>215.82</v>
      </c>
      <c r="J2264">
        <v>92.7</v>
      </c>
      <c r="K2264">
        <v>9.27</v>
      </c>
      <c r="L2264">
        <v>2065.5</v>
      </c>
      <c r="M2264">
        <v>206.55</v>
      </c>
      <c r="O2264" s="79">
        <f>IFERROR(VLOOKUP(D2264,'KAPANAN BLD.'!$C$2:$D$793,2,FALSE),0)</f>
        <v>0</v>
      </c>
      <c r="P2264" s="79">
        <v>0</v>
      </c>
    </row>
    <row r="2265" spans="1:16" x14ac:dyDescent="0.25">
      <c r="A2265" t="s">
        <v>32</v>
      </c>
      <c r="B2265" s="73" t="str">
        <f>VLOOKUP(C2265,'Büyükşehir List'!$C$2:$D$31,2,FALSE)</f>
        <v>MERSİN BÜYÜKŞEHİR</v>
      </c>
      <c r="C2265" t="s">
        <v>122</v>
      </c>
      <c r="D2265" s="73" t="str">
        <f t="shared" si="53"/>
        <v>MERSİN BÜYÜKŞEHİR/MERSİN</v>
      </c>
      <c r="E2265" t="s">
        <v>123</v>
      </c>
      <c r="F2265" t="s">
        <v>123</v>
      </c>
      <c r="G2265" t="s">
        <v>3366</v>
      </c>
      <c r="H2265">
        <v>2332.1999999999998</v>
      </c>
      <c r="I2265">
        <v>233.22</v>
      </c>
      <c r="J2265">
        <v>0</v>
      </c>
      <c r="K2265">
        <v>0</v>
      </c>
      <c r="L2265">
        <v>2332.1999999999998</v>
      </c>
      <c r="M2265">
        <v>233.22</v>
      </c>
      <c r="O2265" s="79">
        <f>IFERROR(VLOOKUP(D2265,'KAPANAN BLD.'!$C$2:$D$793,2,FALSE),0)</f>
        <v>0</v>
      </c>
      <c r="P2265" s="79">
        <v>0</v>
      </c>
    </row>
    <row r="2266" spans="1:16" x14ac:dyDescent="0.25">
      <c r="A2266" t="s">
        <v>32</v>
      </c>
      <c r="B2266" s="73" t="str">
        <f>VLOOKUP(C2266,'Büyükşehir List'!$C$2:$D$31,2,FALSE)</f>
        <v>MERSİN BÜYÜKŞEHİR</v>
      </c>
      <c r="C2266" t="s">
        <v>122</v>
      </c>
      <c r="D2266" s="73" t="str">
        <f t="shared" si="53"/>
        <v>MERSİN BÜYÜKŞEHİR/MERSİN</v>
      </c>
      <c r="E2266" t="s">
        <v>246</v>
      </c>
      <c r="F2266" t="s">
        <v>246</v>
      </c>
      <c r="G2266" t="s">
        <v>3367</v>
      </c>
      <c r="H2266">
        <v>4839.1000000000004</v>
      </c>
      <c r="I2266">
        <v>483.91</v>
      </c>
      <c r="J2266">
        <v>155.19999999999999</v>
      </c>
      <c r="K2266">
        <v>15.52</v>
      </c>
      <c r="L2266">
        <v>4683.8999999999996</v>
      </c>
      <c r="M2266">
        <v>468.39</v>
      </c>
      <c r="O2266" s="79">
        <f>IFERROR(VLOOKUP(D2266,'KAPANAN BLD.'!$C$2:$D$793,2,FALSE),0)</f>
        <v>0</v>
      </c>
      <c r="P2266" s="79">
        <v>0</v>
      </c>
    </row>
    <row r="2267" spans="1:16" x14ac:dyDescent="0.25">
      <c r="A2267" t="s">
        <v>32</v>
      </c>
      <c r="B2267" s="73" t="str">
        <f>VLOOKUP(C2267,'Büyükşehir List'!$C$2:$D$31,2,FALSE)</f>
        <v>MERSİN BÜYÜKŞEHİR</v>
      </c>
      <c r="C2267" t="s">
        <v>122</v>
      </c>
      <c r="D2267" s="73" t="str">
        <f t="shared" si="53"/>
        <v>MERSİN BÜYÜKŞEHİR/MERSİN</v>
      </c>
      <c r="E2267" t="s">
        <v>246</v>
      </c>
      <c r="F2267" t="s">
        <v>246</v>
      </c>
      <c r="G2267" t="s">
        <v>3366</v>
      </c>
      <c r="H2267">
        <v>11124</v>
      </c>
      <c r="I2267">
        <v>1112.4000000000001</v>
      </c>
      <c r="J2267">
        <v>8444.9</v>
      </c>
      <c r="K2267">
        <v>844.49</v>
      </c>
      <c r="L2267">
        <v>2679.1</v>
      </c>
      <c r="M2267">
        <v>267.91000000000003</v>
      </c>
      <c r="O2267" s="79">
        <f>IFERROR(VLOOKUP(D2267,'KAPANAN BLD.'!$C$2:$D$793,2,FALSE),0)</f>
        <v>0</v>
      </c>
      <c r="P2267" s="79">
        <v>0</v>
      </c>
    </row>
    <row r="2268" spans="1:16" x14ac:dyDescent="0.25">
      <c r="A2268" t="s">
        <v>32</v>
      </c>
      <c r="B2268" s="73" t="str">
        <f>VLOOKUP(C2268,'Büyükşehir List'!$C$2:$D$31,2,FALSE)</f>
        <v>MERSİN BÜYÜKŞEHİR</v>
      </c>
      <c r="C2268" t="s">
        <v>122</v>
      </c>
      <c r="D2268" s="73" t="str">
        <f t="shared" si="53"/>
        <v>MERSİN BÜYÜKŞEHİR/MERSİN</v>
      </c>
      <c r="E2268" t="s">
        <v>3941</v>
      </c>
      <c r="F2268" t="s">
        <v>3941</v>
      </c>
      <c r="G2268" t="s">
        <v>3367</v>
      </c>
      <c r="H2268">
        <v>7.4</v>
      </c>
      <c r="I2268">
        <v>0.74</v>
      </c>
      <c r="J2268">
        <v>0</v>
      </c>
      <c r="K2268">
        <v>0</v>
      </c>
      <c r="L2268">
        <v>7.4</v>
      </c>
      <c r="M2268">
        <v>0.74</v>
      </c>
      <c r="O2268" s="79">
        <f>IFERROR(VLOOKUP(D2268,'KAPANAN BLD.'!$C$2:$D$793,2,FALSE),0)</f>
        <v>0</v>
      </c>
      <c r="P2268" s="79">
        <v>0</v>
      </c>
    </row>
    <row r="2269" spans="1:16" x14ac:dyDescent="0.25">
      <c r="A2269" t="s">
        <v>32</v>
      </c>
      <c r="B2269" s="73" t="str">
        <f>VLOOKUP(C2269,'Büyükşehir List'!$C$2:$D$31,2,FALSE)</f>
        <v>MERSİN BÜYÜKŞEHİR</v>
      </c>
      <c r="C2269" t="s">
        <v>122</v>
      </c>
      <c r="D2269" s="73" t="str">
        <f t="shared" si="53"/>
        <v>MERSİN BÜYÜKŞEHİR/MERSİN</v>
      </c>
      <c r="E2269" t="s">
        <v>3941</v>
      </c>
      <c r="F2269" t="s">
        <v>3941</v>
      </c>
      <c r="G2269" t="s">
        <v>3366</v>
      </c>
      <c r="H2269">
        <v>4.8</v>
      </c>
      <c r="I2269">
        <v>0.48</v>
      </c>
      <c r="J2269">
        <v>0</v>
      </c>
      <c r="K2269">
        <v>0</v>
      </c>
      <c r="L2269">
        <v>4.8</v>
      </c>
      <c r="M2269">
        <v>0.48</v>
      </c>
      <c r="O2269" s="79">
        <f>IFERROR(VLOOKUP(D2269,'KAPANAN BLD.'!$C$2:$D$793,2,FALSE),0)</f>
        <v>0</v>
      </c>
      <c r="P2269" s="79">
        <v>0</v>
      </c>
    </row>
    <row r="2270" spans="1:16" x14ac:dyDescent="0.25">
      <c r="A2270" t="s">
        <v>32</v>
      </c>
      <c r="B2270" s="73" t="str">
        <f>VLOOKUP(C2270,'Büyükşehir List'!$C$2:$D$31,2,FALSE)</f>
        <v>MERSİN BÜYÜKŞEHİR</v>
      </c>
      <c r="C2270" t="s">
        <v>122</v>
      </c>
      <c r="D2270" s="73" t="str">
        <f t="shared" si="53"/>
        <v>MERSİN BÜYÜKŞEHİR/MERSİN</v>
      </c>
      <c r="E2270" t="s">
        <v>4524</v>
      </c>
      <c r="F2270" t="s">
        <v>4524</v>
      </c>
      <c r="G2270" t="s">
        <v>3367</v>
      </c>
      <c r="H2270">
        <v>576.4</v>
      </c>
      <c r="I2270">
        <v>57.64</v>
      </c>
      <c r="J2270">
        <v>88.2</v>
      </c>
      <c r="K2270">
        <v>8.82</v>
      </c>
      <c r="L2270">
        <v>488.2</v>
      </c>
      <c r="M2270">
        <v>48.82</v>
      </c>
      <c r="O2270" s="79">
        <f>IFERROR(VLOOKUP(D2270,'KAPANAN BLD.'!$C$2:$D$793,2,FALSE),0)</f>
        <v>0</v>
      </c>
      <c r="P2270" s="79">
        <v>0</v>
      </c>
    </row>
    <row r="2271" spans="1:16" x14ac:dyDescent="0.25">
      <c r="A2271" t="s">
        <v>32</v>
      </c>
      <c r="B2271" s="73" t="str">
        <f>VLOOKUP(C2271,'Büyükşehir List'!$C$2:$D$31,2,FALSE)</f>
        <v>MERSİN BÜYÜKŞEHİR</v>
      </c>
      <c r="C2271" t="s">
        <v>122</v>
      </c>
      <c r="D2271" s="73" t="str">
        <f t="shared" si="53"/>
        <v>MERSİN BÜYÜKŞEHİR/MERSİN</v>
      </c>
      <c r="E2271" t="s">
        <v>4524</v>
      </c>
      <c r="F2271" t="s">
        <v>4524</v>
      </c>
      <c r="G2271" t="s">
        <v>3366</v>
      </c>
      <c r="H2271">
        <v>816.4</v>
      </c>
      <c r="I2271">
        <v>81.64</v>
      </c>
      <c r="J2271">
        <v>53.9</v>
      </c>
      <c r="K2271">
        <v>5.39</v>
      </c>
      <c r="L2271">
        <v>762.5</v>
      </c>
      <c r="M2271">
        <v>76.25</v>
      </c>
      <c r="O2271" s="79">
        <f>IFERROR(VLOOKUP(D2271,'KAPANAN BLD.'!$C$2:$D$793,2,FALSE),0)</f>
        <v>0</v>
      </c>
      <c r="P2271" s="79">
        <v>0</v>
      </c>
    </row>
    <row r="2272" spans="1:16" x14ac:dyDescent="0.25">
      <c r="A2272" t="s">
        <v>32</v>
      </c>
      <c r="B2272" s="73" t="str">
        <f>VLOOKUP(C2272,'Büyükşehir List'!$C$2:$D$31,2,FALSE)</f>
        <v>MERSİN BÜYÜKŞEHİR</v>
      </c>
      <c r="C2272" t="s">
        <v>122</v>
      </c>
      <c r="D2272" s="73" t="str">
        <f t="shared" si="53"/>
        <v>MERSİN BÜYÜKŞEHİR/MERSİN</v>
      </c>
      <c r="E2272" t="s">
        <v>1880</v>
      </c>
      <c r="F2272" t="s">
        <v>1880</v>
      </c>
      <c r="G2272" t="s">
        <v>3366</v>
      </c>
      <c r="H2272">
        <v>7023.4</v>
      </c>
      <c r="I2272">
        <v>702.34</v>
      </c>
      <c r="J2272">
        <v>936</v>
      </c>
      <c r="K2272">
        <v>93.6</v>
      </c>
      <c r="L2272">
        <v>6087.4</v>
      </c>
      <c r="M2272">
        <v>608.74</v>
      </c>
      <c r="O2272" s="79">
        <f>IFERROR(VLOOKUP(D2272,'KAPANAN BLD.'!$C$2:$D$793,2,FALSE),0)</f>
        <v>0</v>
      </c>
      <c r="P2272" s="79">
        <v>0</v>
      </c>
    </row>
    <row r="2273" spans="1:16" x14ac:dyDescent="0.25">
      <c r="A2273" t="s">
        <v>32</v>
      </c>
      <c r="B2273" s="73" t="str">
        <f>VLOOKUP(C2273,'Büyükşehir List'!$C$2:$D$31,2,FALSE)</f>
        <v>MERSİN BÜYÜKŞEHİR</v>
      </c>
      <c r="C2273" t="s">
        <v>122</v>
      </c>
      <c r="D2273" s="73" t="str">
        <f t="shared" si="53"/>
        <v>MERSİN BÜYÜKŞEHİR/MERSİN</v>
      </c>
      <c r="E2273" t="s">
        <v>1880</v>
      </c>
      <c r="F2273" t="s">
        <v>1880</v>
      </c>
      <c r="G2273" t="s">
        <v>3367</v>
      </c>
      <c r="H2273">
        <v>11559.9</v>
      </c>
      <c r="I2273">
        <v>1155.99</v>
      </c>
      <c r="J2273">
        <v>117.1</v>
      </c>
      <c r="K2273">
        <v>11.71</v>
      </c>
      <c r="L2273">
        <v>11442.8</v>
      </c>
      <c r="M2273">
        <v>1144.28</v>
      </c>
      <c r="O2273" s="79">
        <f>IFERROR(VLOOKUP(D2273,'KAPANAN BLD.'!$C$2:$D$793,2,FALSE),0)</f>
        <v>0</v>
      </c>
      <c r="P2273" s="79">
        <v>0</v>
      </c>
    </row>
    <row r="2274" spans="1:16" x14ac:dyDescent="0.25">
      <c r="A2274" t="s">
        <v>32</v>
      </c>
      <c r="B2274" s="73" t="str">
        <f>VLOOKUP(C2274,'Büyükşehir List'!$C$2:$D$31,2,FALSE)</f>
        <v>MERSİN BÜYÜKŞEHİR</v>
      </c>
      <c r="C2274" t="s">
        <v>122</v>
      </c>
      <c r="D2274" s="73" t="str">
        <f t="shared" si="53"/>
        <v>MERSİN BÜYÜKŞEHİR/MERSİN</v>
      </c>
      <c r="E2274" t="s">
        <v>236</v>
      </c>
      <c r="F2274" t="s">
        <v>236</v>
      </c>
      <c r="G2274" t="s">
        <v>3367</v>
      </c>
      <c r="H2274">
        <v>2302.9</v>
      </c>
      <c r="I2274">
        <v>230.29</v>
      </c>
      <c r="J2274">
        <v>0</v>
      </c>
      <c r="K2274">
        <v>0</v>
      </c>
      <c r="L2274">
        <v>2302.9</v>
      </c>
      <c r="M2274">
        <v>230.29</v>
      </c>
      <c r="O2274" s="79">
        <f>IFERROR(VLOOKUP(D2274,'KAPANAN BLD.'!$C$2:$D$793,2,FALSE),0)</f>
        <v>0</v>
      </c>
      <c r="P2274" s="79">
        <v>0</v>
      </c>
    </row>
    <row r="2275" spans="1:16" x14ac:dyDescent="0.25">
      <c r="A2275" t="s">
        <v>32</v>
      </c>
      <c r="B2275" s="73" t="str">
        <f>VLOOKUP(C2275,'Büyükşehir List'!$C$2:$D$31,2,FALSE)</f>
        <v>MERSİN BÜYÜKŞEHİR</v>
      </c>
      <c r="C2275" t="s">
        <v>122</v>
      </c>
      <c r="D2275" s="73" t="str">
        <f t="shared" si="53"/>
        <v>MERSİN BÜYÜKŞEHİR/MERSİN</v>
      </c>
      <c r="E2275" t="s">
        <v>236</v>
      </c>
      <c r="F2275" t="s">
        <v>236</v>
      </c>
      <c r="G2275" t="s">
        <v>3366</v>
      </c>
      <c r="H2275">
        <v>558.29999999999995</v>
      </c>
      <c r="I2275">
        <v>55.83</v>
      </c>
      <c r="J2275">
        <v>0</v>
      </c>
      <c r="K2275">
        <v>0</v>
      </c>
      <c r="L2275">
        <v>558.29999999999995</v>
      </c>
      <c r="M2275">
        <v>55.83</v>
      </c>
      <c r="O2275" s="79">
        <f>IFERROR(VLOOKUP(D2275,'KAPANAN BLD.'!$C$2:$D$793,2,FALSE),0)</f>
        <v>0</v>
      </c>
      <c r="P2275" s="79">
        <v>0</v>
      </c>
    </row>
    <row r="2276" spans="1:16" x14ac:dyDescent="0.25">
      <c r="A2276" t="s">
        <v>32</v>
      </c>
      <c r="B2276" s="73" t="str">
        <f>VLOOKUP(C2276,'Büyükşehir List'!$C$2:$D$31,2,FALSE)</f>
        <v>MERSİN BÜYÜKŞEHİR</v>
      </c>
      <c r="C2276" t="s">
        <v>122</v>
      </c>
      <c r="D2276" s="73" t="str">
        <f t="shared" si="53"/>
        <v>MERSİN BÜYÜKŞEHİR/MERSİN</v>
      </c>
      <c r="E2276" t="s">
        <v>3824</v>
      </c>
      <c r="F2276" t="s">
        <v>3824</v>
      </c>
      <c r="G2276" t="s">
        <v>3366</v>
      </c>
      <c r="H2276">
        <v>462.4</v>
      </c>
      <c r="I2276">
        <v>46.24</v>
      </c>
      <c r="J2276">
        <v>0</v>
      </c>
      <c r="K2276">
        <v>0</v>
      </c>
      <c r="L2276">
        <v>462.4</v>
      </c>
      <c r="M2276">
        <v>46.24</v>
      </c>
      <c r="O2276" s="79">
        <f>IFERROR(VLOOKUP(D2276,'KAPANAN BLD.'!$C$2:$D$793,2,FALSE),0)</f>
        <v>0</v>
      </c>
      <c r="P2276" s="79">
        <v>0</v>
      </c>
    </row>
    <row r="2277" spans="1:16" x14ac:dyDescent="0.25">
      <c r="A2277" t="s">
        <v>32</v>
      </c>
      <c r="B2277" s="73" t="str">
        <f>VLOOKUP(C2277,'Büyükşehir List'!$C$2:$D$31,2,FALSE)</f>
        <v>MERSİN BÜYÜKŞEHİR</v>
      </c>
      <c r="C2277" t="s">
        <v>122</v>
      </c>
      <c r="D2277" s="73" t="str">
        <f t="shared" si="53"/>
        <v>MERSİN BÜYÜKŞEHİR/MERSİN</v>
      </c>
      <c r="E2277" t="s">
        <v>3824</v>
      </c>
      <c r="F2277" t="s">
        <v>3824</v>
      </c>
      <c r="G2277" t="s">
        <v>3367</v>
      </c>
      <c r="H2277">
        <v>1528.7</v>
      </c>
      <c r="I2277">
        <v>152.87</v>
      </c>
      <c r="J2277">
        <v>0</v>
      </c>
      <c r="K2277">
        <v>0</v>
      </c>
      <c r="L2277">
        <v>1528.7</v>
      </c>
      <c r="M2277">
        <v>152.87</v>
      </c>
      <c r="O2277" s="79">
        <f>IFERROR(VLOOKUP(D2277,'KAPANAN BLD.'!$C$2:$D$793,2,FALSE),0)</f>
        <v>0</v>
      </c>
      <c r="P2277" s="79">
        <v>0</v>
      </c>
    </row>
    <row r="2278" spans="1:16" x14ac:dyDescent="0.25">
      <c r="A2278" t="s">
        <v>32</v>
      </c>
      <c r="B2278" s="73" t="str">
        <f>VLOOKUP(C2278,'Büyükşehir List'!$C$2:$D$31,2,FALSE)</f>
        <v>MERSİN BÜYÜKŞEHİR</v>
      </c>
      <c r="C2278" t="s">
        <v>122</v>
      </c>
      <c r="D2278" s="73" t="str">
        <f t="shared" si="53"/>
        <v>MERSİN BÜYÜKŞEHİR/MERSİN</v>
      </c>
      <c r="E2278" t="s">
        <v>90</v>
      </c>
      <c r="F2278" t="s">
        <v>90</v>
      </c>
      <c r="G2278" t="s">
        <v>3367</v>
      </c>
      <c r="H2278">
        <v>5071.8999999999996</v>
      </c>
      <c r="I2278">
        <v>507.19</v>
      </c>
      <c r="J2278">
        <v>0.3</v>
      </c>
      <c r="K2278">
        <v>0.03</v>
      </c>
      <c r="L2278">
        <v>5071.6000000000004</v>
      </c>
      <c r="M2278">
        <v>507.16</v>
      </c>
      <c r="O2278" s="79">
        <f>IFERROR(VLOOKUP(D2278,'KAPANAN BLD.'!$C$2:$D$793,2,FALSE),0)</f>
        <v>0</v>
      </c>
      <c r="P2278" s="79">
        <v>0</v>
      </c>
    </row>
    <row r="2279" spans="1:16" x14ac:dyDescent="0.25">
      <c r="A2279" t="s">
        <v>32</v>
      </c>
      <c r="B2279" s="73" t="str">
        <f>VLOOKUP(C2279,'Büyükşehir List'!$C$2:$D$31,2,FALSE)</f>
        <v>MERSİN BÜYÜKŞEHİR</v>
      </c>
      <c r="C2279" t="s">
        <v>122</v>
      </c>
      <c r="D2279" s="73" t="str">
        <f t="shared" si="53"/>
        <v>MERSİN BÜYÜKŞEHİR/MERSİN</v>
      </c>
      <c r="E2279" t="s">
        <v>90</v>
      </c>
      <c r="F2279" t="s">
        <v>90</v>
      </c>
      <c r="G2279" t="s">
        <v>3366</v>
      </c>
      <c r="H2279">
        <v>6201.6</v>
      </c>
      <c r="I2279">
        <v>620.16</v>
      </c>
      <c r="J2279">
        <v>3.7</v>
      </c>
      <c r="K2279">
        <v>0.37</v>
      </c>
      <c r="L2279">
        <v>6197.9</v>
      </c>
      <c r="M2279">
        <v>619.79</v>
      </c>
      <c r="O2279" s="79">
        <f>IFERROR(VLOOKUP(D2279,'KAPANAN BLD.'!$C$2:$D$793,2,FALSE),0)</f>
        <v>0</v>
      </c>
      <c r="P2279" s="79">
        <v>0</v>
      </c>
    </row>
    <row r="2280" spans="1:16" x14ac:dyDescent="0.25">
      <c r="A2280" t="s">
        <v>32</v>
      </c>
      <c r="B2280" s="73" t="str">
        <f>VLOOKUP(C2280,'Büyükşehir List'!$C$2:$D$31,2,FALSE)</f>
        <v>MERSİN BÜYÜKŞEHİR</v>
      </c>
      <c r="C2280" t="s">
        <v>122</v>
      </c>
      <c r="D2280" s="73" t="str">
        <f t="shared" si="53"/>
        <v>MERSİN BÜYÜKŞEHİR/MERSİN</v>
      </c>
      <c r="E2280" t="s">
        <v>1880</v>
      </c>
      <c r="F2280" t="s">
        <v>1880</v>
      </c>
      <c r="G2280" t="s">
        <v>3366</v>
      </c>
      <c r="H2280">
        <v>64775.1</v>
      </c>
      <c r="I2280">
        <v>6477.51</v>
      </c>
      <c r="J2280">
        <v>911.1</v>
      </c>
      <c r="K2280">
        <v>91.11</v>
      </c>
      <c r="L2280">
        <v>63864</v>
      </c>
      <c r="M2280">
        <v>6386.4</v>
      </c>
      <c r="O2280" s="79">
        <f>IFERROR(VLOOKUP(D2280,'KAPANAN BLD.'!$C$2:$D$793,2,FALSE),0)</f>
        <v>0</v>
      </c>
      <c r="P2280" s="79">
        <v>0</v>
      </c>
    </row>
    <row r="2281" spans="1:16" x14ac:dyDescent="0.25">
      <c r="A2281" t="s">
        <v>32</v>
      </c>
      <c r="B2281" s="73" t="str">
        <f>VLOOKUP(C2281,'Büyükşehir List'!$C$2:$D$31,2,FALSE)</f>
        <v>MERSİN BÜYÜKŞEHİR</v>
      </c>
      <c r="C2281" t="s">
        <v>122</v>
      </c>
      <c r="D2281" s="73" t="str">
        <f t="shared" si="53"/>
        <v>MERSİN BÜYÜKŞEHİR/MERSİN</v>
      </c>
      <c r="E2281" t="s">
        <v>1880</v>
      </c>
      <c r="F2281" t="s">
        <v>1880</v>
      </c>
      <c r="G2281" t="s">
        <v>3367</v>
      </c>
      <c r="H2281">
        <v>52731.8</v>
      </c>
      <c r="I2281">
        <v>5273.18</v>
      </c>
      <c r="J2281">
        <v>1286.5</v>
      </c>
      <c r="K2281">
        <v>128.65</v>
      </c>
      <c r="L2281">
        <v>51445.3</v>
      </c>
      <c r="M2281">
        <v>5144.53</v>
      </c>
      <c r="O2281" s="79">
        <f>IFERROR(VLOOKUP(D2281,'KAPANAN BLD.'!$C$2:$D$793,2,FALSE),0)</f>
        <v>0</v>
      </c>
      <c r="P2281" s="79">
        <v>0</v>
      </c>
    </row>
    <row r="2282" spans="1:16" x14ac:dyDescent="0.25">
      <c r="A2282" t="s">
        <v>32</v>
      </c>
      <c r="B2282" s="73" t="str">
        <f>VLOOKUP(C2282,'Büyükşehir List'!$C$2:$D$31,2,FALSE)</f>
        <v>MERSİN BÜYÜKŞEHİR</v>
      </c>
      <c r="C2282" t="s">
        <v>122</v>
      </c>
      <c r="D2282" s="73" t="str">
        <f t="shared" si="53"/>
        <v>MERSİN BÜYÜKŞEHİR/MERSİN</v>
      </c>
      <c r="E2282" t="s">
        <v>3825</v>
      </c>
      <c r="F2282" t="s">
        <v>3825</v>
      </c>
      <c r="G2282" t="s">
        <v>3367</v>
      </c>
      <c r="H2282">
        <v>400.2</v>
      </c>
      <c r="I2282">
        <v>40.020000000000003</v>
      </c>
      <c r="J2282">
        <v>0</v>
      </c>
      <c r="K2282">
        <v>0</v>
      </c>
      <c r="L2282">
        <v>400.2</v>
      </c>
      <c r="M2282">
        <v>40.020000000000003</v>
      </c>
      <c r="O2282" s="79">
        <f>IFERROR(VLOOKUP(D2282,'KAPANAN BLD.'!$C$2:$D$793,2,FALSE),0)</f>
        <v>0</v>
      </c>
      <c r="P2282" s="79">
        <v>0</v>
      </c>
    </row>
    <row r="2283" spans="1:16" x14ac:dyDescent="0.25">
      <c r="A2283" t="s">
        <v>32</v>
      </c>
      <c r="B2283" s="73" t="str">
        <f>VLOOKUP(C2283,'Büyükşehir List'!$C$2:$D$31,2,FALSE)</f>
        <v>MERSİN BÜYÜKŞEHİR</v>
      </c>
      <c r="C2283" t="s">
        <v>122</v>
      </c>
      <c r="D2283" s="73" t="str">
        <f t="shared" si="53"/>
        <v>MERSİN BÜYÜKŞEHİR/MERSİN</v>
      </c>
      <c r="E2283" t="s">
        <v>3825</v>
      </c>
      <c r="F2283" t="s">
        <v>3825</v>
      </c>
      <c r="G2283" t="s">
        <v>3366</v>
      </c>
      <c r="H2283">
        <v>766.1</v>
      </c>
      <c r="I2283">
        <v>76.61</v>
      </c>
      <c r="J2283">
        <v>0</v>
      </c>
      <c r="K2283">
        <v>0</v>
      </c>
      <c r="L2283">
        <v>766.1</v>
      </c>
      <c r="M2283">
        <v>76.61</v>
      </c>
      <c r="O2283" s="79">
        <f>IFERROR(VLOOKUP(D2283,'KAPANAN BLD.'!$C$2:$D$793,2,FALSE),0)</f>
        <v>0</v>
      </c>
      <c r="P2283" s="79">
        <v>0</v>
      </c>
    </row>
    <row r="2284" spans="1:16" x14ac:dyDescent="0.25">
      <c r="A2284" t="s">
        <v>32</v>
      </c>
      <c r="B2284" s="73" t="str">
        <f>VLOOKUP(C2284,'Büyükşehir List'!$C$2:$D$31,2,FALSE)</f>
        <v>MERSİN BÜYÜKŞEHİR</v>
      </c>
      <c r="C2284" t="s">
        <v>122</v>
      </c>
      <c r="D2284" s="73" t="str">
        <f t="shared" si="53"/>
        <v>MERSİN BÜYÜKŞEHİR/MERSİN</v>
      </c>
      <c r="E2284" t="s">
        <v>3099</v>
      </c>
      <c r="F2284" t="s">
        <v>3099</v>
      </c>
      <c r="G2284" t="s">
        <v>3367</v>
      </c>
      <c r="H2284">
        <v>734.2</v>
      </c>
      <c r="I2284">
        <v>73.42</v>
      </c>
      <c r="J2284">
        <v>0</v>
      </c>
      <c r="K2284">
        <v>0</v>
      </c>
      <c r="L2284">
        <v>734.2</v>
      </c>
      <c r="M2284">
        <v>73.42</v>
      </c>
      <c r="O2284" s="79">
        <f>IFERROR(VLOOKUP(D2284,'KAPANAN BLD.'!$C$2:$D$793,2,FALSE),0)</f>
        <v>0</v>
      </c>
      <c r="P2284" s="79">
        <v>0</v>
      </c>
    </row>
    <row r="2285" spans="1:16" x14ac:dyDescent="0.25">
      <c r="A2285" t="s">
        <v>32</v>
      </c>
      <c r="B2285" s="73" t="str">
        <f>VLOOKUP(C2285,'Büyükşehir List'!$C$2:$D$31,2,FALSE)</f>
        <v>MERSİN BÜYÜKŞEHİR</v>
      </c>
      <c r="C2285" t="s">
        <v>122</v>
      </c>
      <c r="D2285" s="73" t="str">
        <f t="shared" si="53"/>
        <v>MERSİN BÜYÜKŞEHİR/MERSİN</v>
      </c>
      <c r="E2285" t="s">
        <v>3099</v>
      </c>
      <c r="F2285" t="s">
        <v>3099</v>
      </c>
      <c r="G2285" t="s">
        <v>3366</v>
      </c>
      <c r="H2285">
        <v>1320.1</v>
      </c>
      <c r="I2285">
        <v>132.01</v>
      </c>
      <c r="J2285">
        <v>0</v>
      </c>
      <c r="K2285">
        <v>0</v>
      </c>
      <c r="L2285">
        <v>1320.1</v>
      </c>
      <c r="M2285">
        <v>132.01</v>
      </c>
      <c r="O2285" s="79">
        <f>IFERROR(VLOOKUP(D2285,'KAPANAN BLD.'!$C$2:$D$793,2,FALSE),0)</f>
        <v>0</v>
      </c>
      <c r="P2285" s="79">
        <v>0</v>
      </c>
    </row>
    <row r="2286" spans="1:16" x14ac:dyDescent="0.25">
      <c r="A2286" t="s">
        <v>32</v>
      </c>
      <c r="B2286" s="73" t="str">
        <f>VLOOKUP(C2286,'Büyükşehir List'!$C$2:$D$31,2,FALSE)</f>
        <v>MERSİN BÜYÜKŞEHİR</v>
      </c>
      <c r="C2286" t="s">
        <v>122</v>
      </c>
      <c r="D2286" s="73" t="str">
        <f t="shared" si="53"/>
        <v>MERSİN BÜYÜKŞEHİR/MERSİN</v>
      </c>
      <c r="E2286" t="s">
        <v>4398</v>
      </c>
      <c r="F2286" t="s">
        <v>4398</v>
      </c>
      <c r="G2286" t="s">
        <v>3366</v>
      </c>
      <c r="H2286">
        <v>309.89999999999998</v>
      </c>
      <c r="I2286">
        <v>30.99</v>
      </c>
      <c r="J2286">
        <v>0</v>
      </c>
      <c r="K2286">
        <v>0</v>
      </c>
      <c r="L2286">
        <v>309.89999999999998</v>
      </c>
      <c r="M2286">
        <v>30.99</v>
      </c>
      <c r="O2286" s="79">
        <f>IFERROR(VLOOKUP(D2286,'KAPANAN BLD.'!$C$2:$D$793,2,FALSE),0)</f>
        <v>0</v>
      </c>
      <c r="P2286" s="79">
        <v>0</v>
      </c>
    </row>
    <row r="2287" spans="1:16" x14ac:dyDescent="0.25">
      <c r="A2287" t="s">
        <v>32</v>
      </c>
      <c r="B2287" s="73" t="str">
        <f>VLOOKUP(C2287,'Büyükşehir List'!$C$2:$D$31,2,FALSE)</f>
        <v>MERSİN BÜYÜKŞEHİR</v>
      </c>
      <c r="C2287" t="s">
        <v>122</v>
      </c>
      <c r="D2287" s="73" t="str">
        <f t="shared" si="53"/>
        <v>MERSİN BÜYÜKŞEHİR/MERSİN</v>
      </c>
      <c r="E2287" t="s">
        <v>4398</v>
      </c>
      <c r="F2287" t="s">
        <v>4398</v>
      </c>
      <c r="G2287" t="s">
        <v>3367</v>
      </c>
      <c r="H2287">
        <v>526.6</v>
      </c>
      <c r="I2287">
        <v>52.66</v>
      </c>
      <c r="J2287">
        <v>0</v>
      </c>
      <c r="K2287">
        <v>0</v>
      </c>
      <c r="L2287">
        <v>526.6</v>
      </c>
      <c r="M2287">
        <v>52.66</v>
      </c>
      <c r="O2287" s="79">
        <f>IFERROR(VLOOKUP(D2287,'KAPANAN BLD.'!$C$2:$D$793,2,FALSE),0)</f>
        <v>0</v>
      </c>
      <c r="P2287" s="79">
        <v>0</v>
      </c>
    </row>
    <row r="2288" spans="1:16" x14ac:dyDescent="0.25">
      <c r="A2288" t="s">
        <v>32</v>
      </c>
      <c r="B2288" s="73" t="str">
        <f>VLOOKUP(C2288,'Büyükşehir List'!$C$2:$D$31,2,FALSE)</f>
        <v>MUĞLA BÜYÜKŞEHİR</v>
      </c>
      <c r="C2288" t="s">
        <v>124</v>
      </c>
      <c r="D2288" s="73" t="str">
        <f t="shared" si="53"/>
        <v>MUĞLA BÜYÜKŞEHİR/MUĞLA</v>
      </c>
      <c r="E2288" t="s">
        <v>269</v>
      </c>
      <c r="F2288" t="s">
        <v>269</v>
      </c>
      <c r="G2288" t="s">
        <v>3366</v>
      </c>
      <c r="H2288">
        <v>3.6</v>
      </c>
      <c r="I2288">
        <v>0.36</v>
      </c>
      <c r="J2288">
        <v>0</v>
      </c>
      <c r="K2288">
        <v>0</v>
      </c>
      <c r="L2288">
        <v>3.6</v>
      </c>
      <c r="M2288">
        <v>0.36</v>
      </c>
      <c r="O2288" s="79">
        <f>IFERROR(VLOOKUP(D2288,'KAPANAN BLD.'!$C$2:$D$793,2,FALSE),0)</f>
        <v>0</v>
      </c>
      <c r="P2288" s="79">
        <v>0</v>
      </c>
    </row>
    <row r="2289" spans="1:16" x14ac:dyDescent="0.25">
      <c r="A2289" t="s">
        <v>32</v>
      </c>
      <c r="B2289" s="73" t="str">
        <f>VLOOKUP(C2289,'Büyükşehir List'!$C$2:$D$31,2,FALSE)</f>
        <v>MUĞLA BÜYÜKŞEHİR</v>
      </c>
      <c r="C2289" t="s">
        <v>124</v>
      </c>
      <c r="D2289" s="73" t="str">
        <f t="shared" si="53"/>
        <v>MUĞLA BÜYÜKŞEHİR/MUĞLA</v>
      </c>
      <c r="E2289" t="s">
        <v>269</v>
      </c>
      <c r="F2289" t="s">
        <v>269</v>
      </c>
      <c r="G2289" t="s">
        <v>3367</v>
      </c>
      <c r="H2289">
        <v>723.7</v>
      </c>
      <c r="I2289">
        <v>72.37</v>
      </c>
      <c r="J2289">
        <v>0</v>
      </c>
      <c r="K2289">
        <v>0</v>
      </c>
      <c r="L2289">
        <v>723.7</v>
      </c>
      <c r="M2289">
        <v>72.37</v>
      </c>
      <c r="O2289" s="79">
        <f>IFERROR(VLOOKUP(D2289,'KAPANAN BLD.'!$C$2:$D$793,2,FALSE),0)</f>
        <v>0</v>
      </c>
      <c r="P2289" s="79">
        <v>0</v>
      </c>
    </row>
    <row r="2290" spans="1:16" x14ac:dyDescent="0.25">
      <c r="A2290" t="s">
        <v>32</v>
      </c>
      <c r="B2290" s="73" t="str">
        <f>VLOOKUP(C2290,'Büyükşehir List'!$C$2:$D$31,2,FALSE)</f>
        <v>MUĞLA BÜYÜKŞEHİR</v>
      </c>
      <c r="C2290" t="s">
        <v>124</v>
      </c>
      <c r="D2290" s="73" t="str">
        <f t="shared" si="53"/>
        <v>MUĞLA BÜYÜKŞEHİR/MUĞLA</v>
      </c>
      <c r="E2290" t="s">
        <v>159</v>
      </c>
      <c r="F2290" t="s">
        <v>159</v>
      </c>
      <c r="G2290" t="s">
        <v>3367</v>
      </c>
      <c r="H2290">
        <v>2589.1999999999998</v>
      </c>
      <c r="I2290">
        <v>258.92</v>
      </c>
      <c r="J2290">
        <v>515.70000000000005</v>
      </c>
      <c r="K2290">
        <v>51.57</v>
      </c>
      <c r="L2290">
        <v>2073.5</v>
      </c>
      <c r="M2290">
        <v>207.35</v>
      </c>
      <c r="O2290" s="79">
        <f>IFERROR(VLOOKUP(D2290,'KAPANAN BLD.'!$C$2:$D$793,2,FALSE),0)</f>
        <v>0</v>
      </c>
      <c r="P2290" s="79">
        <v>0</v>
      </c>
    </row>
    <row r="2291" spans="1:16" x14ac:dyDescent="0.25">
      <c r="A2291" t="s">
        <v>32</v>
      </c>
      <c r="B2291" s="73" t="str">
        <f>VLOOKUP(C2291,'Büyükşehir List'!$C$2:$D$31,2,FALSE)</f>
        <v>MUĞLA BÜYÜKŞEHİR</v>
      </c>
      <c r="C2291" t="s">
        <v>124</v>
      </c>
      <c r="D2291" s="73" t="str">
        <f t="shared" si="53"/>
        <v>MUĞLA BÜYÜKŞEHİR/MUĞLA</v>
      </c>
      <c r="E2291" t="s">
        <v>159</v>
      </c>
      <c r="F2291" t="s">
        <v>159</v>
      </c>
      <c r="G2291" t="s">
        <v>3366</v>
      </c>
      <c r="H2291">
        <v>4288.3</v>
      </c>
      <c r="I2291">
        <v>428.83</v>
      </c>
      <c r="J2291">
        <v>704.6</v>
      </c>
      <c r="K2291">
        <v>70.459999999999994</v>
      </c>
      <c r="L2291">
        <v>3583.7</v>
      </c>
      <c r="M2291">
        <v>358.37</v>
      </c>
      <c r="O2291" s="79">
        <f>IFERROR(VLOOKUP(D2291,'KAPANAN BLD.'!$C$2:$D$793,2,FALSE),0)</f>
        <v>0</v>
      </c>
      <c r="P2291" s="79">
        <v>0</v>
      </c>
    </row>
    <row r="2292" spans="1:16" x14ac:dyDescent="0.25">
      <c r="A2292" t="s">
        <v>32</v>
      </c>
      <c r="B2292" s="73" t="str">
        <f>VLOOKUP(C2292,'Büyükşehir List'!$C$2:$D$31,2,FALSE)</f>
        <v>MUĞLA BÜYÜKŞEHİR</v>
      </c>
      <c r="C2292" t="s">
        <v>124</v>
      </c>
      <c r="D2292" s="73" t="str">
        <f t="shared" si="53"/>
        <v>MUĞLA BÜYÜKŞEHİR/MUĞLA</v>
      </c>
      <c r="E2292" t="s">
        <v>3826</v>
      </c>
      <c r="F2292" t="s">
        <v>3826</v>
      </c>
      <c r="G2292" t="s">
        <v>3366</v>
      </c>
      <c r="H2292">
        <v>6161.6</v>
      </c>
      <c r="I2292">
        <v>616.16</v>
      </c>
      <c r="J2292">
        <v>1643.4</v>
      </c>
      <c r="K2292">
        <v>164.34</v>
      </c>
      <c r="L2292">
        <v>4518.2</v>
      </c>
      <c r="M2292">
        <v>451.82</v>
      </c>
      <c r="O2292" s="79">
        <f>IFERROR(VLOOKUP(D2292,'KAPANAN BLD.'!$C$2:$D$793,2,FALSE),0)</f>
        <v>0</v>
      </c>
      <c r="P2292" s="79">
        <v>0</v>
      </c>
    </row>
    <row r="2293" spans="1:16" x14ac:dyDescent="0.25">
      <c r="A2293" t="s">
        <v>32</v>
      </c>
      <c r="B2293" s="73" t="str">
        <f>VLOOKUP(C2293,'Büyükşehir List'!$C$2:$D$31,2,FALSE)</f>
        <v>MUĞLA BÜYÜKŞEHİR</v>
      </c>
      <c r="C2293" t="s">
        <v>124</v>
      </c>
      <c r="D2293" s="73" t="str">
        <f t="shared" si="53"/>
        <v>MUĞLA BÜYÜKŞEHİR/MUĞLA</v>
      </c>
      <c r="E2293" t="s">
        <v>3826</v>
      </c>
      <c r="F2293" t="s">
        <v>3826</v>
      </c>
      <c r="G2293" t="s">
        <v>3367</v>
      </c>
      <c r="H2293">
        <v>3510.1</v>
      </c>
      <c r="I2293">
        <v>351.01</v>
      </c>
      <c r="J2293">
        <v>381.4</v>
      </c>
      <c r="K2293">
        <v>38.14</v>
      </c>
      <c r="L2293">
        <v>3128.7</v>
      </c>
      <c r="M2293">
        <v>312.87</v>
      </c>
      <c r="O2293" s="79">
        <f>IFERROR(VLOOKUP(D2293,'KAPANAN BLD.'!$C$2:$D$793,2,FALSE),0)</f>
        <v>0</v>
      </c>
      <c r="P2293" s="79">
        <v>0</v>
      </c>
    </row>
    <row r="2294" spans="1:16" x14ac:dyDescent="0.25">
      <c r="A2294" t="s">
        <v>32</v>
      </c>
      <c r="B2294" s="73" t="str">
        <f>VLOOKUP(C2294,'Büyükşehir List'!$C$2:$D$31,2,FALSE)</f>
        <v>MUĞLA BÜYÜKŞEHİR</v>
      </c>
      <c r="C2294" t="s">
        <v>124</v>
      </c>
      <c r="D2294" s="73" t="str">
        <f t="shared" si="53"/>
        <v>MUĞLA BÜYÜKŞEHİR/MUĞLA</v>
      </c>
      <c r="E2294" t="s">
        <v>3827</v>
      </c>
      <c r="F2294" t="s">
        <v>3827</v>
      </c>
      <c r="G2294" t="s">
        <v>3367</v>
      </c>
      <c r="H2294">
        <v>4106.5</v>
      </c>
      <c r="I2294">
        <v>410.65</v>
      </c>
      <c r="J2294">
        <v>0</v>
      </c>
      <c r="K2294">
        <v>0</v>
      </c>
      <c r="L2294">
        <v>4106.5</v>
      </c>
      <c r="M2294">
        <v>410.65</v>
      </c>
      <c r="O2294" s="79">
        <f>IFERROR(VLOOKUP(D2294,'KAPANAN BLD.'!$C$2:$D$793,2,FALSE),0)</f>
        <v>0</v>
      </c>
      <c r="P2294" s="79">
        <v>0</v>
      </c>
    </row>
    <row r="2295" spans="1:16" x14ac:dyDescent="0.25">
      <c r="A2295" t="s">
        <v>32</v>
      </c>
      <c r="B2295" s="73" t="str">
        <f>VLOOKUP(C2295,'Büyükşehir List'!$C$2:$D$31,2,FALSE)</f>
        <v>MUĞLA BÜYÜKŞEHİR</v>
      </c>
      <c r="C2295" t="s">
        <v>124</v>
      </c>
      <c r="D2295" s="73" t="str">
        <f t="shared" si="53"/>
        <v>MUĞLA BÜYÜKŞEHİR/MUĞLA</v>
      </c>
      <c r="E2295" t="s">
        <v>3827</v>
      </c>
      <c r="F2295" t="s">
        <v>3827</v>
      </c>
      <c r="G2295" t="s">
        <v>3366</v>
      </c>
      <c r="H2295">
        <v>4864.45</v>
      </c>
      <c r="I2295">
        <v>486.45</v>
      </c>
      <c r="J2295">
        <v>0</v>
      </c>
      <c r="K2295">
        <v>0</v>
      </c>
      <c r="L2295">
        <v>4864.45</v>
      </c>
      <c r="M2295">
        <v>486.45</v>
      </c>
      <c r="O2295" s="79">
        <f>IFERROR(VLOOKUP(D2295,'KAPANAN BLD.'!$C$2:$D$793,2,FALSE),0)</f>
        <v>0</v>
      </c>
      <c r="P2295" s="79">
        <v>0</v>
      </c>
    </row>
    <row r="2296" spans="1:16" x14ac:dyDescent="0.25">
      <c r="A2296" t="s">
        <v>32</v>
      </c>
      <c r="B2296" s="73" t="str">
        <f>VLOOKUP(C2296,'Büyükşehir List'!$C$2:$D$31,2,FALSE)</f>
        <v>MUĞLA BÜYÜKŞEHİR</v>
      </c>
      <c r="C2296" t="s">
        <v>124</v>
      </c>
      <c r="D2296" s="73" t="str">
        <f t="shared" si="53"/>
        <v>MUĞLA BÜYÜKŞEHİR/MUĞLA</v>
      </c>
      <c r="E2296" t="s">
        <v>98</v>
      </c>
      <c r="F2296" t="s">
        <v>98</v>
      </c>
      <c r="G2296" t="s">
        <v>3367</v>
      </c>
      <c r="H2296">
        <v>22737</v>
      </c>
      <c r="I2296">
        <v>2273.6999999999998</v>
      </c>
      <c r="J2296">
        <v>0</v>
      </c>
      <c r="K2296">
        <v>0</v>
      </c>
      <c r="L2296">
        <v>22737</v>
      </c>
      <c r="M2296">
        <v>2273.6999999999998</v>
      </c>
      <c r="O2296" s="79">
        <f>IFERROR(VLOOKUP(D2296,'KAPANAN BLD.'!$C$2:$D$793,2,FALSE),0)</f>
        <v>0</v>
      </c>
      <c r="P2296" s="79">
        <v>0</v>
      </c>
    </row>
    <row r="2297" spans="1:16" x14ac:dyDescent="0.25">
      <c r="A2297" t="s">
        <v>32</v>
      </c>
      <c r="B2297" s="73" t="str">
        <f>VLOOKUP(C2297,'Büyükşehir List'!$C$2:$D$31,2,FALSE)</f>
        <v>MUĞLA BÜYÜKŞEHİR</v>
      </c>
      <c r="C2297" t="s">
        <v>124</v>
      </c>
      <c r="D2297" s="73" t="str">
        <f t="shared" si="53"/>
        <v>MUĞLA BÜYÜKŞEHİR/MUĞLA</v>
      </c>
      <c r="E2297" t="s">
        <v>98</v>
      </c>
      <c r="F2297" t="s">
        <v>98</v>
      </c>
      <c r="G2297" t="s">
        <v>3366</v>
      </c>
      <c r="H2297">
        <v>5612.1</v>
      </c>
      <c r="I2297">
        <v>561.21</v>
      </c>
      <c r="J2297">
        <v>0</v>
      </c>
      <c r="K2297">
        <v>0</v>
      </c>
      <c r="L2297">
        <v>5612.1</v>
      </c>
      <c r="M2297">
        <v>561.21</v>
      </c>
      <c r="O2297" s="79">
        <f>IFERROR(VLOOKUP(D2297,'KAPANAN BLD.'!$C$2:$D$793,2,FALSE),0)</f>
        <v>0</v>
      </c>
      <c r="P2297" s="79">
        <v>0</v>
      </c>
    </row>
    <row r="2298" spans="1:16" x14ac:dyDescent="0.25">
      <c r="A2298" t="s">
        <v>32</v>
      </c>
      <c r="B2298" s="73" t="str">
        <f>VLOOKUP(C2298,'Büyükşehir List'!$C$2:$D$31,2,FALSE)</f>
        <v>MUĞLA BÜYÜKŞEHİR</v>
      </c>
      <c r="C2298" t="s">
        <v>124</v>
      </c>
      <c r="D2298" s="73" t="str">
        <f t="shared" si="53"/>
        <v>MUĞLA BÜYÜKŞEHİR/MUĞLA</v>
      </c>
      <c r="E2298" t="s">
        <v>4051</v>
      </c>
      <c r="F2298" t="s">
        <v>4051</v>
      </c>
      <c r="G2298" t="s">
        <v>3367</v>
      </c>
      <c r="H2298">
        <v>65</v>
      </c>
      <c r="I2298">
        <v>6.5</v>
      </c>
      <c r="J2298">
        <v>0</v>
      </c>
      <c r="K2298">
        <v>0</v>
      </c>
      <c r="L2298">
        <v>65</v>
      </c>
      <c r="M2298">
        <v>6.5</v>
      </c>
      <c r="O2298" s="79">
        <f>IFERROR(VLOOKUP(D2298,'KAPANAN BLD.'!$C$2:$D$793,2,FALSE),0)</f>
        <v>0</v>
      </c>
      <c r="P2298" s="79">
        <v>0</v>
      </c>
    </row>
    <row r="2299" spans="1:16" x14ac:dyDescent="0.25">
      <c r="A2299" t="s">
        <v>32</v>
      </c>
      <c r="B2299" s="73" t="str">
        <f>VLOOKUP(C2299,'Büyükşehir List'!$C$2:$D$31,2,FALSE)</f>
        <v>MUĞLA BÜYÜKŞEHİR</v>
      </c>
      <c r="C2299" t="s">
        <v>124</v>
      </c>
      <c r="D2299" s="73" t="str">
        <f t="shared" si="53"/>
        <v>MUĞLA BÜYÜKŞEHİR/MUĞLA</v>
      </c>
      <c r="E2299" t="s">
        <v>4051</v>
      </c>
      <c r="F2299" t="s">
        <v>4051</v>
      </c>
      <c r="G2299" t="s">
        <v>3366</v>
      </c>
      <c r="H2299">
        <v>309.89999999999998</v>
      </c>
      <c r="I2299">
        <v>30.99</v>
      </c>
      <c r="J2299">
        <v>0</v>
      </c>
      <c r="K2299">
        <v>0</v>
      </c>
      <c r="L2299">
        <v>309.89999999999998</v>
      </c>
      <c r="M2299">
        <v>30.99</v>
      </c>
      <c r="O2299" s="79">
        <f>IFERROR(VLOOKUP(D2299,'KAPANAN BLD.'!$C$2:$D$793,2,FALSE),0)</f>
        <v>0</v>
      </c>
      <c r="P2299" s="79">
        <v>0</v>
      </c>
    </row>
    <row r="2300" spans="1:16" x14ac:dyDescent="0.25">
      <c r="A2300" t="s">
        <v>32</v>
      </c>
      <c r="B2300" s="73" t="str">
        <f>VLOOKUP(C2300,'Büyükşehir List'!$C$2:$D$31,2,FALSE)</f>
        <v>MUĞLA BÜYÜKŞEHİR</v>
      </c>
      <c r="C2300" t="s">
        <v>124</v>
      </c>
      <c r="D2300" s="73" t="str">
        <f t="shared" si="53"/>
        <v>MUĞLA BÜYÜKŞEHİR/MUĞLA</v>
      </c>
      <c r="E2300" t="s">
        <v>3894</v>
      </c>
      <c r="F2300" t="s">
        <v>3894</v>
      </c>
      <c r="G2300" t="s">
        <v>3366</v>
      </c>
      <c r="H2300">
        <v>3171.8</v>
      </c>
      <c r="I2300">
        <v>317.18</v>
      </c>
      <c r="J2300">
        <v>0</v>
      </c>
      <c r="K2300">
        <v>0</v>
      </c>
      <c r="L2300">
        <v>3171.8</v>
      </c>
      <c r="M2300">
        <v>317.18</v>
      </c>
      <c r="O2300" s="79">
        <f>IFERROR(VLOOKUP(D2300,'KAPANAN BLD.'!$C$2:$D$793,2,FALSE),0)</f>
        <v>0</v>
      </c>
      <c r="P2300" s="79">
        <v>0</v>
      </c>
    </row>
    <row r="2301" spans="1:16" x14ac:dyDescent="0.25">
      <c r="A2301" t="s">
        <v>32</v>
      </c>
      <c r="B2301" s="73" t="str">
        <f>VLOOKUP(C2301,'Büyükşehir List'!$C$2:$D$31,2,FALSE)</f>
        <v>MUĞLA BÜYÜKŞEHİR</v>
      </c>
      <c r="C2301" t="s">
        <v>124</v>
      </c>
      <c r="D2301" s="73" t="str">
        <f t="shared" si="53"/>
        <v>MUĞLA BÜYÜKŞEHİR/MUĞLA</v>
      </c>
      <c r="E2301" t="s">
        <v>3894</v>
      </c>
      <c r="F2301" t="s">
        <v>3894</v>
      </c>
      <c r="G2301" t="s">
        <v>3367</v>
      </c>
      <c r="H2301">
        <v>1739.9</v>
      </c>
      <c r="I2301">
        <v>173.99</v>
      </c>
      <c r="J2301">
        <v>0</v>
      </c>
      <c r="K2301">
        <v>0</v>
      </c>
      <c r="L2301">
        <v>1739.9</v>
      </c>
      <c r="M2301">
        <v>173.99</v>
      </c>
      <c r="O2301" s="79">
        <f>IFERROR(VLOOKUP(D2301,'KAPANAN BLD.'!$C$2:$D$793,2,FALSE),0)</f>
        <v>0</v>
      </c>
      <c r="P2301" s="79">
        <v>0</v>
      </c>
    </row>
    <row r="2302" spans="1:16" x14ac:dyDescent="0.25">
      <c r="A2302" t="s">
        <v>32</v>
      </c>
      <c r="B2302" s="73" t="str">
        <f>VLOOKUP(C2302,'Büyükşehir List'!$C$2:$D$31,2,FALSE)</f>
        <v>MUĞLA BÜYÜKŞEHİR</v>
      </c>
      <c r="C2302" t="s">
        <v>124</v>
      </c>
      <c r="D2302" s="73" t="str">
        <f t="shared" si="53"/>
        <v>MUĞLA BÜYÜKŞEHİR/MUĞLA</v>
      </c>
      <c r="E2302" t="s">
        <v>213</v>
      </c>
      <c r="F2302" t="s">
        <v>213</v>
      </c>
      <c r="G2302" t="s">
        <v>3366</v>
      </c>
      <c r="H2302">
        <v>5603.18</v>
      </c>
      <c r="I2302">
        <v>560.29999999999995</v>
      </c>
      <c r="J2302">
        <v>93.1</v>
      </c>
      <c r="K2302">
        <v>9.31</v>
      </c>
      <c r="L2302">
        <v>5510.08</v>
      </c>
      <c r="M2302">
        <v>550.99</v>
      </c>
      <c r="O2302" s="79">
        <f>IFERROR(VLOOKUP(D2302,'KAPANAN BLD.'!$C$2:$D$793,2,FALSE),0)</f>
        <v>0</v>
      </c>
      <c r="P2302" s="79">
        <v>0</v>
      </c>
    </row>
    <row r="2303" spans="1:16" x14ac:dyDescent="0.25">
      <c r="A2303" t="s">
        <v>32</v>
      </c>
      <c r="B2303" s="73" t="str">
        <f>VLOOKUP(C2303,'Büyükşehir List'!$C$2:$D$31,2,FALSE)</f>
        <v>MUĞLA BÜYÜKŞEHİR</v>
      </c>
      <c r="C2303" t="s">
        <v>124</v>
      </c>
      <c r="D2303" s="73" t="str">
        <f t="shared" si="53"/>
        <v>MUĞLA BÜYÜKŞEHİR/MUĞLA</v>
      </c>
      <c r="E2303" t="s">
        <v>213</v>
      </c>
      <c r="F2303" t="s">
        <v>213</v>
      </c>
      <c r="G2303" t="s">
        <v>3367</v>
      </c>
      <c r="H2303">
        <v>14679.33</v>
      </c>
      <c r="I2303">
        <v>1467.94</v>
      </c>
      <c r="J2303">
        <v>199.2</v>
      </c>
      <c r="K2303">
        <v>19.920000000000002</v>
      </c>
      <c r="L2303">
        <v>14480.13</v>
      </c>
      <c r="M2303">
        <v>1448.02</v>
      </c>
      <c r="O2303" s="79">
        <f>IFERROR(VLOOKUP(D2303,'KAPANAN BLD.'!$C$2:$D$793,2,FALSE),0)</f>
        <v>0</v>
      </c>
      <c r="P2303" s="79">
        <v>0</v>
      </c>
    </row>
    <row r="2304" spans="1:16" x14ac:dyDescent="0.25">
      <c r="A2304" t="s">
        <v>32</v>
      </c>
      <c r="B2304" s="73" t="str">
        <f>VLOOKUP(C2304,'Büyükşehir List'!$C$2:$D$31,2,FALSE)</f>
        <v>MUĞLA BÜYÜKŞEHİR</v>
      </c>
      <c r="C2304" t="s">
        <v>124</v>
      </c>
      <c r="D2304" s="73" t="str">
        <f t="shared" si="53"/>
        <v>MUĞLA BÜYÜKŞEHİR/MUĞLA</v>
      </c>
      <c r="E2304" t="s">
        <v>125</v>
      </c>
      <c r="F2304" t="s">
        <v>125</v>
      </c>
      <c r="G2304" t="s">
        <v>3366</v>
      </c>
      <c r="H2304">
        <v>94593.62</v>
      </c>
      <c r="I2304">
        <v>9459.3700000000008</v>
      </c>
      <c r="J2304">
        <v>258.35000000000002</v>
      </c>
      <c r="K2304">
        <v>25.83</v>
      </c>
      <c r="L2304">
        <v>94335.27</v>
      </c>
      <c r="M2304">
        <v>9433.5400000000009</v>
      </c>
      <c r="O2304" s="79">
        <f>IFERROR(VLOOKUP(D2304,'KAPANAN BLD.'!$C$2:$D$793,2,FALSE),0)</f>
        <v>0</v>
      </c>
      <c r="P2304" s="79">
        <v>0</v>
      </c>
    </row>
    <row r="2305" spans="1:16" x14ac:dyDescent="0.25">
      <c r="A2305" t="s">
        <v>32</v>
      </c>
      <c r="B2305" s="73" t="str">
        <f>VLOOKUP(C2305,'Büyükşehir List'!$C$2:$D$31,2,FALSE)</f>
        <v>MUĞLA BÜYÜKŞEHİR</v>
      </c>
      <c r="C2305" t="s">
        <v>124</v>
      </c>
      <c r="D2305" s="73" t="str">
        <f t="shared" si="53"/>
        <v>MUĞLA BÜYÜKŞEHİR/MUĞLA</v>
      </c>
      <c r="E2305" t="s">
        <v>125</v>
      </c>
      <c r="F2305" t="s">
        <v>125</v>
      </c>
      <c r="G2305" t="s">
        <v>3367</v>
      </c>
      <c r="H2305">
        <v>233454.91</v>
      </c>
      <c r="I2305">
        <v>23345.49</v>
      </c>
      <c r="J2305">
        <v>284.02999999999997</v>
      </c>
      <c r="K2305">
        <v>28.4</v>
      </c>
      <c r="L2305">
        <v>233170.88</v>
      </c>
      <c r="M2305">
        <v>23317.09</v>
      </c>
      <c r="O2305" s="79">
        <f>IFERROR(VLOOKUP(D2305,'KAPANAN BLD.'!$C$2:$D$793,2,FALSE),0)</f>
        <v>0</v>
      </c>
      <c r="P2305" s="79">
        <v>0</v>
      </c>
    </row>
    <row r="2306" spans="1:16" x14ac:dyDescent="0.25">
      <c r="A2306" t="s">
        <v>32</v>
      </c>
      <c r="B2306" s="73" t="str">
        <f>VLOOKUP(C2306,'Büyükşehir List'!$C$2:$D$31,2,FALSE)</f>
        <v>MUĞLA BÜYÜKŞEHİR</v>
      </c>
      <c r="C2306" t="s">
        <v>124</v>
      </c>
      <c r="D2306" s="73" t="str">
        <f t="shared" si="53"/>
        <v>MUĞLA BÜYÜKŞEHİR/MUĞLA</v>
      </c>
      <c r="E2306" t="s">
        <v>3974</v>
      </c>
      <c r="F2306" t="s">
        <v>3974</v>
      </c>
      <c r="G2306" t="s">
        <v>3367</v>
      </c>
      <c r="H2306">
        <v>6.4</v>
      </c>
      <c r="I2306">
        <v>0.64</v>
      </c>
      <c r="J2306">
        <v>0</v>
      </c>
      <c r="K2306">
        <v>0</v>
      </c>
      <c r="L2306">
        <v>6.4</v>
      </c>
      <c r="M2306">
        <v>0.64</v>
      </c>
      <c r="O2306" s="79">
        <f>IFERROR(VLOOKUP(D2306,'KAPANAN BLD.'!$C$2:$D$793,2,FALSE),0)</f>
        <v>0</v>
      </c>
      <c r="P2306" s="79">
        <v>0</v>
      </c>
    </row>
    <row r="2307" spans="1:16" x14ac:dyDescent="0.25">
      <c r="A2307" t="s">
        <v>32</v>
      </c>
      <c r="B2307" s="73" t="str">
        <f>VLOOKUP(C2307,'Büyükşehir List'!$C$2:$D$31,2,FALSE)</f>
        <v>MUĞLA BÜYÜKŞEHİR</v>
      </c>
      <c r="C2307" t="s">
        <v>124</v>
      </c>
      <c r="D2307" s="73" t="str">
        <f t="shared" ref="D2307:D2370" si="54">CONCATENATE(B2307,"/",C2307)</f>
        <v>MUĞLA BÜYÜKŞEHİR/MUĞLA</v>
      </c>
      <c r="E2307" t="s">
        <v>3828</v>
      </c>
      <c r="F2307" t="s">
        <v>3828</v>
      </c>
      <c r="G2307" t="s">
        <v>3366</v>
      </c>
      <c r="H2307">
        <v>6428</v>
      </c>
      <c r="I2307">
        <v>642.79999999999995</v>
      </c>
      <c r="J2307">
        <v>0</v>
      </c>
      <c r="K2307">
        <v>0</v>
      </c>
      <c r="L2307">
        <v>6428</v>
      </c>
      <c r="M2307">
        <v>642.79999999999995</v>
      </c>
      <c r="O2307" s="79">
        <f>IFERROR(VLOOKUP(D2307,'KAPANAN BLD.'!$C$2:$D$793,2,FALSE),0)</f>
        <v>0</v>
      </c>
      <c r="P2307" s="79">
        <v>0</v>
      </c>
    </row>
    <row r="2308" spans="1:16" x14ac:dyDescent="0.25">
      <c r="A2308" t="s">
        <v>32</v>
      </c>
      <c r="B2308" s="73" t="str">
        <f>VLOOKUP(C2308,'Büyükşehir List'!$C$2:$D$31,2,FALSE)</f>
        <v>MUĞLA BÜYÜKŞEHİR</v>
      </c>
      <c r="C2308" t="s">
        <v>124</v>
      </c>
      <c r="D2308" s="73" t="str">
        <f t="shared" si="54"/>
        <v>MUĞLA BÜYÜKŞEHİR/MUĞLA</v>
      </c>
      <c r="E2308" t="s">
        <v>3828</v>
      </c>
      <c r="F2308" t="s">
        <v>3828</v>
      </c>
      <c r="G2308" t="s">
        <v>3367</v>
      </c>
      <c r="H2308">
        <v>5294.5</v>
      </c>
      <c r="I2308">
        <v>529.45000000000005</v>
      </c>
      <c r="J2308">
        <v>0</v>
      </c>
      <c r="K2308">
        <v>0</v>
      </c>
      <c r="L2308">
        <v>5294.5</v>
      </c>
      <c r="M2308">
        <v>529.45000000000005</v>
      </c>
      <c r="O2308" s="79">
        <f>IFERROR(VLOOKUP(D2308,'KAPANAN BLD.'!$C$2:$D$793,2,FALSE),0)</f>
        <v>0</v>
      </c>
      <c r="P2308" s="79">
        <v>0</v>
      </c>
    </row>
    <row r="2309" spans="1:16" x14ac:dyDescent="0.25">
      <c r="A2309" t="s">
        <v>32</v>
      </c>
      <c r="B2309" s="73" t="str">
        <f>VLOOKUP(C2309,'Büyükşehir List'!$C$2:$D$31,2,FALSE)</f>
        <v>MUĞLA BÜYÜKŞEHİR</v>
      </c>
      <c r="C2309" t="s">
        <v>124</v>
      </c>
      <c r="D2309" s="73" t="str">
        <f t="shared" si="54"/>
        <v>MUĞLA BÜYÜKŞEHİR/MUĞLA</v>
      </c>
      <c r="E2309" t="s">
        <v>167</v>
      </c>
      <c r="F2309" t="s">
        <v>167</v>
      </c>
      <c r="G2309" t="s">
        <v>3367</v>
      </c>
      <c r="H2309">
        <v>855.2</v>
      </c>
      <c r="I2309">
        <v>85.52</v>
      </c>
      <c r="J2309">
        <v>8.6999999999999993</v>
      </c>
      <c r="K2309">
        <v>0.87</v>
      </c>
      <c r="L2309">
        <v>846.5</v>
      </c>
      <c r="M2309">
        <v>84.65</v>
      </c>
      <c r="O2309" s="79">
        <f>IFERROR(VLOOKUP(D2309,'KAPANAN BLD.'!$C$2:$D$793,2,FALSE),0)</f>
        <v>0</v>
      </c>
      <c r="P2309" s="79">
        <v>0</v>
      </c>
    </row>
    <row r="2310" spans="1:16" x14ac:dyDescent="0.25">
      <c r="A2310" t="s">
        <v>32</v>
      </c>
      <c r="B2310" s="73" t="str">
        <f>VLOOKUP(C2310,'Büyükşehir List'!$C$2:$D$31,2,FALSE)</f>
        <v>MUĞLA BÜYÜKŞEHİR</v>
      </c>
      <c r="C2310" t="s">
        <v>124</v>
      </c>
      <c r="D2310" s="73" t="str">
        <f t="shared" si="54"/>
        <v>MUĞLA BÜYÜKŞEHİR/MUĞLA</v>
      </c>
      <c r="E2310" t="s">
        <v>3829</v>
      </c>
      <c r="F2310" t="s">
        <v>3829</v>
      </c>
      <c r="G2310" t="s">
        <v>3366</v>
      </c>
      <c r="H2310">
        <v>2570.9</v>
      </c>
      <c r="I2310">
        <v>257.08999999999997</v>
      </c>
      <c r="J2310">
        <v>0</v>
      </c>
      <c r="K2310">
        <v>0</v>
      </c>
      <c r="L2310">
        <v>2570.9</v>
      </c>
      <c r="M2310">
        <v>257.08999999999997</v>
      </c>
      <c r="O2310" s="79">
        <f>IFERROR(VLOOKUP(D2310,'KAPANAN BLD.'!$C$2:$D$793,2,FALSE),0)</f>
        <v>0</v>
      </c>
      <c r="P2310" s="79">
        <v>0</v>
      </c>
    </row>
    <row r="2311" spans="1:16" x14ac:dyDescent="0.25">
      <c r="A2311" t="s">
        <v>32</v>
      </c>
      <c r="B2311" s="73" t="str">
        <f>VLOOKUP(C2311,'Büyükşehir List'!$C$2:$D$31,2,FALSE)</f>
        <v>MUĞLA BÜYÜKŞEHİR</v>
      </c>
      <c r="C2311" t="s">
        <v>124</v>
      </c>
      <c r="D2311" s="73" t="str">
        <f t="shared" si="54"/>
        <v>MUĞLA BÜYÜKŞEHİR/MUĞLA</v>
      </c>
      <c r="E2311" t="s">
        <v>3829</v>
      </c>
      <c r="F2311" t="s">
        <v>3829</v>
      </c>
      <c r="G2311" t="s">
        <v>3367</v>
      </c>
      <c r="H2311">
        <v>3909.9</v>
      </c>
      <c r="I2311">
        <v>390.99</v>
      </c>
      <c r="J2311">
        <v>0</v>
      </c>
      <c r="K2311">
        <v>0</v>
      </c>
      <c r="L2311">
        <v>3909.9</v>
      </c>
      <c r="M2311">
        <v>390.99</v>
      </c>
      <c r="O2311" s="79">
        <f>IFERROR(VLOOKUP(D2311,'KAPANAN BLD.'!$C$2:$D$793,2,FALSE),0)</f>
        <v>0</v>
      </c>
      <c r="P2311" s="79">
        <v>0</v>
      </c>
    </row>
    <row r="2312" spans="1:16" x14ac:dyDescent="0.25">
      <c r="A2312" t="s">
        <v>32</v>
      </c>
      <c r="B2312" s="73" t="str">
        <f>VLOOKUP(C2312,'Büyükşehir List'!$C$2:$D$31,2,FALSE)</f>
        <v>MUĞLA BÜYÜKŞEHİR</v>
      </c>
      <c r="C2312" t="s">
        <v>124</v>
      </c>
      <c r="D2312" s="73" t="str">
        <f t="shared" si="54"/>
        <v>MUĞLA BÜYÜKŞEHİR/MUĞLA</v>
      </c>
      <c r="E2312" t="s">
        <v>3011</v>
      </c>
      <c r="F2312" t="s">
        <v>3011</v>
      </c>
      <c r="G2312" t="s">
        <v>3367</v>
      </c>
      <c r="H2312">
        <v>7707.1</v>
      </c>
      <c r="I2312">
        <v>770.71</v>
      </c>
      <c r="J2312">
        <v>97.3</v>
      </c>
      <c r="K2312">
        <v>9.73</v>
      </c>
      <c r="L2312">
        <v>7609.8</v>
      </c>
      <c r="M2312">
        <v>760.98</v>
      </c>
      <c r="O2312" s="79">
        <f>IFERROR(VLOOKUP(D2312,'KAPANAN BLD.'!$C$2:$D$793,2,FALSE),0)</f>
        <v>0</v>
      </c>
      <c r="P2312" s="79">
        <v>0</v>
      </c>
    </row>
    <row r="2313" spans="1:16" x14ac:dyDescent="0.25">
      <c r="A2313" t="s">
        <v>32</v>
      </c>
      <c r="B2313" s="73" t="str">
        <f>VLOOKUP(C2313,'Büyükşehir List'!$C$2:$D$31,2,FALSE)</f>
        <v>MUĞLA BÜYÜKŞEHİR</v>
      </c>
      <c r="C2313" t="s">
        <v>124</v>
      </c>
      <c r="D2313" s="73" t="str">
        <f t="shared" si="54"/>
        <v>MUĞLA BÜYÜKŞEHİR/MUĞLA</v>
      </c>
      <c r="E2313" t="s">
        <v>4525</v>
      </c>
      <c r="F2313" t="s">
        <v>4525</v>
      </c>
      <c r="G2313" t="s">
        <v>3367</v>
      </c>
      <c r="H2313">
        <v>6292.1</v>
      </c>
      <c r="I2313">
        <v>629.21</v>
      </c>
      <c r="J2313">
        <v>96.3</v>
      </c>
      <c r="K2313">
        <v>9.6300000000000008</v>
      </c>
      <c r="L2313">
        <v>6195.8</v>
      </c>
      <c r="M2313">
        <v>619.58000000000004</v>
      </c>
      <c r="O2313" s="79">
        <f>IFERROR(VLOOKUP(D2313,'KAPANAN BLD.'!$C$2:$D$793,2,FALSE),0)</f>
        <v>0</v>
      </c>
      <c r="P2313" s="79">
        <v>0</v>
      </c>
    </row>
    <row r="2314" spans="1:16" x14ac:dyDescent="0.25">
      <c r="A2314" t="s">
        <v>32</v>
      </c>
      <c r="B2314" s="73" t="str">
        <f>VLOOKUP(C2314,'Büyükşehir List'!$C$2:$D$31,2,FALSE)</f>
        <v>MUĞLA BÜYÜKŞEHİR</v>
      </c>
      <c r="C2314" t="s">
        <v>124</v>
      </c>
      <c r="D2314" s="73" t="str">
        <f t="shared" si="54"/>
        <v>MUĞLA BÜYÜKŞEHİR/MUĞLA</v>
      </c>
      <c r="E2314" t="s">
        <v>3830</v>
      </c>
      <c r="F2314" t="s">
        <v>3830</v>
      </c>
      <c r="G2314" t="s">
        <v>3366</v>
      </c>
      <c r="H2314">
        <v>3057.4</v>
      </c>
      <c r="I2314">
        <v>305.74</v>
      </c>
      <c r="J2314">
        <v>0</v>
      </c>
      <c r="K2314">
        <v>0</v>
      </c>
      <c r="L2314">
        <v>3057.4</v>
      </c>
      <c r="M2314">
        <v>305.74</v>
      </c>
      <c r="O2314" s="79">
        <f>IFERROR(VLOOKUP(D2314,'KAPANAN BLD.'!$C$2:$D$793,2,FALSE),0)</f>
        <v>0</v>
      </c>
      <c r="P2314" s="79">
        <v>0</v>
      </c>
    </row>
    <row r="2315" spans="1:16" x14ac:dyDescent="0.25">
      <c r="A2315" t="s">
        <v>32</v>
      </c>
      <c r="B2315" s="73" t="str">
        <f>VLOOKUP(C2315,'Büyükşehir List'!$C$2:$D$31,2,FALSE)</f>
        <v>MUĞLA BÜYÜKŞEHİR</v>
      </c>
      <c r="C2315" t="s">
        <v>124</v>
      </c>
      <c r="D2315" s="73" t="str">
        <f t="shared" si="54"/>
        <v>MUĞLA BÜYÜKŞEHİR/MUĞLA</v>
      </c>
      <c r="E2315" t="s">
        <v>3830</v>
      </c>
      <c r="F2315" t="s">
        <v>3830</v>
      </c>
      <c r="G2315" t="s">
        <v>3367</v>
      </c>
      <c r="H2315">
        <v>3513.3</v>
      </c>
      <c r="I2315">
        <v>351.33</v>
      </c>
      <c r="J2315">
        <v>123.6</v>
      </c>
      <c r="K2315">
        <v>12.36</v>
      </c>
      <c r="L2315">
        <v>3389.7</v>
      </c>
      <c r="M2315">
        <v>338.97</v>
      </c>
      <c r="O2315" s="79">
        <f>IFERROR(VLOOKUP(D2315,'KAPANAN BLD.'!$C$2:$D$793,2,FALSE),0)</f>
        <v>0</v>
      </c>
      <c r="P2315" s="79">
        <v>0</v>
      </c>
    </row>
    <row r="2316" spans="1:16" x14ac:dyDescent="0.25">
      <c r="A2316" t="s">
        <v>32</v>
      </c>
      <c r="B2316" s="73" t="str">
        <f>VLOOKUP(C2316,'Büyükşehir List'!$C$2:$D$31,2,FALSE)</f>
        <v>MUĞLA BÜYÜKŞEHİR</v>
      </c>
      <c r="C2316" t="s">
        <v>124</v>
      </c>
      <c r="D2316" s="73" t="str">
        <f t="shared" si="54"/>
        <v>MUĞLA BÜYÜKŞEHİR/MUĞLA</v>
      </c>
      <c r="E2316" t="s">
        <v>216</v>
      </c>
      <c r="F2316" t="s">
        <v>216</v>
      </c>
      <c r="G2316" t="s">
        <v>3366</v>
      </c>
      <c r="H2316">
        <v>4693.43</v>
      </c>
      <c r="I2316">
        <v>469.34</v>
      </c>
      <c r="J2316">
        <v>155.80000000000001</v>
      </c>
      <c r="K2316">
        <v>15.58</v>
      </c>
      <c r="L2316">
        <v>4537.63</v>
      </c>
      <c r="M2316">
        <v>453.76</v>
      </c>
      <c r="O2316" s="79">
        <f>IFERROR(VLOOKUP(D2316,'KAPANAN BLD.'!$C$2:$D$793,2,FALSE),0)</f>
        <v>0</v>
      </c>
      <c r="P2316" s="79">
        <v>0</v>
      </c>
    </row>
    <row r="2317" spans="1:16" x14ac:dyDescent="0.25">
      <c r="A2317" t="s">
        <v>32</v>
      </c>
      <c r="B2317" s="73" t="str">
        <f>VLOOKUP(C2317,'Büyükşehir List'!$C$2:$D$31,2,FALSE)</f>
        <v>MUĞLA BÜYÜKŞEHİR</v>
      </c>
      <c r="C2317" t="s">
        <v>124</v>
      </c>
      <c r="D2317" s="73" t="str">
        <f t="shared" si="54"/>
        <v>MUĞLA BÜYÜKŞEHİR/MUĞLA</v>
      </c>
      <c r="E2317" t="s">
        <v>216</v>
      </c>
      <c r="F2317" t="s">
        <v>216</v>
      </c>
      <c r="G2317" t="s">
        <v>3367</v>
      </c>
      <c r="H2317">
        <v>5188.8900000000003</v>
      </c>
      <c r="I2317">
        <v>518.89</v>
      </c>
      <c r="J2317">
        <v>700.3</v>
      </c>
      <c r="K2317">
        <v>70.03</v>
      </c>
      <c r="L2317">
        <v>4488.59</v>
      </c>
      <c r="M2317">
        <v>448.86</v>
      </c>
      <c r="O2317" s="79">
        <f>IFERROR(VLOOKUP(D2317,'KAPANAN BLD.'!$C$2:$D$793,2,FALSE),0)</f>
        <v>0</v>
      </c>
      <c r="P2317" s="79">
        <v>0</v>
      </c>
    </row>
    <row r="2318" spans="1:16" x14ac:dyDescent="0.25">
      <c r="A2318" t="s">
        <v>32</v>
      </c>
      <c r="B2318" s="73" t="str">
        <f>VLOOKUP(C2318,'Büyükşehir List'!$C$2:$D$31,2,FALSE)</f>
        <v>MUĞLA BÜYÜKŞEHİR</v>
      </c>
      <c r="C2318" t="s">
        <v>124</v>
      </c>
      <c r="D2318" s="73" t="str">
        <f t="shared" si="54"/>
        <v>MUĞLA BÜYÜKŞEHİR/MUĞLA</v>
      </c>
      <c r="E2318" t="s">
        <v>209</v>
      </c>
      <c r="F2318" t="s">
        <v>209</v>
      </c>
      <c r="G2318" t="s">
        <v>3367</v>
      </c>
      <c r="H2318">
        <v>2211.9899999999998</v>
      </c>
      <c r="I2318">
        <v>221.2</v>
      </c>
      <c r="J2318">
        <v>0</v>
      </c>
      <c r="K2318">
        <v>0</v>
      </c>
      <c r="L2318">
        <v>2211.9899999999998</v>
      </c>
      <c r="M2318">
        <v>221.2</v>
      </c>
      <c r="O2318" s="79">
        <f>IFERROR(VLOOKUP(D2318,'KAPANAN BLD.'!$C$2:$D$793,2,FALSE),0)</f>
        <v>0</v>
      </c>
      <c r="P2318" s="79">
        <v>0</v>
      </c>
    </row>
    <row r="2319" spans="1:16" x14ac:dyDescent="0.25">
      <c r="A2319" t="s">
        <v>32</v>
      </c>
      <c r="B2319" s="73" t="str">
        <f>VLOOKUP(C2319,'Büyükşehir List'!$C$2:$D$31,2,FALSE)</f>
        <v>MUĞLA BÜYÜKŞEHİR</v>
      </c>
      <c r="C2319" t="s">
        <v>124</v>
      </c>
      <c r="D2319" s="73" t="str">
        <f t="shared" si="54"/>
        <v>MUĞLA BÜYÜKŞEHİR/MUĞLA</v>
      </c>
      <c r="E2319" t="s">
        <v>209</v>
      </c>
      <c r="F2319" t="s">
        <v>209</v>
      </c>
      <c r="G2319" t="s">
        <v>3366</v>
      </c>
      <c r="H2319">
        <v>2571.34</v>
      </c>
      <c r="I2319">
        <v>257.13</v>
      </c>
      <c r="J2319">
        <v>0</v>
      </c>
      <c r="K2319">
        <v>0</v>
      </c>
      <c r="L2319">
        <v>2571.34</v>
      </c>
      <c r="M2319">
        <v>257.13</v>
      </c>
      <c r="O2319" s="79">
        <f>IFERROR(VLOOKUP(D2319,'KAPANAN BLD.'!$C$2:$D$793,2,FALSE),0)</f>
        <v>0</v>
      </c>
      <c r="P2319" s="79">
        <v>0</v>
      </c>
    </row>
    <row r="2320" spans="1:16" x14ac:dyDescent="0.25">
      <c r="A2320" t="s">
        <v>32</v>
      </c>
      <c r="B2320" s="73" t="str">
        <f>VLOOKUP(C2320,'Büyükşehir List'!$C$2:$D$31,2,FALSE)</f>
        <v>MUĞLA BÜYÜKŞEHİR</v>
      </c>
      <c r="C2320" t="s">
        <v>124</v>
      </c>
      <c r="D2320" s="73" t="str">
        <f t="shared" si="54"/>
        <v>MUĞLA BÜYÜKŞEHİR/MUĞLA</v>
      </c>
      <c r="E2320" t="s">
        <v>160</v>
      </c>
      <c r="F2320" t="s">
        <v>160</v>
      </c>
      <c r="G2320" t="s">
        <v>3367</v>
      </c>
      <c r="H2320">
        <v>11002.21</v>
      </c>
      <c r="I2320">
        <v>1100.22</v>
      </c>
      <c r="J2320">
        <v>2086.8000000000002</v>
      </c>
      <c r="K2320">
        <v>208.68</v>
      </c>
      <c r="L2320">
        <v>8915.41</v>
      </c>
      <c r="M2320">
        <v>891.54</v>
      </c>
      <c r="O2320" s="79">
        <f>IFERROR(VLOOKUP(D2320,'KAPANAN BLD.'!$C$2:$D$793,2,FALSE),0)</f>
        <v>0</v>
      </c>
      <c r="P2320" s="79">
        <v>0</v>
      </c>
    </row>
    <row r="2321" spans="1:16" x14ac:dyDescent="0.25">
      <c r="A2321" t="s">
        <v>32</v>
      </c>
      <c r="B2321" s="73" t="str">
        <f>VLOOKUP(C2321,'Büyükşehir List'!$C$2:$D$31,2,FALSE)</f>
        <v>MUĞLA BÜYÜKŞEHİR</v>
      </c>
      <c r="C2321" t="s">
        <v>124</v>
      </c>
      <c r="D2321" s="73" t="str">
        <f t="shared" si="54"/>
        <v>MUĞLA BÜYÜKŞEHİR/MUĞLA</v>
      </c>
      <c r="E2321" t="s">
        <v>160</v>
      </c>
      <c r="F2321" t="s">
        <v>160</v>
      </c>
      <c r="G2321" t="s">
        <v>3366</v>
      </c>
      <c r="H2321">
        <v>6805.28</v>
      </c>
      <c r="I2321">
        <v>680.53</v>
      </c>
      <c r="J2321">
        <v>1050.7</v>
      </c>
      <c r="K2321">
        <v>105.06</v>
      </c>
      <c r="L2321">
        <v>5754.58</v>
      </c>
      <c r="M2321">
        <v>575.47</v>
      </c>
      <c r="O2321" s="79">
        <f>IFERROR(VLOOKUP(D2321,'KAPANAN BLD.'!$C$2:$D$793,2,FALSE),0)</f>
        <v>0</v>
      </c>
      <c r="P2321" s="79">
        <v>0</v>
      </c>
    </row>
    <row r="2322" spans="1:16" x14ac:dyDescent="0.25">
      <c r="A2322" t="s">
        <v>32</v>
      </c>
      <c r="B2322" s="73" t="str">
        <f>VLOOKUP(C2322,'Büyükşehir List'!$C$2:$D$31,2,FALSE)</f>
        <v>MUĞLA BÜYÜKŞEHİR</v>
      </c>
      <c r="C2322" t="s">
        <v>124</v>
      </c>
      <c r="D2322" s="73" t="str">
        <f t="shared" si="54"/>
        <v>MUĞLA BÜYÜKŞEHİR/MUĞLA</v>
      </c>
      <c r="E2322" t="s">
        <v>662</v>
      </c>
      <c r="F2322" t="s">
        <v>662</v>
      </c>
      <c r="G2322" t="s">
        <v>3366</v>
      </c>
      <c r="H2322">
        <v>2277.62</v>
      </c>
      <c r="I2322">
        <v>227.76</v>
      </c>
      <c r="J2322">
        <v>0</v>
      </c>
      <c r="K2322">
        <v>0</v>
      </c>
      <c r="L2322">
        <v>2277.62</v>
      </c>
      <c r="M2322">
        <v>227.76</v>
      </c>
      <c r="O2322" s="79">
        <f>IFERROR(VLOOKUP(D2322,'KAPANAN BLD.'!$C$2:$D$793,2,FALSE),0)</f>
        <v>0</v>
      </c>
      <c r="P2322" s="79">
        <v>0</v>
      </c>
    </row>
    <row r="2323" spans="1:16" x14ac:dyDescent="0.25">
      <c r="A2323" t="s">
        <v>32</v>
      </c>
      <c r="B2323" s="73" t="str">
        <f>VLOOKUP(C2323,'Büyükşehir List'!$C$2:$D$31,2,FALSE)</f>
        <v>MUĞLA BÜYÜKŞEHİR</v>
      </c>
      <c r="C2323" t="s">
        <v>124</v>
      </c>
      <c r="D2323" s="73" t="str">
        <f t="shared" si="54"/>
        <v>MUĞLA BÜYÜKŞEHİR/MUĞLA</v>
      </c>
      <c r="E2323" t="s">
        <v>662</v>
      </c>
      <c r="F2323" t="s">
        <v>662</v>
      </c>
      <c r="G2323" t="s">
        <v>3367</v>
      </c>
      <c r="H2323">
        <v>2855.64</v>
      </c>
      <c r="I2323">
        <v>285.56</v>
      </c>
      <c r="J2323">
        <v>0</v>
      </c>
      <c r="K2323">
        <v>0</v>
      </c>
      <c r="L2323">
        <v>2855.64</v>
      </c>
      <c r="M2323">
        <v>285.56</v>
      </c>
      <c r="O2323" s="79">
        <f>IFERROR(VLOOKUP(D2323,'KAPANAN BLD.'!$C$2:$D$793,2,FALSE),0)</f>
        <v>0</v>
      </c>
      <c r="P2323" s="79">
        <v>0</v>
      </c>
    </row>
    <row r="2324" spans="1:16" x14ac:dyDescent="0.25">
      <c r="A2324" t="s">
        <v>32</v>
      </c>
      <c r="B2324" s="73" t="str">
        <f>VLOOKUP(C2324,'Büyükşehir List'!$C$2:$D$31,2,FALSE)</f>
        <v>MUĞLA BÜYÜKŞEHİR</v>
      </c>
      <c r="C2324" t="s">
        <v>124</v>
      </c>
      <c r="D2324" s="73" t="str">
        <f t="shared" si="54"/>
        <v>MUĞLA BÜYÜKŞEHİR/MUĞLA</v>
      </c>
      <c r="E2324" t="s">
        <v>126</v>
      </c>
      <c r="F2324" t="s">
        <v>126</v>
      </c>
      <c r="G2324" t="s">
        <v>3366</v>
      </c>
      <c r="H2324">
        <v>2221</v>
      </c>
      <c r="I2324">
        <v>222.1</v>
      </c>
      <c r="J2324">
        <v>0</v>
      </c>
      <c r="K2324">
        <v>0</v>
      </c>
      <c r="L2324">
        <v>2221</v>
      </c>
      <c r="M2324">
        <v>222.1</v>
      </c>
      <c r="O2324" s="79">
        <f>IFERROR(VLOOKUP(D2324,'KAPANAN BLD.'!$C$2:$D$793,2,FALSE),0)</f>
        <v>0</v>
      </c>
      <c r="P2324" s="79">
        <v>0</v>
      </c>
    </row>
    <row r="2325" spans="1:16" x14ac:dyDescent="0.25">
      <c r="A2325" t="s">
        <v>32</v>
      </c>
      <c r="B2325" s="73" t="str">
        <f>VLOOKUP(C2325,'Büyükşehir List'!$C$2:$D$31,2,FALSE)</f>
        <v>MUĞLA BÜYÜKŞEHİR</v>
      </c>
      <c r="C2325" t="s">
        <v>124</v>
      </c>
      <c r="D2325" s="73" t="str">
        <f t="shared" si="54"/>
        <v>MUĞLA BÜYÜKŞEHİR/MUĞLA</v>
      </c>
      <c r="E2325" t="s">
        <v>126</v>
      </c>
      <c r="F2325" t="s">
        <v>126</v>
      </c>
      <c r="G2325" t="s">
        <v>3367</v>
      </c>
      <c r="H2325">
        <v>5810.5</v>
      </c>
      <c r="I2325">
        <v>581.04999999999995</v>
      </c>
      <c r="J2325">
        <v>0</v>
      </c>
      <c r="K2325">
        <v>0</v>
      </c>
      <c r="L2325">
        <v>5810.5</v>
      </c>
      <c r="M2325">
        <v>581.04999999999995</v>
      </c>
      <c r="O2325" s="79">
        <f>IFERROR(VLOOKUP(D2325,'KAPANAN BLD.'!$C$2:$D$793,2,FALSE),0)</f>
        <v>0</v>
      </c>
      <c r="P2325" s="79">
        <v>0</v>
      </c>
    </row>
    <row r="2326" spans="1:16" x14ac:dyDescent="0.25">
      <c r="A2326" t="s">
        <v>32</v>
      </c>
      <c r="B2326" s="73" t="str">
        <f>VLOOKUP(C2326,'Büyükşehir List'!$C$2:$D$31,2,FALSE)</f>
        <v>MUĞLA BÜYÜKŞEHİR</v>
      </c>
      <c r="C2326" t="s">
        <v>124</v>
      </c>
      <c r="D2326" s="73" t="str">
        <f t="shared" si="54"/>
        <v>MUĞLA BÜYÜKŞEHİR/MUĞLA</v>
      </c>
      <c r="E2326" t="s">
        <v>1</v>
      </c>
      <c r="F2326" t="s">
        <v>1</v>
      </c>
      <c r="G2326" t="s">
        <v>3367</v>
      </c>
      <c r="H2326">
        <v>2699.7</v>
      </c>
      <c r="I2326">
        <v>269.97000000000003</v>
      </c>
      <c r="J2326">
        <v>371.8</v>
      </c>
      <c r="K2326">
        <v>37.18</v>
      </c>
      <c r="L2326">
        <v>2327.9</v>
      </c>
      <c r="M2326">
        <v>232.79</v>
      </c>
      <c r="O2326" s="79">
        <f>IFERROR(VLOOKUP(D2326,'KAPANAN BLD.'!$C$2:$D$793,2,FALSE),0)</f>
        <v>0</v>
      </c>
      <c r="P2326" s="79">
        <v>0</v>
      </c>
    </row>
    <row r="2327" spans="1:16" x14ac:dyDescent="0.25">
      <c r="A2327" t="s">
        <v>32</v>
      </c>
      <c r="B2327" s="73" t="str">
        <f>VLOOKUP(C2327,'Büyükşehir List'!$C$2:$D$31,2,FALSE)</f>
        <v>MUĞLA BÜYÜKŞEHİR</v>
      </c>
      <c r="C2327" t="s">
        <v>124</v>
      </c>
      <c r="D2327" s="73" t="str">
        <f t="shared" si="54"/>
        <v>MUĞLA BÜYÜKŞEHİR/MUĞLA</v>
      </c>
      <c r="E2327" t="s">
        <v>1</v>
      </c>
      <c r="F2327" t="s">
        <v>1</v>
      </c>
      <c r="G2327" t="s">
        <v>3366</v>
      </c>
      <c r="H2327">
        <v>10975.5</v>
      </c>
      <c r="I2327">
        <v>1097.55</v>
      </c>
      <c r="J2327">
        <v>0</v>
      </c>
      <c r="K2327">
        <v>0</v>
      </c>
      <c r="L2327">
        <v>10975.5</v>
      </c>
      <c r="M2327">
        <v>1097.55</v>
      </c>
      <c r="O2327" s="79">
        <f>IFERROR(VLOOKUP(D2327,'KAPANAN BLD.'!$C$2:$D$793,2,FALSE),0)</f>
        <v>0</v>
      </c>
      <c r="P2327" s="79">
        <v>0</v>
      </c>
    </row>
    <row r="2328" spans="1:16" x14ac:dyDescent="0.25">
      <c r="A2328" t="s">
        <v>32</v>
      </c>
      <c r="B2328" s="73" t="str">
        <f>VLOOKUP(C2328,'Büyükşehir List'!$C$2:$D$31,2,FALSE)</f>
        <v>MUĞLA BÜYÜKŞEHİR</v>
      </c>
      <c r="C2328" t="s">
        <v>124</v>
      </c>
      <c r="D2328" s="73" t="str">
        <f t="shared" si="54"/>
        <v>MUĞLA BÜYÜKŞEHİR/MUĞLA</v>
      </c>
      <c r="E2328" t="s">
        <v>663</v>
      </c>
      <c r="F2328" t="s">
        <v>663</v>
      </c>
      <c r="G2328" t="s">
        <v>3367</v>
      </c>
      <c r="H2328">
        <v>117.4</v>
      </c>
      <c r="I2328">
        <v>11.74</v>
      </c>
      <c r="J2328">
        <v>99.8</v>
      </c>
      <c r="K2328">
        <v>9.98</v>
      </c>
      <c r="L2328">
        <v>17.600000000000001</v>
      </c>
      <c r="M2328">
        <v>1.76</v>
      </c>
      <c r="O2328" s="79">
        <f>IFERROR(VLOOKUP(D2328,'KAPANAN BLD.'!$C$2:$D$793,2,FALSE),0)</f>
        <v>0</v>
      </c>
      <c r="P2328" s="79">
        <v>0</v>
      </c>
    </row>
    <row r="2329" spans="1:16" x14ac:dyDescent="0.25">
      <c r="A2329" t="s">
        <v>32</v>
      </c>
      <c r="B2329" s="73" t="str">
        <f>VLOOKUP(C2329,'Büyükşehir List'!$C$2:$D$31,2,FALSE)</f>
        <v>MUĞLA BÜYÜKŞEHİR</v>
      </c>
      <c r="C2329" t="s">
        <v>124</v>
      </c>
      <c r="D2329" s="73" t="str">
        <f t="shared" si="54"/>
        <v>MUĞLA BÜYÜKŞEHİR/MUĞLA</v>
      </c>
      <c r="E2329" t="s">
        <v>663</v>
      </c>
      <c r="F2329" t="s">
        <v>663</v>
      </c>
      <c r="G2329" t="s">
        <v>3366</v>
      </c>
      <c r="H2329">
        <v>105.4</v>
      </c>
      <c r="I2329">
        <v>10.54</v>
      </c>
      <c r="J2329">
        <v>0</v>
      </c>
      <c r="K2329">
        <v>0</v>
      </c>
      <c r="L2329">
        <v>105.4</v>
      </c>
      <c r="M2329">
        <v>10.54</v>
      </c>
      <c r="O2329" s="79">
        <f>IFERROR(VLOOKUP(D2329,'KAPANAN BLD.'!$C$2:$D$793,2,FALSE),0)</f>
        <v>0</v>
      </c>
      <c r="P2329" s="79">
        <v>0</v>
      </c>
    </row>
    <row r="2330" spans="1:16" x14ac:dyDescent="0.25">
      <c r="A2330" t="s">
        <v>32</v>
      </c>
      <c r="B2330" s="73" t="str">
        <f>VLOOKUP(C2330,'Büyükşehir List'!$C$2:$D$31,2,FALSE)</f>
        <v>MUĞLA BÜYÜKŞEHİR</v>
      </c>
      <c r="C2330" t="s">
        <v>124</v>
      </c>
      <c r="D2330" s="73" t="str">
        <f t="shared" si="54"/>
        <v>MUĞLA BÜYÜKŞEHİR/MUĞLA</v>
      </c>
      <c r="E2330" t="s">
        <v>1892</v>
      </c>
      <c r="F2330" t="s">
        <v>1892</v>
      </c>
      <c r="G2330" t="s">
        <v>3366</v>
      </c>
      <c r="H2330">
        <v>14851.96</v>
      </c>
      <c r="I2330">
        <v>1485.2</v>
      </c>
      <c r="J2330">
        <v>1169.4000000000001</v>
      </c>
      <c r="K2330">
        <v>116.94</v>
      </c>
      <c r="L2330">
        <v>13682.56</v>
      </c>
      <c r="M2330">
        <v>1368.26</v>
      </c>
      <c r="O2330" s="79">
        <f>IFERROR(VLOOKUP(D2330,'KAPANAN BLD.'!$C$2:$D$793,2,FALSE),0)</f>
        <v>0</v>
      </c>
      <c r="P2330" s="79">
        <v>0</v>
      </c>
    </row>
    <row r="2331" spans="1:16" x14ac:dyDescent="0.25">
      <c r="A2331" t="s">
        <v>32</v>
      </c>
      <c r="B2331" s="73" t="str">
        <f>VLOOKUP(C2331,'Büyükşehir List'!$C$2:$D$31,2,FALSE)</f>
        <v>MUĞLA BÜYÜKŞEHİR</v>
      </c>
      <c r="C2331" t="s">
        <v>124</v>
      </c>
      <c r="D2331" s="73" t="str">
        <f t="shared" si="54"/>
        <v>MUĞLA BÜYÜKŞEHİR/MUĞLA</v>
      </c>
      <c r="E2331" t="s">
        <v>1892</v>
      </c>
      <c r="F2331" t="s">
        <v>1892</v>
      </c>
      <c r="G2331" t="s">
        <v>3367</v>
      </c>
      <c r="H2331">
        <v>36444.31</v>
      </c>
      <c r="I2331">
        <v>3644.42</v>
      </c>
      <c r="J2331">
        <v>170.5</v>
      </c>
      <c r="K2331">
        <v>17.05</v>
      </c>
      <c r="L2331">
        <v>36273.81</v>
      </c>
      <c r="M2331">
        <v>3627.37</v>
      </c>
      <c r="O2331" s="79">
        <f>IFERROR(VLOOKUP(D2331,'KAPANAN BLD.'!$C$2:$D$793,2,FALSE),0)</f>
        <v>0</v>
      </c>
      <c r="P2331" s="79">
        <v>0</v>
      </c>
    </row>
    <row r="2332" spans="1:16" x14ac:dyDescent="0.25">
      <c r="A2332" t="s">
        <v>32</v>
      </c>
      <c r="B2332" s="73" t="str">
        <f>VLOOKUP(C2332,'Büyükşehir List'!$C$2:$D$31,2,FALSE)</f>
        <v>MUĞLA BÜYÜKŞEHİR</v>
      </c>
      <c r="C2332" t="s">
        <v>124</v>
      </c>
      <c r="D2332" s="73" t="str">
        <f t="shared" si="54"/>
        <v>MUĞLA BÜYÜKŞEHİR/MUĞLA</v>
      </c>
      <c r="E2332" t="s">
        <v>3831</v>
      </c>
      <c r="F2332" t="s">
        <v>3831</v>
      </c>
      <c r="G2332" t="s">
        <v>3367</v>
      </c>
      <c r="H2332">
        <v>1953.2</v>
      </c>
      <c r="I2332">
        <v>195.32</v>
      </c>
      <c r="J2332">
        <v>151.69999999999999</v>
      </c>
      <c r="K2332">
        <v>15.17</v>
      </c>
      <c r="L2332">
        <v>1801.5</v>
      </c>
      <c r="M2332">
        <v>180.15</v>
      </c>
      <c r="O2332" s="79">
        <f>IFERROR(VLOOKUP(D2332,'KAPANAN BLD.'!$C$2:$D$793,2,FALSE),0)</f>
        <v>0</v>
      </c>
      <c r="P2332" s="79">
        <v>0</v>
      </c>
    </row>
    <row r="2333" spans="1:16" x14ac:dyDescent="0.25">
      <c r="A2333" t="s">
        <v>32</v>
      </c>
      <c r="B2333" s="73" t="str">
        <f>VLOOKUP(C2333,'Büyükşehir List'!$C$2:$D$31,2,FALSE)</f>
        <v>MUĞLA BÜYÜKŞEHİR</v>
      </c>
      <c r="C2333" t="s">
        <v>124</v>
      </c>
      <c r="D2333" s="73" t="str">
        <f t="shared" si="54"/>
        <v>MUĞLA BÜYÜKŞEHİR/MUĞLA</v>
      </c>
      <c r="E2333" t="s">
        <v>3831</v>
      </c>
      <c r="F2333" t="s">
        <v>3831</v>
      </c>
      <c r="G2333" t="s">
        <v>3366</v>
      </c>
      <c r="H2333">
        <v>22018.799999999999</v>
      </c>
      <c r="I2333">
        <v>2201.88</v>
      </c>
      <c r="J2333">
        <v>188.5</v>
      </c>
      <c r="K2333">
        <v>18.850000000000001</v>
      </c>
      <c r="L2333">
        <v>21830.3</v>
      </c>
      <c r="M2333">
        <v>2183.0300000000002</v>
      </c>
      <c r="O2333" s="79">
        <f>IFERROR(VLOOKUP(D2333,'KAPANAN BLD.'!$C$2:$D$793,2,FALSE),0)</f>
        <v>0</v>
      </c>
      <c r="P2333" s="79">
        <v>0</v>
      </c>
    </row>
    <row r="2334" spans="1:16" x14ac:dyDescent="0.25">
      <c r="A2334" t="s">
        <v>32</v>
      </c>
      <c r="B2334" s="73" t="str">
        <f>VLOOKUP(C2334,'Büyükşehir List'!$C$2:$D$31,2,FALSE)</f>
        <v>MUĞLA BÜYÜKŞEHİR</v>
      </c>
      <c r="C2334" t="s">
        <v>124</v>
      </c>
      <c r="D2334" s="73" t="str">
        <f t="shared" si="54"/>
        <v>MUĞLA BÜYÜKŞEHİR/MUĞLA</v>
      </c>
      <c r="E2334" t="s">
        <v>289</v>
      </c>
      <c r="F2334" t="s">
        <v>289</v>
      </c>
      <c r="G2334" t="s">
        <v>3366</v>
      </c>
      <c r="H2334">
        <v>44263.74</v>
      </c>
      <c r="I2334">
        <v>4426.37</v>
      </c>
      <c r="J2334">
        <v>19430</v>
      </c>
      <c r="K2334">
        <v>1943</v>
      </c>
      <c r="L2334">
        <v>24833.74</v>
      </c>
      <c r="M2334">
        <v>2483.37</v>
      </c>
      <c r="O2334" s="79">
        <f>IFERROR(VLOOKUP(D2334,'KAPANAN BLD.'!$C$2:$D$793,2,FALSE),0)</f>
        <v>0</v>
      </c>
      <c r="P2334" s="79">
        <v>0</v>
      </c>
    </row>
    <row r="2335" spans="1:16" x14ac:dyDescent="0.25">
      <c r="A2335" t="s">
        <v>32</v>
      </c>
      <c r="B2335" s="73" t="str">
        <f>VLOOKUP(C2335,'Büyükşehir List'!$C$2:$D$31,2,FALSE)</f>
        <v>MUĞLA BÜYÜKŞEHİR</v>
      </c>
      <c r="C2335" t="s">
        <v>124</v>
      </c>
      <c r="D2335" s="73" t="str">
        <f t="shared" si="54"/>
        <v>MUĞLA BÜYÜKŞEHİR/MUĞLA</v>
      </c>
      <c r="E2335" t="s">
        <v>289</v>
      </c>
      <c r="F2335" t="s">
        <v>289</v>
      </c>
      <c r="G2335" t="s">
        <v>3367</v>
      </c>
      <c r="H2335">
        <v>19358.84</v>
      </c>
      <c r="I2335">
        <v>1935.89</v>
      </c>
      <c r="J2335">
        <v>3291.4</v>
      </c>
      <c r="K2335">
        <v>329.14</v>
      </c>
      <c r="L2335">
        <v>16067.44</v>
      </c>
      <c r="M2335">
        <v>1606.75</v>
      </c>
      <c r="O2335" s="79">
        <f>IFERROR(VLOOKUP(D2335,'KAPANAN BLD.'!$C$2:$D$793,2,FALSE),0)</f>
        <v>0</v>
      </c>
      <c r="P2335" s="79">
        <v>0</v>
      </c>
    </row>
    <row r="2336" spans="1:16" x14ac:dyDescent="0.25">
      <c r="A2336" t="s">
        <v>32</v>
      </c>
      <c r="B2336" s="73" t="str">
        <f>VLOOKUP(C2336,'Büyükşehir List'!$C$2:$D$31,2,FALSE)</f>
        <v>MUĞLA BÜYÜKŞEHİR</v>
      </c>
      <c r="C2336" t="s">
        <v>124</v>
      </c>
      <c r="D2336" s="73" t="str">
        <f t="shared" si="54"/>
        <v>MUĞLA BÜYÜKŞEHİR/MUĞLA</v>
      </c>
      <c r="E2336" t="s">
        <v>186</v>
      </c>
      <c r="F2336" t="s">
        <v>186</v>
      </c>
      <c r="G2336" t="s">
        <v>3366</v>
      </c>
      <c r="H2336">
        <v>5850</v>
      </c>
      <c r="I2336">
        <v>585</v>
      </c>
      <c r="J2336">
        <v>1.5</v>
      </c>
      <c r="K2336">
        <v>0.15</v>
      </c>
      <c r="L2336">
        <v>5848.5</v>
      </c>
      <c r="M2336">
        <v>584.85</v>
      </c>
      <c r="O2336" s="79">
        <f>IFERROR(VLOOKUP(D2336,'KAPANAN BLD.'!$C$2:$D$793,2,FALSE),0)</f>
        <v>0</v>
      </c>
      <c r="P2336" s="79">
        <v>0</v>
      </c>
    </row>
    <row r="2337" spans="1:16" x14ac:dyDescent="0.25">
      <c r="A2337" t="s">
        <v>32</v>
      </c>
      <c r="B2337" s="73" t="str">
        <f>VLOOKUP(C2337,'Büyükşehir List'!$C$2:$D$31,2,FALSE)</f>
        <v>MUĞLA BÜYÜKŞEHİR</v>
      </c>
      <c r="C2337" t="s">
        <v>124</v>
      </c>
      <c r="D2337" s="73" t="str">
        <f t="shared" si="54"/>
        <v>MUĞLA BÜYÜKŞEHİR/MUĞLA</v>
      </c>
      <c r="E2337" t="s">
        <v>186</v>
      </c>
      <c r="F2337" t="s">
        <v>186</v>
      </c>
      <c r="G2337" t="s">
        <v>3367</v>
      </c>
      <c r="H2337">
        <v>7276.9</v>
      </c>
      <c r="I2337">
        <v>727.69</v>
      </c>
      <c r="J2337">
        <v>3.4</v>
      </c>
      <c r="K2337">
        <v>0.34</v>
      </c>
      <c r="L2337">
        <v>7273.5</v>
      </c>
      <c r="M2337">
        <v>727.35</v>
      </c>
      <c r="O2337" s="79">
        <f>IFERROR(VLOOKUP(D2337,'KAPANAN BLD.'!$C$2:$D$793,2,FALSE),0)</f>
        <v>0</v>
      </c>
      <c r="P2337" s="79">
        <v>0</v>
      </c>
    </row>
    <row r="2338" spans="1:16" x14ac:dyDescent="0.25">
      <c r="A2338" t="s">
        <v>32</v>
      </c>
      <c r="B2338" s="73" t="str">
        <f>VLOOKUP(C2338,'Büyükşehir List'!$C$2:$D$31,2,FALSE)</f>
        <v>MUĞLA BÜYÜKŞEHİR</v>
      </c>
      <c r="C2338" t="s">
        <v>124</v>
      </c>
      <c r="D2338" s="73" t="str">
        <f t="shared" si="54"/>
        <v>MUĞLA BÜYÜKŞEHİR/MUĞLA</v>
      </c>
      <c r="E2338" t="s">
        <v>171</v>
      </c>
      <c r="F2338" t="s">
        <v>171</v>
      </c>
      <c r="G2338" t="s">
        <v>3367</v>
      </c>
      <c r="H2338">
        <v>23571.99</v>
      </c>
      <c r="I2338">
        <v>2357.1999999999998</v>
      </c>
      <c r="J2338">
        <v>18120.900000000001</v>
      </c>
      <c r="K2338">
        <v>1812.09</v>
      </c>
      <c r="L2338">
        <v>5451.09</v>
      </c>
      <c r="M2338">
        <v>545.11</v>
      </c>
      <c r="O2338" s="79">
        <f>IFERROR(VLOOKUP(D2338,'KAPANAN BLD.'!$C$2:$D$793,2,FALSE),0)</f>
        <v>0</v>
      </c>
      <c r="P2338" s="79">
        <v>0</v>
      </c>
    </row>
    <row r="2339" spans="1:16" x14ac:dyDescent="0.25">
      <c r="A2339" t="s">
        <v>32</v>
      </c>
      <c r="B2339" s="73" t="str">
        <f>VLOOKUP(C2339,'Büyükşehir List'!$C$2:$D$31,2,FALSE)</f>
        <v>MUĞLA BÜYÜKŞEHİR</v>
      </c>
      <c r="C2339" t="s">
        <v>124</v>
      </c>
      <c r="D2339" s="73" t="str">
        <f t="shared" si="54"/>
        <v>MUĞLA BÜYÜKŞEHİR/MUĞLA</v>
      </c>
      <c r="E2339" t="s">
        <v>171</v>
      </c>
      <c r="F2339" t="s">
        <v>171</v>
      </c>
      <c r="G2339" t="s">
        <v>3366</v>
      </c>
      <c r="H2339">
        <v>10093.290000000001</v>
      </c>
      <c r="I2339">
        <v>1009.33</v>
      </c>
      <c r="J2339">
        <v>4669</v>
      </c>
      <c r="K2339">
        <v>466.9</v>
      </c>
      <c r="L2339">
        <v>5424.29</v>
      </c>
      <c r="M2339">
        <v>542.42999999999995</v>
      </c>
      <c r="O2339" s="79">
        <f>IFERROR(VLOOKUP(D2339,'KAPANAN BLD.'!$C$2:$D$793,2,FALSE),0)</f>
        <v>0</v>
      </c>
      <c r="P2339" s="79">
        <v>0</v>
      </c>
    </row>
    <row r="2340" spans="1:16" x14ac:dyDescent="0.25">
      <c r="A2340" t="s">
        <v>32</v>
      </c>
      <c r="B2340" s="73" t="str">
        <f>VLOOKUP(C2340,'Büyükşehir List'!$C$2:$D$31,2,FALSE)</f>
        <v>MUĞLA BÜYÜKŞEHİR</v>
      </c>
      <c r="C2340" t="s">
        <v>124</v>
      </c>
      <c r="D2340" s="73" t="str">
        <f t="shared" si="54"/>
        <v>MUĞLA BÜYÜKŞEHİR/MUĞLA</v>
      </c>
      <c r="E2340" t="s">
        <v>287</v>
      </c>
      <c r="F2340" t="s">
        <v>287</v>
      </c>
      <c r="G2340" t="s">
        <v>3366</v>
      </c>
      <c r="H2340">
        <v>4033.5</v>
      </c>
      <c r="I2340">
        <v>403.35</v>
      </c>
      <c r="J2340">
        <v>0</v>
      </c>
      <c r="K2340">
        <v>0</v>
      </c>
      <c r="L2340">
        <v>4033.5</v>
      </c>
      <c r="M2340">
        <v>403.35</v>
      </c>
      <c r="O2340" s="79">
        <f>IFERROR(VLOOKUP(D2340,'KAPANAN BLD.'!$C$2:$D$793,2,FALSE),0)</f>
        <v>0</v>
      </c>
      <c r="P2340" s="79">
        <v>0</v>
      </c>
    </row>
    <row r="2341" spans="1:16" x14ac:dyDescent="0.25">
      <c r="A2341" t="s">
        <v>32</v>
      </c>
      <c r="B2341" s="73" t="str">
        <f>VLOOKUP(C2341,'Büyükşehir List'!$C$2:$D$31,2,FALSE)</f>
        <v>MUĞLA BÜYÜKŞEHİR</v>
      </c>
      <c r="C2341" t="s">
        <v>124</v>
      </c>
      <c r="D2341" s="73" t="str">
        <f t="shared" si="54"/>
        <v>MUĞLA BÜYÜKŞEHİR/MUĞLA</v>
      </c>
      <c r="E2341" t="s">
        <v>287</v>
      </c>
      <c r="F2341" t="s">
        <v>287</v>
      </c>
      <c r="G2341" t="s">
        <v>3367</v>
      </c>
      <c r="H2341">
        <v>5520.1</v>
      </c>
      <c r="I2341">
        <v>552.01</v>
      </c>
      <c r="J2341">
        <v>0</v>
      </c>
      <c r="K2341">
        <v>0</v>
      </c>
      <c r="L2341">
        <v>5520.1</v>
      </c>
      <c r="M2341">
        <v>552.01</v>
      </c>
      <c r="O2341" s="79">
        <f>IFERROR(VLOOKUP(D2341,'KAPANAN BLD.'!$C$2:$D$793,2,FALSE),0)</f>
        <v>0</v>
      </c>
      <c r="P2341" s="79">
        <v>0</v>
      </c>
    </row>
    <row r="2342" spans="1:16" x14ac:dyDescent="0.25">
      <c r="A2342" t="s">
        <v>32</v>
      </c>
      <c r="B2342" s="73" t="str">
        <f>VLOOKUP(C2342,'Büyükşehir List'!$C$2:$D$31,2,FALSE)</f>
        <v>MUĞLA BÜYÜKŞEHİR</v>
      </c>
      <c r="C2342" t="s">
        <v>124</v>
      </c>
      <c r="D2342" s="73" t="str">
        <f t="shared" si="54"/>
        <v>MUĞLA BÜYÜKŞEHİR/MUĞLA</v>
      </c>
      <c r="E2342" t="s">
        <v>664</v>
      </c>
      <c r="F2342" t="s">
        <v>664</v>
      </c>
      <c r="G2342" t="s">
        <v>3367</v>
      </c>
      <c r="H2342">
        <v>2842.1</v>
      </c>
      <c r="I2342">
        <v>284.20999999999998</v>
      </c>
      <c r="J2342">
        <v>223.6</v>
      </c>
      <c r="K2342">
        <v>22.36</v>
      </c>
      <c r="L2342">
        <v>2618.5</v>
      </c>
      <c r="M2342">
        <v>261.85000000000002</v>
      </c>
      <c r="O2342" s="79">
        <f>IFERROR(VLOOKUP(D2342,'KAPANAN BLD.'!$C$2:$D$793,2,FALSE),0)</f>
        <v>0</v>
      </c>
      <c r="P2342" s="79">
        <v>0</v>
      </c>
    </row>
    <row r="2343" spans="1:16" x14ac:dyDescent="0.25">
      <c r="A2343" t="s">
        <v>32</v>
      </c>
      <c r="B2343" s="73" t="str">
        <f>VLOOKUP(C2343,'Büyükşehir List'!$C$2:$D$31,2,FALSE)</f>
        <v>MUĞLA BÜYÜKŞEHİR</v>
      </c>
      <c r="C2343" t="s">
        <v>124</v>
      </c>
      <c r="D2343" s="73" t="str">
        <f t="shared" si="54"/>
        <v>MUĞLA BÜYÜKŞEHİR/MUĞLA</v>
      </c>
      <c r="E2343" t="s">
        <v>664</v>
      </c>
      <c r="F2343" t="s">
        <v>664</v>
      </c>
      <c r="G2343" t="s">
        <v>3366</v>
      </c>
      <c r="H2343">
        <v>2300.6</v>
      </c>
      <c r="I2343">
        <v>230.06</v>
      </c>
      <c r="J2343">
        <v>128.5</v>
      </c>
      <c r="K2343">
        <v>12.85</v>
      </c>
      <c r="L2343">
        <v>2172.1</v>
      </c>
      <c r="M2343">
        <v>217.21</v>
      </c>
      <c r="O2343" s="79">
        <f>IFERROR(VLOOKUP(D2343,'KAPANAN BLD.'!$C$2:$D$793,2,FALSE),0)</f>
        <v>0</v>
      </c>
      <c r="P2343" s="79">
        <v>0</v>
      </c>
    </row>
    <row r="2344" spans="1:16" x14ac:dyDescent="0.25">
      <c r="A2344" t="s">
        <v>32</v>
      </c>
      <c r="B2344" s="73" t="str">
        <f>VLOOKUP(C2344,'Büyükşehir List'!$C$2:$D$31,2,FALSE)</f>
        <v>MUĞLA BÜYÜKŞEHİR</v>
      </c>
      <c r="C2344" t="s">
        <v>124</v>
      </c>
      <c r="D2344" s="73" t="str">
        <f t="shared" si="54"/>
        <v>MUĞLA BÜYÜKŞEHİR/MUĞLA</v>
      </c>
      <c r="E2344" t="s">
        <v>1789</v>
      </c>
      <c r="F2344" t="s">
        <v>1789</v>
      </c>
      <c r="G2344" t="s">
        <v>3366</v>
      </c>
      <c r="H2344">
        <v>1264.4000000000001</v>
      </c>
      <c r="I2344">
        <v>126.44</v>
      </c>
      <c r="J2344">
        <v>2079.5</v>
      </c>
      <c r="K2344">
        <v>207.95</v>
      </c>
      <c r="L2344">
        <v>-815.1</v>
      </c>
      <c r="M2344">
        <v>-81.510000000000005</v>
      </c>
      <c r="O2344" s="79">
        <f>IFERROR(VLOOKUP(D2344,'KAPANAN BLD.'!$C$2:$D$793,2,FALSE),0)</f>
        <v>0</v>
      </c>
      <c r="P2344" s="79">
        <v>0</v>
      </c>
    </row>
    <row r="2345" spans="1:16" x14ac:dyDescent="0.25">
      <c r="A2345" t="s">
        <v>32</v>
      </c>
      <c r="B2345" s="73" t="str">
        <f>VLOOKUP(C2345,'Büyükşehir List'!$C$2:$D$31,2,FALSE)</f>
        <v>MUĞLA BÜYÜKŞEHİR</v>
      </c>
      <c r="C2345" t="s">
        <v>124</v>
      </c>
      <c r="D2345" s="73" t="str">
        <f t="shared" si="54"/>
        <v>MUĞLA BÜYÜKŞEHİR/MUĞLA</v>
      </c>
      <c r="E2345" t="s">
        <v>1789</v>
      </c>
      <c r="F2345" t="s">
        <v>1789</v>
      </c>
      <c r="G2345" t="s">
        <v>3367</v>
      </c>
      <c r="H2345">
        <v>2483.44</v>
      </c>
      <c r="I2345">
        <v>248.34</v>
      </c>
      <c r="J2345">
        <v>80.7</v>
      </c>
      <c r="K2345">
        <v>8.07</v>
      </c>
      <c r="L2345">
        <v>2402.7399999999998</v>
      </c>
      <c r="M2345">
        <v>240.27</v>
      </c>
      <c r="O2345" s="79">
        <f>IFERROR(VLOOKUP(D2345,'KAPANAN BLD.'!$C$2:$D$793,2,FALSE),0)</f>
        <v>0</v>
      </c>
      <c r="P2345" s="79">
        <v>0</v>
      </c>
    </row>
    <row r="2346" spans="1:16" x14ac:dyDescent="0.25">
      <c r="A2346" t="s">
        <v>32</v>
      </c>
      <c r="B2346" s="73" t="str">
        <f>VLOOKUP(C2346,'Büyükşehir List'!$C$2:$D$31,2,FALSE)</f>
        <v>MUĞLA BÜYÜKŞEHİR</v>
      </c>
      <c r="C2346" t="s">
        <v>124</v>
      </c>
      <c r="D2346" s="73" t="str">
        <f t="shared" si="54"/>
        <v>MUĞLA BÜYÜKŞEHİR/MUĞLA</v>
      </c>
      <c r="E2346" t="s">
        <v>165</v>
      </c>
      <c r="F2346" t="s">
        <v>165</v>
      </c>
      <c r="G2346" t="s">
        <v>3366</v>
      </c>
      <c r="H2346">
        <v>4234</v>
      </c>
      <c r="I2346">
        <v>423.4</v>
      </c>
      <c r="J2346">
        <v>4585.5</v>
      </c>
      <c r="K2346">
        <v>458.55</v>
      </c>
      <c r="L2346">
        <v>-351.5</v>
      </c>
      <c r="M2346">
        <v>-35.15</v>
      </c>
      <c r="O2346" s="79">
        <f>IFERROR(VLOOKUP(D2346,'KAPANAN BLD.'!$C$2:$D$793,2,FALSE),0)</f>
        <v>0</v>
      </c>
      <c r="P2346" s="79">
        <v>0</v>
      </c>
    </row>
    <row r="2347" spans="1:16" x14ac:dyDescent="0.25">
      <c r="A2347" t="s">
        <v>32</v>
      </c>
      <c r="B2347" s="73" t="str">
        <f>VLOOKUP(C2347,'Büyükşehir List'!$C$2:$D$31,2,FALSE)</f>
        <v>MUĞLA BÜYÜKŞEHİR</v>
      </c>
      <c r="C2347" t="s">
        <v>124</v>
      </c>
      <c r="D2347" s="73" t="str">
        <f t="shared" si="54"/>
        <v>MUĞLA BÜYÜKŞEHİR/MUĞLA</v>
      </c>
      <c r="E2347" t="s">
        <v>165</v>
      </c>
      <c r="F2347" t="s">
        <v>165</v>
      </c>
      <c r="G2347" t="s">
        <v>3367</v>
      </c>
      <c r="H2347">
        <v>2183.1</v>
      </c>
      <c r="I2347">
        <v>218.31</v>
      </c>
      <c r="J2347">
        <v>941.9</v>
      </c>
      <c r="K2347">
        <v>94.19</v>
      </c>
      <c r="L2347">
        <v>1241.2</v>
      </c>
      <c r="M2347">
        <v>124.12</v>
      </c>
      <c r="O2347" s="79">
        <f>IFERROR(VLOOKUP(D2347,'KAPANAN BLD.'!$C$2:$D$793,2,FALSE),0)</f>
        <v>0</v>
      </c>
      <c r="P2347" s="79">
        <v>0</v>
      </c>
    </row>
    <row r="2348" spans="1:16" x14ac:dyDescent="0.25">
      <c r="A2348" t="s">
        <v>32</v>
      </c>
      <c r="B2348" s="73" t="str">
        <f>VLOOKUP(C2348,'Büyükşehir List'!$C$2:$D$31,2,FALSE)</f>
        <v>MUĞLA BÜYÜKŞEHİR</v>
      </c>
      <c r="C2348" t="s">
        <v>124</v>
      </c>
      <c r="D2348" s="73" t="str">
        <f t="shared" si="54"/>
        <v>MUĞLA BÜYÜKŞEHİR/MUĞLA</v>
      </c>
      <c r="E2348" t="s">
        <v>264</v>
      </c>
      <c r="F2348" t="s">
        <v>264</v>
      </c>
      <c r="G2348" t="s">
        <v>3366</v>
      </c>
      <c r="H2348">
        <v>12958.13</v>
      </c>
      <c r="I2348">
        <v>1295.8</v>
      </c>
      <c r="J2348">
        <v>948.2</v>
      </c>
      <c r="K2348">
        <v>94.82</v>
      </c>
      <c r="L2348">
        <v>12009.93</v>
      </c>
      <c r="M2348">
        <v>1200.98</v>
      </c>
      <c r="O2348" s="79">
        <f>IFERROR(VLOOKUP(D2348,'KAPANAN BLD.'!$C$2:$D$793,2,FALSE),0)</f>
        <v>0</v>
      </c>
      <c r="P2348" s="79">
        <v>0</v>
      </c>
    </row>
    <row r="2349" spans="1:16" x14ac:dyDescent="0.25">
      <c r="A2349" t="s">
        <v>32</v>
      </c>
      <c r="B2349" s="73" t="str">
        <f>VLOOKUP(C2349,'Büyükşehir List'!$C$2:$D$31,2,FALSE)</f>
        <v>MUĞLA BÜYÜKŞEHİR</v>
      </c>
      <c r="C2349" t="s">
        <v>124</v>
      </c>
      <c r="D2349" s="73" t="str">
        <f t="shared" si="54"/>
        <v>MUĞLA BÜYÜKŞEHİR/MUĞLA</v>
      </c>
      <c r="E2349" t="s">
        <v>264</v>
      </c>
      <c r="F2349" t="s">
        <v>264</v>
      </c>
      <c r="G2349" t="s">
        <v>3367</v>
      </c>
      <c r="H2349">
        <v>12107.57</v>
      </c>
      <c r="I2349">
        <v>1210.76</v>
      </c>
      <c r="J2349">
        <v>125.5</v>
      </c>
      <c r="K2349">
        <v>12.55</v>
      </c>
      <c r="L2349">
        <v>11982.07</v>
      </c>
      <c r="M2349">
        <v>1198.21</v>
      </c>
      <c r="O2349" s="79">
        <f>IFERROR(VLOOKUP(D2349,'KAPANAN BLD.'!$C$2:$D$793,2,FALSE),0)</f>
        <v>0</v>
      </c>
      <c r="P2349" s="79">
        <v>0</v>
      </c>
    </row>
    <row r="2350" spans="1:16" x14ac:dyDescent="0.25">
      <c r="A2350" t="s">
        <v>32</v>
      </c>
      <c r="B2350" s="73" t="str">
        <f>VLOOKUP(C2350,'Büyükşehir List'!$C$2:$D$31,2,FALSE)</f>
        <v>MUĞLA BÜYÜKŞEHİR</v>
      </c>
      <c r="C2350" t="s">
        <v>124</v>
      </c>
      <c r="D2350" s="73" t="str">
        <f t="shared" si="54"/>
        <v>MUĞLA BÜYÜKŞEHİR/MUĞLA</v>
      </c>
      <c r="E2350" t="s">
        <v>327</v>
      </c>
      <c r="F2350" t="s">
        <v>327</v>
      </c>
      <c r="G2350" t="s">
        <v>3366</v>
      </c>
      <c r="H2350">
        <v>4209.6099999999997</v>
      </c>
      <c r="I2350">
        <v>420.97</v>
      </c>
      <c r="J2350">
        <v>0</v>
      </c>
      <c r="K2350">
        <v>0</v>
      </c>
      <c r="L2350">
        <v>4209.6099999999997</v>
      </c>
      <c r="M2350">
        <v>420.97</v>
      </c>
      <c r="O2350" s="79">
        <f>IFERROR(VLOOKUP(D2350,'KAPANAN BLD.'!$C$2:$D$793,2,FALSE),0)</f>
        <v>0</v>
      </c>
      <c r="P2350" s="79">
        <v>0</v>
      </c>
    </row>
    <row r="2351" spans="1:16" x14ac:dyDescent="0.25">
      <c r="A2351" t="s">
        <v>32</v>
      </c>
      <c r="B2351" s="73" t="str">
        <f>VLOOKUP(C2351,'Büyükşehir List'!$C$2:$D$31,2,FALSE)</f>
        <v>MUĞLA BÜYÜKŞEHİR</v>
      </c>
      <c r="C2351" t="s">
        <v>124</v>
      </c>
      <c r="D2351" s="73" t="str">
        <f t="shared" si="54"/>
        <v>MUĞLA BÜYÜKŞEHİR/MUĞLA</v>
      </c>
      <c r="E2351" t="s">
        <v>327</v>
      </c>
      <c r="F2351" t="s">
        <v>327</v>
      </c>
      <c r="G2351" t="s">
        <v>3367</v>
      </c>
      <c r="H2351">
        <v>3908.15</v>
      </c>
      <c r="I2351">
        <v>390.82</v>
      </c>
      <c r="J2351">
        <v>0</v>
      </c>
      <c r="K2351">
        <v>0</v>
      </c>
      <c r="L2351">
        <v>3908.15</v>
      </c>
      <c r="M2351">
        <v>390.82</v>
      </c>
      <c r="O2351" s="79">
        <f>IFERROR(VLOOKUP(D2351,'KAPANAN BLD.'!$C$2:$D$793,2,FALSE),0)</f>
        <v>0</v>
      </c>
      <c r="P2351" s="79">
        <v>0</v>
      </c>
    </row>
    <row r="2352" spans="1:16" x14ac:dyDescent="0.25">
      <c r="A2352" t="s">
        <v>32</v>
      </c>
      <c r="B2352" s="73" t="str">
        <f>VLOOKUP(C2352,'Büyükşehir List'!$C$2:$D$31,2,FALSE)</f>
        <v>MUĞLA BÜYÜKŞEHİR</v>
      </c>
      <c r="C2352" t="s">
        <v>124</v>
      </c>
      <c r="D2352" s="73" t="str">
        <f t="shared" si="54"/>
        <v>MUĞLA BÜYÜKŞEHİR/MUĞLA</v>
      </c>
      <c r="E2352" t="s">
        <v>3832</v>
      </c>
      <c r="F2352" t="s">
        <v>3832</v>
      </c>
      <c r="G2352" t="s">
        <v>3366</v>
      </c>
      <c r="H2352">
        <v>3733.3</v>
      </c>
      <c r="I2352">
        <v>373.33</v>
      </c>
      <c r="J2352">
        <v>282.3</v>
      </c>
      <c r="K2352">
        <v>28.23</v>
      </c>
      <c r="L2352">
        <v>3451</v>
      </c>
      <c r="M2352">
        <v>345.1</v>
      </c>
      <c r="O2352" s="79">
        <f>IFERROR(VLOOKUP(D2352,'KAPANAN BLD.'!$C$2:$D$793,2,FALSE),0)</f>
        <v>0</v>
      </c>
      <c r="P2352" s="79">
        <v>0</v>
      </c>
    </row>
    <row r="2353" spans="1:16" x14ac:dyDescent="0.25">
      <c r="A2353" t="s">
        <v>32</v>
      </c>
      <c r="B2353" s="73" t="str">
        <f>VLOOKUP(C2353,'Büyükşehir List'!$C$2:$D$31,2,FALSE)</f>
        <v>MUĞLA BÜYÜKŞEHİR</v>
      </c>
      <c r="C2353" t="s">
        <v>124</v>
      </c>
      <c r="D2353" s="73" t="str">
        <f t="shared" si="54"/>
        <v>MUĞLA BÜYÜKŞEHİR/MUĞLA</v>
      </c>
      <c r="E2353" t="s">
        <v>3832</v>
      </c>
      <c r="F2353" t="s">
        <v>3832</v>
      </c>
      <c r="G2353" t="s">
        <v>3367</v>
      </c>
      <c r="H2353">
        <v>5041.6000000000004</v>
      </c>
      <c r="I2353">
        <v>504.16</v>
      </c>
      <c r="J2353">
        <v>576.79999999999995</v>
      </c>
      <c r="K2353">
        <v>57.68</v>
      </c>
      <c r="L2353">
        <v>4464.8</v>
      </c>
      <c r="M2353">
        <v>446.48</v>
      </c>
      <c r="O2353" s="79">
        <f>IFERROR(VLOOKUP(D2353,'KAPANAN BLD.'!$C$2:$D$793,2,FALSE),0)</f>
        <v>0</v>
      </c>
      <c r="P2353" s="79">
        <v>0</v>
      </c>
    </row>
    <row r="2354" spans="1:16" x14ac:dyDescent="0.25">
      <c r="A2354" t="s">
        <v>32</v>
      </c>
      <c r="B2354" s="73" t="str">
        <f>VLOOKUP(C2354,'Büyükşehir List'!$C$2:$D$31,2,FALSE)</f>
        <v>MUĞLA BÜYÜKŞEHİR</v>
      </c>
      <c r="C2354" t="s">
        <v>124</v>
      </c>
      <c r="D2354" s="73" t="str">
        <f t="shared" si="54"/>
        <v>MUĞLA BÜYÜKŞEHİR/MUĞLA</v>
      </c>
      <c r="E2354" t="s">
        <v>127</v>
      </c>
      <c r="F2354" t="s">
        <v>127</v>
      </c>
      <c r="G2354" t="s">
        <v>3366</v>
      </c>
      <c r="H2354">
        <v>16626.5</v>
      </c>
      <c r="I2354">
        <v>1662.65</v>
      </c>
      <c r="J2354">
        <v>0</v>
      </c>
      <c r="K2354">
        <v>0</v>
      </c>
      <c r="L2354">
        <v>16626.5</v>
      </c>
      <c r="M2354">
        <v>1662.65</v>
      </c>
      <c r="O2354" s="79">
        <f>IFERROR(VLOOKUP(D2354,'KAPANAN BLD.'!$C$2:$D$793,2,FALSE),0)</f>
        <v>0</v>
      </c>
      <c r="P2354" s="79">
        <v>0</v>
      </c>
    </row>
    <row r="2355" spans="1:16" x14ac:dyDescent="0.25">
      <c r="A2355" t="s">
        <v>32</v>
      </c>
      <c r="B2355" s="73" t="str">
        <f>VLOOKUP(C2355,'Büyükşehir List'!$C$2:$D$31,2,FALSE)</f>
        <v>MUĞLA BÜYÜKŞEHİR</v>
      </c>
      <c r="C2355" t="s">
        <v>124</v>
      </c>
      <c r="D2355" s="73" t="str">
        <f t="shared" si="54"/>
        <v>MUĞLA BÜYÜKŞEHİR/MUĞLA</v>
      </c>
      <c r="E2355" t="s">
        <v>127</v>
      </c>
      <c r="F2355" t="s">
        <v>127</v>
      </c>
      <c r="G2355" t="s">
        <v>3367</v>
      </c>
      <c r="H2355">
        <v>52877.5</v>
      </c>
      <c r="I2355">
        <v>5287.75</v>
      </c>
      <c r="J2355">
        <v>0</v>
      </c>
      <c r="K2355">
        <v>0</v>
      </c>
      <c r="L2355">
        <v>52877.5</v>
      </c>
      <c r="M2355">
        <v>5287.75</v>
      </c>
      <c r="O2355" s="79">
        <f>IFERROR(VLOOKUP(D2355,'KAPANAN BLD.'!$C$2:$D$793,2,FALSE),0)</f>
        <v>0</v>
      </c>
      <c r="P2355" s="79">
        <v>0</v>
      </c>
    </row>
    <row r="2356" spans="1:16" x14ac:dyDescent="0.25">
      <c r="A2356" t="s">
        <v>32</v>
      </c>
      <c r="B2356" s="73" t="str">
        <f>VLOOKUP(C2356,'Büyükşehir List'!$C$2:$D$31,2,FALSE)</f>
        <v>MUĞLA BÜYÜKŞEHİR</v>
      </c>
      <c r="C2356" t="s">
        <v>124</v>
      </c>
      <c r="D2356" s="73" t="str">
        <f t="shared" si="54"/>
        <v>MUĞLA BÜYÜKŞEHİR/MUĞLA</v>
      </c>
      <c r="E2356" t="s">
        <v>4526</v>
      </c>
      <c r="F2356" t="s">
        <v>4526</v>
      </c>
      <c r="G2356" t="s">
        <v>3367</v>
      </c>
      <c r="H2356">
        <v>2158.8000000000002</v>
      </c>
      <c r="I2356">
        <v>215.88</v>
      </c>
      <c r="J2356">
        <v>0</v>
      </c>
      <c r="K2356">
        <v>0</v>
      </c>
      <c r="L2356">
        <v>2158.8000000000002</v>
      </c>
      <c r="M2356">
        <v>215.88</v>
      </c>
      <c r="O2356" s="79">
        <f>IFERROR(VLOOKUP(D2356,'KAPANAN BLD.'!$C$2:$D$793,2,FALSE),0)</f>
        <v>0</v>
      </c>
      <c r="P2356" s="79">
        <v>0</v>
      </c>
    </row>
    <row r="2357" spans="1:16" x14ac:dyDescent="0.25">
      <c r="A2357" t="s">
        <v>32</v>
      </c>
      <c r="B2357" s="73" t="str">
        <f>VLOOKUP(C2357,'Büyükşehir List'!$C$2:$D$31,2,FALSE)</f>
        <v>MUĞLA BÜYÜKŞEHİR</v>
      </c>
      <c r="C2357" t="s">
        <v>124</v>
      </c>
      <c r="D2357" s="73" t="str">
        <f t="shared" si="54"/>
        <v>MUĞLA BÜYÜKŞEHİR/MUĞLA</v>
      </c>
      <c r="E2357" t="s">
        <v>34</v>
      </c>
      <c r="F2357" t="s">
        <v>34</v>
      </c>
      <c r="G2357" t="s">
        <v>3366</v>
      </c>
      <c r="H2357">
        <v>12582.4</v>
      </c>
      <c r="I2357">
        <v>1258.24</v>
      </c>
      <c r="J2357">
        <v>4777.5</v>
      </c>
      <c r="K2357">
        <v>477.75</v>
      </c>
      <c r="L2357">
        <v>7804.9</v>
      </c>
      <c r="M2357">
        <v>780.49</v>
      </c>
      <c r="O2357" s="79">
        <f>IFERROR(VLOOKUP(D2357,'KAPANAN BLD.'!$C$2:$D$793,2,FALSE),0)</f>
        <v>0</v>
      </c>
      <c r="P2357" s="79">
        <v>0</v>
      </c>
    </row>
    <row r="2358" spans="1:16" x14ac:dyDescent="0.25">
      <c r="A2358" t="s">
        <v>32</v>
      </c>
      <c r="B2358" s="73" t="str">
        <f>VLOOKUP(C2358,'Büyükşehir List'!$C$2:$D$31,2,FALSE)</f>
        <v>MUĞLA BÜYÜKŞEHİR</v>
      </c>
      <c r="C2358" t="s">
        <v>124</v>
      </c>
      <c r="D2358" s="73" t="str">
        <f t="shared" si="54"/>
        <v>MUĞLA BÜYÜKŞEHİR/MUĞLA</v>
      </c>
      <c r="E2358" t="s">
        <v>34</v>
      </c>
      <c r="F2358" t="s">
        <v>34</v>
      </c>
      <c r="G2358" t="s">
        <v>3367</v>
      </c>
      <c r="H2358">
        <v>11711.5</v>
      </c>
      <c r="I2358">
        <v>1171.1500000000001</v>
      </c>
      <c r="J2358">
        <v>8085.7</v>
      </c>
      <c r="K2358">
        <v>808.57</v>
      </c>
      <c r="L2358">
        <v>3625.8</v>
      </c>
      <c r="M2358">
        <v>362.58</v>
      </c>
      <c r="O2358" s="79">
        <f>IFERROR(VLOOKUP(D2358,'KAPANAN BLD.'!$C$2:$D$793,2,FALSE),0)</f>
        <v>0</v>
      </c>
      <c r="P2358" s="79">
        <v>0</v>
      </c>
    </row>
    <row r="2359" spans="1:16" x14ac:dyDescent="0.25">
      <c r="A2359" t="s">
        <v>32</v>
      </c>
      <c r="B2359" s="73" t="str">
        <f>VLOOKUP(C2359,'Büyükşehir List'!$C$2:$D$31,2,FALSE)</f>
        <v>MUĞLA BÜYÜKŞEHİR</v>
      </c>
      <c r="C2359" t="s">
        <v>124</v>
      </c>
      <c r="D2359" s="73" t="str">
        <f t="shared" si="54"/>
        <v>MUĞLA BÜYÜKŞEHİR/MUĞLA</v>
      </c>
      <c r="E2359" t="s">
        <v>128</v>
      </c>
      <c r="F2359" t="s">
        <v>128</v>
      </c>
      <c r="G2359" t="s">
        <v>3366</v>
      </c>
      <c r="H2359">
        <v>6339.6</v>
      </c>
      <c r="I2359">
        <v>633.96</v>
      </c>
      <c r="J2359">
        <v>0</v>
      </c>
      <c r="K2359">
        <v>0</v>
      </c>
      <c r="L2359">
        <v>6339.6</v>
      </c>
      <c r="M2359">
        <v>633.96</v>
      </c>
      <c r="O2359" s="79">
        <f>IFERROR(VLOOKUP(D2359,'KAPANAN BLD.'!$C$2:$D$793,2,FALSE),0)</f>
        <v>0</v>
      </c>
      <c r="P2359" s="79">
        <v>0</v>
      </c>
    </row>
    <row r="2360" spans="1:16" x14ac:dyDescent="0.25">
      <c r="A2360" t="s">
        <v>32</v>
      </c>
      <c r="B2360" s="73" t="str">
        <f>VLOOKUP(C2360,'Büyükşehir List'!$C$2:$D$31,2,FALSE)</f>
        <v>MUĞLA BÜYÜKŞEHİR</v>
      </c>
      <c r="C2360" t="s">
        <v>124</v>
      </c>
      <c r="D2360" s="73" t="str">
        <f t="shared" si="54"/>
        <v>MUĞLA BÜYÜKŞEHİR/MUĞLA</v>
      </c>
      <c r="E2360" t="s">
        <v>128</v>
      </c>
      <c r="F2360" t="s">
        <v>128</v>
      </c>
      <c r="G2360" t="s">
        <v>3367</v>
      </c>
      <c r="H2360">
        <v>26328.799999999999</v>
      </c>
      <c r="I2360">
        <v>2632.88</v>
      </c>
      <c r="J2360">
        <v>0</v>
      </c>
      <c r="K2360">
        <v>0</v>
      </c>
      <c r="L2360">
        <v>26328.799999999999</v>
      </c>
      <c r="M2360">
        <v>2632.88</v>
      </c>
      <c r="O2360" s="79">
        <f>IFERROR(VLOOKUP(D2360,'KAPANAN BLD.'!$C$2:$D$793,2,FALSE),0)</f>
        <v>0</v>
      </c>
      <c r="P2360" s="79">
        <v>0</v>
      </c>
    </row>
    <row r="2361" spans="1:16" x14ac:dyDescent="0.25">
      <c r="A2361" t="s">
        <v>32</v>
      </c>
      <c r="B2361" s="73" t="str">
        <f>VLOOKUP(C2361,'Büyükşehir List'!$C$2:$D$31,2,FALSE)</f>
        <v>MUĞLA BÜYÜKŞEHİR</v>
      </c>
      <c r="C2361" t="s">
        <v>124</v>
      </c>
      <c r="D2361" s="73" t="str">
        <f t="shared" si="54"/>
        <v>MUĞLA BÜYÜKŞEHİR/MUĞLA</v>
      </c>
      <c r="E2361" t="s">
        <v>665</v>
      </c>
      <c r="F2361" t="s">
        <v>665</v>
      </c>
      <c r="G2361" t="s">
        <v>3366</v>
      </c>
      <c r="H2361">
        <v>5432.11</v>
      </c>
      <c r="I2361">
        <v>543.21</v>
      </c>
      <c r="J2361">
        <v>93</v>
      </c>
      <c r="K2361">
        <v>9.3000000000000007</v>
      </c>
      <c r="L2361">
        <v>5339.11</v>
      </c>
      <c r="M2361">
        <v>533.91</v>
      </c>
      <c r="O2361" s="79">
        <f>IFERROR(VLOOKUP(D2361,'KAPANAN BLD.'!$C$2:$D$793,2,FALSE),0)</f>
        <v>0</v>
      </c>
      <c r="P2361" s="79">
        <v>0</v>
      </c>
    </row>
    <row r="2362" spans="1:16" x14ac:dyDescent="0.25">
      <c r="A2362" t="s">
        <v>32</v>
      </c>
      <c r="B2362" s="73" t="str">
        <f>VLOOKUP(C2362,'Büyükşehir List'!$C$2:$D$31,2,FALSE)</f>
        <v>MUĞLA BÜYÜKŞEHİR</v>
      </c>
      <c r="C2362" t="s">
        <v>124</v>
      </c>
      <c r="D2362" s="73" t="str">
        <f t="shared" si="54"/>
        <v>MUĞLA BÜYÜKŞEHİR/MUĞLA</v>
      </c>
      <c r="E2362" t="s">
        <v>665</v>
      </c>
      <c r="F2362" t="s">
        <v>665</v>
      </c>
      <c r="G2362" t="s">
        <v>3367</v>
      </c>
      <c r="H2362">
        <v>9617.33</v>
      </c>
      <c r="I2362">
        <v>961.73</v>
      </c>
      <c r="J2362">
        <v>142.19999999999999</v>
      </c>
      <c r="K2362">
        <v>14.22</v>
      </c>
      <c r="L2362">
        <v>9475.1299999999992</v>
      </c>
      <c r="M2362">
        <v>947.51</v>
      </c>
      <c r="O2362" s="79">
        <f>IFERROR(VLOOKUP(D2362,'KAPANAN BLD.'!$C$2:$D$793,2,FALSE),0)</f>
        <v>0</v>
      </c>
      <c r="P2362" s="79">
        <v>0</v>
      </c>
    </row>
    <row r="2363" spans="1:16" x14ac:dyDescent="0.25">
      <c r="A2363" t="s">
        <v>32</v>
      </c>
      <c r="B2363" s="73" t="str">
        <f>VLOOKUP(C2363,'Büyükşehir List'!$C$2:$D$31,2,FALSE)</f>
        <v>MUĞLA BÜYÜKŞEHİR</v>
      </c>
      <c r="C2363" t="s">
        <v>124</v>
      </c>
      <c r="D2363" s="73" t="str">
        <f t="shared" si="54"/>
        <v>MUĞLA BÜYÜKŞEHİR/MUĞLA</v>
      </c>
      <c r="E2363" t="s">
        <v>187</v>
      </c>
      <c r="F2363" t="s">
        <v>187</v>
      </c>
      <c r="G2363" t="s">
        <v>3366</v>
      </c>
      <c r="H2363">
        <v>7744.39</v>
      </c>
      <c r="I2363">
        <v>774.45</v>
      </c>
      <c r="J2363">
        <v>1448.4</v>
      </c>
      <c r="K2363">
        <v>144.84</v>
      </c>
      <c r="L2363">
        <v>6295.99</v>
      </c>
      <c r="M2363">
        <v>629.61</v>
      </c>
      <c r="O2363" s="79">
        <f>IFERROR(VLOOKUP(D2363,'KAPANAN BLD.'!$C$2:$D$793,2,FALSE),0)</f>
        <v>0</v>
      </c>
      <c r="P2363" s="79">
        <v>0</v>
      </c>
    </row>
    <row r="2364" spans="1:16" x14ac:dyDescent="0.25">
      <c r="A2364" t="s">
        <v>32</v>
      </c>
      <c r="B2364" s="73" t="str">
        <f>VLOOKUP(C2364,'Büyükşehir List'!$C$2:$D$31,2,FALSE)</f>
        <v>MUĞLA BÜYÜKŞEHİR</v>
      </c>
      <c r="C2364" t="s">
        <v>124</v>
      </c>
      <c r="D2364" s="73" t="str">
        <f t="shared" si="54"/>
        <v>MUĞLA BÜYÜKŞEHİR/MUĞLA</v>
      </c>
      <c r="E2364" t="s">
        <v>187</v>
      </c>
      <c r="F2364" t="s">
        <v>187</v>
      </c>
      <c r="G2364" t="s">
        <v>3367</v>
      </c>
      <c r="H2364">
        <v>7657.3</v>
      </c>
      <c r="I2364">
        <v>765.73</v>
      </c>
      <c r="J2364">
        <v>3836.8</v>
      </c>
      <c r="K2364">
        <v>383.68</v>
      </c>
      <c r="L2364">
        <v>3820.5</v>
      </c>
      <c r="M2364">
        <v>382.05</v>
      </c>
      <c r="O2364" s="79">
        <f>IFERROR(VLOOKUP(D2364,'KAPANAN BLD.'!$C$2:$D$793,2,FALSE),0)</f>
        <v>0</v>
      </c>
      <c r="P2364" s="79">
        <v>0</v>
      </c>
    </row>
    <row r="2365" spans="1:16" x14ac:dyDescent="0.25">
      <c r="A2365" t="s">
        <v>32</v>
      </c>
      <c r="B2365" s="73" t="str">
        <f>VLOOKUP(C2365,'Büyükşehir List'!$C$2:$D$31,2,FALSE)</f>
        <v>MUĞLA BÜYÜKŞEHİR</v>
      </c>
      <c r="C2365" t="s">
        <v>124</v>
      </c>
      <c r="D2365" s="73" t="str">
        <f t="shared" si="54"/>
        <v>MUĞLA BÜYÜKŞEHİR/MUĞLA</v>
      </c>
      <c r="E2365" t="s">
        <v>1893</v>
      </c>
      <c r="F2365" t="s">
        <v>1893</v>
      </c>
      <c r="G2365" t="s">
        <v>3366</v>
      </c>
      <c r="H2365">
        <v>20477.45</v>
      </c>
      <c r="I2365">
        <v>2047.75</v>
      </c>
      <c r="J2365">
        <v>128.26</v>
      </c>
      <c r="K2365">
        <v>12.83</v>
      </c>
      <c r="L2365">
        <v>20349.189999999999</v>
      </c>
      <c r="M2365">
        <v>2034.92</v>
      </c>
      <c r="O2365" s="79">
        <f>IFERROR(VLOOKUP(D2365,'KAPANAN BLD.'!$C$2:$D$793,2,FALSE),0)</f>
        <v>0</v>
      </c>
      <c r="P2365" s="79">
        <v>0</v>
      </c>
    </row>
    <row r="2366" spans="1:16" x14ac:dyDescent="0.25">
      <c r="A2366" t="s">
        <v>32</v>
      </c>
      <c r="B2366" s="73" t="str">
        <f>VLOOKUP(C2366,'Büyükşehir List'!$C$2:$D$31,2,FALSE)</f>
        <v>MUĞLA BÜYÜKŞEHİR</v>
      </c>
      <c r="C2366" t="s">
        <v>124</v>
      </c>
      <c r="D2366" s="73" t="str">
        <f t="shared" si="54"/>
        <v>MUĞLA BÜYÜKŞEHİR/MUĞLA</v>
      </c>
      <c r="E2366" t="s">
        <v>1893</v>
      </c>
      <c r="F2366" t="s">
        <v>1893</v>
      </c>
      <c r="G2366" t="s">
        <v>3367</v>
      </c>
      <c r="H2366">
        <v>19356.830000000002</v>
      </c>
      <c r="I2366">
        <v>1935.69</v>
      </c>
      <c r="J2366">
        <v>601.41</v>
      </c>
      <c r="K2366">
        <v>60.14</v>
      </c>
      <c r="L2366">
        <v>18755.419999999998</v>
      </c>
      <c r="M2366">
        <v>1875.55</v>
      </c>
      <c r="O2366" s="79">
        <f>IFERROR(VLOOKUP(D2366,'KAPANAN BLD.'!$C$2:$D$793,2,FALSE),0)</f>
        <v>0</v>
      </c>
      <c r="P2366" s="79">
        <v>0</v>
      </c>
    </row>
    <row r="2367" spans="1:16" x14ac:dyDescent="0.25">
      <c r="A2367" t="s">
        <v>32</v>
      </c>
      <c r="B2367" s="73" t="str">
        <f>VLOOKUP(C2367,'Büyükşehir List'!$C$2:$D$31,2,FALSE)</f>
        <v>MUĞLA BÜYÜKŞEHİR</v>
      </c>
      <c r="C2367" t="s">
        <v>124</v>
      </c>
      <c r="D2367" s="73" t="str">
        <f t="shared" si="54"/>
        <v>MUĞLA BÜYÜKŞEHİR/MUĞLA</v>
      </c>
      <c r="E2367" t="s">
        <v>96</v>
      </c>
      <c r="F2367" t="s">
        <v>96</v>
      </c>
      <c r="G2367" t="s">
        <v>3367</v>
      </c>
      <c r="H2367">
        <v>3677.44</v>
      </c>
      <c r="I2367">
        <v>367.75</v>
      </c>
      <c r="J2367">
        <v>210.6</v>
      </c>
      <c r="K2367">
        <v>21.06</v>
      </c>
      <c r="L2367">
        <v>3466.84</v>
      </c>
      <c r="M2367">
        <v>346.69</v>
      </c>
      <c r="O2367" s="79">
        <f>IFERROR(VLOOKUP(D2367,'KAPANAN BLD.'!$C$2:$D$793,2,FALSE),0)</f>
        <v>0</v>
      </c>
      <c r="P2367" s="79">
        <v>0</v>
      </c>
    </row>
    <row r="2368" spans="1:16" x14ac:dyDescent="0.25">
      <c r="A2368" t="s">
        <v>32</v>
      </c>
      <c r="B2368" s="73" t="str">
        <f>VLOOKUP(C2368,'Büyükşehir List'!$C$2:$D$31,2,FALSE)</f>
        <v>MUĞLA BÜYÜKŞEHİR</v>
      </c>
      <c r="C2368" t="s">
        <v>124</v>
      </c>
      <c r="D2368" s="73" t="str">
        <f t="shared" si="54"/>
        <v>MUĞLA BÜYÜKŞEHİR/MUĞLA</v>
      </c>
      <c r="E2368" t="s">
        <v>96</v>
      </c>
      <c r="F2368" t="s">
        <v>96</v>
      </c>
      <c r="G2368" t="s">
        <v>3366</v>
      </c>
      <c r="H2368">
        <v>2675.56</v>
      </c>
      <c r="I2368">
        <v>267.56</v>
      </c>
      <c r="J2368">
        <v>1118.3</v>
      </c>
      <c r="K2368">
        <v>111.83</v>
      </c>
      <c r="L2368">
        <v>1557.26</v>
      </c>
      <c r="M2368">
        <v>155.72999999999999</v>
      </c>
      <c r="O2368" s="79">
        <f>IFERROR(VLOOKUP(D2368,'KAPANAN BLD.'!$C$2:$D$793,2,FALSE),0)</f>
        <v>0</v>
      </c>
      <c r="P2368" s="79">
        <v>0</v>
      </c>
    </row>
    <row r="2369" spans="1:16" x14ac:dyDescent="0.25">
      <c r="A2369" t="s">
        <v>32</v>
      </c>
      <c r="B2369" s="73" t="str">
        <f>VLOOKUP(C2369,'Büyükşehir List'!$C$2:$D$31,2,FALSE)</f>
        <v>MUĞLA BÜYÜKŞEHİR</v>
      </c>
      <c r="C2369" t="s">
        <v>124</v>
      </c>
      <c r="D2369" s="73" t="str">
        <f t="shared" si="54"/>
        <v>MUĞLA BÜYÜKŞEHİR/MUĞLA</v>
      </c>
      <c r="E2369" t="s">
        <v>3378</v>
      </c>
      <c r="F2369" t="s">
        <v>3378</v>
      </c>
      <c r="G2369" t="s">
        <v>3367</v>
      </c>
      <c r="H2369">
        <v>33763.300000000003</v>
      </c>
      <c r="I2369">
        <v>3376.33</v>
      </c>
      <c r="J2369">
        <v>0</v>
      </c>
      <c r="K2369">
        <v>0</v>
      </c>
      <c r="L2369">
        <v>33763.300000000003</v>
      </c>
      <c r="M2369">
        <v>3376.33</v>
      </c>
      <c r="O2369" s="79">
        <f>IFERROR(VLOOKUP(D2369,'KAPANAN BLD.'!$C$2:$D$793,2,FALSE),0)</f>
        <v>0</v>
      </c>
      <c r="P2369" s="79">
        <v>0</v>
      </c>
    </row>
    <row r="2370" spans="1:16" x14ac:dyDescent="0.25">
      <c r="A2370" t="s">
        <v>32</v>
      </c>
      <c r="B2370" s="73" t="str">
        <f>VLOOKUP(C2370,'Büyükşehir List'!$C$2:$D$31,2,FALSE)</f>
        <v>MUĞLA BÜYÜKŞEHİR</v>
      </c>
      <c r="C2370" t="s">
        <v>124</v>
      </c>
      <c r="D2370" s="73" t="str">
        <f t="shared" si="54"/>
        <v>MUĞLA BÜYÜKŞEHİR/MUĞLA</v>
      </c>
      <c r="E2370" t="s">
        <v>3378</v>
      </c>
      <c r="F2370" t="s">
        <v>3378</v>
      </c>
      <c r="G2370" t="s">
        <v>3366</v>
      </c>
      <c r="H2370">
        <v>46835.199999999997</v>
      </c>
      <c r="I2370">
        <v>4683.5200000000004</v>
      </c>
      <c r="J2370">
        <v>0</v>
      </c>
      <c r="K2370">
        <v>0</v>
      </c>
      <c r="L2370">
        <v>46835.199999999997</v>
      </c>
      <c r="M2370">
        <v>4683.5200000000004</v>
      </c>
      <c r="O2370" s="79">
        <f>IFERROR(VLOOKUP(D2370,'KAPANAN BLD.'!$C$2:$D$793,2,FALSE),0)</f>
        <v>0</v>
      </c>
      <c r="P2370" s="79">
        <v>0</v>
      </c>
    </row>
    <row r="2371" spans="1:16" x14ac:dyDescent="0.25">
      <c r="A2371" t="s">
        <v>32</v>
      </c>
      <c r="B2371" s="73" t="str">
        <f>VLOOKUP(C2371,'Büyükşehir List'!$C$2:$D$31,2,FALSE)</f>
        <v>MUĞLA BÜYÜKŞEHİR</v>
      </c>
      <c r="C2371" t="s">
        <v>124</v>
      </c>
      <c r="D2371" s="73" t="str">
        <f t="shared" ref="D2371:D2434" si="55">CONCATENATE(B2371,"/",C2371)</f>
        <v>MUĞLA BÜYÜKŞEHİR/MUĞLA</v>
      </c>
      <c r="E2371" t="s">
        <v>3833</v>
      </c>
      <c r="F2371" t="s">
        <v>3833</v>
      </c>
      <c r="G2371" t="s">
        <v>3366</v>
      </c>
      <c r="H2371">
        <v>6761.2</v>
      </c>
      <c r="I2371">
        <v>676.12</v>
      </c>
      <c r="J2371">
        <v>1373.3</v>
      </c>
      <c r="K2371">
        <v>137.33000000000001</v>
      </c>
      <c r="L2371">
        <v>5387.9</v>
      </c>
      <c r="M2371">
        <v>538.79</v>
      </c>
      <c r="O2371" s="79">
        <f>IFERROR(VLOOKUP(D2371,'KAPANAN BLD.'!$C$2:$D$793,2,FALSE),0)</f>
        <v>0</v>
      </c>
      <c r="P2371" s="79">
        <v>0</v>
      </c>
    </row>
    <row r="2372" spans="1:16" x14ac:dyDescent="0.25">
      <c r="A2372" t="s">
        <v>32</v>
      </c>
      <c r="B2372" s="73" t="str">
        <f>VLOOKUP(C2372,'Büyükşehir List'!$C$2:$D$31,2,FALSE)</f>
        <v>MUĞLA BÜYÜKŞEHİR</v>
      </c>
      <c r="C2372" t="s">
        <v>124</v>
      </c>
      <c r="D2372" s="73" t="str">
        <f t="shared" si="55"/>
        <v>MUĞLA BÜYÜKŞEHİR/MUĞLA</v>
      </c>
      <c r="E2372" t="s">
        <v>3833</v>
      </c>
      <c r="F2372" t="s">
        <v>3833</v>
      </c>
      <c r="G2372" t="s">
        <v>3367</v>
      </c>
      <c r="H2372">
        <v>3504.2</v>
      </c>
      <c r="I2372">
        <v>350.42</v>
      </c>
      <c r="J2372">
        <v>986.1</v>
      </c>
      <c r="K2372">
        <v>98.61</v>
      </c>
      <c r="L2372">
        <v>2518.1</v>
      </c>
      <c r="M2372">
        <v>251.81</v>
      </c>
      <c r="O2372" s="79">
        <f>IFERROR(VLOOKUP(D2372,'KAPANAN BLD.'!$C$2:$D$793,2,FALSE),0)</f>
        <v>0</v>
      </c>
      <c r="P2372" s="79">
        <v>0</v>
      </c>
    </row>
    <row r="2373" spans="1:16" x14ac:dyDescent="0.25">
      <c r="A2373" t="s">
        <v>32</v>
      </c>
      <c r="B2373" s="73" t="str">
        <f>VLOOKUP(C2373,'Büyükşehir List'!$C$2:$D$31,2,FALSE)</f>
        <v>MUĞLA BÜYÜKŞEHİR</v>
      </c>
      <c r="C2373" t="s">
        <v>124</v>
      </c>
      <c r="D2373" s="73" t="str">
        <f t="shared" si="55"/>
        <v>MUĞLA BÜYÜKŞEHİR/MUĞLA</v>
      </c>
      <c r="E2373" t="s">
        <v>3834</v>
      </c>
      <c r="F2373" t="s">
        <v>3834</v>
      </c>
      <c r="G2373" t="s">
        <v>3366</v>
      </c>
      <c r="H2373">
        <v>1127.5999999999999</v>
      </c>
      <c r="I2373">
        <v>112.76</v>
      </c>
      <c r="J2373">
        <v>157.6</v>
      </c>
      <c r="K2373">
        <v>15.76</v>
      </c>
      <c r="L2373">
        <v>970</v>
      </c>
      <c r="M2373">
        <v>97</v>
      </c>
      <c r="O2373" s="79">
        <f>IFERROR(VLOOKUP(D2373,'KAPANAN BLD.'!$C$2:$D$793,2,FALSE),0)</f>
        <v>0</v>
      </c>
      <c r="P2373" s="79">
        <v>0</v>
      </c>
    </row>
    <row r="2374" spans="1:16" x14ac:dyDescent="0.25">
      <c r="A2374" t="s">
        <v>32</v>
      </c>
      <c r="B2374" s="73" t="str">
        <f>VLOOKUP(C2374,'Büyükşehir List'!$C$2:$D$31,2,FALSE)</f>
        <v>MUĞLA BÜYÜKŞEHİR</v>
      </c>
      <c r="C2374" t="s">
        <v>124</v>
      </c>
      <c r="D2374" s="73" t="str">
        <f t="shared" si="55"/>
        <v>MUĞLA BÜYÜKŞEHİR/MUĞLA</v>
      </c>
      <c r="E2374" t="s">
        <v>3834</v>
      </c>
      <c r="F2374" t="s">
        <v>3834</v>
      </c>
      <c r="G2374" t="s">
        <v>3367</v>
      </c>
      <c r="H2374">
        <v>1663.9</v>
      </c>
      <c r="I2374">
        <v>166.39</v>
      </c>
      <c r="J2374">
        <v>5.8</v>
      </c>
      <c r="K2374">
        <v>0.57999999999999996</v>
      </c>
      <c r="L2374">
        <v>1658.1</v>
      </c>
      <c r="M2374">
        <v>165.81</v>
      </c>
      <c r="O2374" s="79">
        <f>IFERROR(VLOOKUP(D2374,'KAPANAN BLD.'!$C$2:$D$793,2,FALSE),0)</f>
        <v>0</v>
      </c>
      <c r="P2374" s="79">
        <v>0</v>
      </c>
    </row>
    <row r="2375" spans="1:16" x14ac:dyDescent="0.25">
      <c r="A2375" t="s">
        <v>32</v>
      </c>
      <c r="B2375" s="73" t="str">
        <f>VLOOKUP(C2375,'Büyükşehir List'!$C$2:$D$31,2,FALSE)</f>
        <v>MUĞLA BÜYÜKŞEHİR</v>
      </c>
      <c r="C2375" t="s">
        <v>124</v>
      </c>
      <c r="D2375" s="73" t="str">
        <f t="shared" si="55"/>
        <v>MUĞLA BÜYÜKŞEHİR/MUĞLA</v>
      </c>
      <c r="E2375" t="s">
        <v>3835</v>
      </c>
      <c r="F2375" t="s">
        <v>3835</v>
      </c>
      <c r="G2375" t="s">
        <v>3366</v>
      </c>
      <c r="H2375">
        <v>474.3</v>
      </c>
      <c r="I2375">
        <v>47.43</v>
      </c>
      <c r="J2375">
        <v>187.3</v>
      </c>
      <c r="K2375">
        <v>18.73</v>
      </c>
      <c r="L2375">
        <v>287</v>
      </c>
      <c r="M2375">
        <v>28.7</v>
      </c>
      <c r="O2375" s="79">
        <f>IFERROR(VLOOKUP(D2375,'KAPANAN BLD.'!$C$2:$D$793,2,FALSE),0)</f>
        <v>0</v>
      </c>
      <c r="P2375" s="79">
        <v>0</v>
      </c>
    </row>
    <row r="2376" spans="1:16" x14ac:dyDescent="0.25">
      <c r="A2376" t="s">
        <v>32</v>
      </c>
      <c r="B2376" s="73" t="str">
        <f>VLOOKUP(C2376,'Büyükşehir List'!$C$2:$D$31,2,FALSE)</f>
        <v>MUĞLA BÜYÜKŞEHİR</v>
      </c>
      <c r="C2376" t="s">
        <v>124</v>
      </c>
      <c r="D2376" s="73" t="str">
        <f t="shared" si="55"/>
        <v>MUĞLA BÜYÜKŞEHİR/MUĞLA</v>
      </c>
      <c r="E2376" t="s">
        <v>3835</v>
      </c>
      <c r="F2376" t="s">
        <v>3835</v>
      </c>
      <c r="G2376" t="s">
        <v>3367</v>
      </c>
      <c r="H2376">
        <v>1679.4</v>
      </c>
      <c r="I2376">
        <v>167.94</v>
      </c>
      <c r="J2376">
        <v>8.1</v>
      </c>
      <c r="K2376">
        <v>0.81</v>
      </c>
      <c r="L2376">
        <v>1671.3</v>
      </c>
      <c r="M2376">
        <v>167.13</v>
      </c>
      <c r="O2376" s="79">
        <f>IFERROR(VLOOKUP(D2376,'KAPANAN BLD.'!$C$2:$D$793,2,FALSE),0)</f>
        <v>0</v>
      </c>
      <c r="P2376" s="79">
        <v>0</v>
      </c>
    </row>
    <row r="2377" spans="1:16" x14ac:dyDescent="0.25">
      <c r="A2377" t="s">
        <v>32</v>
      </c>
      <c r="B2377" s="73" t="str">
        <f>VLOOKUP(C2377,'Büyükşehir List'!$C$2:$D$31,2,FALSE)</f>
        <v>MUĞLA BÜYÜKŞEHİR</v>
      </c>
      <c r="C2377" t="s">
        <v>124</v>
      </c>
      <c r="D2377" s="73" t="str">
        <f t="shared" si="55"/>
        <v>MUĞLA BÜYÜKŞEHİR/MUĞLA</v>
      </c>
      <c r="E2377" t="s">
        <v>180</v>
      </c>
      <c r="F2377" t="s">
        <v>180</v>
      </c>
      <c r="G2377" t="s">
        <v>3366</v>
      </c>
      <c r="H2377">
        <v>3327.6</v>
      </c>
      <c r="I2377">
        <v>332.76</v>
      </c>
      <c r="J2377">
        <v>99.5</v>
      </c>
      <c r="K2377">
        <v>9.9499999999999993</v>
      </c>
      <c r="L2377">
        <v>3228.1</v>
      </c>
      <c r="M2377">
        <v>322.81</v>
      </c>
      <c r="O2377" s="79">
        <f>IFERROR(VLOOKUP(D2377,'KAPANAN BLD.'!$C$2:$D$793,2,FALSE),0)</f>
        <v>0</v>
      </c>
      <c r="P2377" s="79">
        <v>0</v>
      </c>
    </row>
    <row r="2378" spans="1:16" x14ac:dyDescent="0.25">
      <c r="A2378" t="s">
        <v>32</v>
      </c>
      <c r="B2378" s="73" t="str">
        <f>VLOOKUP(C2378,'Büyükşehir List'!$C$2:$D$31,2,FALSE)</f>
        <v>MUĞLA BÜYÜKŞEHİR</v>
      </c>
      <c r="C2378" t="s">
        <v>124</v>
      </c>
      <c r="D2378" s="73" t="str">
        <f t="shared" si="55"/>
        <v>MUĞLA BÜYÜKŞEHİR/MUĞLA</v>
      </c>
      <c r="E2378" t="s">
        <v>180</v>
      </c>
      <c r="F2378" t="s">
        <v>180</v>
      </c>
      <c r="G2378" t="s">
        <v>3367</v>
      </c>
      <c r="H2378">
        <v>4873.3</v>
      </c>
      <c r="I2378">
        <v>487.33</v>
      </c>
      <c r="J2378">
        <v>501.9</v>
      </c>
      <c r="K2378">
        <v>50.19</v>
      </c>
      <c r="L2378">
        <v>4371.3999999999996</v>
      </c>
      <c r="M2378">
        <v>437.14</v>
      </c>
      <c r="O2378" s="79">
        <f>IFERROR(VLOOKUP(D2378,'KAPANAN BLD.'!$C$2:$D$793,2,FALSE),0)</f>
        <v>0</v>
      </c>
      <c r="P2378" s="79">
        <v>0</v>
      </c>
    </row>
    <row r="2379" spans="1:16" x14ac:dyDescent="0.25">
      <c r="A2379" t="s">
        <v>32</v>
      </c>
      <c r="B2379" s="73" t="str">
        <f>VLOOKUP(C2379,'Büyükşehir List'!$C$2:$D$31,2,FALSE)</f>
        <v>MUĞLA BÜYÜKŞEHİR</v>
      </c>
      <c r="C2379" t="s">
        <v>124</v>
      </c>
      <c r="D2379" s="73" t="str">
        <f t="shared" si="55"/>
        <v>MUĞLA BÜYÜKŞEHİR/MUĞLA</v>
      </c>
      <c r="E2379" t="s">
        <v>228</v>
      </c>
      <c r="F2379" t="s">
        <v>228</v>
      </c>
      <c r="G2379" t="s">
        <v>3366</v>
      </c>
      <c r="H2379">
        <v>7144</v>
      </c>
      <c r="I2379">
        <v>714.4</v>
      </c>
      <c r="J2379">
        <v>125</v>
      </c>
      <c r="K2379">
        <v>12.5</v>
      </c>
      <c r="L2379">
        <v>7019</v>
      </c>
      <c r="M2379">
        <v>701.9</v>
      </c>
      <c r="O2379" s="79">
        <f>IFERROR(VLOOKUP(D2379,'KAPANAN BLD.'!$C$2:$D$793,2,FALSE),0)</f>
        <v>0</v>
      </c>
      <c r="P2379" s="79">
        <v>0</v>
      </c>
    </row>
    <row r="2380" spans="1:16" x14ac:dyDescent="0.25">
      <c r="A2380" t="s">
        <v>32</v>
      </c>
      <c r="B2380" s="73" t="str">
        <f>VLOOKUP(C2380,'Büyükşehir List'!$C$2:$D$31,2,FALSE)</f>
        <v>MUĞLA BÜYÜKŞEHİR</v>
      </c>
      <c r="C2380" t="s">
        <v>124</v>
      </c>
      <c r="D2380" s="73" t="str">
        <f t="shared" si="55"/>
        <v>MUĞLA BÜYÜKŞEHİR/MUĞLA</v>
      </c>
      <c r="E2380" t="s">
        <v>228</v>
      </c>
      <c r="F2380" t="s">
        <v>228</v>
      </c>
      <c r="G2380" t="s">
        <v>3367</v>
      </c>
      <c r="H2380">
        <v>28155.7</v>
      </c>
      <c r="I2380">
        <v>2815.57</v>
      </c>
      <c r="J2380">
        <v>201.9</v>
      </c>
      <c r="K2380">
        <v>20.190000000000001</v>
      </c>
      <c r="L2380">
        <v>27953.8</v>
      </c>
      <c r="M2380">
        <v>2795.38</v>
      </c>
      <c r="O2380" s="79">
        <f>IFERROR(VLOOKUP(D2380,'KAPANAN BLD.'!$C$2:$D$793,2,FALSE),0)</f>
        <v>0</v>
      </c>
      <c r="P2380" s="79">
        <v>0</v>
      </c>
    </row>
    <row r="2381" spans="1:16" x14ac:dyDescent="0.25">
      <c r="A2381" t="s">
        <v>32</v>
      </c>
      <c r="B2381" s="73" t="str">
        <f>VLOOKUP(C2381,'Büyükşehir List'!$C$2:$D$31,2,FALSE)</f>
        <v>MUĞLA BÜYÜKŞEHİR</v>
      </c>
      <c r="C2381" t="s">
        <v>124</v>
      </c>
      <c r="D2381" s="73" t="str">
        <f t="shared" si="55"/>
        <v>MUĞLA BÜYÜKŞEHİR/MUĞLA</v>
      </c>
      <c r="E2381" t="s">
        <v>0</v>
      </c>
      <c r="F2381" t="s">
        <v>0</v>
      </c>
      <c r="G2381" t="s">
        <v>3367</v>
      </c>
      <c r="H2381">
        <v>68.569999999999993</v>
      </c>
      <c r="I2381">
        <v>6.86</v>
      </c>
      <c r="J2381">
        <v>0</v>
      </c>
      <c r="K2381">
        <v>0</v>
      </c>
      <c r="L2381">
        <v>68.569999999999993</v>
      </c>
      <c r="M2381">
        <v>6.86</v>
      </c>
      <c r="O2381" s="79">
        <f>IFERROR(VLOOKUP(D2381,'KAPANAN BLD.'!$C$2:$D$793,2,FALSE),0)</f>
        <v>0</v>
      </c>
      <c r="P2381" s="79">
        <v>0</v>
      </c>
    </row>
    <row r="2382" spans="1:16" x14ac:dyDescent="0.25">
      <c r="A2382" t="s">
        <v>32</v>
      </c>
      <c r="B2382" s="73" t="str">
        <f>VLOOKUP(C2382,'Büyükşehir List'!$C$2:$D$31,2,FALSE)</f>
        <v>MUĞLA BÜYÜKŞEHİR</v>
      </c>
      <c r="C2382" t="s">
        <v>124</v>
      </c>
      <c r="D2382" s="73" t="str">
        <f t="shared" si="55"/>
        <v>MUĞLA BÜYÜKŞEHİR/MUĞLA</v>
      </c>
      <c r="E2382" t="s">
        <v>0</v>
      </c>
      <c r="F2382" t="s">
        <v>0</v>
      </c>
      <c r="G2382" t="s">
        <v>3366</v>
      </c>
      <c r="H2382">
        <v>155.94</v>
      </c>
      <c r="I2382">
        <v>15.6</v>
      </c>
      <c r="J2382">
        <v>0</v>
      </c>
      <c r="K2382">
        <v>0</v>
      </c>
      <c r="L2382">
        <v>155.94</v>
      </c>
      <c r="M2382">
        <v>15.6</v>
      </c>
      <c r="O2382" s="79">
        <f>IFERROR(VLOOKUP(D2382,'KAPANAN BLD.'!$C$2:$D$793,2,FALSE),0)</f>
        <v>0</v>
      </c>
      <c r="P2382" s="79">
        <v>0</v>
      </c>
    </row>
    <row r="2383" spans="1:16" x14ac:dyDescent="0.25">
      <c r="A2383" t="s">
        <v>32</v>
      </c>
      <c r="B2383" s="73" t="str">
        <f>VLOOKUP(C2383,'Büyükşehir List'!$C$2:$D$31,2,FALSE)</f>
        <v>MUĞLA BÜYÜKŞEHİR</v>
      </c>
      <c r="C2383" t="s">
        <v>124</v>
      </c>
      <c r="D2383" s="73" t="str">
        <f t="shared" si="55"/>
        <v>MUĞLA BÜYÜKŞEHİR/MUĞLA</v>
      </c>
      <c r="E2383" t="s">
        <v>463</v>
      </c>
      <c r="F2383" t="s">
        <v>463</v>
      </c>
      <c r="G2383" t="s">
        <v>3366</v>
      </c>
      <c r="H2383">
        <v>6807.58</v>
      </c>
      <c r="I2383">
        <v>680.76</v>
      </c>
      <c r="J2383">
        <v>274</v>
      </c>
      <c r="K2383">
        <v>27.4</v>
      </c>
      <c r="L2383">
        <v>6533.58</v>
      </c>
      <c r="M2383">
        <v>653.36</v>
      </c>
      <c r="O2383" s="79">
        <f>IFERROR(VLOOKUP(D2383,'KAPANAN BLD.'!$C$2:$D$793,2,FALSE),0)</f>
        <v>0</v>
      </c>
      <c r="P2383" s="79">
        <v>0</v>
      </c>
    </row>
    <row r="2384" spans="1:16" x14ac:dyDescent="0.25">
      <c r="A2384" t="s">
        <v>32</v>
      </c>
      <c r="B2384" s="73" t="str">
        <f>VLOOKUP(C2384,'Büyükşehir List'!$C$2:$D$31,2,FALSE)</f>
        <v>MUĞLA BÜYÜKŞEHİR</v>
      </c>
      <c r="C2384" t="s">
        <v>124</v>
      </c>
      <c r="D2384" s="73" t="str">
        <f t="shared" si="55"/>
        <v>MUĞLA BÜYÜKŞEHİR/MUĞLA</v>
      </c>
      <c r="E2384" t="s">
        <v>463</v>
      </c>
      <c r="F2384" t="s">
        <v>463</v>
      </c>
      <c r="G2384" t="s">
        <v>3367</v>
      </c>
      <c r="H2384">
        <v>13773.61</v>
      </c>
      <c r="I2384">
        <v>1377.37</v>
      </c>
      <c r="J2384">
        <v>960.6</v>
      </c>
      <c r="K2384">
        <v>96.06</v>
      </c>
      <c r="L2384">
        <v>12813.01</v>
      </c>
      <c r="M2384">
        <v>1281.31</v>
      </c>
      <c r="O2384" s="79">
        <f>IFERROR(VLOOKUP(D2384,'KAPANAN BLD.'!$C$2:$D$793,2,FALSE),0)</f>
        <v>0</v>
      </c>
      <c r="P2384" s="79">
        <v>0</v>
      </c>
    </row>
    <row r="2385" spans="1:16" x14ac:dyDescent="0.25">
      <c r="A2385" t="s">
        <v>32</v>
      </c>
      <c r="B2385" s="73" t="str">
        <f>VLOOKUP(C2385,'Büyükşehir List'!$C$2:$D$31,2,FALSE)</f>
        <v>MUĞLA BÜYÜKŞEHİR</v>
      </c>
      <c r="C2385" t="s">
        <v>124</v>
      </c>
      <c r="D2385" s="73" t="str">
        <f t="shared" si="55"/>
        <v>MUĞLA BÜYÜKŞEHİR/MUĞLA</v>
      </c>
      <c r="E2385" t="s">
        <v>154</v>
      </c>
      <c r="F2385" t="s">
        <v>154</v>
      </c>
      <c r="G2385" t="s">
        <v>3366</v>
      </c>
      <c r="H2385">
        <v>6200.7</v>
      </c>
      <c r="I2385">
        <v>620.05999999999995</v>
      </c>
      <c r="J2385">
        <v>587.29999999999995</v>
      </c>
      <c r="K2385">
        <v>58.73</v>
      </c>
      <c r="L2385">
        <v>5613.4</v>
      </c>
      <c r="M2385">
        <v>561.33000000000004</v>
      </c>
      <c r="O2385" s="79">
        <f>IFERROR(VLOOKUP(D2385,'KAPANAN BLD.'!$C$2:$D$793,2,FALSE),0)</f>
        <v>0</v>
      </c>
      <c r="P2385" s="79">
        <v>0</v>
      </c>
    </row>
    <row r="2386" spans="1:16" x14ac:dyDescent="0.25">
      <c r="A2386" t="s">
        <v>32</v>
      </c>
      <c r="B2386" s="73" t="str">
        <f>VLOOKUP(C2386,'Büyükşehir List'!$C$2:$D$31,2,FALSE)</f>
        <v>MUĞLA BÜYÜKŞEHİR</v>
      </c>
      <c r="C2386" t="s">
        <v>124</v>
      </c>
      <c r="D2386" s="73" t="str">
        <f t="shared" si="55"/>
        <v>MUĞLA BÜYÜKŞEHİR/MUĞLA</v>
      </c>
      <c r="E2386" t="s">
        <v>154</v>
      </c>
      <c r="F2386" t="s">
        <v>154</v>
      </c>
      <c r="G2386" t="s">
        <v>3367</v>
      </c>
      <c r="H2386">
        <v>10553.71</v>
      </c>
      <c r="I2386">
        <v>1055.3800000000001</v>
      </c>
      <c r="J2386">
        <v>1057.4000000000001</v>
      </c>
      <c r="K2386">
        <v>105.74</v>
      </c>
      <c r="L2386">
        <v>9496.31</v>
      </c>
      <c r="M2386">
        <v>949.64</v>
      </c>
      <c r="O2386" s="79">
        <f>IFERROR(VLOOKUP(D2386,'KAPANAN BLD.'!$C$2:$D$793,2,FALSE),0)</f>
        <v>0</v>
      </c>
      <c r="P2386" s="79">
        <v>0</v>
      </c>
    </row>
    <row r="2387" spans="1:16" x14ac:dyDescent="0.25">
      <c r="A2387" t="s">
        <v>32</v>
      </c>
      <c r="B2387" s="73" t="str">
        <f>VLOOKUP(C2387,'Büyükşehir List'!$C$2:$D$31,2,FALSE)</f>
        <v>MUĞLA BÜYÜKŞEHİR</v>
      </c>
      <c r="C2387" t="s">
        <v>124</v>
      </c>
      <c r="D2387" s="73" t="str">
        <f t="shared" si="55"/>
        <v>MUĞLA BÜYÜKŞEHİR/MUĞLA</v>
      </c>
      <c r="E2387" t="s">
        <v>4399</v>
      </c>
      <c r="F2387" t="s">
        <v>4399</v>
      </c>
      <c r="G2387" t="s">
        <v>3367</v>
      </c>
      <c r="H2387">
        <v>28.7</v>
      </c>
      <c r="I2387">
        <v>2.87</v>
      </c>
      <c r="J2387">
        <v>0</v>
      </c>
      <c r="K2387">
        <v>0</v>
      </c>
      <c r="L2387">
        <v>28.7</v>
      </c>
      <c r="M2387">
        <v>2.87</v>
      </c>
      <c r="O2387" s="79">
        <f>IFERROR(VLOOKUP(D2387,'KAPANAN BLD.'!$C$2:$D$793,2,FALSE),0)</f>
        <v>0</v>
      </c>
      <c r="P2387" s="79">
        <v>0</v>
      </c>
    </row>
    <row r="2388" spans="1:16" x14ac:dyDescent="0.25">
      <c r="A2388" t="s">
        <v>32</v>
      </c>
      <c r="B2388" s="73" t="str">
        <f>VLOOKUP(C2388,'Büyükşehir List'!$C$2:$D$31,2,FALSE)</f>
        <v>MUĞLA BÜYÜKŞEHİR</v>
      </c>
      <c r="C2388" t="s">
        <v>124</v>
      </c>
      <c r="D2388" s="73" t="str">
        <f t="shared" si="55"/>
        <v>MUĞLA BÜYÜKŞEHİR/MUĞLA</v>
      </c>
      <c r="E2388" t="s">
        <v>4399</v>
      </c>
      <c r="F2388" t="s">
        <v>4399</v>
      </c>
      <c r="G2388" t="s">
        <v>3366</v>
      </c>
      <c r="H2388">
        <v>53.1</v>
      </c>
      <c r="I2388">
        <v>5.31</v>
      </c>
      <c r="J2388">
        <v>0</v>
      </c>
      <c r="K2388">
        <v>0</v>
      </c>
      <c r="L2388">
        <v>53.1</v>
      </c>
      <c r="M2388">
        <v>5.31</v>
      </c>
      <c r="O2388" s="79">
        <f>IFERROR(VLOOKUP(D2388,'KAPANAN BLD.'!$C$2:$D$793,2,FALSE),0)</f>
        <v>0</v>
      </c>
      <c r="P2388" s="79">
        <v>0</v>
      </c>
    </row>
    <row r="2389" spans="1:16" x14ac:dyDescent="0.25">
      <c r="A2389" t="s">
        <v>32</v>
      </c>
      <c r="B2389" s="73" t="str">
        <f>VLOOKUP(C2389,'Büyükşehir List'!$C$2:$D$31,2,FALSE)</f>
        <v>MUĞLA BÜYÜKŞEHİR</v>
      </c>
      <c r="C2389" t="s">
        <v>124</v>
      </c>
      <c r="D2389" s="73" t="str">
        <f t="shared" si="55"/>
        <v>MUĞLA BÜYÜKŞEHİR/MUĞLA</v>
      </c>
      <c r="E2389" t="s">
        <v>379</v>
      </c>
      <c r="F2389" t="s">
        <v>379</v>
      </c>
      <c r="G2389" t="s">
        <v>3366</v>
      </c>
      <c r="H2389">
        <v>1232.0999999999999</v>
      </c>
      <c r="I2389">
        <v>123.21</v>
      </c>
      <c r="J2389">
        <v>0</v>
      </c>
      <c r="K2389">
        <v>0</v>
      </c>
      <c r="L2389">
        <v>1232.0999999999999</v>
      </c>
      <c r="M2389">
        <v>123.21</v>
      </c>
      <c r="O2389" s="79">
        <f>IFERROR(VLOOKUP(D2389,'KAPANAN BLD.'!$C$2:$D$793,2,FALSE),0)</f>
        <v>0</v>
      </c>
      <c r="P2389" s="79">
        <v>0</v>
      </c>
    </row>
    <row r="2390" spans="1:16" x14ac:dyDescent="0.25">
      <c r="A2390" t="s">
        <v>32</v>
      </c>
      <c r="B2390" s="73" t="str">
        <f>VLOOKUP(C2390,'Büyükşehir List'!$C$2:$D$31,2,FALSE)</f>
        <v>MUĞLA BÜYÜKŞEHİR</v>
      </c>
      <c r="C2390" t="s">
        <v>124</v>
      </c>
      <c r="D2390" s="73" t="str">
        <f t="shared" si="55"/>
        <v>MUĞLA BÜYÜKŞEHİR/MUĞLA</v>
      </c>
      <c r="E2390" t="s">
        <v>379</v>
      </c>
      <c r="F2390" t="s">
        <v>379</v>
      </c>
      <c r="G2390" t="s">
        <v>3367</v>
      </c>
      <c r="H2390">
        <v>2380.4</v>
      </c>
      <c r="I2390">
        <v>238.04</v>
      </c>
      <c r="J2390">
        <v>0</v>
      </c>
      <c r="K2390">
        <v>0</v>
      </c>
      <c r="L2390">
        <v>2380.4</v>
      </c>
      <c r="M2390">
        <v>238.04</v>
      </c>
      <c r="O2390" s="79">
        <f>IFERROR(VLOOKUP(D2390,'KAPANAN BLD.'!$C$2:$D$793,2,FALSE),0)</f>
        <v>0</v>
      </c>
      <c r="P2390" s="79">
        <v>0</v>
      </c>
    </row>
    <row r="2391" spans="1:16" x14ac:dyDescent="0.25">
      <c r="A2391" t="s">
        <v>32</v>
      </c>
      <c r="B2391" s="73" t="str">
        <f t="shared" ref="B2391:B2454" si="56">F2391</f>
        <v>HASKÖY</v>
      </c>
      <c r="C2391" t="s">
        <v>221</v>
      </c>
      <c r="D2391" s="73" t="str">
        <f t="shared" si="55"/>
        <v>HASKÖY/MUŞ</v>
      </c>
      <c r="E2391" s="9" t="s">
        <v>2058</v>
      </c>
      <c r="F2391" s="9" t="s">
        <v>2058</v>
      </c>
      <c r="G2391" t="s">
        <v>3367</v>
      </c>
      <c r="H2391">
        <v>0</v>
      </c>
      <c r="I2391">
        <v>0</v>
      </c>
      <c r="J2391">
        <v>333.1</v>
      </c>
      <c r="K2391">
        <v>33.31</v>
      </c>
      <c r="L2391">
        <v>-333.1</v>
      </c>
      <c r="M2391">
        <v>-33.31</v>
      </c>
      <c r="O2391" s="79">
        <f>IFERROR(VLOOKUP(D2391,'KAPANAN BLD.'!$C$2:$D$793,2,FALSE),0)</f>
        <v>0</v>
      </c>
      <c r="P2391" s="79">
        <v>0</v>
      </c>
    </row>
    <row r="2392" spans="1:16" x14ac:dyDescent="0.25">
      <c r="A2392" t="s">
        <v>32</v>
      </c>
      <c r="B2392" s="73" t="str">
        <f t="shared" si="56"/>
        <v>MALAZGİRT</v>
      </c>
      <c r="C2392" t="s">
        <v>221</v>
      </c>
      <c r="D2392" s="73" t="str">
        <f t="shared" si="55"/>
        <v>MALAZGİRT/MUŞ</v>
      </c>
      <c r="E2392" s="9" t="s">
        <v>2326</v>
      </c>
      <c r="F2392" s="9" t="s">
        <v>2326</v>
      </c>
      <c r="G2392" t="s">
        <v>3367</v>
      </c>
      <c r="H2392">
        <v>199.5</v>
      </c>
      <c r="I2392">
        <v>19.95</v>
      </c>
      <c r="J2392">
        <v>0</v>
      </c>
      <c r="K2392">
        <v>0</v>
      </c>
      <c r="L2392">
        <v>199.5</v>
      </c>
      <c r="M2392">
        <v>19.95</v>
      </c>
      <c r="O2392" s="79">
        <f>IFERROR(VLOOKUP(D2392,'KAPANAN BLD.'!$C$2:$D$793,2,FALSE),0)</f>
        <v>0</v>
      </c>
      <c r="P2392" s="79">
        <v>0</v>
      </c>
    </row>
    <row r="2393" spans="1:16" x14ac:dyDescent="0.25">
      <c r="A2393" t="s">
        <v>32</v>
      </c>
      <c r="B2393" s="73" t="str">
        <f t="shared" si="56"/>
        <v>MERKEZ</v>
      </c>
      <c r="C2393" t="s">
        <v>221</v>
      </c>
      <c r="D2393" s="73" t="str">
        <f t="shared" si="55"/>
        <v>MERKEZ/MUŞ</v>
      </c>
      <c r="E2393" s="9" t="s">
        <v>34</v>
      </c>
      <c r="F2393" s="9" t="s">
        <v>34</v>
      </c>
      <c r="G2393" t="s">
        <v>3367</v>
      </c>
      <c r="H2393">
        <v>572.6</v>
      </c>
      <c r="I2393">
        <v>57.26</v>
      </c>
      <c r="J2393">
        <v>0</v>
      </c>
      <c r="K2393">
        <v>0</v>
      </c>
      <c r="L2393">
        <v>572.6</v>
      </c>
      <c r="M2393">
        <v>57.26</v>
      </c>
      <c r="O2393" s="79">
        <f>IFERROR(VLOOKUP(D2393,'KAPANAN BLD.'!$C$2:$D$793,2,FALSE),0)</f>
        <v>0</v>
      </c>
      <c r="P2393" s="79">
        <v>0</v>
      </c>
    </row>
    <row r="2394" spans="1:16" x14ac:dyDescent="0.25">
      <c r="A2394" t="s">
        <v>32</v>
      </c>
      <c r="B2394" s="73" t="str">
        <f t="shared" si="56"/>
        <v>MERKEZ</v>
      </c>
      <c r="C2394" t="s">
        <v>221</v>
      </c>
      <c r="D2394" s="73" t="str">
        <f t="shared" si="55"/>
        <v>MERKEZ/MUŞ</v>
      </c>
      <c r="E2394" s="9" t="s">
        <v>34</v>
      </c>
      <c r="F2394" s="9" t="s">
        <v>34</v>
      </c>
      <c r="G2394" t="s">
        <v>3366</v>
      </c>
      <c r="H2394">
        <v>413.7</v>
      </c>
      <c r="I2394">
        <v>41.37</v>
      </c>
      <c r="J2394">
        <v>0</v>
      </c>
      <c r="K2394">
        <v>0</v>
      </c>
      <c r="L2394">
        <v>413.7</v>
      </c>
      <c r="M2394">
        <v>41.37</v>
      </c>
      <c r="O2394" s="79">
        <f>IFERROR(VLOOKUP(D2394,'KAPANAN BLD.'!$C$2:$D$793,2,FALSE),0)</f>
        <v>0</v>
      </c>
      <c r="P2394" s="79">
        <v>0</v>
      </c>
    </row>
    <row r="2395" spans="1:16" x14ac:dyDescent="0.25">
      <c r="A2395" t="s">
        <v>32</v>
      </c>
      <c r="B2395" s="73" t="str">
        <f t="shared" si="56"/>
        <v>MERKEZ</v>
      </c>
      <c r="C2395" t="s">
        <v>221</v>
      </c>
      <c r="D2395" s="73" t="str">
        <f t="shared" si="55"/>
        <v>MERKEZ/MUŞ</v>
      </c>
      <c r="E2395" s="9" t="s">
        <v>34</v>
      </c>
      <c r="F2395" s="9" t="s">
        <v>34</v>
      </c>
      <c r="G2395" t="s">
        <v>3366</v>
      </c>
      <c r="H2395">
        <v>97.3</v>
      </c>
      <c r="I2395">
        <v>9.73</v>
      </c>
      <c r="J2395">
        <v>180.9</v>
      </c>
      <c r="K2395">
        <v>18.09</v>
      </c>
      <c r="L2395">
        <v>-83.6</v>
      </c>
      <c r="M2395">
        <v>-8.36</v>
      </c>
      <c r="O2395" s="79">
        <f>IFERROR(VLOOKUP(D2395,'KAPANAN BLD.'!$C$2:$D$793,2,FALSE),0)</f>
        <v>0</v>
      </c>
      <c r="P2395" s="79">
        <v>0</v>
      </c>
    </row>
    <row r="2396" spans="1:16" x14ac:dyDescent="0.25">
      <c r="A2396" t="s">
        <v>32</v>
      </c>
      <c r="B2396" s="73" t="str">
        <f t="shared" si="56"/>
        <v>MERKEZ</v>
      </c>
      <c r="C2396" t="s">
        <v>221</v>
      </c>
      <c r="D2396" s="73" t="str">
        <f t="shared" si="55"/>
        <v>MERKEZ/MUŞ</v>
      </c>
      <c r="E2396" s="9" t="s">
        <v>34</v>
      </c>
      <c r="F2396" s="9" t="s">
        <v>34</v>
      </c>
      <c r="G2396" t="s">
        <v>3367</v>
      </c>
      <c r="H2396">
        <v>292.8</v>
      </c>
      <c r="I2396">
        <v>29.28</v>
      </c>
      <c r="J2396">
        <v>331.9</v>
      </c>
      <c r="K2396">
        <v>33.19</v>
      </c>
      <c r="L2396">
        <v>-39.1</v>
      </c>
      <c r="M2396">
        <v>-3.91</v>
      </c>
      <c r="O2396" s="79">
        <f>IFERROR(VLOOKUP(D2396,'KAPANAN BLD.'!$C$2:$D$793,2,FALSE),0)</f>
        <v>0</v>
      </c>
      <c r="P2396" s="79">
        <v>0</v>
      </c>
    </row>
    <row r="2397" spans="1:16" x14ac:dyDescent="0.25">
      <c r="A2397" t="s">
        <v>32</v>
      </c>
      <c r="B2397" s="73" t="str">
        <f t="shared" si="56"/>
        <v>MERKEZ</v>
      </c>
      <c r="C2397" t="s">
        <v>221</v>
      </c>
      <c r="D2397" s="73" t="str">
        <f t="shared" si="55"/>
        <v>MERKEZ/MUŞ</v>
      </c>
      <c r="E2397" t="s">
        <v>34</v>
      </c>
      <c r="F2397" t="s">
        <v>34</v>
      </c>
      <c r="G2397" t="s">
        <v>3366</v>
      </c>
      <c r="H2397">
        <v>402.8</v>
      </c>
      <c r="I2397">
        <v>40.28</v>
      </c>
      <c r="J2397">
        <v>0</v>
      </c>
      <c r="K2397">
        <v>0</v>
      </c>
      <c r="L2397">
        <v>402.8</v>
      </c>
      <c r="M2397">
        <v>40.28</v>
      </c>
      <c r="O2397" s="79">
        <f>IFERROR(VLOOKUP(D2397,'KAPANAN BLD.'!$C$2:$D$793,2,FALSE),0)</f>
        <v>0</v>
      </c>
      <c r="P2397" s="79">
        <v>0</v>
      </c>
    </row>
    <row r="2398" spans="1:16" x14ac:dyDescent="0.25">
      <c r="A2398" t="s">
        <v>32</v>
      </c>
      <c r="B2398" s="73" t="str">
        <f t="shared" si="56"/>
        <v>MERKEZ</v>
      </c>
      <c r="C2398" t="s">
        <v>221</v>
      </c>
      <c r="D2398" s="73" t="str">
        <f t="shared" si="55"/>
        <v>MERKEZ/MUŞ</v>
      </c>
      <c r="E2398" t="s">
        <v>34</v>
      </c>
      <c r="F2398" t="s">
        <v>34</v>
      </c>
      <c r="G2398" t="s">
        <v>3367</v>
      </c>
      <c r="H2398">
        <v>45</v>
      </c>
      <c r="I2398">
        <v>4.5</v>
      </c>
      <c r="J2398">
        <v>0</v>
      </c>
      <c r="K2398">
        <v>0</v>
      </c>
      <c r="L2398">
        <v>45</v>
      </c>
      <c r="M2398">
        <v>4.5</v>
      </c>
      <c r="O2398" s="79">
        <f>IFERROR(VLOOKUP(D2398,'KAPANAN BLD.'!$C$2:$D$793,2,FALSE),0)</f>
        <v>0</v>
      </c>
      <c r="P2398" s="79">
        <v>0</v>
      </c>
    </row>
    <row r="2399" spans="1:16" x14ac:dyDescent="0.25">
      <c r="A2399" t="s">
        <v>32</v>
      </c>
      <c r="B2399" s="73" t="str">
        <f t="shared" si="56"/>
        <v>MERKEZ</v>
      </c>
      <c r="C2399" t="s">
        <v>221</v>
      </c>
      <c r="D2399" s="73" t="str">
        <f t="shared" si="55"/>
        <v>MERKEZ/MUŞ</v>
      </c>
      <c r="E2399" s="9" t="s">
        <v>34</v>
      </c>
      <c r="F2399" s="9" t="s">
        <v>34</v>
      </c>
      <c r="G2399" t="s">
        <v>3367</v>
      </c>
      <c r="H2399">
        <v>36.6</v>
      </c>
      <c r="I2399">
        <v>3.66</v>
      </c>
      <c r="J2399">
        <v>0</v>
      </c>
      <c r="K2399">
        <v>0</v>
      </c>
      <c r="L2399">
        <v>36.6</v>
      </c>
      <c r="M2399">
        <v>3.66</v>
      </c>
      <c r="O2399" s="79">
        <f>IFERROR(VLOOKUP(D2399,'KAPANAN BLD.'!$C$2:$D$793,2,FALSE),0)</f>
        <v>0</v>
      </c>
      <c r="P2399" s="79">
        <v>0</v>
      </c>
    </row>
    <row r="2400" spans="1:16" x14ac:dyDescent="0.25">
      <c r="A2400" t="s">
        <v>32</v>
      </c>
      <c r="B2400" s="73" t="str">
        <f t="shared" si="56"/>
        <v>GÜLŞEHİR</v>
      </c>
      <c r="C2400" t="s">
        <v>191</v>
      </c>
      <c r="D2400" s="73" t="str">
        <f t="shared" si="55"/>
        <v>GÜLŞEHİR/NEVŞEHİR</v>
      </c>
      <c r="E2400" s="9" t="s">
        <v>670</v>
      </c>
      <c r="F2400" s="9" t="s">
        <v>670</v>
      </c>
      <c r="G2400" t="s">
        <v>3367</v>
      </c>
      <c r="H2400">
        <v>103.4</v>
      </c>
      <c r="I2400">
        <v>10.34</v>
      </c>
      <c r="J2400">
        <v>0</v>
      </c>
      <c r="K2400">
        <v>0</v>
      </c>
      <c r="L2400">
        <v>103.4</v>
      </c>
      <c r="M2400">
        <v>10.34</v>
      </c>
      <c r="O2400" s="79">
        <f>IFERROR(VLOOKUP(D2400,'KAPANAN BLD.'!$C$2:$D$793,2,FALSE),0)</f>
        <v>0</v>
      </c>
      <c r="P2400" s="79">
        <v>0</v>
      </c>
    </row>
    <row r="2401" spans="1:16" x14ac:dyDescent="0.25">
      <c r="A2401" t="s">
        <v>32</v>
      </c>
      <c r="B2401" s="73" t="str">
        <f t="shared" si="56"/>
        <v>GÜLŞEHİR</v>
      </c>
      <c r="C2401" t="s">
        <v>191</v>
      </c>
      <c r="D2401" s="73" t="str">
        <f t="shared" si="55"/>
        <v>GÜLŞEHİR/NEVŞEHİR</v>
      </c>
      <c r="E2401" s="9" t="s">
        <v>670</v>
      </c>
      <c r="F2401" s="9" t="s">
        <v>670</v>
      </c>
      <c r="G2401" t="s">
        <v>3366</v>
      </c>
      <c r="H2401">
        <v>38.1</v>
      </c>
      <c r="I2401">
        <v>3.81</v>
      </c>
      <c r="J2401">
        <v>0</v>
      </c>
      <c r="K2401">
        <v>0</v>
      </c>
      <c r="L2401">
        <v>38.1</v>
      </c>
      <c r="M2401">
        <v>3.81</v>
      </c>
      <c r="O2401" s="79">
        <f>IFERROR(VLOOKUP(D2401,'KAPANAN BLD.'!$C$2:$D$793,2,FALSE),0)</f>
        <v>0</v>
      </c>
      <c r="P2401" s="79">
        <v>0</v>
      </c>
    </row>
    <row r="2402" spans="1:16" x14ac:dyDescent="0.25">
      <c r="A2402" t="s">
        <v>32</v>
      </c>
      <c r="B2402" s="73" t="str">
        <f t="shared" si="56"/>
        <v>AVANOS</v>
      </c>
      <c r="C2402" t="s">
        <v>191</v>
      </c>
      <c r="D2402" s="73" t="str">
        <f t="shared" si="55"/>
        <v>AVANOS/NEVŞEHİR</v>
      </c>
      <c r="E2402" t="s">
        <v>668</v>
      </c>
      <c r="F2402" t="s">
        <v>668</v>
      </c>
      <c r="G2402" t="s">
        <v>3366</v>
      </c>
      <c r="H2402">
        <v>830.4</v>
      </c>
      <c r="I2402">
        <v>83.04</v>
      </c>
      <c r="J2402">
        <v>0</v>
      </c>
      <c r="K2402">
        <v>0</v>
      </c>
      <c r="L2402">
        <v>830.4</v>
      </c>
      <c r="M2402">
        <v>83.04</v>
      </c>
      <c r="O2402" s="79">
        <f>IFERROR(VLOOKUP(D2402,'KAPANAN BLD.'!$C$2:$D$793,2,FALSE),0)</f>
        <v>0</v>
      </c>
      <c r="P2402" s="79">
        <v>0</v>
      </c>
    </row>
    <row r="2403" spans="1:16" x14ac:dyDescent="0.25">
      <c r="A2403" t="s">
        <v>32</v>
      </c>
      <c r="B2403" s="73" t="str">
        <f t="shared" si="56"/>
        <v>AVANOS</v>
      </c>
      <c r="C2403" t="s">
        <v>191</v>
      </c>
      <c r="D2403" s="73" t="str">
        <f t="shared" si="55"/>
        <v>AVANOS/NEVŞEHİR</v>
      </c>
      <c r="E2403" t="s">
        <v>668</v>
      </c>
      <c r="F2403" t="s">
        <v>668</v>
      </c>
      <c r="G2403" t="s">
        <v>3367</v>
      </c>
      <c r="H2403">
        <v>70.599999999999994</v>
      </c>
      <c r="I2403">
        <v>7.06</v>
      </c>
      <c r="J2403">
        <v>0</v>
      </c>
      <c r="K2403">
        <v>0</v>
      </c>
      <c r="L2403">
        <v>70.599999999999994</v>
      </c>
      <c r="M2403">
        <v>7.06</v>
      </c>
      <c r="O2403" s="79">
        <f>IFERROR(VLOOKUP(D2403,'KAPANAN BLD.'!$C$2:$D$793,2,FALSE),0)</f>
        <v>0</v>
      </c>
      <c r="P2403" s="79">
        <v>0</v>
      </c>
    </row>
    <row r="2404" spans="1:16" x14ac:dyDescent="0.25">
      <c r="A2404" t="s">
        <v>32</v>
      </c>
      <c r="B2404" s="73" t="str">
        <f t="shared" si="56"/>
        <v>AVANOS</v>
      </c>
      <c r="C2404" t="s">
        <v>191</v>
      </c>
      <c r="D2404" s="73" t="str">
        <f t="shared" si="55"/>
        <v>AVANOS/NEVŞEHİR</v>
      </c>
      <c r="E2404" s="9" t="s">
        <v>668</v>
      </c>
      <c r="F2404" s="9" t="s">
        <v>668</v>
      </c>
      <c r="G2404" t="s">
        <v>3367</v>
      </c>
      <c r="H2404">
        <v>45</v>
      </c>
      <c r="I2404">
        <v>4.5</v>
      </c>
      <c r="J2404">
        <v>0</v>
      </c>
      <c r="K2404">
        <v>0</v>
      </c>
      <c r="L2404">
        <v>45</v>
      </c>
      <c r="M2404">
        <v>4.5</v>
      </c>
      <c r="O2404" s="79">
        <f>IFERROR(VLOOKUP(D2404,'KAPANAN BLD.'!$C$2:$D$793,2,FALSE),0)</f>
        <v>0</v>
      </c>
      <c r="P2404" s="79">
        <v>0</v>
      </c>
    </row>
    <row r="2405" spans="1:16" x14ac:dyDescent="0.25">
      <c r="A2405" t="s">
        <v>32</v>
      </c>
      <c r="B2405" s="73" t="str">
        <f t="shared" si="56"/>
        <v>AVANOS</v>
      </c>
      <c r="C2405" t="s">
        <v>191</v>
      </c>
      <c r="D2405" s="73" t="str">
        <f t="shared" si="55"/>
        <v>AVANOS/NEVŞEHİR</v>
      </c>
      <c r="E2405" s="9" t="s">
        <v>668</v>
      </c>
      <c r="F2405" s="9" t="s">
        <v>668</v>
      </c>
      <c r="G2405" t="s">
        <v>3366</v>
      </c>
      <c r="H2405">
        <v>402.8</v>
      </c>
      <c r="I2405">
        <v>40.28</v>
      </c>
      <c r="J2405">
        <v>0</v>
      </c>
      <c r="K2405">
        <v>0</v>
      </c>
      <c r="L2405">
        <v>402.8</v>
      </c>
      <c r="M2405">
        <v>40.28</v>
      </c>
      <c r="O2405" s="79">
        <f>IFERROR(VLOOKUP(D2405,'KAPANAN BLD.'!$C$2:$D$793,2,FALSE),0)</f>
        <v>0</v>
      </c>
      <c r="P2405" s="79">
        <v>0</v>
      </c>
    </row>
    <row r="2406" spans="1:16" x14ac:dyDescent="0.25">
      <c r="A2406" t="s">
        <v>32</v>
      </c>
      <c r="B2406" s="73" t="str">
        <f t="shared" si="56"/>
        <v>MERKEZ</v>
      </c>
      <c r="C2406" t="s">
        <v>191</v>
      </c>
      <c r="D2406" s="73" t="str">
        <f t="shared" si="55"/>
        <v>MERKEZ/NEVŞEHİR</v>
      </c>
      <c r="E2406" s="9" t="s">
        <v>34</v>
      </c>
      <c r="F2406" s="9" t="s">
        <v>34</v>
      </c>
      <c r="G2406" t="s">
        <v>3367</v>
      </c>
      <c r="H2406">
        <v>863.5</v>
      </c>
      <c r="I2406">
        <v>86.35</v>
      </c>
      <c r="J2406">
        <v>0</v>
      </c>
      <c r="K2406">
        <v>0</v>
      </c>
      <c r="L2406">
        <v>863.5</v>
      </c>
      <c r="M2406">
        <v>86.35</v>
      </c>
      <c r="O2406" s="79">
        <f>IFERROR(VLOOKUP(D2406,'KAPANAN BLD.'!$C$2:$D$793,2,FALSE),0)</f>
        <v>0</v>
      </c>
      <c r="P2406" s="79">
        <v>0</v>
      </c>
    </row>
    <row r="2407" spans="1:16" x14ac:dyDescent="0.25">
      <c r="A2407" t="s">
        <v>32</v>
      </c>
      <c r="B2407" s="73" t="str">
        <f t="shared" si="56"/>
        <v>MERKEZ</v>
      </c>
      <c r="C2407" t="s">
        <v>191</v>
      </c>
      <c r="D2407" s="73" t="str">
        <f t="shared" si="55"/>
        <v>MERKEZ/NEVŞEHİR</v>
      </c>
      <c r="E2407" s="9" t="s">
        <v>34</v>
      </c>
      <c r="F2407" s="9" t="s">
        <v>34</v>
      </c>
      <c r="G2407" t="s">
        <v>3366</v>
      </c>
      <c r="H2407">
        <v>801.7</v>
      </c>
      <c r="I2407">
        <v>80.17</v>
      </c>
      <c r="J2407">
        <v>0</v>
      </c>
      <c r="K2407">
        <v>0</v>
      </c>
      <c r="L2407">
        <v>801.7</v>
      </c>
      <c r="M2407">
        <v>80.17</v>
      </c>
      <c r="O2407" s="79">
        <f>IFERROR(VLOOKUP(D2407,'KAPANAN BLD.'!$C$2:$D$793,2,FALSE),0)</f>
        <v>0</v>
      </c>
      <c r="P2407" s="79">
        <v>0</v>
      </c>
    </row>
    <row r="2408" spans="1:16" x14ac:dyDescent="0.25">
      <c r="A2408" t="s">
        <v>32</v>
      </c>
      <c r="B2408" s="73" t="str">
        <f t="shared" si="56"/>
        <v>MERKEZ</v>
      </c>
      <c r="C2408" t="s">
        <v>191</v>
      </c>
      <c r="D2408" s="73" t="str">
        <f t="shared" si="55"/>
        <v>MERKEZ/NEVŞEHİR</v>
      </c>
      <c r="E2408" s="9" t="s">
        <v>34</v>
      </c>
      <c r="F2408" s="9" t="s">
        <v>34</v>
      </c>
      <c r="G2408" t="s">
        <v>3367</v>
      </c>
      <c r="H2408">
        <v>1384.34</v>
      </c>
      <c r="I2408">
        <v>138.44</v>
      </c>
      <c r="J2408">
        <v>59.4</v>
      </c>
      <c r="K2408">
        <v>5.94</v>
      </c>
      <c r="L2408">
        <v>1324.94</v>
      </c>
      <c r="M2408">
        <v>132.5</v>
      </c>
      <c r="O2408" s="79">
        <f>IFERROR(VLOOKUP(D2408,'KAPANAN BLD.'!$C$2:$D$793,2,FALSE),0)</f>
        <v>0</v>
      </c>
      <c r="P2408" s="79">
        <v>0</v>
      </c>
    </row>
    <row r="2409" spans="1:16" x14ac:dyDescent="0.25">
      <c r="A2409" t="s">
        <v>32</v>
      </c>
      <c r="B2409" s="73" t="str">
        <f t="shared" si="56"/>
        <v>MERKEZ</v>
      </c>
      <c r="C2409" t="s">
        <v>191</v>
      </c>
      <c r="D2409" s="73" t="str">
        <f t="shared" si="55"/>
        <v>MERKEZ/NEVŞEHİR</v>
      </c>
      <c r="E2409" s="9" t="s">
        <v>34</v>
      </c>
      <c r="F2409" s="9" t="s">
        <v>34</v>
      </c>
      <c r="G2409" t="s">
        <v>3366</v>
      </c>
      <c r="H2409">
        <v>819.8</v>
      </c>
      <c r="I2409">
        <v>81.98</v>
      </c>
      <c r="J2409">
        <v>316.5</v>
      </c>
      <c r="K2409">
        <v>31.65</v>
      </c>
      <c r="L2409">
        <v>503.3</v>
      </c>
      <c r="M2409">
        <v>50.33</v>
      </c>
      <c r="O2409" s="79">
        <f>IFERROR(VLOOKUP(D2409,'KAPANAN BLD.'!$C$2:$D$793,2,FALSE),0)</f>
        <v>0</v>
      </c>
      <c r="P2409" s="79">
        <v>0</v>
      </c>
    </row>
    <row r="2410" spans="1:16" x14ac:dyDescent="0.25">
      <c r="A2410" t="s">
        <v>32</v>
      </c>
      <c r="B2410" s="73" t="str">
        <f t="shared" si="56"/>
        <v>MERKEZ</v>
      </c>
      <c r="C2410" t="s">
        <v>191</v>
      </c>
      <c r="D2410" s="73" t="str">
        <f t="shared" si="55"/>
        <v>MERKEZ/NEVŞEHİR</v>
      </c>
      <c r="E2410" s="9" t="s">
        <v>34</v>
      </c>
      <c r="F2410" s="9" t="s">
        <v>34</v>
      </c>
      <c r="G2410" t="s">
        <v>3367</v>
      </c>
      <c r="H2410">
        <v>721.38</v>
      </c>
      <c r="I2410">
        <v>72.14</v>
      </c>
      <c r="J2410">
        <v>0</v>
      </c>
      <c r="K2410">
        <v>0</v>
      </c>
      <c r="L2410">
        <v>721.38</v>
      </c>
      <c r="M2410">
        <v>72.14</v>
      </c>
      <c r="O2410" s="79">
        <f>IFERROR(VLOOKUP(D2410,'KAPANAN BLD.'!$C$2:$D$793,2,FALSE),0)</f>
        <v>0</v>
      </c>
      <c r="P2410" s="79">
        <v>0</v>
      </c>
    </row>
    <row r="2411" spans="1:16" x14ac:dyDescent="0.25">
      <c r="A2411" t="s">
        <v>32</v>
      </c>
      <c r="B2411" s="73" t="str">
        <f t="shared" si="56"/>
        <v>MERKEZ</v>
      </c>
      <c r="C2411" t="s">
        <v>191</v>
      </c>
      <c r="D2411" s="73" t="str">
        <f t="shared" si="55"/>
        <v>MERKEZ/NEVŞEHİR</v>
      </c>
      <c r="E2411" s="9" t="s">
        <v>34</v>
      </c>
      <c r="F2411" s="9" t="s">
        <v>34</v>
      </c>
      <c r="G2411" t="s">
        <v>3366</v>
      </c>
      <c r="H2411">
        <v>843.47</v>
      </c>
      <c r="I2411">
        <v>84.35</v>
      </c>
      <c r="J2411">
        <v>0</v>
      </c>
      <c r="K2411">
        <v>0</v>
      </c>
      <c r="L2411">
        <v>843.47</v>
      </c>
      <c r="M2411">
        <v>84.35</v>
      </c>
      <c r="O2411" s="79">
        <f>IFERROR(VLOOKUP(D2411,'KAPANAN BLD.'!$C$2:$D$793,2,FALSE),0)</f>
        <v>0</v>
      </c>
      <c r="P2411" s="79">
        <v>0</v>
      </c>
    </row>
    <row r="2412" spans="1:16" x14ac:dyDescent="0.25">
      <c r="A2412" t="s">
        <v>32</v>
      </c>
      <c r="B2412" s="73" t="str">
        <f t="shared" si="56"/>
        <v>GÜLŞEHİR</v>
      </c>
      <c r="C2412" t="s">
        <v>191</v>
      </c>
      <c r="D2412" s="73" t="str">
        <f t="shared" si="55"/>
        <v>GÜLŞEHİR/NEVŞEHİR</v>
      </c>
      <c r="E2412" t="s">
        <v>670</v>
      </c>
      <c r="F2412" t="s">
        <v>670</v>
      </c>
      <c r="G2412" t="s">
        <v>3367</v>
      </c>
      <c r="H2412">
        <v>1292.4000000000001</v>
      </c>
      <c r="I2412">
        <v>129.24</v>
      </c>
      <c r="J2412">
        <v>0</v>
      </c>
      <c r="K2412">
        <v>0</v>
      </c>
      <c r="L2412">
        <v>1292.4000000000001</v>
      </c>
      <c r="M2412">
        <v>129.24</v>
      </c>
      <c r="O2412" s="79">
        <f>IFERROR(VLOOKUP(D2412,'KAPANAN BLD.'!$C$2:$D$793,2,FALSE),0)</f>
        <v>0</v>
      </c>
      <c r="P2412" s="79">
        <v>0</v>
      </c>
    </row>
    <row r="2413" spans="1:16" x14ac:dyDescent="0.25">
      <c r="A2413" t="s">
        <v>32</v>
      </c>
      <c r="B2413" s="73" t="str">
        <f t="shared" si="56"/>
        <v>GÜLŞEHİR</v>
      </c>
      <c r="C2413" t="s">
        <v>191</v>
      </c>
      <c r="D2413" s="73" t="str">
        <f t="shared" si="55"/>
        <v>GÜLŞEHİR/NEVŞEHİR</v>
      </c>
      <c r="E2413" t="s">
        <v>670</v>
      </c>
      <c r="F2413" t="s">
        <v>670</v>
      </c>
      <c r="G2413" t="s">
        <v>3366</v>
      </c>
      <c r="H2413">
        <v>220</v>
      </c>
      <c r="I2413">
        <v>22</v>
      </c>
      <c r="J2413">
        <v>0</v>
      </c>
      <c r="K2413">
        <v>0</v>
      </c>
      <c r="L2413">
        <v>220</v>
      </c>
      <c r="M2413">
        <v>22</v>
      </c>
      <c r="O2413" s="79">
        <f>IFERROR(VLOOKUP(D2413,'KAPANAN BLD.'!$C$2:$D$793,2,FALSE),0)</f>
        <v>0</v>
      </c>
      <c r="P2413" s="79">
        <v>0</v>
      </c>
    </row>
    <row r="2414" spans="1:16" x14ac:dyDescent="0.25">
      <c r="A2414" t="s">
        <v>32</v>
      </c>
      <c r="B2414" s="73" t="str">
        <f t="shared" si="56"/>
        <v>AVANOS</v>
      </c>
      <c r="C2414" t="s">
        <v>191</v>
      </c>
      <c r="D2414" s="73" t="str">
        <f t="shared" si="55"/>
        <v>AVANOS/NEVŞEHİR</v>
      </c>
      <c r="E2414" s="9" t="s">
        <v>668</v>
      </c>
      <c r="F2414" s="9" t="s">
        <v>668</v>
      </c>
      <c r="G2414" t="s">
        <v>3367</v>
      </c>
      <c r="H2414">
        <v>6119.2</v>
      </c>
      <c r="I2414">
        <v>611.91999999999996</v>
      </c>
      <c r="J2414">
        <v>497.9</v>
      </c>
      <c r="K2414">
        <v>49.79</v>
      </c>
      <c r="L2414">
        <v>5621.3</v>
      </c>
      <c r="M2414">
        <v>562.13</v>
      </c>
      <c r="O2414" s="79">
        <f>IFERROR(VLOOKUP(D2414,'KAPANAN BLD.'!$C$2:$D$793,2,FALSE),0)</f>
        <v>0</v>
      </c>
      <c r="P2414" s="79">
        <v>0</v>
      </c>
    </row>
    <row r="2415" spans="1:16" x14ac:dyDescent="0.25">
      <c r="A2415" t="s">
        <v>32</v>
      </c>
      <c r="B2415" s="73" t="str">
        <f t="shared" si="56"/>
        <v>AVANOS</v>
      </c>
      <c r="C2415" t="s">
        <v>191</v>
      </c>
      <c r="D2415" s="73" t="str">
        <f t="shared" si="55"/>
        <v>AVANOS/NEVŞEHİR</v>
      </c>
      <c r="E2415" s="9" t="s">
        <v>668</v>
      </c>
      <c r="F2415" s="9" t="s">
        <v>668</v>
      </c>
      <c r="G2415" t="s">
        <v>3366</v>
      </c>
      <c r="H2415">
        <v>10572</v>
      </c>
      <c r="I2415">
        <v>1057.2</v>
      </c>
      <c r="J2415">
        <v>449.3</v>
      </c>
      <c r="K2415">
        <v>44.93</v>
      </c>
      <c r="L2415">
        <v>10122.700000000001</v>
      </c>
      <c r="M2415">
        <v>1012.27</v>
      </c>
      <c r="O2415" s="79">
        <f>IFERROR(VLOOKUP(D2415,'KAPANAN BLD.'!$C$2:$D$793,2,FALSE),0)</f>
        <v>0</v>
      </c>
      <c r="P2415" s="79">
        <v>0</v>
      </c>
    </row>
    <row r="2416" spans="1:16" x14ac:dyDescent="0.25">
      <c r="A2416" t="s">
        <v>32</v>
      </c>
      <c r="B2416" s="73" t="str">
        <f t="shared" si="56"/>
        <v>ACIGÖL</v>
      </c>
      <c r="C2416" t="s">
        <v>191</v>
      </c>
      <c r="D2416" s="73" t="str">
        <f t="shared" si="55"/>
        <v>ACIGÖL/NEVŞEHİR</v>
      </c>
      <c r="E2416" s="9" t="s">
        <v>2402</v>
      </c>
      <c r="F2416" s="9" t="s">
        <v>2402</v>
      </c>
      <c r="G2416" t="s">
        <v>3367</v>
      </c>
      <c r="H2416">
        <v>45</v>
      </c>
      <c r="I2416">
        <v>4.5</v>
      </c>
      <c r="J2416">
        <v>0</v>
      </c>
      <c r="K2416">
        <v>0</v>
      </c>
      <c r="L2416">
        <v>45</v>
      </c>
      <c r="M2416">
        <v>4.5</v>
      </c>
      <c r="O2416" s="79">
        <f>IFERROR(VLOOKUP(D2416,'KAPANAN BLD.'!$C$2:$D$793,2,FALSE),0)</f>
        <v>0</v>
      </c>
      <c r="P2416" s="79">
        <v>0</v>
      </c>
    </row>
    <row r="2417" spans="1:16" x14ac:dyDescent="0.25">
      <c r="A2417" t="s">
        <v>32</v>
      </c>
      <c r="B2417" s="73" t="str">
        <f t="shared" si="56"/>
        <v>ACIGÖL</v>
      </c>
      <c r="C2417" t="s">
        <v>191</v>
      </c>
      <c r="D2417" s="73" t="str">
        <f t="shared" si="55"/>
        <v>ACIGÖL/NEVŞEHİR</v>
      </c>
      <c r="E2417" s="9" t="s">
        <v>2402</v>
      </c>
      <c r="F2417" s="9" t="s">
        <v>2402</v>
      </c>
      <c r="G2417" t="s">
        <v>3366</v>
      </c>
      <c r="H2417">
        <v>402.8</v>
      </c>
      <c r="I2417">
        <v>40.28</v>
      </c>
      <c r="J2417">
        <v>0</v>
      </c>
      <c r="K2417">
        <v>0</v>
      </c>
      <c r="L2417">
        <v>402.8</v>
      </c>
      <c r="M2417">
        <v>40.28</v>
      </c>
      <c r="O2417" s="79">
        <f>IFERROR(VLOOKUP(D2417,'KAPANAN BLD.'!$C$2:$D$793,2,FALSE),0)</f>
        <v>0</v>
      </c>
      <c r="P2417" s="79">
        <v>0</v>
      </c>
    </row>
    <row r="2418" spans="1:16" x14ac:dyDescent="0.25">
      <c r="A2418" t="s">
        <v>32</v>
      </c>
      <c r="B2418" s="73" t="str">
        <f t="shared" si="56"/>
        <v>MERKEZ</v>
      </c>
      <c r="C2418" t="s">
        <v>191</v>
      </c>
      <c r="D2418" s="73" t="str">
        <f t="shared" si="55"/>
        <v>MERKEZ/NEVŞEHİR</v>
      </c>
      <c r="E2418" s="9" t="s">
        <v>34</v>
      </c>
      <c r="F2418" s="9" t="s">
        <v>34</v>
      </c>
      <c r="G2418" t="s">
        <v>3367</v>
      </c>
      <c r="H2418">
        <v>2485.8000000000002</v>
      </c>
      <c r="I2418">
        <v>248.58</v>
      </c>
      <c r="J2418">
        <v>3.4</v>
      </c>
      <c r="K2418">
        <v>0.34</v>
      </c>
      <c r="L2418">
        <v>2482.4</v>
      </c>
      <c r="M2418">
        <v>248.24</v>
      </c>
      <c r="O2418" s="79">
        <f>IFERROR(VLOOKUP(D2418,'KAPANAN BLD.'!$C$2:$D$793,2,FALSE),0)</f>
        <v>0</v>
      </c>
      <c r="P2418" s="79">
        <v>0</v>
      </c>
    </row>
    <row r="2419" spans="1:16" x14ac:dyDescent="0.25">
      <c r="A2419" t="s">
        <v>32</v>
      </c>
      <c r="B2419" s="73" t="str">
        <f t="shared" si="56"/>
        <v>MERKEZ</v>
      </c>
      <c r="C2419" t="s">
        <v>191</v>
      </c>
      <c r="D2419" s="73" t="str">
        <f t="shared" si="55"/>
        <v>MERKEZ/NEVŞEHİR</v>
      </c>
      <c r="E2419" s="9" t="s">
        <v>34</v>
      </c>
      <c r="F2419" s="9" t="s">
        <v>34</v>
      </c>
      <c r="G2419" t="s">
        <v>3366</v>
      </c>
      <c r="H2419">
        <v>3013.9</v>
      </c>
      <c r="I2419">
        <v>301.39</v>
      </c>
      <c r="J2419">
        <v>524.4</v>
      </c>
      <c r="K2419">
        <v>52.44</v>
      </c>
      <c r="L2419">
        <v>2489.5</v>
      </c>
      <c r="M2419">
        <v>248.95</v>
      </c>
      <c r="O2419" s="79">
        <f>IFERROR(VLOOKUP(D2419,'KAPANAN BLD.'!$C$2:$D$793,2,FALSE),0)</f>
        <v>0</v>
      </c>
      <c r="P2419" s="79">
        <v>0</v>
      </c>
    </row>
    <row r="2420" spans="1:16" x14ac:dyDescent="0.25">
      <c r="A2420" t="s">
        <v>32</v>
      </c>
      <c r="B2420" s="73" t="str">
        <f t="shared" si="56"/>
        <v>MERKEZ</v>
      </c>
      <c r="C2420" t="s">
        <v>191</v>
      </c>
      <c r="D2420" s="73" t="str">
        <f t="shared" si="55"/>
        <v>MERKEZ/NEVŞEHİR</v>
      </c>
      <c r="E2420" s="9" t="s">
        <v>34</v>
      </c>
      <c r="F2420" s="9" t="s">
        <v>34</v>
      </c>
      <c r="G2420" t="s">
        <v>3367</v>
      </c>
      <c r="H2420">
        <v>767.9</v>
      </c>
      <c r="I2420">
        <v>76.790000000000006</v>
      </c>
      <c r="J2420">
        <v>94.6</v>
      </c>
      <c r="K2420">
        <v>9.4600000000000009</v>
      </c>
      <c r="L2420">
        <v>673.3</v>
      </c>
      <c r="M2420">
        <v>67.33</v>
      </c>
      <c r="O2420" s="79">
        <f>IFERROR(VLOOKUP(D2420,'KAPANAN BLD.'!$C$2:$D$793,2,FALSE),0)</f>
        <v>0</v>
      </c>
      <c r="P2420" s="79">
        <v>0</v>
      </c>
    </row>
    <row r="2421" spans="1:16" x14ac:dyDescent="0.25">
      <c r="A2421" t="s">
        <v>32</v>
      </c>
      <c r="B2421" s="73" t="str">
        <f t="shared" si="56"/>
        <v>MERKEZ</v>
      </c>
      <c r="C2421" t="s">
        <v>191</v>
      </c>
      <c r="D2421" s="73" t="str">
        <f t="shared" si="55"/>
        <v>MERKEZ/NEVŞEHİR</v>
      </c>
      <c r="E2421" s="9" t="s">
        <v>34</v>
      </c>
      <c r="F2421" s="9" t="s">
        <v>34</v>
      </c>
      <c r="G2421" t="s">
        <v>3366</v>
      </c>
      <c r="H2421">
        <v>2136.1</v>
      </c>
      <c r="I2421">
        <v>213.61</v>
      </c>
      <c r="J2421">
        <v>41.2</v>
      </c>
      <c r="K2421">
        <v>4.12</v>
      </c>
      <c r="L2421">
        <v>2094.9</v>
      </c>
      <c r="M2421">
        <v>209.49</v>
      </c>
      <c r="O2421" s="79">
        <f>IFERROR(VLOOKUP(D2421,'KAPANAN BLD.'!$C$2:$D$793,2,FALSE),0)</f>
        <v>0</v>
      </c>
      <c r="P2421" s="79">
        <v>0</v>
      </c>
    </row>
    <row r="2422" spans="1:16" x14ac:dyDescent="0.25">
      <c r="A2422" t="s">
        <v>32</v>
      </c>
      <c r="B2422" s="73" t="str">
        <f t="shared" si="56"/>
        <v>MERKEZ</v>
      </c>
      <c r="C2422" t="s">
        <v>191</v>
      </c>
      <c r="D2422" s="73" t="str">
        <f t="shared" si="55"/>
        <v>MERKEZ/NEVŞEHİR</v>
      </c>
      <c r="E2422" t="s">
        <v>34</v>
      </c>
      <c r="F2422" t="s">
        <v>34</v>
      </c>
      <c r="G2422" t="s">
        <v>3367</v>
      </c>
      <c r="H2422">
        <v>1824.8</v>
      </c>
      <c r="I2422">
        <v>182.48</v>
      </c>
      <c r="J2422">
        <v>2.4</v>
      </c>
      <c r="K2422">
        <v>0.24</v>
      </c>
      <c r="L2422">
        <v>1822.4</v>
      </c>
      <c r="M2422">
        <v>182.24</v>
      </c>
      <c r="O2422" s="79">
        <f>IFERROR(VLOOKUP(D2422,'KAPANAN BLD.'!$C$2:$D$793,2,FALSE),0)</f>
        <v>0</v>
      </c>
      <c r="P2422" s="79">
        <v>0</v>
      </c>
    </row>
    <row r="2423" spans="1:16" x14ac:dyDescent="0.25">
      <c r="A2423" t="s">
        <v>32</v>
      </c>
      <c r="B2423" s="73" t="str">
        <f t="shared" si="56"/>
        <v>MERKEZ</v>
      </c>
      <c r="C2423" t="s">
        <v>191</v>
      </c>
      <c r="D2423" s="73" t="str">
        <f t="shared" si="55"/>
        <v>MERKEZ/NEVŞEHİR</v>
      </c>
      <c r="E2423" t="s">
        <v>34</v>
      </c>
      <c r="F2423" t="s">
        <v>34</v>
      </c>
      <c r="G2423" t="s">
        <v>3366</v>
      </c>
      <c r="H2423">
        <v>4833.3</v>
      </c>
      <c r="I2423">
        <v>483.33</v>
      </c>
      <c r="J2423">
        <v>21.1</v>
      </c>
      <c r="K2423">
        <v>2.11</v>
      </c>
      <c r="L2423">
        <v>4812.2</v>
      </c>
      <c r="M2423">
        <v>481.22</v>
      </c>
      <c r="O2423" s="79">
        <f>IFERROR(VLOOKUP(D2423,'KAPANAN BLD.'!$C$2:$D$793,2,FALSE),0)</f>
        <v>0</v>
      </c>
      <c r="P2423" s="79">
        <v>0</v>
      </c>
    </row>
    <row r="2424" spans="1:16" x14ac:dyDescent="0.25">
      <c r="A2424" t="s">
        <v>32</v>
      </c>
      <c r="B2424" s="73" t="str">
        <f t="shared" si="56"/>
        <v>MERKEZ</v>
      </c>
      <c r="C2424" t="s">
        <v>191</v>
      </c>
      <c r="D2424" s="73" t="str">
        <f t="shared" si="55"/>
        <v>MERKEZ/NEVŞEHİR</v>
      </c>
      <c r="E2424" s="9" t="s">
        <v>34</v>
      </c>
      <c r="F2424" s="9" t="s">
        <v>34</v>
      </c>
      <c r="G2424" t="s">
        <v>3367</v>
      </c>
      <c r="H2424">
        <v>4707</v>
      </c>
      <c r="I2424">
        <v>470.7</v>
      </c>
      <c r="J2424">
        <v>0</v>
      </c>
      <c r="K2424">
        <v>0</v>
      </c>
      <c r="L2424">
        <v>4707</v>
      </c>
      <c r="M2424">
        <v>470.7</v>
      </c>
      <c r="O2424" s="79">
        <f>IFERROR(VLOOKUP(D2424,'KAPANAN BLD.'!$C$2:$D$793,2,FALSE),0)</f>
        <v>0</v>
      </c>
      <c r="P2424" s="79">
        <v>0</v>
      </c>
    </row>
    <row r="2425" spans="1:16" x14ac:dyDescent="0.25">
      <c r="A2425" t="s">
        <v>32</v>
      </c>
      <c r="B2425" s="73" t="str">
        <f t="shared" si="56"/>
        <v>MERKEZ</v>
      </c>
      <c r="C2425" t="s">
        <v>191</v>
      </c>
      <c r="D2425" s="73" t="str">
        <f t="shared" si="55"/>
        <v>MERKEZ/NEVŞEHİR</v>
      </c>
      <c r="E2425" s="9" t="s">
        <v>34</v>
      </c>
      <c r="F2425" s="9" t="s">
        <v>34</v>
      </c>
      <c r="G2425" t="s">
        <v>3366</v>
      </c>
      <c r="H2425">
        <v>6306</v>
      </c>
      <c r="I2425">
        <v>630.6</v>
      </c>
      <c r="J2425">
        <v>0</v>
      </c>
      <c r="K2425">
        <v>0</v>
      </c>
      <c r="L2425">
        <v>6306</v>
      </c>
      <c r="M2425">
        <v>630.6</v>
      </c>
      <c r="O2425" s="79">
        <f>IFERROR(VLOOKUP(D2425,'KAPANAN BLD.'!$C$2:$D$793,2,FALSE),0)</f>
        <v>0</v>
      </c>
      <c r="P2425" s="79">
        <v>0</v>
      </c>
    </row>
    <row r="2426" spans="1:16" x14ac:dyDescent="0.25">
      <c r="A2426" t="s">
        <v>32</v>
      </c>
      <c r="B2426" s="73" t="str">
        <f t="shared" si="56"/>
        <v>ÜRGÜP</v>
      </c>
      <c r="C2426" t="s">
        <v>191</v>
      </c>
      <c r="D2426" s="73" t="str">
        <f t="shared" si="55"/>
        <v>ÜRGÜP/NEVŞEHİR</v>
      </c>
      <c r="E2426" s="9" t="s">
        <v>309</v>
      </c>
      <c r="F2426" s="9" t="s">
        <v>309</v>
      </c>
      <c r="G2426" t="s">
        <v>3367</v>
      </c>
      <c r="H2426">
        <v>297.2</v>
      </c>
      <c r="I2426">
        <v>29.72</v>
      </c>
      <c r="J2426">
        <v>0</v>
      </c>
      <c r="K2426">
        <v>0</v>
      </c>
      <c r="L2426">
        <v>297.2</v>
      </c>
      <c r="M2426">
        <v>29.72</v>
      </c>
      <c r="O2426" s="79">
        <f>IFERROR(VLOOKUP(D2426,'KAPANAN BLD.'!$C$2:$D$793,2,FALSE),0)</f>
        <v>0</v>
      </c>
      <c r="P2426" s="79">
        <v>0</v>
      </c>
    </row>
    <row r="2427" spans="1:16" x14ac:dyDescent="0.25">
      <c r="A2427" t="s">
        <v>32</v>
      </c>
      <c r="B2427" s="73" t="str">
        <f t="shared" si="56"/>
        <v>ÜRGÜP</v>
      </c>
      <c r="C2427" t="s">
        <v>191</v>
      </c>
      <c r="D2427" s="73" t="str">
        <f t="shared" si="55"/>
        <v>ÜRGÜP/NEVŞEHİR</v>
      </c>
      <c r="E2427" s="9" t="s">
        <v>309</v>
      </c>
      <c r="F2427" s="9" t="s">
        <v>309</v>
      </c>
      <c r="G2427" t="s">
        <v>3366</v>
      </c>
      <c r="H2427">
        <v>1496</v>
      </c>
      <c r="I2427">
        <v>149.6</v>
      </c>
      <c r="J2427">
        <v>0</v>
      </c>
      <c r="K2427">
        <v>0</v>
      </c>
      <c r="L2427">
        <v>1496</v>
      </c>
      <c r="M2427">
        <v>149.6</v>
      </c>
      <c r="O2427" s="79">
        <f>IFERROR(VLOOKUP(D2427,'KAPANAN BLD.'!$C$2:$D$793,2,FALSE),0)</f>
        <v>0</v>
      </c>
      <c r="P2427" s="79">
        <v>0</v>
      </c>
    </row>
    <row r="2428" spans="1:16" x14ac:dyDescent="0.25">
      <c r="A2428" t="s">
        <v>32</v>
      </c>
      <c r="B2428" s="73" t="str">
        <f t="shared" si="56"/>
        <v>AVANOS</v>
      </c>
      <c r="C2428" t="s">
        <v>191</v>
      </c>
      <c r="D2428" s="73" t="str">
        <f t="shared" si="55"/>
        <v>AVANOS/NEVŞEHİR</v>
      </c>
      <c r="E2428" s="9" t="s">
        <v>668</v>
      </c>
      <c r="F2428" s="9" t="s">
        <v>668</v>
      </c>
      <c r="G2428" t="s">
        <v>3367</v>
      </c>
      <c r="H2428">
        <v>920.3</v>
      </c>
      <c r="I2428">
        <v>92.03</v>
      </c>
      <c r="J2428">
        <v>33.799999999999997</v>
      </c>
      <c r="K2428">
        <v>3.38</v>
      </c>
      <c r="L2428">
        <v>886.5</v>
      </c>
      <c r="M2428">
        <v>88.65</v>
      </c>
      <c r="O2428" s="79">
        <f>IFERROR(VLOOKUP(D2428,'KAPANAN BLD.'!$C$2:$D$793,2,FALSE),0)</f>
        <v>0</v>
      </c>
      <c r="P2428" s="79">
        <v>0</v>
      </c>
    </row>
    <row r="2429" spans="1:16" x14ac:dyDescent="0.25">
      <c r="A2429" t="s">
        <v>32</v>
      </c>
      <c r="B2429" s="73" t="str">
        <f t="shared" si="56"/>
        <v>AVANOS</v>
      </c>
      <c r="C2429" t="s">
        <v>191</v>
      </c>
      <c r="D2429" s="73" t="str">
        <f t="shared" si="55"/>
        <v>AVANOS/NEVŞEHİR</v>
      </c>
      <c r="E2429" s="9" t="s">
        <v>668</v>
      </c>
      <c r="F2429" s="9" t="s">
        <v>668</v>
      </c>
      <c r="G2429" t="s">
        <v>3366</v>
      </c>
      <c r="H2429">
        <v>17270.8</v>
      </c>
      <c r="I2429">
        <v>1727.08</v>
      </c>
      <c r="J2429">
        <v>302.10000000000002</v>
      </c>
      <c r="K2429">
        <v>30.21</v>
      </c>
      <c r="L2429">
        <v>16968.7</v>
      </c>
      <c r="M2429">
        <v>1696.87</v>
      </c>
      <c r="O2429" s="79">
        <f>IFERROR(VLOOKUP(D2429,'KAPANAN BLD.'!$C$2:$D$793,2,FALSE),0)</f>
        <v>0</v>
      </c>
      <c r="P2429" s="79">
        <v>0</v>
      </c>
    </row>
    <row r="2430" spans="1:16" x14ac:dyDescent="0.25">
      <c r="A2430" t="s">
        <v>32</v>
      </c>
      <c r="B2430" s="73" t="str">
        <f t="shared" si="56"/>
        <v>MERKEZ</v>
      </c>
      <c r="C2430" t="s">
        <v>191</v>
      </c>
      <c r="D2430" s="73" t="str">
        <f t="shared" si="55"/>
        <v>MERKEZ/NEVŞEHİR</v>
      </c>
      <c r="E2430" s="9" t="s">
        <v>34</v>
      </c>
      <c r="F2430" s="9" t="s">
        <v>34</v>
      </c>
      <c r="G2430" t="s">
        <v>3367</v>
      </c>
      <c r="H2430">
        <v>1337.5</v>
      </c>
      <c r="I2430">
        <v>133.75</v>
      </c>
      <c r="J2430">
        <v>0</v>
      </c>
      <c r="K2430">
        <v>0</v>
      </c>
      <c r="L2430">
        <v>1337.5</v>
      </c>
      <c r="M2430">
        <v>133.75</v>
      </c>
      <c r="O2430" s="79">
        <f>IFERROR(VLOOKUP(D2430,'KAPANAN BLD.'!$C$2:$D$793,2,FALSE),0)</f>
        <v>0</v>
      </c>
      <c r="P2430" s="79">
        <v>0</v>
      </c>
    </row>
    <row r="2431" spans="1:16" x14ac:dyDescent="0.25">
      <c r="A2431" t="s">
        <v>32</v>
      </c>
      <c r="B2431" s="73" t="str">
        <f t="shared" si="56"/>
        <v>MERKEZ</v>
      </c>
      <c r="C2431" t="s">
        <v>191</v>
      </c>
      <c r="D2431" s="73" t="str">
        <f t="shared" si="55"/>
        <v>MERKEZ/NEVŞEHİR</v>
      </c>
      <c r="E2431" s="9" t="s">
        <v>34</v>
      </c>
      <c r="F2431" s="9" t="s">
        <v>34</v>
      </c>
      <c r="G2431" t="s">
        <v>3366</v>
      </c>
      <c r="H2431">
        <v>2382.3000000000002</v>
      </c>
      <c r="I2431">
        <v>238.23</v>
      </c>
      <c r="J2431">
        <v>0</v>
      </c>
      <c r="K2431">
        <v>0</v>
      </c>
      <c r="L2431">
        <v>2382.3000000000002</v>
      </c>
      <c r="M2431">
        <v>238.23</v>
      </c>
      <c r="O2431" s="79">
        <f>IFERROR(VLOOKUP(D2431,'KAPANAN BLD.'!$C$2:$D$793,2,FALSE),0)</f>
        <v>0</v>
      </c>
      <c r="P2431" s="79">
        <v>0</v>
      </c>
    </row>
    <row r="2432" spans="1:16" x14ac:dyDescent="0.25">
      <c r="A2432" t="s">
        <v>32</v>
      </c>
      <c r="B2432" s="73" t="str">
        <f t="shared" si="56"/>
        <v>ACIGÖL</v>
      </c>
      <c r="C2432" t="s">
        <v>191</v>
      </c>
      <c r="D2432" s="73" t="str">
        <f t="shared" si="55"/>
        <v>ACIGÖL/NEVŞEHİR</v>
      </c>
      <c r="E2432" s="9" t="s">
        <v>2402</v>
      </c>
      <c r="F2432" s="9" t="s">
        <v>2402</v>
      </c>
      <c r="G2432" t="s">
        <v>3367</v>
      </c>
      <c r="H2432">
        <v>186.5</v>
      </c>
      <c r="I2432">
        <v>18.649999999999999</v>
      </c>
      <c r="J2432">
        <v>0</v>
      </c>
      <c r="K2432">
        <v>0</v>
      </c>
      <c r="L2432">
        <v>186.5</v>
      </c>
      <c r="M2432">
        <v>18.649999999999999</v>
      </c>
      <c r="O2432" s="79">
        <f>IFERROR(VLOOKUP(D2432,'KAPANAN BLD.'!$C$2:$D$793,2,FALSE),0)</f>
        <v>0</v>
      </c>
      <c r="P2432" s="79">
        <v>0</v>
      </c>
    </row>
    <row r="2433" spans="1:16" x14ac:dyDescent="0.25">
      <c r="A2433" t="s">
        <v>32</v>
      </c>
      <c r="B2433" s="73" t="str">
        <f t="shared" si="56"/>
        <v>ACIGÖL</v>
      </c>
      <c r="C2433" t="s">
        <v>191</v>
      </c>
      <c r="D2433" s="73" t="str">
        <f t="shared" si="55"/>
        <v>ACIGÖL/NEVŞEHİR</v>
      </c>
      <c r="E2433" s="9" t="s">
        <v>2402</v>
      </c>
      <c r="F2433" s="9" t="s">
        <v>2402</v>
      </c>
      <c r="G2433" t="s">
        <v>3366</v>
      </c>
      <c r="H2433">
        <v>88.4</v>
      </c>
      <c r="I2433">
        <v>8.84</v>
      </c>
      <c r="J2433">
        <v>0</v>
      </c>
      <c r="K2433">
        <v>0</v>
      </c>
      <c r="L2433">
        <v>88.4</v>
      </c>
      <c r="M2433">
        <v>8.84</v>
      </c>
      <c r="O2433" s="79">
        <f>IFERROR(VLOOKUP(D2433,'KAPANAN BLD.'!$C$2:$D$793,2,FALSE),0)</f>
        <v>0</v>
      </c>
      <c r="P2433" s="79">
        <v>0</v>
      </c>
    </row>
    <row r="2434" spans="1:16" x14ac:dyDescent="0.25">
      <c r="A2434" t="s">
        <v>32</v>
      </c>
      <c r="B2434" s="73" t="str">
        <f t="shared" si="56"/>
        <v>AVANOS</v>
      </c>
      <c r="C2434" t="s">
        <v>191</v>
      </c>
      <c r="D2434" s="73" t="str">
        <f t="shared" si="55"/>
        <v>AVANOS/NEVŞEHİR</v>
      </c>
      <c r="E2434" s="9" t="s">
        <v>668</v>
      </c>
      <c r="F2434" s="9" t="s">
        <v>668</v>
      </c>
      <c r="G2434" t="s">
        <v>3366</v>
      </c>
      <c r="H2434">
        <v>1850.3</v>
      </c>
      <c r="I2434">
        <v>185.03</v>
      </c>
      <c r="J2434">
        <v>0</v>
      </c>
      <c r="K2434">
        <v>0</v>
      </c>
      <c r="L2434">
        <v>1850.3</v>
      </c>
      <c r="M2434">
        <v>185.03</v>
      </c>
      <c r="O2434" s="79">
        <f>IFERROR(VLOOKUP(D2434,'KAPANAN BLD.'!$C$2:$D$793,2,FALSE),0)</f>
        <v>0</v>
      </c>
      <c r="P2434" s="79">
        <v>0</v>
      </c>
    </row>
    <row r="2435" spans="1:16" x14ac:dyDescent="0.25">
      <c r="A2435" t="s">
        <v>32</v>
      </c>
      <c r="B2435" s="73" t="str">
        <f t="shared" si="56"/>
        <v>AVANOS</v>
      </c>
      <c r="C2435" t="s">
        <v>191</v>
      </c>
      <c r="D2435" s="73" t="str">
        <f t="shared" ref="D2435:D2498" si="57">CONCATENATE(B2435,"/",C2435)</f>
        <v>AVANOS/NEVŞEHİR</v>
      </c>
      <c r="E2435" s="9" t="s">
        <v>668</v>
      </c>
      <c r="F2435" s="9" t="s">
        <v>668</v>
      </c>
      <c r="G2435" t="s">
        <v>3367</v>
      </c>
      <c r="H2435">
        <v>440.1</v>
      </c>
      <c r="I2435">
        <v>44.01</v>
      </c>
      <c r="J2435">
        <v>0</v>
      </c>
      <c r="K2435">
        <v>0</v>
      </c>
      <c r="L2435">
        <v>440.1</v>
      </c>
      <c r="M2435">
        <v>44.01</v>
      </c>
      <c r="O2435" s="79">
        <f>IFERROR(VLOOKUP(D2435,'KAPANAN BLD.'!$C$2:$D$793,2,FALSE),0)</f>
        <v>0</v>
      </c>
      <c r="P2435" s="79">
        <v>0</v>
      </c>
    </row>
    <row r="2436" spans="1:16" x14ac:dyDescent="0.25">
      <c r="A2436" t="s">
        <v>32</v>
      </c>
      <c r="B2436" s="73" t="str">
        <f t="shared" si="56"/>
        <v>GÜLŞEHİR</v>
      </c>
      <c r="C2436" t="s">
        <v>191</v>
      </c>
      <c r="D2436" s="73" t="str">
        <f t="shared" si="57"/>
        <v>GÜLŞEHİR/NEVŞEHİR</v>
      </c>
      <c r="E2436" s="9" t="s">
        <v>670</v>
      </c>
      <c r="F2436" s="9" t="s">
        <v>670</v>
      </c>
      <c r="G2436" t="s">
        <v>3367</v>
      </c>
      <c r="H2436">
        <v>45</v>
      </c>
      <c r="I2436">
        <v>4.5</v>
      </c>
      <c r="J2436">
        <v>0</v>
      </c>
      <c r="K2436">
        <v>0</v>
      </c>
      <c r="L2436">
        <v>45</v>
      </c>
      <c r="M2436">
        <v>4.5</v>
      </c>
      <c r="O2436" s="79">
        <f>IFERROR(VLOOKUP(D2436,'KAPANAN BLD.'!$C$2:$D$793,2,FALSE),0)</f>
        <v>0</v>
      </c>
      <c r="P2436" s="79">
        <v>0</v>
      </c>
    </row>
    <row r="2437" spans="1:16" x14ac:dyDescent="0.25">
      <c r="A2437" t="s">
        <v>32</v>
      </c>
      <c r="B2437" s="73" t="str">
        <f t="shared" si="56"/>
        <v>GÜLŞEHİR</v>
      </c>
      <c r="C2437" t="s">
        <v>191</v>
      </c>
      <c r="D2437" s="73" t="str">
        <f t="shared" si="57"/>
        <v>GÜLŞEHİR/NEVŞEHİR</v>
      </c>
      <c r="E2437" s="9" t="s">
        <v>670</v>
      </c>
      <c r="F2437" s="9" t="s">
        <v>670</v>
      </c>
      <c r="G2437" t="s">
        <v>3366</v>
      </c>
      <c r="H2437">
        <v>402.8</v>
      </c>
      <c r="I2437">
        <v>40.28</v>
      </c>
      <c r="J2437">
        <v>0</v>
      </c>
      <c r="K2437">
        <v>0</v>
      </c>
      <c r="L2437">
        <v>402.8</v>
      </c>
      <c r="M2437">
        <v>40.28</v>
      </c>
      <c r="O2437" s="79">
        <f>IFERROR(VLOOKUP(D2437,'KAPANAN BLD.'!$C$2:$D$793,2,FALSE),0)</f>
        <v>0</v>
      </c>
      <c r="P2437" s="79">
        <v>0</v>
      </c>
    </row>
    <row r="2438" spans="1:16" x14ac:dyDescent="0.25">
      <c r="A2438" t="s">
        <v>32</v>
      </c>
      <c r="B2438" s="73" t="str">
        <f t="shared" si="56"/>
        <v>MERKEZ</v>
      </c>
      <c r="C2438" t="s">
        <v>191</v>
      </c>
      <c r="D2438" s="73" t="str">
        <f t="shared" si="57"/>
        <v>MERKEZ/NEVŞEHİR</v>
      </c>
      <c r="E2438" s="9" t="s">
        <v>34</v>
      </c>
      <c r="F2438" s="9" t="s">
        <v>34</v>
      </c>
      <c r="G2438" t="s">
        <v>3367</v>
      </c>
      <c r="H2438">
        <v>1019.7</v>
      </c>
      <c r="I2438">
        <v>101.97</v>
      </c>
      <c r="J2438">
        <v>0</v>
      </c>
      <c r="K2438">
        <v>0</v>
      </c>
      <c r="L2438">
        <v>1019.7</v>
      </c>
      <c r="M2438">
        <v>101.97</v>
      </c>
      <c r="O2438" s="79">
        <f>IFERROR(VLOOKUP(D2438,'KAPANAN BLD.'!$C$2:$D$793,2,FALSE),0)</f>
        <v>0</v>
      </c>
      <c r="P2438" s="79">
        <v>0</v>
      </c>
    </row>
    <row r="2439" spans="1:16" x14ac:dyDescent="0.25">
      <c r="A2439" t="s">
        <v>32</v>
      </c>
      <c r="B2439" s="73" t="str">
        <f t="shared" si="56"/>
        <v>MERKEZ</v>
      </c>
      <c r="C2439" t="s">
        <v>191</v>
      </c>
      <c r="D2439" s="73" t="str">
        <f t="shared" si="57"/>
        <v>MERKEZ/NEVŞEHİR</v>
      </c>
      <c r="E2439" s="9" t="s">
        <v>34</v>
      </c>
      <c r="F2439" s="9" t="s">
        <v>34</v>
      </c>
      <c r="G2439" t="s">
        <v>3366</v>
      </c>
      <c r="H2439">
        <v>566.70000000000005</v>
      </c>
      <c r="I2439">
        <v>56.67</v>
      </c>
      <c r="J2439">
        <v>0</v>
      </c>
      <c r="K2439">
        <v>0</v>
      </c>
      <c r="L2439">
        <v>566.70000000000005</v>
      </c>
      <c r="M2439">
        <v>56.67</v>
      </c>
      <c r="O2439" s="79">
        <f>IFERROR(VLOOKUP(D2439,'KAPANAN BLD.'!$C$2:$D$793,2,FALSE),0)</f>
        <v>0</v>
      </c>
      <c r="P2439" s="79">
        <v>0</v>
      </c>
    </row>
    <row r="2440" spans="1:16" x14ac:dyDescent="0.25">
      <c r="A2440" t="s">
        <v>32</v>
      </c>
      <c r="B2440" s="73" t="str">
        <f t="shared" si="56"/>
        <v>ÜRGÜP</v>
      </c>
      <c r="C2440" t="s">
        <v>191</v>
      </c>
      <c r="D2440" s="73" t="str">
        <f t="shared" si="57"/>
        <v>ÜRGÜP/NEVŞEHİR</v>
      </c>
      <c r="E2440" t="s">
        <v>309</v>
      </c>
      <c r="F2440" t="s">
        <v>309</v>
      </c>
      <c r="G2440" t="s">
        <v>3366</v>
      </c>
      <c r="H2440">
        <v>1954.1</v>
      </c>
      <c r="I2440">
        <v>195.41</v>
      </c>
      <c r="J2440">
        <v>52.8</v>
      </c>
      <c r="K2440">
        <v>5.28</v>
      </c>
      <c r="L2440">
        <v>1901.3</v>
      </c>
      <c r="M2440">
        <v>190.13</v>
      </c>
      <c r="O2440" s="79">
        <f>IFERROR(VLOOKUP(D2440,'KAPANAN BLD.'!$C$2:$D$793,2,FALSE),0)</f>
        <v>0</v>
      </c>
      <c r="P2440" s="79">
        <v>0</v>
      </c>
    </row>
    <row r="2441" spans="1:16" x14ac:dyDescent="0.25">
      <c r="A2441" t="s">
        <v>32</v>
      </c>
      <c r="B2441" s="73" t="str">
        <f t="shared" si="56"/>
        <v>ÜRGÜP</v>
      </c>
      <c r="C2441" t="s">
        <v>191</v>
      </c>
      <c r="D2441" s="73" t="str">
        <f t="shared" si="57"/>
        <v>ÜRGÜP/NEVŞEHİR</v>
      </c>
      <c r="E2441" t="s">
        <v>309</v>
      </c>
      <c r="F2441" t="s">
        <v>309</v>
      </c>
      <c r="G2441" t="s">
        <v>3367</v>
      </c>
      <c r="H2441">
        <v>444.6</v>
      </c>
      <c r="I2441">
        <v>44.46</v>
      </c>
      <c r="J2441">
        <v>3.9</v>
      </c>
      <c r="K2441">
        <v>0.39</v>
      </c>
      <c r="L2441">
        <v>440.7</v>
      </c>
      <c r="M2441">
        <v>44.07</v>
      </c>
      <c r="O2441" s="79">
        <f>IFERROR(VLOOKUP(D2441,'KAPANAN BLD.'!$C$2:$D$793,2,FALSE),0)</f>
        <v>0</v>
      </c>
      <c r="P2441" s="79">
        <v>0</v>
      </c>
    </row>
    <row r="2442" spans="1:16" x14ac:dyDescent="0.25">
      <c r="A2442" t="s">
        <v>32</v>
      </c>
      <c r="B2442" s="73" t="str">
        <f t="shared" si="56"/>
        <v>ÜRGÜP</v>
      </c>
      <c r="C2442" t="s">
        <v>191</v>
      </c>
      <c r="D2442" s="73" t="str">
        <f t="shared" si="57"/>
        <v>ÜRGÜP/NEVŞEHİR</v>
      </c>
      <c r="E2442" t="s">
        <v>309</v>
      </c>
      <c r="F2442" t="s">
        <v>309</v>
      </c>
      <c r="G2442" t="s">
        <v>3366</v>
      </c>
      <c r="H2442">
        <v>816.7</v>
      </c>
      <c r="I2442">
        <v>81.67</v>
      </c>
      <c r="J2442">
        <v>103.3</v>
      </c>
      <c r="K2442">
        <v>10.33</v>
      </c>
      <c r="L2442">
        <v>713.4</v>
      </c>
      <c r="M2442">
        <v>71.34</v>
      </c>
      <c r="O2442" s="79">
        <f>IFERROR(VLOOKUP(D2442,'KAPANAN BLD.'!$C$2:$D$793,2,FALSE),0)</f>
        <v>0</v>
      </c>
      <c r="P2442" s="79">
        <v>0</v>
      </c>
    </row>
    <row r="2443" spans="1:16" x14ac:dyDescent="0.25">
      <c r="A2443" t="s">
        <v>32</v>
      </c>
      <c r="B2443" s="73" t="str">
        <f t="shared" si="56"/>
        <v>ÜRGÜP</v>
      </c>
      <c r="C2443" t="s">
        <v>191</v>
      </c>
      <c r="D2443" s="73" t="str">
        <f t="shared" si="57"/>
        <v>ÜRGÜP/NEVŞEHİR</v>
      </c>
      <c r="E2443" t="s">
        <v>309</v>
      </c>
      <c r="F2443" t="s">
        <v>309</v>
      </c>
      <c r="G2443" t="s">
        <v>3367</v>
      </c>
      <c r="H2443">
        <v>1059</v>
      </c>
      <c r="I2443">
        <v>105.9</v>
      </c>
      <c r="J2443">
        <v>5.4</v>
      </c>
      <c r="K2443">
        <v>0.54</v>
      </c>
      <c r="L2443">
        <v>1053.5999999999999</v>
      </c>
      <c r="M2443">
        <v>105.36</v>
      </c>
      <c r="O2443" s="79">
        <f>IFERROR(VLOOKUP(D2443,'KAPANAN BLD.'!$C$2:$D$793,2,FALSE),0)</f>
        <v>0</v>
      </c>
      <c r="P2443" s="79">
        <v>0</v>
      </c>
    </row>
    <row r="2444" spans="1:16" x14ac:dyDescent="0.25">
      <c r="A2444" t="s">
        <v>32</v>
      </c>
      <c r="B2444" s="73" t="str">
        <f t="shared" si="56"/>
        <v>ÜRGÜP</v>
      </c>
      <c r="C2444" t="s">
        <v>191</v>
      </c>
      <c r="D2444" s="73" t="str">
        <f t="shared" si="57"/>
        <v>ÜRGÜP/NEVŞEHİR</v>
      </c>
      <c r="E2444" t="s">
        <v>309</v>
      </c>
      <c r="F2444" t="s">
        <v>309</v>
      </c>
      <c r="G2444" t="s">
        <v>3367</v>
      </c>
      <c r="H2444">
        <v>702.1</v>
      </c>
      <c r="I2444">
        <v>70.209999999999994</v>
      </c>
      <c r="J2444">
        <v>0</v>
      </c>
      <c r="K2444">
        <v>0</v>
      </c>
      <c r="L2444">
        <v>702.1</v>
      </c>
      <c r="M2444">
        <v>70.209999999999994</v>
      </c>
      <c r="O2444" s="79">
        <f>IFERROR(VLOOKUP(D2444,'KAPANAN BLD.'!$C$2:$D$793,2,FALSE),0)</f>
        <v>0</v>
      </c>
      <c r="P2444" s="79">
        <v>0</v>
      </c>
    </row>
    <row r="2445" spans="1:16" x14ac:dyDescent="0.25">
      <c r="A2445" t="s">
        <v>32</v>
      </c>
      <c r="B2445" s="73" t="str">
        <f t="shared" si="56"/>
        <v>ÜRGÜP</v>
      </c>
      <c r="C2445" t="s">
        <v>191</v>
      </c>
      <c r="D2445" s="73" t="str">
        <f t="shared" si="57"/>
        <v>ÜRGÜP/NEVŞEHİR</v>
      </c>
      <c r="E2445" t="s">
        <v>309</v>
      </c>
      <c r="F2445" t="s">
        <v>309</v>
      </c>
      <c r="G2445" t="s">
        <v>3366</v>
      </c>
      <c r="H2445">
        <v>358.1</v>
      </c>
      <c r="I2445">
        <v>35.81</v>
      </c>
      <c r="J2445">
        <v>0</v>
      </c>
      <c r="K2445">
        <v>0</v>
      </c>
      <c r="L2445">
        <v>358.1</v>
      </c>
      <c r="M2445">
        <v>35.81</v>
      </c>
      <c r="O2445" s="79">
        <f>IFERROR(VLOOKUP(D2445,'KAPANAN BLD.'!$C$2:$D$793,2,FALSE),0)</f>
        <v>0</v>
      </c>
      <c r="P2445" s="79">
        <v>0</v>
      </c>
    </row>
    <row r="2446" spans="1:16" x14ac:dyDescent="0.25">
      <c r="A2446" t="s">
        <v>32</v>
      </c>
      <c r="B2446" s="73" t="str">
        <f t="shared" si="56"/>
        <v>DERİNKUYU</v>
      </c>
      <c r="C2446" t="s">
        <v>191</v>
      </c>
      <c r="D2446" s="73" t="str">
        <f t="shared" si="57"/>
        <v>DERİNKUYU/NEVŞEHİR</v>
      </c>
      <c r="E2446" s="9" t="s">
        <v>669</v>
      </c>
      <c r="F2446" s="9" t="s">
        <v>669</v>
      </c>
      <c r="G2446" t="s">
        <v>3367</v>
      </c>
      <c r="H2446">
        <v>45</v>
      </c>
      <c r="I2446">
        <v>4.5</v>
      </c>
      <c r="J2446">
        <v>0</v>
      </c>
      <c r="K2446">
        <v>0</v>
      </c>
      <c r="L2446">
        <v>45</v>
      </c>
      <c r="M2446">
        <v>4.5</v>
      </c>
      <c r="O2446" s="79">
        <f>IFERROR(VLOOKUP(D2446,'KAPANAN BLD.'!$C$2:$D$793,2,FALSE),0)</f>
        <v>0</v>
      </c>
      <c r="P2446" s="79">
        <v>0</v>
      </c>
    </row>
    <row r="2447" spans="1:16" x14ac:dyDescent="0.25">
      <c r="A2447" t="s">
        <v>32</v>
      </c>
      <c r="B2447" s="73" t="str">
        <f t="shared" si="56"/>
        <v>DERİNKUYU</v>
      </c>
      <c r="C2447" t="s">
        <v>191</v>
      </c>
      <c r="D2447" s="73" t="str">
        <f t="shared" si="57"/>
        <v>DERİNKUYU/NEVŞEHİR</v>
      </c>
      <c r="E2447" s="9" t="s">
        <v>669</v>
      </c>
      <c r="F2447" s="9" t="s">
        <v>669</v>
      </c>
      <c r="G2447" t="s">
        <v>3366</v>
      </c>
      <c r="H2447">
        <v>402.8</v>
      </c>
      <c r="I2447">
        <v>40.28</v>
      </c>
      <c r="J2447">
        <v>0</v>
      </c>
      <c r="K2447">
        <v>0</v>
      </c>
      <c r="L2447">
        <v>402.8</v>
      </c>
      <c r="M2447">
        <v>40.28</v>
      </c>
      <c r="O2447" s="79">
        <f>IFERROR(VLOOKUP(D2447,'KAPANAN BLD.'!$C$2:$D$793,2,FALSE),0)</f>
        <v>0</v>
      </c>
      <c r="P2447" s="79">
        <v>0</v>
      </c>
    </row>
    <row r="2448" spans="1:16" x14ac:dyDescent="0.25">
      <c r="A2448" t="s">
        <v>32</v>
      </c>
      <c r="B2448" s="73" t="str">
        <f t="shared" si="56"/>
        <v>MERKEZ</v>
      </c>
      <c r="C2448" t="s">
        <v>192</v>
      </c>
      <c r="D2448" s="73" t="str">
        <f t="shared" si="57"/>
        <v>MERKEZ/NİĞDE</v>
      </c>
      <c r="E2448" s="9" t="s">
        <v>34</v>
      </c>
      <c r="F2448" s="9" t="s">
        <v>34</v>
      </c>
      <c r="G2448" t="s">
        <v>3367</v>
      </c>
      <c r="H2448">
        <v>228.9</v>
      </c>
      <c r="I2448">
        <v>22.89</v>
      </c>
      <c r="J2448">
        <v>0</v>
      </c>
      <c r="K2448">
        <v>0</v>
      </c>
      <c r="L2448">
        <v>228.9</v>
      </c>
      <c r="M2448">
        <v>22.89</v>
      </c>
      <c r="O2448" s="79">
        <f>IFERROR(VLOOKUP(D2448,'KAPANAN BLD.'!$C$2:$D$793,2,FALSE),0)</f>
        <v>0</v>
      </c>
      <c r="P2448" s="79">
        <v>0</v>
      </c>
    </row>
    <row r="2449" spans="1:16" x14ac:dyDescent="0.25">
      <c r="A2449" t="s">
        <v>32</v>
      </c>
      <c r="B2449" s="73" t="str">
        <f t="shared" si="56"/>
        <v>MERKEZ</v>
      </c>
      <c r="C2449" t="s">
        <v>192</v>
      </c>
      <c r="D2449" s="73" t="str">
        <f t="shared" si="57"/>
        <v>MERKEZ/NİĞDE</v>
      </c>
      <c r="E2449" s="9" t="s">
        <v>34</v>
      </c>
      <c r="F2449" s="9" t="s">
        <v>34</v>
      </c>
      <c r="G2449" t="s">
        <v>3366</v>
      </c>
      <c r="H2449">
        <v>78.3</v>
      </c>
      <c r="I2449">
        <v>7.83</v>
      </c>
      <c r="J2449">
        <v>0</v>
      </c>
      <c r="K2449">
        <v>0</v>
      </c>
      <c r="L2449">
        <v>78.3</v>
      </c>
      <c r="M2449">
        <v>7.83</v>
      </c>
      <c r="O2449" s="79">
        <f>IFERROR(VLOOKUP(D2449,'KAPANAN BLD.'!$C$2:$D$793,2,FALSE),0)</f>
        <v>0</v>
      </c>
      <c r="P2449" s="79">
        <v>0</v>
      </c>
    </row>
    <row r="2450" spans="1:16" x14ac:dyDescent="0.25">
      <c r="A2450" t="s">
        <v>32</v>
      </c>
      <c r="B2450" s="73" t="str">
        <f t="shared" si="56"/>
        <v>MERKEZ</v>
      </c>
      <c r="C2450" t="s">
        <v>192</v>
      </c>
      <c r="D2450" s="73" t="str">
        <f t="shared" si="57"/>
        <v>MERKEZ/NİĞDE</v>
      </c>
      <c r="E2450" s="9" t="s">
        <v>34</v>
      </c>
      <c r="F2450" s="9" t="s">
        <v>34</v>
      </c>
      <c r="G2450" t="s">
        <v>3367</v>
      </c>
      <c r="H2450">
        <v>140.5</v>
      </c>
      <c r="I2450">
        <v>14.05</v>
      </c>
      <c r="J2450">
        <v>0</v>
      </c>
      <c r="K2450">
        <v>0</v>
      </c>
      <c r="L2450">
        <v>140.5</v>
      </c>
      <c r="M2450">
        <v>14.05</v>
      </c>
      <c r="O2450" s="79">
        <f>IFERROR(VLOOKUP(D2450,'KAPANAN BLD.'!$C$2:$D$793,2,FALSE),0)</f>
        <v>0</v>
      </c>
      <c r="P2450" s="79">
        <v>0</v>
      </c>
    </row>
    <row r="2451" spans="1:16" x14ac:dyDescent="0.25">
      <c r="A2451" t="s">
        <v>32</v>
      </c>
      <c r="B2451" s="73" t="str">
        <f t="shared" si="56"/>
        <v>MERKEZ</v>
      </c>
      <c r="C2451" t="s">
        <v>192</v>
      </c>
      <c r="D2451" s="73" t="str">
        <f t="shared" si="57"/>
        <v>MERKEZ/NİĞDE</v>
      </c>
      <c r="E2451" s="9" t="s">
        <v>34</v>
      </c>
      <c r="F2451" s="9" t="s">
        <v>34</v>
      </c>
      <c r="G2451" t="s">
        <v>3366</v>
      </c>
      <c r="H2451">
        <v>46.7</v>
      </c>
      <c r="I2451">
        <v>4.67</v>
      </c>
      <c r="J2451">
        <v>0</v>
      </c>
      <c r="K2451">
        <v>0</v>
      </c>
      <c r="L2451">
        <v>46.7</v>
      </c>
      <c r="M2451">
        <v>4.67</v>
      </c>
      <c r="O2451" s="79">
        <f>IFERROR(VLOOKUP(D2451,'KAPANAN BLD.'!$C$2:$D$793,2,FALSE),0)</f>
        <v>0</v>
      </c>
      <c r="P2451" s="79">
        <v>0</v>
      </c>
    </row>
    <row r="2452" spans="1:16" x14ac:dyDescent="0.25">
      <c r="A2452" t="s">
        <v>32</v>
      </c>
      <c r="B2452" s="73" t="str">
        <f t="shared" si="56"/>
        <v>MERKEZ</v>
      </c>
      <c r="C2452" t="s">
        <v>192</v>
      </c>
      <c r="D2452" s="73" t="str">
        <f t="shared" si="57"/>
        <v>MERKEZ/NİĞDE</v>
      </c>
      <c r="E2452" s="9" t="s">
        <v>34</v>
      </c>
      <c r="F2452" s="9" t="s">
        <v>34</v>
      </c>
      <c r="G2452" t="s">
        <v>3367</v>
      </c>
      <c r="H2452">
        <v>284</v>
      </c>
      <c r="I2452">
        <v>28.4</v>
      </c>
      <c r="J2452">
        <v>0</v>
      </c>
      <c r="K2452">
        <v>0</v>
      </c>
      <c r="L2452">
        <v>284</v>
      </c>
      <c r="M2452">
        <v>28.4</v>
      </c>
      <c r="O2452" s="79">
        <f>IFERROR(VLOOKUP(D2452,'KAPANAN BLD.'!$C$2:$D$793,2,FALSE),0)</f>
        <v>0</v>
      </c>
      <c r="P2452" s="79">
        <v>0</v>
      </c>
    </row>
    <row r="2453" spans="1:16" x14ac:dyDescent="0.25">
      <c r="A2453" t="s">
        <v>32</v>
      </c>
      <c r="B2453" s="73" t="str">
        <f t="shared" si="56"/>
        <v>MERKEZ</v>
      </c>
      <c r="C2453" t="s">
        <v>192</v>
      </c>
      <c r="D2453" s="73" t="str">
        <f t="shared" si="57"/>
        <v>MERKEZ/NİĞDE</v>
      </c>
      <c r="E2453" s="9" t="s">
        <v>34</v>
      </c>
      <c r="F2453" s="9" t="s">
        <v>34</v>
      </c>
      <c r="G2453" t="s">
        <v>3366</v>
      </c>
      <c r="H2453">
        <v>261.10000000000002</v>
      </c>
      <c r="I2453">
        <v>26.11</v>
      </c>
      <c r="J2453">
        <v>0</v>
      </c>
      <c r="K2453">
        <v>0</v>
      </c>
      <c r="L2453">
        <v>261.10000000000002</v>
      </c>
      <c r="M2453">
        <v>26.11</v>
      </c>
      <c r="O2453" s="79">
        <f>IFERROR(VLOOKUP(D2453,'KAPANAN BLD.'!$C$2:$D$793,2,FALSE),0)</f>
        <v>0</v>
      </c>
      <c r="P2453" s="79">
        <v>0</v>
      </c>
    </row>
    <row r="2454" spans="1:16" x14ac:dyDescent="0.25">
      <c r="A2454" t="s">
        <v>32</v>
      </c>
      <c r="B2454" s="73" t="str">
        <f t="shared" si="56"/>
        <v>BOR</v>
      </c>
      <c r="C2454" t="s">
        <v>192</v>
      </c>
      <c r="D2454" s="73" t="str">
        <f t="shared" si="57"/>
        <v>BOR/NİĞDE</v>
      </c>
      <c r="E2454" s="9" t="s">
        <v>334</v>
      </c>
      <c r="F2454" s="9" t="s">
        <v>334</v>
      </c>
      <c r="G2454" t="s">
        <v>3367</v>
      </c>
      <c r="H2454">
        <v>181.5</v>
      </c>
      <c r="I2454">
        <v>18.149999999999999</v>
      </c>
      <c r="J2454">
        <v>0</v>
      </c>
      <c r="K2454">
        <v>0</v>
      </c>
      <c r="L2454">
        <v>181.5</v>
      </c>
      <c r="M2454">
        <v>18.149999999999999</v>
      </c>
      <c r="O2454" s="79">
        <f>IFERROR(VLOOKUP(D2454,'KAPANAN BLD.'!$C$2:$D$793,2,FALSE),0)</f>
        <v>0</v>
      </c>
      <c r="P2454" s="79">
        <v>0</v>
      </c>
    </row>
    <row r="2455" spans="1:16" x14ac:dyDescent="0.25">
      <c r="A2455" t="s">
        <v>32</v>
      </c>
      <c r="B2455" s="73" t="str">
        <f t="shared" ref="B2455:B2514" si="58">F2455</f>
        <v>BOR</v>
      </c>
      <c r="C2455" t="s">
        <v>192</v>
      </c>
      <c r="D2455" s="73" t="str">
        <f t="shared" si="57"/>
        <v>BOR/NİĞDE</v>
      </c>
      <c r="E2455" s="9" t="s">
        <v>334</v>
      </c>
      <c r="F2455" s="9" t="s">
        <v>334</v>
      </c>
      <c r="G2455" t="s">
        <v>3366</v>
      </c>
      <c r="H2455">
        <v>31.8</v>
      </c>
      <c r="I2455">
        <v>3.18</v>
      </c>
      <c r="J2455">
        <v>0</v>
      </c>
      <c r="K2455">
        <v>0</v>
      </c>
      <c r="L2455">
        <v>31.8</v>
      </c>
      <c r="M2455">
        <v>3.18</v>
      </c>
      <c r="O2455" s="79">
        <f>IFERROR(VLOOKUP(D2455,'KAPANAN BLD.'!$C$2:$D$793,2,FALSE),0)</f>
        <v>0</v>
      </c>
      <c r="P2455" s="79">
        <v>0</v>
      </c>
    </row>
    <row r="2456" spans="1:16" x14ac:dyDescent="0.25">
      <c r="A2456" t="s">
        <v>32</v>
      </c>
      <c r="B2456" s="73" t="str">
        <f t="shared" si="58"/>
        <v>BOR</v>
      </c>
      <c r="C2456" t="s">
        <v>192</v>
      </c>
      <c r="D2456" s="73" t="str">
        <f t="shared" si="57"/>
        <v>BOR/NİĞDE</v>
      </c>
      <c r="E2456" t="s">
        <v>334</v>
      </c>
      <c r="F2456" t="s">
        <v>334</v>
      </c>
      <c r="G2456" t="s">
        <v>3367</v>
      </c>
      <c r="H2456">
        <v>19838</v>
      </c>
      <c r="I2456">
        <v>1983.8</v>
      </c>
      <c r="J2456">
        <v>0</v>
      </c>
      <c r="K2456">
        <v>0</v>
      </c>
      <c r="L2456">
        <v>19838</v>
      </c>
      <c r="M2456">
        <v>1983.8</v>
      </c>
      <c r="O2456" s="79">
        <f>IFERROR(VLOOKUP(D2456,'KAPANAN BLD.'!$C$2:$D$793,2,FALSE),0)</f>
        <v>0</v>
      </c>
      <c r="P2456" s="79">
        <v>0</v>
      </c>
    </row>
    <row r="2457" spans="1:16" x14ac:dyDescent="0.25">
      <c r="A2457" t="s">
        <v>32</v>
      </c>
      <c r="B2457" s="73" t="str">
        <f t="shared" si="58"/>
        <v>BOR</v>
      </c>
      <c r="C2457" t="s">
        <v>192</v>
      </c>
      <c r="D2457" s="73" t="str">
        <f t="shared" si="57"/>
        <v>BOR/NİĞDE</v>
      </c>
      <c r="E2457" t="s">
        <v>334</v>
      </c>
      <c r="F2457" t="s">
        <v>334</v>
      </c>
      <c r="G2457" t="s">
        <v>3366</v>
      </c>
      <c r="H2457">
        <v>477.2</v>
      </c>
      <c r="I2457">
        <v>47.72</v>
      </c>
      <c r="J2457">
        <v>0</v>
      </c>
      <c r="K2457">
        <v>0</v>
      </c>
      <c r="L2457">
        <v>477.2</v>
      </c>
      <c r="M2457">
        <v>47.72</v>
      </c>
      <c r="O2457" s="79">
        <f>IFERROR(VLOOKUP(D2457,'KAPANAN BLD.'!$C$2:$D$793,2,FALSE),0)</f>
        <v>0</v>
      </c>
      <c r="P2457" s="79">
        <v>0</v>
      </c>
    </row>
    <row r="2458" spans="1:16" x14ac:dyDescent="0.25">
      <c r="A2458" t="s">
        <v>32</v>
      </c>
      <c r="B2458" s="73" t="str">
        <f t="shared" si="58"/>
        <v>ÇİFTLİK</v>
      </c>
      <c r="C2458" t="s">
        <v>192</v>
      </c>
      <c r="D2458" s="73" t="str">
        <f t="shared" si="57"/>
        <v>ÇİFTLİK/NİĞDE</v>
      </c>
      <c r="E2458" s="9" t="s">
        <v>465</v>
      </c>
      <c r="F2458" s="9" t="s">
        <v>465</v>
      </c>
      <c r="G2458" t="s">
        <v>3367</v>
      </c>
      <c r="H2458">
        <v>0.1</v>
      </c>
      <c r="I2458">
        <v>0.01</v>
      </c>
      <c r="J2458">
        <v>0</v>
      </c>
      <c r="K2458">
        <v>0</v>
      </c>
      <c r="L2458">
        <v>0.1</v>
      </c>
      <c r="M2458">
        <v>0.01</v>
      </c>
      <c r="O2458" s="79">
        <f>IFERROR(VLOOKUP(D2458,'KAPANAN BLD.'!$C$2:$D$793,2,FALSE),0)</f>
        <v>0</v>
      </c>
      <c r="P2458" s="79">
        <v>0</v>
      </c>
    </row>
    <row r="2459" spans="1:16" x14ac:dyDescent="0.25">
      <c r="A2459" t="s">
        <v>32</v>
      </c>
      <c r="B2459" s="73" t="str">
        <f t="shared" si="58"/>
        <v>MERKEZ</v>
      </c>
      <c r="C2459" t="s">
        <v>192</v>
      </c>
      <c r="D2459" s="73" t="str">
        <f t="shared" si="57"/>
        <v>MERKEZ/NİĞDE</v>
      </c>
      <c r="E2459" s="9" t="s">
        <v>34</v>
      </c>
      <c r="F2459" s="9" t="s">
        <v>34</v>
      </c>
      <c r="G2459" t="s">
        <v>3367</v>
      </c>
      <c r="H2459">
        <v>518.20000000000005</v>
      </c>
      <c r="I2459">
        <v>51.82</v>
      </c>
      <c r="J2459">
        <v>0</v>
      </c>
      <c r="K2459">
        <v>0</v>
      </c>
      <c r="L2459">
        <v>518.20000000000005</v>
      </c>
      <c r="M2459">
        <v>51.82</v>
      </c>
      <c r="O2459" s="79">
        <f>IFERROR(VLOOKUP(D2459,'KAPANAN BLD.'!$C$2:$D$793,2,FALSE),0)</f>
        <v>0</v>
      </c>
      <c r="P2459" s="79">
        <v>0</v>
      </c>
    </row>
    <row r="2460" spans="1:16" x14ac:dyDescent="0.25">
      <c r="A2460" t="s">
        <v>32</v>
      </c>
      <c r="B2460" s="73" t="str">
        <f t="shared" si="58"/>
        <v>MERKEZ</v>
      </c>
      <c r="C2460" t="s">
        <v>192</v>
      </c>
      <c r="D2460" s="73" t="str">
        <f t="shared" si="57"/>
        <v>MERKEZ/NİĞDE</v>
      </c>
      <c r="E2460" s="9" t="s">
        <v>34</v>
      </c>
      <c r="F2460" s="9" t="s">
        <v>34</v>
      </c>
      <c r="G2460" t="s">
        <v>3366</v>
      </c>
      <c r="H2460">
        <v>454.6</v>
      </c>
      <c r="I2460">
        <v>45.46</v>
      </c>
      <c r="J2460">
        <v>0</v>
      </c>
      <c r="K2460">
        <v>0</v>
      </c>
      <c r="L2460">
        <v>454.6</v>
      </c>
      <c r="M2460">
        <v>45.46</v>
      </c>
      <c r="O2460" s="79">
        <f>IFERROR(VLOOKUP(D2460,'KAPANAN BLD.'!$C$2:$D$793,2,FALSE),0)</f>
        <v>0</v>
      </c>
      <c r="P2460" s="79">
        <v>0</v>
      </c>
    </row>
    <row r="2461" spans="1:16" x14ac:dyDescent="0.25">
      <c r="A2461" t="s">
        <v>32</v>
      </c>
      <c r="B2461" s="73" t="str">
        <f t="shared" si="58"/>
        <v>MERKEZ</v>
      </c>
      <c r="C2461" t="s">
        <v>192</v>
      </c>
      <c r="D2461" s="73" t="str">
        <f t="shared" si="57"/>
        <v>MERKEZ/NİĞDE</v>
      </c>
      <c r="E2461" s="9" t="s">
        <v>34</v>
      </c>
      <c r="F2461" s="9" t="s">
        <v>34</v>
      </c>
      <c r="G2461" t="s">
        <v>3366</v>
      </c>
      <c r="H2461">
        <v>159.5</v>
      </c>
      <c r="I2461">
        <v>15.95</v>
      </c>
      <c r="J2461">
        <v>0</v>
      </c>
      <c r="K2461">
        <v>0</v>
      </c>
      <c r="L2461">
        <v>159.5</v>
      </c>
      <c r="M2461">
        <v>15.95</v>
      </c>
      <c r="O2461" s="79">
        <f>IFERROR(VLOOKUP(D2461,'KAPANAN BLD.'!$C$2:$D$793,2,FALSE),0)</f>
        <v>0</v>
      </c>
      <c r="P2461" s="79">
        <v>0</v>
      </c>
    </row>
    <row r="2462" spans="1:16" x14ac:dyDescent="0.25">
      <c r="A2462" t="s">
        <v>32</v>
      </c>
      <c r="B2462" s="73" t="str">
        <f t="shared" si="58"/>
        <v>MERKEZ</v>
      </c>
      <c r="C2462" t="s">
        <v>192</v>
      </c>
      <c r="D2462" s="73" t="str">
        <f t="shared" si="57"/>
        <v>MERKEZ/NİĞDE</v>
      </c>
      <c r="E2462" s="9" t="s">
        <v>34</v>
      </c>
      <c r="F2462" s="9" t="s">
        <v>34</v>
      </c>
      <c r="G2462" t="s">
        <v>3367</v>
      </c>
      <c r="H2462">
        <v>0.2</v>
      </c>
      <c r="I2462">
        <v>0.02</v>
      </c>
      <c r="J2462">
        <v>0</v>
      </c>
      <c r="K2462">
        <v>0</v>
      </c>
      <c r="L2462">
        <v>0.2</v>
      </c>
      <c r="M2462">
        <v>0.02</v>
      </c>
      <c r="O2462" s="79">
        <f>IFERROR(VLOOKUP(D2462,'KAPANAN BLD.'!$C$2:$D$793,2,FALSE),0)</f>
        <v>0</v>
      </c>
      <c r="P2462" s="79">
        <v>0</v>
      </c>
    </row>
    <row r="2463" spans="1:16" x14ac:dyDescent="0.25">
      <c r="A2463" t="s">
        <v>32</v>
      </c>
      <c r="B2463" s="73" t="str">
        <f t="shared" si="58"/>
        <v>BOR</v>
      </c>
      <c r="C2463" t="s">
        <v>192</v>
      </c>
      <c r="D2463" s="73" t="str">
        <f t="shared" si="57"/>
        <v>BOR/NİĞDE</v>
      </c>
      <c r="E2463" s="9" t="s">
        <v>334</v>
      </c>
      <c r="F2463" s="9" t="s">
        <v>334</v>
      </c>
      <c r="G2463" t="s">
        <v>3367</v>
      </c>
      <c r="H2463">
        <v>11909.2</v>
      </c>
      <c r="I2463">
        <v>1190.92</v>
      </c>
      <c r="J2463">
        <v>4.2</v>
      </c>
      <c r="K2463">
        <v>0.42</v>
      </c>
      <c r="L2463">
        <v>11905</v>
      </c>
      <c r="M2463">
        <v>1190.5</v>
      </c>
      <c r="O2463" s="79">
        <f>IFERROR(VLOOKUP(D2463,'KAPANAN BLD.'!$C$2:$D$793,2,FALSE),0)</f>
        <v>0</v>
      </c>
      <c r="P2463" s="79">
        <v>0</v>
      </c>
    </row>
    <row r="2464" spans="1:16" x14ac:dyDescent="0.25">
      <c r="A2464" t="s">
        <v>32</v>
      </c>
      <c r="B2464" s="73" t="str">
        <f t="shared" si="58"/>
        <v>BOR</v>
      </c>
      <c r="C2464" t="s">
        <v>192</v>
      </c>
      <c r="D2464" s="73" t="str">
        <f t="shared" si="57"/>
        <v>BOR/NİĞDE</v>
      </c>
      <c r="E2464" s="9" t="s">
        <v>334</v>
      </c>
      <c r="F2464" s="9" t="s">
        <v>334</v>
      </c>
      <c r="G2464" t="s">
        <v>3366</v>
      </c>
      <c r="H2464">
        <v>1978.7</v>
      </c>
      <c r="I2464">
        <v>197.87</v>
      </c>
      <c r="J2464">
        <v>79.2</v>
      </c>
      <c r="K2464">
        <v>7.92</v>
      </c>
      <c r="L2464">
        <v>1899.5</v>
      </c>
      <c r="M2464">
        <v>189.95</v>
      </c>
      <c r="O2464" s="79">
        <f>IFERROR(VLOOKUP(D2464,'KAPANAN BLD.'!$C$2:$D$793,2,FALSE),0)</f>
        <v>0</v>
      </c>
      <c r="P2464" s="79">
        <v>0</v>
      </c>
    </row>
    <row r="2465" spans="1:16" x14ac:dyDescent="0.25">
      <c r="A2465" t="s">
        <v>32</v>
      </c>
      <c r="B2465" s="73" t="str">
        <f t="shared" si="58"/>
        <v>ULUKIŞLA</v>
      </c>
      <c r="C2465" t="s">
        <v>192</v>
      </c>
      <c r="D2465" s="73" t="str">
        <f t="shared" si="57"/>
        <v>ULUKIŞLA/NİĞDE</v>
      </c>
      <c r="E2465" s="9" t="s">
        <v>466</v>
      </c>
      <c r="F2465" s="9" t="s">
        <v>466</v>
      </c>
      <c r="G2465" t="s">
        <v>3367</v>
      </c>
      <c r="H2465">
        <v>5.4</v>
      </c>
      <c r="I2465">
        <v>0.54</v>
      </c>
      <c r="J2465">
        <v>0</v>
      </c>
      <c r="K2465">
        <v>0</v>
      </c>
      <c r="L2465">
        <v>5.4</v>
      </c>
      <c r="M2465">
        <v>0.54</v>
      </c>
      <c r="O2465" s="79">
        <f>IFERROR(VLOOKUP(D2465,'KAPANAN BLD.'!$C$2:$D$793,2,FALSE),0)</f>
        <v>0</v>
      </c>
      <c r="P2465" s="79">
        <v>0</v>
      </c>
    </row>
    <row r="2466" spans="1:16" x14ac:dyDescent="0.25">
      <c r="A2466" t="s">
        <v>32</v>
      </c>
      <c r="B2466" s="73" t="str">
        <f t="shared" si="58"/>
        <v>ULUKIŞLA</v>
      </c>
      <c r="C2466" t="s">
        <v>192</v>
      </c>
      <c r="D2466" s="73" t="str">
        <f t="shared" si="57"/>
        <v>ULUKIŞLA/NİĞDE</v>
      </c>
      <c r="E2466" s="9" t="s">
        <v>466</v>
      </c>
      <c r="F2466" s="9" t="s">
        <v>466</v>
      </c>
      <c r="G2466" t="s">
        <v>3366</v>
      </c>
      <c r="H2466">
        <v>103.3</v>
      </c>
      <c r="I2466">
        <v>10.33</v>
      </c>
      <c r="J2466">
        <v>0</v>
      </c>
      <c r="K2466">
        <v>0</v>
      </c>
      <c r="L2466">
        <v>103.3</v>
      </c>
      <c r="M2466">
        <v>10.33</v>
      </c>
      <c r="O2466" s="79">
        <f>IFERROR(VLOOKUP(D2466,'KAPANAN BLD.'!$C$2:$D$793,2,FALSE),0)</f>
        <v>0</v>
      </c>
      <c r="P2466" s="79">
        <v>0</v>
      </c>
    </row>
    <row r="2467" spans="1:16" x14ac:dyDescent="0.25">
      <c r="A2467" t="s">
        <v>32</v>
      </c>
      <c r="B2467" s="73" t="str">
        <f t="shared" si="58"/>
        <v>MERKEZ</v>
      </c>
      <c r="C2467" t="s">
        <v>192</v>
      </c>
      <c r="D2467" s="73" t="str">
        <f t="shared" si="57"/>
        <v>MERKEZ/NİĞDE</v>
      </c>
      <c r="E2467" s="9" t="s">
        <v>34</v>
      </c>
      <c r="F2467" s="9" t="s">
        <v>34</v>
      </c>
      <c r="G2467" t="s">
        <v>3366</v>
      </c>
      <c r="H2467">
        <v>568.29999999999995</v>
      </c>
      <c r="I2467">
        <v>56.83</v>
      </c>
      <c r="J2467">
        <v>0</v>
      </c>
      <c r="K2467">
        <v>0</v>
      </c>
      <c r="L2467">
        <v>568.29999999999995</v>
      </c>
      <c r="M2467">
        <v>56.83</v>
      </c>
      <c r="O2467" s="79">
        <f>IFERROR(VLOOKUP(D2467,'KAPANAN BLD.'!$C$2:$D$793,2,FALSE),0)</f>
        <v>0</v>
      </c>
      <c r="P2467" s="79">
        <v>0</v>
      </c>
    </row>
    <row r="2468" spans="1:16" x14ac:dyDescent="0.25">
      <c r="A2468" t="s">
        <v>32</v>
      </c>
      <c r="B2468" s="73" t="str">
        <f t="shared" si="58"/>
        <v>MERKEZ</v>
      </c>
      <c r="C2468" t="s">
        <v>192</v>
      </c>
      <c r="D2468" s="73" t="str">
        <f t="shared" si="57"/>
        <v>MERKEZ/NİĞDE</v>
      </c>
      <c r="E2468" s="9" t="s">
        <v>34</v>
      </c>
      <c r="F2468" s="9" t="s">
        <v>34</v>
      </c>
      <c r="G2468" t="s">
        <v>3367</v>
      </c>
      <c r="H2468">
        <v>722</v>
      </c>
      <c r="I2468">
        <v>72.2</v>
      </c>
      <c r="J2468">
        <v>0</v>
      </c>
      <c r="K2468">
        <v>0</v>
      </c>
      <c r="L2468">
        <v>722</v>
      </c>
      <c r="M2468">
        <v>72.2</v>
      </c>
      <c r="O2468" s="79">
        <f>IFERROR(VLOOKUP(D2468,'KAPANAN BLD.'!$C$2:$D$793,2,FALSE),0)</f>
        <v>0</v>
      </c>
      <c r="P2468" s="79">
        <v>0</v>
      </c>
    </row>
    <row r="2469" spans="1:16" x14ac:dyDescent="0.25">
      <c r="A2469" t="s">
        <v>32</v>
      </c>
      <c r="B2469" s="73" t="str">
        <f t="shared" si="58"/>
        <v>MERKEZ</v>
      </c>
      <c r="C2469" t="s">
        <v>192</v>
      </c>
      <c r="D2469" s="73" t="str">
        <f t="shared" si="57"/>
        <v>MERKEZ/NİĞDE</v>
      </c>
      <c r="E2469" s="9" t="s">
        <v>34</v>
      </c>
      <c r="F2469" s="9" t="s">
        <v>34</v>
      </c>
      <c r="G2469" t="s">
        <v>3367</v>
      </c>
      <c r="H2469">
        <v>1993.3</v>
      </c>
      <c r="I2469">
        <v>199.33</v>
      </c>
      <c r="J2469">
        <v>0</v>
      </c>
      <c r="K2469">
        <v>0</v>
      </c>
      <c r="L2469">
        <v>1993.3</v>
      </c>
      <c r="M2469">
        <v>199.33</v>
      </c>
      <c r="O2469" s="79">
        <f>IFERROR(VLOOKUP(D2469,'KAPANAN BLD.'!$C$2:$D$793,2,FALSE),0)</f>
        <v>0</v>
      </c>
      <c r="P2469" s="79">
        <v>0</v>
      </c>
    </row>
    <row r="2470" spans="1:16" x14ac:dyDescent="0.25">
      <c r="A2470" t="s">
        <v>32</v>
      </c>
      <c r="B2470" s="73" t="str">
        <f t="shared" si="58"/>
        <v>MERKEZ</v>
      </c>
      <c r="C2470" t="s">
        <v>192</v>
      </c>
      <c r="D2470" s="73" t="str">
        <f t="shared" si="57"/>
        <v>MERKEZ/NİĞDE</v>
      </c>
      <c r="E2470" s="9" t="s">
        <v>34</v>
      </c>
      <c r="F2470" s="9" t="s">
        <v>34</v>
      </c>
      <c r="G2470" t="s">
        <v>3366</v>
      </c>
      <c r="H2470">
        <v>1174.2</v>
      </c>
      <c r="I2470">
        <v>117.42</v>
      </c>
      <c r="J2470">
        <v>0</v>
      </c>
      <c r="K2470">
        <v>0</v>
      </c>
      <c r="L2470">
        <v>1174.2</v>
      </c>
      <c r="M2470">
        <v>117.42</v>
      </c>
      <c r="O2470" s="79">
        <f>IFERROR(VLOOKUP(D2470,'KAPANAN BLD.'!$C$2:$D$793,2,FALSE),0)</f>
        <v>0</v>
      </c>
      <c r="P2470" s="79">
        <v>0</v>
      </c>
    </row>
    <row r="2471" spans="1:16" x14ac:dyDescent="0.25">
      <c r="A2471" t="s">
        <v>32</v>
      </c>
      <c r="B2471" s="73" t="str">
        <f t="shared" si="58"/>
        <v>MERKEZ</v>
      </c>
      <c r="C2471" t="s">
        <v>192</v>
      </c>
      <c r="D2471" s="73" t="str">
        <f t="shared" si="57"/>
        <v>MERKEZ/NİĞDE</v>
      </c>
      <c r="E2471" s="9" t="s">
        <v>34</v>
      </c>
      <c r="F2471" s="9" t="s">
        <v>34</v>
      </c>
      <c r="G2471" t="s">
        <v>3367</v>
      </c>
      <c r="H2471">
        <v>359.9</v>
      </c>
      <c r="I2471">
        <v>35.99</v>
      </c>
      <c r="J2471">
        <v>0</v>
      </c>
      <c r="K2471">
        <v>0</v>
      </c>
      <c r="L2471">
        <v>359.9</v>
      </c>
      <c r="M2471">
        <v>35.99</v>
      </c>
      <c r="O2471" s="79">
        <f>IFERROR(VLOOKUP(D2471,'KAPANAN BLD.'!$C$2:$D$793,2,FALSE),0)</f>
        <v>0</v>
      </c>
      <c r="P2471" s="79">
        <v>0</v>
      </c>
    </row>
    <row r="2472" spans="1:16" x14ac:dyDescent="0.25">
      <c r="A2472" t="s">
        <v>32</v>
      </c>
      <c r="B2472" s="73" t="str">
        <f t="shared" si="58"/>
        <v>MERKEZ</v>
      </c>
      <c r="C2472" t="s">
        <v>192</v>
      </c>
      <c r="D2472" s="73" t="str">
        <f t="shared" si="57"/>
        <v>MERKEZ/NİĞDE</v>
      </c>
      <c r="E2472" s="9" t="s">
        <v>34</v>
      </c>
      <c r="F2472" s="9" t="s">
        <v>34</v>
      </c>
      <c r="G2472" t="s">
        <v>3367</v>
      </c>
      <c r="H2472">
        <v>50.3</v>
      </c>
      <c r="I2472">
        <v>5.03</v>
      </c>
      <c r="J2472">
        <v>0</v>
      </c>
      <c r="K2472">
        <v>0</v>
      </c>
      <c r="L2472">
        <v>50.3</v>
      </c>
      <c r="M2472">
        <v>5.03</v>
      </c>
      <c r="O2472" s="79">
        <f>IFERROR(VLOOKUP(D2472,'KAPANAN BLD.'!$C$2:$D$793,2,FALSE),0)</f>
        <v>0</v>
      </c>
      <c r="P2472" s="79">
        <v>0</v>
      </c>
    </row>
    <row r="2473" spans="1:16" x14ac:dyDescent="0.25">
      <c r="A2473" t="s">
        <v>32</v>
      </c>
      <c r="B2473" s="73" t="str">
        <f t="shared" si="58"/>
        <v>MERKEZ</v>
      </c>
      <c r="C2473" t="s">
        <v>192</v>
      </c>
      <c r="D2473" s="73" t="str">
        <f t="shared" si="57"/>
        <v>MERKEZ/NİĞDE</v>
      </c>
      <c r="E2473" s="9" t="s">
        <v>34</v>
      </c>
      <c r="F2473" s="9" t="s">
        <v>34</v>
      </c>
      <c r="G2473" t="s">
        <v>3366</v>
      </c>
      <c r="H2473">
        <v>21.1</v>
      </c>
      <c r="I2473">
        <v>2.11</v>
      </c>
      <c r="J2473">
        <v>0</v>
      </c>
      <c r="K2473">
        <v>0</v>
      </c>
      <c r="L2473">
        <v>21.1</v>
      </c>
      <c r="M2473">
        <v>2.11</v>
      </c>
      <c r="O2473" s="79">
        <f>IFERROR(VLOOKUP(D2473,'KAPANAN BLD.'!$C$2:$D$793,2,FALSE),0)</f>
        <v>0</v>
      </c>
      <c r="P2473" s="79">
        <v>0</v>
      </c>
    </row>
    <row r="2474" spans="1:16" x14ac:dyDescent="0.25">
      <c r="A2474" t="s">
        <v>32</v>
      </c>
      <c r="B2474" s="73" t="str">
        <f t="shared" si="58"/>
        <v>MERKEZ</v>
      </c>
      <c r="C2474" t="s">
        <v>192</v>
      </c>
      <c r="D2474" s="73" t="str">
        <f t="shared" si="57"/>
        <v>MERKEZ/NİĞDE</v>
      </c>
      <c r="E2474" s="9" t="s">
        <v>34</v>
      </c>
      <c r="F2474" s="9" t="s">
        <v>34</v>
      </c>
      <c r="G2474" t="s">
        <v>3367</v>
      </c>
      <c r="H2474">
        <v>1733.2</v>
      </c>
      <c r="I2474">
        <v>173.32</v>
      </c>
      <c r="J2474">
        <v>0</v>
      </c>
      <c r="K2474">
        <v>0</v>
      </c>
      <c r="L2474">
        <v>1733.2</v>
      </c>
      <c r="M2474">
        <v>173.32</v>
      </c>
      <c r="O2474" s="79">
        <f>IFERROR(VLOOKUP(D2474,'KAPANAN BLD.'!$C$2:$D$793,2,FALSE),0)</f>
        <v>0</v>
      </c>
      <c r="P2474" s="79">
        <v>0</v>
      </c>
    </row>
    <row r="2475" spans="1:16" x14ac:dyDescent="0.25">
      <c r="A2475" t="s">
        <v>32</v>
      </c>
      <c r="B2475" s="73" t="str">
        <f t="shared" si="58"/>
        <v>MERKEZ</v>
      </c>
      <c r="C2475" t="s">
        <v>192</v>
      </c>
      <c r="D2475" s="73" t="str">
        <f t="shared" si="57"/>
        <v>MERKEZ/NİĞDE</v>
      </c>
      <c r="E2475" s="9" t="s">
        <v>34</v>
      </c>
      <c r="F2475" s="9" t="s">
        <v>34</v>
      </c>
      <c r="G2475" t="s">
        <v>3366</v>
      </c>
      <c r="H2475">
        <v>3387.6</v>
      </c>
      <c r="I2475">
        <v>338.76</v>
      </c>
      <c r="J2475">
        <v>0</v>
      </c>
      <c r="K2475">
        <v>0</v>
      </c>
      <c r="L2475">
        <v>3387.6</v>
      </c>
      <c r="M2475">
        <v>338.76</v>
      </c>
      <c r="O2475" s="79">
        <f>IFERROR(VLOOKUP(D2475,'KAPANAN BLD.'!$C$2:$D$793,2,FALSE),0)</f>
        <v>0</v>
      </c>
      <c r="P2475" s="79">
        <v>0</v>
      </c>
    </row>
    <row r="2476" spans="1:16" x14ac:dyDescent="0.25">
      <c r="A2476" t="s">
        <v>32</v>
      </c>
      <c r="B2476" s="73" t="str">
        <f t="shared" si="58"/>
        <v>MERKEZ</v>
      </c>
      <c r="C2476" t="s">
        <v>192</v>
      </c>
      <c r="D2476" s="73" t="str">
        <f t="shared" si="57"/>
        <v>MERKEZ/NİĞDE</v>
      </c>
      <c r="E2476" s="9" t="s">
        <v>34</v>
      </c>
      <c r="F2476" s="9" t="s">
        <v>34</v>
      </c>
      <c r="G2476" t="s">
        <v>3367</v>
      </c>
      <c r="H2476">
        <v>363.5</v>
      </c>
      <c r="I2476">
        <v>36.35</v>
      </c>
      <c r="J2476">
        <v>0</v>
      </c>
      <c r="K2476">
        <v>0</v>
      </c>
      <c r="L2476">
        <v>363.5</v>
      </c>
      <c r="M2476">
        <v>36.35</v>
      </c>
      <c r="O2476" s="79">
        <f>IFERROR(VLOOKUP(D2476,'KAPANAN BLD.'!$C$2:$D$793,2,FALSE),0)</f>
        <v>0</v>
      </c>
      <c r="P2476" s="79">
        <v>0</v>
      </c>
    </row>
    <row r="2477" spans="1:16" x14ac:dyDescent="0.25">
      <c r="A2477" t="s">
        <v>32</v>
      </c>
      <c r="B2477" s="73" t="str">
        <f t="shared" si="58"/>
        <v>MERKEZ</v>
      </c>
      <c r="C2477" t="s">
        <v>192</v>
      </c>
      <c r="D2477" s="73" t="str">
        <f t="shared" si="57"/>
        <v>MERKEZ/NİĞDE</v>
      </c>
      <c r="E2477" s="9" t="s">
        <v>34</v>
      </c>
      <c r="F2477" s="9" t="s">
        <v>34</v>
      </c>
      <c r="G2477" t="s">
        <v>3366</v>
      </c>
      <c r="H2477">
        <v>165.6</v>
      </c>
      <c r="I2477">
        <v>16.559999999999999</v>
      </c>
      <c r="J2477">
        <v>0</v>
      </c>
      <c r="K2477">
        <v>0</v>
      </c>
      <c r="L2477">
        <v>165.6</v>
      </c>
      <c r="M2477">
        <v>16.559999999999999</v>
      </c>
      <c r="O2477" s="79">
        <f>IFERROR(VLOOKUP(D2477,'KAPANAN BLD.'!$C$2:$D$793,2,FALSE),0)</f>
        <v>0</v>
      </c>
      <c r="P2477" s="79">
        <v>0</v>
      </c>
    </row>
    <row r="2478" spans="1:16" x14ac:dyDescent="0.25">
      <c r="A2478" t="s">
        <v>32</v>
      </c>
      <c r="B2478" s="73" t="str">
        <f t="shared" si="58"/>
        <v>MERKEZ</v>
      </c>
      <c r="C2478" t="s">
        <v>192</v>
      </c>
      <c r="D2478" s="73" t="str">
        <f t="shared" si="57"/>
        <v>MERKEZ/NİĞDE</v>
      </c>
      <c r="E2478" s="9" t="s">
        <v>34</v>
      </c>
      <c r="F2478" s="9" t="s">
        <v>34</v>
      </c>
      <c r="G2478" t="s">
        <v>3367</v>
      </c>
      <c r="H2478">
        <v>15.7</v>
      </c>
      <c r="I2478">
        <v>1.57</v>
      </c>
      <c r="J2478">
        <v>0</v>
      </c>
      <c r="K2478">
        <v>0</v>
      </c>
      <c r="L2478">
        <v>15.7</v>
      </c>
      <c r="M2478">
        <v>1.57</v>
      </c>
      <c r="O2478" s="79">
        <f>IFERROR(VLOOKUP(D2478,'KAPANAN BLD.'!$C$2:$D$793,2,FALSE),0)</f>
        <v>0</v>
      </c>
      <c r="P2478" s="79">
        <v>0</v>
      </c>
    </row>
    <row r="2479" spans="1:16" x14ac:dyDescent="0.25">
      <c r="A2479" t="s">
        <v>32</v>
      </c>
      <c r="B2479" s="73" t="str">
        <f t="shared" si="58"/>
        <v>MERKEZ</v>
      </c>
      <c r="C2479" t="s">
        <v>192</v>
      </c>
      <c r="D2479" s="73" t="str">
        <f t="shared" si="57"/>
        <v>MERKEZ/NİĞDE</v>
      </c>
      <c r="E2479" s="9" t="s">
        <v>34</v>
      </c>
      <c r="F2479" s="9" t="s">
        <v>34</v>
      </c>
      <c r="G2479" t="s">
        <v>3366</v>
      </c>
      <c r="H2479">
        <v>65.8</v>
      </c>
      <c r="I2479">
        <v>6.58</v>
      </c>
      <c r="J2479">
        <v>0</v>
      </c>
      <c r="K2479">
        <v>0</v>
      </c>
      <c r="L2479">
        <v>65.8</v>
      </c>
      <c r="M2479">
        <v>6.58</v>
      </c>
      <c r="O2479" s="79">
        <f>IFERROR(VLOOKUP(D2479,'KAPANAN BLD.'!$C$2:$D$793,2,FALSE),0)</f>
        <v>0</v>
      </c>
      <c r="P2479" s="79">
        <v>0</v>
      </c>
    </row>
    <row r="2480" spans="1:16" x14ac:dyDescent="0.25">
      <c r="A2480" t="s">
        <v>32</v>
      </c>
      <c r="B2480" s="73" t="str">
        <f t="shared" si="58"/>
        <v>MERKEZ</v>
      </c>
      <c r="C2480" t="s">
        <v>192</v>
      </c>
      <c r="D2480" s="73" t="str">
        <f t="shared" si="57"/>
        <v>MERKEZ/NİĞDE</v>
      </c>
      <c r="E2480" s="9" t="s">
        <v>34</v>
      </c>
      <c r="F2480" s="9" t="s">
        <v>34</v>
      </c>
      <c r="G2480" t="s">
        <v>3367</v>
      </c>
      <c r="H2480">
        <v>101.8</v>
      </c>
      <c r="I2480">
        <v>10.18</v>
      </c>
      <c r="J2480">
        <v>0</v>
      </c>
      <c r="K2480">
        <v>0</v>
      </c>
      <c r="L2480">
        <v>101.8</v>
      </c>
      <c r="M2480">
        <v>10.18</v>
      </c>
      <c r="O2480" s="79">
        <f>IFERROR(VLOOKUP(D2480,'KAPANAN BLD.'!$C$2:$D$793,2,FALSE),0)</f>
        <v>0</v>
      </c>
      <c r="P2480" s="79">
        <v>0</v>
      </c>
    </row>
    <row r="2481" spans="1:16" x14ac:dyDescent="0.25">
      <c r="A2481" t="s">
        <v>32</v>
      </c>
      <c r="B2481" s="73" t="str">
        <f t="shared" si="58"/>
        <v>MERKEZ</v>
      </c>
      <c r="C2481" t="s">
        <v>192</v>
      </c>
      <c r="D2481" s="73" t="str">
        <f t="shared" si="57"/>
        <v>MERKEZ/NİĞDE</v>
      </c>
      <c r="E2481" s="9" t="s">
        <v>34</v>
      </c>
      <c r="F2481" s="9" t="s">
        <v>34</v>
      </c>
      <c r="G2481" t="s">
        <v>3367</v>
      </c>
      <c r="H2481">
        <v>797.7</v>
      </c>
      <c r="I2481">
        <v>79.77</v>
      </c>
      <c r="J2481">
        <v>0</v>
      </c>
      <c r="K2481">
        <v>0</v>
      </c>
      <c r="L2481">
        <v>797.7</v>
      </c>
      <c r="M2481">
        <v>79.77</v>
      </c>
      <c r="O2481" s="79">
        <f>IFERROR(VLOOKUP(D2481,'KAPANAN BLD.'!$C$2:$D$793,2,FALSE),0)</f>
        <v>0</v>
      </c>
      <c r="P2481" s="79">
        <v>0</v>
      </c>
    </row>
    <row r="2482" spans="1:16" x14ac:dyDescent="0.25">
      <c r="A2482" t="s">
        <v>32</v>
      </c>
      <c r="B2482" s="73" t="str">
        <f t="shared" si="58"/>
        <v>MERKEZ</v>
      </c>
      <c r="C2482" t="s">
        <v>192</v>
      </c>
      <c r="D2482" s="73" t="str">
        <f t="shared" si="57"/>
        <v>MERKEZ/NİĞDE</v>
      </c>
      <c r="E2482" s="9" t="s">
        <v>34</v>
      </c>
      <c r="F2482" s="9" t="s">
        <v>34</v>
      </c>
      <c r="G2482" t="s">
        <v>3366</v>
      </c>
      <c r="H2482">
        <v>105.4</v>
      </c>
      <c r="I2482">
        <v>10.54</v>
      </c>
      <c r="J2482">
        <v>0</v>
      </c>
      <c r="K2482">
        <v>0</v>
      </c>
      <c r="L2482">
        <v>105.4</v>
      </c>
      <c r="M2482">
        <v>10.54</v>
      </c>
      <c r="O2482" s="79">
        <f>IFERROR(VLOOKUP(D2482,'KAPANAN BLD.'!$C$2:$D$793,2,FALSE),0)</f>
        <v>0</v>
      </c>
      <c r="P2482" s="79">
        <v>0</v>
      </c>
    </row>
    <row r="2483" spans="1:16" x14ac:dyDescent="0.25">
      <c r="A2483" t="s">
        <v>32</v>
      </c>
      <c r="B2483" s="73" t="str">
        <f t="shared" si="58"/>
        <v>MERKEZ</v>
      </c>
      <c r="C2483" t="s">
        <v>192</v>
      </c>
      <c r="D2483" s="73" t="str">
        <f t="shared" si="57"/>
        <v>MERKEZ/NİĞDE</v>
      </c>
      <c r="E2483" s="9" t="s">
        <v>34</v>
      </c>
      <c r="F2483" s="9" t="s">
        <v>34</v>
      </c>
      <c r="G2483" t="s">
        <v>3366</v>
      </c>
      <c r="H2483">
        <v>471.5</v>
      </c>
      <c r="I2483">
        <v>47.15</v>
      </c>
      <c r="J2483">
        <v>0</v>
      </c>
      <c r="K2483">
        <v>0</v>
      </c>
      <c r="L2483">
        <v>471.5</v>
      </c>
      <c r="M2483">
        <v>47.15</v>
      </c>
      <c r="O2483" s="79">
        <f>IFERROR(VLOOKUP(D2483,'KAPANAN BLD.'!$C$2:$D$793,2,FALSE),0)</f>
        <v>0</v>
      </c>
      <c r="P2483" s="79">
        <v>0</v>
      </c>
    </row>
    <row r="2484" spans="1:16" x14ac:dyDescent="0.25">
      <c r="A2484" t="s">
        <v>32</v>
      </c>
      <c r="B2484" s="73" t="str">
        <f t="shared" si="58"/>
        <v>MERKEZ</v>
      </c>
      <c r="C2484" t="s">
        <v>192</v>
      </c>
      <c r="D2484" s="73" t="str">
        <f t="shared" si="57"/>
        <v>MERKEZ/NİĞDE</v>
      </c>
      <c r="E2484" s="9" t="s">
        <v>34</v>
      </c>
      <c r="F2484" s="9" t="s">
        <v>34</v>
      </c>
      <c r="G2484" t="s">
        <v>3367</v>
      </c>
      <c r="H2484">
        <v>653.6</v>
      </c>
      <c r="I2484">
        <v>65.36</v>
      </c>
      <c r="J2484">
        <v>0</v>
      </c>
      <c r="K2484">
        <v>0</v>
      </c>
      <c r="L2484">
        <v>653.6</v>
      </c>
      <c r="M2484">
        <v>65.36</v>
      </c>
      <c r="O2484" s="79">
        <f>IFERROR(VLOOKUP(D2484,'KAPANAN BLD.'!$C$2:$D$793,2,FALSE),0)</f>
        <v>0</v>
      </c>
      <c r="P2484" s="79">
        <v>0</v>
      </c>
    </row>
    <row r="2485" spans="1:16" x14ac:dyDescent="0.25">
      <c r="A2485" t="s">
        <v>32</v>
      </c>
      <c r="B2485" s="73" t="str">
        <f t="shared" si="58"/>
        <v>MERKEZ</v>
      </c>
      <c r="C2485" t="s">
        <v>192</v>
      </c>
      <c r="D2485" s="73" t="str">
        <f t="shared" si="57"/>
        <v>MERKEZ/NİĞDE</v>
      </c>
      <c r="E2485" s="9" t="s">
        <v>34</v>
      </c>
      <c r="F2485" s="9" t="s">
        <v>34</v>
      </c>
      <c r="G2485" t="s">
        <v>3366</v>
      </c>
      <c r="H2485">
        <v>571.29999999999995</v>
      </c>
      <c r="I2485">
        <v>57.13</v>
      </c>
      <c r="J2485">
        <v>4101.1000000000004</v>
      </c>
      <c r="K2485">
        <v>410.11</v>
      </c>
      <c r="L2485">
        <v>-3529.8</v>
      </c>
      <c r="M2485">
        <v>-352.98</v>
      </c>
      <c r="O2485" s="79">
        <f>IFERROR(VLOOKUP(D2485,'KAPANAN BLD.'!$C$2:$D$793,2,FALSE),0)</f>
        <v>0</v>
      </c>
      <c r="P2485" s="79">
        <v>0</v>
      </c>
    </row>
    <row r="2486" spans="1:16" x14ac:dyDescent="0.25">
      <c r="A2486" t="s">
        <v>32</v>
      </c>
      <c r="B2486" s="73" t="str">
        <f t="shared" si="58"/>
        <v>MERKEZ</v>
      </c>
      <c r="C2486" t="s">
        <v>192</v>
      </c>
      <c r="D2486" s="73" t="str">
        <f t="shared" si="57"/>
        <v>MERKEZ/NİĞDE</v>
      </c>
      <c r="E2486" s="9" t="s">
        <v>34</v>
      </c>
      <c r="F2486" s="9" t="s">
        <v>34</v>
      </c>
      <c r="G2486" t="s">
        <v>3367</v>
      </c>
      <c r="H2486">
        <v>678.9</v>
      </c>
      <c r="I2486">
        <v>67.89</v>
      </c>
      <c r="J2486">
        <v>204.6</v>
      </c>
      <c r="K2486">
        <v>20.46</v>
      </c>
      <c r="L2486">
        <v>474.3</v>
      </c>
      <c r="M2486">
        <v>47.43</v>
      </c>
      <c r="O2486" s="79">
        <f>IFERROR(VLOOKUP(D2486,'KAPANAN BLD.'!$C$2:$D$793,2,FALSE),0)</f>
        <v>0</v>
      </c>
      <c r="P2486" s="79">
        <v>0</v>
      </c>
    </row>
    <row r="2487" spans="1:16" x14ac:dyDescent="0.25">
      <c r="A2487" t="s">
        <v>32</v>
      </c>
      <c r="B2487" s="73" t="str">
        <f t="shared" si="58"/>
        <v>BOR</v>
      </c>
      <c r="C2487" t="s">
        <v>192</v>
      </c>
      <c r="D2487" s="73" t="str">
        <f t="shared" si="57"/>
        <v>BOR/NİĞDE</v>
      </c>
      <c r="E2487" s="9" t="s">
        <v>334</v>
      </c>
      <c r="F2487" s="9" t="s">
        <v>334</v>
      </c>
      <c r="G2487" t="s">
        <v>3367</v>
      </c>
      <c r="H2487">
        <v>143.1</v>
      </c>
      <c r="I2487">
        <v>14.31</v>
      </c>
      <c r="J2487">
        <v>0</v>
      </c>
      <c r="K2487">
        <v>0</v>
      </c>
      <c r="L2487">
        <v>143.1</v>
      </c>
      <c r="M2487">
        <v>14.31</v>
      </c>
      <c r="O2487" s="79">
        <f>IFERROR(VLOOKUP(D2487,'KAPANAN BLD.'!$C$2:$D$793,2,FALSE),0)</f>
        <v>0</v>
      </c>
      <c r="P2487" s="79">
        <v>0</v>
      </c>
    </row>
    <row r="2488" spans="1:16" x14ac:dyDescent="0.25">
      <c r="A2488" t="s">
        <v>32</v>
      </c>
      <c r="B2488" s="73" t="str">
        <f t="shared" si="58"/>
        <v>BOR</v>
      </c>
      <c r="C2488" t="s">
        <v>192</v>
      </c>
      <c r="D2488" s="73" t="str">
        <f t="shared" si="57"/>
        <v>BOR/NİĞDE</v>
      </c>
      <c r="E2488" s="9" t="s">
        <v>334</v>
      </c>
      <c r="F2488" s="9" t="s">
        <v>334</v>
      </c>
      <c r="G2488" t="s">
        <v>3366</v>
      </c>
      <c r="H2488">
        <v>551.79999999999995</v>
      </c>
      <c r="I2488">
        <v>55.18</v>
      </c>
      <c r="J2488">
        <v>0</v>
      </c>
      <c r="K2488">
        <v>0</v>
      </c>
      <c r="L2488">
        <v>551.79999999999995</v>
      </c>
      <c r="M2488">
        <v>55.18</v>
      </c>
      <c r="O2488" s="79">
        <f>IFERROR(VLOOKUP(D2488,'KAPANAN BLD.'!$C$2:$D$793,2,FALSE),0)</f>
        <v>0</v>
      </c>
      <c r="P2488" s="79">
        <v>0</v>
      </c>
    </row>
    <row r="2489" spans="1:16" x14ac:dyDescent="0.25">
      <c r="A2489" t="s">
        <v>32</v>
      </c>
      <c r="B2489" s="73" t="str">
        <f t="shared" si="58"/>
        <v>MERKEZ</v>
      </c>
      <c r="C2489" t="s">
        <v>192</v>
      </c>
      <c r="D2489" s="73" t="str">
        <f t="shared" si="57"/>
        <v>MERKEZ/NİĞDE</v>
      </c>
      <c r="E2489" s="9" t="s">
        <v>34</v>
      </c>
      <c r="F2489" s="9" t="s">
        <v>34</v>
      </c>
      <c r="G2489" t="s">
        <v>3367</v>
      </c>
      <c r="H2489">
        <v>620.9</v>
      </c>
      <c r="I2489">
        <v>62.09</v>
      </c>
      <c r="J2489">
        <v>0</v>
      </c>
      <c r="K2489">
        <v>0</v>
      </c>
      <c r="L2489">
        <v>620.9</v>
      </c>
      <c r="M2489">
        <v>62.09</v>
      </c>
      <c r="O2489" s="79">
        <f>IFERROR(VLOOKUP(D2489,'KAPANAN BLD.'!$C$2:$D$793,2,FALSE),0)</f>
        <v>0</v>
      </c>
      <c r="P2489" s="79">
        <v>0</v>
      </c>
    </row>
    <row r="2490" spans="1:16" x14ac:dyDescent="0.25">
      <c r="A2490" t="s">
        <v>32</v>
      </c>
      <c r="B2490" s="73" t="str">
        <f t="shared" si="58"/>
        <v>MERKEZ</v>
      </c>
      <c r="C2490" t="s">
        <v>192</v>
      </c>
      <c r="D2490" s="73" t="str">
        <f t="shared" si="57"/>
        <v>MERKEZ/NİĞDE</v>
      </c>
      <c r="E2490" s="9" t="s">
        <v>34</v>
      </c>
      <c r="F2490" s="9" t="s">
        <v>34</v>
      </c>
      <c r="G2490" t="s">
        <v>3366</v>
      </c>
      <c r="H2490">
        <v>545.9</v>
      </c>
      <c r="I2490">
        <v>54.59</v>
      </c>
      <c r="J2490">
        <v>0</v>
      </c>
      <c r="K2490">
        <v>0</v>
      </c>
      <c r="L2490">
        <v>545.9</v>
      </c>
      <c r="M2490">
        <v>54.59</v>
      </c>
      <c r="O2490" s="79">
        <f>IFERROR(VLOOKUP(D2490,'KAPANAN BLD.'!$C$2:$D$793,2,FALSE),0)</f>
        <v>0</v>
      </c>
      <c r="P2490" s="79">
        <v>0</v>
      </c>
    </row>
    <row r="2491" spans="1:16" x14ac:dyDescent="0.25">
      <c r="A2491" t="s">
        <v>32</v>
      </c>
      <c r="B2491" s="73" t="str">
        <f t="shared" si="58"/>
        <v>MERKEZ</v>
      </c>
      <c r="C2491" t="s">
        <v>192</v>
      </c>
      <c r="D2491" s="73" t="str">
        <f t="shared" si="57"/>
        <v>MERKEZ/NİĞDE</v>
      </c>
      <c r="E2491" s="9" t="s">
        <v>34</v>
      </c>
      <c r="F2491" s="9" t="s">
        <v>34</v>
      </c>
      <c r="G2491" t="s">
        <v>3366</v>
      </c>
      <c r="H2491">
        <v>71.8</v>
      </c>
      <c r="I2491">
        <v>7.18</v>
      </c>
      <c r="J2491">
        <v>0</v>
      </c>
      <c r="K2491">
        <v>0</v>
      </c>
      <c r="L2491">
        <v>71.8</v>
      </c>
      <c r="M2491">
        <v>7.18</v>
      </c>
      <c r="O2491" s="79">
        <f>IFERROR(VLOOKUP(D2491,'KAPANAN BLD.'!$C$2:$D$793,2,FALSE),0)</f>
        <v>0</v>
      </c>
      <c r="P2491" s="79">
        <v>0</v>
      </c>
    </row>
    <row r="2492" spans="1:16" x14ac:dyDescent="0.25">
      <c r="A2492" t="s">
        <v>32</v>
      </c>
      <c r="B2492" s="73" t="str">
        <f t="shared" si="58"/>
        <v>MERKEZ</v>
      </c>
      <c r="C2492" t="s">
        <v>192</v>
      </c>
      <c r="D2492" s="73" t="str">
        <f t="shared" si="57"/>
        <v>MERKEZ/NİĞDE</v>
      </c>
      <c r="E2492" s="9" t="s">
        <v>34</v>
      </c>
      <c r="F2492" s="9" t="s">
        <v>34</v>
      </c>
      <c r="G2492" t="s">
        <v>3367</v>
      </c>
      <c r="H2492">
        <v>900.6</v>
      </c>
      <c r="I2492">
        <v>90.06</v>
      </c>
      <c r="J2492">
        <v>0</v>
      </c>
      <c r="K2492">
        <v>0</v>
      </c>
      <c r="L2492">
        <v>900.6</v>
      </c>
      <c r="M2492">
        <v>90.06</v>
      </c>
      <c r="O2492" s="79">
        <f>IFERROR(VLOOKUP(D2492,'KAPANAN BLD.'!$C$2:$D$793,2,FALSE),0)</f>
        <v>0</v>
      </c>
      <c r="P2492" s="79">
        <v>0</v>
      </c>
    </row>
    <row r="2493" spans="1:16" x14ac:dyDescent="0.25">
      <c r="A2493" t="s">
        <v>32</v>
      </c>
      <c r="B2493" s="73" t="str">
        <f t="shared" si="58"/>
        <v>ÇİFTLİK</v>
      </c>
      <c r="C2493" t="s">
        <v>192</v>
      </c>
      <c r="D2493" s="73" t="str">
        <f t="shared" si="57"/>
        <v>ÇİFTLİK/NİĞDE</v>
      </c>
      <c r="E2493" s="9" t="s">
        <v>465</v>
      </c>
      <c r="F2493" s="9" t="s">
        <v>465</v>
      </c>
      <c r="G2493" t="s">
        <v>3367</v>
      </c>
      <c r="H2493">
        <v>140.4</v>
      </c>
      <c r="I2493">
        <v>14.04</v>
      </c>
      <c r="J2493">
        <v>0</v>
      </c>
      <c r="K2493">
        <v>0</v>
      </c>
      <c r="L2493">
        <v>140.4</v>
      </c>
      <c r="M2493">
        <v>14.04</v>
      </c>
      <c r="O2493" s="79">
        <f>IFERROR(VLOOKUP(D2493,'KAPANAN BLD.'!$C$2:$D$793,2,FALSE),0)</f>
        <v>0</v>
      </c>
      <c r="P2493" s="79">
        <v>0</v>
      </c>
    </row>
    <row r="2494" spans="1:16" x14ac:dyDescent="0.25">
      <c r="A2494" t="s">
        <v>32</v>
      </c>
      <c r="B2494" s="73" t="str">
        <f t="shared" si="58"/>
        <v>ÇİFTLİK</v>
      </c>
      <c r="C2494" t="s">
        <v>192</v>
      </c>
      <c r="D2494" s="73" t="str">
        <f t="shared" si="57"/>
        <v>ÇİFTLİK/NİĞDE</v>
      </c>
      <c r="E2494" s="9" t="s">
        <v>465</v>
      </c>
      <c r="F2494" s="9" t="s">
        <v>465</v>
      </c>
      <c r="G2494" t="s">
        <v>3366</v>
      </c>
      <c r="H2494">
        <v>587.1</v>
      </c>
      <c r="I2494">
        <v>58.71</v>
      </c>
      <c r="J2494">
        <v>0</v>
      </c>
      <c r="K2494">
        <v>0</v>
      </c>
      <c r="L2494">
        <v>587.1</v>
      </c>
      <c r="M2494">
        <v>58.71</v>
      </c>
      <c r="O2494" s="79">
        <f>IFERROR(VLOOKUP(D2494,'KAPANAN BLD.'!$C$2:$D$793,2,FALSE),0)</f>
        <v>0</v>
      </c>
      <c r="P2494" s="79">
        <v>0</v>
      </c>
    </row>
    <row r="2495" spans="1:16" x14ac:dyDescent="0.25">
      <c r="A2495" t="s">
        <v>32</v>
      </c>
      <c r="B2495" s="73" t="str">
        <f t="shared" si="58"/>
        <v>MERKEZ</v>
      </c>
      <c r="C2495" t="s">
        <v>192</v>
      </c>
      <c r="D2495" s="73" t="str">
        <f t="shared" si="57"/>
        <v>MERKEZ/NİĞDE</v>
      </c>
      <c r="E2495" s="9" t="s">
        <v>34</v>
      </c>
      <c r="F2495" s="9" t="s">
        <v>34</v>
      </c>
      <c r="G2495" t="s">
        <v>3367</v>
      </c>
      <c r="H2495">
        <v>613.5</v>
      </c>
      <c r="I2495">
        <v>61.35</v>
      </c>
      <c r="J2495">
        <v>0</v>
      </c>
      <c r="K2495">
        <v>0</v>
      </c>
      <c r="L2495">
        <v>613.5</v>
      </c>
      <c r="M2495">
        <v>61.35</v>
      </c>
      <c r="O2495" s="79">
        <f>IFERROR(VLOOKUP(D2495,'KAPANAN BLD.'!$C$2:$D$793,2,FALSE),0)</f>
        <v>0</v>
      </c>
      <c r="P2495" s="79">
        <v>0</v>
      </c>
    </row>
    <row r="2496" spans="1:16" x14ac:dyDescent="0.25">
      <c r="A2496" t="s">
        <v>32</v>
      </c>
      <c r="B2496" s="73" t="str">
        <f t="shared" si="58"/>
        <v>MERKEZ</v>
      </c>
      <c r="C2496" t="s">
        <v>192</v>
      </c>
      <c r="D2496" s="73" t="str">
        <f t="shared" si="57"/>
        <v>MERKEZ/NİĞDE</v>
      </c>
      <c r="E2496" s="9" t="s">
        <v>34</v>
      </c>
      <c r="F2496" s="9" t="s">
        <v>34</v>
      </c>
      <c r="G2496" t="s">
        <v>3366</v>
      </c>
      <c r="H2496">
        <v>211.1</v>
      </c>
      <c r="I2496">
        <v>21.11</v>
      </c>
      <c r="J2496">
        <v>0</v>
      </c>
      <c r="K2496">
        <v>0</v>
      </c>
      <c r="L2496">
        <v>211.1</v>
      </c>
      <c r="M2496">
        <v>21.11</v>
      </c>
      <c r="O2496" s="79">
        <f>IFERROR(VLOOKUP(D2496,'KAPANAN BLD.'!$C$2:$D$793,2,FALSE),0)</f>
        <v>0</v>
      </c>
      <c r="P2496" s="79">
        <v>0</v>
      </c>
    </row>
    <row r="2497" spans="1:16" x14ac:dyDescent="0.25">
      <c r="A2497" t="s">
        <v>32</v>
      </c>
      <c r="B2497" s="73" t="str">
        <f t="shared" si="58"/>
        <v>MERKEZ</v>
      </c>
      <c r="C2497" t="s">
        <v>192</v>
      </c>
      <c r="D2497" s="73" t="str">
        <f t="shared" si="57"/>
        <v>MERKEZ/NİĞDE</v>
      </c>
      <c r="E2497" t="s">
        <v>34</v>
      </c>
      <c r="F2497" t="s">
        <v>34</v>
      </c>
      <c r="G2497" t="s">
        <v>3366</v>
      </c>
      <c r="H2497">
        <v>1126.5999999999999</v>
      </c>
      <c r="I2497">
        <v>112.66</v>
      </c>
      <c r="J2497">
        <v>0</v>
      </c>
      <c r="K2497">
        <v>0</v>
      </c>
      <c r="L2497">
        <v>1126.5999999999999</v>
      </c>
      <c r="M2497">
        <v>112.66</v>
      </c>
      <c r="O2497" s="79">
        <f>IFERROR(VLOOKUP(D2497,'KAPANAN BLD.'!$C$2:$D$793,2,FALSE),0)</f>
        <v>0</v>
      </c>
      <c r="P2497" s="79">
        <v>0</v>
      </c>
    </row>
    <row r="2498" spans="1:16" x14ac:dyDescent="0.25">
      <c r="A2498" t="s">
        <v>32</v>
      </c>
      <c r="B2498" s="73" t="str">
        <f t="shared" si="58"/>
        <v>MERKEZ</v>
      </c>
      <c r="C2498" t="s">
        <v>192</v>
      </c>
      <c r="D2498" s="73" t="str">
        <f t="shared" si="57"/>
        <v>MERKEZ/NİĞDE</v>
      </c>
      <c r="E2498" t="s">
        <v>34</v>
      </c>
      <c r="F2498" t="s">
        <v>34</v>
      </c>
      <c r="G2498" t="s">
        <v>3367</v>
      </c>
      <c r="H2498">
        <v>121.4</v>
      </c>
      <c r="I2498">
        <v>12.14</v>
      </c>
      <c r="J2498">
        <v>0</v>
      </c>
      <c r="K2498">
        <v>0</v>
      </c>
      <c r="L2498">
        <v>121.4</v>
      </c>
      <c r="M2498">
        <v>12.14</v>
      </c>
      <c r="O2498" s="79">
        <f>IFERROR(VLOOKUP(D2498,'KAPANAN BLD.'!$C$2:$D$793,2,FALSE),0)</f>
        <v>0</v>
      </c>
      <c r="P2498" s="79">
        <v>0</v>
      </c>
    </row>
    <row r="2499" spans="1:16" x14ac:dyDescent="0.25">
      <c r="A2499" t="s">
        <v>32</v>
      </c>
      <c r="B2499" s="73" t="str">
        <f t="shared" si="58"/>
        <v>MERKEZ</v>
      </c>
      <c r="C2499" t="s">
        <v>192</v>
      </c>
      <c r="D2499" s="73" t="str">
        <f t="shared" ref="D2499:D2562" si="59">CONCATENATE(B2499,"/",C2499)</f>
        <v>MERKEZ/NİĞDE</v>
      </c>
      <c r="E2499" t="s">
        <v>34</v>
      </c>
      <c r="F2499" t="s">
        <v>34</v>
      </c>
      <c r="G2499" t="s">
        <v>3366</v>
      </c>
      <c r="H2499">
        <v>24333.1</v>
      </c>
      <c r="I2499">
        <v>2433.31</v>
      </c>
      <c r="J2499">
        <v>0</v>
      </c>
      <c r="K2499">
        <v>0</v>
      </c>
      <c r="L2499">
        <v>24333.1</v>
      </c>
      <c r="M2499">
        <v>2433.31</v>
      </c>
      <c r="O2499" s="79">
        <f>IFERROR(VLOOKUP(D2499,'KAPANAN BLD.'!$C$2:$D$793,2,FALSE),0)</f>
        <v>0</v>
      </c>
      <c r="P2499" s="79">
        <v>0</v>
      </c>
    </row>
    <row r="2500" spans="1:16" x14ac:dyDescent="0.25">
      <c r="A2500" t="s">
        <v>32</v>
      </c>
      <c r="B2500" s="73" t="str">
        <f t="shared" si="58"/>
        <v>MERKEZ</v>
      </c>
      <c r="C2500" t="s">
        <v>192</v>
      </c>
      <c r="D2500" s="73" t="str">
        <f t="shared" si="59"/>
        <v>MERKEZ/NİĞDE</v>
      </c>
      <c r="E2500" t="s">
        <v>34</v>
      </c>
      <c r="F2500" t="s">
        <v>34</v>
      </c>
      <c r="G2500" t="s">
        <v>3367</v>
      </c>
      <c r="H2500">
        <v>2879.1</v>
      </c>
      <c r="I2500">
        <v>287.91000000000003</v>
      </c>
      <c r="J2500">
        <v>0</v>
      </c>
      <c r="K2500">
        <v>0</v>
      </c>
      <c r="L2500">
        <v>2879.1</v>
      </c>
      <c r="M2500">
        <v>287.91000000000003</v>
      </c>
      <c r="O2500" s="79">
        <f>IFERROR(VLOOKUP(D2500,'KAPANAN BLD.'!$C$2:$D$793,2,FALSE),0)</f>
        <v>0</v>
      </c>
      <c r="P2500" s="79">
        <v>0</v>
      </c>
    </row>
    <row r="2501" spans="1:16" x14ac:dyDescent="0.25">
      <c r="A2501" t="s">
        <v>32</v>
      </c>
      <c r="B2501" s="73" t="str">
        <f t="shared" si="58"/>
        <v>MERKEZ</v>
      </c>
      <c r="C2501" t="s">
        <v>192</v>
      </c>
      <c r="D2501" s="73" t="str">
        <f t="shared" si="59"/>
        <v>MERKEZ/NİĞDE</v>
      </c>
      <c r="E2501" t="s">
        <v>34</v>
      </c>
      <c r="F2501" t="s">
        <v>34</v>
      </c>
      <c r="G2501" t="s">
        <v>3367</v>
      </c>
      <c r="H2501">
        <v>62.8</v>
      </c>
      <c r="I2501">
        <v>6.28</v>
      </c>
      <c r="J2501">
        <v>0</v>
      </c>
      <c r="K2501">
        <v>0</v>
      </c>
      <c r="L2501">
        <v>62.8</v>
      </c>
      <c r="M2501">
        <v>6.28</v>
      </c>
      <c r="O2501" s="79">
        <f>IFERROR(VLOOKUP(D2501,'KAPANAN BLD.'!$C$2:$D$793,2,FALSE),0)</f>
        <v>0</v>
      </c>
      <c r="P2501" s="79">
        <v>0</v>
      </c>
    </row>
    <row r="2502" spans="1:16" x14ac:dyDescent="0.25">
      <c r="A2502" t="s">
        <v>32</v>
      </c>
      <c r="B2502" s="73" t="str">
        <f t="shared" si="58"/>
        <v>MERKEZ</v>
      </c>
      <c r="C2502" t="s">
        <v>192</v>
      </c>
      <c r="D2502" s="73" t="str">
        <f t="shared" si="59"/>
        <v>MERKEZ/NİĞDE</v>
      </c>
      <c r="E2502" t="s">
        <v>34</v>
      </c>
      <c r="F2502" t="s">
        <v>34</v>
      </c>
      <c r="G2502" t="s">
        <v>3366</v>
      </c>
      <c r="H2502">
        <v>35.799999999999997</v>
      </c>
      <c r="I2502">
        <v>3.58</v>
      </c>
      <c r="J2502">
        <v>0</v>
      </c>
      <c r="K2502">
        <v>0</v>
      </c>
      <c r="L2502">
        <v>35.799999999999997</v>
      </c>
      <c r="M2502">
        <v>3.58</v>
      </c>
      <c r="O2502" s="79">
        <f>IFERROR(VLOOKUP(D2502,'KAPANAN BLD.'!$C$2:$D$793,2,FALSE),0)</f>
        <v>0</v>
      </c>
      <c r="P2502" s="79">
        <v>0</v>
      </c>
    </row>
    <row r="2503" spans="1:16" x14ac:dyDescent="0.25">
      <c r="A2503" t="s">
        <v>32</v>
      </c>
      <c r="B2503" s="73" t="str">
        <f t="shared" si="58"/>
        <v>MERKEZ</v>
      </c>
      <c r="C2503" t="s">
        <v>192</v>
      </c>
      <c r="D2503" s="73" t="str">
        <f t="shared" si="59"/>
        <v>MERKEZ/NİĞDE</v>
      </c>
      <c r="E2503" t="s">
        <v>34</v>
      </c>
      <c r="F2503" t="s">
        <v>34</v>
      </c>
      <c r="G2503" t="s">
        <v>3367</v>
      </c>
      <c r="H2503">
        <v>5.4</v>
      </c>
      <c r="I2503">
        <v>0.54</v>
      </c>
      <c r="J2503">
        <v>8</v>
      </c>
      <c r="K2503">
        <v>0.8</v>
      </c>
      <c r="L2503">
        <v>-2.6</v>
      </c>
      <c r="M2503">
        <v>-0.26</v>
      </c>
      <c r="O2503" s="79">
        <f>IFERROR(VLOOKUP(D2503,'KAPANAN BLD.'!$C$2:$D$793,2,FALSE),0)</f>
        <v>0</v>
      </c>
      <c r="P2503" s="79">
        <v>0</v>
      </c>
    </row>
    <row r="2504" spans="1:16" x14ac:dyDescent="0.25">
      <c r="A2504" t="s">
        <v>32</v>
      </c>
      <c r="B2504" s="73" t="str">
        <f t="shared" si="58"/>
        <v>MERKEZ</v>
      </c>
      <c r="C2504" t="s">
        <v>192</v>
      </c>
      <c r="D2504" s="73" t="str">
        <f t="shared" si="59"/>
        <v>MERKEZ/NİĞDE</v>
      </c>
      <c r="E2504" t="s">
        <v>34</v>
      </c>
      <c r="F2504" t="s">
        <v>34</v>
      </c>
      <c r="G2504" t="s">
        <v>3366</v>
      </c>
      <c r="H2504">
        <v>103.3</v>
      </c>
      <c r="I2504">
        <v>10.33</v>
      </c>
      <c r="J2504">
        <v>272.7</v>
      </c>
      <c r="K2504">
        <v>27.27</v>
      </c>
      <c r="L2504">
        <v>-169.4</v>
      </c>
      <c r="M2504">
        <v>-16.940000000000001</v>
      </c>
      <c r="O2504" s="79">
        <f>IFERROR(VLOOKUP(D2504,'KAPANAN BLD.'!$C$2:$D$793,2,FALSE),0)</f>
        <v>0</v>
      </c>
      <c r="P2504" s="79">
        <v>0</v>
      </c>
    </row>
    <row r="2505" spans="1:16" x14ac:dyDescent="0.25">
      <c r="A2505" t="s">
        <v>32</v>
      </c>
      <c r="B2505" s="73" t="str">
        <f t="shared" si="58"/>
        <v>MERKEZ</v>
      </c>
      <c r="C2505" t="s">
        <v>192</v>
      </c>
      <c r="D2505" s="73" t="str">
        <f t="shared" si="59"/>
        <v>MERKEZ/NİĞDE</v>
      </c>
      <c r="E2505" s="9" t="s">
        <v>34</v>
      </c>
      <c r="F2505" s="9" t="s">
        <v>34</v>
      </c>
      <c r="G2505" t="s">
        <v>3367</v>
      </c>
      <c r="H2505">
        <v>1066.4000000000001</v>
      </c>
      <c r="I2505">
        <v>106.64</v>
      </c>
      <c r="J2505">
        <v>0</v>
      </c>
      <c r="K2505">
        <v>0</v>
      </c>
      <c r="L2505">
        <v>1066.4000000000001</v>
      </c>
      <c r="M2505">
        <v>106.64</v>
      </c>
      <c r="O2505" s="79">
        <f>IFERROR(VLOOKUP(D2505,'KAPANAN BLD.'!$C$2:$D$793,2,FALSE),0)</f>
        <v>0</v>
      </c>
      <c r="P2505" s="79">
        <v>0</v>
      </c>
    </row>
    <row r="2506" spans="1:16" x14ac:dyDescent="0.25">
      <c r="A2506" t="s">
        <v>32</v>
      </c>
      <c r="B2506" s="73" t="str">
        <f t="shared" si="58"/>
        <v>MERKEZ</v>
      </c>
      <c r="C2506" t="s">
        <v>192</v>
      </c>
      <c r="D2506" s="73" t="str">
        <f t="shared" si="59"/>
        <v>MERKEZ/NİĞDE</v>
      </c>
      <c r="E2506" s="9" t="s">
        <v>34</v>
      </c>
      <c r="F2506" s="9" t="s">
        <v>34</v>
      </c>
      <c r="G2506" t="s">
        <v>3366</v>
      </c>
      <c r="H2506">
        <v>15382.4</v>
      </c>
      <c r="I2506">
        <v>1538.24</v>
      </c>
      <c r="J2506">
        <v>0</v>
      </c>
      <c r="K2506">
        <v>0</v>
      </c>
      <c r="L2506">
        <v>15382.4</v>
      </c>
      <c r="M2506">
        <v>1538.24</v>
      </c>
      <c r="O2506" s="79">
        <f>IFERROR(VLOOKUP(D2506,'KAPANAN BLD.'!$C$2:$D$793,2,FALSE),0)</f>
        <v>0</v>
      </c>
      <c r="P2506" s="79">
        <v>0</v>
      </c>
    </row>
    <row r="2507" spans="1:16" x14ac:dyDescent="0.25">
      <c r="A2507" t="s">
        <v>32</v>
      </c>
      <c r="B2507" s="73" t="str">
        <f t="shared" si="58"/>
        <v>MERKEZ</v>
      </c>
      <c r="C2507" t="s">
        <v>192</v>
      </c>
      <c r="D2507" s="73" t="str">
        <f t="shared" si="59"/>
        <v>MERKEZ/NİĞDE</v>
      </c>
      <c r="E2507" s="9" t="s">
        <v>34</v>
      </c>
      <c r="F2507" s="9" t="s">
        <v>34</v>
      </c>
      <c r="G2507" t="s">
        <v>3366</v>
      </c>
      <c r="H2507">
        <v>231.7</v>
      </c>
      <c r="I2507">
        <v>23.17</v>
      </c>
      <c r="J2507">
        <v>0</v>
      </c>
      <c r="K2507">
        <v>0</v>
      </c>
      <c r="L2507">
        <v>231.7</v>
      </c>
      <c r="M2507">
        <v>23.17</v>
      </c>
      <c r="O2507" s="79">
        <f>IFERROR(VLOOKUP(D2507,'KAPANAN BLD.'!$C$2:$D$793,2,FALSE),0)</f>
        <v>0</v>
      </c>
      <c r="P2507" s="79">
        <v>0</v>
      </c>
    </row>
    <row r="2508" spans="1:16" x14ac:dyDescent="0.25">
      <c r="A2508" t="s">
        <v>32</v>
      </c>
      <c r="B2508" s="73" t="str">
        <f t="shared" si="58"/>
        <v>MERKEZ</v>
      </c>
      <c r="C2508" t="s">
        <v>192</v>
      </c>
      <c r="D2508" s="73" t="str">
        <f t="shared" si="59"/>
        <v>MERKEZ/NİĞDE</v>
      </c>
      <c r="E2508" s="9" t="s">
        <v>34</v>
      </c>
      <c r="F2508" s="9" t="s">
        <v>34</v>
      </c>
      <c r="G2508" t="s">
        <v>3367</v>
      </c>
      <c r="H2508">
        <v>401.9</v>
      </c>
      <c r="I2508">
        <v>40.19</v>
      </c>
      <c r="J2508">
        <v>0</v>
      </c>
      <c r="K2508">
        <v>0</v>
      </c>
      <c r="L2508">
        <v>401.9</v>
      </c>
      <c r="M2508">
        <v>40.19</v>
      </c>
      <c r="O2508" s="79">
        <f>IFERROR(VLOOKUP(D2508,'KAPANAN BLD.'!$C$2:$D$793,2,FALSE),0)</f>
        <v>0</v>
      </c>
      <c r="P2508" s="79">
        <v>0</v>
      </c>
    </row>
    <row r="2509" spans="1:16" x14ac:dyDescent="0.25">
      <c r="A2509" t="s">
        <v>32</v>
      </c>
      <c r="B2509" s="73" t="str">
        <f t="shared" si="58"/>
        <v>ULUKIŞLA</v>
      </c>
      <c r="C2509" t="s">
        <v>192</v>
      </c>
      <c r="D2509" s="73" t="str">
        <f t="shared" si="59"/>
        <v>ULUKIŞLA/NİĞDE</v>
      </c>
      <c r="E2509" s="9" t="s">
        <v>466</v>
      </c>
      <c r="F2509" s="9" t="s">
        <v>466</v>
      </c>
      <c r="G2509" t="s">
        <v>3367</v>
      </c>
      <c r="H2509">
        <v>2268.6999999999998</v>
      </c>
      <c r="I2509">
        <v>226.87</v>
      </c>
      <c r="J2509">
        <v>0</v>
      </c>
      <c r="K2509">
        <v>0</v>
      </c>
      <c r="L2509">
        <v>2268.6999999999998</v>
      </c>
      <c r="M2509">
        <v>226.87</v>
      </c>
      <c r="O2509" s="79">
        <f>IFERROR(VLOOKUP(D2509,'KAPANAN BLD.'!$C$2:$D$793,2,FALSE),0)</f>
        <v>0</v>
      </c>
      <c r="P2509" s="79">
        <v>0</v>
      </c>
    </row>
    <row r="2510" spans="1:16" x14ac:dyDescent="0.25">
      <c r="A2510" t="s">
        <v>32</v>
      </c>
      <c r="B2510" s="73" t="str">
        <f t="shared" si="58"/>
        <v>ULUKIŞLA</v>
      </c>
      <c r="C2510" t="s">
        <v>192</v>
      </c>
      <c r="D2510" s="73" t="str">
        <f t="shared" si="59"/>
        <v>ULUKIŞLA/NİĞDE</v>
      </c>
      <c r="E2510" s="9" t="s">
        <v>466</v>
      </c>
      <c r="F2510" s="9" t="s">
        <v>466</v>
      </c>
      <c r="G2510" t="s">
        <v>3366</v>
      </c>
      <c r="H2510">
        <v>49.8</v>
      </c>
      <c r="I2510">
        <v>4.9800000000000004</v>
      </c>
      <c r="J2510">
        <v>0</v>
      </c>
      <c r="K2510">
        <v>0</v>
      </c>
      <c r="L2510">
        <v>49.8</v>
      </c>
      <c r="M2510">
        <v>4.9800000000000004</v>
      </c>
      <c r="O2510" s="79">
        <f>IFERROR(VLOOKUP(D2510,'KAPANAN BLD.'!$C$2:$D$793,2,FALSE),0)</f>
        <v>0</v>
      </c>
      <c r="P2510" s="79">
        <v>0</v>
      </c>
    </row>
    <row r="2511" spans="1:16" x14ac:dyDescent="0.25">
      <c r="A2511" t="s">
        <v>32</v>
      </c>
      <c r="B2511" s="73" t="str">
        <f t="shared" si="58"/>
        <v>MERKEZ</v>
      </c>
      <c r="C2511" t="s">
        <v>192</v>
      </c>
      <c r="D2511" s="73" t="str">
        <f t="shared" si="59"/>
        <v>MERKEZ/NİĞDE</v>
      </c>
      <c r="E2511" s="9" t="s">
        <v>34</v>
      </c>
      <c r="F2511" s="9" t="s">
        <v>34</v>
      </c>
      <c r="G2511" t="s">
        <v>3367</v>
      </c>
      <c r="H2511">
        <v>50.1</v>
      </c>
      <c r="I2511">
        <v>5.01</v>
      </c>
      <c r="J2511">
        <v>0</v>
      </c>
      <c r="K2511">
        <v>0</v>
      </c>
      <c r="L2511">
        <v>50.1</v>
      </c>
      <c r="M2511">
        <v>5.01</v>
      </c>
      <c r="O2511" s="79">
        <f>IFERROR(VLOOKUP(D2511,'KAPANAN BLD.'!$C$2:$D$793,2,FALSE),0)</f>
        <v>0</v>
      </c>
      <c r="P2511" s="79">
        <v>0</v>
      </c>
    </row>
    <row r="2512" spans="1:16" x14ac:dyDescent="0.25">
      <c r="A2512" t="s">
        <v>32</v>
      </c>
      <c r="B2512" s="73" t="str">
        <f t="shared" si="58"/>
        <v>MERKEZ</v>
      </c>
      <c r="C2512" t="s">
        <v>192</v>
      </c>
      <c r="D2512" s="73" t="str">
        <f t="shared" si="59"/>
        <v>MERKEZ/NİĞDE</v>
      </c>
      <c r="E2512" s="9" t="s">
        <v>34</v>
      </c>
      <c r="F2512" s="9" t="s">
        <v>34</v>
      </c>
      <c r="G2512" t="s">
        <v>3366</v>
      </c>
      <c r="H2512">
        <v>1305.0999999999999</v>
      </c>
      <c r="I2512">
        <v>130.51</v>
      </c>
      <c r="J2512">
        <v>0</v>
      </c>
      <c r="K2512">
        <v>0</v>
      </c>
      <c r="L2512">
        <v>1305.0999999999999</v>
      </c>
      <c r="M2512">
        <v>130.51</v>
      </c>
      <c r="O2512" s="79">
        <f>IFERROR(VLOOKUP(D2512,'KAPANAN BLD.'!$C$2:$D$793,2,FALSE),0)</f>
        <v>0</v>
      </c>
      <c r="P2512" s="79">
        <v>0</v>
      </c>
    </row>
    <row r="2513" spans="1:16" x14ac:dyDescent="0.25">
      <c r="A2513" t="s">
        <v>32</v>
      </c>
      <c r="B2513" s="73" t="str">
        <f t="shared" si="58"/>
        <v>ALTUNHİSAR</v>
      </c>
      <c r="C2513" t="s">
        <v>192</v>
      </c>
      <c r="D2513" s="73" t="str">
        <f t="shared" si="59"/>
        <v>ALTUNHİSAR/NİĞDE</v>
      </c>
      <c r="E2513" s="9" t="s">
        <v>2309</v>
      </c>
      <c r="F2513" s="9" t="s">
        <v>2309</v>
      </c>
      <c r="G2513" t="s">
        <v>3367</v>
      </c>
      <c r="H2513">
        <v>247.2</v>
      </c>
      <c r="I2513">
        <v>24.72</v>
      </c>
      <c r="J2513">
        <v>0</v>
      </c>
      <c r="K2513">
        <v>0</v>
      </c>
      <c r="L2513">
        <v>247.2</v>
      </c>
      <c r="M2513">
        <v>24.72</v>
      </c>
      <c r="O2513" s="79">
        <f>IFERROR(VLOOKUP(D2513,'KAPANAN BLD.'!$C$2:$D$793,2,FALSE),0)</f>
        <v>0</v>
      </c>
      <c r="P2513" s="79">
        <v>0</v>
      </c>
    </row>
    <row r="2514" spans="1:16" x14ac:dyDescent="0.25">
      <c r="A2514" t="s">
        <v>32</v>
      </c>
      <c r="B2514" s="73" t="str">
        <f t="shared" si="58"/>
        <v>ALTUNHİSAR</v>
      </c>
      <c r="C2514" t="s">
        <v>192</v>
      </c>
      <c r="D2514" s="73" t="str">
        <f t="shared" si="59"/>
        <v>ALTUNHİSAR/NİĞDE</v>
      </c>
      <c r="E2514" s="9" t="s">
        <v>2309</v>
      </c>
      <c r="F2514" s="9" t="s">
        <v>2309</v>
      </c>
      <c r="G2514" t="s">
        <v>3366</v>
      </c>
      <c r="H2514">
        <v>1226.2</v>
      </c>
      <c r="I2514">
        <v>122.62</v>
      </c>
      <c r="J2514">
        <v>0</v>
      </c>
      <c r="K2514">
        <v>0</v>
      </c>
      <c r="L2514">
        <v>1226.2</v>
      </c>
      <c r="M2514">
        <v>122.62</v>
      </c>
      <c r="O2514" s="79">
        <f>IFERROR(VLOOKUP(D2514,'KAPANAN BLD.'!$C$2:$D$793,2,FALSE),0)</f>
        <v>0</v>
      </c>
      <c r="P2514" s="79">
        <v>0</v>
      </c>
    </row>
    <row r="2515" spans="1:16" x14ac:dyDescent="0.25">
      <c r="A2515" t="s">
        <v>32</v>
      </c>
      <c r="B2515" s="73" t="str">
        <f>VLOOKUP(C2515,'Büyükşehir List'!$C$2:$D$31,2,FALSE)</f>
        <v>ORDU BÜYÜKŞEHİR</v>
      </c>
      <c r="C2515" t="s">
        <v>130</v>
      </c>
      <c r="D2515" s="73" t="str">
        <f t="shared" si="59"/>
        <v>ORDU BÜYÜKŞEHİR/ORDU</v>
      </c>
      <c r="E2515" t="s">
        <v>4527</v>
      </c>
      <c r="F2515" t="s">
        <v>4527</v>
      </c>
      <c r="G2515" t="s">
        <v>3366</v>
      </c>
      <c r="H2515">
        <v>402.8</v>
      </c>
      <c r="I2515">
        <v>40.28</v>
      </c>
      <c r="J2515">
        <v>0</v>
      </c>
      <c r="K2515">
        <v>0</v>
      </c>
      <c r="L2515">
        <v>402.8</v>
      </c>
      <c r="M2515">
        <v>40.28</v>
      </c>
      <c r="O2515" s="79">
        <f>IFERROR(VLOOKUP(D2515,'KAPANAN BLD.'!$C$2:$D$793,2,FALSE),0)</f>
        <v>0</v>
      </c>
      <c r="P2515" s="79">
        <v>0</v>
      </c>
    </row>
    <row r="2516" spans="1:16" x14ac:dyDescent="0.25">
      <c r="A2516" t="s">
        <v>32</v>
      </c>
      <c r="B2516" s="73" t="str">
        <f>VLOOKUP(C2516,'Büyükşehir List'!$C$2:$D$31,2,FALSE)</f>
        <v>ORDU BÜYÜKŞEHİR</v>
      </c>
      <c r="C2516" t="s">
        <v>130</v>
      </c>
      <c r="D2516" s="73" t="str">
        <f t="shared" si="59"/>
        <v>ORDU BÜYÜKŞEHİR/ORDU</v>
      </c>
      <c r="E2516" t="s">
        <v>4527</v>
      </c>
      <c r="F2516" t="s">
        <v>4527</v>
      </c>
      <c r="G2516" t="s">
        <v>3367</v>
      </c>
      <c r="H2516">
        <v>45</v>
      </c>
      <c r="I2516">
        <v>4.5</v>
      </c>
      <c r="J2516">
        <v>0</v>
      </c>
      <c r="K2516">
        <v>0</v>
      </c>
      <c r="L2516">
        <v>45</v>
      </c>
      <c r="M2516">
        <v>4.5</v>
      </c>
      <c r="O2516" s="79">
        <f>IFERROR(VLOOKUP(D2516,'KAPANAN BLD.'!$C$2:$D$793,2,FALSE),0)</f>
        <v>0</v>
      </c>
      <c r="P2516" s="79">
        <v>0</v>
      </c>
    </row>
    <row r="2517" spans="1:16" x14ac:dyDescent="0.25">
      <c r="A2517" t="s">
        <v>32</v>
      </c>
      <c r="B2517" s="73" t="str">
        <f>VLOOKUP(C2517,'Büyükşehir List'!$C$2:$D$31,2,FALSE)</f>
        <v>ORDU BÜYÜKŞEHİR</v>
      </c>
      <c r="C2517" t="s">
        <v>130</v>
      </c>
      <c r="D2517" s="73" t="str">
        <f t="shared" si="59"/>
        <v>ORDU BÜYÜKŞEHİR/ORDU</v>
      </c>
      <c r="E2517" t="s">
        <v>4400</v>
      </c>
      <c r="F2517" t="s">
        <v>4400</v>
      </c>
      <c r="G2517" t="s">
        <v>3367</v>
      </c>
      <c r="H2517">
        <v>0</v>
      </c>
      <c r="I2517">
        <v>0</v>
      </c>
      <c r="J2517">
        <v>23.5</v>
      </c>
      <c r="K2517">
        <v>2.35</v>
      </c>
      <c r="L2517">
        <v>-23.5</v>
      </c>
      <c r="M2517">
        <v>-2.35</v>
      </c>
      <c r="O2517" s="79">
        <f>IFERROR(VLOOKUP(D2517,'KAPANAN BLD.'!$C$2:$D$793,2,FALSE),0)</f>
        <v>0</v>
      </c>
      <c r="P2517" s="79">
        <v>0</v>
      </c>
    </row>
    <row r="2518" spans="1:16" x14ac:dyDescent="0.25">
      <c r="A2518" t="s">
        <v>32</v>
      </c>
      <c r="B2518" s="73" t="str">
        <f>VLOOKUP(C2518,'Büyükşehir List'!$C$2:$D$31,2,FALSE)</f>
        <v>ORDU BÜYÜKŞEHİR</v>
      </c>
      <c r="C2518" t="s">
        <v>130</v>
      </c>
      <c r="D2518" s="73" t="str">
        <f t="shared" si="59"/>
        <v>ORDU BÜYÜKŞEHİR/ORDU</v>
      </c>
      <c r="E2518" t="s">
        <v>3836</v>
      </c>
      <c r="F2518" t="s">
        <v>3836</v>
      </c>
      <c r="G2518" t="s">
        <v>3367</v>
      </c>
      <c r="H2518">
        <v>515.20000000000005</v>
      </c>
      <c r="I2518">
        <v>51.52</v>
      </c>
      <c r="J2518">
        <v>48.3</v>
      </c>
      <c r="K2518">
        <v>4.83</v>
      </c>
      <c r="L2518">
        <v>466.9</v>
      </c>
      <c r="M2518">
        <v>46.69</v>
      </c>
      <c r="O2518" s="79">
        <f>IFERROR(VLOOKUP(D2518,'KAPANAN BLD.'!$C$2:$D$793,2,FALSE),0)</f>
        <v>0</v>
      </c>
      <c r="P2518" s="79">
        <v>0</v>
      </c>
    </row>
    <row r="2519" spans="1:16" x14ac:dyDescent="0.25">
      <c r="A2519" t="s">
        <v>32</v>
      </c>
      <c r="B2519" s="73" t="str">
        <f>VLOOKUP(C2519,'Büyükşehir List'!$C$2:$D$31,2,FALSE)</f>
        <v>ORDU BÜYÜKŞEHİR</v>
      </c>
      <c r="C2519" t="s">
        <v>130</v>
      </c>
      <c r="D2519" s="73" t="str">
        <f t="shared" si="59"/>
        <v>ORDU BÜYÜKŞEHİR/ORDU</v>
      </c>
      <c r="E2519" t="s">
        <v>3836</v>
      </c>
      <c r="F2519" t="s">
        <v>3836</v>
      </c>
      <c r="G2519" t="s">
        <v>3366</v>
      </c>
      <c r="H2519">
        <v>0</v>
      </c>
      <c r="I2519">
        <v>0</v>
      </c>
      <c r="J2519">
        <v>20.8</v>
      </c>
      <c r="K2519">
        <v>2.08</v>
      </c>
      <c r="L2519">
        <v>-20.8</v>
      </c>
      <c r="M2519">
        <v>-2.08</v>
      </c>
      <c r="O2519" s="79">
        <f>IFERROR(VLOOKUP(D2519,'KAPANAN BLD.'!$C$2:$D$793,2,FALSE),0)</f>
        <v>0</v>
      </c>
      <c r="P2519" s="79">
        <v>0</v>
      </c>
    </row>
    <row r="2520" spans="1:16" x14ac:dyDescent="0.25">
      <c r="A2520" t="s">
        <v>32</v>
      </c>
      <c r="B2520" s="73" t="str">
        <f>VLOOKUP(C2520,'Büyükşehir List'!$C$2:$D$31,2,FALSE)</f>
        <v>ORDU BÜYÜKŞEHİR</v>
      </c>
      <c r="C2520" t="s">
        <v>130</v>
      </c>
      <c r="D2520" s="73" t="str">
        <f t="shared" si="59"/>
        <v>ORDU BÜYÜKŞEHİR/ORDU</v>
      </c>
      <c r="E2520" t="s">
        <v>674</v>
      </c>
      <c r="F2520" t="s">
        <v>674</v>
      </c>
      <c r="G2520" t="s">
        <v>3367</v>
      </c>
      <c r="H2520">
        <v>626</v>
      </c>
      <c r="I2520">
        <v>62.6</v>
      </c>
      <c r="J2520">
        <v>87.5</v>
      </c>
      <c r="K2520">
        <v>8.75</v>
      </c>
      <c r="L2520">
        <v>538.5</v>
      </c>
      <c r="M2520">
        <v>53.85</v>
      </c>
      <c r="O2520" s="79">
        <f>IFERROR(VLOOKUP(D2520,'KAPANAN BLD.'!$C$2:$D$793,2,FALSE),0)</f>
        <v>0</v>
      </c>
      <c r="P2520" s="79">
        <v>0</v>
      </c>
    </row>
    <row r="2521" spans="1:16" x14ac:dyDescent="0.25">
      <c r="A2521" t="s">
        <v>32</v>
      </c>
      <c r="B2521" s="73" t="str">
        <f>VLOOKUP(C2521,'Büyükşehir List'!$C$2:$D$31,2,FALSE)</f>
        <v>ORDU BÜYÜKŞEHİR</v>
      </c>
      <c r="C2521" t="s">
        <v>130</v>
      </c>
      <c r="D2521" s="73" t="str">
        <f t="shared" si="59"/>
        <v>ORDU BÜYÜKŞEHİR/ORDU</v>
      </c>
      <c r="E2521" t="s">
        <v>674</v>
      </c>
      <c r="F2521" t="s">
        <v>674</v>
      </c>
      <c r="G2521" t="s">
        <v>3366</v>
      </c>
      <c r="H2521">
        <v>1117.8</v>
      </c>
      <c r="I2521">
        <v>111.78</v>
      </c>
      <c r="J2521">
        <v>50.5</v>
      </c>
      <c r="K2521">
        <v>5.05</v>
      </c>
      <c r="L2521">
        <v>1067.3</v>
      </c>
      <c r="M2521">
        <v>106.73</v>
      </c>
      <c r="O2521" s="79">
        <f>IFERROR(VLOOKUP(D2521,'KAPANAN BLD.'!$C$2:$D$793,2,FALSE),0)</f>
        <v>0</v>
      </c>
      <c r="P2521" s="79">
        <v>0</v>
      </c>
    </row>
    <row r="2522" spans="1:16" x14ac:dyDescent="0.25">
      <c r="A2522" t="s">
        <v>32</v>
      </c>
      <c r="B2522" s="73" t="str">
        <f>VLOOKUP(C2522,'Büyükşehir List'!$C$2:$D$31,2,FALSE)</f>
        <v>ORDU BÜYÜKŞEHİR</v>
      </c>
      <c r="C2522" t="s">
        <v>130</v>
      </c>
      <c r="D2522" s="73" t="str">
        <f t="shared" si="59"/>
        <v>ORDU BÜYÜKŞEHİR/ORDU</v>
      </c>
      <c r="E2522" t="s">
        <v>4528</v>
      </c>
      <c r="F2522" t="s">
        <v>4528</v>
      </c>
      <c r="G2522" t="s">
        <v>3367</v>
      </c>
      <c r="H2522">
        <v>5.4</v>
      </c>
      <c r="I2522">
        <v>0.54</v>
      </c>
      <c r="J2522">
        <v>57.1</v>
      </c>
      <c r="K2522">
        <v>5.71</v>
      </c>
      <c r="L2522">
        <v>-51.7</v>
      </c>
      <c r="M2522">
        <v>-5.17</v>
      </c>
      <c r="O2522" s="79">
        <f>IFERROR(VLOOKUP(D2522,'KAPANAN BLD.'!$C$2:$D$793,2,FALSE),0)</f>
        <v>0</v>
      </c>
      <c r="P2522" s="79">
        <v>0</v>
      </c>
    </row>
    <row r="2523" spans="1:16" x14ac:dyDescent="0.25">
      <c r="A2523" t="s">
        <v>32</v>
      </c>
      <c r="B2523" s="73" t="str">
        <f>VLOOKUP(C2523,'Büyükşehir List'!$C$2:$D$31,2,FALSE)</f>
        <v>ORDU BÜYÜKŞEHİR</v>
      </c>
      <c r="C2523" t="s">
        <v>130</v>
      </c>
      <c r="D2523" s="73" t="str">
        <f t="shared" si="59"/>
        <v>ORDU BÜYÜKŞEHİR/ORDU</v>
      </c>
      <c r="E2523" t="s">
        <v>4528</v>
      </c>
      <c r="F2523" t="s">
        <v>4528</v>
      </c>
      <c r="G2523" t="s">
        <v>3366</v>
      </c>
      <c r="H2523">
        <v>103.3</v>
      </c>
      <c r="I2523">
        <v>10.33</v>
      </c>
      <c r="J2523">
        <v>0</v>
      </c>
      <c r="K2523">
        <v>0</v>
      </c>
      <c r="L2523">
        <v>103.3</v>
      </c>
      <c r="M2523">
        <v>10.33</v>
      </c>
      <c r="O2523" s="79">
        <f>IFERROR(VLOOKUP(D2523,'KAPANAN BLD.'!$C$2:$D$793,2,FALSE),0)</f>
        <v>0</v>
      </c>
      <c r="P2523" s="79">
        <v>0</v>
      </c>
    </row>
    <row r="2524" spans="1:16" x14ac:dyDescent="0.25">
      <c r="A2524" t="s">
        <v>32</v>
      </c>
      <c r="B2524" s="73" t="str">
        <f>VLOOKUP(C2524,'Büyükşehir List'!$C$2:$D$31,2,FALSE)</f>
        <v>ORDU BÜYÜKŞEHİR</v>
      </c>
      <c r="C2524" t="s">
        <v>130</v>
      </c>
      <c r="D2524" s="73" t="str">
        <f t="shared" si="59"/>
        <v>ORDU BÜYÜKŞEHİR/ORDU</v>
      </c>
      <c r="E2524" t="s">
        <v>4357</v>
      </c>
      <c r="F2524" t="s">
        <v>4357</v>
      </c>
      <c r="G2524" t="s">
        <v>3367</v>
      </c>
      <c r="H2524">
        <v>108.2</v>
      </c>
      <c r="I2524">
        <v>10.82</v>
      </c>
      <c r="J2524">
        <v>0</v>
      </c>
      <c r="K2524">
        <v>0</v>
      </c>
      <c r="L2524">
        <v>108.2</v>
      </c>
      <c r="M2524">
        <v>10.82</v>
      </c>
      <c r="O2524" s="79">
        <f>IFERROR(VLOOKUP(D2524,'KAPANAN BLD.'!$C$2:$D$793,2,FALSE),0)</f>
        <v>0</v>
      </c>
      <c r="P2524" s="79">
        <v>0</v>
      </c>
    </row>
    <row r="2525" spans="1:16" x14ac:dyDescent="0.25">
      <c r="A2525" t="s">
        <v>32</v>
      </c>
      <c r="B2525" s="73" t="str">
        <f>VLOOKUP(C2525,'Büyükşehir List'!$C$2:$D$31,2,FALSE)</f>
        <v>ORDU BÜYÜKŞEHİR</v>
      </c>
      <c r="C2525" t="s">
        <v>130</v>
      </c>
      <c r="D2525" s="73" t="str">
        <f t="shared" si="59"/>
        <v>ORDU BÜYÜKŞEHİR/ORDU</v>
      </c>
      <c r="E2525" t="s">
        <v>3837</v>
      </c>
      <c r="F2525" t="s">
        <v>3837</v>
      </c>
      <c r="G2525" t="s">
        <v>3367</v>
      </c>
      <c r="H2525">
        <v>138.80000000000001</v>
      </c>
      <c r="I2525">
        <v>13.88</v>
      </c>
      <c r="J2525">
        <v>117.3</v>
      </c>
      <c r="K2525">
        <v>11.73</v>
      </c>
      <c r="L2525">
        <v>21.5</v>
      </c>
      <c r="M2525">
        <v>2.15</v>
      </c>
      <c r="O2525" s="79">
        <f>IFERROR(VLOOKUP(D2525,'KAPANAN BLD.'!$C$2:$D$793,2,FALSE),0)</f>
        <v>0</v>
      </c>
      <c r="P2525" s="79">
        <v>0</v>
      </c>
    </row>
    <row r="2526" spans="1:16" x14ac:dyDescent="0.25">
      <c r="A2526" t="s">
        <v>32</v>
      </c>
      <c r="B2526" s="73" t="str">
        <f>VLOOKUP(C2526,'Büyükşehir List'!$C$2:$D$31,2,FALSE)</f>
        <v>ORDU BÜYÜKŞEHİR</v>
      </c>
      <c r="C2526" t="s">
        <v>130</v>
      </c>
      <c r="D2526" s="73" t="str">
        <f t="shared" si="59"/>
        <v>ORDU BÜYÜKŞEHİR/ORDU</v>
      </c>
      <c r="E2526" t="s">
        <v>3837</v>
      </c>
      <c r="F2526" t="s">
        <v>3837</v>
      </c>
      <c r="G2526" t="s">
        <v>3366</v>
      </c>
      <c r="H2526">
        <v>2802.1</v>
      </c>
      <c r="I2526">
        <v>280.20999999999998</v>
      </c>
      <c r="J2526">
        <v>184.5</v>
      </c>
      <c r="K2526">
        <v>18.45</v>
      </c>
      <c r="L2526">
        <v>2617.6</v>
      </c>
      <c r="M2526">
        <v>261.76</v>
      </c>
      <c r="O2526" s="79">
        <f>IFERROR(VLOOKUP(D2526,'KAPANAN BLD.'!$C$2:$D$793,2,FALSE),0)</f>
        <v>0</v>
      </c>
      <c r="P2526" s="79">
        <v>0</v>
      </c>
    </row>
    <row r="2527" spans="1:16" x14ac:dyDescent="0.25">
      <c r="A2527" t="s">
        <v>32</v>
      </c>
      <c r="B2527" s="73" t="str">
        <f>VLOOKUP(C2527,'Büyükşehir List'!$C$2:$D$31,2,FALSE)</f>
        <v>ORDU BÜYÜKŞEHİR</v>
      </c>
      <c r="C2527" t="s">
        <v>130</v>
      </c>
      <c r="D2527" s="73" t="str">
        <f t="shared" si="59"/>
        <v>ORDU BÜYÜKŞEHİR/ORDU</v>
      </c>
      <c r="E2527" t="s">
        <v>3769</v>
      </c>
      <c r="F2527" t="s">
        <v>3769</v>
      </c>
      <c r="G2527" t="s">
        <v>3367</v>
      </c>
      <c r="H2527">
        <v>176.3</v>
      </c>
      <c r="I2527">
        <v>17.63</v>
      </c>
      <c r="J2527">
        <v>0</v>
      </c>
      <c r="K2527">
        <v>0</v>
      </c>
      <c r="L2527">
        <v>176.3</v>
      </c>
      <c r="M2527">
        <v>17.63</v>
      </c>
      <c r="O2527" s="79">
        <f>IFERROR(VLOOKUP(D2527,'KAPANAN BLD.'!$C$2:$D$793,2,FALSE),0)</f>
        <v>0</v>
      </c>
      <c r="P2527" s="79">
        <v>0</v>
      </c>
    </row>
    <row r="2528" spans="1:16" x14ac:dyDescent="0.25">
      <c r="A2528" t="s">
        <v>32</v>
      </c>
      <c r="B2528" s="73" t="str">
        <f>VLOOKUP(C2528,'Büyükşehir List'!$C$2:$D$31,2,FALSE)</f>
        <v>ORDU BÜYÜKŞEHİR</v>
      </c>
      <c r="C2528" t="s">
        <v>130</v>
      </c>
      <c r="D2528" s="73" t="str">
        <f t="shared" si="59"/>
        <v>ORDU BÜYÜKŞEHİR/ORDU</v>
      </c>
      <c r="E2528" t="s">
        <v>3769</v>
      </c>
      <c r="F2528" t="s">
        <v>3769</v>
      </c>
      <c r="G2528" t="s">
        <v>3366</v>
      </c>
      <c r="H2528">
        <v>609.4</v>
      </c>
      <c r="I2528">
        <v>60.94</v>
      </c>
      <c r="J2528">
        <v>0</v>
      </c>
      <c r="K2528">
        <v>0</v>
      </c>
      <c r="L2528">
        <v>609.4</v>
      </c>
      <c r="M2528">
        <v>60.94</v>
      </c>
      <c r="O2528" s="79">
        <f>IFERROR(VLOOKUP(D2528,'KAPANAN BLD.'!$C$2:$D$793,2,FALSE),0)</f>
        <v>0</v>
      </c>
      <c r="P2528" s="79">
        <v>0</v>
      </c>
    </row>
    <row r="2529" spans="1:16" x14ac:dyDescent="0.25">
      <c r="A2529" t="s">
        <v>32</v>
      </c>
      <c r="B2529" s="73" t="str">
        <f>VLOOKUP(C2529,'Büyükşehir List'!$C$2:$D$31,2,FALSE)</f>
        <v>ORDU BÜYÜKŞEHİR</v>
      </c>
      <c r="C2529" t="s">
        <v>130</v>
      </c>
      <c r="D2529" s="73" t="str">
        <f t="shared" si="59"/>
        <v>ORDU BÜYÜKŞEHİR/ORDU</v>
      </c>
      <c r="E2529" t="s">
        <v>210</v>
      </c>
      <c r="F2529" t="s">
        <v>210</v>
      </c>
      <c r="G2529" t="s">
        <v>3366</v>
      </c>
      <c r="H2529">
        <v>1807</v>
      </c>
      <c r="I2529">
        <v>180.7</v>
      </c>
      <c r="J2529">
        <v>0</v>
      </c>
      <c r="K2529">
        <v>0</v>
      </c>
      <c r="L2529">
        <v>1807</v>
      </c>
      <c r="M2529">
        <v>180.7</v>
      </c>
      <c r="O2529" s="79">
        <f>IFERROR(VLOOKUP(D2529,'KAPANAN BLD.'!$C$2:$D$793,2,FALSE),0)</f>
        <v>0</v>
      </c>
      <c r="P2529" s="79">
        <v>0</v>
      </c>
    </row>
    <row r="2530" spans="1:16" x14ac:dyDescent="0.25">
      <c r="A2530" t="s">
        <v>32</v>
      </c>
      <c r="B2530" s="73" t="str">
        <f>VLOOKUP(C2530,'Büyükşehir List'!$C$2:$D$31,2,FALSE)</f>
        <v>ORDU BÜYÜKŞEHİR</v>
      </c>
      <c r="C2530" t="s">
        <v>130</v>
      </c>
      <c r="D2530" s="73" t="str">
        <f t="shared" si="59"/>
        <v>ORDU BÜYÜKŞEHİR/ORDU</v>
      </c>
      <c r="E2530" t="s">
        <v>210</v>
      </c>
      <c r="F2530" t="s">
        <v>210</v>
      </c>
      <c r="G2530" t="s">
        <v>3367</v>
      </c>
      <c r="H2530">
        <v>707</v>
      </c>
      <c r="I2530">
        <v>70.7</v>
      </c>
      <c r="J2530">
        <v>0</v>
      </c>
      <c r="K2530">
        <v>0</v>
      </c>
      <c r="L2530">
        <v>707</v>
      </c>
      <c r="M2530">
        <v>70.7</v>
      </c>
      <c r="O2530" s="79">
        <f>IFERROR(VLOOKUP(D2530,'KAPANAN BLD.'!$C$2:$D$793,2,FALSE),0)</f>
        <v>0</v>
      </c>
      <c r="P2530" s="79">
        <v>0</v>
      </c>
    </row>
    <row r="2531" spans="1:16" x14ac:dyDescent="0.25">
      <c r="A2531" t="s">
        <v>32</v>
      </c>
      <c r="B2531" s="73" t="str">
        <f>VLOOKUP(C2531,'Büyükşehir List'!$C$2:$D$31,2,FALSE)</f>
        <v>ORDU BÜYÜKŞEHİR</v>
      </c>
      <c r="C2531" t="s">
        <v>130</v>
      </c>
      <c r="D2531" s="73" t="str">
        <f t="shared" si="59"/>
        <v>ORDU BÜYÜKŞEHİR/ORDU</v>
      </c>
      <c r="E2531" t="s">
        <v>4401</v>
      </c>
      <c r="F2531" t="s">
        <v>4401</v>
      </c>
      <c r="G2531" t="s">
        <v>3367</v>
      </c>
      <c r="H2531">
        <v>2.2000000000000002</v>
      </c>
      <c r="I2531">
        <v>0.22</v>
      </c>
      <c r="J2531">
        <v>0</v>
      </c>
      <c r="K2531">
        <v>0</v>
      </c>
      <c r="L2531">
        <v>2.2000000000000002</v>
      </c>
      <c r="M2531">
        <v>0.22</v>
      </c>
      <c r="O2531" s="79">
        <f>IFERROR(VLOOKUP(D2531,'KAPANAN BLD.'!$C$2:$D$793,2,FALSE),0)</f>
        <v>0</v>
      </c>
      <c r="P2531" s="79">
        <v>0</v>
      </c>
    </row>
    <row r="2532" spans="1:16" x14ac:dyDescent="0.25">
      <c r="A2532" t="s">
        <v>32</v>
      </c>
      <c r="B2532" s="73" t="str">
        <f>VLOOKUP(C2532,'Büyükşehir List'!$C$2:$D$31,2,FALSE)</f>
        <v>ORDU BÜYÜKŞEHİR</v>
      </c>
      <c r="C2532" t="s">
        <v>130</v>
      </c>
      <c r="D2532" s="73" t="str">
        <f t="shared" si="59"/>
        <v>ORDU BÜYÜKŞEHİR/ORDU</v>
      </c>
      <c r="E2532" t="s">
        <v>4401</v>
      </c>
      <c r="F2532" t="s">
        <v>4401</v>
      </c>
      <c r="G2532" t="s">
        <v>3366</v>
      </c>
      <c r="H2532">
        <v>0.7</v>
      </c>
      <c r="I2532">
        <v>7.0000000000000007E-2</v>
      </c>
      <c r="J2532">
        <v>0</v>
      </c>
      <c r="K2532">
        <v>0</v>
      </c>
      <c r="L2532">
        <v>0.7</v>
      </c>
      <c r="M2532">
        <v>7.0000000000000007E-2</v>
      </c>
      <c r="O2532" s="79">
        <f>IFERROR(VLOOKUP(D2532,'KAPANAN BLD.'!$C$2:$D$793,2,FALSE),0)</f>
        <v>0</v>
      </c>
      <c r="P2532" s="79">
        <v>0</v>
      </c>
    </row>
    <row r="2533" spans="1:16" x14ac:dyDescent="0.25">
      <c r="A2533" t="s">
        <v>32</v>
      </c>
      <c r="B2533" s="73" t="str">
        <f>VLOOKUP(C2533,'Büyükşehir List'!$C$2:$D$31,2,FALSE)</f>
        <v>ORDU BÜYÜKŞEHİR</v>
      </c>
      <c r="C2533" t="s">
        <v>130</v>
      </c>
      <c r="D2533" s="73" t="str">
        <f t="shared" si="59"/>
        <v>ORDU BÜYÜKŞEHİR/ORDU</v>
      </c>
      <c r="E2533" t="s">
        <v>3962</v>
      </c>
      <c r="F2533" t="s">
        <v>3962</v>
      </c>
      <c r="G2533" t="s">
        <v>3366</v>
      </c>
      <c r="H2533">
        <v>568.9</v>
      </c>
      <c r="I2533">
        <v>56.89</v>
      </c>
      <c r="J2533">
        <v>0</v>
      </c>
      <c r="K2533">
        <v>0</v>
      </c>
      <c r="L2533">
        <v>568.9</v>
      </c>
      <c r="M2533">
        <v>56.89</v>
      </c>
      <c r="O2533" s="79">
        <f>IFERROR(VLOOKUP(D2533,'KAPANAN BLD.'!$C$2:$D$793,2,FALSE),0)</f>
        <v>0</v>
      </c>
      <c r="P2533" s="79">
        <v>0</v>
      </c>
    </row>
    <row r="2534" spans="1:16" x14ac:dyDescent="0.25">
      <c r="A2534" t="s">
        <v>32</v>
      </c>
      <c r="B2534" s="73" t="str">
        <f>VLOOKUP(C2534,'Büyükşehir List'!$C$2:$D$31,2,FALSE)</f>
        <v>ORDU BÜYÜKŞEHİR</v>
      </c>
      <c r="C2534" t="s">
        <v>130</v>
      </c>
      <c r="D2534" s="73" t="str">
        <f t="shared" si="59"/>
        <v>ORDU BÜYÜKŞEHİR/ORDU</v>
      </c>
      <c r="E2534" t="s">
        <v>3962</v>
      </c>
      <c r="F2534" t="s">
        <v>3962</v>
      </c>
      <c r="G2534" t="s">
        <v>3367</v>
      </c>
      <c r="H2534">
        <v>300.2</v>
      </c>
      <c r="I2534">
        <v>30.02</v>
      </c>
      <c r="J2534">
        <v>0</v>
      </c>
      <c r="K2534">
        <v>0</v>
      </c>
      <c r="L2534">
        <v>300.2</v>
      </c>
      <c r="M2534">
        <v>30.02</v>
      </c>
      <c r="O2534" s="79">
        <f>IFERROR(VLOOKUP(D2534,'KAPANAN BLD.'!$C$2:$D$793,2,FALSE),0)</f>
        <v>0</v>
      </c>
      <c r="P2534" s="79">
        <v>0</v>
      </c>
    </row>
    <row r="2535" spans="1:16" x14ac:dyDescent="0.25">
      <c r="A2535" t="s">
        <v>32</v>
      </c>
      <c r="B2535" s="73" t="str">
        <f>VLOOKUP(C2535,'Büyükşehir List'!$C$2:$D$31,2,FALSE)</f>
        <v>ORDU BÜYÜKŞEHİR</v>
      </c>
      <c r="C2535" t="s">
        <v>130</v>
      </c>
      <c r="D2535" s="73" t="str">
        <f t="shared" si="59"/>
        <v>ORDU BÜYÜKŞEHİR/ORDU</v>
      </c>
      <c r="E2535" t="s">
        <v>4529</v>
      </c>
      <c r="F2535" t="s">
        <v>4529</v>
      </c>
      <c r="G2535" t="s">
        <v>3366</v>
      </c>
      <c r="H2535">
        <v>210.7</v>
      </c>
      <c r="I2535">
        <v>21.07</v>
      </c>
      <c r="J2535">
        <v>0</v>
      </c>
      <c r="K2535">
        <v>0</v>
      </c>
      <c r="L2535">
        <v>210.7</v>
      </c>
      <c r="M2535">
        <v>21.07</v>
      </c>
      <c r="O2535" s="79">
        <f>IFERROR(VLOOKUP(D2535,'KAPANAN BLD.'!$C$2:$D$793,2,FALSE),0)</f>
        <v>0</v>
      </c>
      <c r="P2535" s="79">
        <v>0</v>
      </c>
    </row>
    <row r="2536" spans="1:16" x14ac:dyDescent="0.25">
      <c r="A2536" t="s">
        <v>32</v>
      </c>
      <c r="B2536" s="73" t="str">
        <f>VLOOKUP(C2536,'Büyükşehir List'!$C$2:$D$31,2,FALSE)</f>
        <v>ORDU BÜYÜKŞEHİR</v>
      </c>
      <c r="C2536" t="s">
        <v>130</v>
      </c>
      <c r="D2536" s="73" t="str">
        <f t="shared" si="59"/>
        <v>ORDU BÜYÜKŞEHİR/ORDU</v>
      </c>
      <c r="E2536" t="s">
        <v>4529</v>
      </c>
      <c r="F2536" t="s">
        <v>4529</v>
      </c>
      <c r="G2536" t="s">
        <v>3367</v>
      </c>
      <c r="H2536">
        <v>302.5</v>
      </c>
      <c r="I2536">
        <v>30.25</v>
      </c>
      <c r="J2536">
        <v>0</v>
      </c>
      <c r="K2536">
        <v>0</v>
      </c>
      <c r="L2536">
        <v>302.5</v>
      </c>
      <c r="M2536">
        <v>30.25</v>
      </c>
      <c r="O2536" s="79">
        <f>IFERROR(VLOOKUP(D2536,'KAPANAN BLD.'!$C$2:$D$793,2,FALSE),0)</f>
        <v>0</v>
      </c>
      <c r="P2536" s="79">
        <v>0</v>
      </c>
    </row>
    <row r="2537" spans="1:16" x14ac:dyDescent="0.25">
      <c r="A2537" t="s">
        <v>32</v>
      </c>
      <c r="B2537" s="73" t="str">
        <f>VLOOKUP(C2537,'Büyükşehir List'!$C$2:$D$31,2,FALSE)</f>
        <v>ORDU BÜYÜKŞEHİR</v>
      </c>
      <c r="C2537" t="s">
        <v>130</v>
      </c>
      <c r="D2537" s="73" t="str">
        <f t="shared" si="59"/>
        <v>ORDU BÜYÜKŞEHİR/ORDU</v>
      </c>
      <c r="E2537" t="s">
        <v>3980</v>
      </c>
      <c r="F2537" t="s">
        <v>3980</v>
      </c>
      <c r="G2537" t="s">
        <v>3367</v>
      </c>
      <c r="H2537">
        <v>1703.6</v>
      </c>
      <c r="I2537">
        <v>170.36</v>
      </c>
      <c r="J2537">
        <v>0</v>
      </c>
      <c r="K2537">
        <v>0</v>
      </c>
      <c r="L2537">
        <v>1703.6</v>
      </c>
      <c r="M2537">
        <v>170.36</v>
      </c>
      <c r="O2537" s="79">
        <f>IFERROR(VLOOKUP(D2537,'KAPANAN BLD.'!$C$2:$D$793,2,FALSE),0)</f>
        <v>0</v>
      </c>
      <c r="P2537" s="79">
        <v>0</v>
      </c>
    </row>
    <row r="2538" spans="1:16" x14ac:dyDescent="0.25">
      <c r="A2538" t="s">
        <v>32</v>
      </c>
      <c r="B2538" s="73" t="str">
        <f>VLOOKUP(C2538,'Büyükşehir List'!$C$2:$D$31,2,FALSE)</f>
        <v>ORDU BÜYÜKŞEHİR</v>
      </c>
      <c r="C2538" t="s">
        <v>130</v>
      </c>
      <c r="D2538" s="73" t="str">
        <f t="shared" si="59"/>
        <v>ORDU BÜYÜKŞEHİR/ORDU</v>
      </c>
      <c r="E2538" t="s">
        <v>3980</v>
      </c>
      <c r="F2538" t="s">
        <v>3980</v>
      </c>
      <c r="G2538" t="s">
        <v>3366</v>
      </c>
      <c r="H2538">
        <v>602.9</v>
      </c>
      <c r="I2538">
        <v>60.29</v>
      </c>
      <c r="J2538">
        <v>0</v>
      </c>
      <c r="K2538">
        <v>0</v>
      </c>
      <c r="L2538">
        <v>602.9</v>
      </c>
      <c r="M2538">
        <v>60.29</v>
      </c>
      <c r="O2538" s="79">
        <f>IFERROR(VLOOKUP(D2538,'KAPANAN BLD.'!$C$2:$D$793,2,FALSE),0)</f>
        <v>0</v>
      </c>
      <c r="P2538" s="79">
        <v>0</v>
      </c>
    </row>
    <row r="2539" spans="1:16" x14ac:dyDescent="0.25">
      <c r="A2539" t="s">
        <v>32</v>
      </c>
      <c r="B2539" s="73" t="str">
        <f>VLOOKUP(C2539,'Büyükşehir List'!$C$2:$D$31,2,FALSE)</f>
        <v>ORDU BÜYÜKŞEHİR</v>
      </c>
      <c r="C2539" t="s">
        <v>130</v>
      </c>
      <c r="D2539" s="73" t="str">
        <f t="shared" si="59"/>
        <v>ORDU BÜYÜKŞEHİR/ORDU</v>
      </c>
      <c r="E2539" t="s">
        <v>4530</v>
      </c>
      <c r="F2539" t="s">
        <v>4530</v>
      </c>
      <c r="G2539" t="s">
        <v>3367</v>
      </c>
      <c r="H2539">
        <v>10.8</v>
      </c>
      <c r="I2539">
        <v>1.08</v>
      </c>
      <c r="J2539">
        <v>0</v>
      </c>
      <c r="K2539">
        <v>0</v>
      </c>
      <c r="L2539">
        <v>10.8</v>
      </c>
      <c r="M2539">
        <v>1.08</v>
      </c>
      <c r="O2539" s="79">
        <f>IFERROR(VLOOKUP(D2539,'KAPANAN BLD.'!$C$2:$D$793,2,FALSE),0)</f>
        <v>0</v>
      </c>
      <c r="P2539" s="79">
        <v>0</v>
      </c>
    </row>
    <row r="2540" spans="1:16" x14ac:dyDescent="0.25">
      <c r="A2540" t="s">
        <v>32</v>
      </c>
      <c r="B2540" s="73" t="str">
        <f>VLOOKUP(C2540,'Büyükşehir List'!$C$2:$D$31,2,FALSE)</f>
        <v>ORDU BÜYÜKŞEHİR</v>
      </c>
      <c r="C2540" t="s">
        <v>130</v>
      </c>
      <c r="D2540" s="73" t="str">
        <f t="shared" si="59"/>
        <v>ORDU BÜYÜKŞEHİR/ORDU</v>
      </c>
      <c r="E2540" t="s">
        <v>4530</v>
      </c>
      <c r="F2540" t="s">
        <v>4530</v>
      </c>
      <c r="G2540" t="s">
        <v>3366</v>
      </c>
      <c r="H2540">
        <v>206.6</v>
      </c>
      <c r="I2540">
        <v>20.66</v>
      </c>
      <c r="J2540">
        <v>0</v>
      </c>
      <c r="K2540">
        <v>0</v>
      </c>
      <c r="L2540">
        <v>206.6</v>
      </c>
      <c r="M2540">
        <v>20.66</v>
      </c>
      <c r="O2540" s="79">
        <f>IFERROR(VLOOKUP(D2540,'KAPANAN BLD.'!$C$2:$D$793,2,FALSE),0)</f>
        <v>0</v>
      </c>
      <c r="P2540" s="79">
        <v>0</v>
      </c>
    </row>
    <row r="2541" spans="1:16" x14ac:dyDescent="0.25">
      <c r="A2541" t="s">
        <v>32</v>
      </c>
      <c r="B2541" s="73" t="str">
        <f>VLOOKUP(C2541,'Büyükşehir List'!$C$2:$D$31,2,FALSE)</f>
        <v>ORDU BÜYÜKŞEHİR</v>
      </c>
      <c r="C2541" t="s">
        <v>130</v>
      </c>
      <c r="D2541" s="73" t="str">
        <f t="shared" si="59"/>
        <v>ORDU BÜYÜKŞEHİR/ORDU</v>
      </c>
      <c r="E2541" t="s">
        <v>2395</v>
      </c>
      <c r="F2541" t="s">
        <v>2395</v>
      </c>
      <c r="G2541" t="s">
        <v>3367</v>
      </c>
      <c r="H2541">
        <v>5.4</v>
      </c>
      <c r="I2541">
        <v>0.54</v>
      </c>
      <c r="J2541">
        <v>0</v>
      </c>
      <c r="K2541">
        <v>0</v>
      </c>
      <c r="L2541">
        <v>5.4</v>
      </c>
      <c r="M2541">
        <v>0.54</v>
      </c>
      <c r="O2541" s="79">
        <f>IFERROR(VLOOKUP(D2541,'KAPANAN BLD.'!$C$2:$D$793,2,FALSE),0)</f>
        <v>0</v>
      </c>
      <c r="P2541" s="79">
        <v>0</v>
      </c>
    </row>
    <row r="2542" spans="1:16" x14ac:dyDescent="0.25">
      <c r="A2542" t="s">
        <v>32</v>
      </c>
      <c r="B2542" s="73" t="str">
        <f>VLOOKUP(C2542,'Büyükşehir List'!$C$2:$D$31,2,FALSE)</f>
        <v>ORDU BÜYÜKŞEHİR</v>
      </c>
      <c r="C2542" t="s">
        <v>130</v>
      </c>
      <c r="D2542" s="73" t="str">
        <f t="shared" si="59"/>
        <v>ORDU BÜYÜKŞEHİR/ORDU</v>
      </c>
      <c r="E2542" t="s">
        <v>2395</v>
      </c>
      <c r="F2542" t="s">
        <v>2395</v>
      </c>
      <c r="G2542" t="s">
        <v>3366</v>
      </c>
      <c r="H2542">
        <v>103.3</v>
      </c>
      <c r="I2542">
        <v>10.33</v>
      </c>
      <c r="J2542">
        <v>0</v>
      </c>
      <c r="K2542">
        <v>0</v>
      </c>
      <c r="L2542">
        <v>103.3</v>
      </c>
      <c r="M2542">
        <v>10.33</v>
      </c>
      <c r="O2542" s="79">
        <f>IFERROR(VLOOKUP(D2542,'KAPANAN BLD.'!$C$2:$D$793,2,FALSE),0)</f>
        <v>0</v>
      </c>
      <c r="P2542" s="79">
        <v>0</v>
      </c>
    </row>
    <row r="2543" spans="1:16" x14ac:dyDescent="0.25">
      <c r="A2543" t="s">
        <v>32</v>
      </c>
      <c r="B2543" s="73" t="str">
        <f>VLOOKUP(C2543,'Büyükşehir List'!$C$2:$D$31,2,FALSE)</f>
        <v>ORDU BÜYÜKŞEHİR</v>
      </c>
      <c r="C2543" t="s">
        <v>130</v>
      </c>
      <c r="D2543" s="73" t="str">
        <f t="shared" si="59"/>
        <v>ORDU BÜYÜKŞEHİR/ORDU</v>
      </c>
      <c r="E2543" t="s">
        <v>3838</v>
      </c>
      <c r="F2543" t="s">
        <v>3838</v>
      </c>
      <c r="G2543" t="s">
        <v>3366</v>
      </c>
      <c r="H2543">
        <v>667.4</v>
      </c>
      <c r="I2543">
        <v>66.739999999999995</v>
      </c>
      <c r="J2543">
        <v>0</v>
      </c>
      <c r="K2543">
        <v>0</v>
      </c>
      <c r="L2543">
        <v>667.4</v>
      </c>
      <c r="M2543">
        <v>66.739999999999995</v>
      </c>
      <c r="O2543" s="79">
        <f>IFERROR(VLOOKUP(D2543,'KAPANAN BLD.'!$C$2:$D$793,2,FALSE),0)</f>
        <v>0</v>
      </c>
      <c r="P2543" s="79">
        <v>0</v>
      </c>
    </row>
    <row r="2544" spans="1:16" x14ac:dyDescent="0.25">
      <c r="A2544" t="s">
        <v>32</v>
      </c>
      <c r="B2544" s="73" t="str">
        <f>VLOOKUP(C2544,'Büyükşehir List'!$C$2:$D$31,2,FALSE)</f>
        <v>ORDU BÜYÜKŞEHİR</v>
      </c>
      <c r="C2544" t="s">
        <v>130</v>
      </c>
      <c r="D2544" s="73" t="str">
        <f t="shared" si="59"/>
        <v>ORDU BÜYÜKŞEHİR/ORDU</v>
      </c>
      <c r="E2544" t="s">
        <v>3838</v>
      </c>
      <c r="F2544" t="s">
        <v>3838</v>
      </c>
      <c r="G2544" t="s">
        <v>3367</v>
      </c>
      <c r="H2544">
        <v>701.2</v>
      </c>
      <c r="I2544">
        <v>70.12</v>
      </c>
      <c r="J2544">
        <v>0</v>
      </c>
      <c r="K2544">
        <v>0</v>
      </c>
      <c r="L2544">
        <v>701.2</v>
      </c>
      <c r="M2544">
        <v>70.12</v>
      </c>
      <c r="O2544" s="79">
        <f>IFERROR(VLOOKUP(D2544,'KAPANAN BLD.'!$C$2:$D$793,2,FALSE),0)</f>
        <v>0</v>
      </c>
      <c r="P2544" s="79">
        <v>0</v>
      </c>
    </row>
    <row r="2545" spans="1:16" x14ac:dyDescent="0.25">
      <c r="A2545" t="s">
        <v>32</v>
      </c>
      <c r="B2545" s="73" t="str">
        <f>VLOOKUP(C2545,'Büyükşehir List'!$C$2:$D$31,2,FALSE)</f>
        <v>ORDU BÜYÜKŞEHİR</v>
      </c>
      <c r="C2545" t="s">
        <v>130</v>
      </c>
      <c r="D2545" s="73" t="str">
        <f t="shared" si="59"/>
        <v>ORDU BÜYÜKŞEHİR/ORDU</v>
      </c>
      <c r="E2545" t="s">
        <v>3388</v>
      </c>
      <c r="F2545" t="s">
        <v>3388</v>
      </c>
      <c r="G2545" t="s">
        <v>3367</v>
      </c>
      <c r="H2545">
        <v>1020.3</v>
      </c>
      <c r="I2545">
        <v>102.03</v>
      </c>
      <c r="J2545">
        <v>0</v>
      </c>
      <c r="K2545">
        <v>0</v>
      </c>
      <c r="L2545">
        <v>1020.3</v>
      </c>
      <c r="M2545">
        <v>102.03</v>
      </c>
      <c r="O2545" s="79">
        <f>IFERROR(VLOOKUP(D2545,'KAPANAN BLD.'!$C$2:$D$793,2,FALSE),0)</f>
        <v>0</v>
      </c>
      <c r="P2545" s="79">
        <v>0</v>
      </c>
    </row>
    <row r="2546" spans="1:16" x14ac:dyDescent="0.25">
      <c r="A2546" t="s">
        <v>32</v>
      </c>
      <c r="B2546" s="73" t="str">
        <f>VLOOKUP(C2546,'Büyükşehir List'!$C$2:$D$31,2,FALSE)</f>
        <v>ORDU BÜYÜKŞEHİR</v>
      </c>
      <c r="C2546" t="s">
        <v>130</v>
      </c>
      <c r="D2546" s="73" t="str">
        <f t="shared" si="59"/>
        <v>ORDU BÜYÜKŞEHİR/ORDU</v>
      </c>
      <c r="E2546" t="s">
        <v>3388</v>
      </c>
      <c r="F2546" t="s">
        <v>3388</v>
      </c>
      <c r="G2546" t="s">
        <v>3366</v>
      </c>
      <c r="H2546">
        <v>1391.7</v>
      </c>
      <c r="I2546">
        <v>139.16999999999999</v>
      </c>
      <c r="J2546">
        <v>0</v>
      </c>
      <c r="K2546">
        <v>0</v>
      </c>
      <c r="L2546">
        <v>1391.7</v>
      </c>
      <c r="M2546">
        <v>139.16999999999999</v>
      </c>
      <c r="O2546" s="79">
        <f>IFERROR(VLOOKUP(D2546,'KAPANAN BLD.'!$C$2:$D$793,2,FALSE),0)</f>
        <v>0</v>
      </c>
      <c r="P2546" s="79">
        <v>0</v>
      </c>
    </row>
    <row r="2547" spans="1:16" x14ac:dyDescent="0.25">
      <c r="A2547" t="s">
        <v>32</v>
      </c>
      <c r="B2547" s="73" t="str">
        <f>VLOOKUP(C2547,'Büyükşehir List'!$C$2:$D$31,2,FALSE)</f>
        <v>ORDU BÜYÜKŞEHİR</v>
      </c>
      <c r="C2547" t="s">
        <v>130</v>
      </c>
      <c r="D2547" s="73" t="str">
        <f t="shared" si="59"/>
        <v>ORDU BÜYÜKŞEHİR/ORDU</v>
      </c>
      <c r="E2547" t="s">
        <v>3731</v>
      </c>
      <c r="F2547" t="s">
        <v>3731</v>
      </c>
      <c r="G2547" t="s">
        <v>3367</v>
      </c>
      <c r="H2547">
        <v>226.1</v>
      </c>
      <c r="I2547">
        <v>22.61</v>
      </c>
      <c r="J2547">
        <v>141.9</v>
      </c>
      <c r="K2547">
        <v>14.19</v>
      </c>
      <c r="L2547">
        <v>84.2</v>
      </c>
      <c r="M2547">
        <v>8.42</v>
      </c>
      <c r="O2547" s="79">
        <f>IFERROR(VLOOKUP(D2547,'KAPANAN BLD.'!$C$2:$D$793,2,FALSE),0)</f>
        <v>0</v>
      </c>
      <c r="P2547" s="79">
        <v>0</v>
      </c>
    </row>
    <row r="2548" spans="1:16" x14ac:dyDescent="0.25">
      <c r="A2548" t="s">
        <v>32</v>
      </c>
      <c r="B2548" s="73" t="str">
        <f>VLOOKUP(C2548,'Büyükşehir List'!$C$2:$D$31,2,FALSE)</f>
        <v>ORDU BÜYÜKŞEHİR</v>
      </c>
      <c r="C2548" t="s">
        <v>130</v>
      </c>
      <c r="D2548" s="73" t="str">
        <f t="shared" si="59"/>
        <v>ORDU BÜYÜKŞEHİR/ORDU</v>
      </c>
      <c r="E2548" t="s">
        <v>3731</v>
      </c>
      <c r="F2548" t="s">
        <v>3731</v>
      </c>
      <c r="G2548" t="s">
        <v>3366</v>
      </c>
      <c r="H2548">
        <v>587.1</v>
      </c>
      <c r="I2548">
        <v>58.71</v>
      </c>
      <c r="J2548">
        <v>0</v>
      </c>
      <c r="K2548">
        <v>0</v>
      </c>
      <c r="L2548">
        <v>587.1</v>
      </c>
      <c r="M2548">
        <v>58.71</v>
      </c>
      <c r="O2548" s="79">
        <f>IFERROR(VLOOKUP(D2548,'KAPANAN BLD.'!$C$2:$D$793,2,FALSE),0)</f>
        <v>0</v>
      </c>
      <c r="P2548" s="79">
        <v>0</v>
      </c>
    </row>
    <row r="2549" spans="1:16" x14ac:dyDescent="0.25">
      <c r="A2549" t="s">
        <v>32</v>
      </c>
      <c r="B2549" s="73" t="str">
        <f>VLOOKUP(C2549,'Büyükşehir List'!$C$2:$D$31,2,FALSE)</f>
        <v>ORDU BÜYÜKŞEHİR</v>
      </c>
      <c r="C2549" t="s">
        <v>130</v>
      </c>
      <c r="D2549" s="73" t="str">
        <f t="shared" si="59"/>
        <v>ORDU BÜYÜKŞEHİR/ORDU</v>
      </c>
      <c r="E2549" t="s">
        <v>4531</v>
      </c>
      <c r="F2549" t="s">
        <v>4531</v>
      </c>
      <c r="G2549" t="s">
        <v>3367</v>
      </c>
      <c r="H2549">
        <v>5.4</v>
      </c>
      <c r="I2549">
        <v>0.54</v>
      </c>
      <c r="J2549">
        <v>0</v>
      </c>
      <c r="K2549">
        <v>0</v>
      </c>
      <c r="L2549">
        <v>5.4</v>
      </c>
      <c r="M2549">
        <v>0.54</v>
      </c>
      <c r="O2549" s="79">
        <f>IFERROR(VLOOKUP(D2549,'KAPANAN BLD.'!$C$2:$D$793,2,FALSE),0)</f>
        <v>0</v>
      </c>
      <c r="P2549" s="79">
        <v>0</v>
      </c>
    </row>
    <row r="2550" spans="1:16" x14ac:dyDescent="0.25">
      <c r="A2550" t="s">
        <v>32</v>
      </c>
      <c r="B2550" s="73" t="str">
        <f>VLOOKUP(C2550,'Büyükşehir List'!$C$2:$D$31,2,FALSE)</f>
        <v>ORDU BÜYÜKŞEHİR</v>
      </c>
      <c r="C2550" t="s">
        <v>130</v>
      </c>
      <c r="D2550" s="73" t="str">
        <f t="shared" si="59"/>
        <v>ORDU BÜYÜKŞEHİR/ORDU</v>
      </c>
      <c r="E2550" t="s">
        <v>4531</v>
      </c>
      <c r="F2550" t="s">
        <v>4531</v>
      </c>
      <c r="G2550" t="s">
        <v>3366</v>
      </c>
      <c r="H2550">
        <v>103.3</v>
      </c>
      <c r="I2550">
        <v>10.33</v>
      </c>
      <c r="J2550">
        <v>0</v>
      </c>
      <c r="K2550">
        <v>0</v>
      </c>
      <c r="L2550">
        <v>103.3</v>
      </c>
      <c r="M2550">
        <v>10.33</v>
      </c>
      <c r="O2550" s="79">
        <f>IFERROR(VLOOKUP(D2550,'KAPANAN BLD.'!$C$2:$D$793,2,FALSE),0)</f>
        <v>0</v>
      </c>
      <c r="P2550" s="79">
        <v>0</v>
      </c>
    </row>
    <row r="2551" spans="1:16" x14ac:dyDescent="0.25">
      <c r="A2551" t="s">
        <v>32</v>
      </c>
      <c r="B2551" s="73" t="str">
        <f>VLOOKUP(C2551,'Büyükşehir List'!$C$2:$D$31,2,FALSE)</f>
        <v>ORDU BÜYÜKŞEHİR</v>
      </c>
      <c r="C2551" t="s">
        <v>130</v>
      </c>
      <c r="D2551" s="73" t="str">
        <f t="shared" si="59"/>
        <v>ORDU BÜYÜKŞEHİR/ORDU</v>
      </c>
      <c r="E2551" t="s">
        <v>3839</v>
      </c>
      <c r="F2551" t="s">
        <v>3839</v>
      </c>
      <c r="G2551" t="s">
        <v>3366</v>
      </c>
      <c r="H2551">
        <v>184.5</v>
      </c>
      <c r="I2551">
        <v>18.45</v>
      </c>
      <c r="J2551">
        <v>0</v>
      </c>
      <c r="K2551">
        <v>0</v>
      </c>
      <c r="L2551">
        <v>184.5</v>
      </c>
      <c r="M2551">
        <v>18.45</v>
      </c>
      <c r="O2551" s="79">
        <f>IFERROR(VLOOKUP(D2551,'KAPANAN BLD.'!$C$2:$D$793,2,FALSE),0)</f>
        <v>0</v>
      </c>
      <c r="P2551" s="79">
        <v>0</v>
      </c>
    </row>
    <row r="2552" spans="1:16" x14ac:dyDescent="0.25">
      <c r="A2552" t="s">
        <v>32</v>
      </c>
      <c r="B2552" s="73" t="str">
        <f>VLOOKUP(C2552,'Büyükşehir List'!$C$2:$D$31,2,FALSE)</f>
        <v>ORDU BÜYÜKŞEHİR</v>
      </c>
      <c r="C2552" t="s">
        <v>130</v>
      </c>
      <c r="D2552" s="73" t="str">
        <f t="shared" si="59"/>
        <v>ORDU BÜYÜKŞEHİR/ORDU</v>
      </c>
      <c r="E2552" t="s">
        <v>3839</v>
      </c>
      <c r="F2552" t="s">
        <v>3839</v>
      </c>
      <c r="G2552" t="s">
        <v>3367</v>
      </c>
      <c r="H2552">
        <v>578.29999999999995</v>
      </c>
      <c r="I2552">
        <v>57.83</v>
      </c>
      <c r="J2552">
        <v>0</v>
      </c>
      <c r="K2552">
        <v>0</v>
      </c>
      <c r="L2552">
        <v>578.29999999999995</v>
      </c>
      <c r="M2552">
        <v>57.83</v>
      </c>
      <c r="O2552" s="79">
        <f>IFERROR(VLOOKUP(D2552,'KAPANAN BLD.'!$C$2:$D$793,2,FALSE),0)</f>
        <v>0</v>
      </c>
      <c r="P2552" s="79">
        <v>0</v>
      </c>
    </row>
    <row r="2553" spans="1:16" x14ac:dyDescent="0.25">
      <c r="A2553" t="s">
        <v>32</v>
      </c>
      <c r="B2553" s="73" t="str">
        <f>VLOOKUP(C2553,'Büyükşehir List'!$C$2:$D$31,2,FALSE)</f>
        <v>ORDU BÜYÜKŞEHİR</v>
      </c>
      <c r="C2553" t="s">
        <v>130</v>
      </c>
      <c r="D2553" s="73" t="str">
        <f t="shared" si="59"/>
        <v>ORDU BÜYÜKŞEHİR/ORDU</v>
      </c>
      <c r="E2553" t="s">
        <v>3895</v>
      </c>
      <c r="F2553" t="s">
        <v>3895</v>
      </c>
      <c r="G2553" t="s">
        <v>3367</v>
      </c>
      <c r="H2553">
        <v>142.1</v>
      </c>
      <c r="I2553">
        <v>14.21</v>
      </c>
      <c r="J2553">
        <v>85</v>
      </c>
      <c r="K2553">
        <v>8.5</v>
      </c>
      <c r="L2553">
        <v>57.1</v>
      </c>
      <c r="M2553">
        <v>5.71</v>
      </c>
      <c r="O2553" s="79">
        <f>IFERROR(VLOOKUP(D2553,'KAPANAN BLD.'!$C$2:$D$793,2,FALSE),0)</f>
        <v>0</v>
      </c>
      <c r="P2553" s="79">
        <v>0</v>
      </c>
    </row>
    <row r="2554" spans="1:16" x14ac:dyDescent="0.25">
      <c r="A2554" t="s">
        <v>32</v>
      </c>
      <c r="B2554" s="73" t="str">
        <f>VLOOKUP(C2554,'Büyükşehir List'!$C$2:$D$31,2,FALSE)</f>
        <v>ORDU BÜYÜKŞEHİR</v>
      </c>
      <c r="C2554" t="s">
        <v>130</v>
      </c>
      <c r="D2554" s="73" t="str">
        <f t="shared" si="59"/>
        <v>ORDU BÜYÜKŞEHİR/ORDU</v>
      </c>
      <c r="E2554" t="s">
        <v>3895</v>
      </c>
      <c r="F2554" t="s">
        <v>3895</v>
      </c>
      <c r="G2554" t="s">
        <v>3366</v>
      </c>
      <c r="H2554">
        <v>29.3</v>
      </c>
      <c r="I2554">
        <v>2.93</v>
      </c>
      <c r="J2554">
        <v>0</v>
      </c>
      <c r="K2554">
        <v>0</v>
      </c>
      <c r="L2554">
        <v>29.3</v>
      </c>
      <c r="M2554">
        <v>2.93</v>
      </c>
      <c r="O2554" s="79">
        <f>IFERROR(VLOOKUP(D2554,'KAPANAN BLD.'!$C$2:$D$793,2,FALSE),0)</f>
        <v>0</v>
      </c>
      <c r="P2554" s="79">
        <v>0</v>
      </c>
    </row>
    <row r="2555" spans="1:16" x14ac:dyDescent="0.25">
      <c r="A2555" t="s">
        <v>32</v>
      </c>
      <c r="B2555" s="73" t="str">
        <f>VLOOKUP(C2555,'Büyükşehir List'!$C$2:$D$31,2,FALSE)</f>
        <v>ORDU BÜYÜKŞEHİR</v>
      </c>
      <c r="C2555" t="s">
        <v>130</v>
      </c>
      <c r="D2555" s="73" t="str">
        <f t="shared" si="59"/>
        <v>ORDU BÜYÜKŞEHİR/ORDU</v>
      </c>
      <c r="E2555" t="s">
        <v>4312</v>
      </c>
      <c r="F2555" t="s">
        <v>4312</v>
      </c>
      <c r="G2555" t="s">
        <v>3367</v>
      </c>
      <c r="H2555">
        <v>0</v>
      </c>
      <c r="I2555">
        <v>0</v>
      </c>
      <c r="J2555">
        <v>59.5</v>
      </c>
      <c r="K2555">
        <v>5.95</v>
      </c>
      <c r="L2555">
        <v>-59.5</v>
      </c>
      <c r="M2555">
        <v>-5.95</v>
      </c>
      <c r="O2555" s="79">
        <f>IFERROR(VLOOKUP(D2555,'KAPANAN BLD.'!$C$2:$D$793,2,FALSE),0)</f>
        <v>0</v>
      </c>
      <c r="P2555" s="79">
        <v>0</v>
      </c>
    </row>
    <row r="2556" spans="1:16" x14ac:dyDescent="0.25">
      <c r="A2556" t="s">
        <v>32</v>
      </c>
      <c r="B2556" s="73" t="str">
        <f>VLOOKUP(C2556,'Büyükşehir List'!$C$2:$D$31,2,FALSE)</f>
        <v>ORDU BÜYÜKŞEHİR</v>
      </c>
      <c r="C2556" t="s">
        <v>130</v>
      </c>
      <c r="D2556" s="73" t="str">
        <f t="shared" si="59"/>
        <v>ORDU BÜYÜKŞEHİR/ORDU</v>
      </c>
      <c r="E2556" t="s">
        <v>4312</v>
      </c>
      <c r="F2556" t="s">
        <v>4312</v>
      </c>
      <c r="G2556" t="s">
        <v>3366</v>
      </c>
      <c r="H2556">
        <v>0</v>
      </c>
      <c r="I2556">
        <v>0</v>
      </c>
      <c r="J2556">
        <v>36.6</v>
      </c>
      <c r="K2556">
        <v>3.66</v>
      </c>
      <c r="L2556">
        <v>-36.6</v>
      </c>
      <c r="M2556">
        <v>-3.66</v>
      </c>
      <c r="O2556" s="79">
        <f>IFERROR(VLOOKUP(D2556,'KAPANAN BLD.'!$C$2:$D$793,2,FALSE),0)</f>
        <v>0</v>
      </c>
      <c r="P2556" s="79">
        <v>0</v>
      </c>
    </row>
    <row r="2557" spans="1:16" x14ac:dyDescent="0.25">
      <c r="A2557" t="s">
        <v>32</v>
      </c>
      <c r="B2557" s="73" t="str">
        <f>VLOOKUP(C2557,'Büyükşehir List'!$C$2:$D$31,2,FALSE)</f>
        <v>ORDU BÜYÜKŞEHİR</v>
      </c>
      <c r="C2557" t="s">
        <v>130</v>
      </c>
      <c r="D2557" s="73" t="str">
        <f t="shared" si="59"/>
        <v>ORDU BÜYÜKŞEHİR/ORDU</v>
      </c>
      <c r="E2557" t="s">
        <v>467</v>
      </c>
      <c r="F2557" t="s">
        <v>467</v>
      </c>
      <c r="G2557" t="s">
        <v>3367</v>
      </c>
      <c r="H2557">
        <v>82.8</v>
      </c>
      <c r="I2557">
        <v>8.2799999999999994</v>
      </c>
      <c r="J2557">
        <v>0</v>
      </c>
      <c r="K2557">
        <v>0</v>
      </c>
      <c r="L2557">
        <v>82.8</v>
      </c>
      <c r="M2557">
        <v>8.2799999999999994</v>
      </c>
      <c r="O2557" s="79">
        <f>IFERROR(VLOOKUP(D2557,'KAPANAN BLD.'!$C$2:$D$793,2,FALSE),0)</f>
        <v>0</v>
      </c>
      <c r="P2557" s="79">
        <v>0</v>
      </c>
    </row>
    <row r="2558" spans="1:16" x14ac:dyDescent="0.25">
      <c r="A2558" t="s">
        <v>32</v>
      </c>
      <c r="B2558" s="73" t="str">
        <f>VLOOKUP(C2558,'Büyükşehir List'!$C$2:$D$31,2,FALSE)</f>
        <v>ORDU BÜYÜKŞEHİR</v>
      </c>
      <c r="C2558" t="s">
        <v>130</v>
      </c>
      <c r="D2558" s="73" t="str">
        <f t="shared" si="59"/>
        <v>ORDU BÜYÜKŞEHİR/ORDU</v>
      </c>
      <c r="E2558" t="s">
        <v>467</v>
      </c>
      <c r="F2558" t="s">
        <v>467</v>
      </c>
      <c r="G2558" t="s">
        <v>3366</v>
      </c>
      <c r="H2558">
        <v>42.9</v>
      </c>
      <c r="I2558">
        <v>4.29</v>
      </c>
      <c r="J2558">
        <v>0</v>
      </c>
      <c r="K2558">
        <v>0</v>
      </c>
      <c r="L2558">
        <v>42.9</v>
      </c>
      <c r="M2558">
        <v>4.29</v>
      </c>
      <c r="O2558" s="79">
        <f>IFERROR(VLOOKUP(D2558,'KAPANAN BLD.'!$C$2:$D$793,2,FALSE),0)</f>
        <v>0</v>
      </c>
      <c r="P2558" s="79">
        <v>0</v>
      </c>
    </row>
    <row r="2559" spans="1:16" x14ac:dyDescent="0.25">
      <c r="A2559" t="s">
        <v>32</v>
      </c>
      <c r="B2559" s="73" t="str">
        <f>VLOOKUP(C2559,'Büyükşehir List'!$C$2:$D$31,2,FALSE)</f>
        <v>ORDU BÜYÜKŞEHİR</v>
      </c>
      <c r="C2559" t="s">
        <v>130</v>
      </c>
      <c r="D2559" s="73" t="str">
        <f t="shared" si="59"/>
        <v>ORDU BÜYÜKŞEHİR/ORDU</v>
      </c>
      <c r="E2559" t="s">
        <v>3840</v>
      </c>
      <c r="F2559" t="s">
        <v>3840</v>
      </c>
      <c r="G2559" t="s">
        <v>3366</v>
      </c>
      <c r="H2559">
        <v>206.1</v>
      </c>
      <c r="I2559">
        <v>20.61</v>
      </c>
      <c r="J2559">
        <v>0</v>
      </c>
      <c r="K2559">
        <v>0</v>
      </c>
      <c r="L2559">
        <v>206.1</v>
      </c>
      <c r="M2559">
        <v>20.61</v>
      </c>
      <c r="O2559" s="79">
        <f>IFERROR(VLOOKUP(D2559,'KAPANAN BLD.'!$C$2:$D$793,2,FALSE),0)</f>
        <v>0</v>
      </c>
      <c r="P2559" s="79">
        <v>0</v>
      </c>
    </row>
    <row r="2560" spans="1:16" x14ac:dyDescent="0.25">
      <c r="A2560" t="s">
        <v>32</v>
      </c>
      <c r="B2560" s="73" t="str">
        <f>VLOOKUP(C2560,'Büyükşehir List'!$C$2:$D$31,2,FALSE)</f>
        <v>ORDU BÜYÜKŞEHİR</v>
      </c>
      <c r="C2560" t="s">
        <v>130</v>
      </c>
      <c r="D2560" s="73" t="str">
        <f t="shared" si="59"/>
        <v>ORDU BÜYÜKŞEHİR/ORDU</v>
      </c>
      <c r="E2560" t="s">
        <v>3840</v>
      </c>
      <c r="F2560" t="s">
        <v>3840</v>
      </c>
      <c r="G2560" t="s">
        <v>3367</v>
      </c>
      <c r="H2560">
        <v>591.9</v>
      </c>
      <c r="I2560">
        <v>59.19</v>
      </c>
      <c r="J2560">
        <v>0</v>
      </c>
      <c r="K2560">
        <v>0</v>
      </c>
      <c r="L2560">
        <v>591.9</v>
      </c>
      <c r="M2560">
        <v>59.19</v>
      </c>
      <c r="O2560" s="79">
        <f>IFERROR(VLOOKUP(D2560,'KAPANAN BLD.'!$C$2:$D$793,2,FALSE),0)</f>
        <v>0</v>
      </c>
      <c r="P2560" s="79">
        <v>0</v>
      </c>
    </row>
    <row r="2561" spans="1:16" x14ac:dyDescent="0.25">
      <c r="A2561" t="s">
        <v>32</v>
      </c>
      <c r="B2561" s="73" t="str">
        <f>VLOOKUP(C2561,'Büyükşehir List'!$C$2:$D$31,2,FALSE)</f>
        <v>ORDU BÜYÜKŞEHİR</v>
      </c>
      <c r="C2561" t="s">
        <v>130</v>
      </c>
      <c r="D2561" s="73" t="str">
        <f t="shared" si="59"/>
        <v>ORDU BÜYÜKŞEHİR/ORDU</v>
      </c>
      <c r="E2561" t="s">
        <v>34</v>
      </c>
      <c r="F2561" t="s">
        <v>34</v>
      </c>
      <c r="G2561" t="s">
        <v>3366</v>
      </c>
      <c r="H2561">
        <v>21762.51</v>
      </c>
      <c r="I2561">
        <v>2176.25</v>
      </c>
      <c r="J2561">
        <v>224.2</v>
      </c>
      <c r="K2561">
        <v>22.42</v>
      </c>
      <c r="L2561">
        <v>21538.31</v>
      </c>
      <c r="M2561">
        <v>2153.83</v>
      </c>
      <c r="O2561" s="79">
        <f>IFERROR(VLOOKUP(D2561,'KAPANAN BLD.'!$C$2:$D$793,2,FALSE),0)</f>
        <v>0</v>
      </c>
      <c r="P2561" s="79">
        <v>0</v>
      </c>
    </row>
    <row r="2562" spans="1:16" x14ac:dyDescent="0.25">
      <c r="A2562" t="s">
        <v>32</v>
      </c>
      <c r="B2562" s="73" t="str">
        <f>VLOOKUP(C2562,'Büyükşehir List'!$C$2:$D$31,2,FALSE)</f>
        <v>ORDU BÜYÜKŞEHİR</v>
      </c>
      <c r="C2562" t="s">
        <v>130</v>
      </c>
      <c r="D2562" s="73" t="str">
        <f t="shared" si="59"/>
        <v>ORDU BÜYÜKŞEHİR/ORDU</v>
      </c>
      <c r="E2562" t="s">
        <v>34</v>
      </c>
      <c r="F2562" t="s">
        <v>34</v>
      </c>
      <c r="G2562" t="s">
        <v>3367</v>
      </c>
      <c r="H2562">
        <v>17052.75</v>
      </c>
      <c r="I2562">
        <v>1705.27</v>
      </c>
      <c r="J2562">
        <v>508.4</v>
      </c>
      <c r="K2562">
        <v>50.84</v>
      </c>
      <c r="L2562">
        <v>16544.349999999999</v>
      </c>
      <c r="M2562">
        <v>1654.43</v>
      </c>
      <c r="O2562" s="79">
        <f>IFERROR(VLOOKUP(D2562,'KAPANAN BLD.'!$C$2:$D$793,2,FALSE),0)</f>
        <v>0</v>
      </c>
      <c r="P2562" s="79">
        <v>0</v>
      </c>
    </row>
    <row r="2563" spans="1:16" x14ac:dyDescent="0.25">
      <c r="A2563" t="s">
        <v>32</v>
      </c>
      <c r="B2563" s="73" t="str">
        <f>VLOOKUP(C2563,'Büyükşehir List'!$C$2:$D$31,2,FALSE)</f>
        <v>ORDU BÜYÜKŞEHİR</v>
      </c>
      <c r="C2563" t="s">
        <v>130</v>
      </c>
      <c r="D2563" s="73" t="str">
        <f t="shared" ref="D2563:D2626" si="60">CONCATENATE(B2563,"/",C2563)</f>
        <v>ORDU BÜYÜKŞEHİR/ORDU</v>
      </c>
      <c r="E2563" t="s">
        <v>3841</v>
      </c>
      <c r="F2563" t="s">
        <v>3841</v>
      </c>
      <c r="G2563" t="s">
        <v>3367</v>
      </c>
      <c r="H2563">
        <v>528.5</v>
      </c>
      <c r="I2563">
        <v>52.85</v>
      </c>
      <c r="J2563">
        <v>0</v>
      </c>
      <c r="K2563">
        <v>0</v>
      </c>
      <c r="L2563">
        <v>528.5</v>
      </c>
      <c r="M2563">
        <v>52.85</v>
      </c>
      <c r="O2563" s="79">
        <f>IFERROR(VLOOKUP(D2563,'KAPANAN BLD.'!$C$2:$D$793,2,FALSE),0)</f>
        <v>0</v>
      </c>
      <c r="P2563" s="79">
        <v>0</v>
      </c>
    </row>
    <row r="2564" spans="1:16" x14ac:dyDescent="0.25">
      <c r="A2564" t="s">
        <v>32</v>
      </c>
      <c r="B2564" s="73" t="str">
        <f>VLOOKUP(C2564,'Büyükşehir List'!$C$2:$D$31,2,FALSE)</f>
        <v>ORDU BÜYÜKŞEHİR</v>
      </c>
      <c r="C2564" t="s">
        <v>130</v>
      </c>
      <c r="D2564" s="73" t="str">
        <f t="shared" si="60"/>
        <v>ORDU BÜYÜKŞEHİR/ORDU</v>
      </c>
      <c r="E2564" t="s">
        <v>3841</v>
      </c>
      <c r="F2564" t="s">
        <v>3841</v>
      </c>
      <c r="G2564" t="s">
        <v>3366</v>
      </c>
      <c r="H2564">
        <v>187.9</v>
      </c>
      <c r="I2564">
        <v>18.79</v>
      </c>
      <c r="J2564">
        <v>0</v>
      </c>
      <c r="K2564">
        <v>0</v>
      </c>
      <c r="L2564">
        <v>187.9</v>
      </c>
      <c r="M2564">
        <v>18.79</v>
      </c>
      <c r="O2564" s="79">
        <f>IFERROR(VLOOKUP(D2564,'KAPANAN BLD.'!$C$2:$D$793,2,FALSE),0)</f>
        <v>0</v>
      </c>
      <c r="P2564" s="79">
        <v>0</v>
      </c>
    </row>
    <row r="2565" spans="1:16" x14ac:dyDescent="0.25">
      <c r="A2565" t="s">
        <v>32</v>
      </c>
      <c r="B2565" s="73" t="str">
        <f>VLOOKUP(C2565,'Büyükşehir List'!$C$2:$D$31,2,FALSE)</f>
        <v>ORDU BÜYÜKŞEHİR</v>
      </c>
      <c r="C2565" t="s">
        <v>130</v>
      </c>
      <c r="D2565" s="73" t="str">
        <f t="shared" si="60"/>
        <v>ORDU BÜYÜKŞEHİR/ORDU</v>
      </c>
      <c r="E2565" t="s">
        <v>676</v>
      </c>
      <c r="F2565" t="s">
        <v>676</v>
      </c>
      <c r="G2565" t="s">
        <v>3366</v>
      </c>
      <c r="H2565">
        <v>160.4</v>
      </c>
      <c r="I2565">
        <v>16.04</v>
      </c>
      <c r="J2565">
        <v>1294.0999999999999</v>
      </c>
      <c r="K2565">
        <v>129.41</v>
      </c>
      <c r="L2565">
        <v>-1133.7</v>
      </c>
      <c r="M2565">
        <v>-113.37</v>
      </c>
      <c r="O2565" s="79">
        <f>IFERROR(VLOOKUP(D2565,'KAPANAN BLD.'!$C$2:$D$793,2,FALSE),0)</f>
        <v>0</v>
      </c>
      <c r="P2565" s="79">
        <v>0</v>
      </c>
    </row>
    <row r="2566" spans="1:16" x14ac:dyDescent="0.25">
      <c r="A2566" t="s">
        <v>32</v>
      </c>
      <c r="B2566" s="73" t="str">
        <f>VLOOKUP(C2566,'Büyükşehir List'!$C$2:$D$31,2,FALSE)</f>
        <v>ORDU BÜYÜKŞEHİR</v>
      </c>
      <c r="C2566" t="s">
        <v>130</v>
      </c>
      <c r="D2566" s="73" t="str">
        <f t="shared" si="60"/>
        <v>ORDU BÜYÜKŞEHİR/ORDU</v>
      </c>
      <c r="E2566" t="s">
        <v>676</v>
      </c>
      <c r="F2566" t="s">
        <v>676</v>
      </c>
      <c r="G2566" t="s">
        <v>3367</v>
      </c>
      <c r="H2566">
        <v>404.7</v>
      </c>
      <c r="I2566">
        <v>40.47</v>
      </c>
      <c r="J2566">
        <v>3.5</v>
      </c>
      <c r="K2566">
        <v>0.35</v>
      </c>
      <c r="L2566">
        <v>401.2</v>
      </c>
      <c r="M2566">
        <v>40.119999999999997</v>
      </c>
      <c r="O2566" s="79">
        <f>IFERROR(VLOOKUP(D2566,'KAPANAN BLD.'!$C$2:$D$793,2,FALSE),0)</f>
        <v>0</v>
      </c>
      <c r="P2566" s="79">
        <v>0</v>
      </c>
    </row>
    <row r="2567" spans="1:16" x14ac:dyDescent="0.25">
      <c r="A2567" t="s">
        <v>32</v>
      </c>
      <c r="B2567" s="73" t="str">
        <f>VLOOKUP(C2567,'Büyükşehir List'!$C$2:$D$31,2,FALSE)</f>
        <v>ORDU BÜYÜKŞEHİR</v>
      </c>
      <c r="C2567" t="s">
        <v>130</v>
      </c>
      <c r="D2567" s="73" t="str">
        <f t="shared" si="60"/>
        <v>ORDU BÜYÜKŞEHİR/ORDU</v>
      </c>
      <c r="E2567" t="s">
        <v>3842</v>
      </c>
      <c r="F2567" t="s">
        <v>3842</v>
      </c>
      <c r="G2567" t="s">
        <v>3366</v>
      </c>
      <c r="H2567">
        <v>1760.7</v>
      </c>
      <c r="I2567">
        <v>176.07</v>
      </c>
      <c r="J2567">
        <v>0</v>
      </c>
      <c r="K2567">
        <v>0</v>
      </c>
      <c r="L2567">
        <v>1760.7</v>
      </c>
      <c r="M2567">
        <v>176.07</v>
      </c>
      <c r="O2567" s="79">
        <f>IFERROR(VLOOKUP(D2567,'KAPANAN BLD.'!$C$2:$D$793,2,FALSE),0)</f>
        <v>0</v>
      </c>
      <c r="P2567" s="79">
        <v>0</v>
      </c>
    </row>
    <row r="2568" spans="1:16" x14ac:dyDescent="0.25">
      <c r="A2568" t="s">
        <v>32</v>
      </c>
      <c r="B2568" s="73" t="str">
        <f>VLOOKUP(C2568,'Büyükşehir List'!$C$2:$D$31,2,FALSE)</f>
        <v>ORDU BÜYÜKŞEHİR</v>
      </c>
      <c r="C2568" t="s">
        <v>130</v>
      </c>
      <c r="D2568" s="73" t="str">
        <f t="shared" si="60"/>
        <v>ORDU BÜYÜKŞEHİR/ORDU</v>
      </c>
      <c r="E2568" t="s">
        <v>3842</v>
      </c>
      <c r="F2568" t="s">
        <v>3842</v>
      </c>
      <c r="G2568" t="s">
        <v>3367</v>
      </c>
      <c r="H2568">
        <v>2581.9</v>
      </c>
      <c r="I2568">
        <v>258.19</v>
      </c>
      <c r="J2568">
        <v>0</v>
      </c>
      <c r="K2568">
        <v>0</v>
      </c>
      <c r="L2568">
        <v>2581.9</v>
      </c>
      <c r="M2568">
        <v>258.19</v>
      </c>
      <c r="O2568" s="79">
        <f>IFERROR(VLOOKUP(D2568,'KAPANAN BLD.'!$C$2:$D$793,2,FALSE),0)</f>
        <v>0</v>
      </c>
      <c r="P2568" s="79">
        <v>0</v>
      </c>
    </row>
    <row r="2569" spans="1:16" x14ac:dyDescent="0.25">
      <c r="A2569" t="s">
        <v>32</v>
      </c>
      <c r="B2569" s="73" t="str">
        <f>VLOOKUP(C2569,'Büyükşehir List'!$C$2:$D$31,2,FALSE)</f>
        <v>ORDU BÜYÜKŞEHİR</v>
      </c>
      <c r="C2569" t="s">
        <v>130</v>
      </c>
      <c r="D2569" s="73" t="str">
        <f t="shared" si="60"/>
        <v>ORDU BÜYÜKŞEHİR/ORDU</v>
      </c>
      <c r="E2569" t="s">
        <v>4532</v>
      </c>
      <c r="F2569" t="s">
        <v>4532</v>
      </c>
      <c r="G2569" t="s">
        <v>3367</v>
      </c>
      <c r="H2569">
        <v>5.4</v>
      </c>
      <c r="I2569">
        <v>0.54</v>
      </c>
      <c r="J2569">
        <v>0</v>
      </c>
      <c r="K2569">
        <v>0</v>
      </c>
      <c r="L2569">
        <v>5.4</v>
      </c>
      <c r="M2569">
        <v>0.54</v>
      </c>
      <c r="O2569" s="79">
        <f>IFERROR(VLOOKUP(D2569,'KAPANAN BLD.'!$C$2:$D$793,2,FALSE),0)</f>
        <v>0</v>
      </c>
      <c r="P2569" s="79">
        <v>0</v>
      </c>
    </row>
    <row r="2570" spans="1:16" x14ac:dyDescent="0.25">
      <c r="A2570" t="s">
        <v>32</v>
      </c>
      <c r="B2570" s="73" t="str">
        <f>VLOOKUP(C2570,'Büyükşehir List'!$C$2:$D$31,2,FALSE)</f>
        <v>ORDU BÜYÜKŞEHİR</v>
      </c>
      <c r="C2570" t="s">
        <v>130</v>
      </c>
      <c r="D2570" s="73" t="str">
        <f t="shared" si="60"/>
        <v>ORDU BÜYÜKŞEHİR/ORDU</v>
      </c>
      <c r="E2570" t="s">
        <v>4532</v>
      </c>
      <c r="F2570" t="s">
        <v>4532</v>
      </c>
      <c r="G2570" t="s">
        <v>3366</v>
      </c>
      <c r="H2570">
        <v>103.3</v>
      </c>
      <c r="I2570">
        <v>10.33</v>
      </c>
      <c r="J2570">
        <v>0</v>
      </c>
      <c r="K2570">
        <v>0</v>
      </c>
      <c r="L2570">
        <v>103.3</v>
      </c>
      <c r="M2570">
        <v>10.33</v>
      </c>
      <c r="O2570" s="79">
        <f>IFERROR(VLOOKUP(D2570,'KAPANAN BLD.'!$C$2:$D$793,2,FALSE),0)</f>
        <v>0</v>
      </c>
      <c r="P2570" s="79">
        <v>0</v>
      </c>
    </row>
    <row r="2571" spans="1:16" x14ac:dyDescent="0.25">
      <c r="A2571" t="s">
        <v>32</v>
      </c>
      <c r="B2571" s="73" t="str">
        <f>VLOOKUP(C2571,'Büyükşehir List'!$C$2:$D$31,2,FALSE)</f>
        <v>ORDU BÜYÜKŞEHİR</v>
      </c>
      <c r="C2571" t="s">
        <v>130</v>
      </c>
      <c r="D2571" s="73" t="str">
        <f t="shared" si="60"/>
        <v>ORDU BÜYÜKŞEHİR/ORDU</v>
      </c>
      <c r="E2571" t="s">
        <v>2418</v>
      </c>
      <c r="F2571" t="s">
        <v>2418</v>
      </c>
      <c r="G2571" t="s">
        <v>3367</v>
      </c>
      <c r="H2571">
        <v>75</v>
      </c>
      <c r="I2571">
        <v>7.5</v>
      </c>
      <c r="J2571">
        <v>0</v>
      </c>
      <c r="K2571">
        <v>0</v>
      </c>
      <c r="L2571">
        <v>75</v>
      </c>
      <c r="M2571">
        <v>7.5</v>
      </c>
      <c r="O2571" s="79">
        <f>IFERROR(VLOOKUP(D2571,'KAPANAN BLD.'!$C$2:$D$793,2,FALSE),0)</f>
        <v>0</v>
      </c>
      <c r="P2571" s="79">
        <v>0</v>
      </c>
    </row>
    <row r="2572" spans="1:16" x14ac:dyDescent="0.25">
      <c r="A2572" t="s">
        <v>32</v>
      </c>
      <c r="B2572" s="73" t="str">
        <f>VLOOKUP(C2572,'Büyükşehir List'!$C$2:$D$31,2,FALSE)</f>
        <v>ORDU BÜYÜKŞEHİR</v>
      </c>
      <c r="C2572" t="s">
        <v>130</v>
      </c>
      <c r="D2572" s="73" t="str">
        <f t="shared" si="60"/>
        <v>ORDU BÜYÜKŞEHİR/ORDU</v>
      </c>
      <c r="E2572" t="s">
        <v>2418</v>
      </c>
      <c r="F2572" t="s">
        <v>2418</v>
      </c>
      <c r="G2572" t="s">
        <v>3366</v>
      </c>
      <c r="H2572">
        <v>402.8</v>
      </c>
      <c r="I2572">
        <v>40.28</v>
      </c>
      <c r="J2572">
        <v>0</v>
      </c>
      <c r="K2572">
        <v>0</v>
      </c>
      <c r="L2572">
        <v>402.8</v>
      </c>
      <c r="M2572">
        <v>40.28</v>
      </c>
      <c r="O2572" s="79">
        <f>IFERROR(VLOOKUP(D2572,'KAPANAN BLD.'!$C$2:$D$793,2,FALSE),0)</f>
        <v>0</v>
      </c>
      <c r="P2572" s="79">
        <v>0</v>
      </c>
    </row>
    <row r="2573" spans="1:16" x14ac:dyDescent="0.25">
      <c r="A2573" t="s">
        <v>32</v>
      </c>
      <c r="B2573" s="73" t="str">
        <f>VLOOKUP(C2573,'Büyükşehir List'!$C$2:$D$31,2,FALSE)</f>
        <v>ORDU BÜYÜKŞEHİR</v>
      </c>
      <c r="C2573" t="s">
        <v>130</v>
      </c>
      <c r="D2573" s="73" t="str">
        <f t="shared" si="60"/>
        <v>ORDU BÜYÜKŞEHİR/ORDU</v>
      </c>
      <c r="E2573" t="s">
        <v>129</v>
      </c>
      <c r="F2573" t="s">
        <v>129</v>
      </c>
      <c r="G2573" t="s">
        <v>3367</v>
      </c>
      <c r="H2573">
        <v>1741.6</v>
      </c>
      <c r="I2573">
        <v>174.16</v>
      </c>
      <c r="J2573">
        <v>241.8</v>
      </c>
      <c r="K2573">
        <v>24.18</v>
      </c>
      <c r="L2573">
        <v>1499.8</v>
      </c>
      <c r="M2573">
        <v>149.97999999999999</v>
      </c>
      <c r="O2573" s="79">
        <f>IFERROR(VLOOKUP(D2573,'KAPANAN BLD.'!$C$2:$D$793,2,FALSE),0)</f>
        <v>0</v>
      </c>
      <c r="P2573" s="79">
        <v>0</v>
      </c>
    </row>
    <row r="2574" spans="1:16" x14ac:dyDescent="0.25">
      <c r="A2574" t="s">
        <v>32</v>
      </c>
      <c r="B2574" s="73" t="str">
        <f>VLOOKUP(C2574,'Büyükşehir List'!$C$2:$D$31,2,FALSE)</f>
        <v>ORDU BÜYÜKŞEHİR</v>
      </c>
      <c r="C2574" t="s">
        <v>130</v>
      </c>
      <c r="D2574" s="73" t="str">
        <f t="shared" si="60"/>
        <v>ORDU BÜYÜKŞEHİR/ORDU</v>
      </c>
      <c r="E2574" t="s">
        <v>129</v>
      </c>
      <c r="F2574" t="s">
        <v>129</v>
      </c>
      <c r="G2574" t="s">
        <v>3366</v>
      </c>
      <c r="H2574">
        <v>1015.7</v>
      </c>
      <c r="I2574">
        <v>101.57</v>
      </c>
      <c r="J2574">
        <v>1126.8</v>
      </c>
      <c r="K2574">
        <v>112.68</v>
      </c>
      <c r="L2574">
        <v>-111.1</v>
      </c>
      <c r="M2574">
        <v>-11.11</v>
      </c>
      <c r="O2574" s="79">
        <f>IFERROR(VLOOKUP(D2574,'KAPANAN BLD.'!$C$2:$D$793,2,FALSE),0)</f>
        <v>0</v>
      </c>
      <c r="P2574" s="79">
        <v>0</v>
      </c>
    </row>
    <row r="2575" spans="1:16" x14ac:dyDescent="0.25">
      <c r="A2575" t="s">
        <v>32</v>
      </c>
      <c r="B2575" s="73" t="str">
        <f>VLOOKUP(C2575,'Büyükşehir List'!$C$2:$D$31,2,FALSE)</f>
        <v>ORDU BÜYÜKŞEHİR</v>
      </c>
      <c r="C2575" t="s">
        <v>130</v>
      </c>
      <c r="D2575" s="73" t="str">
        <f t="shared" si="60"/>
        <v>ORDU BÜYÜKŞEHİR/ORDU</v>
      </c>
      <c r="E2575" t="s">
        <v>3843</v>
      </c>
      <c r="F2575" t="s">
        <v>3843</v>
      </c>
      <c r="G2575" t="s">
        <v>3367</v>
      </c>
      <c r="H2575">
        <v>290.60000000000002</v>
      </c>
      <c r="I2575">
        <v>29.06</v>
      </c>
      <c r="J2575">
        <v>0</v>
      </c>
      <c r="K2575">
        <v>0</v>
      </c>
      <c r="L2575">
        <v>290.60000000000002</v>
      </c>
      <c r="M2575">
        <v>29.06</v>
      </c>
      <c r="O2575" s="79">
        <f>IFERROR(VLOOKUP(D2575,'KAPANAN BLD.'!$C$2:$D$793,2,FALSE),0)</f>
        <v>0</v>
      </c>
      <c r="P2575" s="79">
        <v>0</v>
      </c>
    </row>
    <row r="2576" spans="1:16" x14ac:dyDescent="0.25">
      <c r="A2576" t="s">
        <v>32</v>
      </c>
      <c r="B2576" s="73" t="str">
        <f>VLOOKUP(C2576,'Büyükşehir List'!$C$2:$D$31,2,FALSE)</f>
        <v>ORDU BÜYÜKŞEHİR</v>
      </c>
      <c r="C2576" t="s">
        <v>130</v>
      </c>
      <c r="D2576" s="73" t="str">
        <f t="shared" si="60"/>
        <v>ORDU BÜYÜKŞEHİR/ORDU</v>
      </c>
      <c r="E2576" t="s">
        <v>2050</v>
      </c>
      <c r="F2576" t="s">
        <v>2050</v>
      </c>
      <c r="G2576" t="s">
        <v>3366</v>
      </c>
      <c r="H2576">
        <v>3.1</v>
      </c>
      <c r="I2576">
        <v>0.31</v>
      </c>
      <c r="J2576">
        <v>0</v>
      </c>
      <c r="K2576">
        <v>0</v>
      </c>
      <c r="L2576">
        <v>3.1</v>
      </c>
      <c r="M2576">
        <v>0.31</v>
      </c>
      <c r="O2576" s="79">
        <f>IFERROR(VLOOKUP(D2576,'KAPANAN BLD.'!$C$2:$D$793,2,FALSE),0)</f>
        <v>0</v>
      </c>
      <c r="P2576" s="79">
        <v>0</v>
      </c>
    </row>
    <row r="2577" spans="1:16" x14ac:dyDescent="0.25">
      <c r="A2577" t="s">
        <v>32</v>
      </c>
      <c r="B2577" s="73" t="str">
        <f>VLOOKUP(C2577,'Büyükşehir List'!$C$2:$D$31,2,FALSE)</f>
        <v>ORDU BÜYÜKŞEHİR</v>
      </c>
      <c r="C2577" t="s">
        <v>130</v>
      </c>
      <c r="D2577" s="73" t="str">
        <f t="shared" si="60"/>
        <v>ORDU BÜYÜKŞEHİR/ORDU</v>
      </c>
      <c r="E2577" t="s">
        <v>2050</v>
      </c>
      <c r="F2577" t="s">
        <v>2050</v>
      </c>
      <c r="G2577" t="s">
        <v>3367</v>
      </c>
      <c r="H2577">
        <v>31.2</v>
      </c>
      <c r="I2577">
        <v>3.12</v>
      </c>
      <c r="J2577">
        <v>21.1</v>
      </c>
      <c r="K2577">
        <v>2.11</v>
      </c>
      <c r="L2577">
        <v>10.1</v>
      </c>
      <c r="M2577">
        <v>1.01</v>
      </c>
      <c r="O2577" s="79">
        <f>IFERROR(VLOOKUP(D2577,'KAPANAN BLD.'!$C$2:$D$793,2,FALSE),0)</f>
        <v>0</v>
      </c>
      <c r="P2577" s="79">
        <v>0</v>
      </c>
    </row>
    <row r="2578" spans="1:16" x14ac:dyDescent="0.25">
      <c r="A2578" t="s">
        <v>32</v>
      </c>
      <c r="B2578" s="73" t="str">
        <f>VLOOKUP(C2578,'Büyükşehir List'!$C$2:$D$31,2,FALSE)</f>
        <v>ORDU BÜYÜKŞEHİR</v>
      </c>
      <c r="C2578" t="s">
        <v>130</v>
      </c>
      <c r="D2578" s="73" t="str">
        <f t="shared" si="60"/>
        <v>ORDU BÜYÜKŞEHİR/ORDU</v>
      </c>
      <c r="E2578" t="s">
        <v>3880</v>
      </c>
      <c r="F2578" t="s">
        <v>3880</v>
      </c>
      <c r="G2578" t="s">
        <v>3367</v>
      </c>
      <c r="H2578">
        <v>5977.9</v>
      </c>
      <c r="I2578">
        <v>597.79</v>
      </c>
      <c r="J2578">
        <v>45</v>
      </c>
      <c r="K2578">
        <v>4.5</v>
      </c>
      <c r="L2578">
        <v>5932.9</v>
      </c>
      <c r="M2578">
        <v>593.29</v>
      </c>
      <c r="O2578" s="79">
        <f>IFERROR(VLOOKUP(D2578,'KAPANAN BLD.'!$C$2:$D$793,2,FALSE),0)</f>
        <v>0</v>
      </c>
      <c r="P2578" s="79">
        <v>0</v>
      </c>
    </row>
    <row r="2579" spans="1:16" x14ac:dyDescent="0.25">
      <c r="A2579" t="s">
        <v>32</v>
      </c>
      <c r="B2579" s="73" t="str">
        <f>VLOOKUP(C2579,'Büyükşehir List'!$C$2:$D$31,2,FALSE)</f>
        <v>ORDU BÜYÜKŞEHİR</v>
      </c>
      <c r="C2579" t="s">
        <v>130</v>
      </c>
      <c r="D2579" s="73" t="str">
        <f t="shared" si="60"/>
        <v>ORDU BÜYÜKŞEHİR/ORDU</v>
      </c>
      <c r="E2579" t="s">
        <v>3880</v>
      </c>
      <c r="F2579" t="s">
        <v>3880</v>
      </c>
      <c r="G2579" t="s">
        <v>3366</v>
      </c>
      <c r="H2579">
        <v>44.8</v>
      </c>
      <c r="I2579">
        <v>4.4800000000000004</v>
      </c>
      <c r="J2579">
        <v>402.8</v>
      </c>
      <c r="K2579">
        <v>40.28</v>
      </c>
      <c r="L2579">
        <v>-358</v>
      </c>
      <c r="M2579">
        <v>-35.799999999999997</v>
      </c>
      <c r="O2579" s="79">
        <f>IFERROR(VLOOKUP(D2579,'KAPANAN BLD.'!$C$2:$D$793,2,FALSE),0)</f>
        <v>0</v>
      </c>
      <c r="P2579" s="79">
        <v>0</v>
      </c>
    </row>
    <row r="2580" spans="1:16" x14ac:dyDescent="0.25">
      <c r="A2580" t="s">
        <v>32</v>
      </c>
      <c r="B2580" s="73" t="str">
        <f t="shared" ref="B2580:B2631" si="61">F2580</f>
        <v>DÜZİÇİ</v>
      </c>
      <c r="C2580" t="s">
        <v>35</v>
      </c>
      <c r="D2580" s="73" t="str">
        <f t="shared" si="60"/>
        <v>DÜZİÇİ/OSMANİYE</v>
      </c>
      <c r="E2580" s="9" t="s">
        <v>217</v>
      </c>
      <c r="F2580" s="9" t="s">
        <v>217</v>
      </c>
      <c r="G2580" t="s">
        <v>3367</v>
      </c>
      <c r="H2580">
        <v>147.6</v>
      </c>
      <c r="I2580">
        <v>14.76</v>
      </c>
      <c r="J2580">
        <v>0</v>
      </c>
      <c r="K2580">
        <v>0</v>
      </c>
      <c r="L2580">
        <v>147.6</v>
      </c>
      <c r="M2580">
        <v>14.76</v>
      </c>
      <c r="O2580" s="79">
        <f>IFERROR(VLOOKUP(D2580,'KAPANAN BLD.'!$C$2:$D$793,2,FALSE),0)</f>
        <v>0</v>
      </c>
      <c r="P2580" s="79">
        <v>0</v>
      </c>
    </row>
    <row r="2581" spans="1:16" x14ac:dyDescent="0.25">
      <c r="A2581" t="s">
        <v>32</v>
      </c>
      <c r="B2581" s="73" t="str">
        <f t="shared" si="61"/>
        <v>BAHÇE</v>
      </c>
      <c r="C2581" t="s">
        <v>35</v>
      </c>
      <c r="D2581" s="73" t="str">
        <f t="shared" si="60"/>
        <v>BAHÇE/OSMANİYE</v>
      </c>
      <c r="E2581" t="s">
        <v>2001</v>
      </c>
      <c r="F2581" t="s">
        <v>2001</v>
      </c>
      <c r="G2581" t="s">
        <v>3367</v>
      </c>
      <c r="H2581">
        <v>66.8</v>
      </c>
      <c r="I2581">
        <v>6.68</v>
      </c>
      <c r="J2581">
        <v>0</v>
      </c>
      <c r="K2581">
        <v>0</v>
      </c>
      <c r="L2581">
        <v>66.8</v>
      </c>
      <c r="M2581">
        <v>6.68</v>
      </c>
      <c r="O2581" s="79">
        <f>IFERROR(VLOOKUP(D2581,'KAPANAN BLD.'!$C$2:$D$793,2,FALSE),0)</f>
        <v>0</v>
      </c>
      <c r="P2581" s="79">
        <v>0</v>
      </c>
    </row>
    <row r="2582" spans="1:16" x14ac:dyDescent="0.25">
      <c r="A2582" t="s">
        <v>32</v>
      </c>
      <c r="B2582" s="73" t="str">
        <f t="shared" si="61"/>
        <v>DÜZİÇİ</v>
      </c>
      <c r="C2582" t="s">
        <v>35</v>
      </c>
      <c r="D2582" s="73" t="str">
        <f t="shared" si="60"/>
        <v>DÜZİÇİ/OSMANİYE</v>
      </c>
      <c r="E2582" s="9" t="s">
        <v>217</v>
      </c>
      <c r="F2582" s="9" t="s">
        <v>217</v>
      </c>
      <c r="G2582" t="s">
        <v>3367</v>
      </c>
      <c r="H2582">
        <v>467.7</v>
      </c>
      <c r="I2582">
        <v>46.77</v>
      </c>
      <c r="J2582">
        <v>0</v>
      </c>
      <c r="K2582">
        <v>0</v>
      </c>
      <c r="L2582">
        <v>467.7</v>
      </c>
      <c r="M2582">
        <v>46.77</v>
      </c>
      <c r="O2582" s="79">
        <f>IFERROR(VLOOKUP(D2582,'KAPANAN BLD.'!$C$2:$D$793,2,FALSE),0)</f>
        <v>0</v>
      </c>
      <c r="P2582" s="79">
        <v>0</v>
      </c>
    </row>
    <row r="2583" spans="1:16" x14ac:dyDescent="0.25">
      <c r="A2583" t="s">
        <v>32</v>
      </c>
      <c r="B2583" s="73" t="str">
        <f t="shared" si="61"/>
        <v>DÜZİÇİ</v>
      </c>
      <c r="C2583" t="s">
        <v>35</v>
      </c>
      <c r="D2583" s="73" t="str">
        <f t="shared" si="60"/>
        <v>DÜZİÇİ/OSMANİYE</v>
      </c>
      <c r="E2583" s="9" t="s">
        <v>217</v>
      </c>
      <c r="F2583" s="9" t="s">
        <v>217</v>
      </c>
      <c r="G2583" t="s">
        <v>3366</v>
      </c>
      <c r="H2583">
        <v>359</v>
      </c>
      <c r="I2583">
        <v>35.9</v>
      </c>
      <c r="J2583">
        <v>0</v>
      </c>
      <c r="K2583">
        <v>0</v>
      </c>
      <c r="L2583">
        <v>359</v>
      </c>
      <c r="M2583">
        <v>35.9</v>
      </c>
      <c r="O2583" s="79">
        <f>IFERROR(VLOOKUP(D2583,'KAPANAN BLD.'!$C$2:$D$793,2,FALSE),0)</f>
        <v>0</v>
      </c>
      <c r="P2583" s="79">
        <v>0</v>
      </c>
    </row>
    <row r="2584" spans="1:16" x14ac:dyDescent="0.25">
      <c r="A2584" t="s">
        <v>32</v>
      </c>
      <c r="B2584" s="73" t="str">
        <f t="shared" si="61"/>
        <v>MERKEZ</v>
      </c>
      <c r="C2584" t="s">
        <v>35</v>
      </c>
      <c r="D2584" s="73" t="str">
        <f t="shared" si="60"/>
        <v>MERKEZ/OSMANİYE</v>
      </c>
      <c r="E2584" s="9" t="s">
        <v>34</v>
      </c>
      <c r="F2584" s="9" t="s">
        <v>34</v>
      </c>
      <c r="G2584" t="s">
        <v>3366</v>
      </c>
      <c r="H2584">
        <v>7903.6</v>
      </c>
      <c r="I2584">
        <v>790.36</v>
      </c>
      <c r="J2584">
        <v>490.4</v>
      </c>
      <c r="K2584">
        <v>49.04</v>
      </c>
      <c r="L2584">
        <v>7413.2</v>
      </c>
      <c r="M2584">
        <v>741.32</v>
      </c>
      <c r="O2584" s="79">
        <f>IFERROR(VLOOKUP(D2584,'KAPANAN BLD.'!$C$2:$D$793,2,FALSE),0)</f>
        <v>0</v>
      </c>
      <c r="P2584" s="79">
        <v>0</v>
      </c>
    </row>
    <row r="2585" spans="1:16" x14ac:dyDescent="0.25">
      <c r="A2585" t="s">
        <v>32</v>
      </c>
      <c r="B2585" s="73" t="str">
        <f t="shared" si="61"/>
        <v>MERKEZ</v>
      </c>
      <c r="C2585" t="s">
        <v>35</v>
      </c>
      <c r="D2585" s="73" t="str">
        <f t="shared" si="60"/>
        <v>MERKEZ/OSMANİYE</v>
      </c>
      <c r="E2585" s="9" t="s">
        <v>34</v>
      </c>
      <c r="F2585" s="9" t="s">
        <v>34</v>
      </c>
      <c r="G2585" t="s">
        <v>3367</v>
      </c>
      <c r="H2585">
        <v>10303.700000000001</v>
      </c>
      <c r="I2585">
        <v>1030.3699999999999</v>
      </c>
      <c r="J2585">
        <v>252.4</v>
      </c>
      <c r="K2585">
        <v>25.24</v>
      </c>
      <c r="L2585">
        <v>10051.299999999999</v>
      </c>
      <c r="M2585">
        <v>1005.13</v>
      </c>
      <c r="O2585" s="79">
        <f>IFERROR(VLOOKUP(D2585,'KAPANAN BLD.'!$C$2:$D$793,2,FALSE),0)</f>
        <v>0</v>
      </c>
      <c r="P2585" s="79">
        <v>0</v>
      </c>
    </row>
    <row r="2586" spans="1:16" x14ac:dyDescent="0.25">
      <c r="A2586" t="s">
        <v>32</v>
      </c>
      <c r="B2586" s="73" t="str">
        <f t="shared" si="61"/>
        <v>DÜZİÇİ</v>
      </c>
      <c r="C2586" t="s">
        <v>35</v>
      </c>
      <c r="D2586" s="73" t="str">
        <f t="shared" si="60"/>
        <v>DÜZİÇİ/OSMANİYE</v>
      </c>
      <c r="E2586" t="s">
        <v>217</v>
      </c>
      <c r="F2586" t="s">
        <v>217</v>
      </c>
      <c r="G2586" t="s">
        <v>3367</v>
      </c>
      <c r="H2586">
        <v>985.4</v>
      </c>
      <c r="I2586">
        <v>98.54</v>
      </c>
      <c r="J2586">
        <v>0</v>
      </c>
      <c r="K2586">
        <v>0</v>
      </c>
      <c r="L2586">
        <v>985.4</v>
      </c>
      <c r="M2586">
        <v>98.54</v>
      </c>
      <c r="O2586" s="79">
        <f>IFERROR(VLOOKUP(D2586,'KAPANAN BLD.'!$C$2:$D$793,2,FALSE),0)</f>
        <v>0</v>
      </c>
      <c r="P2586" s="79">
        <v>0</v>
      </c>
    </row>
    <row r="2587" spans="1:16" x14ac:dyDescent="0.25">
      <c r="A2587" t="s">
        <v>32</v>
      </c>
      <c r="B2587" s="73" t="str">
        <f t="shared" si="61"/>
        <v>DÜZİÇİ</v>
      </c>
      <c r="C2587" t="s">
        <v>35</v>
      </c>
      <c r="D2587" s="73" t="str">
        <f t="shared" si="60"/>
        <v>DÜZİÇİ/OSMANİYE</v>
      </c>
      <c r="E2587" t="s">
        <v>217</v>
      </c>
      <c r="F2587" t="s">
        <v>217</v>
      </c>
      <c r="G2587" t="s">
        <v>3366</v>
      </c>
      <c r="H2587">
        <v>506.1</v>
      </c>
      <c r="I2587">
        <v>50.61</v>
      </c>
      <c r="J2587">
        <v>0</v>
      </c>
      <c r="K2587">
        <v>0</v>
      </c>
      <c r="L2587">
        <v>506.1</v>
      </c>
      <c r="M2587">
        <v>50.61</v>
      </c>
      <c r="O2587" s="79">
        <f>IFERROR(VLOOKUP(D2587,'KAPANAN BLD.'!$C$2:$D$793,2,FALSE),0)</f>
        <v>0</v>
      </c>
      <c r="P2587" s="79">
        <v>0</v>
      </c>
    </row>
    <row r="2588" spans="1:16" x14ac:dyDescent="0.25">
      <c r="A2588" t="s">
        <v>32</v>
      </c>
      <c r="B2588" s="73" t="str">
        <f t="shared" si="61"/>
        <v>DÜZİÇİ</v>
      </c>
      <c r="C2588" t="s">
        <v>35</v>
      </c>
      <c r="D2588" s="73" t="str">
        <f t="shared" si="60"/>
        <v>DÜZİÇİ/OSMANİYE</v>
      </c>
      <c r="E2588" s="9" t="s">
        <v>217</v>
      </c>
      <c r="F2588" s="9" t="s">
        <v>217</v>
      </c>
      <c r="G2588" t="s">
        <v>3367</v>
      </c>
      <c r="H2588">
        <v>160.9</v>
      </c>
      <c r="I2588">
        <v>16.09</v>
      </c>
      <c r="J2588">
        <v>0</v>
      </c>
      <c r="K2588">
        <v>0</v>
      </c>
      <c r="L2588">
        <v>160.9</v>
      </c>
      <c r="M2588">
        <v>16.09</v>
      </c>
      <c r="O2588" s="79">
        <f>IFERROR(VLOOKUP(D2588,'KAPANAN BLD.'!$C$2:$D$793,2,FALSE),0)</f>
        <v>0</v>
      </c>
      <c r="P2588" s="79">
        <v>0</v>
      </c>
    </row>
    <row r="2589" spans="1:16" x14ac:dyDescent="0.25">
      <c r="A2589" t="s">
        <v>32</v>
      </c>
      <c r="B2589" s="73" t="str">
        <f t="shared" si="61"/>
        <v>DÜZİÇİ</v>
      </c>
      <c r="C2589" t="s">
        <v>35</v>
      </c>
      <c r="D2589" s="73" t="str">
        <f t="shared" si="60"/>
        <v>DÜZİÇİ/OSMANİYE</v>
      </c>
      <c r="E2589" s="9" t="s">
        <v>217</v>
      </c>
      <c r="F2589" s="9" t="s">
        <v>217</v>
      </c>
      <c r="G2589" t="s">
        <v>3366</v>
      </c>
      <c r="H2589">
        <v>7.8</v>
      </c>
      <c r="I2589">
        <v>0.78</v>
      </c>
      <c r="J2589">
        <v>0</v>
      </c>
      <c r="K2589">
        <v>0</v>
      </c>
      <c r="L2589">
        <v>7.8</v>
      </c>
      <c r="M2589">
        <v>0.78</v>
      </c>
      <c r="O2589" s="79">
        <f>IFERROR(VLOOKUP(D2589,'KAPANAN BLD.'!$C$2:$D$793,2,FALSE),0)</f>
        <v>0</v>
      </c>
      <c r="P2589" s="79">
        <v>0</v>
      </c>
    </row>
    <row r="2590" spans="1:16" x14ac:dyDescent="0.25">
      <c r="A2590" t="s">
        <v>32</v>
      </c>
      <c r="B2590" s="73" t="str">
        <f t="shared" si="61"/>
        <v>KADİRLİ</v>
      </c>
      <c r="C2590" t="s">
        <v>35</v>
      </c>
      <c r="D2590" s="73" t="str">
        <f t="shared" si="60"/>
        <v>KADİRLİ/OSMANİYE</v>
      </c>
      <c r="E2590" t="s">
        <v>325</v>
      </c>
      <c r="F2590" t="s">
        <v>325</v>
      </c>
      <c r="G2590" t="s">
        <v>3366</v>
      </c>
      <c r="H2590">
        <v>4626.8</v>
      </c>
      <c r="I2590">
        <v>462.68</v>
      </c>
      <c r="J2590">
        <v>0</v>
      </c>
      <c r="K2590">
        <v>0</v>
      </c>
      <c r="L2590">
        <v>4626.8</v>
      </c>
      <c r="M2590">
        <v>462.68</v>
      </c>
      <c r="O2590" s="79">
        <f>IFERROR(VLOOKUP(D2590,'KAPANAN BLD.'!$C$2:$D$793,2,FALSE),0)</f>
        <v>0</v>
      </c>
      <c r="P2590" s="79">
        <v>0</v>
      </c>
    </row>
    <row r="2591" spans="1:16" x14ac:dyDescent="0.25">
      <c r="A2591" t="s">
        <v>32</v>
      </c>
      <c r="B2591" s="73" t="str">
        <f t="shared" si="61"/>
        <v>KADİRLİ</v>
      </c>
      <c r="C2591" t="s">
        <v>35</v>
      </c>
      <c r="D2591" s="73" t="str">
        <f t="shared" si="60"/>
        <v>KADİRLİ/OSMANİYE</v>
      </c>
      <c r="E2591" t="s">
        <v>325</v>
      </c>
      <c r="F2591" t="s">
        <v>325</v>
      </c>
      <c r="G2591" t="s">
        <v>3367</v>
      </c>
      <c r="H2591">
        <v>1964.6</v>
      </c>
      <c r="I2591">
        <v>196.46</v>
      </c>
      <c r="J2591">
        <v>0</v>
      </c>
      <c r="K2591">
        <v>0</v>
      </c>
      <c r="L2591">
        <v>1964.6</v>
      </c>
      <c r="M2591">
        <v>196.46</v>
      </c>
      <c r="O2591" s="79">
        <f>IFERROR(VLOOKUP(D2591,'KAPANAN BLD.'!$C$2:$D$793,2,FALSE),0)</f>
        <v>0</v>
      </c>
      <c r="P2591" s="79">
        <v>0</v>
      </c>
    </row>
    <row r="2592" spans="1:16" x14ac:dyDescent="0.25">
      <c r="A2592" t="s">
        <v>32</v>
      </c>
      <c r="B2592" s="73" t="str">
        <f t="shared" si="61"/>
        <v>MERKEZ</v>
      </c>
      <c r="C2592" t="s">
        <v>35</v>
      </c>
      <c r="D2592" s="73" t="str">
        <f t="shared" si="60"/>
        <v>MERKEZ/OSMANİYE</v>
      </c>
      <c r="E2592" s="9" t="s">
        <v>34</v>
      </c>
      <c r="F2592" s="9" t="s">
        <v>34</v>
      </c>
      <c r="G2592" t="s">
        <v>3366</v>
      </c>
      <c r="H2592">
        <v>2265.6999999999998</v>
      </c>
      <c r="I2592">
        <v>226.57</v>
      </c>
      <c r="J2592">
        <v>37.4</v>
      </c>
      <c r="K2592">
        <v>3.74</v>
      </c>
      <c r="L2592">
        <v>2228.3000000000002</v>
      </c>
      <c r="M2592">
        <v>222.83</v>
      </c>
      <c r="O2592" s="79">
        <f>IFERROR(VLOOKUP(D2592,'KAPANAN BLD.'!$C$2:$D$793,2,FALSE),0)</f>
        <v>0</v>
      </c>
      <c r="P2592" s="79">
        <v>0</v>
      </c>
    </row>
    <row r="2593" spans="1:16" x14ac:dyDescent="0.25">
      <c r="A2593" t="s">
        <v>32</v>
      </c>
      <c r="B2593" s="73" t="str">
        <f t="shared" si="61"/>
        <v>MERKEZ</v>
      </c>
      <c r="C2593" t="s">
        <v>35</v>
      </c>
      <c r="D2593" s="73" t="str">
        <f t="shared" si="60"/>
        <v>MERKEZ/OSMANİYE</v>
      </c>
      <c r="E2593" s="9" t="s">
        <v>34</v>
      </c>
      <c r="F2593" s="9" t="s">
        <v>34</v>
      </c>
      <c r="G2593" t="s">
        <v>3367</v>
      </c>
      <c r="H2593">
        <v>888.6</v>
      </c>
      <c r="I2593">
        <v>88.86</v>
      </c>
      <c r="J2593">
        <v>156.19999999999999</v>
      </c>
      <c r="K2593">
        <v>15.62</v>
      </c>
      <c r="L2593">
        <v>732.4</v>
      </c>
      <c r="M2593">
        <v>73.239999999999995</v>
      </c>
      <c r="O2593" s="79">
        <f>IFERROR(VLOOKUP(D2593,'KAPANAN BLD.'!$C$2:$D$793,2,FALSE),0)</f>
        <v>0</v>
      </c>
      <c r="P2593" s="79">
        <v>0</v>
      </c>
    </row>
    <row r="2594" spans="1:16" x14ac:dyDescent="0.25">
      <c r="A2594" t="s">
        <v>32</v>
      </c>
      <c r="B2594" s="73" t="str">
        <f t="shared" si="61"/>
        <v>MERKEZ</v>
      </c>
      <c r="C2594" t="s">
        <v>35</v>
      </c>
      <c r="D2594" s="73" t="str">
        <f t="shared" si="60"/>
        <v>MERKEZ/OSMANİYE</v>
      </c>
      <c r="E2594" t="s">
        <v>34</v>
      </c>
      <c r="F2594" t="s">
        <v>34</v>
      </c>
      <c r="G2594" t="s">
        <v>3367</v>
      </c>
      <c r="H2594">
        <v>4312.2</v>
      </c>
      <c r="I2594">
        <v>431.22</v>
      </c>
      <c r="J2594">
        <v>311.60000000000002</v>
      </c>
      <c r="K2594">
        <v>31.16</v>
      </c>
      <c r="L2594">
        <v>4000.6</v>
      </c>
      <c r="M2594">
        <v>400.06</v>
      </c>
      <c r="O2594" s="79">
        <f>IFERROR(VLOOKUP(D2594,'KAPANAN BLD.'!$C$2:$D$793,2,FALSE),0)</f>
        <v>0</v>
      </c>
      <c r="P2594" s="79">
        <v>0</v>
      </c>
    </row>
    <row r="2595" spans="1:16" x14ac:dyDescent="0.25">
      <c r="A2595" t="s">
        <v>32</v>
      </c>
      <c r="B2595" s="73" t="str">
        <f t="shared" si="61"/>
        <v>MERKEZ</v>
      </c>
      <c r="C2595" t="s">
        <v>35</v>
      </c>
      <c r="D2595" s="73" t="str">
        <f t="shared" si="60"/>
        <v>MERKEZ/OSMANİYE</v>
      </c>
      <c r="E2595" t="s">
        <v>34</v>
      </c>
      <c r="F2595" t="s">
        <v>34</v>
      </c>
      <c r="G2595" t="s">
        <v>3366</v>
      </c>
      <c r="H2595">
        <v>3784.7</v>
      </c>
      <c r="I2595">
        <v>378.47</v>
      </c>
      <c r="J2595">
        <v>550.79999999999995</v>
      </c>
      <c r="K2595">
        <v>55.08</v>
      </c>
      <c r="L2595">
        <v>3233.9</v>
      </c>
      <c r="M2595">
        <v>323.39</v>
      </c>
      <c r="O2595" s="79">
        <f>IFERROR(VLOOKUP(D2595,'KAPANAN BLD.'!$C$2:$D$793,2,FALSE),0)</f>
        <v>0</v>
      </c>
      <c r="P2595" s="79">
        <v>0</v>
      </c>
    </row>
    <row r="2596" spans="1:16" x14ac:dyDescent="0.25">
      <c r="A2596" t="s">
        <v>32</v>
      </c>
      <c r="B2596" s="73" t="str">
        <f t="shared" si="61"/>
        <v>SUMBAŞ</v>
      </c>
      <c r="C2596" t="s">
        <v>35</v>
      </c>
      <c r="D2596" s="73" t="str">
        <f t="shared" si="60"/>
        <v>SUMBAŞ/OSMANİYE</v>
      </c>
      <c r="E2596" t="s">
        <v>4232</v>
      </c>
      <c r="F2596" t="s">
        <v>4232</v>
      </c>
      <c r="G2596" t="s">
        <v>3367</v>
      </c>
      <c r="H2596">
        <v>10.8</v>
      </c>
      <c r="I2596">
        <v>1.08</v>
      </c>
      <c r="J2596">
        <v>0</v>
      </c>
      <c r="K2596">
        <v>0</v>
      </c>
      <c r="L2596">
        <v>10.8</v>
      </c>
      <c r="M2596">
        <v>1.08</v>
      </c>
      <c r="O2596" s="79">
        <f>IFERROR(VLOOKUP(D2596,'KAPANAN BLD.'!$C$2:$D$793,2,FALSE),0)</f>
        <v>0</v>
      </c>
      <c r="P2596" s="79">
        <v>0</v>
      </c>
    </row>
    <row r="2597" spans="1:16" x14ac:dyDescent="0.25">
      <c r="A2597" t="s">
        <v>32</v>
      </c>
      <c r="B2597" s="73" t="str">
        <f t="shared" si="61"/>
        <v>SUMBAŞ</v>
      </c>
      <c r="C2597" t="s">
        <v>35</v>
      </c>
      <c r="D2597" s="73" t="str">
        <f t="shared" si="60"/>
        <v>SUMBAŞ/OSMANİYE</v>
      </c>
      <c r="E2597" t="s">
        <v>4232</v>
      </c>
      <c r="F2597" t="s">
        <v>4232</v>
      </c>
      <c r="G2597" t="s">
        <v>3366</v>
      </c>
      <c r="H2597">
        <v>206.6</v>
      </c>
      <c r="I2597">
        <v>20.66</v>
      </c>
      <c r="J2597">
        <v>0</v>
      </c>
      <c r="K2597">
        <v>0</v>
      </c>
      <c r="L2597">
        <v>206.6</v>
      </c>
      <c r="M2597">
        <v>20.66</v>
      </c>
      <c r="O2597" s="79">
        <f>IFERROR(VLOOKUP(D2597,'KAPANAN BLD.'!$C$2:$D$793,2,FALSE),0)</f>
        <v>0</v>
      </c>
      <c r="P2597" s="79">
        <v>0</v>
      </c>
    </row>
    <row r="2598" spans="1:16" x14ac:dyDescent="0.25">
      <c r="A2598" t="s">
        <v>32</v>
      </c>
      <c r="B2598" s="73" t="str">
        <f t="shared" si="61"/>
        <v>TOPRAKKALE</v>
      </c>
      <c r="C2598" t="s">
        <v>35</v>
      </c>
      <c r="D2598" s="73" t="str">
        <f t="shared" si="60"/>
        <v>TOPRAKKALE/OSMANİYE</v>
      </c>
      <c r="E2598" t="s">
        <v>2059</v>
      </c>
      <c r="F2598" t="s">
        <v>2059</v>
      </c>
      <c r="G2598" t="s">
        <v>3367</v>
      </c>
      <c r="H2598">
        <v>2754</v>
      </c>
      <c r="I2598">
        <v>275.39999999999998</v>
      </c>
      <c r="J2598">
        <v>0</v>
      </c>
      <c r="K2598">
        <v>0</v>
      </c>
      <c r="L2598">
        <v>2754</v>
      </c>
      <c r="M2598">
        <v>275.39999999999998</v>
      </c>
      <c r="O2598" s="79">
        <f>IFERROR(VLOOKUP(D2598,'KAPANAN BLD.'!$C$2:$D$793,2,FALSE),0)</f>
        <v>0</v>
      </c>
      <c r="P2598" s="79">
        <v>0</v>
      </c>
    </row>
    <row r="2599" spans="1:16" x14ac:dyDescent="0.25">
      <c r="A2599" t="s">
        <v>32</v>
      </c>
      <c r="B2599" s="73" t="str">
        <f t="shared" si="61"/>
        <v>TOPRAKKALE</v>
      </c>
      <c r="C2599" t="s">
        <v>35</v>
      </c>
      <c r="D2599" s="73" t="str">
        <f t="shared" si="60"/>
        <v>TOPRAKKALE/OSMANİYE</v>
      </c>
      <c r="E2599" t="s">
        <v>2059</v>
      </c>
      <c r="F2599" t="s">
        <v>2059</v>
      </c>
      <c r="G2599" t="s">
        <v>3366</v>
      </c>
      <c r="H2599">
        <v>2737.5</v>
      </c>
      <c r="I2599">
        <v>273.75</v>
      </c>
      <c r="J2599">
        <v>0</v>
      </c>
      <c r="K2599">
        <v>0</v>
      </c>
      <c r="L2599">
        <v>2737.5</v>
      </c>
      <c r="M2599">
        <v>273.75</v>
      </c>
      <c r="O2599" s="79">
        <f>IFERROR(VLOOKUP(D2599,'KAPANAN BLD.'!$C$2:$D$793,2,FALSE),0)</f>
        <v>0</v>
      </c>
      <c r="P2599" s="79">
        <v>0</v>
      </c>
    </row>
    <row r="2600" spans="1:16" x14ac:dyDescent="0.25">
      <c r="A2600" t="s">
        <v>32</v>
      </c>
      <c r="B2600" s="73" t="str">
        <f t="shared" si="61"/>
        <v>DÜZİÇİ</v>
      </c>
      <c r="C2600" t="s">
        <v>35</v>
      </c>
      <c r="D2600" s="73" t="str">
        <f t="shared" si="60"/>
        <v>DÜZİÇİ/OSMANİYE</v>
      </c>
      <c r="E2600" s="9" t="s">
        <v>217</v>
      </c>
      <c r="F2600" s="9" t="s">
        <v>217</v>
      </c>
      <c r="G2600" t="s">
        <v>3367</v>
      </c>
      <c r="H2600">
        <v>318.3</v>
      </c>
      <c r="I2600">
        <v>31.83</v>
      </c>
      <c r="J2600">
        <v>0</v>
      </c>
      <c r="K2600">
        <v>0</v>
      </c>
      <c r="L2600">
        <v>318.3</v>
      </c>
      <c r="M2600">
        <v>31.83</v>
      </c>
      <c r="O2600" s="79">
        <f>IFERROR(VLOOKUP(D2600,'KAPANAN BLD.'!$C$2:$D$793,2,FALSE),0)</f>
        <v>0</v>
      </c>
      <c r="P2600" s="79">
        <v>0</v>
      </c>
    </row>
    <row r="2601" spans="1:16" x14ac:dyDescent="0.25">
      <c r="A2601" t="s">
        <v>32</v>
      </c>
      <c r="B2601" s="73" t="str">
        <f t="shared" si="61"/>
        <v>DÜZİÇİ</v>
      </c>
      <c r="C2601" t="s">
        <v>35</v>
      </c>
      <c r="D2601" s="73" t="str">
        <f t="shared" si="60"/>
        <v>DÜZİÇİ/OSMANİYE</v>
      </c>
      <c r="E2601" s="9" t="s">
        <v>217</v>
      </c>
      <c r="F2601" s="9" t="s">
        <v>217</v>
      </c>
      <c r="G2601" t="s">
        <v>3366</v>
      </c>
      <c r="H2601">
        <v>122.4</v>
      </c>
      <c r="I2601">
        <v>12.24</v>
      </c>
      <c r="J2601">
        <v>0</v>
      </c>
      <c r="K2601">
        <v>0</v>
      </c>
      <c r="L2601">
        <v>122.4</v>
      </c>
      <c r="M2601">
        <v>12.24</v>
      </c>
      <c r="O2601" s="79">
        <f>IFERROR(VLOOKUP(D2601,'KAPANAN BLD.'!$C$2:$D$793,2,FALSE),0)</f>
        <v>0</v>
      </c>
      <c r="P2601" s="79">
        <v>0</v>
      </c>
    </row>
    <row r="2602" spans="1:16" x14ac:dyDescent="0.25">
      <c r="A2602" t="s">
        <v>32</v>
      </c>
      <c r="B2602" s="73" t="str">
        <f t="shared" si="61"/>
        <v>ARDEŞEN</v>
      </c>
      <c r="C2602" t="s">
        <v>131</v>
      </c>
      <c r="D2602" s="73" t="str">
        <f t="shared" si="60"/>
        <v>ARDEŞEN/RİZE</v>
      </c>
      <c r="E2602" t="s">
        <v>87</v>
      </c>
      <c r="F2602" t="s">
        <v>87</v>
      </c>
      <c r="G2602" t="s">
        <v>3367</v>
      </c>
      <c r="H2602">
        <v>3181.2</v>
      </c>
      <c r="I2602">
        <v>318.12</v>
      </c>
      <c r="J2602">
        <v>0</v>
      </c>
      <c r="K2602">
        <v>0</v>
      </c>
      <c r="L2602">
        <v>3181.2</v>
      </c>
      <c r="M2602">
        <v>318.12</v>
      </c>
      <c r="O2602" s="79">
        <f>IFERROR(VLOOKUP(D2602,'KAPANAN BLD.'!$C$2:$D$793,2,FALSE),0)</f>
        <v>0</v>
      </c>
      <c r="P2602" s="79">
        <v>0</v>
      </c>
    </row>
    <row r="2603" spans="1:16" x14ac:dyDescent="0.25">
      <c r="A2603" t="s">
        <v>32</v>
      </c>
      <c r="B2603" s="73" t="str">
        <f t="shared" si="61"/>
        <v>ARDEŞEN</v>
      </c>
      <c r="C2603" t="s">
        <v>131</v>
      </c>
      <c r="D2603" s="73" t="str">
        <f t="shared" si="60"/>
        <v>ARDEŞEN/RİZE</v>
      </c>
      <c r="E2603" t="s">
        <v>87</v>
      </c>
      <c r="F2603" t="s">
        <v>87</v>
      </c>
      <c r="G2603" t="s">
        <v>3366</v>
      </c>
      <c r="H2603">
        <v>5258.3</v>
      </c>
      <c r="I2603">
        <v>525.83000000000004</v>
      </c>
      <c r="J2603">
        <v>0</v>
      </c>
      <c r="K2603">
        <v>0</v>
      </c>
      <c r="L2603">
        <v>5258.3</v>
      </c>
      <c r="M2603">
        <v>525.83000000000004</v>
      </c>
      <c r="O2603" s="79">
        <f>IFERROR(VLOOKUP(D2603,'KAPANAN BLD.'!$C$2:$D$793,2,FALSE),0)</f>
        <v>0</v>
      </c>
      <c r="P2603" s="79">
        <v>0</v>
      </c>
    </row>
    <row r="2604" spans="1:16" x14ac:dyDescent="0.25">
      <c r="A2604" t="s">
        <v>32</v>
      </c>
      <c r="B2604" s="73" t="str">
        <f t="shared" si="61"/>
        <v>ÇAMLIHEMŞİN</v>
      </c>
      <c r="C2604" t="s">
        <v>131</v>
      </c>
      <c r="D2604" s="73" t="str">
        <f t="shared" si="60"/>
        <v>ÇAMLIHEMŞİN/RİZE</v>
      </c>
      <c r="E2604" t="s">
        <v>677</v>
      </c>
      <c r="F2604" t="s">
        <v>677</v>
      </c>
      <c r="G2604" t="s">
        <v>3366</v>
      </c>
      <c r="H2604">
        <v>0</v>
      </c>
      <c r="I2604">
        <v>0</v>
      </c>
      <c r="J2604">
        <v>82.8</v>
      </c>
      <c r="K2604">
        <v>8.2799999999999994</v>
      </c>
      <c r="L2604">
        <v>-82.8</v>
      </c>
      <c r="M2604">
        <v>-8.2799999999999994</v>
      </c>
      <c r="O2604" s="79">
        <f>IFERROR(VLOOKUP(D2604,'KAPANAN BLD.'!$C$2:$D$793,2,FALSE),0)</f>
        <v>0</v>
      </c>
      <c r="P2604" s="79">
        <v>0</v>
      </c>
    </row>
    <row r="2605" spans="1:16" x14ac:dyDescent="0.25">
      <c r="A2605" t="s">
        <v>32</v>
      </c>
      <c r="B2605" s="73" t="str">
        <f t="shared" si="61"/>
        <v>ÇAMLIHEMŞİN</v>
      </c>
      <c r="C2605" t="s">
        <v>131</v>
      </c>
      <c r="D2605" s="73" t="str">
        <f t="shared" si="60"/>
        <v>ÇAMLIHEMŞİN/RİZE</v>
      </c>
      <c r="E2605" t="s">
        <v>677</v>
      </c>
      <c r="F2605" t="s">
        <v>677</v>
      </c>
      <c r="G2605" t="s">
        <v>3367</v>
      </c>
      <c r="H2605">
        <v>0</v>
      </c>
      <c r="I2605">
        <v>0</v>
      </c>
      <c r="J2605">
        <v>112.7</v>
      </c>
      <c r="K2605">
        <v>11.27</v>
      </c>
      <c r="L2605">
        <v>-112.7</v>
      </c>
      <c r="M2605">
        <v>-11.27</v>
      </c>
      <c r="O2605" s="79">
        <f>IFERROR(VLOOKUP(D2605,'KAPANAN BLD.'!$C$2:$D$793,2,FALSE),0)</f>
        <v>0</v>
      </c>
      <c r="P2605" s="79">
        <v>0</v>
      </c>
    </row>
    <row r="2606" spans="1:16" x14ac:dyDescent="0.25">
      <c r="A2606" t="s">
        <v>32</v>
      </c>
      <c r="B2606" s="73" t="str">
        <f t="shared" si="61"/>
        <v>MERKEZ</v>
      </c>
      <c r="C2606" t="s">
        <v>131</v>
      </c>
      <c r="D2606" s="73" t="str">
        <f t="shared" si="60"/>
        <v>MERKEZ/RİZE</v>
      </c>
      <c r="E2606" s="9" t="s">
        <v>34</v>
      </c>
      <c r="F2606" s="9" t="s">
        <v>34</v>
      </c>
      <c r="G2606" t="s">
        <v>3367</v>
      </c>
      <c r="H2606">
        <v>2219.4</v>
      </c>
      <c r="I2606">
        <v>221.94</v>
      </c>
      <c r="J2606">
        <v>80.5</v>
      </c>
      <c r="K2606">
        <v>8.0500000000000007</v>
      </c>
      <c r="L2606">
        <v>2138.9</v>
      </c>
      <c r="M2606">
        <v>213.89</v>
      </c>
      <c r="O2606" s="79">
        <f>IFERROR(VLOOKUP(D2606,'KAPANAN BLD.'!$C$2:$D$793,2,FALSE),0)</f>
        <v>0</v>
      </c>
      <c r="P2606" s="79">
        <v>0</v>
      </c>
    </row>
    <row r="2607" spans="1:16" x14ac:dyDescent="0.25">
      <c r="A2607" t="s">
        <v>32</v>
      </c>
      <c r="B2607" s="73" t="str">
        <f t="shared" si="61"/>
        <v>MERKEZ</v>
      </c>
      <c r="C2607" t="s">
        <v>131</v>
      </c>
      <c r="D2607" s="73" t="str">
        <f t="shared" si="60"/>
        <v>MERKEZ/RİZE</v>
      </c>
      <c r="E2607" s="9" t="s">
        <v>34</v>
      </c>
      <c r="F2607" s="9" t="s">
        <v>34</v>
      </c>
      <c r="G2607" t="s">
        <v>3366</v>
      </c>
      <c r="H2607">
        <v>5596.6</v>
      </c>
      <c r="I2607">
        <v>559.66</v>
      </c>
      <c r="J2607">
        <v>1423.6</v>
      </c>
      <c r="K2607">
        <v>142.36000000000001</v>
      </c>
      <c r="L2607">
        <v>4173</v>
      </c>
      <c r="M2607">
        <v>417.3</v>
      </c>
      <c r="O2607" s="79">
        <f>IFERROR(VLOOKUP(D2607,'KAPANAN BLD.'!$C$2:$D$793,2,FALSE),0)</f>
        <v>0</v>
      </c>
      <c r="P2607" s="79">
        <v>0</v>
      </c>
    </row>
    <row r="2608" spans="1:16" x14ac:dyDescent="0.25">
      <c r="A2608" t="s">
        <v>32</v>
      </c>
      <c r="B2608" s="73" t="str">
        <f t="shared" si="61"/>
        <v>DEREPAZARI</v>
      </c>
      <c r="C2608" t="s">
        <v>131</v>
      </c>
      <c r="D2608" s="73" t="str">
        <f t="shared" si="60"/>
        <v>DEREPAZARI/RİZE</v>
      </c>
      <c r="E2608" t="s">
        <v>2130</v>
      </c>
      <c r="F2608" t="s">
        <v>2130</v>
      </c>
      <c r="G2608" t="s">
        <v>3367</v>
      </c>
      <c r="H2608">
        <v>154.1</v>
      </c>
      <c r="I2608">
        <v>15.41</v>
      </c>
      <c r="J2608">
        <v>0</v>
      </c>
      <c r="K2608">
        <v>0</v>
      </c>
      <c r="L2608">
        <v>154.1</v>
      </c>
      <c r="M2608">
        <v>15.41</v>
      </c>
      <c r="O2608" s="79">
        <f>IFERROR(VLOOKUP(D2608,'KAPANAN BLD.'!$C$2:$D$793,2,FALSE),0)</f>
        <v>0</v>
      </c>
      <c r="P2608" s="79">
        <v>0</v>
      </c>
    </row>
    <row r="2609" spans="1:16" x14ac:dyDescent="0.25">
      <c r="A2609" t="s">
        <v>32</v>
      </c>
      <c r="B2609" s="73" t="str">
        <f t="shared" si="61"/>
        <v>DEREPAZARI</v>
      </c>
      <c r="C2609" t="s">
        <v>131</v>
      </c>
      <c r="D2609" s="73" t="str">
        <f t="shared" si="60"/>
        <v>DEREPAZARI/RİZE</v>
      </c>
      <c r="E2609" t="s">
        <v>2130</v>
      </c>
      <c r="F2609" t="s">
        <v>2130</v>
      </c>
      <c r="G2609" t="s">
        <v>3366</v>
      </c>
      <c r="H2609">
        <v>1086.7</v>
      </c>
      <c r="I2609">
        <v>108.67</v>
      </c>
      <c r="J2609">
        <v>0</v>
      </c>
      <c r="K2609">
        <v>0</v>
      </c>
      <c r="L2609">
        <v>1086.7</v>
      </c>
      <c r="M2609">
        <v>108.67</v>
      </c>
      <c r="O2609" s="79">
        <f>IFERROR(VLOOKUP(D2609,'KAPANAN BLD.'!$C$2:$D$793,2,FALSE),0)</f>
        <v>0</v>
      </c>
      <c r="P2609" s="79">
        <v>0</v>
      </c>
    </row>
    <row r="2610" spans="1:16" x14ac:dyDescent="0.25">
      <c r="A2610" t="s">
        <v>32</v>
      </c>
      <c r="B2610" s="73" t="str">
        <f t="shared" si="61"/>
        <v>FINDIKLI</v>
      </c>
      <c r="C2610" t="s">
        <v>131</v>
      </c>
      <c r="D2610" s="73" t="str">
        <f t="shared" si="60"/>
        <v>FINDIKLI/RİZE</v>
      </c>
      <c r="E2610" t="s">
        <v>380</v>
      </c>
      <c r="F2610" t="s">
        <v>380</v>
      </c>
      <c r="G2610" t="s">
        <v>3367</v>
      </c>
      <c r="H2610">
        <v>408.3</v>
      </c>
      <c r="I2610">
        <v>40.83</v>
      </c>
      <c r="J2610">
        <v>0</v>
      </c>
      <c r="K2610">
        <v>0</v>
      </c>
      <c r="L2610">
        <v>408.3</v>
      </c>
      <c r="M2610">
        <v>40.83</v>
      </c>
      <c r="O2610" s="79">
        <f>IFERROR(VLOOKUP(D2610,'KAPANAN BLD.'!$C$2:$D$793,2,FALSE),0)</f>
        <v>0</v>
      </c>
      <c r="P2610" s="79">
        <v>0</v>
      </c>
    </row>
    <row r="2611" spans="1:16" x14ac:dyDescent="0.25">
      <c r="A2611" t="s">
        <v>32</v>
      </c>
      <c r="B2611" s="73" t="str">
        <f t="shared" si="61"/>
        <v>FINDIKLI</v>
      </c>
      <c r="C2611" t="s">
        <v>131</v>
      </c>
      <c r="D2611" s="73" t="str">
        <f t="shared" si="60"/>
        <v>FINDIKLI/RİZE</v>
      </c>
      <c r="E2611" t="s">
        <v>380</v>
      </c>
      <c r="F2611" t="s">
        <v>380</v>
      </c>
      <c r="G2611" t="s">
        <v>3366</v>
      </c>
      <c r="H2611">
        <v>171.1</v>
      </c>
      <c r="I2611">
        <v>17.11</v>
      </c>
      <c r="J2611">
        <v>0</v>
      </c>
      <c r="K2611">
        <v>0</v>
      </c>
      <c r="L2611">
        <v>171.1</v>
      </c>
      <c r="M2611">
        <v>17.11</v>
      </c>
      <c r="O2611" s="79">
        <f>IFERROR(VLOOKUP(D2611,'KAPANAN BLD.'!$C$2:$D$793,2,FALSE),0)</f>
        <v>0</v>
      </c>
      <c r="P2611" s="79">
        <v>0</v>
      </c>
    </row>
    <row r="2612" spans="1:16" x14ac:dyDescent="0.25">
      <c r="A2612" t="s">
        <v>32</v>
      </c>
      <c r="B2612" s="73" t="str">
        <f t="shared" si="61"/>
        <v>GÜNEYSU</v>
      </c>
      <c r="C2612" t="s">
        <v>131</v>
      </c>
      <c r="D2612" s="73" t="str">
        <f t="shared" si="60"/>
        <v>GÜNEYSU/RİZE</v>
      </c>
      <c r="E2612" t="s">
        <v>679</v>
      </c>
      <c r="F2612" t="s">
        <v>679</v>
      </c>
      <c r="G2612" t="s">
        <v>3366</v>
      </c>
      <c r="H2612">
        <v>859.3</v>
      </c>
      <c r="I2612">
        <v>85.93</v>
      </c>
      <c r="J2612">
        <v>0</v>
      </c>
      <c r="K2612">
        <v>0</v>
      </c>
      <c r="L2612">
        <v>859.3</v>
      </c>
      <c r="M2612">
        <v>85.93</v>
      </c>
      <c r="O2612" s="79">
        <f>IFERROR(VLOOKUP(D2612,'KAPANAN BLD.'!$C$2:$D$793,2,FALSE),0)</f>
        <v>0</v>
      </c>
      <c r="P2612" s="79">
        <v>0</v>
      </c>
    </row>
    <row r="2613" spans="1:16" x14ac:dyDescent="0.25">
      <c r="A2613" t="s">
        <v>32</v>
      </c>
      <c r="B2613" s="73" t="str">
        <f t="shared" si="61"/>
        <v>GÜNEYSU</v>
      </c>
      <c r="C2613" t="s">
        <v>131</v>
      </c>
      <c r="D2613" s="73" t="str">
        <f t="shared" si="60"/>
        <v>GÜNEYSU/RİZE</v>
      </c>
      <c r="E2613" t="s">
        <v>679</v>
      </c>
      <c r="F2613" t="s">
        <v>679</v>
      </c>
      <c r="G2613" t="s">
        <v>3367</v>
      </c>
      <c r="H2613">
        <v>0.5</v>
      </c>
      <c r="I2613">
        <v>0.05</v>
      </c>
      <c r="J2613">
        <v>0</v>
      </c>
      <c r="K2613">
        <v>0</v>
      </c>
      <c r="L2613">
        <v>0.5</v>
      </c>
      <c r="M2613">
        <v>0.05</v>
      </c>
      <c r="O2613" s="79">
        <f>IFERROR(VLOOKUP(D2613,'KAPANAN BLD.'!$C$2:$D$793,2,FALSE),0)</f>
        <v>0</v>
      </c>
      <c r="P2613" s="79">
        <v>0</v>
      </c>
    </row>
    <row r="2614" spans="1:16" x14ac:dyDescent="0.25">
      <c r="A2614" t="s">
        <v>32</v>
      </c>
      <c r="B2614" s="73" t="str">
        <f t="shared" si="61"/>
        <v>İYİDERE</v>
      </c>
      <c r="C2614" t="s">
        <v>131</v>
      </c>
      <c r="D2614" s="73" t="str">
        <f t="shared" si="60"/>
        <v>İYİDERE/RİZE</v>
      </c>
      <c r="E2614" t="s">
        <v>680</v>
      </c>
      <c r="F2614" t="s">
        <v>680</v>
      </c>
      <c r="G2614" t="s">
        <v>3367</v>
      </c>
      <c r="H2614">
        <v>663.6</v>
      </c>
      <c r="I2614">
        <v>66.36</v>
      </c>
      <c r="J2614">
        <v>5.4</v>
      </c>
      <c r="K2614">
        <v>0.54</v>
      </c>
      <c r="L2614">
        <v>658.2</v>
      </c>
      <c r="M2614">
        <v>65.819999999999993</v>
      </c>
      <c r="O2614" s="79">
        <f>IFERROR(VLOOKUP(D2614,'KAPANAN BLD.'!$C$2:$D$793,2,FALSE),0)</f>
        <v>0</v>
      </c>
      <c r="P2614" s="79">
        <v>0</v>
      </c>
    </row>
    <row r="2615" spans="1:16" x14ac:dyDescent="0.25">
      <c r="A2615" t="s">
        <v>32</v>
      </c>
      <c r="B2615" s="73" t="str">
        <f t="shared" si="61"/>
        <v>İYİDERE</v>
      </c>
      <c r="C2615" t="s">
        <v>131</v>
      </c>
      <c r="D2615" s="73" t="str">
        <f t="shared" si="60"/>
        <v>İYİDERE/RİZE</v>
      </c>
      <c r="E2615" t="s">
        <v>680</v>
      </c>
      <c r="F2615" t="s">
        <v>680</v>
      </c>
      <c r="G2615" t="s">
        <v>3366</v>
      </c>
      <c r="H2615">
        <v>543.79999999999995</v>
      </c>
      <c r="I2615">
        <v>54.38</v>
      </c>
      <c r="J2615">
        <v>103.3</v>
      </c>
      <c r="K2615">
        <v>10.33</v>
      </c>
      <c r="L2615">
        <v>440.5</v>
      </c>
      <c r="M2615">
        <v>44.05</v>
      </c>
      <c r="O2615" s="79">
        <f>IFERROR(VLOOKUP(D2615,'KAPANAN BLD.'!$C$2:$D$793,2,FALSE),0)</f>
        <v>0</v>
      </c>
      <c r="P2615" s="79">
        <v>0</v>
      </c>
    </row>
    <row r="2616" spans="1:16" x14ac:dyDescent="0.25">
      <c r="A2616" t="s">
        <v>32</v>
      </c>
      <c r="B2616" s="73" t="str">
        <f t="shared" si="61"/>
        <v>KALKANDERE</v>
      </c>
      <c r="C2616" t="s">
        <v>131</v>
      </c>
      <c r="D2616" s="73" t="str">
        <f t="shared" si="60"/>
        <v>KALKANDERE/RİZE</v>
      </c>
      <c r="E2616" t="s">
        <v>2211</v>
      </c>
      <c r="F2616" t="s">
        <v>2211</v>
      </c>
      <c r="G2616" t="s">
        <v>3366</v>
      </c>
      <c r="H2616">
        <v>740.8</v>
      </c>
      <c r="I2616">
        <v>74.08</v>
      </c>
      <c r="J2616">
        <v>0</v>
      </c>
      <c r="K2616">
        <v>0</v>
      </c>
      <c r="L2616">
        <v>740.8</v>
      </c>
      <c r="M2616">
        <v>74.08</v>
      </c>
      <c r="O2616" s="79">
        <f>IFERROR(VLOOKUP(D2616,'KAPANAN BLD.'!$C$2:$D$793,2,FALSE),0)</f>
        <v>0</v>
      </c>
      <c r="P2616" s="79">
        <v>0</v>
      </c>
    </row>
    <row r="2617" spans="1:16" x14ac:dyDescent="0.25">
      <c r="A2617" t="s">
        <v>32</v>
      </c>
      <c r="B2617" s="73" t="str">
        <f t="shared" si="61"/>
        <v>KALKANDERE</v>
      </c>
      <c r="C2617" t="s">
        <v>131</v>
      </c>
      <c r="D2617" s="73" t="str">
        <f t="shared" si="60"/>
        <v>KALKANDERE/RİZE</v>
      </c>
      <c r="E2617" t="s">
        <v>2211</v>
      </c>
      <c r="F2617" t="s">
        <v>2211</v>
      </c>
      <c r="G2617" t="s">
        <v>3367</v>
      </c>
      <c r="H2617">
        <v>0.4</v>
      </c>
      <c r="I2617">
        <v>0.04</v>
      </c>
      <c r="J2617">
        <v>0</v>
      </c>
      <c r="K2617">
        <v>0</v>
      </c>
      <c r="L2617">
        <v>0.4</v>
      </c>
      <c r="M2617">
        <v>0.04</v>
      </c>
      <c r="O2617" s="79">
        <f>IFERROR(VLOOKUP(D2617,'KAPANAN BLD.'!$C$2:$D$793,2,FALSE),0)</f>
        <v>0</v>
      </c>
      <c r="P2617" s="79">
        <v>0</v>
      </c>
    </row>
    <row r="2618" spans="1:16" x14ac:dyDescent="0.25">
      <c r="A2618" t="s">
        <v>32</v>
      </c>
      <c r="B2618" s="73" t="str">
        <f t="shared" si="61"/>
        <v>MERKEZ</v>
      </c>
      <c r="C2618" t="s">
        <v>131</v>
      </c>
      <c r="D2618" s="73" t="str">
        <f t="shared" si="60"/>
        <v>MERKEZ/RİZE</v>
      </c>
      <c r="E2618" s="9" t="s">
        <v>34</v>
      </c>
      <c r="F2618" s="9" t="s">
        <v>34</v>
      </c>
      <c r="G2618" t="s">
        <v>3367</v>
      </c>
      <c r="H2618">
        <v>57280.63</v>
      </c>
      <c r="I2618">
        <v>5728.07</v>
      </c>
      <c r="J2618">
        <v>34.5</v>
      </c>
      <c r="K2618">
        <v>3.45</v>
      </c>
      <c r="L2618">
        <v>57246.13</v>
      </c>
      <c r="M2618">
        <v>5724.62</v>
      </c>
      <c r="O2618" s="79">
        <f>IFERROR(VLOOKUP(D2618,'KAPANAN BLD.'!$C$2:$D$793,2,FALSE),0)</f>
        <v>0</v>
      </c>
      <c r="P2618" s="79">
        <v>0</v>
      </c>
    </row>
    <row r="2619" spans="1:16" x14ac:dyDescent="0.25">
      <c r="A2619" t="s">
        <v>32</v>
      </c>
      <c r="B2619" s="73" t="str">
        <f t="shared" si="61"/>
        <v>MERKEZ</v>
      </c>
      <c r="C2619" t="s">
        <v>131</v>
      </c>
      <c r="D2619" s="73" t="str">
        <f t="shared" si="60"/>
        <v>MERKEZ/RİZE</v>
      </c>
      <c r="E2619" s="9" t="s">
        <v>34</v>
      </c>
      <c r="F2619" s="9" t="s">
        <v>34</v>
      </c>
      <c r="G2619" t="s">
        <v>3366</v>
      </c>
      <c r="H2619">
        <v>34824.019999999997</v>
      </c>
      <c r="I2619">
        <v>3482.4</v>
      </c>
      <c r="J2619">
        <v>309</v>
      </c>
      <c r="K2619">
        <v>30.9</v>
      </c>
      <c r="L2619">
        <v>34515.019999999997</v>
      </c>
      <c r="M2619">
        <v>3451.5</v>
      </c>
      <c r="O2619" s="79">
        <f>IFERROR(VLOOKUP(D2619,'KAPANAN BLD.'!$C$2:$D$793,2,FALSE),0)</f>
        <v>0</v>
      </c>
      <c r="P2619" s="79">
        <v>0</v>
      </c>
    </row>
    <row r="2620" spans="1:16" x14ac:dyDescent="0.25">
      <c r="A2620" t="s">
        <v>32</v>
      </c>
      <c r="B2620" s="73" t="str">
        <f t="shared" si="61"/>
        <v>ÇAYELİ</v>
      </c>
      <c r="C2620" t="s">
        <v>131</v>
      </c>
      <c r="D2620" s="73" t="str">
        <f t="shared" si="60"/>
        <v>ÇAYELİ/RİZE</v>
      </c>
      <c r="E2620" s="9" t="s">
        <v>678</v>
      </c>
      <c r="F2620" s="9" t="s">
        <v>678</v>
      </c>
      <c r="G2620" t="s">
        <v>3367</v>
      </c>
      <c r="H2620">
        <v>5.4</v>
      </c>
      <c r="I2620">
        <v>0.54</v>
      </c>
      <c r="J2620">
        <v>0</v>
      </c>
      <c r="K2620">
        <v>0</v>
      </c>
      <c r="L2620">
        <v>5.4</v>
      </c>
      <c r="M2620">
        <v>0.54</v>
      </c>
      <c r="O2620" s="79">
        <f>IFERROR(VLOOKUP(D2620,'KAPANAN BLD.'!$C$2:$D$793,2,FALSE),0)</f>
        <v>0</v>
      </c>
      <c r="P2620" s="79">
        <v>0</v>
      </c>
    </row>
    <row r="2621" spans="1:16" x14ac:dyDescent="0.25">
      <c r="A2621" t="s">
        <v>32</v>
      </c>
      <c r="B2621" s="73" t="str">
        <f t="shared" si="61"/>
        <v>ÇAYELİ</v>
      </c>
      <c r="C2621" t="s">
        <v>131</v>
      </c>
      <c r="D2621" s="73" t="str">
        <f t="shared" si="60"/>
        <v>ÇAYELİ/RİZE</v>
      </c>
      <c r="E2621" s="9" t="s">
        <v>678</v>
      </c>
      <c r="F2621" s="9" t="s">
        <v>678</v>
      </c>
      <c r="G2621" t="s">
        <v>3366</v>
      </c>
      <c r="H2621">
        <v>103.3</v>
      </c>
      <c r="I2621">
        <v>10.33</v>
      </c>
      <c r="J2621">
        <v>0</v>
      </c>
      <c r="K2621">
        <v>0</v>
      </c>
      <c r="L2621">
        <v>103.3</v>
      </c>
      <c r="M2621">
        <v>10.33</v>
      </c>
      <c r="O2621" s="79">
        <f>IFERROR(VLOOKUP(D2621,'KAPANAN BLD.'!$C$2:$D$793,2,FALSE),0)</f>
        <v>0</v>
      </c>
      <c r="P2621" s="79">
        <v>0</v>
      </c>
    </row>
    <row r="2622" spans="1:16" x14ac:dyDescent="0.25">
      <c r="A2622" t="s">
        <v>32</v>
      </c>
      <c r="B2622" s="73" t="str">
        <f t="shared" si="61"/>
        <v>MERKEZ</v>
      </c>
      <c r="C2622" t="s">
        <v>131</v>
      </c>
      <c r="D2622" s="73" t="str">
        <f t="shared" si="60"/>
        <v>MERKEZ/RİZE</v>
      </c>
      <c r="E2622" t="s">
        <v>34</v>
      </c>
      <c r="F2622" t="s">
        <v>34</v>
      </c>
      <c r="G2622" t="s">
        <v>3367</v>
      </c>
      <c r="H2622">
        <v>15805.1</v>
      </c>
      <c r="I2622">
        <v>1580.51</v>
      </c>
      <c r="J2622">
        <v>1152.2</v>
      </c>
      <c r="K2622">
        <v>115.22</v>
      </c>
      <c r="L2622">
        <v>14652.9</v>
      </c>
      <c r="M2622">
        <v>1465.29</v>
      </c>
      <c r="O2622" s="79">
        <f>IFERROR(VLOOKUP(D2622,'KAPANAN BLD.'!$C$2:$D$793,2,FALSE),0)</f>
        <v>0</v>
      </c>
      <c r="P2622" s="79">
        <v>0</v>
      </c>
    </row>
    <row r="2623" spans="1:16" x14ac:dyDescent="0.25">
      <c r="A2623" t="s">
        <v>32</v>
      </c>
      <c r="B2623" s="73" t="str">
        <f t="shared" si="61"/>
        <v>MERKEZ</v>
      </c>
      <c r="C2623" t="s">
        <v>131</v>
      </c>
      <c r="D2623" s="73" t="str">
        <f t="shared" si="60"/>
        <v>MERKEZ/RİZE</v>
      </c>
      <c r="E2623" t="s">
        <v>34</v>
      </c>
      <c r="F2623" t="s">
        <v>34</v>
      </c>
      <c r="G2623" t="s">
        <v>3366</v>
      </c>
      <c r="H2623">
        <v>4499.1000000000004</v>
      </c>
      <c r="I2623">
        <v>449.91</v>
      </c>
      <c r="J2623">
        <v>1095</v>
      </c>
      <c r="K2623">
        <v>109.5</v>
      </c>
      <c r="L2623">
        <v>3404.1</v>
      </c>
      <c r="M2623">
        <v>340.41</v>
      </c>
      <c r="O2623" s="79">
        <f>IFERROR(VLOOKUP(D2623,'KAPANAN BLD.'!$C$2:$D$793,2,FALSE),0)</f>
        <v>0</v>
      </c>
      <c r="P2623" s="79">
        <v>0</v>
      </c>
    </row>
    <row r="2624" spans="1:16" x14ac:dyDescent="0.25">
      <c r="A2624" t="s">
        <v>32</v>
      </c>
      <c r="B2624" s="73" t="str">
        <f t="shared" si="61"/>
        <v>MERKEZ</v>
      </c>
      <c r="C2624" t="s">
        <v>131</v>
      </c>
      <c r="D2624" s="73" t="str">
        <f t="shared" si="60"/>
        <v>MERKEZ/RİZE</v>
      </c>
      <c r="E2624" t="s">
        <v>34</v>
      </c>
      <c r="F2624" t="s">
        <v>34</v>
      </c>
      <c r="G2624" t="s">
        <v>3367</v>
      </c>
      <c r="H2624">
        <v>2428.06</v>
      </c>
      <c r="I2624">
        <v>242.81</v>
      </c>
      <c r="J2624">
        <v>45</v>
      </c>
      <c r="K2624">
        <v>4.5</v>
      </c>
      <c r="L2624">
        <v>2383.06</v>
      </c>
      <c r="M2624">
        <v>238.31</v>
      </c>
      <c r="O2624" s="79">
        <f>IFERROR(VLOOKUP(D2624,'KAPANAN BLD.'!$C$2:$D$793,2,FALSE),0)</f>
        <v>0</v>
      </c>
      <c r="P2624" s="79">
        <v>0</v>
      </c>
    </row>
    <row r="2625" spans="1:16" x14ac:dyDescent="0.25">
      <c r="A2625" t="s">
        <v>32</v>
      </c>
      <c r="B2625" s="73" t="str">
        <f t="shared" si="61"/>
        <v>MERKEZ</v>
      </c>
      <c r="C2625" t="s">
        <v>131</v>
      </c>
      <c r="D2625" s="73" t="str">
        <f t="shared" si="60"/>
        <v>MERKEZ/RİZE</v>
      </c>
      <c r="E2625" t="s">
        <v>34</v>
      </c>
      <c r="F2625" t="s">
        <v>34</v>
      </c>
      <c r="G2625" t="s">
        <v>3366</v>
      </c>
      <c r="H2625">
        <v>3152.18</v>
      </c>
      <c r="I2625">
        <v>315.20999999999998</v>
      </c>
      <c r="J2625">
        <v>402.8</v>
      </c>
      <c r="K2625">
        <v>40.28</v>
      </c>
      <c r="L2625">
        <v>2749.38</v>
      </c>
      <c r="M2625">
        <v>274.93</v>
      </c>
      <c r="O2625" s="79">
        <f>IFERROR(VLOOKUP(D2625,'KAPANAN BLD.'!$C$2:$D$793,2,FALSE),0)</f>
        <v>0</v>
      </c>
      <c r="P2625" s="79">
        <v>0</v>
      </c>
    </row>
    <row r="2626" spans="1:16" x14ac:dyDescent="0.25">
      <c r="A2626" t="s">
        <v>32</v>
      </c>
      <c r="B2626" s="73" t="str">
        <f t="shared" si="61"/>
        <v>MERKEZ</v>
      </c>
      <c r="C2626" t="s">
        <v>131</v>
      </c>
      <c r="D2626" s="73" t="str">
        <f t="shared" si="60"/>
        <v>MERKEZ/RİZE</v>
      </c>
      <c r="E2626" s="9" t="s">
        <v>34</v>
      </c>
      <c r="F2626" s="9" t="s">
        <v>34</v>
      </c>
      <c r="G2626" t="s">
        <v>3367</v>
      </c>
      <c r="H2626">
        <v>2887.3</v>
      </c>
      <c r="I2626">
        <v>288.73</v>
      </c>
      <c r="J2626">
        <v>0.1</v>
      </c>
      <c r="K2626">
        <v>0.01</v>
      </c>
      <c r="L2626">
        <v>2887.2</v>
      </c>
      <c r="M2626">
        <v>288.72000000000003</v>
      </c>
      <c r="O2626" s="79">
        <f>IFERROR(VLOOKUP(D2626,'KAPANAN BLD.'!$C$2:$D$793,2,FALSE),0)</f>
        <v>0</v>
      </c>
      <c r="P2626" s="79">
        <v>0</v>
      </c>
    </row>
    <row r="2627" spans="1:16" x14ac:dyDescent="0.25">
      <c r="A2627" t="s">
        <v>32</v>
      </c>
      <c r="B2627" s="73" t="str">
        <f t="shared" si="61"/>
        <v>MERKEZ</v>
      </c>
      <c r="C2627" t="s">
        <v>131</v>
      </c>
      <c r="D2627" s="73" t="str">
        <f t="shared" ref="D2627:D2690" si="62">CONCATENATE(B2627,"/",C2627)</f>
        <v>MERKEZ/RİZE</v>
      </c>
      <c r="E2627" s="9" t="s">
        <v>34</v>
      </c>
      <c r="F2627" s="9" t="s">
        <v>34</v>
      </c>
      <c r="G2627" t="s">
        <v>3366</v>
      </c>
      <c r="H2627">
        <v>1461.9</v>
      </c>
      <c r="I2627">
        <v>146.19</v>
      </c>
      <c r="J2627">
        <v>1392.3</v>
      </c>
      <c r="K2627">
        <v>139.22999999999999</v>
      </c>
      <c r="L2627">
        <v>69.599999999999994</v>
      </c>
      <c r="M2627">
        <v>6.96</v>
      </c>
      <c r="O2627" s="79">
        <f>IFERROR(VLOOKUP(D2627,'KAPANAN BLD.'!$C$2:$D$793,2,FALSE),0)</f>
        <v>0</v>
      </c>
      <c r="P2627" s="79">
        <v>0</v>
      </c>
    </row>
    <row r="2628" spans="1:16" x14ac:dyDescent="0.25">
      <c r="A2628" t="s">
        <v>32</v>
      </c>
      <c r="B2628" s="73" t="str">
        <f t="shared" si="61"/>
        <v>PAZAR</v>
      </c>
      <c r="C2628" t="s">
        <v>131</v>
      </c>
      <c r="D2628" s="73" t="str">
        <f t="shared" si="62"/>
        <v>PAZAR/RİZE</v>
      </c>
      <c r="E2628" t="s">
        <v>336</v>
      </c>
      <c r="F2628" t="s">
        <v>336</v>
      </c>
      <c r="G2628" t="s">
        <v>3367</v>
      </c>
      <c r="H2628">
        <v>159</v>
      </c>
      <c r="I2628">
        <v>15.9</v>
      </c>
      <c r="J2628">
        <v>106.2</v>
      </c>
      <c r="K2628">
        <v>10.62</v>
      </c>
      <c r="L2628">
        <v>52.8</v>
      </c>
      <c r="M2628">
        <v>5.28</v>
      </c>
      <c r="O2628" s="79">
        <f>IFERROR(VLOOKUP(D2628,'KAPANAN BLD.'!$C$2:$D$793,2,FALSE),0)</f>
        <v>0</v>
      </c>
      <c r="P2628" s="79">
        <v>0</v>
      </c>
    </row>
    <row r="2629" spans="1:16" x14ac:dyDescent="0.25">
      <c r="A2629" t="s">
        <v>32</v>
      </c>
      <c r="B2629" s="73" t="str">
        <f t="shared" si="61"/>
        <v>PAZAR</v>
      </c>
      <c r="C2629" t="s">
        <v>131</v>
      </c>
      <c r="D2629" s="73" t="str">
        <f t="shared" si="62"/>
        <v>PAZAR/RİZE</v>
      </c>
      <c r="E2629" t="s">
        <v>336</v>
      </c>
      <c r="F2629" t="s">
        <v>336</v>
      </c>
      <c r="G2629" t="s">
        <v>3366</v>
      </c>
      <c r="H2629">
        <v>49.7</v>
      </c>
      <c r="I2629">
        <v>4.97</v>
      </c>
      <c r="J2629">
        <v>1040.4000000000001</v>
      </c>
      <c r="K2629">
        <v>104.04</v>
      </c>
      <c r="L2629">
        <v>-990.7</v>
      </c>
      <c r="M2629">
        <v>-99.07</v>
      </c>
      <c r="O2629" s="79">
        <f>IFERROR(VLOOKUP(D2629,'KAPANAN BLD.'!$C$2:$D$793,2,FALSE),0)</f>
        <v>0</v>
      </c>
      <c r="P2629" s="79">
        <v>0</v>
      </c>
    </row>
    <row r="2630" spans="1:16" x14ac:dyDescent="0.25">
      <c r="A2630" t="s">
        <v>32</v>
      </c>
      <c r="B2630" s="73" t="str">
        <f t="shared" si="61"/>
        <v>ARDEŞEN</v>
      </c>
      <c r="C2630" t="s">
        <v>131</v>
      </c>
      <c r="D2630" s="73" t="str">
        <f t="shared" si="62"/>
        <v>ARDEŞEN/RİZE</v>
      </c>
      <c r="E2630" s="9" t="s">
        <v>87</v>
      </c>
      <c r="F2630" s="9" t="s">
        <v>87</v>
      </c>
      <c r="G2630" t="s">
        <v>3366</v>
      </c>
      <c r="H2630">
        <v>4964.6000000000004</v>
      </c>
      <c r="I2630">
        <v>496.46</v>
      </c>
      <c r="J2630">
        <v>543.29999999999995</v>
      </c>
      <c r="K2630">
        <v>54.33</v>
      </c>
      <c r="L2630">
        <v>4421.3</v>
      </c>
      <c r="M2630">
        <v>442.13</v>
      </c>
      <c r="O2630" s="79">
        <f>IFERROR(VLOOKUP(D2630,'KAPANAN BLD.'!$C$2:$D$793,2,FALSE),0)</f>
        <v>0</v>
      </c>
      <c r="P2630" s="79">
        <v>0</v>
      </c>
    </row>
    <row r="2631" spans="1:16" x14ac:dyDescent="0.25">
      <c r="A2631" t="s">
        <v>32</v>
      </c>
      <c r="B2631" s="73" t="str">
        <f t="shared" si="61"/>
        <v>ARDEŞEN</v>
      </c>
      <c r="C2631" t="s">
        <v>131</v>
      </c>
      <c r="D2631" s="73" t="str">
        <f t="shared" si="62"/>
        <v>ARDEŞEN/RİZE</v>
      </c>
      <c r="E2631" s="9" t="s">
        <v>87</v>
      </c>
      <c r="F2631" s="9" t="s">
        <v>87</v>
      </c>
      <c r="G2631" t="s">
        <v>3367</v>
      </c>
      <c r="H2631">
        <v>4178.2</v>
      </c>
      <c r="I2631">
        <v>417.82</v>
      </c>
      <c r="J2631">
        <v>429.7</v>
      </c>
      <c r="K2631">
        <v>42.97</v>
      </c>
      <c r="L2631">
        <v>3748.5</v>
      </c>
      <c r="M2631">
        <v>374.85</v>
      </c>
      <c r="O2631" s="79">
        <f>IFERROR(VLOOKUP(D2631,'KAPANAN BLD.'!$C$2:$D$793,2,FALSE),0)</f>
        <v>0</v>
      </c>
      <c r="P2631" s="79">
        <v>0</v>
      </c>
    </row>
    <row r="2632" spans="1:16" x14ac:dyDescent="0.25">
      <c r="A2632" t="s">
        <v>32</v>
      </c>
      <c r="B2632" s="73" t="str">
        <f>VLOOKUP(C2632,'Büyükşehir List'!$C$2:$D$31,2,FALSE)</f>
        <v>SAKARYA BÜYÜKŞEHİR</v>
      </c>
      <c r="C2632" t="s">
        <v>132</v>
      </c>
      <c r="D2632" s="73" t="str">
        <f t="shared" si="62"/>
        <v>SAKARYA BÜYÜKŞEHİR/SAKARYA</v>
      </c>
      <c r="E2632" t="s">
        <v>1883</v>
      </c>
      <c r="F2632" t="s">
        <v>1883</v>
      </c>
      <c r="G2632" t="s">
        <v>3366</v>
      </c>
      <c r="H2632">
        <v>22425.41</v>
      </c>
      <c r="I2632">
        <v>2242.54</v>
      </c>
      <c r="J2632">
        <v>1506.9</v>
      </c>
      <c r="K2632">
        <v>150.69</v>
      </c>
      <c r="L2632">
        <v>20918.509999999998</v>
      </c>
      <c r="M2632">
        <v>2091.85</v>
      </c>
      <c r="O2632" s="79">
        <f>IFERROR(VLOOKUP(D2632,'KAPANAN BLD.'!$C$2:$D$793,2,FALSE),0)</f>
        <v>0</v>
      </c>
      <c r="P2632" s="79">
        <v>0</v>
      </c>
    </row>
    <row r="2633" spans="1:16" x14ac:dyDescent="0.25">
      <c r="A2633" t="s">
        <v>32</v>
      </c>
      <c r="B2633" s="73" t="str">
        <f>VLOOKUP(C2633,'Büyükşehir List'!$C$2:$D$31,2,FALSE)</f>
        <v>SAKARYA BÜYÜKŞEHİR</v>
      </c>
      <c r="C2633" t="s">
        <v>132</v>
      </c>
      <c r="D2633" s="73" t="str">
        <f t="shared" si="62"/>
        <v>SAKARYA BÜYÜKŞEHİR/SAKARYA</v>
      </c>
      <c r="E2633" t="s">
        <v>1883</v>
      </c>
      <c r="F2633" t="s">
        <v>1883</v>
      </c>
      <c r="G2633" t="s">
        <v>3367</v>
      </c>
      <c r="H2633">
        <v>44736.08</v>
      </c>
      <c r="I2633">
        <v>4473.6099999999997</v>
      </c>
      <c r="J2633">
        <v>3436.1</v>
      </c>
      <c r="K2633">
        <v>343.61</v>
      </c>
      <c r="L2633">
        <v>41299.980000000003</v>
      </c>
      <c r="M2633">
        <v>4130</v>
      </c>
      <c r="O2633" s="79">
        <f>IFERROR(VLOOKUP(D2633,'KAPANAN BLD.'!$C$2:$D$793,2,FALSE),0)</f>
        <v>0</v>
      </c>
      <c r="P2633" s="79">
        <v>0</v>
      </c>
    </row>
    <row r="2634" spans="1:16" x14ac:dyDescent="0.25">
      <c r="A2634" t="s">
        <v>32</v>
      </c>
      <c r="B2634" s="73" t="str">
        <f>VLOOKUP(C2634,'Büyükşehir List'!$C$2:$D$31,2,FALSE)</f>
        <v>SAKARYA BÜYÜKŞEHİR</v>
      </c>
      <c r="C2634" t="s">
        <v>132</v>
      </c>
      <c r="D2634" s="73" t="str">
        <f t="shared" si="62"/>
        <v>SAKARYA BÜYÜKŞEHİR/SAKARYA</v>
      </c>
      <c r="E2634" t="s">
        <v>1883</v>
      </c>
      <c r="F2634" t="s">
        <v>1883</v>
      </c>
      <c r="G2634" t="s">
        <v>3367</v>
      </c>
      <c r="H2634">
        <v>670</v>
      </c>
      <c r="I2634">
        <v>67</v>
      </c>
      <c r="J2634">
        <v>395.9</v>
      </c>
      <c r="K2634">
        <v>39.590000000000003</v>
      </c>
      <c r="L2634">
        <v>274.10000000000002</v>
      </c>
      <c r="M2634">
        <v>27.41</v>
      </c>
      <c r="O2634" s="79">
        <f>IFERROR(VLOOKUP(D2634,'KAPANAN BLD.'!$C$2:$D$793,2,FALSE),0)</f>
        <v>0</v>
      </c>
      <c r="P2634" s="79">
        <v>0</v>
      </c>
    </row>
    <row r="2635" spans="1:16" x14ac:dyDescent="0.25">
      <c r="A2635" t="s">
        <v>32</v>
      </c>
      <c r="B2635" s="73" t="str">
        <f>VLOOKUP(C2635,'Büyükşehir List'!$C$2:$D$31,2,FALSE)</f>
        <v>SAKARYA BÜYÜKŞEHİR</v>
      </c>
      <c r="C2635" t="s">
        <v>132</v>
      </c>
      <c r="D2635" s="73" t="str">
        <f t="shared" si="62"/>
        <v>SAKARYA BÜYÜKŞEHİR/SAKARYA</v>
      </c>
      <c r="E2635" t="s">
        <v>1883</v>
      </c>
      <c r="F2635" t="s">
        <v>1883</v>
      </c>
      <c r="G2635" t="s">
        <v>3366</v>
      </c>
      <c r="H2635">
        <v>3158.9</v>
      </c>
      <c r="I2635">
        <v>315.89</v>
      </c>
      <c r="J2635">
        <v>0</v>
      </c>
      <c r="K2635">
        <v>0</v>
      </c>
      <c r="L2635">
        <v>3158.9</v>
      </c>
      <c r="M2635">
        <v>315.89</v>
      </c>
      <c r="O2635" s="79">
        <f>IFERROR(VLOOKUP(D2635,'KAPANAN BLD.'!$C$2:$D$793,2,FALSE),0)</f>
        <v>0</v>
      </c>
      <c r="P2635" s="79">
        <v>0</v>
      </c>
    </row>
    <row r="2636" spans="1:16" x14ac:dyDescent="0.25">
      <c r="A2636" t="s">
        <v>32</v>
      </c>
      <c r="B2636" s="73" t="str">
        <f>VLOOKUP(C2636,'Büyükşehir List'!$C$2:$D$31,2,FALSE)</f>
        <v>SAKARYA BÜYÜKŞEHİR</v>
      </c>
      <c r="C2636" t="s">
        <v>132</v>
      </c>
      <c r="D2636" s="73" t="str">
        <f t="shared" si="62"/>
        <v>SAKARYA BÜYÜKŞEHİR/SAKARYA</v>
      </c>
      <c r="E2636" t="s">
        <v>3844</v>
      </c>
      <c r="F2636" t="s">
        <v>3844</v>
      </c>
      <c r="G2636" t="s">
        <v>3366</v>
      </c>
      <c r="H2636">
        <v>1207.0999999999999</v>
      </c>
      <c r="I2636">
        <v>120.71</v>
      </c>
      <c r="J2636">
        <v>0</v>
      </c>
      <c r="K2636">
        <v>0</v>
      </c>
      <c r="L2636">
        <v>1207.0999999999999</v>
      </c>
      <c r="M2636">
        <v>120.71</v>
      </c>
      <c r="O2636" s="79">
        <f>IFERROR(VLOOKUP(D2636,'KAPANAN BLD.'!$C$2:$D$793,2,FALSE),0)</f>
        <v>0</v>
      </c>
      <c r="P2636" s="79">
        <v>0</v>
      </c>
    </row>
    <row r="2637" spans="1:16" x14ac:dyDescent="0.25">
      <c r="A2637" t="s">
        <v>32</v>
      </c>
      <c r="B2637" s="73" t="str">
        <f>VLOOKUP(C2637,'Büyükşehir List'!$C$2:$D$31,2,FALSE)</f>
        <v>SAKARYA BÜYÜKŞEHİR</v>
      </c>
      <c r="C2637" t="s">
        <v>132</v>
      </c>
      <c r="D2637" s="73" t="str">
        <f t="shared" si="62"/>
        <v>SAKARYA BÜYÜKŞEHİR/SAKARYA</v>
      </c>
      <c r="E2637" t="s">
        <v>3844</v>
      </c>
      <c r="F2637" t="s">
        <v>3844</v>
      </c>
      <c r="G2637" t="s">
        <v>3367</v>
      </c>
      <c r="H2637">
        <v>981.5</v>
      </c>
      <c r="I2637">
        <v>98.15</v>
      </c>
      <c r="J2637">
        <v>0</v>
      </c>
      <c r="K2637">
        <v>0</v>
      </c>
      <c r="L2637">
        <v>981.5</v>
      </c>
      <c r="M2637">
        <v>98.15</v>
      </c>
      <c r="O2637" s="79">
        <f>IFERROR(VLOOKUP(D2637,'KAPANAN BLD.'!$C$2:$D$793,2,FALSE),0)</f>
        <v>0</v>
      </c>
      <c r="P2637" s="79">
        <v>0</v>
      </c>
    </row>
    <row r="2638" spans="1:16" x14ac:dyDescent="0.25">
      <c r="A2638" t="s">
        <v>32</v>
      </c>
      <c r="B2638" s="73" t="str">
        <f>VLOOKUP(C2638,'Büyükşehir List'!$C$2:$D$31,2,FALSE)</f>
        <v>SAKARYA BÜYÜKŞEHİR</v>
      </c>
      <c r="C2638" t="s">
        <v>132</v>
      </c>
      <c r="D2638" s="73" t="str">
        <f t="shared" si="62"/>
        <v>SAKARYA BÜYÜKŞEHİR/SAKARYA</v>
      </c>
      <c r="E2638" t="s">
        <v>3845</v>
      </c>
      <c r="F2638" t="s">
        <v>3845</v>
      </c>
      <c r="G2638" t="s">
        <v>3366</v>
      </c>
      <c r="H2638">
        <v>327.8</v>
      </c>
      <c r="I2638">
        <v>32.78</v>
      </c>
      <c r="J2638">
        <v>0</v>
      </c>
      <c r="K2638">
        <v>0</v>
      </c>
      <c r="L2638">
        <v>327.8</v>
      </c>
      <c r="M2638">
        <v>32.78</v>
      </c>
      <c r="O2638" s="79">
        <f>IFERROR(VLOOKUP(D2638,'KAPANAN BLD.'!$C$2:$D$793,2,FALSE),0)</f>
        <v>0</v>
      </c>
      <c r="P2638" s="79">
        <v>0</v>
      </c>
    </row>
    <row r="2639" spans="1:16" x14ac:dyDescent="0.25">
      <c r="A2639" t="s">
        <v>32</v>
      </c>
      <c r="B2639" s="73" t="str">
        <f>VLOOKUP(C2639,'Büyükşehir List'!$C$2:$D$31,2,FALSE)</f>
        <v>SAKARYA BÜYÜKŞEHİR</v>
      </c>
      <c r="C2639" t="s">
        <v>132</v>
      </c>
      <c r="D2639" s="73" t="str">
        <f t="shared" si="62"/>
        <v>SAKARYA BÜYÜKŞEHİR/SAKARYA</v>
      </c>
      <c r="E2639" t="s">
        <v>3845</v>
      </c>
      <c r="F2639" t="s">
        <v>3845</v>
      </c>
      <c r="G2639" t="s">
        <v>3367</v>
      </c>
      <c r="H2639">
        <v>300.60000000000002</v>
      </c>
      <c r="I2639">
        <v>30.06</v>
      </c>
      <c r="J2639">
        <v>0</v>
      </c>
      <c r="K2639">
        <v>0</v>
      </c>
      <c r="L2639">
        <v>300.60000000000002</v>
      </c>
      <c r="M2639">
        <v>30.06</v>
      </c>
      <c r="O2639" s="79">
        <f>IFERROR(VLOOKUP(D2639,'KAPANAN BLD.'!$C$2:$D$793,2,FALSE),0)</f>
        <v>0</v>
      </c>
      <c r="P2639" s="79">
        <v>0</v>
      </c>
    </row>
    <row r="2640" spans="1:16" x14ac:dyDescent="0.25">
      <c r="A2640" t="s">
        <v>32</v>
      </c>
      <c r="B2640" s="73" t="str">
        <f>VLOOKUP(C2640,'Büyükşehir List'!$C$2:$D$31,2,FALSE)</f>
        <v>SAKARYA BÜYÜKŞEHİR</v>
      </c>
      <c r="C2640" t="s">
        <v>132</v>
      </c>
      <c r="D2640" s="73" t="str">
        <f t="shared" si="62"/>
        <v>SAKARYA BÜYÜKŞEHİR/SAKARYA</v>
      </c>
      <c r="E2640" t="s">
        <v>1883</v>
      </c>
      <c r="F2640" t="s">
        <v>1883</v>
      </c>
      <c r="G2640" t="s">
        <v>3367</v>
      </c>
      <c r="H2640">
        <v>21401.88</v>
      </c>
      <c r="I2640">
        <v>2140.1999999999998</v>
      </c>
      <c r="J2640">
        <v>2716.29</v>
      </c>
      <c r="K2640">
        <v>271.63</v>
      </c>
      <c r="L2640">
        <v>18685.59</v>
      </c>
      <c r="M2640">
        <v>1868.57</v>
      </c>
      <c r="O2640" s="79">
        <f>IFERROR(VLOOKUP(D2640,'KAPANAN BLD.'!$C$2:$D$793,2,FALSE),0)</f>
        <v>0</v>
      </c>
      <c r="P2640" s="79">
        <v>0</v>
      </c>
    </row>
    <row r="2641" spans="1:16" x14ac:dyDescent="0.25">
      <c r="A2641" t="s">
        <v>32</v>
      </c>
      <c r="B2641" s="73" t="str">
        <f>VLOOKUP(C2641,'Büyükşehir List'!$C$2:$D$31,2,FALSE)</f>
        <v>SAKARYA BÜYÜKŞEHİR</v>
      </c>
      <c r="C2641" t="s">
        <v>132</v>
      </c>
      <c r="D2641" s="73" t="str">
        <f t="shared" si="62"/>
        <v>SAKARYA BÜYÜKŞEHİR/SAKARYA</v>
      </c>
      <c r="E2641" t="s">
        <v>1883</v>
      </c>
      <c r="F2641" t="s">
        <v>1883</v>
      </c>
      <c r="G2641" t="s">
        <v>3366</v>
      </c>
      <c r="H2641">
        <v>18832.599999999999</v>
      </c>
      <c r="I2641">
        <v>1883.26</v>
      </c>
      <c r="J2641">
        <v>275.83</v>
      </c>
      <c r="K2641">
        <v>27.58</v>
      </c>
      <c r="L2641">
        <v>18556.77</v>
      </c>
      <c r="M2641">
        <v>1855.68</v>
      </c>
      <c r="O2641" s="79">
        <f>IFERROR(VLOOKUP(D2641,'KAPANAN BLD.'!$C$2:$D$793,2,FALSE),0)</f>
        <v>0</v>
      </c>
      <c r="P2641" s="79">
        <v>0</v>
      </c>
    </row>
    <row r="2642" spans="1:16" x14ac:dyDescent="0.25">
      <c r="A2642" t="s">
        <v>32</v>
      </c>
      <c r="B2642" s="73" t="str">
        <f>VLOOKUP(C2642,'Büyükşehir List'!$C$2:$D$31,2,FALSE)</f>
        <v>SAKARYA BÜYÜKŞEHİR</v>
      </c>
      <c r="C2642" t="s">
        <v>132</v>
      </c>
      <c r="D2642" s="73" t="str">
        <f t="shared" si="62"/>
        <v>SAKARYA BÜYÜKŞEHİR/SAKARYA</v>
      </c>
      <c r="E2642" t="s">
        <v>3008</v>
      </c>
      <c r="F2642" t="s">
        <v>3008</v>
      </c>
      <c r="G2642" t="s">
        <v>3367</v>
      </c>
      <c r="H2642">
        <v>5236.1000000000004</v>
      </c>
      <c r="I2642">
        <v>523.61</v>
      </c>
      <c r="J2642">
        <v>45</v>
      </c>
      <c r="K2642">
        <v>4.5</v>
      </c>
      <c r="L2642">
        <v>5191.1000000000004</v>
      </c>
      <c r="M2642">
        <v>519.11</v>
      </c>
      <c r="O2642" s="79">
        <f>IFERROR(VLOOKUP(D2642,'KAPANAN BLD.'!$C$2:$D$793,2,FALSE),0)</f>
        <v>0</v>
      </c>
      <c r="P2642" s="79">
        <v>0</v>
      </c>
    </row>
    <row r="2643" spans="1:16" x14ac:dyDescent="0.25">
      <c r="A2643" t="s">
        <v>32</v>
      </c>
      <c r="B2643" s="73" t="str">
        <f>VLOOKUP(C2643,'Büyükşehir List'!$C$2:$D$31,2,FALSE)</f>
        <v>SAKARYA BÜYÜKŞEHİR</v>
      </c>
      <c r="C2643" t="s">
        <v>132</v>
      </c>
      <c r="D2643" s="73" t="str">
        <f t="shared" si="62"/>
        <v>SAKARYA BÜYÜKŞEHİR/SAKARYA</v>
      </c>
      <c r="E2643" t="s">
        <v>3008</v>
      </c>
      <c r="F2643" t="s">
        <v>3008</v>
      </c>
      <c r="G2643" t="s">
        <v>3366</v>
      </c>
      <c r="H2643">
        <v>60765.8</v>
      </c>
      <c r="I2643">
        <v>6076.58</v>
      </c>
      <c r="J2643">
        <v>402.8</v>
      </c>
      <c r="K2643">
        <v>40.28</v>
      </c>
      <c r="L2643">
        <v>60363</v>
      </c>
      <c r="M2643">
        <v>6036.3</v>
      </c>
      <c r="O2643" s="79">
        <f>IFERROR(VLOOKUP(D2643,'KAPANAN BLD.'!$C$2:$D$793,2,FALSE),0)</f>
        <v>0</v>
      </c>
      <c r="P2643" s="79">
        <v>0</v>
      </c>
    </row>
    <row r="2644" spans="1:16" x14ac:dyDescent="0.25">
      <c r="A2644" t="s">
        <v>32</v>
      </c>
      <c r="B2644" s="73" t="str">
        <f>VLOOKUP(C2644,'Büyükşehir List'!$C$2:$D$31,2,FALSE)</f>
        <v>SAKARYA BÜYÜKŞEHİR</v>
      </c>
      <c r="C2644" t="s">
        <v>132</v>
      </c>
      <c r="D2644" s="73" t="str">
        <f t="shared" si="62"/>
        <v>SAKARYA BÜYÜKŞEHİR/SAKARYA</v>
      </c>
      <c r="E2644" t="s">
        <v>3846</v>
      </c>
      <c r="F2644" t="s">
        <v>3846</v>
      </c>
      <c r="G2644" t="s">
        <v>3366</v>
      </c>
      <c r="H2644">
        <v>158</v>
      </c>
      <c r="I2644">
        <v>15.8</v>
      </c>
      <c r="J2644">
        <v>0</v>
      </c>
      <c r="K2644">
        <v>0</v>
      </c>
      <c r="L2644">
        <v>158</v>
      </c>
      <c r="M2644">
        <v>15.8</v>
      </c>
      <c r="O2644" s="79">
        <f>IFERROR(VLOOKUP(D2644,'KAPANAN BLD.'!$C$2:$D$793,2,FALSE),0)</f>
        <v>0</v>
      </c>
      <c r="P2644" s="79">
        <v>0</v>
      </c>
    </row>
    <row r="2645" spans="1:16" x14ac:dyDescent="0.25">
      <c r="A2645" t="s">
        <v>32</v>
      </c>
      <c r="B2645" s="73" t="str">
        <f>VLOOKUP(C2645,'Büyükşehir List'!$C$2:$D$31,2,FALSE)</f>
        <v>SAKARYA BÜYÜKŞEHİR</v>
      </c>
      <c r="C2645" t="s">
        <v>132</v>
      </c>
      <c r="D2645" s="73" t="str">
        <f t="shared" si="62"/>
        <v>SAKARYA BÜYÜKŞEHİR/SAKARYA</v>
      </c>
      <c r="E2645" t="s">
        <v>3846</v>
      </c>
      <c r="F2645" t="s">
        <v>3846</v>
      </c>
      <c r="G2645" t="s">
        <v>3367</v>
      </c>
      <c r="H2645">
        <v>730.4</v>
      </c>
      <c r="I2645">
        <v>73.040000000000006</v>
      </c>
      <c r="J2645">
        <v>0</v>
      </c>
      <c r="K2645">
        <v>0</v>
      </c>
      <c r="L2645">
        <v>730.4</v>
      </c>
      <c r="M2645">
        <v>73.040000000000006</v>
      </c>
      <c r="O2645" s="79">
        <f>IFERROR(VLOOKUP(D2645,'KAPANAN BLD.'!$C$2:$D$793,2,FALSE),0)</f>
        <v>0</v>
      </c>
      <c r="P2645" s="79">
        <v>0</v>
      </c>
    </row>
    <row r="2646" spans="1:16" x14ac:dyDescent="0.25">
      <c r="A2646" t="s">
        <v>32</v>
      </c>
      <c r="B2646" s="73" t="str">
        <f>VLOOKUP(C2646,'Büyükşehir List'!$C$2:$D$31,2,FALSE)</f>
        <v>SAKARYA BÜYÜKŞEHİR</v>
      </c>
      <c r="C2646" t="s">
        <v>132</v>
      </c>
      <c r="D2646" s="73" t="str">
        <f t="shared" si="62"/>
        <v>SAKARYA BÜYÜKŞEHİR/SAKARYA</v>
      </c>
      <c r="E2646" t="s">
        <v>3847</v>
      </c>
      <c r="F2646" t="s">
        <v>3847</v>
      </c>
      <c r="G2646" t="s">
        <v>3367</v>
      </c>
      <c r="H2646">
        <v>900.7</v>
      </c>
      <c r="I2646">
        <v>90.07</v>
      </c>
      <c r="J2646">
        <v>5.4</v>
      </c>
      <c r="K2646">
        <v>0.54</v>
      </c>
      <c r="L2646">
        <v>895.3</v>
      </c>
      <c r="M2646">
        <v>89.53</v>
      </c>
      <c r="O2646" s="79">
        <f>IFERROR(VLOOKUP(D2646,'KAPANAN BLD.'!$C$2:$D$793,2,FALSE),0)</f>
        <v>0</v>
      </c>
      <c r="P2646" s="79">
        <v>0</v>
      </c>
    </row>
    <row r="2647" spans="1:16" x14ac:dyDescent="0.25">
      <c r="A2647" t="s">
        <v>32</v>
      </c>
      <c r="B2647" s="73" t="str">
        <f>VLOOKUP(C2647,'Büyükşehir List'!$C$2:$D$31,2,FALSE)</f>
        <v>SAKARYA BÜYÜKŞEHİR</v>
      </c>
      <c r="C2647" t="s">
        <v>132</v>
      </c>
      <c r="D2647" s="73" t="str">
        <f t="shared" si="62"/>
        <v>SAKARYA BÜYÜKŞEHİR/SAKARYA</v>
      </c>
      <c r="E2647" t="s">
        <v>1883</v>
      </c>
      <c r="F2647" t="s">
        <v>1883</v>
      </c>
      <c r="G2647" t="s">
        <v>3366</v>
      </c>
      <c r="H2647">
        <v>52831.08</v>
      </c>
      <c r="I2647">
        <v>5283.11</v>
      </c>
      <c r="J2647">
        <v>2476.3000000000002</v>
      </c>
      <c r="K2647">
        <v>247.63</v>
      </c>
      <c r="L2647">
        <v>50354.78</v>
      </c>
      <c r="M2647">
        <v>5035.4799999999996</v>
      </c>
      <c r="O2647" s="79">
        <f>IFERROR(VLOOKUP(D2647,'KAPANAN BLD.'!$C$2:$D$793,2,FALSE),0)</f>
        <v>0</v>
      </c>
      <c r="P2647" s="79">
        <v>0</v>
      </c>
    </row>
    <row r="2648" spans="1:16" x14ac:dyDescent="0.25">
      <c r="A2648" t="s">
        <v>32</v>
      </c>
      <c r="B2648" s="73" t="str">
        <f>VLOOKUP(C2648,'Büyükşehir List'!$C$2:$D$31,2,FALSE)</f>
        <v>SAKARYA BÜYÜKŞEHİR</v>
      </c>
      <c r="C2648" t="s">
        <v>132</v>
      </c>
      <c r="D2648" s="73" t="str">
        <f t="shared" si="62"/>
        <v>SAKARYA BÜYÜKŞEHİR/SAKARYA</v>
      </c>
      <c r="E2648" t="s">
        <v>1883</v>
      </c>
      <c r="F2648" t="s">
        <v>1883</v>
      </c>
      <c r="G2648" t="s">
        <v>3367</v>
      </c>
      <c r="H2648">
        <v>14427.42</v>
      </c>
      <c r="I2648">
        <v>1442.75</v>
      </c>
      <c r="J2648">
        <v>355.9</v>
      </c>
      <c r="K2648">
        <v>35.590000000000003</v>
      </c>
      <c r="L2648">
        <v>14071.52</v>
      </c>
      <c r="M2648">
        <v>1407.16</v>
      </c>
      <c r="O2648" s="79">
        <f>IFERROR(VLOOKUP(D2648,'KAPANAN BLD.'!$C$2:$D$793,2,FALSE),0)</f>
        <v>0</v>
      </c>
      <c r="P2648" s="79">
        <v>0</v>
      </c>
    </row>
    <row r="2649" spans="1:16" x14ac:dyDescent="0.25">
      <c r="A2649" t="s">
        <v>32</v>
      </c>
      <c r="B2649" s="73" t="str">
        <f>VLOOKUP(C2649,'Büyükşehir List'!$C$2:$D$31,2,FALSE)</f>
        <v>SAKARYA BÜYÜKŞEHİR</v>
      </c>
      <c r="C2649" t="s">
        <v>132</v>
      </c>
      <c r="D2649" s="73" t="str">
        <f t="shared" si="62"/>
        <v>SAKARYA BÜYÜKŞEHİR/SAKARYA</v>
      </c>
      <c r="E2649" t="s">
        <v>1883</v>
      </c>
      <c r="F2649" t="s">
        <v>1883</v>
      </c>
      <c r="G2649" t="s">
        <v>3367</v>
      </c>
      <c r="H2649">
        <v>313.5</v>
      </c>
      <c r="I2649">
        <v>31.35</v>
      </c>
      <c r="J2649">
        <v>0</v>
      </c>
      <c r="K2649">
        <v>0</v>
      </c>
      <c r="L2649">
        <v>313.5</v>
      </c>
      <c r="M2649">
        <v>31.35</v>
      </c>
      <c r="O2649" s="79">
        <f>IFERROR(VLOOKUP(D2649,'KAPANAN BLD.'!$C$2:$D$793,2,FALSE),0)</f>
        <v>0</v>
      </c>
      <c r="P2649" s="79">
        <v>0</v>
      </c>
    </row>
    <row r="2650" spans="1:16" x14ac:dyDescent="0.25">
      <c r="A2650" t="s">
        <v>32</v>
      </c>
      <c r="B2650" s="73" t="str">
        <f>VLOOKUP(C2650,'Büyükşehir List'!$C$2:$D$31,2,FALSE)</f>
        <v>SAKARYA BÜYÜKŞEHİR</v>
      </c>
      <c r="C2650" t="s">
        <v>132</v>
      </c>
      <c r="D2650" s="73" t="str">
        <f t="shared" si="62"/>
        <v>SAKARYA BÜYÜKŞEHİR/SAKARYA</v>
      </c>
      <c r="E2650" t="s">
        <v>1883</v>
      </c>
      <c r="F2650" t="s">
        <v>1883</v>
      </c>
      <c r="G2650" t="s">
        <v>3366</v>
      </c>
      <c r="H2650">
        <v>1525.01</v>
      </c>
      <c r="I2650">
        <v>152.5</v>
      </c>
      <c r="J2650">
        <v>0</v>
      </c>
      <c r="K2650">
        <v>0</v>
      </c>
      <c r="L2650">
        <v>1525.01</v>
      </c>
      <c r="M2650">
        <v>152.5</v>
      </c>
      <c r="O2650" s="79">
        <f>IFERROR(VLOOKUP(D2650,'KAPANAN BLD.'!$C$2:$D$793,2,FALSE),0)</f>
        <v>0</v>
      </c>
      <c r="P2650" s="79">
        <v>0</v>
      </c>
    </row>
    <row r="2651" spans="1:16" x14ac:dyDescent="0.25">
      <c r="A2651" t="s">
        <v>32</v>
      </c>
      <c r="B2651" s="73" t="str">
        <f>VLOOKUP(C2651,'Büyükşehir List'!$C$2:$D$31,2,FALSE)</f>
        <v>SAKARYA BÜYÜKŞEHİR</v>
      </c>
      <c r="C2651" t="s">
        <v>132</v>
      </c>
      <c r="D2651" s="73" t="str">
        <f t="shared" si="62"/>
        <v>SAKARYA BÜYÜKŞEHİR/SAKARYA</v>
      </c>
      <c r="E2651" t="s">
        <v>310</v>
      </c>
      <c r="F2651" t="s">
        <v>310</v>
      </c>
      <c r="G2651" t="s">
        <v>3367</v>
      </c>
      <c r="H2651">
        <v>3308.7</v>
      </c>
      <c r="I2651">
        <v>330.87</v>
      </c>
      <c r="J2651">
        <v>75.8</v>
      </c>
      <c r="K2651">
        <v>7.58</v>
      </c>
      <c r="L2651">
        <v>3232.9</v>
      </c>
      <c r="M2651">
        <v>323.29000000000002</v>
      </c>
      <c r="O2651" s="79">
        <f>IFERROR(VLOOKUP(D2651,'KAPANAN BLD.'!$C$2:$D$793,2,FALSE),0)</f>
        <v>0</v>
      </c>
      <c r="P2651" s="79">
        <v>0</v>
      </c>
    </row>
    <row r="2652" spans="1:16" x14ac:dyDescent="0.25">
      <c r="A2652" t="s">
        <v>32</v>
      </c>
      <c r="B2652" s="73" t="str">
        <f>VLOOKUP(C2652,'Büyükşehir List'!$C$2:$D$31,2,FALSE)</f>
        <v>SAKARYA BÜYÜKŞEHİR</v>
      </c>
      <c r="C2652" t="s">
        <v>132</v>
      </c>
      <c r="D2652" s="73" t="str">
        <f t="shared" si="62"/>
        <v>SAKARYA BÜYÜKŞEHİR/SAKARYA</v>
      </c>
      <c r="E2652" t="s">
        <v>310</v>
      </c>
      <c r="F2652" t="s">
        <v>310</v>
      </c>
      <c r="G2652" t="s">
        <v>3366</v>
      </c>
      <c r="H2652">
        <v>1467.3</v>
      </c>
      <c r="I2652">
        <v>146.72999999999999</v>
      </c>
      <c r="J2652">
        <v>36.6</v>
      </c>
      <c r="K2652">
        <v>3.66</v>
      </c>
      <c r="L2652">
        <v>1430.7</v>
      </c>
      <c r="M2652">
        <v>143.07</v>
      </c>
      <c r="O2652" s="79">
        <f>IFERROR(VLOOKUP(D2652,'KAPANAN BLD.'!$C$2:$D$793,2,FALSE),0)</f>
        <v>0</v>
      </c>
      <c r="P2652" s="79">
        <v>0</v>
      </c>
    </row>
    <row r="2653" spans="1:16" x14ac:dyDescent="0.25">
      <c r="A2653" t="s">
        <v>32</v>
      </c>
      <c r="B2653" s="73" t="str">
        <f>VLOOKUP(C2653,'Büyükşehir List'!$C$2:$D$31,2,FALSE)</f>
        <v>SAKARYA BÜYÜKŞEHİR</v>
      </c>
      <c r="C2653" t="s">
        <v>132</v>
      </c>
      <c r="D2653" s="73" t="str">
        <f t="shared" si="62"/>
        <v>SAKARYA BÜYÜKŞEHİR/SAKARYA</v>
      </c>
      <c r="E2653" t="s">
        <v>1883</v>
      </c>
      <c r="F2653" t="s">
        <v>1883</v>
      </c>
      <c r="G2653" t="s">
        <v>3367</v>
      </c>
      <c r="H2653">
        <v>4673.92</v>
      </c>
      <c r="I2653">
        <v>467.39</v>
      </c>
      <c r="J2653">
        <v>0</v>
      </c>
      <c r="K2653">
        <v>0</v>
      </c>
      <c r="L2653">
        <v>4673.92</v>
      </c>
      <c r="M2653">
        <v>467.39</v>
      </c>
      <c r="O2653" s="79">
        <f>IFERROR(VLOOKUP(D2653,'KAPANAN BLD.'!$C$2:$D$793,2,FALSE),0)</f>
        <v>0</v>
      </c>
      <c r="P2653" s="79">
        <v>0</v>
      </c>
    </row>
    <row r="2654" spans="1:16" x14ac:dyDescent="0.25">
      <c r="A2654" t="s">
        <v>32</v>
      </c>
      <c r="B2654" s="73" t="str">
        <f>VLOOKUP(C2654,'Büyükşehir List'!$C$2:$D$31,2,FALSE)</f>
        <v>SAKARYA BÜYÜKŞEHİR</v>
      </c>
      <c r="C2654" t="s">
        <v>132</v>
      </c>
      <c r="D2654" s="73" t="str">
        <f t="shared" si="62"/>
        <v>SAKARYA BÜYÜKŞEHİR/SAKARYA</v>
      </c>
      <c r="E2654" t="s">
        <v>1883</v>
      </c>
      <c r="F2654" t="s">
        <v>1883</v>
      </c>
      <c r="G2654" t="s">
        <v>3366</v>
      </c>
      <c r="H2654">
        <v>11757.77</v>
      </c>
      <c r="I2654">
        <v>1175.78</v>
      </c>
      <c r="J2654">
        <v>0</v>
      </c>
      <c r="K2654">
        <v>0</v>
      </c>
      <c r="L2654">
        <v>11757.77</v>
      </c>
      <c r="M2654">
        <v>1175.78</v>
      </c>
      <c r="O2654" s="79">
        <f>IFERROR(VLOOKUP(D2654,'KAPANAN BLD.'!$C$2:$D$793,2,FALSE),0)</f>
        <v>0</v>
      </c>
      <c r="P2654" s="79">
        <v>0</v>
      </c>
    </row>
    <row r="2655" spans="1:16" x14ac:dyDescent="0.25">
      <c r="A2655" t="s">
        <v>32</v>
      </c>
      <c r="B2655" s="73" t="str">
        <f>VLOOKUP(C2655,'Büyükşehir List'!$C$2:$D$31,2,FALSE)</f>
        <v>SAKARYA BÜYÜKŞEHİR</v>
      </c>
      <c r="C2655" t="s">
        <v>132</v>
      </c>
      <c r="D2655" s="73" t="str">
        <f t="shared" si="62"/>
        <v>SAKARYA BÜYÜKŞEHİR/SAKARYA</v>
      </c>
      <c r="E2655" t="s">
        <v>1883</v>
      </c>
      <c r="F2655" t="s">
        <v>1883</v>
      </c>
      <c r="G2655" t="s">
        <v>3367</v>
      </c>
      <c r="H2655">
        <v>5.4</v>
      </c>
      <c r="I2655">
        <v>0.54</v>
      </c>
      <c r="J2655">
        <v>1442.5</v>
      </c>
      <c r="K2655">
        <v>144.25</v>
      </c>
      <c r="L2655">
        <v>-1437.1</v>
      </c>
      <c r="M2655">
        <v>-143.71</v>
      </c>
      <c r="O2655" s="79">
        <f>IFERROR(VLOOKUP(D2655,'KAPANAN BLD.'!$C$2:$D$793,2,FALSE),0)</f>
        <v>0</v>
      </c>
      <c r="P2655" s="79">
        <v>0</v>
      </c>
    </row>
    <row r="2656" spans="1:16" x14ac:dyDescent="0.25">
      <c r="A2656" t="s">
        <v>32</v>
      </c>
      <c r="B2656" s="73" t="str">
        <f>VLOOKUP(C2656,'Büyükşehir List'!$C$2:$D$31,2,FALSE)</f>
        <v>SAKARYA BÜYÜKŞEHİR</v>
      </c>
      <c r="C2656" t="s">
        <v>132</v>
      </c>
      <c r="D2656" s="73" t="str">
        <f t="shared" si="62"/>
        <v>SAKARYA BÜYÜKŞEHİR/SAKARYA</v>
      </c>
      <c r="E2656" t="s">
        <v>1883</v>
      </c>
      <c r="F2656" t="s">
        <v>1883</v>
      </c>
      <c r="G2656" t="s">
        <v>3366</v>
      </c>
      <c r="H2656">
        <v>103.3</v>
      </c>
      <c r="I2656">
        <v>10.33</v>
      </c>
      <c r="J2656">
        <v>809.8</v>
      </c>
      <c r="K2656">
        <v>80.98</v>
      </c>
      <c r="L2656">
        <v>-706.5</v>
      </c>
      <c r="M2656">
        <v>-70.650000000000006</v>
      </c>
      <c r="O2656" s="79">
        <f>IFERROR(VLOOKUP(D2656,'KAPANAN BLD.'!$C$2:$D$793,2,FALSE),0)</f>
        <v>0</v>
      </c>
      <c r="P2656" s="79">
        <v>0</v>
      </c>
    </row>
    <row r="2657" spans="1:16" x14ac:dyDescent="0.25">
      <c r="A2657" t="s">
        <v>32</v>
      </c>
      <c r="B2657" s="73" t="str">
        <f>VLOOKUP(C2657,'Büyükşehir List'!$C$2:$D$31,2,FALSE)</f>
        <v>SAKARYA BÜYÜKŞEHİR</v>
      </c>
      <c r="C2657" t="s">
        <v>132</v>
      </c>
      <c r="D2657" s="73" t="str">
        <f t="shared" si="62"/>
        <v>SAKARYA BÜYÜKŞEHİR/SAKARYA</v>
      </c>
      <c r="E2657" t="s">
        <v>133</v>
      </c>
      <c r="F2657" t="s">
        <v>133</v>
      </c>
      <c r="G2657" t="s">
        <v>3367</v>
      </c>
      <c r="H2657">
        <v>325.7</v>
      </c>
      <c r="I2657">
        <v>32.57</v>
      </c>
      <c r="J2657">
        <v>1.5</v>
      </c>
      <c r="K2657">
        <v>0.15</v>
      </c>
      <c r="L2657">
        <v>324.2</v>
      </c>
      <c r="M2657">
        <v>32.42</v>
      </c>
      <c r="O2657" s="79">
        <f>IFERROR(VLOOKUP(D2657,'KAPANAN BLD.'!$C$2:$D$793,2,FALSE),0)</f>
        <v>0</v>
      </c>
      <c r="P2657" s="79">
        <v>0</v>
      </c>
    </row>
    <row r="2658" spans="1:16" x14ac:dyDescent="0.25">
      <c r="A2658" t="s">
        <v>32</v>
      </c>
      <c r="B2658" s="73" t="str">
        <f>VLOOKUP(C2658,'Büyükşehir List'!$C$2:$D$31,2,FALSE)</f>
        <v>SAKARYA BÜYÜKŞEHİR</v>
      </c>
      <c r="C2658" t="s">
        <v>132</v>
      </c>
      <c r="D2658" s="73" t="str">
        <f t="shared" si="62"/>
        <v>SAKARYA BÜYÜKŞEHİR/SAKARYA</v>
      </c>
      <c r="E2658" t="s">
        <v>133</v>
      </c>
      <c r="F2658" t="s">
        <v>133</v>
      </c>
      <c r="G2658" t="s">
        <v>3366</v>
      </c>
      <c r="H2658">
        <v>2363.3000000000002</v>
      </c>
      <c r="I2658">
        <v>236.33</v>
      </c>
      <c r="J2658">
        <v>1642.7</v>
      </c>
      <c r="K2658">
        <v>164.27</v>
      </c>
      <c r="L2658">
        <v>720.6</v>
      </c>
      <c r="M2658">
        <v>72.06</v>
      </c>
      <c r="O2658" s="79">
        <f>IFERROR(VLOOKUP(D2658,'KAPANAN BLD.'!$C$2:$D$793,2,FALSE),0)</f>
        <v>0</v>
      </c>
      <c r="P2658" s="79">
        <v>0</v>
      </c>
    </row>
    <row r="2659" spans="1:16" x14ac:dyDescent="0.25">
      <c r="A2659" t="s">
        <v>32</v>
      </c>
      <c r="B2659" s="73" t="str">
        <f>VLOOKUP(C2659,'Büyükşehir List'!$C$2:$D$31,2,FALSE)</f>
        <v>SAKARYA BÜYÜKŞEHİR</v>
      </c>
      <c r="C2659" t="s">
        <v>132</v>
      </c>
      <c r="D2659" s="73" t="str">
        <f t="shared" si="62"/>
        <v>SAKARYA BÜYÜKŞEHİR/SAKARYA</v>
      </c>
      <c r="E2659" t="s">
        <v>682</v>
      </c>
      <c r="F2659" t="s">
        <v>682</v>
      </c>
      <c r="G2659" t="s">
        <v>3367</v>
      </c>
      <c r="H2659">
        <v>66.099999999999994</v>
      </c>
      <c r="I2659">
        <v>6.61</v>
      </c>
      <c r="J2659">
        <v>0</v>
      </c>
      <c r="K2659">
        <v>0</v>
      </c>
      <c r="L2659">
        <v>66.099999999999994</v>
      </c>
      <c r="M2659">
        <v>6.61</v>
      </c>
      <c r="O2659" s="79">
        <f>IFERROR(VLOOKUP(D2659,'KAPANAN BLD.'!$C$2:$D$793,2,FALSE),0)</f>
        <v>0</v>
      </c>
      <c r="P2659" s="79">
        <v>0</v>
      </c>
    </row>
    <row r="2660" spans="1:16" x14ac:dyDescent="0.25">
      <c r="A2660" t="s">
        <v>32</v>
      </c>
      <c r="B2660" s="73" t="str">
        <f>VLOOKUP(C2660,'Büyükşehir List'!$C$2:$D$31,2,FALSE)</f>
        <v>SAKARYA BÜYÜKŞEHİR</v>
      </c>
      <c r="C2660" t="s">
        <v>132</v>
      </c>
      <c r="D2660" s="73" t="str">
        <f t="shared" si="62"/>
        <v>SAKARYA BÜYÜKŞEHİR/SAKARYA</v>
      </c>
      <c r="E2660" t="s">
        <v>682</v>
      </c>
      <c r="F2660" t="s">
        <v>682</v>
      </c>
      <c r="G2660" t="s">
        <v>3366</v>
      </c>
      <c r="H2660">
        <v>274.10000000000002</v>
      </c>
      <c r="I2660">
        <v>27.41</v>
      </c>
      <c r="J2660">
        <v>0</v>
      </c>
      <c r="K2660">
        <v>0</v>
      </c>
      <c r="L2660">
        <v>274.10000000000002</v>
      </c>
      <c r="M2660">
        <v>27.41</v>
      </c>
      <c r="O2660" s="79">
        <f>IFERROR(VLOOKUP(D2660,'KAPANAN BLD.'!$C$2:$D$793,2,FALSE),0)</f>
        <v>0</v>
      </c>
      <c r="P2660" s="79">
        <v>0</v>
      </c>
    </row>
    <row r="2661" spans="1:16" x14ac:dyDescent="0.25">
      <c r="A2661" t="s">
        <v>32</v>
      </c>
      <c r="B2661" s="73" t="str">
        <f>VLOOKUP(C2661,'Büyükşehir List'!$C$2:$D$31,2,FALSE)</f>
        <v>SAKARYA BÜYÜKŞEHİR</v>
      </c>
      <c r="C2661" t="s">
        <v>132</v>
      </c>
      <c r="D2661" s="73" t="str">
        <f t="shared" si="62"/>
        <v>SAKARYA BÜYÜKŞEHİR/SAKARYA</v>
      </c>
      <c r="E2661" t="s">
        <v>3848</v>
      </c>
      <c r="F2661" t="s">
        <v>3848</v>
      </c>
      <c r="G2661" t="s">
        <v>3367</v>
      </c>
      <c r="H2661">
        <v>2088.1</v>
      </c>
      <c r="I2661">
        <v>208.81</v>
      </c>
      <c r="J2661">
        <v>0</v>
      </c>
      <c r="K2661">
        <v>0</v>
      </c>
      <c r="L2661">
        <v>2088.1</v>
      </c>
      <c r="M2661">
        <v>208.81</v>
      </c>
      <c r="O2661" s="79">
        <f>IFERROR(VLOOKUP(D2661,'KAPANAN BLD.'!$C$2:$D$793,2,FALSE),0)</f>
        <v>0</v>
      </c>
      <c r="P2661" s="79">
        <v>0</v>
      </c>
    </row>
    <row r="2662" spans="1:16" x14ac:dyDescent="0.25">
      <c r="A2662" t="s">
        <v>32</v>
      </c>
      <c r="B2662" s="73" t="str">
        <f>VLOOKUP(C2662,'Büyükşehir List'!$C$2:$D$31,2,FALSE)</f>
        <v>SAKARYA BÜYÜKŞEHİR</v>
      </c>
      <c r="C2662" t="s">
        <v>132</v>
      </c>
      <c r="D2662" s="73" t="str">
        <f t="shared" si="62"/>
        <v>SAKARYA BÜYÜKŞEHİR/SAKARYA</v>
      </c>
      <c r="E2662" t="s">
        <v>3848</v>
      </c>
      <c r="F2662" t="s">
        <v>3848</v>
      </c>
      <c r="G2662" t="s">
        <v>3366</v>
      </c>
      <c r="H2662">
        <v>950</v>
      </c>
      <c r="I2662">
        <v>95</v>
      </c>
      <c r="J2662">
        <v>0</v>
      </c>
      <c r="K2662">
        <v>0</v>
      </c>
      <c r="L2662">
        <v>950</v>
      </c>
      <c r="M2662">
        <v>95</v>
      </c>
      <c r="O2662" s="79">
        <f>IFERROR(VLOOKUP(D2662,'KAPANAN BLD.'!$C$2:$D$793,2,FALSE),0)</f>
        <v>0</v>
      </c>
      <c r="P2662" s="79">
        <v>0</v>
      </c>
    </row>
    <row r="2663" spans="1:16" x14ac:dyDescent="0.25">
      <c r="A2663" t="s">
        <v>32</v>
      </c>
      <c r="B2663" s="73" t="str">
        <f>VLOOKUP(C2663,'Büyükşehir List'!$C$2:$D$31,2,FALSE)</f>
        <v>SAKARYA BÜYÜKŞEHİR</v>
      </c>
      <c r="C2663" t="s">
        <v>132</v>
      </c>
      <c r="D2663" s="73" t="str">
        <f t="shared" si="62"/>
        <v>SAKARYA BÜYÜKŞEHİR/SAKARYA</v>
      </c>
      <c r="E2663" t="s">
        <v>3849</v>
      </c>
      <c r="F2663" t="s">
        <v>3849</v>
      </c>
      <c r="G2663" t="s">
        <v>3366</v>
      </c>
      <c r="H2663">
        <v>3809.1</v>
      </c>
      <c r="I2663">
        <v>380.91</v>
      </c>
      <c r="J2663">
        <v>0</v>
      </c>
      <c r="K2663">
        <v>0</v>
      </c>
      <c r="L2663">
        <v>3809.1</v>
      </c>
      <c r="M2663">
        <v>380.91</v>
      </c>
      <c r="O2663" s="79">
        <f>IFERROR(VLOOKUP(D2663,'KAPANAN BLD.'!$C$2:$D$793,2,FALSE),0)</f>
        <v>0</v>
      </c>
      <c r="P2663" s="79">
        <v>0</v>
      </c>
    </row>
    <row r="2664" spans="1:16" x14ac:dyDescent="0.25">
      <c r="A2664" t="s">
        <v>32</v>
      </c>
      <c r="B2664" s="73" t="str">
        <f>VLOOKUP(C2664,'Büyükşehir List'!$C$2:$D$31,2,FALSE)</f>
        <v>SAKARYA BÜYÜKŞEHİR</v>
      </c>
      <c r="C2664" t="s">
        <v>132</v>
      </c>
      <c r="D2664" s="73" t="str">
        <f t="shared" si="62"/>
        <v>SAKARYA BÜYÜKŞEHİR/SAKARYA</v>
      </c>
      <c r="E2664" t="s">
        <v>3849</v>
      </c>
      <c r="F2664" t="s">
        <v>3849</v>
      </c>
      <c r="G2664" t="s">
        <v>3367</v>
      </c>
      <c r="H2664">
        <v>3145.3</v>
      </c>
      <c r="I2664">
        <v>314.52999999999997</v>
      </c>
      <c r="J2664">
        <v>0</v>
      </c>
      <c r="K2664">
        <v>0</v>
      </c>
      <c r="L2664">
        <v>3145.3</v>
      </c>
      <c r="M2664">
        <v>314.52999999999997</v>
      </c>
      <c r="O2664" s="79">
        <f>IFERROR(VLOOKUP(D2664,'KAPANAN BLD.'!$C$2:$D$793,2,FALSE),0)</f>
        <v>0</v>
      </c>
      <c r="P2664" s="79">
        <v>0</v>
      </c>
    </row>
    <row r="2665" spans="1:16" x14ac:dyDescent="0.25">
      <c r="A2665" t="s">
        <v>32</v>
      </c>
      <c r="B2665" s="73" t="str">
        <f>VLOOKUP(C2665,'Büyükşehir List'!$C$2:$D$31,2,FALSE)</f>
        <v>SAKARYA BÜYÜKŞEHİR</v>
      </c>
      <c r="C2665" t="s">
        <v>132</v>
      </c>
      <c r="D2665" s="73" t="str">
        <f t="shared" si="62"/>
        <v>SAKARYA BÜYÜKŞEHİR/SAKARYA</v>
      </c>
      <c r="E2665" t="s">
        <v>3850</v>
      </c>
      <c r="F2665" t="s">
        <v>3850</v>
      </c>
      <c r="G2665" t="s">
        <v>3367</v>
      </c>
      <c r="H2665">
        <v>1197.5</v>
      </c>
      <c r="I2665">
        <v>119.75</v>
      </c>
      <c r="J2665">
        <v>82.9</v>
      </c>
      <c r="K2665">
        <v>8.2899999999999991</v>
      </c>
      <c r="L2665">
        <v>1114.5999999999999</v>
      </c>
      <c r="M2665">
        <v>111.46</v>
      </c>
      <c r="O2665" s="79">
        <f>IFERROR(VLOOKUP(D2665,'KAPANAN BLD.'!$C$2:$D$793,2,FALSE),0)</f>
        <v>0</v>
      </c>
      <c r="P2665" s="79">
        <v>0</v>
      </c>
    </row>
    <row r="2666" spans="1:16" x14ac:dyDescent="0.25">
      <c r="A2666" t="s">
        <v>32</v>
      </c>
      <c r="B2666" s="73" t="str">
        <f>VLOOKUP(C2666,'Büyükşehir List'!$C$2:$D$31,2,FALSE)</f>
        <v>SAKARYA BÜYÜKŞEHİR</v>
      </c>
      <c r="C2666" t="s">
        <v>132</v>
      </c>
      <c r="D2666" s="73" t="str">
        <f t="shared" si="62"/>
        <v>SAKARYA BÜYÜKŞEHİR/SAKARYA</v>
      </c>
      <c r="E2666" t="s">
        <v>3850</v>
      </c>
      <c r="F2666" t="s">
        <v>3850</v>
      </c>
      <c r="G2666" t="s">
        <v>3366</v>
      </c>
      <c r="H2666">
        <v>1325</v>
      </c>
      <c r="I2666">
        <v>132.5</v>
      </c>
      <c r="J2666">
        <v>442.7</v>
      </c>
      <c r="K2666">
        <v>44.27</v>
      </c>
      <c r="L2666">
        <v>882.3</v>
      </c>
      <c r="M2666">
        <v>88.23</v>
      </c>
      <c r="O2666" s="79">
        <f>IFERROR(VLOOKUP(D2666,'KAPANAN BLD.'!$C$2:$D$793,2,FALSE),0)</f>
        <v>0</v>
      </c>
      <c r="P2666" s="79">
        <v>0</v>
      </c>
    </row>
    <row r="2667" spans="1:16" x14ac:dyDescent="0.25">
      <c r="A2667" t="s">
        <v>32</v>
      </c>
      <c r="B2667" s="73" t="str">
        <f>VLOOKUP(C2667,'Büyükşehir List'!$C$2:$D$31,2,FALSE)</f>
        <v>SAKARYA BÜYÜKŞEHİR</v>
      </c>
      <c r="C2667" t="s">
        <v>132</v>
      </c>
      <c r="D2667" s="73" t="str">
        <f t="shared" si="62"/>
        <v>SAKARYA BÜYÜKŞEHİR/SAKARYA</v>
      </c>
      <c r="E2667" t="s">
        <v>3851</v>
      </c>
      <c r="F2667" t="s">
        <v>3851</v>
      </c>
      <c r="G2667" t="s">
        <v>3367</v>
      </c>
      <c r="H2667">
        <v>522.20000000000005</v>
      </c>
      <c r="I2667">
        <v>52.22</v>
      </c>
      <c r="J2667">
        <v>0</v>
      </c>
      <c r="K2667">
        <v>0</v>
      </c>
      <c r="L2667">
        <v>522.20000000000005</v>
      </c>
      <c r="M2667">
        <v>52.22</v>
      </c>
      <c r="O2667" s="79">
        <f>IFERROR(VLOOKUP(D2667,'KAPANAN BLD.'!$C$2:$D$793,2,FALSE),0)</f>
        <v>0</v>
      </c>
      <c r="P2667" s="79">
        <v>0</v>
      </c>
    </row>
    <row r="2668" spans="1:16" x14ac:dyDescent="0.25">
      <c r="A2668" t="s">
        <v>32</v>
      </c>
      <c r="B2668" s="73" t="str">
        <f>VLOOKUP(C2668,'Büyükşehir List'!$C$2:$D$31,2,FALSE)</f>
        <v>SAKARYA BÜYÜKŞEHİR</v>
      </c>
      <c r="C2668" t="s">
        <v>132</v>
      </c>
      <c r="D2668" s="73" t="str">
        <f t="shared" si="62"/>
        <v>SAKARYA BÜYÜKŞEHİR/SAKARYA</v>
      </c>
      <c r="E2668" t="s">
        <v>3851</v>
      </c>
      <c r="F2668" t="s">
        <v>3851</v>
      </c>
      <c r="G2668" t="s">
        <v>3366</v>
      </c>
      <c r="H2668">
        <v>111.4</v>
      </c>
      <c r="I2668">
        <v>11.14</v>
      </c>
      <c r="J2668">
        <v>0</v>
      </c>
      <c r="K2668">
        <v>0</v>
      </c>
      <c r="L2668">
        <v>111.4</v>
      </c>
      <c r="M2668">
        <v>11.14</v>
      </c>
      <c r="O2668" s="79">
        <f>IFERROR(VLOOKUP(D2668,'KAPANAN BLD.'!$C$2:$D$793,2,FALSE),0)</f>
        <v>0</v>
      </c>
      <c r="P2668" s="79">
        <v>0</v>
      </c>
    </row>
    <row r="2669" spans="1:16" x14ac:dyDescent="0.25">
      <c r="A2669" t="s">
        <v>32</v>
      </c>
      <c r="B2669" s="73" t="str">
        <f>VLOOKUP(C2669,'Büyükşehir List'!$C$2:$D$31,2,FALSE)</f>
        <v>SAKARYA BÜYÜKŞEHİR</v>
      </c>
      <c r="C2669" t="s">
        <v>132</v>
      </c>
      <c r="D2669" s="73" t="str">
        <f t="shared" si="62"/>
        <v>SAKARYA BÜYÜKŞEHİR/SAKARYA</v>
      </c>
      <c r="E2669" t="s">
        <v>349</v>
      </c>
      <c r="F2669" t="s">
        <v>349</v>
      </c>
      <c r="G2669" t="s">
        <v>3367</v>
      </c>
      <c r="H2669">
        <v>762.9</v>
      </c>
      <c r="I2669">
        <v>76.290000000000006</v>
      </c>
      <c r="J2669">
        <v>0</v>
      </c>
      <c r="K2669">
        <v>0</v>
      </c>
      <c r="L2669">
        <v>762.9</v>
      </c>
      <c r="M2669">
        <v>76.290000000000006</v>
      </c>
      <c r="O2669" s="79">
        <f>IFERROR(VLOOKUP(D2669,'KAPANAN BLD.'!$C$2:$D$793,2,FALSE),0)</f>
        <v>0</v>
      </c>
      <c r="P2669" s="79">
        <v>0</v>
      </c>
    </row>
    <row r="2670" spans="1:16" x14ac:dyDescent="0.25">
      <c r="A2670" t="s">
        <v>32</v>
      </c>
      <c r="B2670" s="73" t="str">
        <f>VLOOKUP(C2670,'Büyükşehir List'!$C$2:$D$31,2,FALSE)</f>
        <v>SAKARYA BÜYÜKŞEHİR</v>
      </c>
      <c r="C2670" t="s">
        <v>132</v>
      </c>
      <c r="D2670" s="73" t="str">
        <f t="shared" si="62"/>
        <v>SAKARYA BÜYÜKŞEHİR/SAKARYA</v>
      </c>
      <c r="E2670" t="s">
        <v>349</v>
      </c>
      <c r="F2670" t="s">
        <v>349</v>
      </c>
      <c r="G2670" t="s">
        <v>3366</v>
      </c>
      <c r="H2670">
        <v>1907.7</v>
      </c>
      <c r="I2670">
        <v>190.77</v>
      </c>
      <c r="J2670">
        <v>0</v>
      </c>
      <c r="K2670">
        <v>0</v>
      </c>
      <c r="L2670">
        <v>1907.7</v>
      </c>
      <c r="M2670">
        <v>190.77</v>
      </c>
      <c r="O2670" s="79">
        <f>IFERROR(VLOOKUP(D2670,'KAPANAN BLD.'!$C$2:$D$793,2,FALSE),0)</f>
        <v>0</v>
      </c>
      <c r="P2670" s="79">
        <v>0</v>
      </c>
    </row>
    <row r="2671" spans="1:16" x14ac:dyDescent="0.25">
      <c r="A2671" t="s">
        <v>32</v>
      </c>
      <c r="B2671" s="73" t="str">
        <f>VLOOKUP(C2671,'Büyükşehir List'!$C$2:$D$31,2,FALSE)</f>
        <v>SAKARYA BÜYÜKŞEHİR</v>
      </c>
      <c r="C2671" t="s">
        <v>132</v>
      </c>
      <c r="D2671" s="73" t="str">
        <f t="shared" si="62"/>
        <v>SAKARYA BÜYÜKŞEHİR/SAKARYA</v>
      </c>
      <c r="E2671" t="s">
        <v>242</v>
      </c>
      <c r="F2671" t="s">
        <v>242</v>
      </c>
      <c r="G2671" t="s">
        <v>3367</v>
      </c>
      <c r="H2671">
        <v>2296.3000000000002</v>
      </c>
      <c r="I2671">
        <v>229.63</v>
      </c>
      <c r="J2671">
        <v>50.4</v>
      </c>
      <c r="K2671">
        <v>5.04</v>
      </c>
      <c r="L2671">
        <v>2245.9</v>
      </c>
      <c r="M2671">
        <v>224.59</v>
      </c>
      <c r="O2671" s="79">
        <f>IFERROR(VLOOKUP(D2671,'KAPANAN BLD.'!$C$2:$D$793,2,FALSE),0)</f>
        <v>0</v>
      </c>
      <c r="P2671" s="79">
        <v>0</v>
      </c>
    </row>
    <row r="2672" spans="1:16" x14ac:dyDescent="0.25">
      <c r="A2672" t="s">
        <v>32</v>
      </c>
      <c r="B2672" s="73" t="str">
        <f>VLOOKUP(C2672,'Büyükşehir List'!$C$2:$D$31,2,FALSE)</f>
        <v>SAKARYA BÜYÜKŞEHİR</v>
      </c>
      <c r="C2672" t="s">
        <v>132</v>
      </c>
      <c r="D2672" s="73" t="str">
        <f t="shared" si="62"/>
        <v>SAKARYA BÜYÜKŞEHİR/SAKARYA</v>
      </c>
      <c r="E2672" t="s">
        <v>242</v>
      </c>
      <c r="F2672" t="s">
        <v>242</v>
      </c>
      <c r="G2672" t="s">
        <v>3366</v>
      </c>
      <c r="H2672">
        <v>3003.9</v>
      </c>
      <c r="I2672">
        <v>300.39</v>
      </c>
      <c r="J2672">
        <v>506.1</v>
      </c>
      <c r="K2672">
        <v>50.61</v>
      </c>
      <c r="L2672">
        <v>2497.8000000000002</v>
      </c>
      <c r="M2672">
        <v>249.78</v>
      </c>
      <c r="O2672" s="79">
        <f>IFERROR(VLOOKUP(D2672,'KAPANAN BLD.'!$C$2:$D$793,2,FALSE),0)</f>
        <v>0</v>
      </c>
      <c r="P2672" s="79">
        <v>0</v>
      </c>
    </row>
    <row r="2673" spans="1:16" x14ac:dyDescent="0.25">
      <c r="A2673" t="s">
        <v>32</v>
      </c>
      <c r="B2673" s="73" t="str">
        <f>VLOOKUP(C2673,'Büyükşehir List'!$C$2:$D$31,2,FALSE)</f>
        <v>SAKARYA BÜYÜKŞEHİR</v>
      </c>
      <c r="C2673" t="s">
        <v>132</v>
      </c>
      <c r="D2673" s="73" t="str">
        <f t="shared" si="62"/>
        <v>SAKARYA BÜYÜKŞEHİR/SAKARYA</v>
      </c>
      <c r="E2673" t="s">
        <v>1883</v>
      </c>
      <c r="F2673" t="s">
        <v>1883</v>
      </c>
      <c r="G2673" t="s">
        <v>3366</v>
      </c>
      <c r="H2673">
        <v>19592.3</v>
      </c>
      <c r="I2673">
        <v>1959.23</v>
      </c>
      <c r="J2673">
        <v>2147.8000000000002</v>
      </c>
      <c r="K2673">
        <v>214.78</v>
      </c>
      <c r="L2673">
        <v>17444.5</v>
      </c>
      <c r="M2673">
        <v>1744.45</v>
      </c>
      <c r="O2673" s="79">
        <f>IFERROR(VLOOKUP(D2673,'KAPANAN BLD.'!$C$2:$D$793,2,FALSE),0)</f>
        <v>0</v>
      </c>
      <c r="P2673" s="79">
        <v>0</v>
      </c>
    </row>
    <row r="2674" spans="1:16" x14ac:dyDescent="0.25">
      <c r="A2674" t="s">
        <v>32</v>
      </c>
      <c r="B2674" s="73" t="str">
        <f>VLOOKUP(C2674,'Büyükşehir List'!$C$2:$D$31,2,FALSE)</f>
        <v>SAKARYA BÜYÜKŞEHİR</v>
      </c>
      <c r="C2674" t="s">
        <v>132</v>
      </c>
      <c r="D2674" s="73" t="str">
        <f t="shared" si="62"/>
        <v>SAKARYA BÜYÜKŞEHİR/SAKARYA</v>
      </c>
      <c r="E2674" t="s">
        <v>1883</v>
      </c>
      <c r="F2674" t="s">
        <v>1883</v>
      </c>
      <c r="G2674" t="s">
        <v>3367</v>
      </c>
      <c r="H2674">
        <v>36560.400000000001</v>
      </c>
      <c r="I2674">
        <v>3656.04</v>
      </c>
      <c r="J2674">
        <v>1396.4</v>
      </c>
      <c r="K2674">
        <v>139.63999999999999</v>
      </c>
      <c r="L2674">
        <v>35164</v>
      </c>
      <c r="M2674">
        <v>3516.4</v>
      </c>
      <c r="O2674" s="79">
        <f>IFERROR(VLOOKUP(D2674,'KAPANAN BLD.'!$C$2:$D$793,2,FALSE),0)</f>
        <v>0</v>
      </c>
      <c r="P2674" s="79">
        <v>0</v>
      </c>
    </row>
    <row r="2675" spans="1:16" x14ac:dyDescent="0.25">
      <c r="A2675" t="s">
        <v>32</v>
      </c>
      <c r="B2675" s="73" t="str">
        <f>VLOOKUP(C2675,'Büyükşehir List'!$C$2:$D$31,2,FALSE)</f>
        <v>SAKARYA BÜYÜKŞEHİR</v>
      </c>
      <c r="C2675" t="s">
        <v>132</v>
      </c>
      <c r="D2675" s="73" t="str">
        <f t="shared" si="62"/>
        <v>SAKARYA BÜYÜKŞEHİR/SAKARYA</v>
      </c>
      <c r="E2675" t="s">
        <v>1883</v>
      </c>
      <c r="F2675" t="s">
        <v>1883</v>
      </c>
      <c r="G2675" t="s">
        <v>3367</v>
      </c>
      <c r="H2675">
        <v>53643.96</v>
      </c>
      <c r="I2675">
        <v>5364.41</v>
      </c>
      <c r="J2675">
        <v>5428.97</v>
      </c>
      <c r="K2675">
        <v>542.9</v>
      </c>
      <c r="L2675">
        <v>48214.99</v>
      </c>
      <c r="M2675">
        <v>4821.51</v>
      </c>
      <c r="O2675" s="79">
        <f>IFERROR(VLOOKUP(D2675,'KAPANAN BLD.'!$C$2:$D$793,2,FALSE),0)</f>
        <v>0</v>
      </c>
      <c r="P2675" s="79">
        <v>0</v>
      </c>
    </row>
    <row r="2676" spans="1:16" x14ac:dyDescent="0.25">
      <c r="A2676" t="s">
        <v>32</v>
      </c>
      <c r="B2676" s="73" t="str">
        <f>VLOOKUP(C2676,'Büyükşehir List'!$C$2:$D$31,2,FALSE)</f>
        <v>SAKARYA BÜYÜKŞEHİR</v>
      </c>
      <c r="C2676" t="s">
        <v>132</v>
      </c>
      <c r="D2676" s="73" t="str">
        <f t="shared" si="62"/>
        <v>SAKARYA BÜYÜKŞEHİR/SAKARYA</v>
      </c>
      <c r="E2676" t="s">
        <v>1883</v>
      </c>
      <c r="F2676" t="s">
        <v>1883</v>
      </c>
      <c r="G2676" t="s">
        <v>3366</v>
      </c>
      <c r="H2676">
        <v>35812.92</v>
      </c>
      <c r="I2676">
        <v>3581.29</v>
      </c>
      <c r="J2676">
        <v>3955.85</v>
      </c>
      <c r="K2676">
        <v>395.58</v>
      </c>
      <c r="L2676">
        <v>31857.07</v>
      </c>
      <c r="M2676">
        <v>3185.71</v>
      </c>
      <c r="O2676" s="79">
        <f>IFERROR(VLOOKUP(D2676,'KAPANAN BLD.'!$C$2:$D$793,2,FALSE),0)</f>
        <v>0</v>
      </c>
      <c r="P2676" s="79">
        <v>0</v>
      </c>
    </row>
    <row r="2677" spans="1:16" x14ac:dyDescent="0.25">
      <c r="A2677" t="s">
        <v>32</v>
      </c>
      <c r="B2677" s="73" t="str">
        <f>VLOOKUP(C2677,'Büyükşehir List'!$C$2:$D$31,2,FALSE)</f>
        <v>SAKARYA BÜYÜKŞEHİR</v>
      </c>
      <c r="C2677" t="s">
        <v>132</v>
      </c>
      <c r="D2677" s="73" t="str">
        <f t="shared" si="62"/>
        <v>SAKARYA BÜYÜKŞEHİR/SAKARYA</v>
      </c>
      <c r="E2677" t="s">
        <v>4533</v>
      </c>
      <c r="F2677" t="s">
        <v>4533</v>
      </c>
      <c r="G2677" t="s">
        <v>3367</v>
      </c>
      <c r="H2677">
        <v>118.4</v>
      </c>
      <c r="I2677">
        <v>11.84</v>
      </c>
      <c r="J2677">
        <v>0</v>
      </c>
      <c r="K2677">
        <v>0</v>
      </c>
      <c r="L2677">
        <v>118.4</v>
      </c>
      <c r="M2677">
        <v>11.84</v>
      </c>
      <c r="O2677" s="79">
        <f>IFERROR(VLOOKUP(D2677,'KAPANAN BLD.'!$C$2:$D$793,2,FALSE),0)</f>
        <v>0</v>
      </c>
      <c r="P2677" s="79">
        <v>0</v>
      </c>
    </row>
    <row r="2678" spans="1:16" x14ac:dyDescent="0.25">
      <c r="A2678" t="s">
        <v>32</v>
      </c>
      <c r="B2678" s="73" t="str">
        <f>VLOOKUP(C2678,'Büyükşehir List'!$C$2:$D$31,2,FALSE)</f>
        <v>SAKARYA BÜYÜKŞEHİR</v>
      </c>
      <c r="C2678" t="s">
        <v>132</v>
      </c>
      <c r="D2678" s="73" t="str">
        <f t="shared" si="62"/>
        <v>SAKARYA BÜYÜKŞEHİR/SAKARYA</v>
      </c>
      <c r="E2678" t="s">
        <v>4533</v>
      </c>
      <c r="F2678" t="s">
        <v>4533</v>
      </c>
      <c r="G2678" t="s">
        <v>3366</v>
      </c>
      <c r="H2678">
        <v>121.7</v>
      </c>
      <c r="I2678">
        <v>12.17</v>
      </c>
      <c r="J2678">
        <v>0</v>
      </c>
      <c r="K2678">
        <v>0</v>
      </c>
      <c r="L2678">
        <v>121.7</v>
      </c>
      <c r="M2678">
        <v>12.17</v>
      </c>
      <c r="O2678" s="79">
        <f>IFERROR(VLOOKUP(D2678,'KAPANAN BLD.'!$C$2:$D$793,2,FALSE),0)</f>
        <v>0</v>
      </c>
      <c r="P2678" s="79">
        <v>0</v>
      </c>
    </row>
    <row r="2679" spans="1:16" x14ac:dyDescent="0.25">
      <c r="A2679" t="s">
        <v>32</v>
      </c>
      <c r="B2679" s="73" t="str">
        <f>VLOOKUP(C2679,'Büyükşehir List'!$C$2:$D$31,2,FALSE)</f>
        <v>SAKARYA BÜYÜKŞEHİR</v>
      </c>
      <c r="C2679" t="s">
        <v>132</v>
      </c>
      <c r="D2679" s="73" t="str">
        <f t="shared" si="62"/>
        <v>SAKARYA BÜYÜKŞEHİR/SAKARYA</v>
      </c>
      <c r="E2679" t="s">
        <v>1883</v>
      </c>
      <c r="F2679" t="s">
        <v>1883</v>
      </c>
      <c r="G2679" t="s">
        <v>3367</v>
      </c>
      <c r="H2679">
        <v>372.7</v>
      </c>
      <c r="I2679">
        <v>37.270000000000003</v>
      </c>
      <c r="J2679">
        <v>0</v>
      </c>
      <c r="K2679">
        <v>0</v>
      </c>
      <c r="L2679">
        <v>372.7</v>
      </c>
      <c r="M2679">
        <v>37.270000000000003</v>
      </c>
      <c r="O2679" s="79">
        <f>IFERROR(VLOOKUP(D2679,'KAPANAN BLD.'!$C$2:$D$793,2,FALSE),0)</f>
        <v>0</v>
      </c>
      <c r="P2679" s="79">
        <v>0</v>
      </c>
    </row>
    <row r="2680" spans="1:16" x14ac:dyDescent="0.25">
      <c r="A2680" t="s">
        <v>32</v>
      </c>
      <c r="B2680" s="73" t="str">
        <f>VLOOKUP(C2680,'Büyükşehir List'!$C$2:$D$31,2,FALSE)</f>
        <v>SAKARYA BÜYÜKŞEHİR</v>
      </c>
      <c r="C2680" t="s">
        <v>132</v>
      </c>
      <c r="D2680" s="73" t="str">
        <f t="shared" si="62"/>
        <v>SAKARYA BÜYÜKŞEHİR/SAKARYA</v>
      </c>
      <c r="E2680" t="s">
        <v>1883</v>
      </c>
      <c r="F2680" t="s">
        <v>1883</v>
      </c>
      <c r="G2680" t="s">
        <v>3366</v>
      </c>
      <c r="H2680">
        <v>1165.0999999999999</v>
      </c>
      <c r="I2680">
        <v>116.51</v>
      </c>
      <c r="J2680">
        <v>0</v>
      </c>
      <c r="K2680">
        <v>0</v>
      </c>
      <c r="L2680">
        <v>1165.0999999999999</v>
      </c>
      <c r="M2680">
        <v>116.51</v>
      </c>
      <c r="O2680" s="79">
        <f>IFERROR(VLOOKUP(D2680,'KAPANAN BLD.'!$C$2:$D$793,2,FALSE),0)</f>
        <v>0</v>
      </c>
      <c r="P2680" s="79">
        <v>0</v>
      </c>
    </row>
    <row r="2681" spans="1:16" x14ac:dyDescent="0.25">
      <c r="A2681" t="s">
        <v>32</v>
      </c>
      <c r="B2681" s="73" t="str">
        <f>VLOOKUP(C2681,'Büyükşehir List'!$C$2:$D$31,2,FALSE)</f>
        <v>SAKARYA BÜYÜKŞEHİR</v>
      </c>
      <c r="C2681" t="s">
        <v>132</v>
      </c>
      <c r="D2681" s="73" t="str">
        <f t="shared" si="62"/>
        <v>SAKARYA BÜYÜKŞEHİR/SAKARYA</v>
      </c>
      <c r="E2681" t="s">
        <v>1884</v>
      </c>
      <c r="F2681" t="s">
        <v>1884</v>
      </c>
      <c r="G2681" t="s">
        <v>3367</v>
      </c>
      <c r="H2681">
        <v>0.3</v>
      </c>
      <c r="I2681">
        <v>0.03</v>
      </c>
      <c r="J2681">
        <v>0</v>
      </c>
      <c r="K2681">
        <v>0</v>
      </c>
      <c r="L2681">
        <v>0.3</v>
      </c>
      <c r="M2681">
        <v>0.03</v>
      </c>
      <c r="O2681" s="79">
        <f>IFERROR(VLOOKUP(D2681,'KAPANAN BLD.'!$C$2:$D$793,2,FALSE),0)</f>
        <v>0</v>
      </c>
      <c r="P2681" s="79">
        <v>0</v>
      </c>
    </row>
    <row r="2682" spans="1:16" x14ac:dyDescent="0.25">
      <c r="A2682" t="s">
        <v>32</v>
      </c>
      <c r="B2682" s="73" t="str">
        <f>VLOOKUP(C2682,'Büyükşehir List'!$C$2:$D$31,2,FALSE)</f>
        <v>SAKARYA BÜYÜKŞEHİR</v>
      </c>
      <c r="C2682" t="s">
        <v>132</v>
      </c>
      <c r="D2682" s="73" t="str">
        <f t="shared" si="62"/>
        <v>SAKARYA BÜYÜKŞEHİR/SAKARYA</v>
      </c>
      <c r="E2682" t="s">
        <v>3852</v>
      </c>
      <c r="F2682" t="s">
        <v>3852</v>
      </c>
      <c r="G2682" t="s">
        <v>3367</v>
      </c>
      <c r="H2682">
        <v>1816.2</v>
      </c>
      <c r="I2682">
        <v>181.62</v>
      </c>
      <c r="J2682">
        <v>552.79999999999995</v>
      </c>
      <c r="K2682">
        <v>55.28</v>
      </c>
      <c r="L2682">
        <v>1263.4000000000001</v>
      </c>
      <c r="M2682">
        <v>126.34</v>
      </c>
      <c r="O2682" s="79">
        <f>IFERROR(VLOOKUP(D2682,'KAPANAN BLD.'!$C$2:$D$793,2,FALSE),0)</f>
        <v>0</v>
      </c>
      <c r="P2682" s="79">
        <v>0</v>
      </c>
    </row>
    <row r="2683" spans="1:16" x14ac:dyDescent="0.25">
      <c r="A2683" t="s">
        <v>32</v>
      </c>
      <c r="B2683" s="73" t="str">
        <f>VLOOKUP(C2683,'Büyükşehir List'!$C$2:$D$31,2,FALSE)</f>
        <v>SAKARYA BÜYÜKŞEHİR</v>
      </c>
      <c r="C2683" t="s">
        <v>132</v>
      </c>
      <c r="D2683" s="73" t="str">
        <f t="shared" si="62"/>
        <v>SAKARYA BÜYÜKŞEHİR/SAKARYA</v>
      </c>
      <c r="E2683" t="s">
        <v>3852</v>
      </c>
      <c r="F2683" t="s">
        <v>3852</v>
      </c>
      <c r="G2683" t="s">
        <v>3366</v>
      </c>
      <c r="H2683">
        <v>2882.6</v>
      </c>
      <c r="I2683">
        <v>288.26</v>
      </c>
      <c r="J2683">
        <v>526.70000000000005</v>
      </c>
      <c r="K2683">
        <v>52.67</v>
      </c>
      <c r="L2683">
        <v>2355.9</v>
      </c>
      <c r="M2683">
        <v>235.59</v>
      </c>
      <c r="O2683" s="79">
        <f>IFERROR(VLOOKUP(D2683,'KAPANAN BLD.'!$C$2:$D$793,2,FALSE),0)</f>
        <v>0</v>
      </c>
      <c r="P2683" s="79">
        <v>0</v>
      </c>
    </row>
    <row r="2684" spans="1:16" x14ac:dyDescent="0.25">
      <c r="A2684" t="s">
        <v>32</v>
      </c>
      <c r="B2684" s="73" t="str">
        <f>VLOOKUP(C2684,'Büyükşehir List'!$C$2:$D$31,2,FALSE)</f>
        <v>SAMSUN BÜYÜKŞEHİR</v>
      </c>
      <c r="C2684" t="s">
        <v>134</v>
      </c>
      <c r="D2684" s="73" t="str">
        <f t="shared" si="62"/>
        <v>SAMSUN BÜYÜKŞEHİR/SAMSUN</v>
      </c>
      <c r="E2684" t="s">
        <v>3976</v>
      </c>
      <c r="F2684" t="s">
        <v>3976</v>
      </c>
      <c r="G2684" t="s">
        <v>3367</v>
      </c>
      <c r="H2684">
        <v>55.8</v>
      </c>
      <c r="I2684">
        <v>5.58</v>
      </c>
      <c r="J2684">
        <v>0</v>
      </c>
      <c r="K2684">
        <v>0</v>
      </c>
      <c r="L2684">
        <v>55.8</v>
      </c>
      <c r="M2684">
        <v>5.58</v>
      </c>
      <c r="O2684" s="79">
        <f>IFERROR(VLOOKUP(D2684,'KAPANAN BLD.'!$C$2:$D$793,2,FALSE),0)</f>
        <v>0</v>
      </c>
      <c r="P2684" s="79">
        <v>0</v>
      </c>
    </row>
    <row r="2685" spans="1:16" x14ac:dyDescent="0.25">
      <c r="A2685" t="s">
        <v>32</v>
      </c>
      <c r="B2685" s="73" t="str">
        <f>VLOOKUP(C2685,'Büyükşehir List'!$C$2:$D$31,2,FALSE)</f>
        <v>SAMSUN BÜYÜKŞEHİR</v>
      </c>
      <c r="C2685" t="s">
        <v>134</v>
      </c>
      <c r="D2685" s="73" t="str">
        <f t="shared" si="62"/>
        <v>SAMSUN BÜYÜKŞEHİR/SAMSUN</v>
      </c>
      <c r="E2685" t="s">
        <v>3976</v>
      </c>
      <c r="F2685" t="s">
        <v>3976</v>
      </c>
      <c r="G2685" t="s">
        <v>3366</v>
      </c>
      <c r="H2685">
        <v>609.4</v>
      </c>
      <c r="I2685">
        <v>60.94</v>
      </c>
      <c r="J2685">
        <v>0</v>
      </c>
      <c r="K2685">
        <v>0</v>
      </c>
      <c r="L2685">
        <v>609.4</v>
      </c>
      <c r="M2685">
        <v>60.94</v>
      </c>
      <c r="O2685" s="79">
        <f>IFERROR(VLOOKUP(D2685,'KAPANAN BLD.'!$C$2:$D$793,2,FALSE),0)</f>
        <v>0</v>
      </c>
      <c r="P2685" s="79">
        <v>0</v>
      </c>
    </row>
    <row r="2686" spans="1:16" x14ac:dyDescent="0.25">
      <c r="A2686" t="s">
        <v>32</v>
      </c>
      <c r="B2686" s="73" t="str">
        <f>VLOOKUP(C2686,'Büyükşehir List'!$C$2:$D$31,2,FALSE)</f>
        <v>SAMSUN BÜYÜKŞEHİR</v>
      </c>
      <c r="C2686" t="s">
        <v>134</v>
      </c>
      <c r="D2686" s="73" t="str">
        <f t="shared" si="62"/>
        <v>SAMSUN BÜYÜKŞEHİR/SAMSUN</v>
      </c>
      <c r="E2686" t="s">
        <v>4036</v>
      </c>
      <c r="F2686" t="s">
        <v>4036</v>
      </c>
      <c r="G2686" t="s">
        <v>3366</v>
      </c>
      <c r="H2686">
        <v>238.7</v>
      </c>
      <c r="I2686">
        <v>23.87</v>
      </c>
      <c r="J2686">
        <v>0</v>
      </c>
      <c r="K2686">
        <v>0</v>
      </c>
      <c r="L2686">
        <v>238.7</v>
      </c>
      <c r="M2686">
        <v>23.87</v>
      </c>
      <c r="O2686" s="79">
        <f>IFERROR(VLOOKUP(D2686,'KAPANAN BLD.'!$C$2:$D$793,2,FALSE),0)</f>
        <v>0</v>
      </c>
      <c r="P2686" s="79">
        <v>0</v>
      </c>
    </row>
    <row r="2687" spans="1:16" x14ac:dyDescent="0.25">
      <c r="A2687" t="s">
        <v>32</v>
      </c>
      <c r="B2687" s="73" t="str">
        <f>VLOOKUP(C2687,'Büyükşehir List'!$C$2:$D$31,2,FALSE)</f>
        <v>SAMSUN BÜYÜKŞEHİR</v>
      </c>
      <c r="C2687" t="s">
        <v>134</v>
      </c>
      <c r="D2687" s="73" t="str">
        <f t="shared" si="62"/>
        <v>SAMSUN BÜYÜKŞEHİR/SAMSUN</v>
      </c>
      <c r="E2687" t="s">
        <v>4036</v>
      </c>
      <c r="F2687" t="s">
        <v>4036</v>
      </c>
      <c r="G2687" t="s">
        <v>3367</v>
      </c>
      <c r="H2687">
        <v>79.8</v>
      </c>
      <c r="I2687">
        <v>7.98</v>
      </c>
      <c r="J2687">
        <v>0</v>
      </c>
      <c r="K2687">
        <v>0</v>
      </c>
      <c r="L2687">
        <v>79.8</v>
      </c>
      <c r="M2687">
        <v>7.98</v>
      </c>
      <c r="O2687" s="79">
        <f>IFERROR(VLOOKUP(D2687,'KAPANAN BLD.'!$C$2:$D$793,2,FALSE),0)</f>
        <v>0</v>
      </c>
      <c r="P2687" s="79">
        <v>0</v>
      </c>
    </row>
    <row r="2688" spans="1:16" x14ac:dyDescent="0.25">
      <c r="A2688" t="s">
        <v>32</v>
      </c>
      <c r="B2688" s="73" t="str">
        <f>VLOOKUP(C2688,'Büyükşehir List'!$C$2:$D$31,2,FALSE)</f>
        <v>SAMSUN BÜYÜKŞEHİR</v>
      </c>
      <c r="C2688" t="s">
        <v>134</v>
      </c>
      <c r="D2688" s="73" t="str">
        <f t="shared" si="62"/>
        <v>SAMSUN BÜYÜKŞEHİR/SAMSUN</v>
      </c>
      <c r="E2688" t="s">
        <v>4233</v>
      </c>
      <c r="F2688" t="s">
        <v>4233</v>
      </c>
      <c r="G2688" t="s">
        <v>3367</v>
      </c>
      <c r="H2688">
        <v>31.9</v>
      </c>
      <c r="I2688">
        <v>3.19</v>
      </c>
      <c r="J2688">
        <v>160.30000000000001</v>
      </c>
      <c r="K2688">
        <v>16.03</v>
      </c>
      <c r="L2688">
        <v>-128.4</v>
      </c>
      <c r="M2688">
        <v>-12.84</v>
      </c>
      <c r="O2688" s="79">
        <f>IFERROR(VLOOKUP(D2688,'KAPANAN BLD.'!$C$2:$D$793,2,FALSE),0)</f>
        <v>0</v>
      </c>
      <c r="P2688" s="79">
        <v>0</v>
      </c>
    </row>
    <row r="2689" spans="1:16" x14ac:dyDescent="0.25">
      <c r="A2689" t="s">
        <v>32</v>
      </c>
      <c r="B2689" s="73" t="str">
        <f>VLOOKUP(C2689,'Büyükşehir List'!$C$2:$D$31,2,FALSE)</f>
        <v>SAMSUN BÜYÜKŞEHİR</v>
      </c>
      <c r="C2689" t="s">
        <v>134</v>
      </c>
      <c r="D2689" s="73" t="str">
        <f t="shared" si="62"/>
        <v>SAMSUN BÜYÜKŞEHİR/SAMSUN</v>
      </c>
      <c r="E2689" t="s">
        <v>1885</v>
      </c>
      <c r="F2689" t="s">
        <v>1885</v>
      </c>
      <c r="G2689" t="s">
        <v>3366</v>
      </c>
      <c r="H2689">
        <v>15029.48</v>
      </c>
      <c r="I2689">
        <v>1502.94</v>
      </c>
      <c r="J2689">
        <v>7185.1</v>
      </c>
      <c r="K2689">
        <v>718.51</v>
      </c>
      <c r="L2689">
        <v>7844.38</v>
      </c>
      <c r="M2689">
        <v>784.43</v>
      </c>
      <c r="O2689" s="79">
        <f>IFERROR(VLOOKUP(D2689,'KAPANAN BLD.'!$C$2:$D$793,2,FALSE),0)</f>
        <v>0</v>
      </c>
      <c r="P2689" s="79">
        <v>0</v>
      </c>
    </row>
    <row r="2690" spans="1:16" x14ac:dyDescent="0.25">
      <c r="A2690" t="s">
        <v>32</v>
      </c>
      <c r="B2690" s="73" t="str">
        <f>VLOOKUP(C2690,'Büyükşehir List'!$C$2:$D$31,2,FALSE)</f>
        <v>SAMSUN BÜYÜKŞEHİR</v>
      </c>
      <c r="C2690" t="s">
        <v>134</v>
      </c>
      <c r="D2690" s="73" t="str">
        <f t="shared" si="62"/>
        <v>SAMSUN BÜYÜKŞEHİR/SAMSUN</v>
      </c>
      <c r="E2690" t="s">
        <v>1885</v>
      </c>
      <c r="F2690" t="s">
        <v>1885</v>
      </c>
      <c r="G2690" t="s">
        <v>3367</v>
      </c>
      <c r="H2690">
        <v>15783.43</v>
      </c>
      <c r="I2690">
        <v>1578.34</v>
      </c>
      <c r="J2690">
        <v>391.2</v>
      </c>
      <c r="K2690">
        <v>39.119999999999997</v>
      </c>
      <c r="L2690">
        <v>15392.23</v>
      </c>
      <c r="M2690">
        <v>1539.22</v>
      </c>
      <c r="O2690" s="79">
        <f>IFERROR(VLOOKUP(D2690,'KAPANAN BLD.'!$C$2:$D$793,2,FALSE),0)</f>
        <v>0</v>
      </c>
      <c r="P2690" s="79">
        <v>0</v>
      </c>
    </row>
    <row r="2691" spans="1:16" x14ac:dyDescent="0.25">
      <c r="A2691" t="s">
        <v>32</v>
      </c>
      <c r="B2691" s="73" t="str">
        <f>VLOOKUP(C2691,'Büyükşehir List'!$C$2:$D$31,2,FALSE)</f>
        <v>SAMSUN BÜYÜKŞEHİR</v>
      </c>
      <c r="C2691" t="s">
        <v>134</v>
      </c>
      <c r="D2691" s="73" t="str">
        <f t="shared" ref="D2691:D2754" si="63">CONCATENATE(B2691,"/",C2691)</f>
        <v>SAMSUN BÜYÜKŞEHİR/SAMSUN</v>
      </c>
      <c r="E2691" t="s">
        <v>4</v>
      </c>
      <c r="F2691" t="s">
        <v>4</v>
      </c>
      <c r="G2691" t="s">
        <v>3367</v>
      </c>
      <c r="H2691">
        <v>21.9</v>
      </c>
      <c r="I2691">
        <v>2.19</v>
      </c>
      <c r="J2691">
        <v>0</v>
      </c>
      <c r="K2691">
        <v>0</v>
      </c>
      <c r="L2691">
        <v>21.9</v>
      </c>
      <c r="M2691">
        <v>2.19</v>
      </c>
      <c r="O2691" s="79">
        <f>IFERROR(VLOOKUP(D2691,'KAPANAN BLD.'!$C$2:$D$793,2,FALSE),0)</f>
        <v>0</v>
      </c>
      <c r="P2691" s="79">
        <v>0</v>
      </c>
    </row>
    <row r="2692" spans="1:16" x14ac:dyDescent="0.25">
      <c r="A2692" t="s">
        <v>32</v>
      </c>
      <c r="B2692" s="73" t="str">
        <f>VLOOKUP(C2692,'Büyükşehir List'!$C$2:$D$31,2,FALSE)</f>
        <v>SAMSUN BÜYÜKŞEHİR</v>
      </c>
      <c r="C2692" t="s">
        <v>134</v>
      </c>
      <c r="D2692" s="73" t="str">
        <f t="shared" si="63"/>
        <v>SAMSUN BÜYÜKŞEHİR/SAMSUN</v>
      </c>
      <c r="E2692" t="s">
        <v>193</v>
      </c>
      <c r="F2692" t="s">
        <v>193</v>
      </c>
      <c r="G2692" t="s">
        <v>3366</v>
      </c>
      <c r="H2692">
        <v>1118</v>
      </c>
      <c r="I2692">
        <v>111.8</v>
      </c>
      <c r="J2692">
        <v>805.6</v>
      </c>
      <c r="K2692">
        <v>80.56</v>
      </c>
      <c r="L2692">
        <v>312.39999999999998</v>
      </c>
      <c r="M2692">
        <v>31.24</v>
      </c>
      <c r="O2692" s="79">
        <f>IFERROR(VLOOKUP(D2692,'KAPANAN BLD.'!$C$2:$D$793,2,FALSE),0)</f>
        <v>0</v>
      </c>
      <c r="P2692" s="79">
        <v>0</v>
      </c>
    </row>
    <row r="2693" spans="1:16" x14ac:dyDescent="0.25">
      <c r="A2693" t="s">
        <v>32</v>
      </c>
      <c r="B2693" s="73" t="str">
        <f>VLOOKUP(C2693,'Büyükşehir List'!$C$2:$D$31,2,FALSE)</f>
        <v>SAMSUN BÜYÜKŞEHİR</v>
      </c>
      <c r="C2693" t="s">
        <v>134</v>
      </c>
      <c r="D2693" s="73" t="str">
        <f t="shared" si="63"/>
        <v>SAMSUN BÜYÜKŞEHİR/SAMSUN</v>
      </c>
      <c r="E2693" t="s">
        <v>193</v>
      </c>
      <c r="F2693" t="s">
        <v>193</v>
      </c>
      <c r="G2693" t="s">
        <v>3367</v>
      </c>
      <c r="H2693">
        <v>153.69999999999999</v>
      </c>
      <c r="I2693">
        <v>15.37</v>
      </c>
      <c r="J2693">
        <v>90</v>
      </c>
      <c r="K2693">
        <v>9</v>
      </c>
      <c r="L2693">
        <v>63.7</v>
      </c>
      <c r="M2693">
        <v>6.37</v>
      </c>
      <c r="O2693" s="79">
        <f>IFERROR(VLOOKUP(D2693,'KAPANAN BLD.'!$C$2:$D$793,2,FALSE),0)</f>
        <v>0</v>
      </c>
      <c r="P2693" s="79">
        <v>0</v>
      </c>
    </row>
    <row r="2694" spans="1:16" x14ac:dyDescent="0.25">
      <c r="A2694" t="s">
        <v>32</v>
      </c>
      <c r="B2694" s="73" t="str">
        <f>VLOOKUP(C2694,'Büyükşehir List'!$C$2:$D$31,2,FALSE)</f>
        <v>SAMSUN BÜYÜKŞEHİR</v>
      </c>
      <c r="C2694" t="s">
        <v>134</v>
      </c>
      <c r="D2694" s="73" t="str">
        <f t="shared" si="63"/>
        <v>SAMSUN BÜYÜKŞEHİR/SAMSUN</v>
      </c>
      <c r="E2694" t="s">
        <v>4037</v>
      </c>
      <c r="F2694" t="s">
        <v>4037</v>
      </c>
      <c r="G2694" t="s">
        <v>3367</v>
      </c>
      <c r="H2694">
        <v>110.2</v>
      </c>
      <c r="I2694">
        <v>11.02</v>
      </c>
      <c r="J2694">
        <v>0</v>
      </c>
      <c r="K2694">
        <v>0</v>
      </c>
      <c r="L2694">
        <v>110.2</v>
      </c>
      <c r="M2694">
        <v>11.02</v>
      </c>
      <c r="O2694" s="79">
        <f>IFERROR(VLOOKUP(D2694,'KAPANAN BLD.'!$C$2:$D$793,2,FALSE),0)</f>
        <v>0</v>
      </c>
      <c r="P2694" s="79">
        <v>0</v>
      </c>
    </row>
    <row r="2695" spans="1:16" x14ac:dyDescent="0.25">
      <c r="A2695" t="s">
        <v>32</v>
      </c>
      <c r="B2695" s="73" t="str">
        <f>VLOOKUP(C2695,'Büyükşehir List'!$C$2:$D$31,2,FALSE)</f>
        <v>SAMSUN BÜYÜKŞEHİR</v>
      </c>
      <c r="C2695" t="s">
        <v>134</v>
      </c>
      <c r="D2695" s="73" t="str">
        <f t="shared" si="63"/>
        <v>SAMSUN BÜYÜKŞEHİR/SAMSUN</v>
      </c>
      <c r="E2695" t="s">
        <v>4037</v>
      </c>
      <c r="F2695" t="s">
        <v>4037</v>
      </c>
      <c r="G2695" t="s">
        <v>3366</v>
      </c>
      <c r="H2695">
        <v>587.1</v>
      </c>
      <c r="I2695">
        <v>58.71</v>
      </c>
      <c r="J2695">
        <v>0</v>
      </c>
      <c r="K2695">
        <v>0</v>
      </c>
      <c r="L2695">
        <v>587.1</v>
      </c>
      <c r="M2695">
        <v>58.71</v>
      </c>
      <c r="O2695" s="79">
        <f>IFERROR(VLOOKUP(D2695,'KAPANAN BLD.'!$C$2:$D$793,2,FALSE),0)</f>
        <v>0</v>
      </c>
      <c r="P2695" s="79">
        <v>0</v>
      </c>
    </row>
    <row r="2696" spans="1:16" x14ac:dyDescent="0.25">
      <c r="A2696" t="s">
        <v>32</v>
      </c>
      <c r="B2696" s="73" t="str">
        <f>VLOOKUP(C2696,'Büyükşehir List'!$C$2:$D$31,2,FALSE)</f>
        <v>SAMSUN BÜYÜKŞEHİR</v>
      </c>
      <c r="C2696" t="s">
        <v>134</v>
      </c>
      <c r="D2696" s="73" t="str">
        <f t="shared" si="63"/>
        <v>SAMSUN BÜYÜKŞEHİR/SAMSUN</v>
      </c>
      <c r="E2696" t="s">
        <v>3996</v>
      </c>
      <c r="F2696" t="s">
        <v>3996</v>
      </c>
      <c r="G2696" t="s">
        <v>3366</v>
      </c>
      <c r="H2696">
        <v>892.8</v>
      </c>
      <c r="I2696">
        <v>89.28</v>
      </c>
      <c r="J2696">
        <v>0</v>
      </c>
      <c r="K2696">
        <v>0</v>
      </c>
      <c r="L2696">
        <v>892.8</v>
      </c>
      <c r="M2696">
        <v>89.28</v>
      </c>
      <c r="O2696" s="79">
        <f>IFERROR(VLOOKUP(D2696,'KAPANAN BLD.'!$C$2:$D$793,2,FALSE),0)</f>
        <v>0</v>
      </c>
      <c r="P2696" s="79">
        <v>0</v>
      </c>
    </row>
    <row r="2697" spans="1:16" x14ac:dyDescent="0.25">
      <c r="A2697" t="s">
        <v>32</v>
      </c>
      <c r="B2697" s="73" t="str">
        <f>VLOOKUP(C2697,'Büyükşehir List'!$C$2:$D$31,2,FALSE)</f>
        <v>SAMSUN BÜYÜKŞEHİR</v>
      </c>
      <c r="C2697" t="s">
        <v>134</v>
      </c>
      <c r="D2697" s="73" t="str">
        <f t="shared" si="63"/>
        <v>SAMSUN BÜYÜKŞEHİR/SAMSUN</v>
      </c>
      <c r="E2697" t="s">
        <v>3996</v>
      </c>
      <c r="F2697" t="s">
        <v>3996</v>
      </c>
      <c r="G2697" t="s">
        <v>3367</v>
      </c>
      <c r="H2697">
        <v>311.8</v>
      </c>
      <c r="I2697">
        <v>31.18</v>
      </c>
      <c r="J2697">
        <v>0</v>
      </c>
      <c r="K2697">
        <v>0</v>
      </c>
      <c r="L2697">
        <v>311.8</v>
      </c>
      <c r="M2697">
        <v>31.18</v>
      </c>
      <c r="O2697" s="79">
        <f>IFERROR(VLOOKUP(D2697,'KAPANAN BLD.'!$C$2:$D$793,2,FALSE),0)</f>
        <v>0</v>
      </c>
      <c r="P2697" s="79">
        <v>0</v>
      </c>
    </row>
    <row r="2698" spans="1:16" x14ac:dyDescent="0.25">
      <c r="A2698" t="s">
        <v>32</v>
      </c>
      <c r="B2698" s="73" t="str">
        <f>VLOOKUP(C2698,'Büyükşehir List'!$C$2:$D$31,2,FALSE)</f>
        <v>SAMSUN BÜYÜKŞEHİR</v>
      </c>
      <c r="C2698" t="s">
        <v>134</v>
      </c>
      <c r="D2698" s="73" t="str">
        <f t="shared" si="63"/>
        <v>SAMSUN BÜYÜKŞEHİR/SAMSUN</v>
      </c>
      <c r="E2698" t="s">
        <v>1885</v>
      </c>
      <c r="F2698" t="s">
        <v>1885</v>
      </c>
      <c r="G2698" t="s">
        <v>3366</v>
      </c>
      <c r="H2698">
        <v>4371.1000000000004</v>
      </c>
      <c r="I2698">
        <v>437.11</v>
      </c>
      <c r="J2698">
        <v>722.6</v>
      </c>
      <c r="K2698">
        <v>72.260000000000005</v>
      </c>
      <c r="L2698">
        <v>3648.5</v>
      </c>
      <c r="M2698">
        <v>364.85</v>
      </c>
      <c r="O2698" s="79">
        <f>IFERROR(VLOOKUP(D2698,'KAPANAN BLD.'!$C$2:$D$793,2,FALSE),0)</f>
        <v>0</v>
      </c>
      <c r="P2698" s="79">
        <v>0</v>
      </c>
    </row>
    <row r="2699" spans="1:16" x14ac:dyDescent="0.25">
      <c r="A2699" t="s">
        <v>32</v>
      </c>
      <c r="B2699" s="73" t="str">
        <f>VLOOKUP(C2699,'Büyükşehir List'!$C$2:$D$31,2,FALSE)</f>
        <v>SAMSUN BÜYÜKŞEHİR</v>
      </c>
      <c r="C2699" t="s">
        <v>134</v>
      </c>
      <c r="D2699" s="73" t="str">
        <f t="shared" si="63"/>
        <v>SAMSUN BÜYÜKŞEHİR/SAMSUN</v>
      </c>
      <c r="E2699" t="s">
        <v>1885</v>
      </c>
      <c r="F2699" t="s">
        <v>1885</v>
      </c>
      <c r="G2699" t="s">
        <v>3367</v>
      </c>
      <c r="H2699">
        <v>7108.7</v>
      </c>
      <c r="I2699">
        <v>710.87</v>
      </c>
      <c r="J2699">
        <v>2233.4</v>
      </c>
      <c r="K2699">
        <v>223.34</v>
      </c>
      <c r="L2699">
        <v>4875.3</v>
      </c>
      <c r="M2699">
        <v>487.53</v>
      </c>
      <c r="O2699" s="79">
        <f>IFERROR(VLOOKUP(D2699,'KAPANAN BLD.'!$C$2:$D$793,2,FALSE),0)</f>
        <v>0</v>
      </c>
      <c r="P2699" s="79">
        <v>0</v>
      </c>
    </row>
    <row r="2700" spans="1:16" x14ac:dyDescent="0.25">
      <c r="A2700" t="s">
        <v>32</v>
      </c>
      <c r="B2700" s="73" t="str">
        <f>VLOOKUP(C2700,'Büyükşehir List'!$C$2:$D$31,2,FALSE)</f>
        <v>SAMSUN BÜYÜKŞEHİR</v>
      </c>
      <c r="C2700" t="s">
        <v>134</v>
      </c>
      <c r="D2700" s="73" t="str">
        <f t="shared" si="63"/>
        <v>SAMSUN BÜYÜKŞEHİR/SAMSUN</v>
      </c>
      <c r="E2700" t="s">
        <v>299</v>
      </c>
      <c r="F2700" t="s">
        <v>299</v>
      </c>
      <c r="G2700" t="s">
        <v>3367</v>
      </c>
      <c r="H2700">
        <v>162.5</v>
      </c>
      <c r="I2700">
        <v>16.25</v>
      </c>
      <c r="J2700">
        <v>117.4</v>
      </c>
      <c r="K2700">
        <v>11.74</v>
      </c>
      <c r="L2700">
        <v>45.1</v>
      </c>
      <c r="M2700">
        <v>4.51</v>
      </c>
      <c r="O2700" s="79">
        <f>IFERROR(VLOOKUP(D2700,'KAPANAN BLD.'!$C$2:$D$793,2,FALSE),0)</f>
        <v>0</v>
      </c>
      <c r="P2700" s="79">
        <v>0</v>
      </c>
    </row>
    <row r="2701" spans="1:16" x14ac:dyDescent="0.25">
      <c r="A2701" t="s">
        <v>32</v>
      </c>
      <c r="B2701" s="73" t="str">
        <f>VLOOKUP(C2701,'Büyükşehir List'!$C$2:$D$31,2,FALSE)</f>
        <v>SAMSUN BÜYÜKŞEHİR</v>
      </c>
      <c r="C2701" t="s">
        <v>134</v>
      </c>
      <c r="D2701" s="73" t="str">
        <f t="shared" si="63"/>
        <v>SAMSUN BÜYÜKŞEHİR/SAMSUN</v>
      </c>
      <c r="E2701" t="s">
        <v>299</v>
      </c>
      <c r="F2701" t="s">
        <v>299</v>
      </c>
      <c r="G2701" t="s">
        <v>3366</v>
      </c>
      <c r="H2701">
        <v>5497</v>
      </c>
      <c r="I2701">
        <v>549.70000000000005</v>
      </c>
      <c r="J2701">
        <v>105.4</v>
      </c>
      <c r="K2701">
        <v>10.54</v>
      </c>
      <c r="L2701">
        <v>5391.6</v>
      </c>
      <c r="M2701">
        <v>539.16</v>
      </c>
      <c r="O2701" s="79">
        <f>IFERROR(VLOOKUP(D2701,'KAPANAN BLD.'!$C$2:$D$793,2,FALSE),0)</f>
        <v>0</v>
      </c>
      <c r="P2701" s="79">
        <v>0</v>
      </c>
    </row>
    <row r="2702" spans="1:16" x14ac:dyDescent="0.25">
      <c r="A2702" t="s">
        <v>32</v>
      </c>
      <c r="B2702" s="73" t="str">
        <f>VLOOKUP(C2702,'Büyükşehir List'!$C$2:$D$31,2,FALSE)</f>
        <v>SAMSUN BÜYÜKŞEHİR</v>
      </c>
      <c r="C2702" t="s">
        <v>134</v>
      </c>
      <c r="D2702" s="73" t="str">
        <f t="shared" si="63"/>
        <v>SAMSUN BÜYÜKŞEHİR/SAMSUN</v>
      </c>
      <c r="E2702" t="s">
        <v>3853</v>
      </c>
      <c r="F2702" t="s">
        <v>3853</v>
      </c>
      <c r="G2702" t="s">
        <v>3367</v>
      </c>
      <c r="H2702">
        <v>2281.8000000000002</v>
      </c>
      <c r="I2702">
        <v>228.18</v>
      </c>
      <c r="J2702">
        <v>0</v>
      </c>
      <c r="K2702">
        <v>0</v>
      </c>
      <c r="L2702">
        <v>2281.8000000000002</v>
      </c>
      <c r="M2702">
        <v>228.18</v>
      </c>
      <c r="O2702" s="79">
        <f>IFERROR(VLOOKUP(D2702,'KAPANAN BLD.'!$C$2:$D$793,2,FALSE),0)</f>
        <v>0</v>
      </c>
      <c r="P2702" s="79">
        <v>0</v>
      </c>
    </row>
    <row r="2703" spans="1:16" x14ac:dyDescent="0.25">
      <c r="A2703" t="s">
        <v>32</v>
      </c>
      <c r="B2703" s="73" t="str">
        <f>VLOOKUP(C2703,'Büyükşehir List'!$C$2:$D$31,2,FALSE)</f>
        <v>SAMSUN BÜYÜKŞEHİR</v>
      </c>
      <c r="C2703" t="s">
        <v>134</v>
      </c>
      <c r="D2703" s="73" t="str">
        <f t="shared" si="63"/>
        <v>SAMSUN BÜYÜKŞEHİR/SAMSUN</v>
      </c>
      <c r="E2703" t="s">
        <v>3853</v>
      </c>
      <c r="F2703" t="s">
        <v>3853</v>
      </c>
      <c r="G2703" t="s">
        <v>3366</v>
      </c>
      <c r="H2703">
        <v>13681.2</v>
      </c>
      <c r="I2703">
        <v>1368.12</v>
      </c>
      <c r="J2703">
        <v>0</v>
      </c>
      <c r="K2703">
        <v>0</v>
      </c>
      <c r="L2703">
        <v>13681.2</v>
      </c>
      <c r="M2703">
        <v>1368.12</v>
      </c>
      <c r="O2703" s="79">
        <f>IFERROR(VLOOKUP(D2703,'KAPANAN BLD.'!$C$2:$D$793,2,FALSE),0)</f>
        <v>0</v>
      </c>
      <c r="P2703" s="79">
        <v>0</v>
      </c>
    </row>
    <row r="2704" spans="1:16" x14ac:dyDescent="0.25">
      <c r="A2704" t="s">
        <v>32</v>
      </c>
      <c r="B2704" s="73" t="str">
        <f>VLOOKUP(C2704,'Büyükşehir List'!$C$2:$D$31,2,FALSE)</f>
        <v>SAMSUN BÜYÜKŞEHİR</v>
      </c>
      <c r="C2704" t="s">
        <v>134</v>
      </c>
      <c r="D2704" s="73" t="str">
        <f t="shared" si="63"/>
        <v>SAMSUN BÜYÜKŞEHİR/SAMSUN</v>
      </c>
      <c r="E2704" t="s">
        <v>4026</v>
      </c>
      <c r="F2704" t="s">
        <v>4026</v>
      </c>
      <c r="G2704" t="s">
        <v>3366</v>
      </c>
      <c r="H2704">
        <v>1244.4000000000001</v>
      </c>
      <c r="I2704">
        <v>124.44</v>
      </c>
      <c r="J2704">
        <v>402.8</v>
      </c>
      <c r="K2704">
        <v>40.28</v>
      </c>
      <c r="L2704">
        <v>841.6</v>
      </c>
      <c r="M2704">
        <v>84.16</v>
      </c>
      <c r="O2704" s="79">
        <f>IFERROR(VLOOKUP(D2704,'KAPANAN BLD.'!$C$2:$D$793,2,FALSE),0)</f>
        <v>0</v>
      </c>
      <c r="P2704" s="79">
        <v>0</v>
      </c>
    </row>
    <row r="2705" spans="1:16" x14ac:dyDescent="0.25">
      <c r="A2705" t="s">
        <v>32</v>
      </c>
      <c r="B2705" s="73" t="str">
        <f>VLOOKUP(C2705,'Büyükşehir List'!$C$2:$D$31,2,FALSE)</f>
        <v>SAMSUN BÜYÜKŞEHİR</v>
      </c>
      <c r="C2705" t="s">
        <v>134</v>
      </c>
      <c r="D2705" s="73" t="str">
        <f t="shared" si="63"/>
        <v>SAMSUN BÜYÜKŞEHİR/SAMSUN</v>
      </c>
      <c r="E2705" t="s">
        <v>4026</v>
      </c>
      <c r="F2705" t="s">
        <v>4026</v>
      </c>
      <c r="G2705" t="s">
        <v>3367</v>
      </c>
      <c r="H2705">
        <v>66.5</v>
      </c>
      <c r="I2705">
        <v>6.65</v>
      </c>
      <c r="J2705">
        <v>45</v>
      </c>
      <c r="K2705">
        <v>4.5</v>
      </c>
      <c r="L2705">
        <v>21.5</v>
      </c>
      <c r="M2705">
        <v>2.15</v>
      </c>
      <c r="O2705" s="79">
        <f>IFERROR(VLOOKUP(D2705,'KAPANAN BLD.'!$C$2:$D$793,2,FALSE),0)</f>
        <v>0</v>
      </c>
      <c r="P2705" s="79">
        <v>0</v>
      </c>
    </row>
    <row r="2706" spans="1:16" x14ac:dyDescent="0.25">
      <c r="A2706" t="s">
        <v>32</v>
      </c>
      <c r="B2706" s="73" t="str">
        <f>VLOOKUP(C2706,'Büyükşehir List'!$C$2:$D$31,2,FALSE)</f>
        <v>SAMSUN BÜYÜKŞEHİR</v>
      </c>
      <c r="C2706" t="s">
        <v>134</v>
      </c>
      <c r="D2706" s="73" t="str">
        <f t="shared" si="63"/>
        <v>SAMSUN BÜYÜKŞEHİR/SAMSUN</v>
      </c>
      <c r="E2706" t="s">
        <v>1886</v>
      </c>
      <c r="F2706" t="s">
        <v>1886</v>
      </c>
      <c r="G2706" t="s">
        <v>3367</v>
      </c>
      <c r="H2706">
        <v>161.5</v>
      </c>
      <c r="I2706">
        <v>16.149999999999999</v>
      </c>
      <c r="J2706">
        <v>0</v>
      </c>
      <c r="K2706">
        <v>0</v>
      </c>
      <c r="L2706">
        <v>161.5</v>
      </c>
      <c r="M2706">
        <v>16.149999999999999</v>
      </c>
      <c r="O2706" s="79">
        <f>IFERROR(VLOOKUP(D2706,'KAPANAN BLD.'!$C$2:$D$793,2,FALSE),0)</f>
        <v>0</v>
      </c>
      <c r="P2706" s="79">
        <v>0</v>
      </c>
    </row>
    <row r="2707" spans="1:16" x14ac:dyDescent="0.25">
      <c r="A2707" t="s">
        <v>32</v>
      </c>
      <c r="B2707" s="73" t="str">
        <f>VLOOKUP(C2707,'Büyükşehir List'!$C$2:$D$31,2,FALSE)</f>
        <v>SAMSUN BÜYÜKŞEHİR</v>
      </c>
      <c r="C2707" t="s">
        <v>134</v>
      </c>
      <c r="D2707" s="73" t="str">
        <f t="shared" si="63"/>
        <v>SAMSUN BÜYÜKŞEHİR/SAMSUN</v>
      </c>
      <c r="E2707" t="s">
        <v>1886</v>
      </c>
      <c r="F2707" t="s">
        <v>1886</v>
      </c>
      <c r="G2707" t="s">
        <v>3366</v>
      </c>
      <c r="H2707">
        <v>209.2</v>
      </c>
      <c r="I2707">
        <v>20.92</v>
      </c>
      <c r="J2707">
        <v>0</v>
      </c>
      <c r="K2707">
        <v>0</v>
      </c>
      <c r="L2707">
        <v>209.2</v>
      </c>
      <c r="M2707">
        <v>20.92</v>
      </c>
      <c r="O2707" s="79">
        <f>IFERROR(VLOOKUP(D2707,'KAPANAN BLD.'!$C$2:$D$793,2,FALSE),0)</f>
        <v>0</v>
      </c>
      <c r="P2707" s="79">
        <v>0</v>
      </c>
    </row>
    <row r="2708" spans="1:16" x14ac:dyDescent="0.25">
      <c r="A2708" t="s">
        <v>32</v>
      </c>
      <c r="B2708" s="73" t="str">
        <f>VLOOKUP(C2708,'Büyükşehir List'!$C$2:$D$31,2,FALSE)</f>
        <v>SAMSUN BÜYÜKŞEHİR</v>
      </c>
      <c r="C2708" t="s">
        <v>134</v>
      </c>
      <c r="D2708" s="73" t="str">
        <f t="shared" si="63"/>
        <v>SAMSUN BÜYÜKŞEHİR/SAMSUN</v>
      </c>
      <c r="E2708" t="s">
        <v>3854</v>
      </c>
      <c r="F2708" t="s">
        <v>3854</v>
      </c>
      <c r="G2708" t="s">
        <v>3367</v>
      </c>
      <c r="H2708">
        <v>893.5</v>
      </c>
      <c r="I2708">
        <v>89.35</v>
      </c>
      <c r="J2708">
        <v>5.4</v>
      </c>
      <c r="K2708">
        <v>0.54</v>
      </c>
      <c r="L2708">
        <v>888.1</v>
      </c>
      <c r="M2708">
        <v>88.81</v>
      </c>
      <c r="O2708" s="79">
        <f>IFERROR(VLOOKUP(D2708,'KAPANAN BLD.'!$C$2:$D$793,2,FALSE),0)</f>
        <v>0</v>
      </c>
      <c r="P2708" s="79">
        <v>0</v>
      </c>
    </row>
    <row r="2709" spans="1:16" x14ac:dyDescent="0.25">
      <c r="A2709" t="s">
        <v>32</v>
      </c>
      <c r="B2709" s="73" t="str">
        <f>VLOOKUP(C2709,'Büyükşehir List'!$C$2:$D$31,2,FALSE)</f>
        <v>SAMSUN BÜYÜKŞEHİR</v>
      </c>
      <c r="C2709" t="s">
        <v>134</v>
      </c>
      <c r="D2709" s="73" t="str">
        <f t="shared" si="63"/>
        <v>SAMSUN BÜYÜKŞEHİR/SAMSUN</v>
      </c>
      <c r="E2709" t="s">
        <v>3854</v>
      </c>
      <c r="F2709" t="s">
        <v>3854</v>
      </c>
      <c r="G2709" t="s">
        <v>3366</v>
      </c>
      <c r="H2709">
        <v>1393.6</v>
      </c>
      <c r="I2709">
        <v>139.36000000000001</v>
      </c>
      <c r="J2709">
        <v>103.3</v>
      </c>
      <c r="K2709">
        <v>10.33</v>
      </c>
      <c r="L2709">
        <v>1290.3</v>
      </c>
      <c r="M2709">
        <v>129.03</v>
      </c>
      <c r="O2709" s="79">
        <f>IFERROR(VLOOKUP(D2709,'KAPANAN BLD.'!$C$2:$D$793,2,FALSE),0)</f>
        <v>0</v>
      </c>
      <c r="P2709" s="79">
        <v>0</v>
      </c>
    </row>
    <row r="2710" spans="1:16" x14ac:dyDescent="0.25">
      <c r="A2710" t="s">
        <v>32</v>
      </c>
      <c r="B2710" s="73" t="str">
        <f>VLOOKUP(C2710,'Büyükşehir List'!$C$2:$D$31,2,FALSE)</f>
        <v>SAMSUN BÜYÜKŞEHİR</v>
      </c>
      <c r="C2710" t="s">
        <v>134</v>
      </c>
      <c r="D2710" s="73" t="str">
        <f t="shared" si="63"/>
        <v>SAMSUN BÜYÜKŞEHİR/SAMSUN</v>
      </c>
      <c r="E2710" t="s">
        <v>3715</v>
      </c>
      <c r="F2710" t="s">
        <v>3715</v>
      </c>
      <c r="G2710" t="s">
        <v>3367</v>
      </c>
      <c r="H2710">
        <v>0.3</v>
      </c>
      <c r="I2710">
        <v>0.03</v>
      </c>
      <c r="J2710">
        <v>0</v>
      </c>
      <c r="K2710">
        <v>0</v>
      </c>
      <c r="L2710">
        <v>0.3</v>
      </c>
      <c r="M2710">
        <v>0.03</v>
      </c>
      <c r="O2710" s="79">
        <f>IFERROR(VLOOKUP(D2710,'KAPANAN BLD.'!$C$2:$D$793,2,FALSE),0)</f>
        <v>0</v>
      </c>
      <c r="P2710" s="79">
        <v>0</v>
      </c>
    </row>
    <row r="2711" spans="1:16" x14ac:dyDescent="0.25">
      <c r="A2711" t="s">
        <v>32</v>
      </c>
      <c r="B2711" s="73" t="str">
        <f>VLOOKUP(C2711,'Büyükşehir List'!$C$2:$D$31,2,FALSE)</f>
        <v>SAMSUN BÜYÜKŞEHİR</v>
      </c>
      <c r="C2711" t="s">
        <v>134</v>
      </c>
      <c r="D2711" s="73" t="str">
        <f t="shared" si="63"/>
        <v>SAMSUN BÜYÜKŞEHİR/SAMSUN</v>
      </c>
      <c r="E2711" t="s">
        <v>3715</v>
      </c>
      <c r="F2711" t="s">
        <v>3715</v>
      </c>
      <c r="G2711" t="s">
        <v>3366</v>
      </c>
      <c r="H2711">
        <v>0.1</v>
      </c>
      <c r="I2711">
        <v>0.01</v>
      </c>
      <c r="J2711">
        <v>0</v>
      </c>
      <c r="K2711">
        <v>0</v>
      </c>
      <c r="L2711">
        <v>0.1</v>
      </c>
      <c r="M2711">
        <v>0.01</v>
      </c>
      <c r="O2711" s="79">
        <f>IFERROR(VLOOKUP(D2711,'KAPANAN BLD.'!$C$2:$D$793,2,FALSE),0)</f>
        <v>0</v>
      </c>
      <c r="P2711" s="79">
        <v>0</v>
      </c>
    </row>
    <row r="2712" spans="1:16" x14ac:dyDescent="0.25">
      <c r="A2712" t="s">
        <v>32</v>
      </c>
      <c r="B2712" s="73" t="str">
        <f>VLOOKUP(C2712,'Büyükşehir List'!$C$2:$D$31,2,FALSE)</f>
        <v>SAMSUN BÜYÜKŞEHİR</v>
      </c>
      <c r="C2712" t="s">
        <v>134</v>
      </c>
      <c r="D2712" s="73" t="str">
        <f t="shared" si="63"/>
        <v>SAMSUN BÜYÜKŞEHİR/SAMSUN</v>
      </c>
      <c r="E2712" t="s">
        <v>4313</v>
      </c>
      <c r="F2712" t="s">
        <v>4313</v>
      </c>
      <c r="G2712" t="s">
        <v>3367</v>
      </c>
      <c r="H2712">
        <v>25.5</v>
      </c>
      <c r="I2712">
        <v>2.5499999999999998</v>
      </c>
      <c r="J2712">
        <v>0</v>
      </c>
      <c r="K2712">
        <v>0</v>
      </c>
      <c r="L2712">
        <v>25.5</v>
      </c>
      <c r="M2712">
        <v>2.5499999999999998</v>
      </c>
      <c r="O2712" s="79">
        <f>IFERROR(VLOOKUP(D2712,'KAPANAN BLD.'!$C$2:$D$793,2,FALSE),0)</f>
        <v>0</v>
      </c>
      <c r="P2712" s="79">
        <v>0</v>
      </c>
    </row>
    <row r="2713" spans="1:16" x14ac:dyDescent="0.25">
      <c r="A2713" t="s">
        <v>32</v>
      </c>
      <c r="B2713" s="73" t="str">
        <f>VLOOKUP(C2713,'Büyükşehir List'!$C$2:$D$31,2,FALSE)</f>
        <v>SAMSUN BÜYÜKŞEHİR</v>
      </c>
      <c r="C2713" t="s">
        <v>134</v>
      </c>
      <c r="D2713" s="73" t="str">
        <f t="shared" si="63"/>
        <v>SAMSUN BÜYÜKŞEHİR/SAMSUN</v>
      </c>
      <c r="E2713" t="s">
        <v>4003</v>
      </c>
      <c r="F2713" t="s">
        <v>4003</v>
      </c>
      <c r="G2713" t="s">
        <v>3367</v>
      </c>
      <c r="H2713">
        <v>5.4</v>
      </c>
      <c r="I2713">
        <v>0.54</v>
      </c>
      <c r="J2713">
        <v>3.8</v>
      </c>
      <c r="K2713">
        <v>0.38</v>
      </c>
      <c r="L2713">
        <v>1.6</v>
      </c>
      <c r="M2713">
        <v>0.16</v>
      </c>
      <c r="O2713" s="79">
        <f>IFERROR(VLOOKUP(D2713,'KAPANAN BLD.'!$C$2:$D$793,2,FALSE),0)</f>
        <v>0</v>
      </c>
      <c r="P2713" s="79">
        <v>0</v>
      </c>
    </row>
    <row r="2714" spans="1:16" x14ac:dyDescent="0.25">
      <c r="A2714" t="s">
        <v>32</v>
      </c>
      <c r="B2714" s="73" t="str">
        <f>VLOOKUP(C2714,'Büyükşehir List'!$C$2:$D$31,2,FALSE)</f>
        <v>SAMSUN BÜYÜKŞEHİR</v>
      </c>
      <c r="C2714" t="s">
        <v>134</v>
      </c>
      <c r="D2714" s="73" t="str">
        <f t="shared" si="63"/>
        <v>SAMSUN BÜYÜKŞEHİR/SAMSUN</v>
      </c>
      <c r="E2714" t="s">
        <v>4003</v>
      </c>
      <c r="F2714" t="s">
        <v>4003</v>
      </c>
      <c r="G2714" t="s">
        <v>3366</v>
      </c>
      <c r="H2714">
        <v>103.3</v>
      </c>
      <c r="I2714">
        <v>10.33</v>
      </c>
      <c r="J2714">
        <v>387.8</v>
      </c>
      <c r="K2714">
        <v>38.78</v>
      </c>
      <c r="L2714">
        <v>-284.5</v>
      </c>
      <c r="M2714">
        <v>-28.45</v>
      </c>
      <c r="O2714" s="79">
        <f>IFERROR(VLOOKUP(D2714,'KAPANAN BLD.'!$C$2:$D$793,2,FALSE),0)</f>
        <v>0</v>
      </c>
      <c r="P2714" s="79">
        <v>0</v>
      </c>
    </row>
    <row r="2715" spans="1:16" x14ac:dyDescent="0.25">
      <c r="A2715" t="s">
        <v>32</v>
      </c>
      <c r="B2715" s="73" t="str">
        <f>VLOOKUP(C2715,'Büyükşehir List'!$C$2:$D$31,2,FALSE)</f>
        <v>SAMSUN BÜYÜKŞEHİR</v>
      </c>
      <c r="C2715" t="s">
        <v>134</v>
      </c>
      <c r="D2715" s="73" t="str">
        <f t="shared" si="63"/>
        <v>SAMSUN BÜYÜKŞEHİR/SAMSUN</v>
      </c>
      <c r="E2715" t="s">
        <v>468</v>
      </c>
      <c r="F2715" t="s">
        <v>468</v>
      </c>
      <c r="G2715" t="s">
        <v>3366</v>
      </c>
      <c r="H2715">
        <v>462.8</v>
      </c>
      <c r="I2715">
        <v>46.28</v>
      </c>
      <c r="J2715">
        <v>0</v>
      </c>
      <c r="K2715">
        <v>0</v>
      </c>
      <c r="L2715">
        <v>462.8</v>
      </c>
      <c r="M2715">
        <v>46.28</v>
      </c>
      <c r="O2715" s="79">
        <f>IFERROR(VLOOKUP(D2715,'KAPANAN BLD.'!$C$2:$D$793,2,FALSE),0)</f>
        <v>0</v>
      </c>
      <c r="P2715" s="79">
        <v>0</v>
      </c>
    </row>
    <row r="2716" spans="1:16" x14ac:dyDescent="0.25">
      <c r="A2716" t="s">
        <v>32</v>
      </c>
      <c r="B2716" s="73" t="str">
        <f>VLOOKUP(C2716,'Büyükşehir List'!$C$2:$D$31,2,FALSE)</f>
        <v>SAMSUN BÜYÜKŞEHİR</v>
      </c>
      <c r="C2716" t="s">
        <v>134</v>
      </c>
      <c r="D2716" s="73" t="str">
        <f t="shared" si="63"/>
        <v>SAMSUN BÜYÜKŞEHİR/SAMSUN</v>
      </c>
      <c r="E2716" t="s">
        <v>468</v>
      </c>
      <c r="F2716" t="s">
        <v>468</v>
      </c>
      <c r="G2716" t="s">
        <v>3367</v>
      </c>
      <c r="H2716">
        <v>157.30000000000001</v>
      </c>
      <c r="I2716">
        <v>15.73</v>
      </c>
      <c r="J2716">
        <v>5.2</v>
      </c>
      <c r="K2716">
        <v>0.52</v>
      </c>
      <c r="L2716">
        <v>152.1</v>
      </c>
      <c r="M2716">
        <v>15.21</v>
      </c>
      <c r="O2716" s="79">
        <f>IFERROR(VLOOKUP(D2716,'KAPANAN BLD.'!$C$2:$D$793,2,FALSE),0)</f>
        <v>0</v>
      </c>
      <c r="P2716" s="79">
        <v>0</v>
      </c>
    </row>
    <row r="2717" spans="1:16" x14ac:dyDescent="0.25">
      <c r="A2717" t="s">
        <v>32</v>
      </c>
      <c r="B2717" s="73" t="str">
        <f>VLOOKUP(C2717,'Büyükşehir List'!$C$2:$D$31,2,FALSE)</f>
        <v>SAMSUN BÜYÜKŞEHİR</v>
      </c>
      <c r="C2717" t="s">
        <v>134</v>
      </c>
      <c r="D2717" s="73" t="str">
        <f t="shared" si="63"/>
        <v>SAMSUN BÜYÜKŞEHİR/SAMSUN</v>
      </c>
      <c r="E2717" t="s">
        <v>4402</v>
      </c>
      <c r="F2717" t="s">
        <v>4402</v>
      </c>
      <c r="G2717" t="s">
        <v>3367</v>
      </c>
      <c r="H2717">
        <v>164.5</v>
      </c>
      <c r="I2717">
        <v>16.45</v>
      </c>
      <c r="J2717">
        <v>0</v>
      </c>
      <c r="K2717">
        <v>0</v>
      </c>
      <c r="L2717">
        <v>164.5</v>
      </c>
      <c r="M2717">
        <v>16.45</v>
      </c>
      <c r="O2717" s="79">
        <f>IFERROR(VLOOKUP(D2717,'KAPANAN BLD.'!$C$2:$D$793,2,FALSE),0)</f>
        <v>0</v>
      </c>
      <c r="P2717" s="79">
        <v>0</v>
      </c>
    </row>
    <row r="2718" spans="1:16" x14ac:dyDescent="0.25">
      <c r="A2718" t="s">
        <v>32</v>
      </c>
      <c r="B2718" s="73" t="str">
        <f>VLOOKUP(C2718,'Büyükşehir List'!$C$2:$D$31,2,FALSE)</f>
        <v>SAMSUN BÜYÜKŞEHİR</v>
      </c>
      <c r="C2718" t="s">
        <v>134</v>
      </c>
      <c r="D2718" s="73" t="str">
        <f t="shared" si="63"/>
        <v>SAMSUN BÜYÜKŞEHİR/SAMSUN</v>
      </c>
      <c r="E2718" t="s">
        <v>4402</v>
      </c>
      <c r="F2718" t="s">
        <v>4402</v>
      </c>
      <c r="G2718" t="s">
        <v>3366</v>
      </c>
      <c r="H2718">
        <v>402.8</v>
      </c>
      <c r="I2718">
        <v>40.28</v>
      </c>
      <c r="J2718">
        <v>0</v>
      </c>
      <c r="K2718">
        <v>0</v>
      </c>
      <c r="L2718">
        <v>402.8</v>
      </c>
      <c r="M2718">
        <v>40.28</v>
      </c>
      <c r="O2718" s="79">
        <f>IFERROR(VLOOKUP(D2718,'KAPANAN BLD.'!$C$2:$D$793,2,FALSE),0)</f>
        <v>0</v>
      </c>
      <c r="P2718" s="79">
        <v>0</v>
      </c>
    </row>
    <row r="2719" spans="1:16" x14ac:dyDescent="0.25">
      <c r="A2719" t="s">
        <v>32</v>
      </c>
      <c r="B2719" s="73" t="str">
        <f>VLOOKUP(C2719,'Büyükşehir List'!$C$2:$D$31,2,FALSE)</f>
        <v>SAMSUN BÜYÜKŞEHİR</v>
      </c>
      <c r="C2719" t="s">
        <v>134</v>
      </c>
      <c r="D2719" s="73" t="str">
        <f t="shared" si="63"/>
        <v>SAMSUN BÜYÜKŞEHİR/SAMSUN</v>
      </c>
      <c r="E2719" t="s">
        <v>4358</v>
      </c>
      <c r="F2719" t="s">
        <v>4358</v>
      </c>
      <c r="G2719" t="s">
        <v>3367</v>
      </c>
      <c r="H2719">
        <v>57.5</v>
      </c>
      <c r="I2719">
        <v>5.75</v>
      </c>
      <c r="J2719">
        <v>0</v>
      </c>
      <c r="K2719">
        <v>0</v>
      </c>
      <c r="L2719">
        <v>57.5</v>
      </c>
      <c r="M2719">
        <v>5.75</v>
      </c>
      <c r="O2719" s="79">
        <f>IFERROR(VLOOKUP(D2719,'KAPANAN BLD.'!$C$2:$D$793,2,FALSE),0)</f>
        <v>0</v>
      </c>
      <c r="P2719" s="79">
        <v>0</v>
      </c>
    </row>
    <row r="2720" spans="1:16" x14ac:dyDescent="0.25">
      <c r="A2720" t="s">
        <v>32</v>
      </c>
      <c r="B2720" s="73" t="str">
        <f>VLOOKUP(C2720,'Büyükşehir List'!$C$2:$D$31,2,FALSE)</f>
        <v>SAMSUN BÜYÜKŞEHİR</v>
      </c>
      <c r="C2720" t="s">
        <v>134</v>
      </c>
      <c r="D2720" s="73" t="str">
        <f t="shared" si="63"/>
        <v>SAMSUN BÜYÜKŞEHİR/SAMSUN</v>
      </c>
      <c r="E2720" t="s">
        <v>3731</v>
      </c>
      <c r="F2720" t="s">
        <v>3731</v>
      </c>
      <c r="G2720" t="s">
        <v>3367</v>
      </c>
      <c r="H2720">
        <v>12984.8</v>
      </c>
      <c r="I2720">
        <v>1298.48</v>
      </c>
      <c r="J2720">
        <v>0</v>
      </c>
      <c r="K2720">
        <v>0</v>
      </c>
      <c r="L2720">
        <v>12984.8</v>
      </c>
      <c r="M2720">
        <v>1298.48</v>
      </c>
      <c r="O2720" s="79">
        <f>IFERROR(VLOOKUP(D2720,'KAPANAN BLD.'!$C$2:$D$793,2,FALSE),0)</f>
        <v>0</v>
      </c>
      <c r="P2720" s="79">
        <v>0</v>
      </c>
    </row>
    <row r="2721" spans="1:16" x14ac:dyDescent="0.25">
      <c r="A2721" t="s">
        <v>32</v>
      </c>
      <c r="B2721" s="73" t="str">
        <f>VLOOKUP(C2721,'Büyükşehir List'!$C$2:$D$31,2,FALSE)</f>
        <v>SAMSUN BÜYÜKŞEHİR</v>
      </c>
      <c r="C2721" t="s">
        <v>134</v>
      </c>
      <c r="D2721" s="73" t="str">
        <f t="shared" si="63"/>
        <v>SAMSUN BÜYÜKŞEHİR/SAMSUN</v>
      </c>
      <c r="E2721" t="s">
        <v>3731</v>
      </c>
      <c r="F2721" t="s">
        <v>3731</v>
      </c>
      <c r="G2721" t="s">
        <v>3366</v>
      </c>
      <c r="H2721">
        <v>935.5</v>
      </c>
      <c r="I2721">
        <v>93.55</v>
      </c>
      <c r="J2721">
        <v>0</v>
      </c>
      <c r="K2721">
        <v>0</v>
      </c>
      <c r="L2721">
        <v>935.5</v>
      </c>
      <c r="M2721">
        <v>93.55</v>
      </c>
      <c r="O2721" s="79">
        <f>IFERROR(VLOOKUP(D2721,'KAPANAN BLD.'!$C$2:$D$793,2,FALSE),0)</f>
        <v>0</v>
      </c>
      <c r="P2721" s="79">
        <v>0</v>
      </c>
    </row>
    <row r="2722" spans="1:16" x14ac:dyDescent="0.25">
      <c r="A2722" t="s">
        <v>32</v>
      </c>
      <c r="B2722" s="73" t="str">
        <f>VLOOKUP(C2722,'Büyükşehir List'!$C$2:$D$31,2,FALSE)</f>
        <v>SAMSUN BÜYÜKŞEHİR</v>
      </c>
      <c r="C2722" t="s">
        <v>134</v>
      </c>
      <c r="D2722" s="73" t="str">
        <f t="shared" si="63"/>
        <v>SAMSUN BÜYÜKŞEHİR/SAMSUN</v>
      </c>
      <c r="E2722" t="s">
        <v>3855</v>
      </c>
      <c r="F2722" t="s">
        <v>3855</v>
      </c>
      <c r="G2722" t="s">
        <v>3366</v>
      </c>
      <c r="H2722">
        <v>466</v>
      </c>
      <c r="I2722">
        <v>46.6</v>
      </c>
      <c r="J2722">
        <v>0</v>
      </c>
      <c r="K2722">
        <v>0</v>
      </c>
      <c r="L2722">
        <v>466</v>
      </c>
      <c r="M2722">
        <v>46.6</v>
      </c>
      <c r="O2722" s="79">
        <f>IFERROR(VLOOKUP(D2722,'KAPANAN BLD.'!$C$2:$D$793,2,FALSE),0)</f>
        <v>0</v>
      </c>
      <c r="P2722" s="79">
        <v>0</v>
      </c>
    </row>
    <row r="2723" spans="1:16" x14ac:dyDescent="0.25">
      <c r="A2723" t="s">
        <v>32</v>
      </c>
      <c r="B2723" s="73" t="str">
        <f>VLOOKUP(C2723,'Büyükşehir List'!$C$2:$D$31,2,FALSE)</f>
        <v>SAMSUN BÜYÜKŞEHİR</v>
      </c>
      <c r="C2723" t="s">
        <v>134</v>
      </c>
      <c r="D2723" s="73" t="str">
        <f t="shared" si="63"/>
        <v>SAMSUN BÜYÜKŞEHİR/SAMSUN</v>
      </c>
      <c r="E2723" t="s">
        <v>3855</v>
      </c>
      <c r="F2723" t="s">
        <v>3855</v>
      </c>
      <c r="G2723" t="s">
        <v>3367</v>
      </c>
      <c r="H2723">
        <v>371.8</v>
      </c>
      <c r="I2723">
        <v>37.18</v>
      </c>
      <c r="J2723">
        <v>0</v>
      </c>
      <c r="K2723">
        <v>0</v>
      </c>
      <c r="L2723">
        <v>371.8</v>
      </c>
      <c r="M2723">
        <v>37.18</v>
      </c>
      <c r="O2723" s="79">
        <f>IFERROR(VLOOKUP(D2723,'KAPANAN BLD.'!$C$2:$D$793,2,FALSE),0)</f>
        <v>0</v>
      </c>
      <c r="P2723" s="79">
        <v>0</v>
      </c>
    </row>
    <row r="2724" spans="1:16" x14ac:dyDescent="0.25">
      <c r="A2724" t="s">
        <v>32</v>
      </c>
      <c r="B2724" s="73" t="str">
        <f>VLOOKUP(C2724,'Büyükşehir List'!$C$2:$D$31,2,FALSE)</f>
        <v>SAMSUN BÜYÜKŞEHİR</v>
      </c>
      <c r="C2724" t="s">
        <v>134</v>
      </c>
      <c r="D2724" s="73" t="str">
        <f t="shared" si="63"/>
        <v>SAMSUN BÜYÜKŞEHİR/SAMSUN</v>
      </c>
      <c r="E2724" t="s">
        <v>1885</v>
      </c>
      <c r="F2724" t="s">
        <v>1885</v>
      </c>
      <c r="G2724" t="s">
        <v>3366</v>
      </c>
      <c r="H2724">
        <v>17426.5</v>
      </c>
      <c r="I2724">
        <v>1742.65</v>
      </c>
      <c r="J2724">
        <v>4890.3</v>
      </c>
      <c r="K2724">
        <v>489.03</v>
      </c>
      <c r="L2724">
        <v>12536.2</v>
      </c>
      <c r="M2724">
        <v>1253.6199999999999</v>
      </c>
      <c r="O2724" s="79">
        <f>IFERROR(VLOOKUP(D2724,'KAPANAN BLD.'!$C$2:$D$793,2,FALSE),0)</f>
        <v>0</v>
      </c>
      <c r="P2724" s="79">
        <v>0</v>
      </c>
    </row>
    <row r="2725" spans="1:16" x14ac:dyDescent="0.25">
      <c r="A2725" t="s">
        <v>32</v>
      </c>
      <c r="B2725" s="73" t="str">
        <f>VLOOKUP(C2725,'Büyükşehir List'!$C$2:$D$31,2,FALSE)</f>
        <v>SAMSUN BÜYÜKŞEHİR</v>
      </c>
      <c r="C2725" t="s">
        <v>134</v>
      </c>
      <c r="D2725" s="73" t="str">
        <f t="shared" si="63"/>
        <v>SAMSUN BÜYÜKŞEHİR/SAMSUN</v>
      </c>
      <c r="E2725" t="s">
        <v>1885</v>
      </c>
      <c r="F2725" t="s">
        <v>1885</v>
      </c>
      <c r="G2725" t="s">
        <v>3367</v>
      </c>
      <c r="H2725">
        <v>11083.6</v>
      </c>
      <c r="I2725">
        <v>1108.3599999999999</v>
      </c>
      <c r="J2725">
        <v>2502.9</v>
      </c>
      <c r="K2725">
        <v>250.29</v>
      </c>
      <c r="L2725">
        <v>8580.7000000000007</v>
      </c>
      <c r="M2725">
        <v>858.07</v>
      </c>
      <c r="O2725" s="79">
        <f>IFERROR(VLOOKUP(D2725,'KAPANAN BLD.'!$C$2:$D$793,2,FALSE),0)</f>
        <v>0</v>
      </c>
      <c r="P2725" s="79">
        <v>0</v>
      </c>
    </row>
    <row r="2726" spans="1:16" x14ac:dyDescent="0.25">
      <c r="A2726" t="s">
        <v>32</v>
      </c>
      <c r="B2726" s="73" t="str">
        <f>VLOOKUP(C2726,'Büyükşehir List'!$C$2:$D$31,2,FALSE)</f>
        <v>SAMSUN BÜYÜKŞEHİR</v>
      </c>
      <c r="C2726" t="s">
        <v>134</v>
      </c>
      <c r="D2726" s="73" t="str">
        <f t="shared" si="63"/>
        <v>SAMSUN BÜYÜKŞEHİR/SAMSUN</v>
      </c>
      <c r="E2726" t="s">
        <v>2416</v>
      </c>
      <c r="F2726" t="s">
        <v>2416</v>
      </c>
      <c r="G2726" t="s">
        <v>3366</v>
      </c>
      <c r="H2726">
        <v>55.4</v>
      </c>
      <c r="I2726">
        <v>5.54</v>
      </c>
      <c r="J2726">
        <v>0</v>
      </c>
      <c r="K2726">
        <v>0</v>
      </c>
      <c r="L2726">
        <v>55.4</v>
      </c>
      <c r="M2726">
        <v>5.54</v>
      </c>
      <c r="O2726" s="79">
        <f>IFERROR(VLOOKUP(D2726,'KAPANAN BLD.'!$C$2:$D$793,2,FALSE),0)</f>
        <v>0</v>
      </c>
      <c r="P2726" s="79">
        <v>0</v>
      </c>
    </row>
    <row r="2727" spans="1:16" x14ac:dyDescent="0.25">
      <c r="A2727" t="s">
        <v>32</v>
      </c>
      <c r="B2727" s="73" t="str">
        <f>VLOOKUP(C2727,'Büyükşehir List'!$C$2:$D$31,2,FALSE)</f>
        <v>SAMSUN BÜYÜKŞEHİR</v>
      </c>
      <c r="C2727" t="s">
        <v>134</v>
      </c>
      <c r="D2727" s="73" t="str">
        <f t="shared" si="63"/>
        <v>SAMSUN BÜYÜKŞEHİR/SAMSUN</v>
      </c>
      <c r="E2727" t="s">
        <v>2416</v>
      </c>
      <c r="F2727" t="s">
        <v>2416</v>
      </c>
      <c r="G2727" t="s">
        <v>3367</v>
      </c>
      <c r="H2727">
        <v>124</v>
      </c>
      <c r="I2727">
        <v>12.4</v>
      </c>
      <c r="J2727">
        <v>0</v>
      </c>
      <c r="K2727">
        <v>0</v>
      </c>
      <c r="L2727">
        <v>124</v>
      </c>
      <c r="M2727">
        <v>12.4</v>
      </c>
      <c r="O2727" s="79">
        <f>IFERROR(VLOOKUP(D2727,'KAPANAN BLD.'!$C$2:$D$793,2,FALSE),0)</f>
        <v>0</v>
      </c>
      <c r="P2727" s="79">
        <v>0</v>
      </c>
    </row>
    <row r="2728" spans="1:16" x14ac:dyDescent="0.25">
      <c r="A2728" t="s">
        <v>32</v>
      </c>
      <c r="B2728" s="73" t="str">
        <f>VLOOKUP(C2728,'Büyükşehir List'!$C$2:$D$31,2,FALSE)</f>
        <v>SAMSUN BÜYÜKŞEHİR</v>
      </c>
      <c r="C2728" t="s">
        <v>134</v>
      </c>
      <c r="D2728" s="73" t="str">
        <f t="shared" si="63"/>
        <v>SAMSUN BÜYÜKŞEHİR/SAMSUN</v>
      </c>
      <c r="E2728" t="s">
        <v>4534</v>
      </c>
      <c r="F2728" t="s">
        <v>4534</v>
      </c>
      <c r="G2728" t="s">
        <v>3367</v>
      </c>
      <c r="H2728">
        <v>5.4</v>
      </c>
      <c r="I2728">
        <v>0.54</v>
      </c>
      <c r="J2728">
        <v>0</v>
      </c>
      <c r="K2728">
        <v>0</v>
      </c>
      <c r="L2728">
        <v>5.4</v>
      </c>
      <c r="M2728">
        <v>0.54</v>
      </c>
      <c r="O2728" s="79">
        <f>IFERROR(VLOOKUP(D2728,'KAPANAN BLD.'!$C$2:$D$793,2,FALSE),0)</f>
        <v>0</v>
      </c>
      <c r="P2728" s="79">
        <v>0</v>
      </c>
    </row>
    <row r="2729" spans="1:16" x14ac:dyDescent="0.25">
      <c r="A2729" t="s">
        <v>32</v>
      </c>
      <c r="B2729" s="73" t="str">
        <f>VLOOKUP(C2729,'Büyükşehir List'!$C$2:$D$31,2,FALSE)</f>
        <v>SAMSUN BÜYÜKŞEHİR</v>
      </c>
      <c r="C2729" t="s">
        <v>134</v>
      </c>
      <c r="D2729" s="73" t="str">
        <f t="shared" si="63"/>
        <v>SAMSUN BÜYÜKŞEHİR/SAMSUN</v>
      </c>
      <c r="E2729" t="s">
        <v>4534</v>
      </c>
      <c r="F2729" t="s">
        <v>4534</v>
      </c>
      <c r="G2729" t="s">
        <v>3366</v>
      </c>
      <c r="H2729">
        <v>103.3</v>
      </c>
      <c r="I2729">
        <v>10.33</v>
      </c>
      <c r="J2729">
        <v>0</v>
      </c>
      <c r="K2729">
        <v>0</v>
      </c>
      <c r="L2729">
        <v>103.3</v>
      </c>
      <c r="M2729">
        <v>10.33</v>
      </c>
      <c r="O2729" s="79">
        <f>IFERROR(VLOOKUP(D2729,'KAPANAN BLD.'!$C$2:$D$793,2,FALSE),0)</f>
        <v>0</v>
      </c>
      <c r="P2729" s="79">
        <v>0</v>
      </c>
    </row>
    <row r="2730" spans="1:16" x14ac:dyDescent="0.25">
      <c r="A2730" t="s">
        <v>32</v>
      </c>
      <c r="B2730" s="73" t="str">
        <f>VLOOKUP(C2730,'Büyükşehir List'!$C$2:$D$31,2,FALSE)</f>
        <v>SAMSUN BÜYÜKŞEHİR</v>
      </c>
      <c r="C2730" t="s">
        <v>134</v>
      </c>
      <c r="D2730" s="73" t="str">
        <f t="shared" si="63"/>
        <v>SAMSUN BÜYÜKŞEHİR/SAMSUN</v>
      </c>
      <c r="E2730" t="s">
        <v>3856</v>
      </c>
      <c r="F2730" t="s">
        <v>3856</v>
      </c>
      <c r="G2730" t="s">
        <v>3367</v>
      </c>
      <c r="H2730">
        <v>1881.8</v>
      </c>
      <c r="I2730">
        <v>188.18</v>
      </c>
      <c r="J2730">
        <v>1.2</v>
      </c>
      <c r="K2730">
        <v>0.12</v>
      </c>
      <c r="L2730">
        <v>1880.6</v>
      </c>
      <c r="M2730">
        <v>188.06</v>
      </c>
      <c r="O2730" s="79">
        <f>IFERROR(VLOOKUP(D2730,'KAPANAN BLD.'!$C$2:$D$793,2,FALSE),0)</f>
        <v>0</v>
      </c>
      <c r="P2730" s="79">
        <v>0</v>
      </c>
    </row>
    <row r="2731" spans="1:16" x14ac:dyDescent="0.25">
      <c r="A2731" t="s">
        <v>32</v>
      </c>
      <c r="B2731" s="73" t="str">
        <f>VLOOKUP(C2731,'Büyükşehir List'!$C$2:$D$31,2,FALSE)</f>
        <v>SAMSUN BÜYÜKŞEHİR</v>
      </c>
      <c r="C2731" t="s">
        <v>134</v>
      </c>
      <c r="D2731" s="73" t="str">
        <f t="shared" si="63"/>
        <v>SAMSUN BÜYÜKŞEHİR/SAMSUN</v>
      </c>
      <c r="E2731" t="s">
        <v>3856</v>
      </c>
      <c r="F2731" t="s">
        <v>3856</v>
      </c>
      <c r="G2731" t="s">
        <v>3366</v>
      </c>
      <c r="H2731">
        <v>6383.2</v>
      </c>
      <c r="I2731">
        <v>638.32000000000005</v>
      </c>
      <c r="J2731">
        <v>25.1</v>
      </c>
      <c r="K2731">
        <v>2.5099999999999998</v>
      </c>
      <c r="L2731">
        <v>6358.1</v>
      </c>
      <c r="M2731">
        <v>635.80999999999995</v>
      </c>
      <c r="O2731" s="79">
        <f>IFERROR(VLOOKUP(D2731,'KAPANAN BLD.'!$C$2:$D$793,2,FALSE),0)</f>
        <v>0</v>
      </c>
      <c r="P2731" s="79">
        <v>0</v>
      </c>
    </row>
    <row r="2732" spans="1:16" x14ac:dyDescent="0.25">
      <c r="A2732" t="s">
        <v>32</v>
      </c>
      <c r="B2732" s="73" t="str">
        <f>VLOOKUP(C2732,'Büyükşehir List'!$C$2:$D$31,2,FALSE)</f>
        <v>SAMSUN BÜYÜKŞEHİR</v>
      </c>
      <c r="C2732" t="s">
        <v>134</v>
      </c>
      <c r="D2732" s="73" t="str">
        <f t="shared" si="63"/>
        <v>SAMSUN BÜYÜKŞEHİR/SAMSUN</v>
      </c>
      <c r="E2732" t="s">
        <v>528</v>
      </c>
      <c r="F2732" t="s">
        <v>528</v>
      </c>
      <c r="G2732" t="s">
        <v>3366</v>
      </c>
      <c r="H2732">
        <v>2393.9</v>
      </c>
      <c r="I2732">
        <v>239.39</v>
      </c>
      <c r="J2732">
        <v>0</v>
      </c>
      <c r="K2732">
        <v>0</v>
      </c>
      <c r="L2732">
        <v>2393.9</v>
      </c>
      <c r="M2732">
        <v>239.39</v>
      </c>
      <c r="O2732" s="79">
        <f>IFERROR(VLOOKUP(D2732,'KAPANAN BLD.'!$C$2:$D$793,2,FALSE),0)</f>
        <v>0</v>
      </c>
      <c r="P2732" s="79">
        <v>0</v>
      </c>
    </row>
    <row r="2733" spans="1:16" x14ac:dyDescent="0.25">
      <c r="A2733" t="s">
        <v>32</v>
      </c>
      <c r="B2733" s="73" t="str">
        <f>VLOOKUP(C2733,'Büyükşehir List'!$C$2:$D$31,2,FALSE)</f>
        <v>SAMSUN BÜYÜKŞEHİR</v>
      </c>
      <c r="C2733" t="s">
        <v>134</v>
      </c>
      <c r="D2733" s="73" t="str">
        <f t="shared" si="63"/>
        <v>SAMSUN BÜYÜKŞEHİR/SAMSUN</v>
      </c>
      <c r="E2733" t="s">
        <v>528</v>
      </c>
      <c r="F2733" t="s">
        <v>528</v>
      </c>
      <c r="G2733" t="s">
        <v>3367</v>
      </c>
      <c r="H2733">
        <v>2200.6999999999998</v>
      </c>
      <c r="I2733">
        <v>220.07</v>
      </c>
      <c r="J2733">
        <v>0</v>
      </c>
      <c r="K2733">
        <v>0</v>
      </c>
      <c r="L2733">
        <v>2200.6999999999998</v>
      </c>
      <c r="M2733">
        <v>220.07</v>
      </c>
      <c r="O2733" s="79">
        <f>IFERROR(VLOOKUP(D2733,'KAPANAN BLD.'!$C$2:$D$793,2,FALSE),0)</f>
        <v>0</v>
      </c>
      <c r="P2733" s="79">
        <v>0</v>
      </c>
    </row>
    <row r="2734" spans="1:16" x14ac:dyDescent="0.25">
      <c r="A2734" t="s">
        <v>32</v>
      </c>
      <c r="B2734" s="73" t="str">
        <f>VLOOKUP(C2734,'Büyükşehir List'!$C$2:$D$31,2,FALSE)</f>
        <v>SAMSUN BÜYÜKŞEHİR</v>
      </c>
      <c r="C2734" t="s">
        <v>134</v>
      </c>
      <c r="D2734" s="73" t="str">
        <f t="shared" si="63"/>
        <v>SAMSUN BÜYÜKŞEHİR/SAMSUN</v>
      </c>
      <c r="E2734" t="s">
        <v>4403</v>
      </c>
      <c r="F2734" t="s">
        <v>4403</v>
      </c>
      <c r="G2734" t="s">
        <v>3366</v>
      </c>
      <c r="H2734">
        <v>402.8</v>
      </c>
      <c r="I2734">
        <v>40.28</v>
      </c>
      <c r="J2734">
        <v>0</v>
      </c>
      <c r="K2734">
        <v>0</v>
      </c>
      <c r="L2734">
        <v>402.8</v>
      </c>
      <c r="M2734">
        <v>40.28</v>
      </c>
      <c r="O2734" s="79">
        <f>IFERROR(VLOOKUP(D2734,'KAPANAN BLD.'!$C$2:$D$793,2,FALSE),0)</f>
        <v>0</v>
      </c>
      <c r="P2734" s="79">
        <v>0</v>
      </c>
    </row>
    <row r="2735" spans="1:16" x14ac:dyDescent="0.25">
      <c r="A2735" t="s">
        <v>32</v>
      </c>
      <c r="B2735" s="73" t="str">
        <f>VLOOKUP(C2735,'Büyükşehir List'!$C$2:$D$31,2,FALSE)</f>
        <v>SAMSUN BÜYÜKŞEHİR</v>
      </c>
      <c r="C2735" t="s">
        <v>134</v>
      </c>
      <c r="D2735" s="73" t="str">
        <f t="shared" si="63"/>
        <v>SAMSUN BÜYÜKŞEHİR/SAMSUN</v>
      </c>
      <c r="E2735" t="s">
        <v>4403</v>
      </c>
      <c r="F2735" t="s">
        <v>4403</v>
      </c>
      <c r="G2735" t="s">
        <v>3367</v>
      </c>
      <c r="H2735">
        <v>45</v>
      </c>
      <c r="I2735">
        <v>4.5</v>
      </c>
      <c r="J2735">
        <v>0</v>
      </c>
      <c r="K2735">
        <v>0</v>
      </c>
      <c r="L2735">
        <v>45</v>
      </c>
      <c r="M2735">
        <v>4.5</v>
      </c>
      <c r="O2735" s="79">
        <f>IFERROR(VLOOKUP(D2735,'KAPANAN BLD.'!$C$2:$D$793,2,FALSE),0)</f>
        <v>0</v>
      </c>
      <c r="P2735" s="79">
        <v>0</v>
      </c>
    </row>
    <row r="2736" spans="1:16" x14ac:dyDescent="0.25">
      <c r="A2736" t="s">
        <v>32</v>
      </c>
      <c r="B2736" s="73" t="str">
        <f>VLOOKUP(C2736,'Büyükşehir List'!$C$2:$D$31,2,FALSE)</f>
        <v>SAMSUN BÜYÜKŞEHİR</v>
      </c>
      <c r="C2736" t="s">
        <v>134</v>
      </c>
      <c r="D2736" s="73" t="str">
        <f t="shared" si="63"/>
        <v>SAMSUN BÜYÜKŞEHİR/SAMSUN</v>
      </c>
      <c r="E2736" t="s">
        <v>3905</v>
      </c>
      <c r="F2736" t="s">
        <v>3905</v>
      </c>
      <c r="G2736" t="s">
        <v>3367</v>
      </c>
      <c r="H2736">
        <v>62.6</v>
      </c>
      <c r="I2736">
        <v>6.26</v>
      </c>
      <c r="J2736">
        <v>0</v>
      </c>
      <c r="K2736">
        <v>0</v>
      </c>
      <c r="L2736">
        <v>62.6</v>
      </c>
      <c r="M2736">
        <v>6.26</v>
      </c>
      <c r="O2736" s="79">
        <f>IFERROR(VLOOKUP(D2736,'KAPANAN BLD.'!$C$2:$D$793,2,FALSE),0)</f>
        <v>0</v>
      </c>
      <c r="P2736" s="79">
        <v>0</v>
      </c>
    </row>
    <row r="2737" spans="1:16" x14ac:dyDescent="0.25">
      <c r="A2737" t="s">
        <v>32</v>
      </c>
      <c r="B2737" s="73" t="str">
        <f>VLOOKUP(C2737,'Büyükşehir List'!$C$2:$D$31,2,FALSE)</f>
        <v>SAMSUN BÜYÜKŞEHİR</v>
      </c>
      <c r="C2737" t="s">
        <v>134</v>
      </c>
      <c r="D2737" s="73" t="str">
        <f t="shared" si="63"/>
        <v>SAMSUN BÜYÜKŞEHİR/SAMSUN</v>
      </c>
      <c r="E2737" t="s">
        <v>3905</v>
      </c>
      <c r="F2737" t="s">
        <v>3905</v>
      </c>
      <c r="G2737" t="s">
        <v>3366</v>
      </c>
      <c r="H2737">
        <v>103.3</v>
      </c>
      <c r="I2737">
        <v>10.33</v>
      </c>
      <c r="J2737">
        <v>0</v>
      </c>
      <c r="K2737">
        <v>0</v>
      </c>
      <c r="L2737">
        <v>103.3</v>
      </c>
      <c r="M2737">
        <v>10.33</v>
      </c>
      <c r="O2737" s="79">
        <f>IFERROR(VLOOKUP(D2737,'KAPANAN BLD.'!$C$2:$D$793,2,FALSE),0)</f>
        <v>0</v>
      </c>
      <c r="P2737" s="79">
        <v>0</v>
      </c>
    </row>
    <row r="2738" spans="1:16" x14ac:dyDescent="0.25">
      <c r="A2738" t="s">
        <v>32</v>
      </c>
      <c r="B2738" s="73" t="str">
        <f>VLOOKUP(C2738,'Büyükşehir List'!$C$2:$D$31,2,FALSE)</f>
        <v>SAMSUN BÜYÜKŞEHİR</v>
      </c>
      <c r="C2738" t="s">
        <v>134</v>
      </c>
      <c r="D2738" s="73" t="str">
        <f t="shared" si="63"/>
        <v>SAMSUN BÜYÜKŞEHİR/SAMSUN</v>
      </c>
      <c r="E2738" t="s">
        <v>337</v>
      </c>
      <c r="F2738" t="s">
        <v>337</v>
      </c>
      <c r="G2738" t="s">
        <v>3367</v>
      </c>
      <c r="H2738">
        <v>20.2</v>
      </c>
      <c r="I2738">
        <v>2.02</v>
      </c>
      <c r="J2738">
        <v>0</v>
      </c>
      <c r="K2738">
        <v>0</v>
      </c>
      <c r="L2738">
        <v>20.2</v>
      </c>
      <c r="M2738">
        <v>2.02</v>
      </c>
      <c r="O2738" s="79">
        <f>IFERROR(VLOOKUP(D2738,'KAPANAN BLD.'!$C$2:$D$793,2,FALSE),0)</f>
        <v>0</v>
      </c>
      <c r="P2738" s="79">
        <v>0</v>
      </c>
    </row>
    <row r="2739" spans="1:16" x14ac:dyDescent="0.25">
      <c r="A2739" t="s">
        <v>32</v>
      </c>
      <c r="B2739" s="73" t="str">
        <f>VLOOKUP(C2739,'Büyükşehir List'!$C$2:$D$31,2,FALSE)</f>
        <v>SAMSUN BÜYÜKŞEHİR</v>
      </c>
      <c r="C2739" t="s">
        <v>134</v>
      </c>
      <c r="D2739" s="73" t="str">
        <f t="shared" si="63"/>
        <v>SAMSUN BÜYÜKŞEHİR/SAMSUN</v>
      </c>
      <c r="E2739" t="s">
        <v>337</v>
      </c>
      <c r="F2739" t="s">
        <v>337</v>
      </c>
      <c r="G2739" t="s">
        <v>3366</v>
      </c>
      <c r="H2739">
        <v>17.5</v>
      </c>
      <c r="I2739">
        <v>1.75</v>
      </c>
      <c r="J2739">
        <v>0</v>
      </c>
      <c r="K2739">
        <v>0</v>
      </c>
      <c r="L2739">
        <v>17.5</v>
      </c>
      <c r="M2739">
        <v>1.75</v>
      </c>
      <c r="O2739" s="79">
        <f>IFERROR(VLOOKUP(D2739,'KAPANAN BLD.'!$C$2:$D$793,2,FALSE),0)</f>
        <v>0</v>
      </c>
      <c r="P2739" s="79">
        <v>0</v>
      </c>
    </row>
    <row r="2740" spans="1:16" x14ac:dyDescent="0.25">
      <c r="A2740" t="s">
        <v>32</v>
      </c>
      <c r="B2740" s="73" t="str">
        <f>VLOOKUP(C2740,'Büyükşehir List'!$C$2:$D$31,2,FALSE)</f>
        <v>SAMSUN BÜYÜKŞEHİR</v>
      </c>
      <c r="C2740" t="s">
        <v>134</v>
      </c>
      <c r="D2740" s="73" t="str">
        <f t="shared" si="63"/>
        <v>SAMSUN BÜYÜKŞEHİR/SAMSUN</v>
      </c>
      <c r="E2740" t="s">
        <v>3778</v>
      </c>
      <c r="F2740" t="s">
        <v>3778</v>
      </c>
      <c r="G2740" t="s">
        <v>3367</v>
      </c>
      <c r="H2740">
        <v>10.8</v>
      </c>
      <c r="I2740">
        <v>1.08</v>
      </c>
      <c r="J2740">
        <v>5.4</v>
      </c>
      <c r="K2740">
        <v>0.54</v>
      </c>
      <c r="L2740">
        <v>5.4</v>
      </c>
      <c r="M2740">
        <v>0.54</v>
      </c>
      <c r="O2740" s="79">
        <f>IFERROR(VLOOKUP(D2740,'KAPANAN BLD.'!$C$2:$D$793,2,FALSE),0)</f>
        <v>0</v>
      </c>
      <c r="P2740" s="79">
        <v>0</v>
      </c>
    </row>
    <row r="2741" spans="1:16" x14ac:dyDescent="0.25">
      <c r="A2741" t="s">
        <v>32</v>
      </c>
      <c r="B2741" s="73" t="str">
        <f>VLOOKUP(C2741,'Büyükşehir List'!$C$2:$D$31,2,FALSE)</f>
        <v>SAMSUN BÜYÜKŞEHİR</v>
      </c>
      <c r="C2741" t="s">
        <v>134</v>
      </c>
      <c r="D2741" s="73" t="str">
        <f t="shared" si="63"/>
        <v>SAMSUN BÜYÜKŞEHİR/SAMSUN</v>
      </c>
      <c r="E2741" t="s">
        <v>3778</v>
      </c>
      <c r="F2741" t="s">
        <v>3778</v>
      </c>
      <c r="G2741" t="s">
        <v>3366</v>
      </c>
      <c r="H2741">
        <v>206.6</v>
      </c>
      <c r="I2741">
        <v>20.66</v>
      </c>
      <c r="J2741">
        <v>103.3</v>
      </c>
      <c r="K2741">
        <v>10.33</v>
      </c>
      <c r="L2741">
        <v>103.3</v>
      </c>
      <c r="M2741">
        <v>10.33</v>
      </c>
      <c r="O2741" s="79">
        <f>IFERROR(VLOOKUP(D2741,'KAPANAN BLD.'!$C$2:$D$793,2,FALSE),0)</f>
        <v>0</v>
      </c>
      <c r="P2741" s="79">
        <v>0</v>
      </c>
    </row>
    <row r="2742" spans="1:16" x14ac:dyDescent="0.25">
      <c r="A2742" t="s">
        <v>32</v>
      </c>
      <c r="B2742" s="73" t="str">
        <f>VLOOKUP(C2742,'Büyükşehir List'!$C$2:$D$31,2,FALSE)</f>
        <v>SAMSUN BÜYÜKŞEHİR</v>
      </c>
      <c r="C2742" t="s">
        <v>134</v>
      </c>
      <c r="D2742" s="73" t="str">
        <f t="shared" si="63"/>
        <v>SAMSUN BÜYÜKŞEHİR/SAMSUN</v>
      </c>
      <c r="E2742" t="s">
        <v>1885</v>
      </c>
      <c r="F2742" t="s">
        <v>1885</v>
      </c>
      <c r="G2742" t="s">
        <v>3367</v>
      </c>
      <c r="H2742">
        <v>3755.91</v>
      </c>
      <c r="I2742">
        <v>375.59</v>
      </c>
      <c r="J2742">
        <v>846.7</v>
      </c>
      <c r="K2742">
        <v>84.67</v>
      </c>
      <c r="L2742">
        <v>2909.21</v>
      </c>
      <c r="M2742">
        <v>290.92</v>
      </c>
      <c r="O2742" s="79">
        <f>IFERROR(VLOOKUP(D2742,'KAPANAN BLD.'!$C$2:$D$793,2,FALSE),0)</f>
        <v>0</v>
      </c>
      <c r="P2742" s="79">
        <v>0</v>
      </c>
    </row>
    <row r="2743" spans="1:16" x14ac:dyDescent="0.25">
      <c r="A2743" t="s">
        <v>32</v>
      </c>
      <c r="B2743" s="73" t="str">
        <f>VLOOKUP(C2743,'Büyükşehir List'!$C$2:$D$31,2,FALSE)</f>
        <v>SAMSUN BÜYÜKŞEHİR</v>
      </c>
      <c r="C2743" t="s">
        <v>134</v>
      </c>
      <c r="D2743" s="73" t="str">
        <f t="shared" si="63"/>
        <v>SAMSUN BÜYÜKŞEHİR/SAMSUN</v>
      </c>
      <c r="E2743" t="s">
        <v>1885</v>
      </c>
      <c r="F2743" t="s">
        <v>1885</v>
      </c>
      <c r="G2743" t="s">
        <v>3366</v>
      </c>
      <c r="H2743">
        <v>5991.12</v>
      </c>
      <c r="I2743">
        <v>599.11</v>
      </c>
      <c r="J2743">
        <v>887.2</v>
      </c>
      <c r="K2743">
        <v>88.72</v>
      </c>
      <c r="L2743">
        <v>5103.92</v>
      </c>
      <c r="M2743">
        <v>510.39</v>
      </c>
      <c r="O2743" s="79">
        <f>IFERROR(VLOOKUP(D2743,'KAPANAN BLD.'!$C$2:$D$793,2,FALSE),0)</f>
        <v>0</v>
      </c>
      <c r="P2743" s="79">
        <v>0</v>
      </c>
    </row>
    <row r="2744" spans="1:16" x14ac:dyDescent="0.25">
      <c r="A2744" t="s">
        <v>32</v>
      </c>
      <c r="B2744" s="73" t="str">
        <f>VLOOKUP(C2744,'Büyükşehir List'!$C$2:$D$31,2,FALSE)</f>
        <v>SAMSUN BÜYÜKŞEHİR</v>
      </c>
      <c r="C2744" t="s">
        <v>134</v>
      </c>
      <c r="D2744" s="73" t="str">
        <f t="shared" si="63"/>
        <v>SAMSUN BÜYÜKŞEHİR/SAMSUN</v>
      </c>
      <c r="E2744" t="s">
        <v>224</v>
      </c>
      <c r="F2744" t="s">
        <v>224</v>
      </c>
      <c r="G2744" t="s">
        <v>3366</v>
      </c>
      <c r="H2744">
        <v>103.3</v>
      </c>
      <c r="I2744">
        <v>10.33</v>
      </c>
      <c r="J2744">
        <v>0</v>
      </c>
      <c r="K2744">
        <v>0</v>
      </c>
      <c r="L2744">
        <v>103.3</v>
      </c>
      <c r="M2744">
        <v>10.33</v>
      </c>
      <c r="O2744" s="79">
        <f>IFERROR(VLOOKUP(D2744,'KAPANAN BLD.'!$C$2:$D$793,2,FALSE),0)</f>
        <v>0</v>
      </c>
      <c r="P2744" s="79">
        <v>0</v>
      </c>
    </row>
    <row r="2745" spans="1:16" x14ac:dyDescent="0.25">
      <c r="A2745" t="s">
        <v>32</v>
      </c>
      <c r="B2745" s="73" t="str">
        <f>VLOOKUP(C2745,'Büyükşehir List'!$C$2:$D$31,2,FALSE)</f>
        <v>SAMSUN BÜYÜKŞEHİR</v>
      </c>
      <c r="C2745" t="s">
        <v>134</v>
      </c>
      <c r="D2745" s="73" t="str">
        <f t="shared" si="63"/>
        <v>SAMSUN BÜYÜKŞEHİR/SAMSUN</v>
      </c>
      <c r="E2745" t="s">
        <v>224</v>
      </c>
      <c r="F2745" t="s">
        <v>224</v>
      </c>
      <c r="G2745" t="s">
        <v>3367</v>
      </c>
      <c r="H2745">
        <v>26.2</v>
      </c>
      <c r="I2745">
        <v>2.62</v>
      </c>
      <c r="J2745">
        <v>0</v>
      </c>
      <c r="K2745">
        <v>0</v>
      </c>
      <c r="L2745">
        <v>26.2</v>
      </c>
      <c r="M2745">
        <v>2.62</v>
      </c>
      <c r="O2745" s="79">
        <f>IFERROR(VLOOKUP(D2745,'KAPANAN BLD.'!$C$2:$D$793,2,FALSE),0)</f>
        <v>0</v>
      </c>
      <c r="P2745" s="79">
        <v>0</v>
      </c>
    </row>
    <row r="2746" spans="1:16" x14ac:dyDescent="0.25">
      <c r="A2746" t="s">
        <v>32</v>
      </c>
      <c r="B2746" s="73" t="str">
        <f>VLOOKUP(C2746,'Büyükşehir List'!$C$2:$D$31,2,FALSE)</f>
        <v>SAMSUN BÜYÜKŞEHİR</v>
      </c>
      <c r="C2746" t="s">
        <v>134</v>
      </c>
      <c r="D2746" s="73" t="str">
        <f t="shared" si="63"/>
        <v>SAMSUN BÜYÜKŞEHİR/SAMSUN</v>
      </c>
      <c r="E2746" t="s">
        <v>271</v>
      </c>
      <c r="F2746" t="s">
        <v>271</v>
      </c>
      <c r="G2746" t="s">
        <v>3367</v>
      </c>
      <c r="H2746">
        <v>234.1</v>
      </c>
      <c r="I2746">
        <v>23.41</v>
      </c>
      <c r="J2746">
        <v>0</v>
      </c>
      <c r="K2746">
        <v>0</v>
      </c>
      <c r="L2746">
        <v>234.1</v>
      </c>
      <c r="M2746">
        <v>23.41</v>
      </c>
      <c r="O2746" s="79">
        <f>IFERROR(VLOOKUP(D2746,'KAPANAN BLD.'!$C$2:$D$793,2,FALSE),0)</f>
        <v>0</v>
      </c>
      <c r="P2746" s="79">
        <v>0</v>
      </c>
    </row>
    <row r="2747" spans="1:16" x14ac:dyDescent="0.25">
      <c r="A2747" t="s">
        <v>32</v>
      </c>
      <c r="B2747" s="73" t="str">
        <f>VLOOKUP(C2747,'Büyükşehir List'!$C$2:$D$31,2,FALSE)</f>
        <v>SAMSUN BÜYÜKŞEHİR</v>
      </c>
      <c r="C2747" t="s">
        <v>134</v>
      </c>
      <c r="D2747" s="73" t="str">
        <f t="shared" si="63"/>
        <v>SAMSUN BÜYÜKŞEHİR/SAMSUN</v>
      </c>
      <c r="E2747" t="s">
        <v>271</v>
      </c>
      <c r="F2747" t="s">
        <v>271</v>
      </c>
      <c r="G2747" t="s">
        <v>3366</v>
      </c>
      <c r="H2747">
        <v>497.8</v>
      </c>
      <c r="I2747">
        <v>49.78</v>
      </c>
      <c r="J2747">
        <v>0</v>
      </c>
      <c r="K2747">
        <v>0</v>
      </c>
      <c r="L2747">
        <v>497.8</v>
      </c>
      <c r="M2747">
        <v>49.78</v>
      </c>
      <c r="O2747" s="79">
        <f>IFERROR(VLOOKUP(D2747,'KAPANAN BLD.'!$C$2:$D$793,2,FALSE),0)</f>
        <v>0</v>
      </c>
      <c r="P2747" s="79">
        <v>0</v>
      </c>
    </row>
    <row r="2748" spans="1:16" x14ac:dyDescent="0.25">
      <c r="A2748" t="s">
        <v>32</v>
      </c>
      <c r="B2748" s="73" t="str">
        <f>VLOOKUP(C2748,'Büyükşehir List'!$C$2:$D$31,2,FALSE)</f>
        <v>SAMSUN BÜYÜKŞEHİR</v>
      </c>
      <c r="C2748" t="s">
        <v>134</v>
      </c>
      <c r="D2748" s="73" t="str">
        <f t="shared" si="63"/>
        <v>SAMSUN BÜYÜKŞEHİR/SAMSUN</v>
      </c>
      <c r="E2748" t="s">
        <v>4404</v>
      </c>
      <c r="F2748" t="s">
        <v>4404</v>
      </c>
      <c r="G2748" t="s">
        <v>3366</v>
      </c>
      <c r="H2748">
        <v>33.299999999999997</v>
      </c>
      <c r="I2748">
        <v>3.33</v>
      </c>
      <c r="J2748">
        <v>0</v>
      </c>
      <c r="K2748">
        <v>0</v>
      </c>
      <c r="L2748">
        <v>33.299999999999997</v>
      </c>
      <c r="M2748">
        <v>3.33</v>
      </c>
      <c r="O2748" s="79">
        <f>IFERROR(VLOOKUP(D2748,'KAPANAN BLD.'!$C$2:$D$793,2,FALSE),0)</f>
        <v>0</v>
      </c>
      <c r="P2748" s="79">
        <v>0</v>
      </c>
    </row>
    <row r="2749" spans="1:16" x14ac:dyDescent="0.25">
      <c r="A2749" t="s">
        <v>32</v>
      </c>
      <c r="B2749" s="73" t="str">
        <f>VLOOKUP(C2749,'Büyükşehir List'!$C$2:$D$31,2,FALSE)</f>
        <v>SAMSUN BÜYÜKŞEHİR</v>
      </c>
      <c r="C2749" t="s">
        <v>134</v>
      </c>
      <c r="D2749" s="73" t="str">
        <f t="shared" si="63"/>
        <v>SAMSUN BÜYÜKŞEHİR/SAMSUN</v>
      </c>
      <c r="E2749" t="s">
        <v>4404</v>
      </c>
      <c r="F2749" t="s">
        <v>4404</v>
      </c>
      <c r="G2749" t="s">
        <v>3367</v>
      </c>
      <c r="H2749">
        <v>66</v>
      </c>
      <c r="I2749">
        <v>6.6</v>
      </c>
      <c r="J2749">
        <v>0</v>
      </c>
      <c r="K2749">
        <v>0</v>
      </c>
      <c r="L2749">
        <v>66</v>
      </c>
      <c r="M2749">
        <v>6.6</v>
      </c>
      <c r="O2749" s="79">
        <f>IFERROR(VLOOKUP(D2749,'KAPANAN BLD.'!$C$2:$D$793,2,FALSE),0)</f>
        <v>0</v>
      </c>
      <c r="P2749" s="79">
        <v>0</v>
      </c>
    </row>
    <row r="2750" spans="1:16" x14ac:dyDescent="0.25">
      <c r="A2750" t="s">
        <v>32</v>
      </c>
      <c r="B2750" s="73" t="str">
        <f>VLOOKUP(C2750,'Büyükşehir List'!$C$2:$D$31,2,FALSE)</f>
        <v>SAMSUN BÜYÜKŞEHİR</v>
      </c>
      <c r="C2750" t="s">
        <v>134</v>
      </c>
      <c r="D2750" s="73" t="str">
        <f t="shared" si="63"/>
        <v>SAMSUN BÜYÜKŞEHİR/SAMSUN</v>
      </c>
      <c r="E2750" t="s">
        <v>4359</v>
      </c>
      <c r="F2750" t="s">
        <v>4359</v>
      </c>
      <c r="G2750" t="s">
        <v>3366</v>
      </c>
      <c r="H2750">
        <v>79.599999999999994</v>
      </c>
      <c r="I2750">
        <v>7.96</v>
      </c>
      <c r="J2750">
        <v>0</v>
      </c>
      <c r="K2750">
        <v>0</v>
      </c>
      <c r="L2750">
        <v>79.599999999999994</v>
      </c>
      <c r="M2750">
        <v>7.96</v>
      </c>
      <c r="O2750" s="79">
        <f>IFERROR(VLOOKUP(D2750,'KAPANAN BLD.'!$C$2:$D$793,2,FALSE),0)</f>
        <v>0</v>
      </c>
      <c r="P2750" s="79">
        <v>0</v>
      </c>
    </row>
    <row r="2751" spans="1:16" x14ac:dyDescent="0.25">
      <c r="A2751" t="s">
        <v>32</v>
      </c>
      <c r="B2751" s="73" t="str">
        <f>VLOOKUP(C2751,'Büyükşehir List'!$C$2:$D$31,2,FALSE)</f>
        <v>SAMSUN BÜYÜKŞEHİR</v>
      </c>
      <c r="C2751" t="s">
        <v>134</v>
      </c>
      <c r="D2751" s="73" t="str">
        <f t="shared" si="63"/>
        <v>SAMSUN BÜYÜKŞEHİR/SAMSUN</v>
      </c>
      <c r="E2751" t="s">
        <v>4359</v>
      </c>
      <c r="F2751" t="s">
        <v>4359</v>
      </c>
      <c r="G2751" t="s">
        <v>3367</v>
      </c>
      <c r="H2751">
        <v>242.5</v>
      </c>
      <c r="I2751">
        <v>24.25</v>
      </c>
      <c r="J2751">
        <v>0</v>
      </c>
      <c r="K2751">
        <v>0</v>
      </c>
      <c r="L2751">
        <v>242.5</v>
      </c>
      <c r="M2751">
        <v>24.25</v>
      </c>
      <c r="O2751" s="79">
        <f>IFERROR(VLOOKUP(D2751,'KAPANAN BLD.'!$C$2:$D$793,2,FALSE),0)</f>
        <v>0</v>
      </c>
      <c r="P2751" s="79">
        <v>0</v>
      </c>
    </row>
    <row r="2752" spans="1:16" x14ac:dyDescent="0.25">
      <c r="A2752" t="s">
        <v>32</v>
      </c>
      <c r="B2752" s="73" t="str">
        <f t="shared" ref="B2752:B2809" si="64">F2752</f>
        <v>MERKEZ</v>
      </c>
      <c r="C2752" t="s">
        <v>88</v>
      </c>
      <c r="D2752" s="73" t="str">
        <f t="shared" si="63"/>
        <v>MERKEZ/SİİRT</v>
      </c>
      <c r="E2752" s="9" t="s">
        <v>34</v>
      </c>
      <c r="F2752" s="9" t="s">
        <v>34</v>
      </c>
      <c r="G2752" t="s">
        <v>3367</v>
      </c>
      <c r="H2752">
        <v>1388.3</v>
      </c>
      <c r="I2752">
        <v>138.83000000000001</v>
      </c>
      <c r="J2752">
        <v>0</v>
      </c>
      <c r="K2752">
        <v>0</v>
      </c>
      <c r="L2752">
        <v>1388.3</v>
      </c>
      <c r="M2752">
        <v>138.83000000000001</v>
      </c>
      <c r="O2752" s="79">
        <f>IFERROR(VLOOKUP(D2752,'KAPANAN BLD.'!$C$2:$D$793,2,FALSE),0)</f>
        <v>0</v>
      </c>
      <c r="P2752" s="79">
        <v>0</v>
      </c>
    </row>
    <row r="2753" spans="1:16" x14ac:dyDescent="0.25">
      <c r="A2753" t="s">
        <v>32</v>
      </c>
      <c r="B2753" s="73" t="str">
        <f t="shared" si="64"/>
        <v>MERKEZ</v>
      </c>
      <c r="C2753" t="s">
        <v>88</v>
      </c>
      <c r="D2753" s="73" t="str">
        <f t="shared" si="63"/>
        <v>MERKEZ/SİİRT</v>
      </c>
      <c r="E2753" s="9" t="s">
        <v>34</v>
      </c>
      <c r="F2753" s="9" t="s">
        <v>34</v>
      </c>
      <c r="G2753" t="s">
        <v>3366</v>
      </c>
      <c r="H2753">
        <v>3461.1</v>
      </c>
      <c r="I2753">
        <v>346.11</v>
      </c>
      <c r="J2753">
        <v>0</v>
      </c>
      <c r="K2753">
        <v>0</v>
      </c>
      <c r="L2753">
        <v>3461.1</v>
      </c>
      <c r="M2753">
        <v>346.11</v>
      </c>
      <c r="O2753" s="79">
        <f>IFERROR(VLOOKUP(D2753,'KAPANAN BLD.'!$C$2:$D$793,2,FALSE),0)</f>
        <v>0</v>
      </c>
      <c r="P2753" s="79">
        <v>0</v>
      </c>
    </row>
    <row r="2754" spans="1:16" x14ac:dyDescent="0.25">
      <c r="A2754" t="s">
        <v>32</v>
      </c>
      <c r="B2754" s="73" t="str">
        <f t="shared" si="64"/>
        <v>KURTALAN</v>
      </c>
      <c r="C2754" t="s">
        <v>88</v>
      </c>
      <c r="D2754" s="73" t="str">
        <f t="shared" si="63"/>
        <v>KURTALAN/SİİRT</v>
      </c>
      <c r="E2754" s="9" t="s">
        <v>1887</v>
      </c>
      <c r="F2754" s="9" t="s">
        <v>1887</v>
      </c>
      <c r="G2754" t="s">
        <v>3367</v>
      </c>
      <c r="H2754">
        <v>95.2</v>
      </c>
      <c r="I2754">
        <v>9.52</v>
      </c>
      <c r="J2754">
        <v>0</v>
      </c>
      <c r="K2754">
        <v>0</v>
      </c>
      <c r="L2754">
        <v>95.2</v>
      </c>
      <c r="M2754">
        <v>9.52</v>
      </c>
      <c r="O2754" s="79">
        <f>IFERROR(VLOOKUP(D2754,'KAPANAN BLD.'!$C$2:$D$793,2,FALSE),0)</f>
        <v>0</v>
      </c>
      <c r="P2754" s="79">
        <v>0</v>
      </c>
    </row>
    <row r="2755" spans="1:16" x14ac:dyDescent="0.25">
      <c r="A2755" t="s">
        <v>32</v>
      </c>
      <c r="B2755" s="73" t="str">
        <f t="shared" si="64"/>
        <v>KURTALAN</v>
      </c>
      <c r="C2755" t="s">
        <v>88</v>
      </c>
      <c r="D2755" s="73" t="str">
        <f t="shared" ref="D2755:D2818" si="65">CONCATENATE(B2755,"/",C2755)</f>
        <v>KURTALAN/SİİRT</v>
      </c>
      <c r="E2755" t="s">
        <v>1887</v>
      </c>
      <c r="F2755" t="s">
        <v>1887</v>
      </c>
      <c r="G2755" t="s">
        <v>3367</v>
      </c>
      <c r="H2755">
        <v>65</v>
      </c>
      <c r="I2755">
        <v>6.5</v>
      </c>
      <c r="J2755">
        <v>0</v>
      </c>
      <c r="K2755">
        <v>0</v>
      </c>
      <c r="L2755">
        <v>65</v>
      </c>
      <c r="M2755">
        <v>6.5</v>
      </c>
      <c r="O2755" s="79">
        <f>IFERROR(VLOOKUP(D2755,'KAPANAN BLD.'!$C$2:$D$793,2,FALSE),0)</f>
        <v>0</v>
      </c>
      <c r="P2755" s="79">
        <v>0</v>
      </c>
    </row>
    <row r="2756" spans="1:16" x14ac:dyDescent="0.25">
      <c r="A2756" t="s">
        <v>32</v>
      </c>
      <c r="B2756" s="73" t="str">
        <f t="shared" si="64"/>
        <v>KURTALAN</v>
      </c>
      <c r="C2756" t="s">
        <v>88</v>
      </c>
      <c r="D2756" s="73" t="str">
        <f t="shared" si="65"/>
        <v>KURTALAN/SİİRT</v>
      </c>
      <c r="E2756" t="s">
        <v>1887</v>
      </c>
      <c r="F2756" t="s">
        <v>1887</v>
      </c>
      <c r="G2756" t="s">
        <v>3367</v>
      </c>
      <c r="H2756">
        <v>47.4</v>
      </c>
      <c r="I2756">
        <v>4.74</v>
      </c>
      <c r="J2756">
        <v>0</v>
      </c>
      <c r="K2756">
        <v>0</v>
      </c>
      <c r="L2756">
        <v>47.4</v>
      </c>
      <c r="M2756">
        <v>4.74</v>
      </c>
      <c r="O2756" s="79">
        <f>IFERROR(VLOOKUP(D2756,'KAPANAN BLD.'!$C$2:$D$793,2,FALSE),0)</f>
        <v>0</v>
      </c>
      <c r="P2756" s="79">
        <v>0</v>
      </c>
    </row>
    <row r="2757" spans="1:16" x14ac:dyDescent="0.25">
      <c r="A2757" t="s">
        <v>32</v>
      </c>
      <c r="B2757" s="73" t="str">
        <f t="shared" si="64"/>
        <v>MERKEZ</v>
      </c>
      <c r="C2757" t="s">
        <v>88</v>
      </c>
      <c r="D2757" s="73" t="str">
        <f t="shared" si="65"/>
        <v>MERKEZ/SİİRT</v>
      </c>
      <c r="E2757" t="s">
        <v>34</v>
      </c>
      <c r="F2757" t="s">
        <v>34</v>
      </c>
      <c r="G2757" t="s">
        <v>3366</v>
      </c>
      <c r="H2757">
        <v>2703.1</v>
      </c>
      <c r="I2757">
        <v>270.31</v>
      </c>
      <c r="J2757">
        <v>0</v>
      </c>
      <c r="K2757">
        <v>0</v>
      </c>
      <c r="L2757">
        <v>2703.1</v>
      </c>
      <c r="M2757">
        <v>270.31</v>
      </c>
      <c r="O2757" s="79">
        <f>IFERROR(VLOOKUP(D2757,'KAPANAN BLD.'!$C$2:$D$793,2,FALSE),0)</f>
        <v>0</v>
      </c>
      <c r="P2757" s="79">
        <v>0</v>
      </c>
    </row>
    <row r="2758" spans="1:16" x14ac:dyDescent="0.25">
      <c r="A2758" t="s">
        <v>32</v>
      </c>
      <c r="B2758" s="73" t="str">
        <f t="shared" si="64"/>
        <v>MERKEZ</v>
      </c>
      <c r="C2758" t="s">
        <v>88</v>
      </c>
      <c r="D2758" s="73" t="str">
        <f t="shared" si="65"/>
        <v>MERKEZ/SİİRT</v>
      </c>
      <c r="E2758" t="s">
        <v>34</v>
      </c>
      <c r="F2758" t="s">
        <v>34</v>
      </c>
      <c r="G2758" t="s">
        <v>3367</v>
      </c>
      <c r="H2758">
        <v>1355.5</v>
      </c>
      <c r="I2758">
        <v>135.55000000000001</v>
      </c>
      <c r="J2758">
        <v>0</v>
      </c>
      <c r="K2758">
        <v>0</v>
      </c>
      <c r="L2758">
        <v>1355.5</v>
      </c>
      <c r="M2758">
        <v>135.55000000000001</v>
      </c>
      <c r="O2758" s="79">
        <f>IFERROR(VLOOKUP(D2758,'KAPANAN BLD.'!$C$2:$D$793,2,FALSE),0)</f>
        <v>0</v>
      </c>
      <c r="P2758" s="79">
        <v>0</v>
      </c>
    </row>
    <row r="2759" spans="1:16" x14ac:dyDescent="0.25">
      <c r="A2759" t="s">
        <v>32</v>
      </c>
      <c r="B2759" s="73" t="str">
        <f t="shared" si="64"/>
        <v>AYANCIK</v>
      </c>
      <c r="C2759" t="s">
        <v>141</v>
      </c>
      <c r="D2759" s="73" t="str">
        <f t="shared" si="65"/>
        <v>AYANCIK/SİNOP</v>
      </c>
      <c r="E2759" t="s">
        <v>469</v>
      </c>
      <c r="F2759" t="s">
        <v>469</v>
      </c>
      <c r="G2759" t="s">
        <v>3367</v>
      </c>
      <c r="H2759">
        <v>30.6</v>
      </c>
      <c r="I2759">
        <v>3.06</v>
      </c>
      <c r="J2759">
        <v>0</v>
      </c>
      <c r="K2759">
        <v>0</v>
      </c>
      <c r="L2759">
        <v>30.6</v>
      </c>
      <c r="M2759">
        <v>3.06</v>
      </c>
      <c r="O2759" s="79">
        <f>IFERROR(VLOOKUP(D2759,'KAPANAN BLD.'!$C$2:$D$793,2,FALSE),0)</f>
        <v>0</v>
      </c>
      <c r="P2759" s="79">
        <v>0</v>
      </c>
    </row>
    <row r="2760" spans="1:16" x14ac:dyDescent="0.25">
      <c r="A2760" t="s">
        <v>32</v>
      </c>
      <c r="B2760" s="73" t="str">
        <f t="shared" si="64"/>
        <v>BOYABAT</v>
      </c>
      <c r="C2760" t="s">
        <v>141</v>
      </c>
      <c r="D2760" s="73" t="str">
        <f t="shared" si="65"/>
        <v>BOYABAT/SİNOP</v>
      </c>
      <c r="E2760" t="s">
        <v>470</v>
      </c>
      <c r="F2760" t="s">
        <v>470</v>
      </c>
      <c r="G2760" t="s">
        <v>3366</v>
      </c>
      <c r="H2760">
        <v>415.6</v>
      </c>
      <c r="I2760">
        <v>41.56</v>
      </c>
      <c r="J2760">
        <v>0</v>
      </c>
      <c r="K2760">
        <v>0</v>
      </c>
      <c r="L2760">
        <v>415.6</v>
      </c>
      <c r="M2760">
        <v>41.56</v>
      </c>
      <c r="O2760" s="79">
        <f>IFERROR(VLOOKUP(D2760,'KAPANAN BLD.'!$C$2:$D$793,2,FALSE),0)</f>
        <v>0</v>
      </c>
      <c r="P2760" s="79">
        <v>0</v>
      </c>
    </row>
    <row r="2761" spans="1:16" x14ac:dyDescent="0.25">
      <c r="A2761" t="s">
        <v>32</v>
      </c>
      <c r="B2761" s="73" t="str">
        <f t="shared" si="64"/>
        <v>BOYABAT</v>
      </c>
      <c r="C2761" t="s">
        <v>141</v>
      </c>
      <c r="D2761" s="73" t="str">
        <f t="shared" si="65"/>
        <v>BOYABAT/SİNOP</v>
      </c>
      <c r="E2761" t="s">
        <v>470</v>
      </c>
      <c r="F2761" t="s">
        <v>470</v>
      </c>
      <c r="G2761" t="s">
        <v>3367</v>
      </c>
      <c r="H2761">
        <v>118.7</v>
      </c>
      <c r="I2761">
        <v>11.87</v>
      </c>
      <c r="J2761">
        <v>39</v>
      </c>
      <c r="K2761">
        <v>3.9</v>
      </c>
      <c r="L2761">
        <v>79.7</v>
      </c>
      <c r="M2761">
        <v>7.97</v>
      </c>
      <c r="O2761" s="79">
        <f>IFERROR(VLOOKUP(D2761,'KAPANAN BLD.'!$C$2:$D$793,2,FALSE),0)</f>
        <v>0</v>
      </c>
      <c r="P2761" s="79">
        <v>0</v>
      </c>
    </row>
    <row r="2762" spans="1:16" x14ac:dyDescent="0.25">
      <c r="A2762" t="s">
        <v>32</v>
      </c>
      <c r="B2762" s="73" t="str">
        <f t="shared" si="64"/>
        <v>DURAĞAN</v>
      </c>
      <c r="C2762" t="s">
        <v>141</v>
      </c>
      <c r="D2762" s="73" t="str">
        <f t="shared" si="65"/>
        <v>DURAĞAN/SİNOP</v>
      </c>
      <c r="E2762" t="s">
        <v>2855</v>
      </c>
      <c r="F2762" t="s">
        <v>2855</v>
      </c>
      <c r="G2762" t="s">
        <v>3366</v>
      </c>
      <c r="H2762">
        <v>14.5</v>
      </c>
      <c r="I2762">
        <v>1.45</v>
      </c>
      <c r="J2762">
        <v>0</v>
      </c>
      <c r="K2762">
        <v>0</v>
      </c>
      <c r="L2762">
        <v>14.5</v>
      </c>
      <c r="M2762">
        <v>1.45</v>
      </c>
      <c r="O2762" s="79">
        <f>IFERROR(VLOOKUP(D2762,'KAPANAN BLD.'!$C$2:$D$793,2,FALSE),0)</f>
        <v>0</v>
      </c>
      <c r="P2762" s="79">
        <v>0</v>
      </c>
    </row>
    <row r="2763" spans="1:16" x14ac:dyDescent="0.25">
      <c r="A2763" t="s">
        <v>32</v>
      </c>
      <c r="B2763" s="73" t="str">
        <f t="shared" si="64"/>
        <v>DURAĞAN</v>
      </c>
      <c r="C2763" t="s">
        <v>141</v>
      </c>
      <c r="D2763" s="73" t="str">
        <f t="shared" si="65"/>
        <v>DURAĞAN/SİNOP</v>
      </c>
      <c r="E2763" t="s">
        <v>2855</v>
      </c>
      <c r="F2763" t="s">
        <v>2855</v>
      </c>
      <c r="G2763" t="s">
        <v>3367</v>
      </c>
      <c r="H2763">
        <v>51.7</v>
      </c>
      <c r="I2763">
        <v>5.17</v>
      </c>
      <c r="J2763">
        <v>0</v>
      </c>
      <c r="K2763">
        <v>0</v>
      </c>
      <c r="L2763">
        <v>51.7</v>
      </c>
      <c r="M2763">
        <v>5.17</v>
      </c>
      <c r="O2763" s="79">
        <f>IFERROR(VLOOKUP(D2763,'KAPANAN BLD.'!$C$2:$D$793,2,FALSE),0)</f>
        <v>0</v>
      </c>
      <c r="P2763" s="79">
        <v>0</v>
      </c>
    </row>
    <row r="2764" spans="1:16" x14ac:dyDescent="0.25">
      <c r="A2764" t="s">
        <v>32</v>
      </c>
      <c r="B2764" s="73" t="str">
        <f t="shared" si="64"/>
        <v>ERFELEK</v>
      </c>
      <c r="C2764" t="s">
        <v>141</v>
      </c>
      <c r="D2764" s="73" t="str">
        <f t="shared" si="65"/>
        <v>ERFELEK/SİNOP</v>
      </c>
      <c r="E2764" t="s">
        <v>2239</v>
      </c>
      <c r="F2764" t="s">
        <v>2239</v>
      </c>
      <c r="G2764" t="s">
        <v>3366</v>
      </c>
      <c r="H2764">
        <v>1609.9</v>
      </c>
      <c r="I2764">
        <v>160.99</v>
      </c>
      <c r="J2764">
        <v>516.70000000000005</v>
      </c>
      <c r="K2764">
        <v>51.67</v>
      </c>
      <c r="L2764">
        <v>1093.2</v>
      </c>
      <c r="M2764">
        <v>109.32</v>
      </c>
      <c r="O2764" s="79">
        <f>IFERROR(VLOOKUP(D2764,'KAPANAN BLD.'!$C$2:$D$793,2,FALSE),0)</f>
        <v>0</v>
      </c>
      <c r="P2764" s="79">
        <v>0</v>
      </c>
    </row>
    <row r="2765" spans="1:16" x14ac:dyDescent="0.25">
      <c r="A2765" t="s">
        <v>32</v>
      </c>
      <c r="B2765" s="73" t="str">
        <f t="shared" si="64"/>
        <v>ERFELEK</v>
      </c>
      <c r="C2765" t="s">
        <v>141</v>
      </c>
      <c r="D2765" s="73" t="str">
        <f t="shared" si="65"/>
        <v>ERFELEK/SİNOP</v>
      </c>
      <c r="E2765" t="s">
        <v>2239</v>
      </c>
      <c r="F2765" t="s">
        <v>2239</v>
      </c>
      <c r="G2765" t="s">
        <v>3367</v>
      </c>
      <c r="H2765">
        <v>859.9</v>
      </c>
      <c r="I2765">
        <v>85.99</v>
      </c>
      <c r="J2765">
        <v>699.3</v>
      </c>
      <c r="K2765">
        <v>69.930000000000007</v>
      </c>
      <c r="L2765">
        <v>160.6</v>
      </c>
      <c r="M2765">
        <v>16.059999999999999</v>
      </c>
      <c r="O2765" s="79">
        <f>IFERROR(VLOOKUP(D2765,'KAPANAN BLD.'!$C$2:$D$793,2,FALSE),0)</f>
        <v>0</v>
      </c>
      <c r="P2765" s="79">
        <v>0</v>
      </c>
    </row>
    <row r="2766" spans="1:16" x14ac:dyDescent="0.25">
      <c r="A2766" t="s">
        <v>32</v>
      </c>
      <c r="B2766" s="73" t="str">
        <f t="shared" si="64"/>
        <v>GERZE</v>
      </c>
      <c r="C2766" t="s">
        <v>141</v>
      </c>
      <c r="D2766" s="73" t="str">
        <f t="shared" si="65"/>
        <v>GERZE/SİNOP</v>
      </c>
      <c r="E2766" t="s">
        <v>2244</v>
      </c>
      <c r="F2766" t="s">
        <v>2244</v>
      </c>
      <c r="G2766" t="s">
        <v>3366</v>
      </c>
      <c r="H2766">
        <v>0.2</v>
      </c>
      <c r="I2766">
        <v>0.02</v>
      </c>
      <c r="J2766">
        <v>0</v>
      </c>
      <c r="K2766">
        <v>0</v>
      </c>
      <c r="L2766">
        <v>0.2</v>
      </c>
      <c r="M2766">
        <v>0.02</v>
      </c>
      <c r="O2766" s="79">
        <f>IFERROR(VLOOKUP(D2766,'KAPANAN BLD.'!$C$2:$D$793,2,FALSE),0)</f>
        <v>0</v>
      </c>
      <c r="P2766" s="79">
        <v>0</v>
      </c>
    </row>
    <row r="2767" spans="1:16" x14ac:dyDescent="0.25">
      <c r="A2767" t="s">
        <v>32</v>
      </c>
      <c r="B2767" s="73" t="str">
        <f t="shared" si="64"/>
        <v>GERZE</v>
      </c>
      <c r="C2767" t="s">
        <v>141</v>
      </c>
      <c r="D2767" s="73" t="str">
        <f t="shared" si="65"/>
        <v>GERZE/SİNOP</v>
      </c>
      <c r="E2767" t="s">
        <v>2244</v>
      </c>
      <c r="F2767" t="s">
        <v>2244</v>
      </c>
      <c r="G2767" t="s">
        <v>3367</v>
      </c>
      <c r="H2767">
        <v>1.1000000000000001</v>
      </c>
      <c r="I2767">
        <v>0.11</v>
      </c>
      <c r="J2767">
        <v>0</v>
      </c>
      <c r="K2767">
        <v>0</v>
      </c>
      <c r="L2767">
        <v>1.1000000000000001</v>
      </c>
      <c r="M2767">
        <v>0.11</v>
      </c>
      <c r="O2767" s="79">
        <f>IFERROR(VLOOKUP(D2767,'KAPANAN BLD.'!$C$2:$D$793,2,FALSE),0)</f>
        <v>0</v>
      </c>
      <c r="P2767" s="79">
        <v>0</v>
      </c>
    </row>
    <row r="2768" spans="1:16" x14ac:dyDescent="0.25">
      <c r="A2768" t="s">
        <v>32</v>
      </c>
      <c r="B2768" s="73" t="str">
        <f t="shared" si="64"/>
        <v>MERKEZ</v>
      </c>
      <c r="C2768" t="s">
        <v>141</v>
      </c>
      <c r="D2768" s="73" t="str">
        <f t="shared" si="65"/>
        <v>MERKEZ/SİNOP</v>
      </c>
      <c r="E2768" t="s">
        <v>34</v>
      </c>
      <c r="F2768" t="s">
        <v>34</v>
      </c>
      <c r="G2768" t="s">
        <v>3367</v>
      </c>
      <c r="H2768">
        <v>11693</v>
      </c>
      <c r="I2768">
        <v>1169.3</v>
      </c>
      <c r="J2768">
        <v>1040</v>
      </c>
      <c r="K2768">
        <v>104</v>
      </c>
      <c r="L2768">
        <v>10653</v>
      </c>
      <c r="M2768">
        <v>1065.3</v>
      </c>
      <c r="O2768" s="79">
        <f>IFERROR(VLOOKUP(D2768,'KAPANAN BLD.'!$C$2:$D$793,2,FALSE),0)</f>
        <v>0</v>
      </c>
      <c r="P2768" s="79">
        <v>0</v>
      </c>
    </row>
    <row r="2769" spans="1:16" x14ac:dyDescent="0.25">
      <c r="A2769" t="s">
        <v>32</v>
      </c>
      <c r="B2769" s="73" t="str">
        <f t="shared" si="64"/>
        <v>MERKEZ</v>
      </c>
      <c r="C2769" t="s">
        <v>141</v>
      </c>
      <c r="D2769" s="73" t="str">
        <f t="shared" si="65"/>
        <v>MERKEZ/SİNOP</v>
      </c>
      <c r="E2769" t="s">
        <v>34</v>
      </c>
      <c r="F2769" t="s">
        <v>34</v>
      </c>
      <c r="G2769" t="s">
        <v>3366</v>
      </c>
      <c r="H2769">
        <v>25453.5</v>
      </c>
      <c r="I2769">
        <v>2545.35</v>
      </c>
      <c r="J2769">
        <v>1814.7</v>
      </c>
      <c r="K2769">
        <v>181.47</v>
      </c>
      <c r="L2769">
        <v>23638.799999999999</v>
      </c>
      <c r="M2769">
        <v>2363.88</v>
      </c>
      <c r="O2769" s="79">
        <f>IFERROR(VLOOKUP(D2769,'KAPANAN BLD.'!$C$2:$D$793,2,FALSE),0)</f>
        <v>0</v>
      </c>
      <c r="P2769" s="79">
        <v>0</v>
      </c>
    </row>
    <row r="2770" spans="1:16" x14ac:dyDescent="0.25">
      <c r="A2770" t="s">
        <v>32</v>
      </c>
      <c r="B2770" s="73" t="str">
        <f t="shared" si="64"/>
        <v>TÜRKELİ</v>
      </c>
      <c r="C2770" t="s">
        <v>141</v>
      </c>
      <c r="D2770" s="73" t="str">
        <f t="shared" si="65"/>
        <v>TÜRKELİ/SİNOP</v>
      </c>
      <c r="E2770" t="s">
        <v>245</v>
      </c>
      <c r="F2770" t="s">
        <v>245</v>
      </c>
      <c r="G2770" t="s">
        <v>3367</v>
      </c>
      <c r="H2770">
        <v>78.2</v>
      </c>
      <c r="I2770">
        <v>7.82</v>
      </c>
      <c r="J2770">
        <v>45</v>
      </c>
      <c r="K2770">
        <v>4.5</v>
      </c>
      <c r="L2770">
        <v>33.200000000000003</v>
      </c>
      <c r="M2770">
        <v>3.32</v>
      </c>
      <c r="O2770" s="79">
        <f>IFERROR(VLOOKUP(D2770,'KAPANAN BLD.'!$C$2:$D$793,2,FALSE),0)</f>
        <v>0</v>
      </c>
      <c r="P2770" s="79">
        <v>0</v>
      </c>
    </row>
    <row r="2771" spans="1:16" x14ac:dyDescent="0.25">
      <c r="A2771" t="s">
        <v>32</v>
      </c>
      <c r="B2771" s="73" t="str">
        <f t="shared" si="64"/>
        <v>TÜRKELİ</v>
      </c>
      <c r="C2771" t="s">
        <v>141</v>
      </c>
      <c r="D2771" s="73" t="str">
        <f t="shared" si="65"/>
        <v>TÜRKELİ/SİNOP</v>
      </c>
      <c r="E2771" t="s">
        <v>245</v>
      </c>
      <c r="F2771" t="s">
        <v>245</v>
      </c>
      <c r="G2771" t="s">
        <v>3366</v>
      </c>
      <c r="H2771">
        <v>423.3</v>
      </c>
      <c r="I2771">
        <v>42.33</v>
      </c>
      <c r="J2771">
        <v>402.8</v>
      </c>
      <c r="K2771">
        <v>40.28</v>
      </c>
      <c r="L2771">
        <v>20.5</v>
      </c>
      <c r="M2771">
        <v>2.0499999999999998</v>
      </c>
      <c r="O2771" s="79">
        <f>IFERROR(VLOOKUP(D2771,'KAPANAN BLD.'!$C$2:$D$793,2,FALSE),0)</f>
        <v>0</v>
      </c>
      <c r="P2771" s="79">
        <v>0</v>
      </c>
    </row>
    <row r="2772" spans="1:16" x14ac:dyDescent="0.25">
      <c r="A2772" t="s">
        <v>32</v>
      </c>
      <c r="B2772" s="73" t="str">
        <f t="shared" si="64"/>
        <v>GERZE</v>
      </c>
      <c r="C2772" t="s">
        <v>141</v>
      </c>
      <c r="D2772" s="73" t="str">
        <f t="shared" si="65"/>
        <v>GERZE/SİNOP</v>
      </c>
      <c r="E2772" s="9" t="s">
        <v>2244</v>
      </c>
      <c r="F2772" s="9" t="s">
        <v>2244</v>
      </c>
      <c r="G2772" t="s">
        <v>3366</v>
      </c>
      <c r="H2772">
        <v>58.1</v>
      </c>
      <c r="I2772">
        <v>5.81</v>
      </c>
      <c r="J2772">
        <v>9.6</v>
      </c>
      <c r="K2772">
        <v>0.96</v>
      </c>
      <c r="L2772">
        <v>48.5</v>
      </c>
      <c r="M2772">
        <v>4.8499999999999996</v>
      </c>
      <c r="O2772" s="79">
        <f>IFERROR(VLOOKUP(D2772,'KAPANAN BLD.'!$C$2:$D$793,2,FALSE),0)</f>
        <v>0</v>
      </c>
      <c r="P2772" s="79">
        <v>0</v>
      </c>
    </row>
    <row r="2773" spans="1:16" x14ac:dyDescent="0.25">
      <c r="A2773" t="s">
        <v>32</v>
      </c>
      <c r="B2773" s="73" t="str">
        <f t="shared" si="64"/>
        <v>GERZE</v>
      </c>
      <c r="C2773" t="s">
        <v>141</v>
      </c>
      <c r="D2773" s="73" t="str">
        <f t="shared" si="65"/>
        <v>GERZE/SİNOP</v>
      </c>
      <c r="E2773" s="9" t="s">
        <v>2244</v>
      </c>
      <c r="F2773" s="9" t="s">
        <v>2244</v>
      </c>
      <c r="G2773" t="s">
        <v>3367</v>
      </c>
      <c r="H2773">
        <v>235.6</v>
      </c>
      <c r="I2773">
        <v>23.56</v>
      </c>
      <c r="J2773">
        <v>0.8</v>
      </c>
      <c r="K2773">
        <v>0.08</v>
      </c>
      <c r="L2773">
        <v>234.8</v>
      </c>
      <c r="M2773">
        <v>23.48</v>
      </c>
      <c r="O2773" s="79">
        <f>IFERROR(VLOOKUP(D2773,'KAPANAN BLD.'!$C$2:$D$793,2,FALSE),0)</f>
        <v>0</v>
      </c>
      <c r="P2773" s="79">
        <v>0</v>
      </c>
    </row>
    <row r="2774" spans="1:16" x14ac:dyDescent="0.25">
      <c r="A2774" t="s">
        <v>32</v>
      </c>
      <c r="B2774" s="73" t="str">
        <f t="shared" si="64"/>
        <v>KANGAL</v>
      </c>
      <c r="C2774" t="s">
        <v>135</v>
      </c>
      <c r="D2774" s="73" t="str">
        <f t="shared" si="65"/>
        <v>KANGAL/SİVAS</v>
      </c>
      <c r="E2774" s="9" t="s">
        <v>683</v>
      </c>
      <c r="F2774" s="9" t="s">
        <v>683</v>
      </c>
      <c r="G2774" t="s">
        <v>3367</v>
      </c>
      <c r="H2774">
        <v>67.599999999999994</v>
      </c>
      <c r="I2774">
        <v>6.76</v>
      </c>
      <c r="J2774">
        <v>0</v>
      </c>
      <c r="K2774">
        <v>0</v>
      </c>
      <c r="L2774">
        <v>67.599999999999994</v>
      </c>
      <c r="M2774">
        <v>6.76</v>
      </c>
      <c r="O2774" s="79">
        <f>IFERROR(VLOOKUP(D2774,'KAPANAN BLD.'!$C$2:$D$793,2,FALSE),0)</f>
        <v>0</v>
      </c>
      <c r="P2774" s="79">
        <v>0</v>
      </c>
    </row>
    <row r="2775" spans="1:16" x14ac:dyDescent="0.25">
      <c r="A2775" t="s">
        <v>32</v>
      </c>
      <c r="B2775" s="73" t="str">
        <f t="shared" si="64"/>
        <v>ŞARKIŞLA</v>
      </c>
      <c r="C2775" t="s">
        <v>135</v>
      </c>
      <c r="D2775" s="73" t="str">
        <f t="shared" si="65"/>
        <v>ŞARKIŞLA/SİVAS</v>
      </c>
      <c r="E2775" s="9" t="s">
        <v>2213</v>
      </c>
      <c r="F2775" s="9" t="s">
        <v>2213</v>
      </c>
      <c r="G2775" t="s">
        <v>3367</v>
      </c>
      <c r="H2775">
        <v>705.7</v>
      </c>
      <c r="I2775">
        <v>70.569999999999993</v>
      </c>
      <c r="J2775">
        <v>0</v>
      </c>
      <c r="K2775">
        <v>0</v>
      </c>
      <c r="L2775">
        <v>705.7</v>
      </c>
      <c r="M2775">
        <v>70.569999999999993</v>
      </c>
      <c r="O2775" s="79">
        <f>IFERROR(VLOOKUP(D2775,'KAPANAN BLD.'!$C$2:$D$793,2,FALSE),0)</f>
        <v>0</v>
      </c>
      <c r="P2775" s="79">
        <v>0</v>
      </c>
    </row>
    <row r="2776" spans="1:16" x14ac:dyDescent="0.25">
      <c r="A2776" t="s">
        <v>32</v>
      </c>
      <c r="B2776" s="73" t="str">
        <f t="shared" si="64"/>
        <v>ŞARKIŞLA</v>
      </c>
      <c r="C2776" t="s">
        <v>135</v>
      </c>
      <c r="D2776" s="73" t="str">
        <f t="shared" si="65"/>
        <v>ŞARKIŞLA/SİVAS</v>
      </c>
      <c r="E2776" s="9" t="s">
        <v>2213</v>
      </c>
      <c r="F2776" s="9" t="s">
        <v>2213</v>
      </c>
      <c r="G2776" t="s">
        <v>3366</v>
      </c>
      <c r="H2776">
        <v>403.9</v>
      </c>
      <c r="I2776">
        <v>40.39</v>
      </c>
      <c r="J2776">
        <v>0</v>
      </c>
      <c r="K2776">
        <v>0</v>
      </c>
      <c r="L2776">
        <v>403.9</v>
      </c>
      <c r="M2776">
        <v>40.39</v>
      </c>
      <c r="O2776" s="79">
        <f>IFERROR(VLOOKUP(D2776,'KAPANAN BLD.'!$C$2:$D$793,2,FALSE),0)</f>
        <v>0</v>
      </c>
      <c r="P2776" s="79">
        <v>0</v>
      </c>
    </row>
    <row r="2777" spans="1:16" x14ac:dyDescent="0.25">
      <c r="A2777" t="s">
        <v>32</v>
      </c>
      <c r="B2777" s="73" t="str">
        <f t="shared" si="64"/>
        <v>SUŞEHRİ</v>
      </c>
      <c r="C2777" t="s">
        <v>135</v>
      </c>
      <c r="D2777" s="73" t="str">
        <f t="shared" si="65"/>
        <v>SUŞEHRİ/SİVAS</v>
      </c>
      <c r="E2777" s="9" t="s">
        <v>2002</v>
      </c>
      <c r="F2777" s="9" t="s">
        <v>2002</v>
      </c>
      <c r="G2777" t="s">
        <v>3367</v>
      </c>
      <c r="H2777">
        <v>33235.4</v>
      </c>
      <c r="I2777">
        <v>3323.54</v>
      </c>
      <c r="J2777">
        <v>0</v>
      </c>
      <c r="K2777">
        <v>0</v>
      </c>
      <c r="L2777">
        <v>33235.4</v>
      </c>
      <c r="M2777">
        <v>3323.54</v>
      </c>
      <c r="O2777" s="79">
        <f>IFERROR(VLOOKUP(D2777,'KAPANAN BLD.'!$C$2:$D$793,2,FALSE),0)</f>
        <v>0</v>
      </c>
      <c r="P2777" s="79">
        <v>0</v>
      </c>
    </row>
    <row r="2778" spans="1:16" x14ac:dyDescent="0.25">
      <c r="A2778" t="s">
        <v>32</v>
      </c>
      <c r="B2778" s="73" t="str">
        <f t="shared" si="64"/>
        <v>SUŞEHRİ</v>
      </c>
      <c r="C2778" t="s">
        <v>135</v>
      </c>
      <c r="D2778" s="73" t="str">
        <f t="shared" si="65"/>
        <v>SUŞEHRİ/SİVAS</v>
      </c>
      <c r="E2778" s="9" t="s">
        <v>2002</v>
      </c>
      <c r="F2778" s="9" t="s">
        <v>2002</v>
      </c>
      <c r="G2778" t="s">
        <v>3366</v>
      </c>
      <c r="H2778">
        <v>33048</v>
      </c>
      <c r="I2778">
        <v>3304.8</v>
      </c>
      <c r="J2778">
        <v>0</v>
      </c>
      <c r="K2778">
        <v>0</v>
      </c>
      <c r="L2778">
        <v>33048</v>
      </c>
      <c r="M2778">
        <v>3304.8</v>
      </c>
      <c r="O2778" s="79">
        <f>IFERROR(VLOOKUP(D2778,'KAPANAN BLD.'!$C$2:$D$793,2,FALSE),0)</f>
        <v>0</v>
      </c>
      <c r="P2778" s="79">
        <v>0</v>
      </c>
    </row>
    <row r="2779" spans="1:16" x14ac:dyDescent="0.25">
      <c r="A2779" t="s">
        <v>32</v>
      </c>
      <c r="B2779" s="73" t="str">
        <f t="shared" si="64"/>
        <v>DOĞANŞAR</v>
      </c>
      <c r="C2779" t="s">
        <v>135</v>
      </c>
      <c r="D2779" s="73" t="str">
        <f t="shared" si="65"/>
        <v>DOĞANŞAR/SİVAS</v>
      </c>
      <c r="E2779" t="s">
        <v>2783</v>
      </c>
      <c r="F2779" t="s">
        <v>2783</v>
      </c>
      <c r="G2779" t="s">
        <v>3367</v>
      </c>
      <c r="H2779">
        <v>9.4</v>
      </c>
      <c r="I2779">
        <v>0.94</v>
      </c>
      <c r="J2779">
        <v>0</v>
      </c>
      <c r="K2779">
        <v>0</v>
      </c>
      <c r="L2779">
        <v>9.4</v>
      </c>
      <c r="M2779">
        <v>0.94</v>
      </c>
      <c r="O2779" s="79">
        <f>IFERROR(VLOOKUP(D2779,'KAPANAN BLD.'!$C$2:$D$793,2,FALSE),0)</f>
        <v>0</v>
      </c>
      <c r="P2779" s="79">
        <v>0</v>
      </c>
    </row>
    <row r="2780" spans="1:16" x14ac:dyDescent="0.25">
      <c r="A2780" t="s">
        <v>32</v>
      </c>
      <c r="B2780" s="73" t="str">
        <f t="shared" si="64"/>
        <v>DOĞANŞAR</v>
      </c>
      <c r="C2780" t="s">
        <v>135</v>
      </c>
      <c r="D2780" s="73" t="str">
        <f t="shared" si="65"/>
        <v>DOĞANŞAR/SİVAS</v>
      </c>
      <c r="E2780" t="s">
        <v>2783</v>
      </c>
      <c r="F2780" t="s">
        <v>2783</v>
      </c>
      <c r="G2780" t="s">
        <v>3366</v>
      </c>
      <c r="H2780">
        <v>203.3</v>
      </c>
      <c r="I2780">
        <v>20.329999999999998</v>
      </c>
      <c r="J2780">
        <v>0</v>
      </c>
      <c r="K2780">
        <v>0</v>
      </c>
      <c r="L2780">
        <v>203.3</v>
      </c>
      <c r="M2780">
        <v>20.329999999999998</v>
      </c>
      <c r="O2780" s="79">
        <f>IFERROR(VLOOKUP(D2780,'KAPANAN BLD.'!$C$2:$D$793,2,FALSE),0)</f>
        <v>0</v>
      </c>
      <c r="P2780" s="79">
        <v>0</v>
      </c>
    </row>
    <row r="2781" spans="1:16" x14ac:dyDescent="0.25">
      <c r="A2781" t="s">
        <v>32</v>
      </c>
      <c r="B2781" s="73" t="str">
        <f t="shared" si="64"/>
        <v>GEMEREK</v>
      </c>
      <c r="C2781" t="s">
        <v>135</v>
      </c>
      <c r="D2781" s="73" t="str">
        <f t="shared" si="65"/>
        <v>GEMEREK/SİVAS</v>
      </c>
      <c r="E2781" t="s">
        <v>2318</v>
      </c>
      <c r="F2781" t="s">
        <v>2318</v>
      </c>
      <c r="G2781" t="s">
        <v>3367</v>
      </c>
      <c r="H2781">
        <v>45</v>
      </c>
      <c r="I2781">
        <v>4.5</v>
      </c>
      <c r="J2781">
        <v>0</v>
      </c>
      <c r="K2781">
        <v>0</v>
      </c>
      <c r="L2781">
        <v>45</v>
      </c>
      <c r="M2781">
        <v>4.5</v>
      </c>
      <c r="O2781" s="79">
        <f>IFERROR(VLOOKUP(D2781,'KAPANAN BLD.'!$C$2:$D$793,2,FALSE),0)</f>
        <v>0</v>
      </c>
      <c r="P2781" s="79">
        <v>0</v>
      </c>
    </row>
    <row r="2782" spans="1:16" x14ac:dyDescent="0.25">
      <c r="A2782" t="s">
        <v>32</v>
      </c>
      <c r="B2782" s="73" t="str">
        <f t="shared" si="64"/>
        <v>GEMEREK</v>
      </c>
      <c r="C2782" t="s">
        <v>135</v>
      </c>
      <c r="D2782" s="73" t="str">
        <f t="shared" si="65"/>
        <v>GEMEREK/SİVAS</v>
      </c>
      <c r="E2782" t="s">
        <v>2318</v>
      </c>
      <c r="F2782" t="s">
        <v>2318</v>
      </c>
      <c r="G2782" t="s">
        <v>3366</v>
      </c>
      <c r="H2782">
        <v>402.8</v>
      </c>
      <c r="I2782">
        <v>40.28</v>
      </c>
      <c r="J2782">
        <v>0</v>
      </c>
      <c r="K2782">
        <v>0</v>
      </c>
      <c r="L2782">
        <v>402.8</v>
      </c>
      <c r="M2782">
        <v>40.28</v>
      </c>
      <c r="O2782" s="79">
        <f>IFERROR(VLOOKUP(D2782,'KAPANAN BLD.'!$C$2:$D$793,2,FALSE),0)</f>
        <v>0</v>
      </c>
      <c r="P2782" s="79">
        <v>0</v>
      </c>
    </row>
    <row r="2783" spans="1:16" x14ac:dyDescent="0.25">
      <c r="A2783" t="s">
        <v>32</v>
      </c>
      <c r="B2783" s="73" t="str">
        <f t="shared" si="64"/>
        <v>ŞARKIŞLA</v>
      </c>
      <c r="C2783" t="s">
        <v>135</v>
      </c>
      <c r="D2783" s="73" t="str">
        <f t="shared" si="65"/>
        <v>ŞARKIŞLA/SİVAS</v>
      </c>
      <c r="E2783" s="9" t="s">
        <v>2213</v>
      </c>
      <c r="F2783" s="9" t="s">
        <v>2213</v>
      </c>
      <c r="G2783" t="s">
        <v>3367</v>
      </c>
      <c r="H2783">
        <v>1072.7</v>
      </c>
      <c r="I2783">
        <v>107.27</v>
      </c>
      <c r="J2783">
        <v>0</v>
      </c>
      <c r="K2783">
        <v>0</v>
      </c>
      <c r="L2783">
        <v>1072.7</v>
      </c>
      <c r="M2783">
        <v>107.27</v>
      </c>
      <c r="O2783" s="79">
        <f>IFERROR(VLOOKUP(D2783,'KAPANAN BLD.'!$C$2:$D$793,2,FALSE),0)</f>
        <v>0</v>
      </c>
      <c r="P2783" s="79">
        <v>0</v>
      </c>
    </row>
    <row r="2784" spans="1:16" x14ac:dyDescent="0.25">
      <c r="A2784" t="s">
        <v>32</v>
      </c>
      <c r="B2784" s="73" t="str">
        <f t="shared" si="64"/>
        <v>ŞARKIŞLA</v>
      </c>
      <c r="C2784" t="s">
        <v>135</v>
      </c>
      <c r="D2784" s="73" t="str">
        <f t="shared" si="65"/>
        <v>ŞARKIŞLA/SİVAS</v>
      </c>
      <c r="E2784" s="9" t="s">
        <v>2213</v>
      </c>
      <c r="F2784" s="9" t="s">
        <v>2213</v>
      </c>
      <c r="G2784" t="s">
        <v>3366</v>
      </c>
      <c r="H2784">
        <v>733.3</v>
      </c>
      <c r="I2784">
        <v>73.33</v>
      </c>
      <c r="J2784">
        <v>0</v>
      </c>
      <c r="K2784">
        <v>0</v>
      </c>
      <c r="L2784">
        <v>733.3</v>
      </c>
      <c r="M2784">
        <v>73.33</v>
      </c>
      <c r="O2784" s="79">
        <f>IFERROR(VLOOKUP(D2784,'KAPANAN BLD.'!$C$2:$D$793,2,FALSE),0)</f>
        <v>0</v>
      </c>
      <c r="P2784" s="79">
        <v>0</v>
      </c>
    </row>
    <row r="2785" spans="1:16" x14ac:dyDescent="0.25">
      <c r="A2785" t="s">
        <v>32</v>
      </c>
      <c r="B2785" s="73" t="str">
        <f t="shared" si="64"/>
        <v>GÜRÜN</v>
      </c>
      <c r="C2785" t="s">
        <v>135</v>
      </c>
      <c r="D2785" s="73" t="str">
        <f t="shared" si="65"/>
        <v>GÜRÜN/SİVAS</v>
      </c>
      <c r="E2785" t="s">
        <v>2212</v>
      </c>
      <c r="F2785" t="s">
        <v>2212</v>
      </c>
      <c r="G2785" t="s">
        <v>3366</v>
      </c>
      <c r="H2785">
        <v>16.3</v>
      </c>
      <c r="I2785">
        <v>1.63</v>
      </c>
      <c r="J2785">
        <v>0</v>
      </c>
      <c r="K2785">
        <v>0</v>
      </c>
      <c r="L2785">
        <v>16.3</v>
      </c>
      <c r="M2785">
        <v>1.63</v>
      </c>
      <c r="O2785" s="79">
        <f>IFERROR(VLOOKUP(D2785,'KAPANAN BLD.'!$C$2:$D$793,2,FALSE),0)</f>
        <v>0</v>
      </c>
      <c r="P2785" s="79">
        <v>0</v>
      </c>
    </row>
    <row r="2786" spans="1:16" x14ac:dyDescent="0.25">
      <c r="A2786" t="s">
        <v>32</v>
      </c>
      <c r="B2786" s="73" t="str">
        <f t="shared" si="64"/>
        <v>GÜRÜN</v>
      </c>
      <c r="C2786" t="s">
        <v>135</v>
      </c>
      <c r="D2786" s="73" t="str">
        <f t="shared" si="65"/>
        <v>GÜRÜN/SİVAS</v>
      </c>
      <c r="E2786" t="s">
        <v>2212</v>
      </c>
      <c r="F2786" t="s">
        <v>2212</v>
      </c>
      <c r="G2786" t="s">
        <v>3367</v>
      </c>
      <c r="H2786">
        <v>13.4</v>
      </c>
      <c r="I2786">
        <v>1.34</v>
      </c>
      <c r="J2786">
        <v>0</v>
      </c>
      <c r="K2786">
        <v>0</v>
      </c>
      <c r="L2786">
        <v>13.4</v>
      </c>
      <c r="M2786">
        <v>1.34</v>
      </c>
      <c r="O2786" s="79">
        <f>IFERROR(VLOOKUP(D2786,'KAPANAN BLD.'!$C$2:$D$793,2,FALSE),0)</f>
        <v>0</v>
      </c>
      <c r="P2786" s="79">
        <v>0</v>
      </c>
    </row>
    <row r="2787" spans="1:16" x14ac:dyDescent="0.25">
      <c r="A2787" t="s">
        <v>32</v>
      </c>
      <c r="B2787" s="73" t="str">
        <f t="shared" si="64"/>
        <v>HAFİK</v>
      </c>
      <c r="C2787" t="s">
        <v>135</v>
      </c>
      <c r="D2787" s="73" t="str">
        <f t="shared" si="65"/>
        <v>HAFİK/SİVAS</v>
      </c>
      <c r="E2787" t="s">
        <v>2597</v>
      </c>
      <c r="F2787" t="s">
        <v>2597</v>
      </c>
      <c r="G2787" t="s">
        <v>3367</v>
      </c>
      <c r="H2787">
        <v>46.2</v>
      </c>
      <c r="I2787">
        <v>4.62</v>
      </c>
      <c r="J2787">
        <v>0</v>
      </c>
      <c r="K2787">
        <v>0</v>
      </c>
      <c r="L2787">
        <v>46.2</v>
      </c>
      <c r="M2787">
        <v>4.62</v>
      </c>
      <c r="O2787" s="79">
        <f>IFERROR(VLOOKUP(D2787,'KAPANAN BLD.'!$C$2:$D$793,2,FALSE),0)</f>
        <v>0</v>
      </c>
      <c r="P2787" s="79">
        <v>0</v>
      </c>
    </row>
    <row r="2788" spans="1:16" x14ac:dyDescent="0.25">
      <c r="A2788" t="s">
        <v>32</v>
      </c>
      <c r="B2788" s="73" t="str">
        <f t="shared" si="64"/>
        <v>HAFİK</v>
      </c>
      <c r="C2788" t="s">
        <v>135</v>
      </c>
      <c r="D2788" s="73" t="str">
        <f t="shared" si="65"/>
        <v>HAFİK/SİVAS</v>
      </c>
      <c r="E2788" t="s">
        <v>2597</v>
      </c>
      <c r="F2788" t="s">
        <v>2597</v>
      </c>
      <c r="G2788" t="s">
        <v>3366</v>
      </c>
      <c r="H2788">
        <v>103.3</v>
      </c>
      <c r="I2788">
        <v>10.33</v>
      </c>
      <c r="J2788">
        <v>0</v>
      </c>
      <c r="K2788">
        <v>0</v>
      </c>
      <c r="L2788">
        <v>103.3</v>
      </c>
      <c r="M2788">
        <v>10.33</v>
      </c>
      <c r="O2788" s="79">
        <f>IFERROR(VLOOKUP(D2788,'KAPANAN BLD.'!$C$2:$D$793,2,FALSE),0)</f>
        <v>0</v>
      </c>
      <c r="P2788" s="79">
        <v>0</v>
      </c>
    </row>
    <row r="2789" spans="1:16" x14ac:dyDescent="0.25">
      <c r="A2789" t="s">
        <v>32</v>
      </c>
      <c r="B2789" s="73" t="str">
        <f t="shared" si="64"/>
        <v>SUŞEHRİ</v>
      </c>
      <c r="C2789" t="s">
        <v>135</v>
      </c>
      <c r="D2789" s="73" t="str">
        <f t="shared" si="65"/>
        <v>SUŞEHRİ/SİVAS</v>
      </c>
      <c r="E2789" s="9" t="s">
        <v>2002</v>
      </c>
      <c r="F2789" s="9" t="s">
        <v>2002</v>
      </c>
      <c r="G2789" t="s">
        <v>3367</v>
      </c>
      <c r="H2789">
        <v>539.9</v>
      </c>
      <c r="I2789">
        <v>53.99</v>
      </c>
      <c r="J2789">
        <v>0</v>
      </c>
      <c r="K2789">
        <v>0</v>
      </c>
      <c r="L2789">
        <v>539.9</v>
      </c>
      <c r="M2789">
        <v>53.99</v>
      </c>
      <c r="O2789" s="79">
        <f>IFERROR(VLOOKUP(D2789,'KAPANAN BLD.'!$C$2:$D$793,2,FALSE),0)</f>
        <v>0</v>
      </c>
      <c r="P2789" s="79">
        <v>0</v>
      </c>
    </row>
    <row r="2790" spans="1:16" x14ac:dyDescent="0.25">
      <c r="A2790" t="s">
        <v>32</v>
      </c>
      <c r="B2790" s="73" t="str">
        <f t="shared" si="64"/>
        <v>YILDIZELİ</v>
      </c>
      <c r="C2790" t="s">
        <v>135</v>
      </c>
      <c r="D2790" s="73" t="str">
        <f t="shared" si="65"/>
        <v>YILDIZELİ/SİVAS</v>
      </c>
      <c r="E2790" s="9" t="s">
        <v>2396</v>
      </c>
      <c r="F2790" s="9" t="s">
        <v>2396</v>
      </c>
      <c r="G2790" t="s">
        <v>3367</v>
      </c>
      <c r="H2790">
        <v>45</v>
      </c>
      <c r="I2790">
        <v>4.5</v>
      </c>
      <c r="J2790">
        <v>0</v>
      </c>
      <c r="K2790">
        <v>0</v>
      </c>
      <c r="L2790">
        <v>45</v>
      </c>
      <c r="M2790">
        <v>4.5</v>
      </c>
      <c r="O2790" s="79">
        <f>IFERROR(VLOOKUP(D2790,'KAPANAN BLD.'!$C$2:$D$793,2,FALSE),0)</f>
        <v>0</v>
      </c>
      <c r="P2790" s="79">
        <v>0</v>
      </c>
    </row>
    <row r="2791" spans="1:16" x14ac:dyDescent="0.25">
      <c r="A2791" t="s">
        <v>32</v>
      </c>
      <c r="B2791" s="73" t="str">
        <f t="shared" si="64"/>
        <v>YILDIZELİ</v>
      </c>
      <c r="C2791" t="s">
        <v>135</v>
      </c>
      <c r="D2791" s="73" t="str">
        <f t="shared" si="65"/>
        <v>YILDIZELİ/SİVAS</v>
      </c>
      <c r="E2791" s="9" t="s">
        <v>2396</v>
      </c>
      <c r="F2791" s="9" t="s">
        <v>2396</v>
      </c>
      <c r="G2791" t="s">
        <v>3366</v>
      </c>
      <c r="H2791">
        <v>402.8</v>
      </c>
      <c r="I2791">
        <v>40.28</v>
      </c>
      <c r="J2791">
        <v>0</v>
      </c>
      <c r="K2791">
        <v>0</v>
      </c>
      <c r="L2791">
        <v>402.8</v>
      </c>
      <c r="M2791">
        <v>40.28</v>
      </c>
      <c r="O2791" s="79">
        <f>IFERROR(VLOOKUP(D2791,'KAPANAN BLD.'!$C$2:$D$793,2,FALSE),0)</f>
        <v>0</v>
      </c>
      <c r="P2791" s="79">
        <v>0</v>
      </c>
    </row>
    <row r="2792" spans="1:16" x14ac:dyDescent="0.25">
      <c r="A2792" t="s">
        <v>32</v>
      </c>
      <c r="B2792" s="73" t="str">
        <f t="shared" si="64"/>
        <v>KANGAL</v>
      </c>
      <c r="C2792" t="s">
        <v>135</v>
      </c>
      <c r="D2792" s="73" t="str">
        <f t="shared" si="65"/>
        <v>KANGAL/SİVAS</v>
      </c>
      <c r="E2792" t="s">
        <v>683</v>
      </c>
      <c r="F2792" t="s">
        <v>683</v>
      </c>
      <c r="G2792" t="s">
        <v>3367</v>
      </c>
      <c r="H2792">
        <v>181.6</v>
      </c>
      <c r="I2792">
        <v>18.16</v>
      </c>
      <c r="J2792">
        <v>0</v>
      </c>
      <c r="K2792">
        <v>0</v>
      </c>
      <c r="L2792">
        <v>181.6</v>
      </c>
      <c r="M2792">
        <v>18.16</v>
      </c>
      <c r="O2792" s="79">
        <f>IFERROR(VLOOKUP(D2792,'KAPANAN BLD.'!$C$2:$D$793,2,FALSE),0)</f>
        <v>0</v>
      </c>
      <c r="P2792" s="79">
        <v>0</v>
      </c>
    </row>
    <row r="2793" spans="1:16" x14ac:dyDescent="0.25">
      <c r="A2793" t="s">
        <v>32</v>
      </c>
      <c r="B2793" s="73" t="str">
        <f t="shared" si="64"/>
        <v>KANGAL</v>
      </c>
      <c r="C2793" t="s">
        <v>135</v>
      </c>
      <c r="D2793" s="73" t="str">
        <f t="shared" si="65"/>
        <v>KANGAL/SİVAS</v>
      </c>
      <c r="E2793" t="s">
        <v>683</v>
      </c>
      <c r="F2793" t="s">
        <v>683</v>
      </c>
      <c r="G2793" t="s">
        <v>3366</v>
      </c>
      <c r="H2793">
        <v>454.8</v>
      </c>
      <c r="I2793">
        <v>45.48</v>
      </c>
      <c r="J2793">
        <v>0</v>
      </c>
      <c r="K2793">
        <v>0</v>
      </c>
      <c r="L2793">
        <v>454.8</v>
      </c>
      <c r="M2793">
        <v>45.48</v>
      </c>
      <c r="O2793" s="79">
        <f>IFERROR(VLOOKUP(D2793,'KAPANAN BLD.'!$C$2:$D$793,2,FALSE),0)</f>
        <v>0</v>
      </c>
      <c r="P2793" s="79">
        <v>0</v>
      </c>
    </row>
    <row r="2794" spans="1:16" x14ac:dyDescent="0.25">
      <c r="A2794" t="s">
        <v>32</v>
      </c>
      <c r="B2794" s="73" t="str">
        <f t="shared" si="64"/>
        <v>ŞARKIŞLA</v>
      </c>
      <c r="C2794" t="s">
        <v>135</v>
      </c>
      <c r="D2794" s="73" t="str">
        <f t="shared" si="65"/>
        <v>ŞARKIŞLA/SİVAS</v>
      </c>
      <c r="E2794" s="9" t="s">
        <v>2213</v>
      </c>
      <c r="F2794" s="9" t="s">
        <v>2213</v>
      </c>
      <c r="G2794" t="s">
        <v>3367</v>
      </c>
      <c r="H2794">
        <v>260.10000000000002</v>
      </c>
      <c r="I2794">
        <v>26.01</v>
      </c>
      <c r="J2794">
        <v>0</v>
      </c>
      <c r="K2794">
        <v>0</v>
      </c>
      <c r="L2794">
        <v>260.10000000000002</v>
      </c>
      <c r="M2794">
        <v>26.01</v>
      </c>
      <c r="O2794" s="79">
        <f>IFERROR(VLOOKUP(D2794,'KAPANAN BLD.'!$C$2:$D$793,2,FALSE),0)</f>
        <v>0</v>
      </c>
      <c r="P2794" s="79">
        <v>0</v>
      </c>
    </row>
    <row r="2795" spans="1:16" x14ac:dyDescent="0.25">
      <c r="A2795" t="s">
        <v>32</v>
      </c>
      <c r="B2795" s="73" t="str">
        <f t="shared" si="64"/>
        <v>ŞARKIŞLA</v>
      </c>
      <c r="C2795" t="s">
        <v>135</v>
      </c>
      <c r="D2795" s="73" t="str">
        <f t="shared" si="65"/>
        <v>ŞARKIŞLA/SİVAS</v>
      </c>
      <c r="E2795" s="9" t="s">
        <v>2213</v>
      </c>
      <c r="F2795" s="9" t="s">
        <v>2213</v>
      </c>
      <c r="G2795" t="s">
        <v>3366</v>
      </c>
      <c r="H2795">
        <v>113.2</v>
      </c>
      <c r="I2795">
        <v>11.32</v>
      </c>
      <c r="J2795">
        <v>0</v>
      </c>
      <c r="K2795">
        <v>0</v>
      </c>
      <c r="L2795">
        <v>113.2</v>
      </c>
      <c r="M2795">
        <v>11.32</v>
      </c>
      <c r="O2795" s="79">
        <f>IFERROR(VLOOKUP(D2795,'KAPANAN BLD.'!$C$2:$D$793,2,FALSE),0)</f>
        <v>0</v>
      </c>
      <c r="P2795" s="79">
        <v>0</v>
      </c>
    </row>
    <row r="2796" spans="1:16" x14ac:dyDescent="0.25">
      <c r="A2796" t="s">
        <v>32</v>
      </c>
      <c r="B2796" s="73" t="str">
        <f t="shared" si="64"/>
        <v>MERKEZ</v>
      </c>
      <c r="C2796" t="s">
        <v>135</v>
      </c>
      <c r="D2796" s="73" t="str">
        <f t="shared" si="65"/>
        <v>MERKEZ/SİVAS</v>
      </c>
      <c r="E2796" t="s">
        <v>34</v>
      </c>
      <c r="F2796" t="s">
        <v>34</v>
      </c>
      <c r="G2796" t="s">
        <v>3367</v>
      </c>
      <c r="H2796">
        <v>1754.56</v>
      </c>
      <c r="I2796">
        <v>175.46</v>
      </c>
      <c r="J2796">
        <v>1027.5</v>
      </c>
      <c r="K2796">
        <v>102.75</v>
      </c>
      <c r="L2796">
        <v>727.06</v>
      </c>
      <c r="M2796">
        <v>72.709999999999994</v>
      </c>
      <c r="O2796" s="79">
        <f>IFERROR(VLOOKUP(D2796,'KAPANAN BLD.'!$C$2:$D$793,2,FALSE),0)</f>
        <v>0</v>
      </c>
      <c r="P2796" s="79">
        <v>0</v>
      </c>
    </row>
    <row r="2797" spans="1:16" x14ac:dyDescent="0.25">
      <c r="A2797" t="s">
        <v>32</v>
      </c>
      <c r="B2797" s="73" t="str">
        <f t="shared" si="64"/>
        <v>MERKEZ</v>
      </c>
      <c r="C2797" t="s">
        <v>135</v>
      </c>
      <c r="D2797" s="73" t="str">
        <f t="shared" si="65"/>
        <v>MERKEZ/SİVAS</v>
      </c>
      <c r="E2797" t="s">
        <v>34</v>
      </c>
      <c r="F2797" t="s">
        <v>34</v>
      </c>
      <c r="G2797" t="s">
        <v>3366</v>
      </c>
      <c r="H2797">
        <v>3846.47</v>
      </c>
      <c r="I2797">
        <v>384.64</v>
      </c>
      <c r="J2797">
        <v>6412.3</v>
      </c>
      <c r="K2797">
        <v>641.23</v>
      </c>
      <c r="L2797">
        <v>-2565.83</v>
      </c>
      <c r="M2797">
        <v>-256.58999999999997</v>
      </c>
      <c r="O2797" s="79">
        <f>IFERROR(VLOOKUP(D2797,'KAPANAN BLD.'!$C$2:$D$793,2,FALSE),0)</f>
        <v>0</v>
      </c>
      <c r="P2797" s="79">
        <v>0</v>
      </c>
    </row>
    <row r="2798" spans="1:16" x14ac:dyDescent="0.25">
      <c r="A2798" t="s">
        <v>32</v>
      </c>
      <c r="B2798" s="73" t="str">
        <f t="shared" si="64"/>
        <v>MERKEZ</v>
      </c>
      <c r="C2798" t="s">
        <v>135</v>
      </c>
      <c r="D2798" s="73" t="str">
        <f t="shared" si="65"/>
        <v>MERKEZ/SİVAS</v>
      </c>
      <c r="E2798" t="s">
        <v>34</v>
      </c>
      <c r="F2798" t="s">
        <v>34</v>
      </c>
      <c r="G2798" t="s">
        <v>3366</v>
      </c>
      <c r="H2798">
        <v>1579</v>
      </c>
      <c r="I2798">
        <v>157.9</v>
      </c>
      <c r="J2798">
        <v>386.8</v>
      </c>
      <c r="K2798">
        <v>38.68</v>
      </c>
      <c r="L2798">
        <v>1192.2</v>
      </c>
      <c r="M2798">
        <v>119.22</v>
      </c>
      <c r="O2798" s="79">
        <f>IFERROR(VLOOKUP(D2798,'KAPANAN BLD.'!$C$2:$D$793,2,FALSE),0)</f>
        <v>0</v>
      </c>
      <c r="P2798" s="79">
        <v>0</v>
      </c>
    </row>
    <row r="2799" spans="1:16" x14ac:dyDescent="0.25">
      <c r="A2799" t="s">
        <v>32</v>
      </c>
      <c r="B2799" s="73" t="str">
        <f t="shared" si="64"/>
        <v>MERKEZ</v>
      </c>
      <c r="C2799" t="s">
        <v>135</v>
      </c>
      <c r="D2799" s="73" t="str">
        <f t="shared" si="65"/>
        <v>MERKEZ/SİVAS</v>
      </c>
      <c r="E2799" t="s">
        <v>34</v>
      </c>
      <c r="F2799" t="s">
        <v>34</v>
      </c>
      <c r="G2799" t="s">
        <v>3367</v>
      </c>
      <c r="H2799">
        <v>2217.88</v>
      </c>
      <c r="I2799">
        <v>221.79</v>
      </c>
      <c r="J2799">
        <v>20.399999999999999</v>
      </c>
      <c r="K2799">
        <v>2.04</v>
      </c>
      <c r="L2799">
        <v>2197.48</v>
      </c>
      <c r="M2799">
        <v>219.75</v>
      </c>
      <c r="O2799" s="79">
        <f>IFERROR(VLOOKUP(D2799,'KAPANAN BLD.'!$C$2:$D$793,2,FALSE),0)</f>
        <v>0</v>
      </c>
      <c r="P2799" s="79">
        <v>0</v>
      </c>
    </row>
    <row r="2800" spans="1:16" x14ac:dyDescent="0.25">
      <c r="A2800" t="s">
        <v>32</v>
      </c>
      <c r="B2800" s="73" t="str">
        <f t="shared" si="64"/>
        <v>MERKEZ</v>
      </c>
      <c r="C2800" t="s">
        <v>135</v>
      </c>
      <c r="D2800" s="73" t="str">
        <f t="shared" si="65"/>
        <v>MERKEZ/SİVAS</v>
      </c>
      <c r="E2800" t="s">
        <v>34</v>
      </c>
      <c r="F2800" t="s">
        <v>34</v>
      </c>
      <c r="G2800" t="s">
        <v>3367</v>
      </c>
      <c r="H2800">
        <v>908.5</v>
      </c>
      <c r="I2800">
        <v>90.85</v>
      </c>
      <c r="J2800">
        <v>4.5</v>
      </c>
      <c r="K2800">
        <v>0.45</v>
      </c>
      <c r="L2800">
        <v>904</v>
      </c>
      <c r="M2800">
        <v>90.4</v>
      </c>
      <c r="O2800" s="79">
        <f>IFERROR(VLOOKUP(D2800,'KAPANAN BLD.'!$C$2:$D$793,2,FALSE),0)</f>
        <v>0</v>
      </c>
      <c r="P2800" s="79">
        <v>0</v>
      </c>
    </row>
    <row r="2801" spans="1:16" x14ac:dyDescent="0.25">
      <c r="A2801" t="s">
        <v>32</v>
      </c>
      <c r="B2801" s="73" t="str">
        <f t="shared" si="64"/>
        <v>MERKEZ</v>
      </c>
      <c r="C2801" t="s">
        <v>135</v>
      </c>
      <c r="D2801" s="73" t="str">
        <f t="shared" si="65"/>
        <v>MERKEZ/SİVAS</v>
      </c>
      <c r="E2801" t="s">
        <v>34</v>
      </c>
      <c r="F2801" t="s">
        <v>34</v>
      </c>
      <c r="G2801" t="s">
        <v>3366</v>
      </c>
      <c r="H2801">
        <v>342.4</v>
      </c>
      <c r="I2801">
        <v>34.24</v>
      </c>
      <c r="J2801">
        <v>2.2000000000000002</v>
      </c>
      <c r="K2801">
        <v>0.22</v>
      </c>
      <c r="L2801">
        <v>340.2</v>
      </c>
      <c r="M2801">
        <v>34.020000000000003</v>
      </c>
      <c r="O2801" s="79">
        <f>IFERROR(VLOOKUP(D2801,'KAPANAN BLD.'!$C$2:$D$793,2,FALSE),0)</f>
        <v>0</v>
      </c>
      <c r="P2801" s="79">
        <v>0</v>
      </c>
    </row>
    <row r="2802" spans="1:16" x14ac:dyDescent="0.25">
      <c r="A2802" t="s">
        <v>32</v>
      </c>
      <c r="B2802" s="73" t="str">
        <f t="shared" si="64"/>
        <v>SUŞEHRİ</v>
      </c>
      <c r="C2802" t="s">
        <v>135</v>
      </c>
      <c r="D2802" s="73" t="str">
        <f t="shared" si="65"/>
        <v>SUŞEHRİ/SİVAS</v>
      </c>
      <c r="E2802" t="s">
        <v>2002</v>
      </c>
      <c r="F2802" t="s">
        <v>2002</v>
      </c>
      <c r="G2802" t="s">
        <v>3366</v>
      </c>
      <c r="H2802">
        <v>20278.400000000001</v>
      </c>
      <c r="I2802">
        <v>2027.84</v>
      </c>
      <c r="J2802">
        <v>0</v>
      </c>
      <c r="K2802">
        <v>0</v>
      </c>
      <c r="L2802">
        <v>20278.400000000001</v>
      </c>
      <c r="M2802">
        <v>2027.84</v>
      </c>
      <c r="O2802" s="79">
        <f>IFERROR(VLOOKUP(D2802,'KAPANAN BLD.'!$C$2:$D$793,2,FALSE),0)</f>
        <v>0</v>
      </c>
      <c r="P2802" s="79">
        <v>0</v>
      </c>
    </row>
    <row r="2803" spans="1:16" x14ac:dyDescent="0.25">
      <c r="A2803" t="s">
        <v>32</v>
      </c>
      <c r="B2803" s="73" t="str">
        <f t="shared" si="64"/>
        <v>SUŞEHRİ</v>
      </c>
      <c r="C2803" t="s">
        <v>135</v>
      </c>
      <c r="D2803" s="73" t="str">
        <f t="shared" si="65"/>
        <v>SUŞEHRİ/SİVAS</v>
      </c>
      <c r="E2803" t="s">
        <v>2002</v>
      </c>
      <c r="F2803" t="s">
        <v>2002</v>
      </c>
      <c r="G2803" t="s">
        <v>3367</v>
      </c>
      <c r="H2803">
        <v>22048.7</v>
      </c>
      <c r="I2803">
        <v>2204.87</v>
      </c>
      <c r="J2803">
        <v>0</v>
      </c>
      <c r="K2803">
        <v>0</v>
      </c>
      <c r="L2803">
        <v>22048.7</v>
      </c>
      <c r="M2803">
        <v>2204.87</v>
      </c>
      <c r="O2803" s="79">
        <f>IFERROR(VLOOKUP(D2803,'KAPANAN BLD.'!$C$2:$D$793,2,FALSE),0)</f>
        <v>0</v>
      </c>
      <c r="P2803" s="79">
        <v>0</v>
      </c>
    </row>
    <row r="2804" spans="1:16" x14ac:dyDescent="0.25">
      <c r="A2804" t="s">
        <v>32</v>
      </c>
      <c r="B2804" s="73" t="str">
        <f t="shared" si="64"/>
        <v>ŞARKIŞLA</v>
      </c>
      <c r="C2804" t="s">
        <v>135</v>
      </c>
      <c r="D2804" s="73" t="str">
        <f t="shared" si="65"/>
        <v>ŞARKIŞLA/SİVAS</v>
      </c>
      <c r="E2804" t="s">
        <v>2213</v>
      </c>
      <c r="F2804" t="s">
        <v>2213</v>
      </c>
      <c r="G2804" t="s">
        <v>3366</v>
      </c>
      <c r="H2804">
        <v>599.20000000000005</v>
      </c>
      <c r="I2804">
        <v>59.92</v>
      </c>
      <c r="J2804">
        <v>0</v>
      </c>
      <c r="K2804">
        <v>0</v>
      </c>
      <c r="L2804">
        <v>599.20000000000005</v>
      </c>
      <c r="M2804">
        <v>59.92</v>
      </c>
      <c r="O2804" s="79">
        <f>IFERROR(VLOOKUP(D2804,'KAPANAN BLD.'!$C$2:$D$793,2,FALSE),0)</f>
        <v>0</v>
      </c>
      <c r="P2804" s="79">
        <v>0</v>
      </c>
    </row>
    <row r="2805" spans="1:16" x14ac:dyDescent="0.25">
      <c r="A2805" t="s">
        <v>32</v>
      </c>
      <c r="B2805" s="73" t="str">
        <f t="shared" si="64"/>
        <v>ŞARKIŞLA</v>
      </c>
      <c r="C2805" t="s">
        <v>135</v>
      </c>
      <c r="D2805" s="73" t="str">
        <f t="shared" si="65"/>
        <v>ŞARKIŞLA/SİVAS</v>
      </c>
      <c r="E2805" t="s">
        <v>2213</v>
      </c>
      <c r="F2805" t="s">
        <v>2213</v>
      </c>
      <c r="G2805" t="s">
        <v>3367</v>
      </c>
      <c r="H2805">
        <v>2.6</v>
      </c>
      <c r="I2805">
        <v>0.26</v>
      </c>
      <c r="J2805">
        <v>0</v>
      </c>
      <c r="K2805">
        <v>0</v>
      </c>
      <c r="L2805">
        <v>2.6</v>
      </c>
      <c r="M2805">
        <v>0.26</v>
      </c>
      <c r="O2805" s="79">
        <f>IFERROR(VLOOKUP(D2805,'KAPANAN BLD.'!$C$2:$D$793,2,FALSE),0)</f>
        <v>0</v>
      </c>
      <c r="P2805" s="79">
        <v>0</v>
      </c>
    </row>
    <row r="2806" spans="1:16" x14ac:dyDescent="0.25">
      <c r="A2806" t="s">
        <v>32</v>
      </c>
      <c r="B2806" s="73" t="str">
        <f t="shared" si="64"/>
        <v>MERKEZ</v>
      </c>
      <c r="C2806" t="s">
        <v>135</v>
      </c>
      <c r="D2806" s="73" t="str">
        <f t="shared" si="65"/>
        <v>MERKEZ/SİVAS</v>
      </c>
      <c r="E2806" s="9" t="s">
        <v>34</v>
      </c>
      <c r="F2806" s="9" t="s">
        <v>34</v>
      </c>
      <c r="G2806" t="s">
        <v>3367</v>
      </c>
      <c r="H2806">
        <v>1112.46</v>
      </c>
      <c r="I2806">
        <v>111.24</v>
      </c>
      <c r="J2806">
        <v>137.5</v>
      </c>
      <c r="K2806">
        <v>13.75</v>
      </c>
      <c r="L2806">
        <v>974.96</v>
      </c>
      <c r="M2806">
        <v>97.49</v>
      </c>
      <c r="O2806" s="79">
        <f>IFERROR(VLOOKUP(D2806,'KAPANAN BLD.'!$C$2:$D$793,2,FALSE),0)</f>
        <v>0</v>
      </c>
      <c r="P2806" s="79">
        <v>0</v>
      </c>
    </row>
    <row r="2807" spans="1:16" x14ac:dyDescent="0.25">
      <c r="A2807" t="s">
        <v>32</v>
      </c>
      <c r="B2807" s="73" t="str">
        <f t="shared" si="64"/>
        <v>MERKEZ</v>
      </c>
      <c r="C2807" t="s">
        <v>135</v>
      </c>
      <c r="D2807" s="73" t="str">
        <f t="shared" si="65"/>
        <v>MERKEZ/SİVAS</v>
      </c>
      <c r="E2807" s="9" t="s">
        <v>34</v>
      </c>
      <c r="F2807" s="9" t="s">
        <v>34</v>
      </c>
      <c r="G2807" t="s">
        <v>3366</v>
      </c>
      <c r="H2807">
        <v>1585.03</v>
      </c>
      <c r="I2807">
        <v>158.5</v>
      </c>
      <c r="J2807">
        <v>56.5</v>
      </c>
      <c r="K2807">
        <v>5.65</v>
      </c>
      <c r="L2807">
        <v>1528.53</v>
      </c>
      <c r="M2807">
        <v>152.85</v>
      </c>
      <c r="O2807" s="79">
        <f>IFERROR(VLOOKUP(D2807,'KAPANAN BLD.'!$C$2:$D$793,2,FALSE),0)</f>
        <v>0</v>
      </c>
      <c r="P2807" s="79">
        <v>0</v>
      </c>
    </row>
    <row r="2808" spans="1:16" x14ac:dyDescent="0.25">
      <c r="A2808" t="s">
        <v>32</v>
      </c>
      <c r="B2808" s="73" t="str">
        <f t="shared" si="64"/>
        <v>MERKEZ</v>
      </c>
      <c r="C2808" t="s">
        <v>135</v>
      </c>
      <c r="D2808" s="73" t="str">
        <f t="shared" si="65"/>
        <v>MERKEZ/SİVAS</v>
      </c>
      <c r="E2808" s="9" t="s">
        <v>34</v>
      </c>
      <c r="F2808" s="9" t="s">
        <v>34</v>
      </c>
      <c r="G2808" t="s">
        <v>3367</v>
      </c>
      <c r="H2808">
        <v>2087.1</v>
      </c>
      <c r="I2808">
        <v>208.71</v>
      </c>
      <c r="J2808">
        <v>267.2</v>
      </c>
      <c r="K2808">
        <v>26.72</v>
      </c>
      <c r="L2808">
        <v>1819.9</v>
      </c>
      <c r="M2808">
        <v>181.99</v>
      </c>
      <c r="O2808" s="79">
        <f>IFERROR(VLOOKUP(D2808,'KAPANAN BLD.'!$C$2:$D$793,2,FALSE),0)</f>
        <v>0</v>
      </c>
      <c r="P2808" s="79">
        <v>0</v>
      </c>
    </row>
    <row r="2809" spans="1:16" x14ac:dyDescent="0.25">
      <c r="A2809" t="s">
        <v>32</v>
      </c>
      <c r="B2809" s="73" t="str">
        <f t="shared" si="64"/>
        <v>MERKEZ</v>
      </c>
      <c r="C2809" t="s">
        <v>135</v>
      </c>
      <c r="D2809" s="73" t="str">
        <f t="shared" si="65"/>
        <v>MERKEZ/SİVAS</v>
      </c>
      <c r="E2809" s="9" t="s">
        <v>34</v>
      </c>
      <c r="F2809" s="9" t="s">
        <v>34</v>
      </c>
      <c r="G2809" t="s">
        <v>3366</v>
      </c>
      <c r="H2809">
        <v>5745.1</v>
      </c>
      <c r="I2809">
        <v>574.51</v>
      </c>
      <c r="J2809">
        <v>0</v>
      </c>
      <c r="K2809">
        <v>0</v>
      </c>
      <c r="L2809">
        <v>5745.1</v>
      </c>
      <c r="M2809">
        <v>574.51</v>
      </c>
      <c r="O2809" s="79">
        <f>IFERROR(VLOOKUP(D2809,'KAPANAN BLD.'!$C$2:$D$793,2,FALSE),0)</f>
        <v>0</v>
      </c>
      <c r="P2809" s="79">
        <v>0</v>
      </c>
    </row>
    <row r="2810" spans="1:16" x14ac:dyDescent="0.25">
      <c r="A2810" t="s">
        <v>32</v>
      </c>
      <c r="B2810" s="73" t="str">
        <f>VLOOKUP(C2810,'Büyükşehir List'!$C$2:$D$31,2,FALSE)</f>
        <v>ŞANLIURFA BÜYÜKŞEHİR</v>
      </c>
      <c r="C2810" t="s">
        <v>136</v>
      </c>
      <c r="D2810" s="73" t="str">
        <f t="shared" si="65"/>
        <v>ŞANLIURFA BÜYÜKŞEHİR/ŞANLIURFA</v>
      </c>
      <c r="E2810" t="s">
        <v>3987</v>
      </c>
      <c r="F2810" t="s">
        <v>3987</v>
      </c>
      <c r="G2810" t="s">
        <v>3367</v>
      </c>
      <c r="H2810">
        <v>1974.5</v>
      </c>
      <c r="I2810">
        <v>197.45</v>
      </c>
      <c r="J2810">
        <v>45</v>
      </c>
      <c r="K2810">
        <v>4.5</v>
      </c>
      <c r="L2810">
        <v>1929.5</v>
      </c>
      <c r="M2810">
        <v>192.95</v>
      </c>
      <c r="O2810" s="79">
        <f>IFERROR(VLOOKUP(D2810,'KAPANAN BLD.'!$C$2:$D$793,2,FALSE),0)</f>
        <v>0</v>
      </c>
      <c r="P2810" s="79">
        <v>0</v>
      </c>
    </row>
    <row r="2811" spans="1:16" x14ac:dyDescent="0.25">
      <c r="A2811" t="s">
        <v>32</v>
      </c>
      <c r="B2811" s="73" t="str">
        <f>VLOOKUP(C2811,'Büyükşehir List'!$C$2:$D$31,2,FALSE)</f>
        <v>ŞANLIURFA BÜYÜKŞEHİR</v>
      </c>
      <c r="C2811" t="s">
        <v>136</v>
      </c>
      <c r="D2811" s="73" t="str">
        <f t="shared" si="65"/>
        <v>ŞANLIURFA BÜYÜKŞEHİR/ŞANLIURFA</v>
      </c>
      <c r="E2811" t="s">
        <v>3987</v>
      </c>
      <c r="F2811" t="s">
        <v>3987</v>
      </c>
      <c r="G2811" t="s">
        <v>3366</v>
      </c>
      <c r="H2811">
        <v>1498.5</v>
      </c>
      <c r="I2811">
        <v>149.85</v>
      </c>
      <c r="J2811">
        <v>402.8</v>
      </c>
      <c r="K2811">
        <v>40.28</v>
      </c>
      <c r="L2811">
        <v>1095.7</v>
      </c>
      <c r="M2811">
        <v>109.57</v>
      </c>
      <c r="O2811" s="79">
        <f>IFERROR(VLOOKUP(D2811,'KAPANAN BLD.'!$C$2:$D$793,2,FALSE),0)</f>
        <v>0</v>
      </c>
      <c r="P2811" s="79">
        <v>0</v>
      </c>
    </row>
    <row r="2812" spans="1:16" x14ac:dyDescent="0.25">
      <c r="A2812" t="s">
        <v>32</v>
      </c>
      <c r="B2812" s="73" t="str">
        <f>VLOOKUP(C2812,'Büyükşehir List'!$C$2:$D$31,2,FALSE)</f>
        <v>ŞANLIURFA BÜYÜKŞEHİR</v>
      </c>
      <c r="C2812" t="s">
        <v>136</v>
      </c>
      <c r="D2812" s="73" t="str">
        <f t="shared" si="65"/>
        <v>ŞANLIURFA BÜYÜKŞEHİR/ŞANLIURFA</v>
      </c>
      <c r="E2812" t="s">
        <v>381</v>
      </c>
      <c r="F2812" t="s">
        <v>381</v>
      </c>
      <c r="G2812" t="s">
        <v>3366</v>
      </c>
      <c r="H2812">
        <v>1082.3</v>
      </c>
      <c r="I2812">
        <v>108.23</v>
      </c>
      <c r="J2812">
        <v>402.8</v>
      </c>
      <c r="K2812">
        <v>40.28</v>
      </c>
      <c r="L2812">
        <v>679.5</v>
      </c>
      <c r="M2812">
        <v>67.95</v>
      </c>
      <c r="O2812" s="79">
        <f>IFERROR(VLOOKUP(D2812,'KAPANAN BLD.'!$C$2:$D$793,2,FALSE),0)</f>
        <v>0</v>
      </c>
      <c r="P2812" s="79">
        <v>0</v>
      </c>
    </row>
    <row r="2813" spans="1:16" x14ac:dyDescent="0.25">
      <c r="A2813" t="s">
        <v>32</v>
      </c>
      <c r="B2813" s="73" t="str">
        <f>VLOOKUP(C2813,'Büyükşehir List'!$C$2:$D$31,2,FALSE)</f>
        <v>ŞANLIURFA BÜYÜKŞEHİR</v>
      </c>
      <c r="C2813" t="s">
        <v>136</v>
      </c>
      <c r="D2813" s="73" t="str">
        <f t="shared" si="65"/>
        <v>ŞANLIURFA BÜYÜKŞEHİR/ŞANLIURFA</v>
      </c>
      <c r="E2813" t="s">
        <v>381</v>
      </c>
      <c r="F2813" t="s">
        <v>381</v>
      </c>
      <c r="G2813" t="s">
        <v>3367</v>
      </c>
      <c r="H2813">
        <v>1194.2</v>
      </c>
      <c r="I2813">
        <v>119.42</v>
      </c>
      <c r="J2813">
        <v>157.5</v>
      </c>
      <c r="K2813">
        <v>15.75</v>
      </c>
      <c r="L2813">
        <v>1036.7</v>
      </c>
      <c r="M2813">
        <v>103.67</v>
      </c>
      <c r="O2813" s="79">
        <f>IFERROR(VLOOKUP(D2813,'KAPANAN BLD.'!$C$2:$D$793,2,FALSE),0)</f>
        <v>0</v>
      </c>
      <c r="P2813" s="79">
        <v>0</v>
      </c>
    </row>
    <row r="2814" spans="1:16" x14ac:dyDescent="0.25">
      <c r="A2814" t="s">
        <v>32</v>
      </c>
      <c r="B2814" s="73" t="str">
        <f>VLOOKUP(C2814,'Büyükşehir List'!$C$2:$D$31,2,FALSE)</f>
        <v>ŞANLIURFA BÜYÜKŞEHİR</v>
      </c>
      <c r="C2814" t="s">
        <v>136</v>
      </c>
      <c r="D2814" s="73" t="str">
        <f t="shared" si="65"/>
        <v>ŞANLIURFA BÜYÜKŞEHİR/ŞANLIURFA</v>
      </c>
      <c r="E2814" t="s">
        <v>473</v>
      </c>
      <c r="F2814" t="s">
        <v>473</v>
      </c>
      <c r="G2814" t="s">
        <v>3366</v>
      </c>
      <c r="H2814">
        <v>57412.800000000003</v>
      </c>
      <c r="I2814">
        <v>5741.28</v>
      </c>
      <c r="J2814">
        <v>0</v>
      </c>
      <c r="K2814">
        <v>0</v>
      </c>
      <c r="L2814">
        <v>57412.800000000003</v>
      </c>
      <c r="M2814">
        <v>5741.28</v>
      </c>
      <c r="O2814" s="79">
        <f>IFERROR(VLOOKUP(D2814,'KAPANAN BLD.'!$C$2:$D$793,2,FALSE),0)</f>
        <v>0</v>
      </c>
      <c r="P2814" s="79">
        <v>0</v>
      </c>
    </row>
    <row r="2815" spans="1:16" x14ac:dyDescent="0.25">
      <c r="A2815" t="s">
        <v>32</v>
      </c>
      <c r="B2815" s="73" t="str">
        <f>VLOOKUP(C2815,'Büyükşehir List'!$C$2:$D$31,2,FALSE)</f>
        <v>ŞANLIURFA BÜYÜKŞEHİR</v>
      </c>
      <c r="C2815" t="s">
        <v>136</v>
      </c>
      <c r="D2815" s="73" t="str">
        <f t="shared" si="65"/>
        <v>ŞANLIURFA BÜYÜKŞEHİR/ŞANLIURFA</v>
      </c>
      <c r="E2815" t="s">
        <v>473</v>
      </c>
      <c r="F2815" t="s">
        <v>473</v>
      </c>
      <c r="G2815" t="s">
        <v>3367</v>
      </c>
      <c r="H2815">
        <v>6759.2</v>
      </c>
      <c r="I2815">
        <v>675.92</v>
      </c>
      <c r="J2815">
        <v>0</v>
      </c>
      <c r="K2815">
        <v>0</v>
      </c>
      <c r="L2815">
        <v>6759.2</v>
      </c>
      <c r="M2815">
        <v>675.92</v>
      </c>
      <c r="O2815" s="79">
        <f>IFERROR(VLOOKUP(D2815,'KAPANAN BLD.'!$C$2:$D$793,2,FALSE),0)</f>
        <v>0</v>
      </c>
      <c r="P2815" s="79">
        <v>0</v>
      </c>
    </row>
    <row r="2816" spans="1:16" x14ac:dyDescent="0.25">
      <c r="A2816" t="s">
        <v>32</v>
      </c>
      <c r="B2816" s="73" t="str">
        <f>VLOOKUP(C2816,'Büyükşehir List'!$C$2:$D$31,2,FALSE)</f>
        <v>ŞANLIURFA BÜYÜKŞEHİR</v>
      </c>
      <c r="C2816" t="s">
        <v>136</v>
      </c>
      <c r="D2816" s="73" t="str">
        <f t="shared" si="65"/>
        <v>ŞANLIURFA BÜYÜKŞEHİR/ŞANLIURFA</v>
      </c>
      <c r="E2816" t="s">
        <v>3911</v>
      </c>
      <c r="F2816" t="s">
        <v>3911</v>
      </c>
      <c r="G2816" t="s">
        <v>3367</v>
      </c>
      <c r="H2816">
        <v>3427.5</v>
      </c>
      <c r="I2816">
        <v>342.75</v>
      </c>
      <c r="J2816">
        <v>0</v>
      </c>
      <c r="K2816">
        <v>0</v>
      </c>
      <c r="L2816">
        <v>3427.5</v>
      </c>
      <c r="M2816">
        <v>342.75</v>
      </c>
      <c r="O2816" s="79">
        <f>IFERROR(VLOOKUP(D2816,'KAPANAN BLD.'!$C$2:$D$793,2,FALSE),0)</f>
        <v>0</v>
      </c>
      <c r="P2816" s="79">
        <v>0</v>
      </c>
    </row>
    <row r="2817" spans="1:16" x14ac:dyDescent="0.25">
      <c r="A2817" t="s">
        <v>32</v>
      </c>
      <c r="B2817" s="73" t="str">
        <f>VLOOKUP(C2817,'Büyükşehir List'!$C$2:$D$31,2,FALSE)</f>
        <v>ŞANLIURFA BÜYÜKŞEHİR</v>
      </c>
      <c r="C2817" t="s">
        <v>136</v>
      </c>
      <c r="D2817" s="73" t="str">
        <f t="shared" si="65"/>
        <v>ŞANLIURFA BÜYÜKŞEHİR/ŞANLIURFA</v>
      </c>
      <c r="E2817" t="s">
        <v>3911</v>
      </c>
      <c r="F2817" t="s">
        <v>3911</v>
      </c>
      <c r="G2817" t="s">
        <v>3366</v>
      </c>
      <c r="H2817">
        <v>2699.6</v>
      </c>
      <c r="I2817">
        <v>269.95999999999998</v>
      </c>
      <c r="J2817">
        <v>0</v>
      </c>
      <c r="K2817">
        <v>0</v>
      </c>
      <c r="L2817">
        <v>2699.6</v>
      </c>
      <c r="M2817">
        <v>269.95999999999998</v>
      </c>
      <c r="O2817" s="79">
        <f>IFERROR(VLOOKUP(D2817,'KAPANAN BLD.'!$C$2:$D$793,2,FALSE),0)</f>
        <v>0</v>
      </c>
      <c r="P2817" s="79">
        <v>0</v>
      </c>
    </row>
    <row r="2818" spans="1:16" x14ac:dyDescent="0.25">
      <c r="A2818" t="s">
        <v>32</v>
      </c>
      <c r="B2818" s="73" t="str">
        <f>VLOOKUP(C2818,'Büyükşehir List'!$C$2:$D$31,2,FALSE)</f>
        <v>ŞANLIURFA BÜYÜKŞEHİR</v>
      </c>
      <c r="C2818" t="s">
        <v>136</v>
      </c>
      <c r="D2818" s="73" t="str">
        <f t="shared" si="65"/>
        <v>ŞANLIURFA BÜYÜKŞEHİR/ŞANLIURFA</v>
      </c>
      <c r="E2818" t="s">
        <v>3896</v>
      </c>
      <c r="F2818" t="s">
        <v>3896</v>
      </c>
      <c r="G2818" t="s">
        <v>3366</v>
      </c>
      <c r="H2818">
        <v>690.4</v>
      </c>
      <c r="I2818">
        <v>69.040000000000006</v>
      </c>
      <c r="J2818">
        <v>0</v>
      </c>
      <c r="K2818">
        <v>0</v>
      </c>
      <c r="L2818">
        <v>690.4</v>
      </c>
      <c r="M2818">
        <v>69.040000000000006</v>
      </c>
      <c r="O2818" s="79">
        <f>IFERROR(VLOOKUP(D2818,'KAPANAN BLD.'!$C$2:$D$793,2,FALSE),0)</f>
        <v>0</v>
      </c>
      <c r="P2818" s="79">
        <v>0</v>
      </c>
    </row>
    <row r="2819" spans="1:16" x14ac:dyDescent="0.25">
      <c r="A2819" t="s">
        <v>32</v>
      </c>
      <c r="B2819" s="73" t="str">
        <f>VLOOKUP(C2819,'Büyükşehir List'!$C$2:$D$31,2,FALSE)</f>
        <v>ŞANLIURFA BÜYÜKŞEHİR</v>
      </c>
      <c r="C2819" t="s">
        <v>136</v>
      </c>
      <c r="D2819" s="73" t="str">
        <f t="shared" ref="D2819:D2882" si="66">CONCATENATE(B2819,"/",C2819)</f>
        <v>ŞANLIURFA BÜYÜKŞEHİR/ŞANLIURFA</v>
      </c>
      <c r="E2819" t="s">
        <v>3896</v>
      </c>
      <c r="F2819" t="s">
        <v>3896</v>
      </c>
      <c r="G2819" t="s">
        <v>3367</v>
      </c>
      <c r="H2819">
        <v>2573.3000000000002</v>
      </c>
      <c r="I2819">
        <v>257.33</v>
      </c>
      <c r="J2819">
        <v>0</v>
      </c>
      <c r="K2819">
        <v>0</v>
      </c>
      <c r="L2819">
        <v>2573.3000000000002</v>
      </c>
      <c r="M2819">
        <v>257.33</v>
      </c>
      <c r="O2819" s="79">
        <f>IFERROR(VLOOKUP(D2819,'KAPANAN BLD.'!$C$2:$D$793,2,FALSE),0)</f>
        <v>0</v>
      </c>
      <c r="P2819" s="79">
        <v>0</v>
      </c>
    </row>
    <row r="2820" spans="1:16" x14ac:dyDescent="0.25">
      <c r="A2820" t="s">
        <v>32</v>
      </c>
      <c r="B2820" s="73" t="str">
        <f>VLOOKUP(C2820,'Büyükşehir List'!$C$2:$D$31,2,FALSE)</f>
        <v>ŞANLIURFA BÜYÜKŞEHİR</v>
      </c>
      <c r="C2820" t="s">
        <v>136</v>
      </c>
      <c r="D2820" s="73" t="str">
        <f t="shared" si="66"/>
        <v>ŞANLIURFA BÜYÜKŞEHİR/ŞANLIURFA</v>
      </c>
      <c r="E2820" t="s">
        <v>4316</v>
      </c>
      <c r="F2820" t="s">
        <v>4316</v>
      </c>
      <c r="G2820" t="s">
        <v>3367</v>
      </c>
      <c r="H2820">
        <v>50.4</v>
      </c>
      <c r="I2820">
        <v>5.04</v>
      </c>
      <c r="J2820">
        <v>5.4</v>
      </c>
      <c r="K2820">
        <v>0.54</v>
      </c>
      <c r="L2820">
        <v>45</v>
      </c>
      <c r="M2820">
        <v>4.5</v>
      </c>
      <c r="O2820" s="79">
        <f>IFERROR(VLOOKUP(D2820,'KAPANAN BLD.'!$C$2:$D$793,2,FALSE),0)</f>
        <v>0</v>
      </c>
      <c r="P2820" s="79">
        <v>0</v>
      </c>
    </row>
    <row r="2821" spans="1:16" x14ac:dyDescent="0.25">
      <c r="A2821" t="s">
        <v>32</v>
      </c>
      <c r="B2821" s="73" t="str">
        <f>VLOOKUP(C2821,'Büyükşehir List'!$C$2:$D$31,2,FALSE)</f>
        <v>ŞANLIURFA BÜYÜKŞEHİR</v>
      </c>
      <c r="C2821" t="s">
        <v>136</v>
      </c>
      <c r="D2821" s="73" t="str">
        <f t="shared" si="66"/>
        <v>ŞANLIURFA BÜYÜKŞEHİR/ŞANLIURFA</v>
      </c>
      <c r="E2821" t="s">
        <v>4316</v>
      </c>
      <c r="F2821" t="s">
        <v>4316</v>
      </c>
      <c r="G2821" t="s">
        <v>3366</v>
      </c>
      <c r="H2821">
        <v>506.1</v>
      </c>
      <c r="I2821">
        <v>50.61</v>
      </c>
      <c r="J2821">
        <v>103.3</v>
      </c>
      <c r="K2821">
        <v>10.33</v>
      </c>
      <c r="L2821">
        <v>402.8</v>
      </c>
      <c r="M2821">
        <v>40.28</v>
      </c>
      <c r="O2821" s="79">
        <f>IFERROR(VLOOKUP(D2821,'KAPANAN BLD.'!$C$2:$D$793,2,FALSE),0)</f>
        <v>0</v>
      </c>
      <c r="P2821" s="79">
        <v>0</v>
      </c>
    </row>
    <row r="2822" spans="1:16" x14ac:dyDescent="0.25">
      <c r="A2822" t="s">
        <v>32</v>
      </c>
      <c r="B2822" s="73" t="str">
        <f>VLOOKUP(C2822,'Büyükşehir List'!$C$2:$D$31,2,FALSE)</f>
        <v>ŞANLIURFA BÜYÜKŞEHİR</v>
      </c>
      <c r="C2822" t="s">
        <v>136</v>
      </c>
      <c r="D2822" s="73" t="str">
        <f t="shared" si="66"/>
        <v>ŞANLIURFA BÜYÜKŞEHİR/ŞANLIURFA</v>
      </c>
      <c r="E2822" t="s">
        <v>3902</v>
      </c>
      <c r="F2822" t="s">
        <v>3902</v>
      </c>
      <c r="G2822" t="s">
        <v>3366</v>
      </c>
      <c r="H2822">
        <v>529.79999999999995</v>
      </c>
      <c r="I2822">
        <v>52.98</v>
      </c>
      <c r="J2822">
        <v>0</v>
      </c>
      <c r="K2822">
        <v>0</v>
      </c>
      <c r="L2822">
        <v>529.79999999999995</v>
      </c>
      <c r="M2822">
        <v>52.98</v>
      </c>
      <c r="O2822" s="79">
        <f>IFERROR(VLOOKUP(D2822,'KAPANAN BLD.'!$C$2:$D$793,2,FALSE),0)</f>
        <v>0</v>
      </c>
      <c r="P2822" s="79">
        <v>0</v>
      </c>
    </row>
    <row r="2823" spans="1:16" x14ac:dyDescent="0.25">
      <c r="A2823" t="s">
        <v>32</v>
      </c>
      <c r="B2823" s="73" t="str">
        <f>VLOOKUP(C2823,'Büyükşehir List'!$C$2:$D$31,2,FALSE)</f>
        <v>ŞANLIURFA BÜYÜKŞEHİR</v>
      </c>
      <c r="C2823" t="s">
        <v>136</v>
      </c>
      <c r="D2823" s="73" t="str">
        <f t="shared" si="66"/>
        <v>ŞANLIURFA BÜYÜKŞEHİR/ŞANLIURFA</v>
      </c>
      <c r="E2823" t="s">
        <v>3902</v>
      </c>
      <c r="F2823" t="s">
        <v>3902</v>
      </c>
      <c r="G2823" t="s">
        <v>3367</v>
      </c>
      <c r="H2823">
        <v>3318.8</v>
      </c>
      <c r="I2823">
        <v>331.88</v>
      </c>
      <c r="J2823">
        <v>0</v>
      </c>
      <c r="K2823">
        <v>0</v>
      </c>
      <c r="L2823">
        <v>3318.8</v>
      </c>
      <c r="M2823">
        <v>331.88</v>
      </c>
      <c r="O2823" s="79">
        <f>IFERROR(VLOOKUP(D2823,'KAPANAN BLD.'!$C$2:$D$793,2,FALSE),0)</f>
        <v>0</v>
      </c>
      <c r="P2823" s="79">
        <v>0</v>
      </c>
    </row>
    <row r="2824" spans="1:16" x14ac:dyDescent="0.25">
      <c r="A2824" t="s">
        <v>32</v>
      </c>
      <c r="B2824" s="73" t="str">
        <f>VLOOKUP(C2824,'Büyükşehir List'!$C$2:$D$31,2,FALSE)</f>
        <v>ŞANLIURFA BÜYÜKŞEHİR</v>
      </c>
      <c r="C2824" t="s">
        <v>136</v>
      </c>
      <c r="D2824" s="73" t="str">
        <f t="shared" si="66"/>
        <v>ŞANLIURFA BÜYÜKŞEHİR/ŞANLIURFA</v>
      </c>
      <c r="E2824" t="s">
        <v>34</v>
      </c>
      <c r="F2824" t="s">
        <v>34</v>
      </c>
      <c r="G2824" t="s">
        <v>3367</v>
      </c>
      <c r="H2824">
        <v>8757.61</v>
      </c>
      <c r="I2824">
        <v>875.76</v>
      </c>
      <c r="J2824">
        <v>1223.7</v>
      </c>
      <c r="K2824">
        <v>122.37</v>
      </c>
      <c r="L2824">
        <v>7533.91</v>
      </c>
      <c r="M2824">
        <v>753.39</v>
      </c>
      <c r="O2824" s="79">
        <f>IFERROR(VLOOKUP(D2824,'KAPANAN BLD.'!$C$2:$D$793,2,FALSE),0)</f>
        <v>0</v>
      </c>
      <c r="P2824" s="79">
        <v>0</v>
      </c>
    </row>
    <row r="2825" spans="1:16" x14ac:dyDescent="0.25">
      <c r="A2825" t="s">
        <v>32</v>
      </c>
      <c r="B2825" s="73" t="str">
        <f>VLOOKUP(C2825,'Büyükşehir List'!$C$2:$D$31,2,FALSE)</f>
        <v>ŞANLIURFA BÜYÜKŞEHİR</v>
      </c>
      <c r="C2825" t="s">
        <v>136</v>
      </c>
      <c r="D2825" s="73" t="str">
        <f t="shared" si="66"/>
        <v>ŞANLIURFA BÜYÜKŞEHİR/ŞANLIURFA</v>
      </c>
      <c r="E2825" t="s">
        <v>34</v>
      </c>
      <c r="F2825" t="s">
        <v>34</v>
      </c>
      <c r="G2825" t="s">
        <v>3366</v>
      </c>
      <c r="H2825">
        <v>16053.09</v>
      </c>
      <c r="I2825">
        <v>1605.31</v>
      </c>
      <c r="J2825">
        <v>2954.7</v>
      </c>
      <c r="K2825">
        <v>295.47000000000003</v>
      </c>
      <c r="L2825">
        <v>13098.39</v>
      </c>
      <c r="M2825">
        <v>1309.8399999999999</v>
      </c>
      <c r="O2825" s="79">
        <f>IFERROR(VLOOKUP(D2825,'KAPANAN BLD.'!$C$2:$D$793,2,FALSE),0)</f>
        <v>0</v>
      </c>
      <c r="P2825" s="79">
        <v>0</v>
      </c>
    </row>
    <row r="2826" spans="1:16" x14ac:dyDescent="0.25">
      <c r="A2826" t="s">
        <v>32</v>
      </c>
      <c r="B2826" s="73" t="str">
        <f>VLOOKUP(C2826,'Büyükşehir List'!$C$2:$D$31,2,FALSE)</f>
        <v>ŞANLIURFA BÜYÜKŞEHİR</v>
      </c>
      <c r="C2826" t="s">
        <v>136</v>
      </c>
      <c r="D2826" s="73" t="str">
        <f t="shared" si="66"/>
        <v>ŞANLIURFA BÜYÜKŞEHİR/ŞANLIURFA</v>
      </c>
      <c r="E2826" t="s">
        <v>3897</v>
      </c>
      <c r="F2826" t="s">
        <v>3897</v>
      </c>
      <c r="G2826" t="s">
        <v>3366</v>
      </c>
      <c r="H2826">
        <v>3794.3</v>
      </c>
      <c r="I2826">
        <v>379.43</v>
      </c>
      <c r="J2826">
        <v>402.8</v>
      </c>
      <c r="K2826">
        <v>40.28</v>
      </c>
      <c r="L2826">
        <v>3391.5</v>
      </c>
      <c r="M2826">
        <v>339.15</v>
      </c>
      <c r="O2826" s="79">
        <f>IFERROR(VLOOKUP(D2826,'KAPANAN BLD.'!$C$2:$D$793,2,FALSE),0)</f>
        <v>0</v>
      </c>
      <c r="P2826" s="79">
        <v>0</v>
      </c>
    </row>
    <row r="2827" spans="1:16" x14ac:dyDescent="0.25">
      <c r="A2827" t="s">
        <v>32</v>
      </c>
      <c r="B2827" s="73" t="str">
        <f>VLOOKUP(C2827,'Büyükşehir List'!$C$2:$D$31,2,FALSE)</f>
        <v>ŞANLIURFA BÜYÜKŞEHİR</v>
      </c>
      <c r="C2827" t="s">
        <v>136</v>
      </c>
      <c r="D2827" s="73" t="str">
        <f t="shared" si="66"/>
        <v>ŞANLIURFA BÜYÜKŞEHİR/ŞANLIURFA</v>
      </c>
      <c r="E2827" t="s">
        <v>3897</v>
      </c>
      <c r="F2827" t="s">
        <v>3897</v>
      </c>
      <c r="G2827" t="s">
        <v>3367</v>
      </c>
      <c r="H2827">
        <v>715.8</v>
      </c>
      <c r="I2827">
        <v>71.58</v>
      </c>
      <c r="J2827">
        <v>45</v>
      </c>
      <c r="K2827">
        <v>4.5</v>
      </c>
      <c r="L2827">
        <v>670.8</v>
      </c>
      <c r="M2827">
        <v>67.08</v>
      </c>
      <c r="O2827" s="79">
        <f>IFERROR(VLOOKUP(D2827,'KAPANAN BLD.'!$C$2:$D$793,2,FALSE),0)</f>
        <v>0</v>
      </c>
      <c r="P2827" s="79">
        <v>0</v>
      </c>
    </row>
    <row r="2828" spans="1:16" x14ac:dyDescent="0.25">
      <c r="A2828" t="s">
        <v>32</v>
      </c>
      <c r="B2828" s="73" t="str">
        <f>VLOOKUP(C2828,'Büyükşehir List'!$C$2:$D$31,2,FALSE)</f>
        <v>ŞANLIURFA BÜYÜKŞEHİR</v>
      </c>
      <c r="C2828" t="s">
        <v>136</v>
      </c>
      <c r="D2828" s="73" t="str">
        <f t="shared" si="66"/>
        <v>ŞANLIURFA BÜYÜKŞEHİR/ŞANLIURFA</v>
      </c>
      <c r="E2828" t="s">
        <v>4535</v>
      </c>
      <c r="F2828" t="s">
        <v>4535</v>
      </c>
      <c r="G2828" t="s">
        <v>3366</v>
      </c>
      <c r="H2828">
        <v>103.3</v>
      </c>
      <c r="I2828">
        <v>10.33</v>
      </c>
      <c r="J2828">
        <v>0</v>
      </c>
      <c r="K2828">
        <v>0</v>
      </c>
      <c r="L2828">
        <v>103.3</v>
      </c>
      <c r="M2828">
        <v>10.33</v>
      </c>
      <c r="O2828" s="79">
        <f>IFERROR(VLOOKUP(D2828,'KAPANAN BLD.'!$C$2:$D$793,2,FALSE),0)</f>
        <v>0</v>
      </c>
      <c r="P2828" s="79">
        <v>0</v>
      </c>
    </row>
    <row r="2829" spans="1:16" x14ac:dyDescent="0.25">
      <c r="A2829" t="s">
        <v>32</v>
      </c>
      <c r="B2829" s="73" t="str">
        <f>VLOOKUP(C2829,'Büyükşehir List'!$C$2:$D$31,2,FALSE)</f>
        <v>ŞANLIURFA BÜYÜKŞEHİR</v>
      </c>
      <c r="C2829" t="s">
        <v>136</v>
      </c>
      <c r="D2829" s="73" t="str">
        <f t="shared" si="66"/>
        <v>ŞANLIURFA BÜYÜKŞEHİR/ŞANLIURFA</v>
      </c>
      <c r="E2829" t="s">
        <v>4535</v>
      </c>
      <c r="F2829" t="s">
        <v>4535</v>
      </c>
      <c r="G2829" t="s">
        <v>3367</v>
      </c>
      <c r="H2829">
        <v>5.4</v>
      </c>
      <c r="I2829">
        <v>0.54</v>
      </c>
      <c r="J2829">
        <v>0</v>
      </c>
      <c r="K2829">
        <v>0</v>
      </c>
      <c r="L2829">
        <v>5.4</v>
      </c>
      <c r="M2829">
        <v>0.54</v>
      </c>
      <c r="O2829" s="79">
        <f>IFERROR(VLOOKUP(D2829,'KAPANAN BLD.'!$C$2:$D$793,2,FALSE),0)</f>
        <v>0</v>
      </c>
      <c r="P2829" s="79">
        <v>0</v>
      </c>
    </row>
    <row r="2830" spans="1:16" x14ac:dyDescent="0.25">
      <c r="A2830" t="s">
        <v>32</v>
      </c>
      <c r="B2830" s="73" t="str">
        <f>VLOOKUP(C2830,'Büyükşehir List'!$C$2:$D$31,2,FALSE)</f>
        <v>ŞANLIURFA BÜYÜKŞEHİR</v>
      </c>
      <c r="C2830" t="s">
        <v>136</v>
      </c>
      <c r="D2830" s="73" t="str">
        <f t="shared" si="66"/>
        <v>ŞANLIURFA BÜYÜKŞEHİR/ŞANLIURFA</v>
      </c>
      <c r="E2830" t="s">
        <v>3977</v>
      </c>
      <c r="F2830" t="s">
        <v>3977</v>
      </c>
      <c r="G2830" t="s">
        <v>3367</v>
      </c>
      <c r="H2830">
        <v>799.7</v>
      </c>
      <c r="I2830">
        <v>79.97</v>
      </c>
      <c r="J2830">
        <v>0</v>
      </c>
      <c r="K2830">
        <v>0</v>
      </c>
      <c r="L2830">
        <v>799.7</v>
      </c>
      <c r="M2830">
        <v>79.97</v>
      </c>
      <c r="O2830" s="79">
        <f>IFERROR(VLOOKUP(D2830,'KAPANAN BLD.'!$C$2:$D$793,2,FALSE),0)</f>
        <v>0</v>
      </c>
      <c r="P2830" s="79">
        <v>0</v>
      </c>
    </row>
    <row r="2831" spans="1:16" x14ac:dyDescent="0.25">
      <c r="A2831" t="s">
        <v>32</v>
      </c>
      <c r="B2831" s="73" t="str">
        <f>VLOOKUP(C2831,'Büyükşehir List'!$C$2:$D$31,2,FALSE)</f>
        <v>ŞANLIURFA BÜYÜKŞEHİR</v>
      </c>
      <c r="C2831" t="s">
        <v>136</v>
      </c>
      <c r="D2831" s="73" t="str">
        <f t="shared" si="66"/>
        <v>ŞANLIURFA BÜYÜKŞEHİR/ŞANLIURFA</v>
      </c>
      <c r="E2831" t="s">
        <v>3977</v>
      </c>
      <c r="F2831" t="s">
        <v>3977</v>
      </c>
      <c r="G2831" t="s">
        <v>3366</v>
      </c>
      <c r="H2831">
        <v>864.1</v>
      </c>
      <c r="I2831">
        <v>86.41</v>
      </c>
      <c r="J2831">
        <v>0</v>
      </c>
      <c r="K2831">
        <v>0</v>
      </c>
      <c r="L2831">
        <v>864.1</v>
      </c>
      <c r="M2831">
        <v>86.41</v>
      </c>
      <c r="O2831" s="79">
        <f>IFERROR(VLOOKUP(D2831,'KAPANAN BLD.'!$C$2:$D$793,2,FALSE),0)</f>
        <v>0</v>
      </c>
      <c r="P2831" s="79">
        <v>0</v>
      </c>
    </row>
    <row r="2832" spans="1:16" x14ac:dyDescent="0.25">
      <c r="A2832" t="s">
        <v>32</v>
      </c>
      <c r="B2832" s="73" t="str">
        <f>VLOOKUP(C2832,'Büyükşehir List'!$C$2:$D$31,2,FALSE)</f>
        <v>ŞANLIURFA BÜYÜKŞEHİR</v>
      </c>
      <c r="C2832" t="s">
        <v>136</v>
      </c>
      <c r="D2832" s="73" t="str">
        <f t="shared" si="66"/>
        <v>ŞANLIURFA BÜYÜKŞEHİR/ŞANLIURFA</v>
      </c>
      <c r="E2832" t="s">
        <v>475</v>
      </c>
      <c r="F2832" t="s">
        <v>475</v>
      </c>
      <c r="G2832" t="s">
        <v>3366</v>
      </c>
      <c r="H2832">
        <v>784.99</v>
      </c>
      <c r="I2832">
        <v>78.5</v>
      </c>
      <c r="J2832">
        <v>0</v>
      </c>
      <c r="K2832">
        <v>0</v>
      </c>
      <c r="L2832">
        <v>784.99</v>
      </c>
      <c r="M2832">
        <v>78.5</v>
      </c>
      <c r="O2832" s="79">
        <f>IFERROR(VLOOKUP(D2832,'KAPANAN BLD.'!$C$2:$D$793,2,FALSE),0)</f>
        <v>0</v>
      </c>
      <c r="P2832" s="79">
        <v>0</v>
      </c>
    </row>
    <row r="2833" spans="1:16" x14ac:dyDescent="0.25">
      <c r="A2833" t="s">
        <v>32</v>
      </c>
      <c r="B2833" s="73" t="str">
        <f>VLOOKUP(C2833,'Büyükşehir List'!$C$2:$D$31,2,FALSE)</f>
        <v>ŞANLIURFA BÜYÜKŞEHİR</v>
      </c>
      <c r="C2833" t="s">
        <v>136</v>
      </c>
      <c r="D2833" s="73" t="str">
        <f t="shared" si="66"/>
        <v>ŞANLIURFA BÜYÜKŞEHİR/ŞANLIURFA</v>
      </c>
      <c r="E2833" t="s">
        <v>475</v>
      </c>
      <c r="F2833" t="s">
        <v>475</v>
      </c>
      <c r="G2833" t="s">
        <v>3367</v>
      </c>
      <c r="H2833">
        <v>54393.78</v>
      </c>
      <c r="I2833">
        <v>5439.38</v>
      </c>
      <c r="J2833">
        <v>0</v>
      </c>
      <c r="K2833">
        <v>0</v>
      </c>
      <c r="L2833">
        <v>54393.78</v>
      </c>
      <c r="M2833">
        <v>5439.38</v>
      </c>
      <c r="O2833" s="79">
        <f>IFERROR(VLOOKUP(D2833,'KAPANAN BLD.'!$C$2:$D$793,2,FALSE),0)</f>
        <v>0</v>
      </c>
      <c r="P2833" s="79">
        <v>0</v>
      </c>
    </row>
    <row r="2834" spans="1:16" x14ac:dyDescent="0.25">
      <c r="A2834" t="s">
        <v>32</v>
      </c>
      <c r="B2834" s="73" t="str">
        <f>VLOOKUP(C2834,'Büyükşehir List'!$C$2:$D$31,2,FALSE)</f>
        <v>ŞANLIURFA BÜYÜKŞEHİR</v>
      </c>
      <c r="C2834" t="s">
        <v>136</v>
      </c>
      <c r="D2834" s="73" t="str">
        <f t="shared" si="66"/>
        <v>ŞANLIURFA BÜYÜKŞEHİR/ŞANLIURFA</v>
      </c>
      <c r="E2834" t="s">
        <v>4536</v>
      </c>
      <c r="F2834" t="s">
        <v>4536</v>
      </c>
      <c r="G2834" t="s">
        <v>3367</v>
      </c>
      <c r="H2834">
        <v>7738.5</v>
      </c>
      <c r="I2834">
        <v>773.85</v>
      </c>
      <c r="J2834">
        <v>0</v>
      </c>
      <c r="K2834">
        <v>0</v>
      </c>
      <c r="L2834">
        <v>7738.5</v>
      </c>
      <c r="M2834">
        <v>773.85</v>
      </c>
      <c r="O2834" s="79">
        <f>IFERROR(VLOOKUP(D2834,'KAPANAN BLD.'!$C$2:$D$793,2,FALSE),0)</f>
        <v>0</v>
      </c>
      <c r="P2834" s="79">
        <v>0</v>
      </c>
    </row>
    <row r="2835" spans="1:16" x14ac:dyDescent="0.25">
      <c r="A2835" t="s">
        <v>32</v>
      </c>
      <c r="B2835" s="73" t="str">
        <f t="shared" ref="B2835:B2836" si="67">F2835</f>
        <v>BAŞVERİMLİ</v>
      </c>
      <c r="C2835" t="s">
        <v>222</v>
      </c>
      <c r="D2835" s="73" t="str">
        <f t="shared" si="66"/>
        <v>BAŞVERİMLİ/ŞIRNAK</v>
      </c>
      <c r="E2835" t="s">
        <v>2904</v>
      </c>
      <c r="F2835" t="s">
        <v>2904</v>
      </c>
      <c r="G2835" t="s">
        <v>3366</v>
      </c>
      <c r="H2835">
        <v>1860</v>
      </c>
      <c r="I2835">
        <v>186</v>
      </c>
      <c r="J2835">
        <v>0</v>
      </c>
      <c r="K2835">
        <v>0</v>
      </c>
      <c r="L2835">
        <v>1860</v>
      </c>
      <c r="M2835">
        <v>186</v>
      </c>
      <c r="O2835" s="79" t="str">
        <f>IFERROR(VLOOKUP(D2835,'KAPANAN BLD.'!$C$2:$D$793,2,FALSE),0)</f>
        <v>SİLOPİ</v>
      </c>
      <c r="P2835" s="79">
        <v>0</v>
      </c>
    </row>
    <row r="2836" spans="1:16" x14ac:dyDescent="0.25">
      <c r="A2836" t="s">
        <v>32</v>
      </c>
      <c r="B2836" s="73" t="str">
        <f t="shared" si="67"/>
        <v>BAŞVERİMLİ</v>
      </c>
      <c r="C2836" t="s">
        <v>222</v>
      </c>
      <c r="D2836" s="73" t="str">
        <f t="shared" si="66"/>
        <v>BAŞVERİMLİ/ŞIRNAK</v>
      </c>
      <c r="E2836" t="s">
        <v>2904</v>
      </c>
      <c r="F2836" t="s">
        <v>2904</v>
      </c>
      <c r="G2836" t="s">
        <v>3367</v>
      </c>
      <c r="H2836">
        <v>1566.6</v>
      </c>
      <c r="I2836">
        <v>156.66</v>
      </c>
      <c r="J2836">
        <v>0</v>
      </c>
      <c r="K2836">
        <v>0</v>
      </c>
      <c r="L2836">
        <v>1566.6</v>
      </c>
      <c r="M2836">
        <v>156.66</v>
      </c>
      <c r="O2836" s="79" t="str">
        <f>IFERROR(VLOOKUP(D2836,'KAPANAN BLD.'!$C$2:$D$793,2,FALSE),0)</f>
        <v>SİLOPİ</v>
      </c>
      <c r="P2836" s="79">
        <v>0</v>
      </c>
    </row>
    <row r="2837" spans="1:16" x14ac:dyDescent="0.25">
      <c r="A2837" t="s">
        <v>32</v>
      </c>
      <c r="B2837" s="73" t="str">
        <f>VLOOKUP(C2837,'Büyükşehir List'!$C$2:$D$31,2,FALSE)</f>
        <v>TEKİRDAĞ BÜYÜKŞEHİR</v>
      </c>
      <c r="C2837" t="s">
        <v>137</v>
      </c>
      <c r="D2837" s="73" t="str">
        <f t="shared" si="66"/>
        <v>TEKİRDAĞ BÜYÜKŞEHİR/TEKİRDAĞ</v>
      </c>
      <c r="E2837" t="s">
        <v>4011</v>
      </c>
      <c r="F2837" t="s">
        <v>4011</v>
      </c>
      <c r="G2837" t="s">
        <v>3366</v>
      </c>
      <c r="H2837">
        <v>4926.2700000000004</v>
      </c>
      <c r="I2837">
        <v>492.63</v>
      </c>
      <c r="J2837">
        <v>103.3</v>
      </c>
      <c r="K2837">
        <v>10.33</v>
      </c>
      <c r="L2837">
        <v>4822.97</v>
      </c>
      <c r="M2837">
        <v>482.3</v>
      </c>
      <c r="O2837" s="79">
        <f>IFERROR(VLOOKUP(D2837,'KAPANAN BLD.'!$C$2:$D$793,2,FALSE),0)</f>
        <v>0</v>
      </c>
      <c r="P2837" s="79">
        <v>0</v>
      </c>
    </row>
    <row r="2838" spans="1:16" x14ac:dyDescent="0.25">
      <c r="A2838" t="s">
        <v>32</v>
      </c>
      <c r="B2838" s="73" t="str">
        <f>VLOOKUP(C2838,'Büyükşehir List'!$C$2:$D$31,2,FALSE)</f>
        <v>TEKİRDAĞ BÜYÜKŞEHİR</v>
      </c>
      <c r="C2838" t="s">
        <v>137</v>
      </c>
      <c r="D2838" s="73" t="str">
        <f t="shared" si="66"/>
        <v>TEKİRDAĞ BÜYÜKŞEHİR/TEKİRDAĞ</v>
      </c>
      <c r="E2838" t="s">
        <v>4011</v>
      </c>
      <c r="F2838" t="s">
        <v>4011</v>
      </c>
      <c r="G2838" t="s">
        <v>3367</v>
      </c>
      <c r="H2838">
        <v>9671.36</v>
      </c>
      <c r="I2838">
        <v>967.14</v>
      </c>
      <c r="J2838">
        <v>5.4</v>
      </c>
      <c r="K2838">
        <v>0.54</v>
      </c>
      <c r="L2838">
        <v>9665.9599999999991</v>
      </c>
      <c r="M2838">
        <v>966.6</v>
      </c>
      <c r="O2838" s="79">
        <f>IFERROR(VLOOKUP(D2838,'KAPANAN BLD.'!$C$2:$D$793,2,FALSE),0)</f>
        <v>0</v>
      </c>
      <c r="P2838" s="79">
        <v>0</v>
      </c>
    </row>
    <row r="2839" spans="1:16" x14ac:dyDescent="0.25">
      <c r="A2839" t="s">
        <v>32</v>
      </c>
      <c r="B2839" s="73" t="str">
        <f>VLOOKUP(C2839,'Büyükşehir List'!$C$2:$D$31,2,FALSE)</f>
        <v>TEKİRDAĞ BÜYÜKŞEHİR</v>
      </c>
      <c r="C2839" t="s">
        <v>137</v>
      </c>
      <c r="D2839" s="73" t="str">
        <f t="shared" si="66"/>
        <v>TEKİRDAĞ BÜYÜKŞEHİR/TEKİRDAĞ</v>
      </c>
      <c r="E2839" t="s">
        <v>4012</v>
      </c>
      <c r="F2839" t="s">
        <v>4012</v>
      </c>
      <c r="G2839" t="s">
        <v>3366</v>
      </c>
      <c r="H2839">
        <v>409.4</v>
      </c>
      <c r="I2839">
        <v>40.94</v>
      </c>
      <c r="J2839">
        <v>402.8</v>
      </c>
      <c r="K2839">
        <v>40.28</v>
      </c>
      <c r="L2839">
        <v>6.6</v>
      </c>
      <c r="M2839">
        <v>0.66</v>
      </c>
      <c r="O2839" s="79">
        <f>IFERROR(VLOOKUP(D2839,'KAPANAN BLD.'!$C$2:$D$793,2,FALSE),0)</f>
        <v>0</v>
      </c>
      <c r="P2839" s="79">
        <v>0</v>
      </c>
    </row>
    <row r="2840" spans="1:16" x14ac:dyDescent="0.25">
      <c r="A2840" t="s">
        <v>32</v>
      </c>
      <c r="B2840" s="73" t="str">
        <f>VLOOKUP(C2840,'Büyükşehir List'!$C$2:$D$31,2,FALSE)</f>
        <v>TEKİRDAĞ BÜYÜKŞEHİR</v>
      </c>
      <c r="C2840" t="s">
        <v>137</v>
      </c>
      <c r="D2840" s="73" t="str">
        <f t="shared" si="66"/>
        <v>TEKİRDAĞ BÜYÜKŞEHİR/TEKİRDAĞ</v>
      </c>
      <c r="E2840" t="s">
        <v>4012</v>
      </c>
      <c r="F2840" t="s">
        <v>4012</v>
      </c>
      <c r="G2840" t="s">
        <v>3367</v>
      </c>
      <c r="H2840">
        <v>700.7</v>
      </c>
      <c r="I2840">
        <v>70.069999999999993</v>
      </c>
      <c r="J2840">
        <v>45</v>
      </c>
      <c r="K2840">
        <v>4.5</v>
      </c>
      <c r="L2840">
        <v>655.7</v>
      </c>
      <c r="M2840">
        <v>65.569999999999993</v>
      </c>
      <c r="O2840" s="79">
        <f>IFERROR(VLOOKUP(D2840,'KAPANAN BLD.'!$C$2:$D$793,2,FALSE),0)</f>
        <v>0</v>
      </c>
      <c r="P2840" s="79">
        <v>0</v>
      </c>
    </row>
    <row r="2841" spans="1:16" x14ac:dyDescent="0.25">
      <c r="A2841" t="s">
        <v>32</v>
      </c>
      <c r="B2841" s="73" t="str">
        <f>VLOOKUP(C2841,'Büyükşehir List'!$C$2:$D$31,2,FALSE)</f>
        <v>TEKİRDAĞ BÜYÜKŞEHİR</v>
      </c>
      <c r="C2841" t="s">
        <v>137</v>
      </c>
      <c r="D2841" s="73" t="str">
        <f t="shared" si="66"/>
        <v>TEKİRDAĞ BÜYÜKŞEHİR/TEKİRDAĞ</v>
      </c>
      <c r="E2841" t="s">
        <v>3857</v>
      </c>
      <c r="F2841" t="s">
        <v>3857</v>
      </c>
      <c r="G2841" t="s">
        <v>3366</v>
      </c>
      <c r="H2841">
        <v>725</v>
      </c>
      <c r="I2841">
        <v>72.5</v>
      </c>
      <c r="J2841">
        <v>6.1</v>
      </c>
      <c r="K2841">
        <v>0.61</v>
      </c>
      <c r="L2841">
        <v>718.9</v>
      </c>
      <c r="M2841">
        <v>71.89</v>
      </c>
      <c r="O2841" s="79">
        <f>IFERROR(VLOOKUP(D2841,'KAPANAN BLD.'!$C$2:$D$793,2,FALSE),0)</f>
        <v>0</v>
      </c>
      <c r="P2841" s="79">
        <v>0</v>
      </c>
    </row>
    <row r="2842" spans="1:16" x14ac:dyDescent="0.25">
      <c r="A2842" t="s">
        <v>32</v>
      </c>
      <c r="B2842" s="73" t="str">
        <f>VLOOKUP(C2842,'Büyükşehir List'!$C$2:$D$31,2,FALSE)</f>
        <v>TEKİRDAĞ BÜYÜKŞEHİR</v>
      </c>
      <c r="C2842" t="s">
        <v>137</v>
      </c>
      <c r="D2842" s="73" t="str">
        <f t="shared" si="66"/>
        <v>TEKİRDAĞ BÜYÜKŞEHİR/TEKİRDAĞ</v>
      </c>
      <c r="E2842" t="s">
        <v>3857</v>
      </c>
      <c r="F2842" t="s">
        <v>3857</v>
      </c>
      <c r="G2842" t="s">
        <v>3367</v>
      </c>
      <c r="H2842">
        <v>946.5</v>
      </c>
      <c r="I2842">
        <v>94.65</v>
      </c>
      <c r="J2842">
        <v>368.4</v>
      </c>
      <c r="K2842">
        <v>36.840000000000003</v>
      </c>
      <c r="L2842">
        <v>578.1</v>
      </c>
      <c r="M2842">
        <v>57.81</v>
      </c>
      <c r="O2842" s="79">
        <f>IFERROR(VLOOKUP(D2842,'KAPANAN BLD.'!$C$2:$D$793,2,FALSE),0)</f>
        <v>0</v>
      </c>
      <c r="P2842" s="79">
        <v>0</v>
      </c>
    </row>
    <row r="2843" spans="1:16" x14ac:dyDescent="0.25">
      <c r="A2843" t="s">
        <v>32</v>
      </c>
      <c r="B2843" s="73" t="str">
        <f>VLOOKUP(C2843,'Büyükşehir List'!$C$2:$D$31,2,FALSE)</f>
        <v>TEKİRDAĞ BÜYÜKŞEHİR</v>
      </c>
      <c r="C2843" t="s">
        <v>137</v>
      </c>
      <c r="D2843" s="73" t="str">
        <f t="shared" si="66"/>
        <v>TEKİRDAĞ BÜYÜKŞEHİR/TEKİRDAĞ</v>
      </c>
      <c r="E2843" t="s">
        <v>138</v>
      </c>
      <c r="F2843" t="s">
        <v>138</v>
      </c>
      <c r="G2843" t="s">
        <v>3367</v>
      </c>
      <c r="H2843">
        <v>52793.5</v>
      </c>
      <c r="I2843">
        <v>5279.35</v>
      </c>
      <c r="J2843">
        <v>0</v>
      </c>
      <c r="K2843">
        <v>0</v>
      </c>
      <c r="L2843">
        <v>52793.5</v>
      </c>
      <c r="M2843">
        <v>5279.35</v>
      </c>
      <c r="O2843" s="79">
        <f>IFERROR(VLOOKUP(D2843,'KAPANAN BLD.'!$C$2:$D$793,2,FALSE),0)</f>
        <v>0</v>
      </c>
      <c r="P2843" s="79">
        <v>0</v>
      </c>
    </row>
    <row r="2844" spans="1:16" x14ac:dyDescent="0.25">
      <c r="A2844" t="s">
        <v>32</v>
      </c>
      <c r="B2844" s="73" t="str">
        <f>VLOOKUP(C2844,'Büyükşehir List'!$C$2:$D$31,2,FALSE)</f>
        <v>TEKİRDAĞ BÜYÜKŞEHİR</v>
      </c>
      <c r="C2844" t="s">
        <v>137</v>
      </c>
      <c r="D2844" s="73" t="str">
        <f t="shared" si="66"/>
        <v>TEKİRDAĞ BÜYÜKŞEHİR/TEKİRDAĞ</v>
      </c>
      <c r="E2844" t="s">
        <v>138</v>
      </c>
      <c r="F2844" t="s">
        <v>138</v>
      </c>
      <c r="G2844" t="s">
        <v>3366</v>
      </c>
      <c r="H2844">
        <v>14860.61</v>
      </c>
      <c r="I2844">
        <v>1486.05</v>
      </c>
      <c r="J2844">
        <v>0</v>
      </c>
      <c r="K2844">
        <v>0</v>
      </c>
      <c r="L2844">
        <v>14860.61</v>
      </c>
      <c r="M2844">
        <v>1486.05</v>
      </c>
      <c r="O2844" s="79">
        <f>IFERROR(VLOOKUP(D2844,'KAPANAN BLD.'!$C$2:$D$793,2,FALSE),0)</f>
        <v>0</v>
      </c>
      <c r="P2844" s="79">
        <v>0</v>
      </c>
    </row>
    <row r="2845" spans="1:16" x14ac:dyDescent="0.25">
      <c r="A2845" t="s">
        <v>32</v>
      </c>
      <c r="B2845" s="73" t="str">
        <f>VLOOKUP(C2845,'Büyükşehir List'!$C$2:$D$31,2,FALSE)</f>
        <v>TEKİRDAĞ BÜYÜKŞEHİR</v>
      </c>
      <c r="C2845" t="s">
        <v>137</v>
      </c>
      <c r="D2845" s="73" t="str">
        <f t="shared" si="66"/>
        <v>TEKİRDAĞ BÜYÜKŞEHİR/TEKİRDAĞ</v>
      </c>
      <c r="E2845" t="s">
        <v>139</v>
      </c>
      <c r="F2845" t="s">
        <v>139</v>
      </c>
      <c r="G2845" t="s">
        <v>3366</v>
      </c>
      <c r="H2845">
        <v>54211.69</v>
      </c>
      <c r="I2845">
        <v>5421.17</v>
      </c>
      <c r="J2845">
        <v>108.6</v>
      </c>
      <c r="K2845">
        <v>10.86</v>
      </c>
      <c r="L2845">
        <v>54103.09</v>
      </c>
      <c r="M2845">
        <v>5410.31</v>
      </c>
      <c r="O2845" s="79">
        <f>IFERROR(VLOOKUP(D2845,'KAPANAN BLD.'!$C$2:$D$793,2,FALSE),0)</f>
        <v>0</v>
      </c>
      <c r="P2845" s="79">
        <v>0</v>
      </c>
    </row>
    <row r="2846" spans="1:16" x14ac:dyDescent="0.25">
      <c r="A2846" t="s">
        <v>32</v>
      </c>
      <c r="B2846" s="73" t="str">
        <f>VLOOKUP(C2846,'Büyükşehir List'!$C$2:$D$31,2,FALSE)</f>
        <v>TEKİRDAĞ BÜYÜKŞEHİR</v>
      </c>
      <c r="C2846" t="s">
        <v>137</v>
      </c>
      <c r="D2846" s="73" t="str">
        <f t="shared" si="66"/>
        <v>TEKİRDAĞ BÜYÜKŞEHİR/TEKİRDAĞ</v>
      </c>
      <c r="E2846" t="s">
        <v>139</v>
      </c>
      <c r="F2846" t="s">
        <v>139</v>
      </c>
      <c r="G2846" t="s">
        <v>3367</v>
      </c>
      <c r="H2846">
        <v>39868.400000000001</v>
      </c>
      <c r="I2846">
        <v>3986.84</v>
      </c>
      <c r="J2846">
        <v>853.7</v>
      </c>
      <c r="K2846">
        <v>85.37</v>
      </c>
      <c r="L2846">
        <v>39014.699999999997</v>
      </c>
      <c r="M2846">
        <v>3901.47</v>
      </c>
      <c r="O2846" s="79">
        <f>IFERROR(VLOOKUP(D2846,'KAPANAN BLD.'!$C$2:$D$793,2,FALSE),0)</f>
        <v>0</v>
      </c>
      <c r="P2846" s="79">
        <v>0</v>
      </c>
    </row>
    <row r="2847" spans="1:16" x14ac:dyDescent="0.25">
      <c r="A2847" t="s">
        <v>32</v>
      </c>
      <c r="B2847" s="73" t="str">
        <f>VLOOKUP(C2847,'Büyükşehir List'!$C$2:$D$31,2,FALSE)</f>
        <v>TEKİRDAĞ BÜYÜKŞEHİR</v>
      </c>
      <c r="C2847" t="s">
        <v>137</v>
      </c>
      <c r="D2847" s="73" t="str">
        <f t="shared" si="66"/>
        <v>TEKİRDAĞ BÜYÜKŞEHİR/TEKİRDAĞ</v>
      </c>
      <c r="E2847" t="s">
        <v>382</v>
      </c>
      <c r="F2847" t="s">
        <v>382</v>
      </c>
      <c r="G2847" t="s">
        <v>3367</v>
      </c>
      <c r="H2847">
        <v>0</v>
      </c>
      <c r="I2847">
        <v>0</v>
      </c>
      <c r="J2847">
        <v>82.6</v>
      </c>
      <c r="K2847">
        <v>8.26</v>
      </c>
      <c r="L2847">
        <v>-82.6</v>
      </c>
      <c r="M2847">
        <v>-8.26</v>
      </c>
      <c r="O2847" s="79">
        <f>IFERROR(VLOOKUP(D2847,'KAPANAN BLD.'!$C$2:$D$793,2,FALSE),0)</f>
        <v>0</v>
      </c>
      <c r="P2847" s="79">
        <v>0</v>
      </c>
    </row>
    <row r="2848" spans="1:16" x14ac:dyDescent="0.25">
      <c r="A2848" t="s">
        <v>32</v>
      </c>
      <c r="B2848" s="73" t="str">
        <f>VLOOKUP(C2848,'Büyükşehir List'!$C$2:$D$31,2,FALSE)</f>
        <v>TEKİRDAĞ BÜYÜKŞEHİR</v>
      </c>
      <c r="C2848" t="s">
        <v>137</v>
      </c>
      <c r="D2848" s="73" t="str">
        <f t="shared" si="66"/>
        <v>TEKİRDAĞ BÜYÜKŞEHİR/TEKİRDAĞ</v>
      </c>
      <c r="E2848" t="s">
        <v>382</v>
      </c>
      <c r="F2848" t="s">
        <v>382</v>
      </c>
      <c r="G2848" t="s">
        <v>3366</v>
      </c>
      <c r="H2848">
        <v>0</v>
      </c>
      <c r="I2848">
        <v>0</v>
      </c>
      <c r="J2848">
        <v>440.2</v>
      </c>
      <c r="K2848">
        <v>44.02</v>
      </c>
      <c r="L2848">
        <v>-440.2</v>
      </c>
      <c r="M2848">
        <v>-44.02</v>
      </c>
      <c r="O2848" s="79">
        <f>IFERROR(VLOOKUP(D2848,'KAPANAN BLD.'!$C$2:$D$793,2,FALSE),0)</f>
        <v>0</v>
      </c>
      <c r="P2848" s="79">
        <v>0</v>
      </c>
    </row>
    <row r="2849" spans="1:16" x14ac:dyDescent="0.25">
      <c r="A2849" t="s">
        <v>32</v>
      </c>
      <c r="B2849" s="73" t="str">
        <f>VLOOKUP(C2849,'Büyükşehir List'!$C$2:$D$31,2,FALSE)</f>
        <v>TEKİRDAĞ BÜYÜKŞEHİR</v>
      </c>
      <c r="C2849" t="s">
        <v>137</v>
      </c>
      <c r="D2849" s="73" t="str">
        <f t="shared" si="66"/>
        <v>TEKİRDAĞ BÜYÜKŞEHİR/TEKİRDAĞ</v>
      </c>
      <c r="E2849" t="s">
        <v>3858</v>
      </c>
      <c r="F2849" t="s">
        <v>3858</v>
      </c>
      <c r="G2849" t="s">
        <v>3366</v>
      </c>
      <c r="H2849">
        <v>582.5</v>
      </c>
      <c r="I2849">
        <v>58.25</v>
      </c>
      <c r="J2849">
        <v>374.4</v>
      </c>
      <c r="K2849">
        <v>37.44</v>
      </c>
      <c r="L2849">
        <v>208.1</v>
      </c>
      <c r="M2849">
        <v>20.81</v>
      </c>
      <c r="O2849" s="79">
        <f>IFERROR(VLOOKUP(D2849,'KAPANAN BLD.'!$C$2:$D$793,2,FALSE),0)</f>
        <v>0</v>
      </c>
      <c r="P2849" s="79">
        <v>0</v>
      </c>
    </row>
    <row r="2850" spans="1:16" x14ac:dyDescent="0.25">
      <c r="A2850" t="s">
        <v>32</v>
      </c>
      <c r="B2850" s="73" t="str">
        <f>VLOOKUP(C2850,'Büyükşehir List'!$C$2:$D$31,2,FALSE)</f>
        <v>TEKİRDAĞ BÜYÜKŞEHİR</v>
      </c>
      <c r="C2850" t="s">
        <v>137</v>
      </c>
      <c r="D2850" s="73" t="str">
        <f t="shared" si="66"/>
        <v>TEKİRDAĞ BÜYÜKŞEHİR/TEKİRDAĞ</v>
      </c>
      <c r="E2850" t="s">
        <v>3858</v>
      </c>
      <c r="F2850" t="s">
        <v>3858</v>
      </c>
      <c r="G2850" t="s">
        <v>3367</v>
      </c>
      <c r="H2850">
        <v>1954.3</v>
      </c>
      <c r="I2850">
        <v>195.43</v>
      </c>
      <c r="J2850">
        <v>1443.3</v>
      </c>
      <c r="K2850">
        <v>144.33000000000001</v>
      </c>
      <c r="L2850">
        <v>511</v>
      </c>
      <c r="M2850">
        <v>51.1</v>
      </c>
      <c r="O2850" s="79">
        <f>IFERROR(VLOOKUP(D2850,'KAPANAN BLD.'!$C$2:$D$793,2,FALSE),0)</f>
        <v>0</v>
      </c>
      <c r="P2850" s="79">
        <v>0</v>
      </c>
    </row>
    <row r="2851" spans="1:16" x14ac:dyDescent="0.25">
      <c r="A2851" t="s">
        <v>32</v>
      </c>
      <c r="B2851" s="73" t="str">
        <f>VLOOKUP(C2851,'Büyükşehir List'!$C$2:$D$31,2,FALSE)</f>
        <v>TEKİRDAĞ BÜYÜKŞEHİR</v>
      </c>
      <c r="C2851" t="s">
        <v>137</v>
      </c>
      <c r="D2851" s="73" t="str">
        <f t="shared" si="66"/>
        <v>TEKİRDAĞ BÜYÜKŞEHİR/TEKİRDAĞ</v>
      </c>
      <c r="E2851" t="s">
        <v>3859</v>
      </c>
      <c r="F2851" t="s">
        <v>3859</v>
      </c>
      <c r="G2851" t="s">
        <v>3366</v>
      </c>
      <c r="H2851">
        <v>994.5</v>
      </c>
      <c r="I2851">
        <v>99.45</v>
      </c>
      <c r="J2851">
        <v>0</v>
      </c>
      <c r="K2851">
        <v>0</v>
      </c>
      <c r="L2851">
        <v>994.5</v>
      </c>
      <c r="M2851">
        <v>99.45</v>
      </c>
      <c r="O2851" s="79">
        <f>IFERROR(VLOOKUP(D2851,'KAPANAN BLD.'!$C$2:$D$793,2,FALSE),0)</f>
        <v>0</v>
      </c>
      <c r="P2851" s="79">
        <v>0</v>
      </c>
    </row>
    <row r="2852" spans="1:16" x14ac:dyDescent="0.25">
      <c r="A2852" t="s">
        <v>32</v>
      </c>
      <c r="B2852" s="73" t="str">
        <f>VLOOKUP(C2852,'Büyükşehir List'!$C$2:$D$31,2,FALSE)</f>
        <v>TEKİRDAĞ BÜYÜKŞEHİR</v>
      </c>
      <c r="C2852" t="s">
        <v>137</v>
      </c>
      <c r="D2852" s="73" t="str">
        <f t="shared" si="66"/>
        <v>TEKİRDAĞ BÜYÜKŞEHİR/TEKİRDAĞ</v>
      </c>
      <c r="E2852" t="s">
        <v>3859</v>
      </c>
      <c r="F2852" t="s">
        <v>3859</v>
      </c>
      <c r="G2852" t="s">
        <v>3367</v>
      </c>
      <c r="H2852">
        <v>4855.2</v>
      </c>
      <c r="I2852">
        <v>485.52</v>
      </c>
      <c r="J2852">
        <v>0</v>
      </c>
      <c r="K2852">
        <v>0</v>
      </c>
      <c r="L2852">
        <v>4855.2</v>
      </c>
      <c r="M2852">
        <v>485.52</v>
      </c>
      <c r="O2852" s="79">
        <f>IFERROR(VLOOKUP(D2852,'KAPANAN BLD.'!$C$2:$D$793,2,FALSE),0)</f>
        <v>0</v>
      </c>
      <c r="P2852" s="79">
        <v>0</v>
      </c>
    </row>
    <row r="2853" spans="1:16" x14ac:dyDescent="0.25">
      <c r="A2853" t="s">
        <v>32</v>
      </c>
      <c r="B2853" s="73" t="str">
        <f>VLOOKUP(C2853,'Büyükşehir List'!$C$2:$D$31,2,FALSE)</f>
        <v>TEKİRDAĞ BÜYÜKŞEHİR</v>
      </c>
      <c r="C2853" t="s">
        <v>137</v>
      </c>
      <c r="D2853" s="73" t="str">
        <f t="shared" si="66"/>
        <v>TEKİRDAĞ BÜYÜKŞEHİR/TEKİRDAĞ</v>
      </c>
      <c r="E2853" t="s">
        <v>48</v>
      </c>
      <c r="F2853" t="s">
        <v>48</v>
      </c>
      <c r="G2853" t="s">
        <v>3366</v>
      </c>
      <c r="H2853">
        <v>2820.7</v>
      </c>
      <c r="I2853">
        <v>282.07</v>
      </c>
      <c r="J2853">
        <v>0</v>
      </c>
      <c r="K2853">
        <v>0</v>
      </c>
      <c r="L2853">
        <v>2820.7</v>
      </c>
      <c r="M2853">
        <v>282.07</v>
      </c>
      <c r="O2853" s="79">
        <f>IFERROR(VLOOKUP(D2853,'KAPANAN BLD.'!$C$2:$D$793,2,FALSE),0)</f>
        <v>0</v>
      </c>
      <c r="P2853" s="79">
        <v>0</v>
      </c>
    </row>
    <row r="2854" spans="1:16" x14ac:dyDescent="0.25">
      <c r="A2854" t="s">
        <v>32</v>
      </c>
      <c r="B2854" s="73" t="str">
        <f>VLOOKUP(C2854,'Büyükşehir List'!$C$2:$D$31,2,FALSE)</f>
        <v>TEKİRDAĞ BÜYÜKŞEHİR</v>
      </c>
      <c r="C2854" t="s">
        <v>137</v>
      </c>
      <c r="D2854" s="73" t="str">
        <f t="shared" si="66"/>
        <v>TEKİRDAĞ BÜYÜKŞEHİR/TEKİRDAĞ</v>
      </c>
      <c r="E2854" t="s">
        <v>48</v>
      </c>
      <c r="F2854" t="s">
        <v>48</v>
      </c>
      <c r="G2854" t="s">
        <v>3367</v>
      </c>
      <c r="H2854">
        <v>2321.6</v>
      </c>
      <c r="I2854">
        <v>232.16</v>
      </c>
      <c r="J2854">
        <v>0.6</v>
      </c>
      <c r="K2854">
        <v>0.06</v>
      </c>
      <c r="L2854">
        <v>2321</v>
      </c>
      <c r="M2854">
        <v>232.1</v>
      </c>
      <c r="O2854" s="79">
        <f>IFERROR(VLOOKUP(D2854,'KAPANAN BLD.'!$C$2:$D$793,2,FALSE),0)</f>
        <v>0</v>
      </c>
      <c r="P2854" s="79">
        <v>0</v>
      </c>
    </row>
    <row r="2855" spans="1:16" x14ac:dyDescent="0.25">
      <c r="A2855" t="s">
        <v>32</v>
      </c>
      <c r="B2855" s="73" t="str">
        <f>VLOOKUP(C2855,'Büyükşehir List'!$C$2:$D$31,2,FALSE)</f>
        <v>TEKİRDAĞ BÜYÜKŞEHİR</v>
      </c>
      <c r="C2855" t="s">
        <v>137</v>
      </c>
      <c r="D2855" s="73" t="str">
        <f t="shared" si="66"/>
        <v>TEKİRDAĞ BÜYÜKŞEHİR/TEKİRDAĞ</v>
      </c>
      <c r="E2855" t="s">
        <v>685</v>
      </c>
      <c r="F2855" t="s">
        <v>685</v>
      </c>
      <c r="G2855" t="s">
        <v>3366</v>
      </c>
      <c r="H2855">
        <v>32572.2</v>
      </c>
      <c r="I2855">
        <v>3257.22</v>
      </c>
      <c r="J2855">
        <v>24.1</v>
      </c>
      <c r="K2855">
        <v>2.41</v>
      </c>
      <c r="L2855">
        <v>32548.1</v>
      </c>
      <c r="M2855">
        <v>3254.81</v>
      </c>
      <c r="O2855" s="79">
        <f>IFERROR(VLOOKUP(D2855,'KAPANAN BLD.'!$C$2:$D$793,2,FALSE),0)</f>
        <v>0</v>
      </c>
      <c r="P2855" s="79">
        <v>0</v>
      </c>
    </row>
    <row r="2856" spans="1:16" x14ac:dyDescent="0.25">
      <c r="A2856" t="s">
        <v>32</v>
      </c>
      <c r="B2856" s="73" t="str">
        <f>VLOOKUP(C2856,'Büyükşehir List'!$C$2:$D$31,2,FALSE)</f>
        <v>TEKİRDAĞ BÜYÜKŞEHİR</v>
      </c>
      <c r="C2856" t="s">
        <v>137</v>
      </c>
      <c r="D2856" s="73" t="str">
        <f t="shared" si="66"/>
        <v>TEKİRDAĞ BÜYÜKŞEHİR/TEKİRDAĞ</v>
      </c>
      <c r="E2856" t="s">
        <v>685</v>
      </c>
      <c r="F2856" t="s">
        <v>685</v>
      </c>
      <c r="G2856" t="s">
        <v>3367</v>
      </c>
      <c r="H2856">
        <v>10014.6</v>
      </c>
      <c r="I2856">
        <v>1001.46</v>
      </c>
      <c r="J2856">
        <v>135.69999999999999</v>
      </c>
      <c r="K2856">
        <v>13.57</v>
      </c>
      <c r="L2856">
        <v>9878.9</v>
      </c>
      <c r="M2856">
        <v>987.89</v>
      </c>
      <c r="O2856" s="79">
        <f>IFERROR(VLOOKUP(D2856,'KAPANAN BLD.'!$C$2:$D$793,2,FALSE),0)</f>
        <v>0</v>
      </c>
      <c r="P2856" s="79">
        <v>0</v>
      </c>
    </row>
    <row r="2857" spans="1:16" x14ac:dyDescent="0.25">
      <c r="A2857" t="s">
        <v>32</v>
      </c>
      <c r="B2857" s="73" t="str">
        <f>VLOOKUP(C2857,'Büyükşehir List'!$C$2:$D$31,2,FALSE)</f>
        <v>TEKİRDAĞ BÜYÜKŞEHİR</v>
      </c>
      <c r="C2857" t="s">
        <v>137</v>
      </c>
      <c r="D2857" s="73" t="str">
        <f t="shared" si="66"/>
        <v>TEKİRDAĞ BÜYÜKŞEHİR/TEKİRDAĞ</v>
      </c>
      <c r="E2857" t="s">
        <v>4317</v>
      </c>
      <c r="F2857" t="s">
        <v>4317</v>
      </c>
      <c r="G2857" t="s">
        <v>3366</v>
      </c>
      <c r="H2857">
        <v>10.199999999999999</v>
      </c>
      <c r="I2857">
        <v>1.02</v>
      </c>
      <c r="J2857">
        <v>0</v>
      </c>
      <c r="K2857">
        <v>0</v>
      </c>
      <c r="L2857">
        <v>10.199999999999999</v>
      </c>
      <c r="M2857">
        <v>1.02</v>
      </c>
      <c r="O2857" s="79">
        <f>IFERROR(VLOOKUP(D2857,'KAPANAN BLD.'!$C$2:$D$793,2,FALSE),0)</f>
        <v>0</v>
      </c>
      <c r="P2857" s="79">
        <v>0</v>
      </c>
    </row>
    <row r="2858" spans="1:16" x14ac:dyDescent="0.25">
      <c r="A2858" t="s">
        <v>32</v>
      </c>
      <c r="B2858" s="73" t="str">
        <f>VLOOKUP(C2858,'Büyükşehir List'!$C$2:$D$31,2,FALSE)</f>
        <v>TEKİRDAĞ BÜYÜKŞEHİR</v>
      </c>
      <c r="C2858" t="s">
        <v>137</v>
      </c>
      <c r="D2858" s="73" t="str">
        <f t="shared" si="66"/>
        <v>TEKİRDAĞ BÜYÜKŞEHİR/TEKİRDAĞ</v>
      </c>
      <c r="E2858" t="s">
        <v>4317</v>
      </c>
      <c r="F2858" t="s">
        <v>4317</v>
      </c>
      <c r="G2858" t="s">
        <v>3367</v>
      </c>
      <c r="H2858">
        <v>41.6</v>
      </c>
      <c r="I2858">
        <v>4.16</v>
      </c>
      <c r="J2858">
        <v>0</v>
      </c>
      <c r="K2858">
        <v>0</v>
      </c>
      <c r="L2858">
        <v>41.6</v>
      </c>
      <c r="M2858">
        <v>4.16</v>
      </c>
      <c r="O2858" s="79">
        <f>IFERROR(VLOOKUP(D2858,'KAPANAN BLD.'!$C$2:$D$793,2,FALSE),0)</f>
        <v>0</v>
      </c>
      <c r="P2858" s="79">
        <v>0</v>
      </c>
    </row>
    <row r="2859" spans="1:16" x14ac:dyDescent="0.25">
      <c r="A2859" t="s">
        <v>32</v>
      </c>
      <c r="B2859" s="73" t="str">
        <f>VLOOKUP(C2859,'Büyükşehir List'!$C$2:$D$31,2,FALSE)</f>
        <v>TEKİRDAĞ BÜYÜKŞEHİR</v>
      </c>
      <c r="C2859" t="s">
        <v>137</v>
      </c>
      <c r="D2859" s="73" t="str">
        <f t="shared" si="66"/>
        <v>TEKİRDAĞ BÜYÜKŞEHİR/TEKİRDAĞ</v>
      </c>
      <c r="E2859" t="s">
        <v>145</v>
      </c>
      <c r="F2859" t="s">
        <v>145</v>
      </c>
      <c r="G2859" t="s">
        <v>3367</v>
      </c>
      <c r="H2859">
        <v>6446.8</v>
      </c>
      <c r="I2859">
        <v>644.67999999999995</v>
      </c>
      <c r="J2859">
        <v>328.4</v>
      </c>
      <c r="K2859">
        <v>32.840000000000003</v>
      </c>
      <c r="L2859">
        <v>6118.4</v>
      </c>
      <c r="M2859">
        <v>611.84</v>
      </c>
      <c r="O2859" s="79">
        <f>IFERROR(VLOOKUP(D2859,'KAPANAN BLD.'!$C$2:$D$793,2,FALSE),0)</f>
        <v>0</v>
      </c>
      <c r="P2859" s="79">
        <v>0</v>
      </c>
    </row>
    <row r="2860" spans="1:16" x14ac:dyDescent="0.25">
      <c r="A2860" t="s">
        <v>32</v>
      </c>
      <c r="B2860" s="73" t="str">
        <f>VLOOKUP(C2860,'Büyükşehir List'!$C$2:$D$31,2,FALSE)</f>
        <v>TEKİRDAĞ BÜYÜKŞEHİR</v>
      </c>
      <c r="C2860" t="s">
        <v>137</v>
      </c>
      <c r="D2860" s="73" t="str">
        <f t="shared" si="66"/>
        <v>TEKİRDAĞ BÜYÜKŞEHİR/TEKİRDAĞ</v>
      </c>
      <c r="E2860" t="s">
        <v>145</v>
      </c>
      <c r="F2860" t="s">
        <v>145</v>
      </c>
      <c r="G2860" t="s">
        <v>3366</v>
      </c>
      <c r="H2860">
        <v>1994.6</v>
      </c>
      <c r="I2860">
        <v>199.46</v>
      </c>
      <c r="J2860">
        <v>116.3</v>
      </c>
      <c r="K2860">
        <v>11.63</v>
      </c>
      <c r="L2860">
        <v>1878.3</v>
      </c>
      <c r="M2860">
        <v>187.83</v>
      </c>
      <c r="O2860" s="79">
        <f>IFERROR(VLOOKUP(D2860,'KAPANAN BLD.'!$C$2:$D$793,2,FALSE),0)</f>
        <v>0</v>
      </c>
      <c r="P2860" s="79">
        <v>0</v>
      </c>
    </row>
    <row r="2861" spans="1:16" x14ac:dyDescent="0.25">
      <c r="A2861" t="s">
        <v>32</v>
      </c>
      <c r="B2861" s="73" t="str">
        <f>VLOOKUP(C2861,'Büyükşehir List'!$C$2:$D$31,2,FALSE)</f>
        <v>TEKİRDAĞ BÜYÜKŞEHİR</v>
      </c>
      <c r="C2861" t="s">
        <v>137</v>
      </c>
      <c r="D2861" s="73" t="str">
        <f t="shared" si="66"/>
        <v>TEKİRDAĞ BÜYÜKŞEHİR/TEKİRDAĞ</v>
      </c>
      <c r="E2861" t="s">
        <v>3860</v>
      </c>
      <c r="F2861" t="s">
        <v>3860</v>
      </c>
      <c r="G2861" t="s">
        <v>3366</v>
      </c>
      <c r="H2861">
        <v>2726.65</v>
      </c>
      <c r="I2861">
        <v>272.67</v>
      </c>
      <c r="J2861">
        <v>0</v>
      </c>
      <c r="K2861">
        <v>0</v>
      </c>
      <c r="L2861">
        <v>2726.65</v>
      </c>
      <c r="M2861">
        <v>272.67</v>
      </c>
      <c r="O2861" s="79">
        <f>IFERROR(VLOOKUP(D2861,'KAPANAN BLD.'!$C$2:$D$793,2,FALSE),0)</f>
        <v>0</v>
      </c>
      <c r="P2861" s="79">
        <v>0</v>
      </c>
    </row>
    <row r="2862" spans="1:16" x14ac:dyDescent="0.25">
      <c r="A2862" t="s">
        <v>32</v>
      </c>
      <c r="B2862" s="73" t="str">
        <f>VLOOKUP(C2862,'Büyükşehir List'!$C$2:$D$31,2,FALSE)</f>
        <v>TEKİRDAĞ BÜYÜKŞEHİR</v>
      </c>
      <c r="C2862" t="s">
        <v>137</v>
      </c>
      <c r="D2862" s="73" t="str">
        <f t="shared" si="66"/>
        <v>TEKİRDAĞ BÜYÜKŞEHİR/TEKİRDAĞ</v>
      </c>
      <c r="E2862" t="s">
        <v>3860</v>
      </c>
      <c r="F2862" t="s">
        <v>3860</v>
      </c>
      <c r="G2862" t="s">
        <v>3367</v>
      </c>
      <c r="H2862">
        <v>4274.91</v>
      </c>
      <c r="I2862">
        <v>427.49</v>
      </c>
      <c r="J2862">
        <v>186.7</v>
      </c>
      <c r="K2862">
        <v>18.670000000000002</v>
      </c>
      <c r="L2862">
        <v>4088.21</v>
      </c>
      <c r="M2862">
        <v>408.82</v>
      </c>
      <c r="O2862" s="79">
        <f>IFERROR(VLOOKUP(D2862,'KAPANAN BLD.'!$C$2:$D$793,2,FALSE),0)</f>
        <v>0</v>
      </c>
      <c r="P2862" s="79">
        <v>0</v>
      </c>
    </row>
    <row r="2863" spans="1:16" x14ac:dyDescent="0.25">
      <c r="A2863" t="s">
        <v>32</v>
      </c>
      <c r="B2863" s="73" t="str">
        <f>VLOOKUP(C2863,'Büyükşehir List'!$C$2:$D$31,2,FALSE)</f>
        <v>TEKİRDAĞ BÜYÜKŞEHİR</v>
      </c>
      <c r="C2863" t="s">
        <v>137</v>
      </c>
      <c r="D2863" s="73" t="str">
        <f t="shared" si="66"/>
        <v>TEKİRDAĞ BÜYÜKŞEHİR/TEKİRDAĞ</v>
      </c>
      <c r="E2863" t="s">
        <v>34</v>
      </c>
      <c r="F2863" t="s">
        <v>34</v>
      </c>
      <c r="G2863" t="s">
        <v>3367</v>
      </c>
      <c r="H2863">
        <v>27475.42</v>
      </c>
      <c r="I2863">
        <v>2747.55</v>
      </c>
      <c r="J2863">
        <v>1847.4</v>
      </c>
      <c r="K2863">
        <v>184.74</v>
      </c>
      <c r="L2863">
        <v>25628.02</v>
      </c>
      <c r="M2863">
        <v>2562.81</v>
      </c>
      <c r="O2863" s="79">
        <f>IFERROR(VLOOKUP(D2863,'KAPANAN BLD.'!$C$2:$D$793,2,FALSE),0)</f>
        <v>0</v>
      </c>
      <c r="P2863" s="79">
        <v>0</v>
      </c>
    </row>
    <row r="2864" spans="1:16" x14ac:dyDescent="0.25">
      <c r="A2864" t="s">
        <v>32</v>
      </c>
      <c r="B2864" s="73" t="str">
        <f>VLOOKUP(C2864,'Büyükşehir List'!$C$2:$D$31,2,FALSE)</f>
        <v>TEKİRDAĞ BÜYÜKŞEHİR</v>
      </c>
      <c r="C2864" t="s">
        <v>137</v>
      </c>
      <c r="D2864" s="73" t="str">
        <f t="shared" si="66"/>
        <v>TEKİRDAĞ BÜYÜKŞEHİR/TEKİRDAĞ</v>
      </c>
      <c r="E2864" t="s">
        <v>34</v>
      </c>
      <c r="F2864" t="s">
        <v>34</v>
      </c>
      <c r="G2864" t="s">
        <v>3366</v>
      </c>
      <c r="H2864">
        <v>33538.83</v>
      </c>
      <c r="I2864">
        <v>3353.88</v>
      </c>
      <c r="J2864">
        <v>2670.54</v>
      </c>
      <c r="K2864">
        <v>267.06</v>
      </c>
      <c r="L2864">
        <v>30868.29</v>
      </c>
      <c r="M2864">
        <v>3086.82</v>
      </c>
      <c r="O2864" s="79">
        <f>IFERROR(VLOOKUP(D2864,'KAPANAN BLD.'!$C$2:$D$793,2,FALSE),0)</f>
        <v>0</v>
      </c>
      <c r="P2864" s="79">
        <v>0</v>
      </c>
    </row>
    <row r="2865" spans="1:16" x14ac:dyDescent="0.25">
      <c r="A2865" t="s">
        <v>32</v>
      </c>
      <c r="B2865" s="73" t="str">
        <f>VLOOKUP(C2865,'Büyükşehir List'!$C$2:$D$31,2,FALSE)</f>
        <v>TEKİRDAĞ BÜYÜKŞEHİR</v>
      </c>
      <c r="C2865" t="s">
        <v>137</v>
      </c>
      <c r="D2865" s="73" t="str">
        <f t="shared" si="66"/>
        <v>TEKİRDAĞ BÜYÜKŞEHİR/TEKİRDAĞ</v>
      </c>
      <c r="E2865" t="s">
        <v>3861</v>
      </c>
      <c r="F2865" t="s">
        <v>3861</v>
      </c>
      <c r="G2865" t="s">
        <v>3366</v>
      </c>
      <c r="H2865">
        <v>11421.9</v>
      </c>
      <c r="I2865">
        <v>1142.19</v>
      </c>
      <c r="J2865">
        <v>14.4</v>
      </c>
      <c r="K2865">
        <v>1.44</v>
      </c>
      <c r="L2865">
        <v>11407.5</v>
      </c>
      <c r="M2865">
        <v>1140.75</v>
      </c>
      <c r="O2865" s="79">
        <f>IFERROR(VLOOKUP(D2865,'KAPANAN BLD.'!$C$2:$D$793,2,FALSE),0)</f>
        <v>0</v>
      </c>
      <c r="P2865" s="79">
        <v>0</v>
      </c>
    </row>
    <row r="2866" spans="1:16" x14ac:dyDescent="0.25">
      <c r="A2866" t="s">
        <v>32</v>
      </c>
      <c r="B2866" s="73" t="str">
        <f>VLOOKUP(C2866,'Büyükşehir List'!$C$2:$D$31,2,FALSE)</f>
        <v>TEKİRDAĞ BÜYÜKŞEHİR</v>
      </c>
      <c r="C2866" t="s">
        <v>137</v>
      </c>
      <c r="D2866" s="73" t="str">
        <f t="shared" si="66"/>
        <v>TEKİRDAĞ BÜYÜKŞEHİR/TEKİRDAĞ</v>
      </c>
      <c r="E2866" t="s">
        <v>3861</v>
      </c>
      <c r="F2866" t="s">
        <v>3861</v>
      </c>
      <c r="G2866" t="s">
        <v>3367</v>
      </c>
      <c r="H2866">
        <v>9947.7999999999993</v>
      </c>
      <c r="I2866">
        <v>994.78</v>
      </c>
      <c r="J2866">
        <v>171.2</v>
      </c>
      <c r="K2866">
        <v>17.12</v>
      </c>
      <c r="L2866">
        <v>9776.6</v>
      </c>
      <c r="M2866">
        <v>977.66</v>
      </c>
      <c r="O2866" s="79">
        <f>IFERROR(VLOOKUP(D2866,'KAPANAN BLD.'!$C$2:$D$793,2,FALSE),0)</f>
        <v>0</v>
      </c>
      <c r="P2866" s="79">
        <v>0</v>
      </c>
    </row>
    <row r="2867" spans="1:16" x14ac:dyDescent="0.25">
      <c r="A2867" t="s">
        <v>32</v>
      </c>
      <c r="B2867" s="73" t="str">
        <f>VLOOKUP(C2867,'Büyükşehir List'!$C$2:$D$31,2,FALSE)</f>
        <v>TEKİRDAĞ BÜYÜKŞEHİR</v>
      </c>
      <c r="C2867" t="s">
        <v>137</v>
      </c>
      <c r="D2867" s="73" t="str">
        <f t="shared" si="66"/>
        <v>TEKİRDAĞ BÜYÜKŞEHİR/TEKİRDAĞ</v>
      </c>
      <c r="E2867" t="s">
        <v>254</v>
      </c>
      <c r="F2867" t="s">
        <v>254</v>
      </c>
      <c r="G2867" t="s">
        <v>3366</v>
      </c>
      <c r="H2867">
        <v>2739.2</v>
      </c>
      <c r="I2867">
        <v>273.92</v>
      </c>
      <c r="J2867">
        <v>611.5</v>
      </c>
      <c r="K2867">
        <v>61.15</v>
      </c>
      <c r="L2867">
        <v>2127.6999999999998</v>
      </c>
      <c r="M2867">
        <v>212.77</v>
      </c>
      <c r="O2867" s="79">
        <f>IFERROR(VLOOKUP(D2867,'KAPANAN BLD.'!$C$2:$D$793,2,FALSE),0)</f>
        <v>0</v>
      </c>
      <c r="P2867" s="79">
        <v>0</v>
      </c>
    </row>
    <row r="2868" spans="1:16" x14ac:dyDescent="0.25">
      <c r="A2868" t="s">
        <v>32</v>
      </c>
      <c r="B2868" s="73" t="str">
        <f>VLOOKUP(C2868,'Büyükşehir List'!$C$2:$D$31,2,FALSE)</f>
        <v>TEKİRDAĞ BÜYÜKŞEHİR</v>
      </c>
      <c r="C2868" t="s">
        <v>137</v>
      </c>
      <c r="D2868" s="73" t="str">
        <f t="shared" si="66"/>
        <v>TEKİRDAĞ BÜYÜKŞEHİR/TEKİRDAĞ</v>
      </c>
      <c r="E2868" t="s">
        <v>254</v>
      </c>
      <c r="F2868" t="s">
        <v>254</v>
      </c>
      <c r="G2868" t="s">
        <v>3367</v>
      </c>
      <c r="H2868">
        <v>391.6</v>
      </c>
      <c r="I2868">
        <v>39.159999999999997</v>
      </c>
      <c r="J2868">
        <v>184.6</v>
      </c>
      <c r="K2868">
        <v>18.46</v>
      </c>
      <c r="L2868">
        <v>207</v>
      </c>
      <c r="M2868">
        <v>20.7</v>
      </c>
      <c r="O2868" s="79">
        <f>IFERROR(VLOOKUP(D2868,'KAPANAN BLD.'!$C$2:$D$793,2,FALSE),0)</f>
        <v>0</v>
      </c>
      <c r="P2868" s="79">
        <v>0</v>
      </c>
    </row>
    <row r="2869" spans="1:16" x14ac:dyDescent="0.25">
      <c r="A2869" t="s">
        <v>32</v>
      </c>
      <c r="B2869" s="73" t="str">
        <f>VLOOKUP(C2869,'Büyükşehir List'!$C$2:$D$31,2,FALSE)</f>
        <v>TEKİRDAĞ BÜYÜKŞEHİR</v>
      </c>
      <c r="C2869" t="s">
        <v>137</v>
      </c>
      <c r="D2869" s="73" t="str">
        <f t="shared" si="66"/>
        <v>TEKİRDAĞ BÜYÜKŞEHİR/TEKİRDAĞ</v>
      </c>
      <c r="E2869" t="s">
        <v>3862</v>
      </c>
      <c r="F2869" t="s">
        <v>3862</v>
      </c>
      <c r="G2869" t="s">
        <v>3366</v>
      </c>
      <c r="H2869">
        <v>1149.2</v>
      </c>
      <c r="I2869">
        <v>114.92</v>
      </c>
      <c r="J2869">
        <v>0</v>
      </c>
      <c r="K2869">
        <v>0</v>
      </c>
      <c r="L2869">
        <v>1149.2</v>
      </c>
      <c r="M2869">
        <v>114.92</v>
      </c>
      <c r="O2869" s="79">
        <f>IFERROR(VLOOKUP(D2869,'KAPANAN BLD.'!$C$2:$D$793,2,FALSE),0)</f>
        <v>0</v>
      </c>
      <c r="P2869" s="79">
        <v>0</v>
      </c>
    </row>
    <row r="2870" spans="1:16" x14ac:dyDescent="0.25">
      <c r="A2870" t="s">
        <v>32</v>
      </c>
      <c r="B2870" s="73" t="str">
        <f>VLOOKUP(C2870,'Büyükşehir List'!$C$2:$D$31,2,FALSE)</f>
        <v>TEKİRDAĞ BÜYÜKŞEHİR</v>
      </c>
      <c r="C2870" t="s">
        <v>137</v>
      </c>
      <c r="D2870" s="73" t="str">
        <f t="shared" si="66"/>
        <v>TEKİRDAĞ BÜYÜKŞEHİR/TEKİRDAĞ</v>
      </c>
      <c r="E2870" t="s">
        <v>3862</v>
      </c>
      <c r="F2870" t="s">
        <v>3862</v>
      </c>
      <c r="G2870" t="s">
        <v>3367</v>
      </c>
      <c r="H2870">
        <v>4166.2</v>
      </c>
      <c r="I2870">
        <v>416.62</v>
      </c>
      <c r="J2870">
        <v>0</v>
      </c>
      <c r="K2870">
        <v>0</v>
      </c>
      <c r="L2870">
        <v>4166.2</v>
      </c>
      <c r="M2870">
        <v>416.62</v>
      </c>
      <c r="O2870" s="79">
        <f>IFERROR(VLOOKUP(D2870,'KAPANAN BLD.'!$C$2:$D$793,2,FALSE),0)</f>
        <v>0</v>
      </c>
      <c r="P2870" s="79">
        <v>0</v>
      </c>
    </row>
    <row r="2871" spans="1:16" x14ac:dyDescent="0.25">
      <c r="A2871" t="s">
        <v>32</v>
      </c>
      <c r="B2871" s="73" t="str">
        <f>VLOOKUP(C2871,'Büyükşehir List'!$C$2:$D$31,2,FALSE)</f>
        <v>TEKİRDAĞ BÜYÜKŞEHİR</v>
      </c>
      <c r="C2871" t="s">
        <v>137</v>
      </c>
      <c r="D2871" s="73" t="str">
        <f t="shared" si="66"/>
        <v>TEKİRDAĞ BÜYÜKŞEHİR/TEKİRDAĞ</v>
      </c>
      <c r="E2871" t="s">
        <v>283</v>
      </c>
      <c r="F2871" t="s">
        <v>283</v>
      </c>
      <c r="G2871" t="s">
        <v>3367</v>
      </c>
      <c r="H2871">
        <v>6891.26</v>
      </c>
      <c r="I2871">
        <v>689.12</v>
      </c>
      <c r="J2871">
        <v>0</v>
      </c>
      <c r="K2871">
        <v>0</v>
      </c>
      <c r="L2871">
        <v>6891.26</v>
      </c>
      <c r="M2871">
        <v>689.12</v>
      </c>
      <c r="O2871" s="79">
        <f>IFERROR(VLOOKUP(D2871,'KAPANAN BLD.'!$C$2:$D$793,2,FALSE),0)</f>
        <v>0</v>
      </c>
      <c r="P2871" s="79">
        <v>0</v>
      </c>
    </row>
    <row r="2872" spans="1:16" x14ac:dyDescent="0.25">
      <c r="A2872" t="s">
        <v>32</v>
      </c>
      <c r="B2872" s="73" t="str">
        <f>VLOOKUP(C2872,'Büyükşehir List'!$C$2:$D$31,2,FALSE)</f>
        <v>TEKİRDAĞ BÜYÜKŞEHİR</v>
      </c>
      <c r="C2872" t="s">
        <v>137</v>
      </c>
      <c r="D2872" s="73" t="str">
        <f t="shared" si="66"/>
        <v>TEKİRDAĞ BÜYÜKŞEHİR/TEKİRDAĞ</v>
      </c>
      <c r="E2872" t="s">
        <v>283</v>
      </c>
      <c r="F2872" t="s">
        <v>283</v>
      </c>
      <c r="G2872" t="s">
        <v>3366</v>
      </c>
      <c r="H2872">
        <v>7557.6</v>
      </c>
      <c r="I2872">
        <v>755.76</v>
      </c>
      <c r="J2872">
        <v>0</v>
      </c>
      <c r="K2872">
        <v>0</v>
      </c>
      <c r="L2872">
        <v>7557.6</v>
      </c>
      <c r="M2872">
        <v>755.76</v>
      </c>
      <c r="O2872" s="79">
        <f>IFERROR(VLOOKUP(D2872,'KAPANAN BLD.'!$C$2:$D$793,2,FALSE),0)</f>
        <v>0</v>
      </c>
      <c r="P2872" s="79">
        <v>0</v>
      </c>
    </row>
    <row r="2873" spans="1:16" x14ac:dyDescent="0.25">
      <c r="A2873" t="s">
        <v>32</v>
      </c>
      <c r="B2873" s="73" t="str">
        <f>VLOOKUP(C2873,'Büyükşehir List'!$C$2:$D$31,2,FALSE)</f>
        <v>TEKİRDAĞ BÜYÜKŞEHİR</v>
      </c>
      <c r="C2873" t="s">
        <v>137</v>
      </c>
      <c r="D2873" s="73" t="str">
        <f t="shared" si="66"/>
        <v>TEKİRDAĞ BÜYÜKŞEHİR/TEKİRDAĞ</v>
      </c>
      <c r="E2873" t="s">
        <v>3863</v>
      </c>
      <c r="F2873" t="s">
        <v>3863</v>
      </c>
      <c r="G2873" t="s">
        <v>3366</v>
      </c>
      <c r="H2873">
        <v>907.7</v>
      </c>
      <c r="I2873">
        <v>90.77</v>
      </c>
      <c r="J2873">
        <v>1</v>
      </c>
      <c r="K2873">
        <v>0.1</v>
      </c>
      <c r="L2873">
        <v>906.7</v>
      </c>
      <c r="M2873">
        <v>90.67</v>
      </c>
      <c r="O2873" s="79">
        <f>IFERROR(VLOOKUP(D2873,'KAPANAN BLD.'!$C$2:$D$793,2,FALSE),0)</f>
        <v>0</v>
      </c>
      <c r="P2873" s="79">
        <v>0</v>
      </c>
    </row>
    <row r="2874" spans="1:16" x14ac:dyDescent="0.25">
      <c r="A2874" t="s">
        <v>32</v>
      </c>
      <c r="B2874" s="73" t="str">
        <f>VLOOKUP(C2874,'Büyükşehir List'!$C$2:$D$31,2,FALSE)</f>
        <v>TEKİRDAĞ BÜYÜKŞEHİR</v>
      </c>
      <c r="C2874" t="s">
        <v>137</v>
      </c>
      <c r="D2874" s="73" t="str">
        <f t="shared" si="66"/>
        <v>TEKİRDAĞ BÜYÜKŞEHİR/TEKİRDAĞ</v>
      </c>
      <c r="E2874" t="s">
        <v>3863</v>
      </c>
      <c r="F2874" t="s">
        <v>3863</v>
      </c>
      <c r="G2874" t="s">
        <v>3367</v>
      </c>
      <c r="H2874">
        <v>2897.5</v>
      </c>
      <c r="I2874">
        <v>289.75</v>
      </c>
      <c r="J2874">
        <v>0</v>
      </c>
      <c r="K2874">
        <v>0</v>
      </c>
      <c r="L2874">
        <v>2897.5</v>
      </c>
      <c r="M2874">
        <v>289.75</v>
      </c>
      <c r="O2874" s="79">
        <f>IFERROR(VLOOKUP(D2874,'KAPANAN BLD.'!$C$2:$D$793,2,FALSE),0)</f>
        <v>0</v>
      </c>
      <c r="P2874" s="79">
        <v>0</v>
      </c>
    </row>
    <row r="2875" spans="1:16" x14ac:dyDescent="0.25">
      <c r="A2875" t="s">
        <v>32</v>
      </c>
      <c r="B2875" s="73" t="str">
        <f>VLOOKUP(C2875,'Büyükşehir List'!$C$2:$D$31,2,FALSE)</f>
        <v>TEKİRDAĞ BÜYÜKŞEHİR</v>
      </c>
      <c r="C2875" t="s">
        <v>137</v>
      </c>
      <c r="D2875" s="73" t="str">
        <f t="shared" si="66"/>
        <v>TEKİRDAĞ BÜYÜKŞEHİR/TEKİRDAĞ</v>
      </c>
      <c r="E2875" t="s">
        <v>4038</v>
      </c>
      <c r="F2875" t="s">
        <v>4038</v>
      </c>
      <c r="G2875" t="s">
        <v>3366</v>
      </c>
      <c r="H2875">
        <v>406.4</v>
      </c>
      <c r="I2875">
        <v>40.64</v>
      </c>
      <c r="J2875">
        <v>0</v>
      </c>
      <c r="K2875">
        <v>0</v>
      </c>
      <c r="L2875">
        <v>406.4</v>
      </c>
      <c r="M2875">
        <v>40.64</v>
      </c>
      <c r="O2875" s="79">
        <f>IFERROR(VLOOKUP(D2875,'KAPANAN BLD.'!$C$2:$D$793,2,FALSE),0)</f>
        <v>0</v>
      </c>
      <c r="P2875" s="79">
        <v>0</v>
      </c>
    </row>
    <row r="2876" spans="1:16" x14ac:dyDescent="0.25">
      <c r="A2876" t="s">
        <v>32</v>
      </c>
      <c r="B2876" s="73" t="str">
        <f>VLOOKUP(C2876,'Büyükşehir List'!$C$2:$D$31,2,FALSE)</f>
        <v>TEKİRDAĞ BÜYÜKŞEHİR</v>
      </c>
      <c r="C2876" t="s">
        <v>137</v>
      </c>
      <c r="D2876" s="73" t="str">
        <f t="shared" si="66"/>
        <v>TEKİRDAĞ BÜYÜKŞEHİR/TEKİRDAĞ</v>
      </c>
      <c r="E2876" t="s">
        <v>4038</v>
      </c>
      <c r="F2876" t="s">
        <v>4038</v>
      </c>
      <c r="G2876" t="s">
        <v>3367</v>
      </c>
      <c r="H2876">
        <v>51.6</v>
      </c>
      <c r="I2876">
        <v>5.16</v>
      </c>
      <c r="J2876">
        <v>0</v>
      </c>
      <c r="K2876">
        <v>0</v>
      </c>
      <c r="L2876">
        <v>51.6</v>
      </c>
      <c r="M2876">
        <v>5.16</v>
      </c>
      <c r="O2876" s="79">
        <f>IFERROR(VLOOKUP(D2876,'KAPANAN BLD.'!$C$2:$D$793,2,FALSE),0)</f>
        <v>0</v>
      </c>
      <c r="P2876" s="79">
        <v>0</v>
      </c>
    </row>
    <row r="2877" spans="1:16" x14ac:dyDescent="0.25">
      <c r="A2877" t="s">
        <v>32</v>
      </c>
      <c r="B2877" s="73" t="str">
        <f>VLOOKUP(C2877,'Büyükşehir List'!$C$2:$D$31,2,FALSE)</f>
        <v>TEKİRDAĞ BÜYÜKŞEHİR</v>
      </c>
      <c r="C2877" t="s">
        <v>137</v>
      </c>
      <c r="D2877" s="73" t="str">
        <f t="shared" si="66"/>
        <v>TEKİRDAĞ BÜYÜKŞEHİR/TEKİRDAĞ</v>
      </c>
      <c r="E2877" t="s">
        <v>146</v>
      </c>
      <c r="F2877" t="s">
        <v>146</v>
      </c>
      <c r="G2877" t="s">
        <v>3366</v>
      </c>
      <c r="H2877">
        <v>1318.5</v>
      </c>
      <c r="I2877">
        <v>131.85</v>
      </c>
      <c r="J2877">
        <v>79.599999999999994</v>
      </c>
      <c r="K2877">
        <v>7.96</v>
      </c>
      <c r="L2877">
        <v>1238.9000000000001</v>
      </c>
      <c r="M2877">
        <v>123.89</v>
      </c>
      <c r="O2877" s="79">
        <f>IFERROR(VLOOKUP(D2877,'KAPANAN BLD.'!$C$2:$D$793,2,FALSE),0)</f>
        <v>0</v>
      </c>
      <c r="P2877" s="79">
        <v>0</v>
      </c>
    </row>
    <row r="2878" spans="1:16" x14ac:dyDescent="0.25">
      <c r="A2878" t="s">
        <v>32</v>
      </c>
      <c r="B2878" s="73" t="str">
        <f>VLOOKUP(C2878,'Büyükşehir List'!$C$2:$D$31,2,FALSE)</f>
        <v>TEKİRDAĞ BÜYÜKŞEHİR</v>
      </c>
      <c r="C2878" t="s">
        <v>137</v>
      </c>
      <c r="D2878" s="73" t="str">
        <f t="shared" si="66"/>
        <v>TEKİRDAĞ BÜYÜKŞEHİR/TEKİRDAĞ</v>
      </c>
      <c r="E2878" t="s">
        <v>146</v>
      </c>
      <c r="F2878" t="s">
        <v>146</v>
      </c>
      <c r="G2878" t="s">
        <v>3367</v>
      </c>
      <c r="H2878">
        <v>2462.9</v>
      </c>
      <c r="I2878">
        <v>246.29</v>
      </c>
      <c r="J2878">
        <v>501.5</v>
      </c>
      <c r="K2878">
        <v>50.15</v>
      </c>
      <c r="L2878">
        <v>1961.4</v>
      </c>
      <c r="M2878">
        <v>196.14</v>
      </c>
      <c r="O2878" s="79">
        <f>IFERROR(VLOOKUP(D2878,'KAPANAN BLD.'!$C$2:$D$793,2,FALSE),0)</f>
        <v>0</v>
      </c>
      <c r="P2878" s="79">
        <v>0</v>
      </c>
    </row>
    <row r="2879" spans="1:16" x14ac:dyDescent="0.25">
      <c r="A2879" t="s">
        <v>32</v>
      </c>
      <c r="B2879" s="73" t="str">
        <f>VLOOKUP(C2879,'Büyükşehir List'!$C$2:$D$31,2,FALSE)</f>
        <v>TEKİRDAĞ BÜYÜKŞEHİR</v>
      </c>
      <c r="C2879" t="s">
        <v>137</v>
      </c>
      <c r="D2879" s="73" t="str">
        <f t="shared" si="66"/>
        <v>TEKİRDAĞ BÜYÜKŞEHİR/TEKİRDAĞ</v>
      </c>
      <c r="E2879" t="s">
        <v>477</v>
      </c>
      <c r="F2879" t="s">
        <v>477</v>
      </c>
      <c r="G2879" t="s">
        <v>3366</v>
      </c>
      <c r="H2879">
        <v>24608.1</v>
      </c>
      <c r="I2879">
        <v>2460.81</v>
      </c>
      <c r="J2879">
        <v>105.9</v>
      </c>
      <c r="K2879">
        <v>10.59</v>
      </c>
      <c r="L2879">
        <v>24502.2</v>
      </c>
      <c r="M2879">
        <v>2450.2199999999998</v>
      </c>
      <c r="O2879" s="79">
        <f>IFERROR(VLOOKUP(D2879,'KAPANAN BLD.'!$C$2:$D$793,2,FALSE),0)</f>
        <v>0</v>
      </c>
      <c r="P2879" s="79">
        <v>0</v>
      </c>
    </row>
    <row r="2880" spans="1:16" x14ac:dyDescent="0.25">
      <c r="A2880" t="s">
        <v>32</v>
      </c>
      <c r="B2880" s="73" t="str">
        <f>VLOOKUP(C2880,'Büyükşehir List'!$C$2:$D$31,2,FALSE)</f>
        <v>TEKİRDAĞ BÜYÜKŞEHİR</v>
      </c>
      <c r="C2880" t="s">
        <v>137</v>
      </c>
      <c r="D2880" s="73" t="str">
        <f t="shared" si="66"/>
        <v>TEKİRDAĞ BÜYÜKŞEHİR/TEKİRDAĞ</v>
      </c>
      <c r="E2880" t="s">
        <v>477</v>
      </c>
      <c r="F2880" t="s">
        <v>477</v>
      </c>
      <c r="G2880" t="s">
        <v>3367</v>
      </c>
      <c r="H2880">
        <v>13445.2</v>
      </c>
      <c r="I2880">
        <v>1344.52</v>
      </c>
      <c r="J2880">
        <v>319.89999999999998</v>
      </c>
      <c r="K2880">
        <v>31.99</v>
      </c>
      <c r="L2880">
        <v>13125.3</v>
      </c>
      <c r="M2880">
        <v>1312.53</v>
      </c>
      <c r="O2880" s="79">
        <f>IFERROR(VLOOKUP(D2880,'KAPANAN BLD.'!$C$2:$D$793,2,FALSE),0)</f>
        <v>0</v>
      </c>
      <c r="P2880" s="79">
        <v>0</v>
      </c>
    </row>
    <row r="2881" spans="1:16" x14ac:dyDescent="0.25">
      <c r="A2881" t="s">
        <v>32</v>
      </c>
      <c r="B2881" s="73" t="str">
        <f>VLOOKUP(C2881,'Büyükşehir List'!$C$2:$D$31,2,FALSE)</f>
        <v>TEKİRDAĞ BÜYÜKŞEHİR</v>
      </c>
      <c r="C2881" t="s">
        <v>137</v>
      </c>
      <c r="D2881" s="73" t="str">
        <f t="shared" si="66"/>
        <v>TEKİRDAĞ BÜYÜKŞEHİR/TEKİRDAĞ</v>
      </c>
      <c r="E2881" t="s">
        <v>1790</v>
      </c>
      <c r="F2881" t="s">
        <v>1790</v>
      </c>
      <c r="G2881" t="s">
        <v>3366</v>
      </c>
      <c r="H2881">
        <v>3527.8</v>
      </c>
      <c r="I2881">
        <v>352.78</v>
      </c>
      <c r="J2881">
        <v>0</v>
      </c>
      <c r="K2881">
        <v>0</v>
      </c>
      <c r="L2881">
        <v>3527.8</v>
      </c>
      <c r="M2881">
        <v>352.78</v>
      </c>
      <c r="O2881" s="79">
        <f>IFERROR(VLOOKUP(D2881,'KAPANAN BLD.'!$C$2:$D$793,2,FALSE),0)</f>
        <v>0</v>
      </c>
      <c r="P2881" s="79">
        <v>0</v>
      </c>
    </row>
    <row r="2882" spans="1:16" x14ac:dyDescent="0.25">
      <c r="A2882" t="s">
        <v>32</v>
      </c>
      <c r="B2882" s="73" t="str">
        <f>VLOOKUP(C2882,'Büyükşehir List'!$C$2:$D$31,2,FALSE)</f>
        <v>TEKİRDAĞ BÜYÜKŞEHİR</v>
      </c>
      <c r="C2882" t="s">
        <v>137</v>
      </c>
      <c r="D2882" s="73" t="str">
        <f t="shared" si="66"/>
        <v>TEKİRDAĞ BÜYÜKŞEHİR/TEKİRDAĞ</v>
      </c>
      <c r="E2882" t="s">
        <v>1790</v>
      </c>
      <c r="F2882" t="s">
        <v>1790</v>
      </c>
      <c r="G2882" t="s">
        <v>3367</v>
      </c>
      <c r="H2882">
        <v>1214.92</v>
      </c>
      <c r="I2882">
        <v>121.49</v>
      </c>
      <c r="J2882">
        <v>0</v>
      </c>
      <c r="K2882">
        <v>0</v>
      </c>
      <c r="L2882">
        <v>1214.92</v>
      </c>
      <c r="M2882">
        <v>121.49</v>
      </c>
      <c r="O2882" s="79">
        <f>IFERROR(VLOOKUP(D2882,'KAPANAN BLD.'!$C$2:$D$793,2,FALSE),0)</f>
        <v>0</v>
      </c>
      <c r="P2882" s="79">
        <v>0</v>
      </c>
    </row>
    <row r="2883" spans="1:16" x14ac:dyDescent="0.25">
      <c r="A2883" t="s">
        <v>32</v>
      </c>
      <c r="B2883" s="73" t="str">
        <f>VLOOKUP(C2883,'Büyükşehir List'!$C$2:$D$31,2,FALSE)</f>
        <v>TEKİRDAĞ BÜYÜKŞEHİR</v>
      </c>
      <c r="C2883" t="s">
        <v>137</v>
      </c>
      <c r="D2883" s="73" t="str">
        <f t="shared" ref="D2883:D2946" si="68">CONCATENATE(B2883,"/",C2883)</f>
        <v>TEKİRDAĞ BÜYÜKŞEHİR/TEKİRDAĞ</v>
      </c>
      <c r="E2883" t="s">
        <v>687</v>
      </c>
      <c r="F2883" t="s">
        <v>687</v>
      </c>
      <c r="G2883" t="s">
        <v>3366</v>
      </c>
      <c r="H2883">
        <v>926.6</v>
      </c>
      <c r="I2883">
        <v>92.66</v>
      </c>
      <c r="J2883">
        <v>143.19999999999999</v>
      </c>
      <c r="K2883">
        <v>14.32</v>
      </c>
      <c r="L2883">
        <v>783.4</v>
      </c>
      <c r="M2883">
        <v>78.34</v>
      </c>
      <c r="O2883" s="79">
        <f>IFERROR(VLOOKUP(D2883,'KAPANAN BLD.'!$C$2:$D$793,2,FALSE),0)</f>
        <v>0</v>
      </c>
      <c r="P2883" s="79">
        <v>0</v>
      </c>
    </row>
    <row r="2884" spans="1:16" x14ac:dyDescent="0.25">
      <c r="A2884" t="s">
        <v>32</v>
      </c>
      <c r="B2884" s="73" t="str">
        <f>VLOOKUP(C2884,'Büyükşehir List'!$C$2:$D$31,2,FALSE)</f>
        <v>TEKİRDAĞ BÜYÜKŞEHİR</v>
      </c>
      <c r="C2884" t="s">
        <v>137</v>
      </c>
      <c r="D2884" s="73" t="str">
        <f t="shared" si="68"/>
        <v>TEKİRDAĞ BÜYÜKŞEHİR/TEKİRDAĞ</v>
      </c>
      <c r="E2884" t="s">
        <v>687</v>
      </c>
      <c r="F2884" t="s">
        <v>687</v>
      </c>
      <c r="G2884" t="s">
        <v>3367</v>
      </c>
      <c r="H2884">
        <v>3507.2</v>
      </c>
      <c r="I2884">
        <v>350.72</v>
      </c>
      <c r="J2884">
        <v>1000.6</v>
      </c>
      <c r="K2884">
        <v>100.06</v>
      </c>
      <c r="L2884">
        <v>2506.6</v>
      </c>
      <c r="M2884">
        <v>250.66</v>
      </c>
      <c r="O2884" s="79">
        <f>IFERROR(VLOOKUP(D2884,'KAPANAN BLD.'!$C$2:$D$793,2,FALSE),0)</f>
        <v>0</v>
      </c>
      <c r="P2884" s="79">
        <v>0</v>
      </c>
    </row>
    <row r="2885" spans="1:16" x14ac:dyDescent="0.25">
      <c r="A2885" t="s">
        <v>32</v>
      </c>
      <c r="B2885" s="73" t="str">
        <f>VLOOKUP(C2885,'Büyükşehir List'!$C$2:$D$31,2,FALSE)</f>
        <v>TEKİRDAĞ BÜYÜKŞEHİR</v>
      </c>
      <c r="C2885" t="s">
        <v>137</v>
      </c>
      <c r="D2885" s="73" t="str">
        <f t="shared" si="68"/>
        <v>TEKİRDAĞ BÜYÜKŞEHİR/TEKİRDAĞ</v>
      </c>
      <c r="E2885" t="s">
        <v>90</v>
      </c>
      <c r="F2885" t="s">
        <v>90</v>
      </c>
      <c r="G2885" t="s">
        <v>3366</v>
      </c>
      <c r="H2885">
        <v>857.2</v>
      </c>
      <c r="I2885">
        <v>85.72</v>
      </c>
      <c r="J2885">
        <v>65.3</v>
      </c>
      <c r="K2885">
        <v>6.53</v>
      </c>
      <c r="L2885">
        <v>791.9</v>
      </c>
      <c r="M2885">
        <v>79.19</v>
      </c>
      <c r="O2885" s="79">
        <f>IFERROR(VLOOKUP(D2885,'KAPANAN BLD.'!$C$2:$D$793,2,FALSE),0)</f>
        <v>0</v>
      </c>
      <c r="P2885" s="79">
        <v>0</v>
      </c>
    </row>
    <row r="2886" spans="1:16" x14ac:dyDescent="0.25">
      <c r="A2886" t="s">
        <v>32</v>
      </c>
      <c r="B2886" s="73" t="str">
        <f>VLOOKUP(C2886,'Büyükşehir List'!$C$2:$D$31,2,FALSE)</f>
        <v>TEKİRDAĞ BÜYÜKŞEHİR</v>
      </c>
      <c r="C2886" t="s">
        <v>137</v>
      </c>
      <c r="D2886" s="73" t="str">
        <f t="shared" si="68"/>
        <v>TEKİRDAĞ BÜYÜKŞEHİR/TEKİRDAĞ</v>
      </c>
      <c r="E2886" t="s">
        <v>90</v>
      </c>
      <c r="F2886" t="s">
        <v>90</v>
      </c>
      <c r="G2886" t="s">
        <v>3367</v>
      </c>
      <c r="H2886">
        <v>5223.8</v>
      </c>
      <c r="I2886">
        <v>522.38</v>
      </c>
      <c r="J2886">
        <v>381.4</v>
      </c>
      <c r="K2886">
        <v>38.14</v>
      </c>
      <c r="L2886">
        <v>4842.3999999999996</v>
      </c>
      <c r="M2886">
        <v>484.24</v>
      </c>
      <c r="O2886" s="79">
        <f>IFERROR(VLOOKUP(D2886,'KAPANAN BLD.'!$C$2:$D$793,2,FALSE),0)</f>
        <v>0</v>
      </c>
      <c r="P2886" s="79">
        <v>0</v>
      </c>
    </row>
    <row r="2887" spans="1:16" x14ac:dyDescent="0.25">
      <c r="A2887" t="s">
        <v>32</v>
      </c>
      <c r="B2887" s="73" t="str">
        <f>VLOOKUP(C2887,'Büyükşehir List'!$C$2:$D$31,2,FALSE)</f>
        <v>TEKİRDAĞ BÜYÜKŞEHİR</v>
      </c>
      <c r="C2887" t="s">
        <v>137</v>
      </c>
      <c r="D2887" s="73" t="str">
        <f t="shared" si="68"/>
        <v>TEKİRDAĞ BÜYÜKŞEHİR/TEKİRDAĞ</v>
      </c>
      <c r="E2887" t="s">
        <v>3009</v>
      </c>
      <c r="F2887" t="s">
        <v>3009</v>
      </c>
      <c r="G2887" t="s">
        <v>3366</v>
      </c>
      <c r="H2887">
        <v>1565.5</v>
      </c>
      <c r="I2887">
        <v>156.55000000000001</v>
      </c>
      <c r="J2887">
        <v>0</v>
      </c>
      <c r="K2887">
        <v>0</v>
      </c>
      <c r="L2887">
        <v>1565.5</v>
      </c>
      <c r="M2887">
        <v>156.55000000000001</v>
      </c>
      <c r="O2887" s="79">
        <f>IFERROR(VLOOKUP(D2887,'KAPANAN BLD.'!$C$2:$D$793,2,FALSE),0)</f>
        <v>0</v>
      </c>
      <c r="P2887" s="79">
        <v>0</v>
      </c>
    </row>
    <row r="2888" spans="1:16" x14ac:dyDescent="0.25">
      <c r="A2888" t="s">
        <v>32</v>
      </c>
      <c r="B2888" s="73" t="str">
        <f>VLOOKUP(C2888,'Büyükşehir List'!$C$2:$D$31,2,FALSE)</f>
        <v>TEKİRDAĞ BÜYÜKŞEHİR</v>
      </c>
      <c r="C2888" t="s">
        <v>137</v>
      </c>
      <c r="D2888" s="73" t="str">
        <f t="shared" si="68"/>
        <v>TEKİRDAĞ BÜYÜKŞEHİR/TEKİRDAĞ</v>
      </c>
      <c r="E2888" t="s">
        <v>3009</v>
      </c>
      <c r="F2888" t="s">
        <v>3009</v>
      </c>
      <c r="G2888" t="s">
        <v>3367</v>
      </c>
      <c r="H2888">
        <v>4455.8</v>
      </c>
      <c r="I2888">
        <v>445.58</v>
      </c>
      <c r="J2888">
        <v>0</v>
      </c>
      <c r="K2888">
        <v>0</v>
      </c>
      <c r="L2888">
        <v>4455.8</v>
      </c>
      <c r="M2888">
        <v>445.58</v>
      </c>
      <c r="O2888" s="79">
        <f>IFERROR(VLOOKUP(D2888,'KAPANAN BLD.'!$C$2:$D$793,2,FALSE),0)</f>
        <v>0</v>
      </c>
      <c r="P2888" s="79">
        <v>0</v>
      </c>
    </row>
    <row r="2889" spans="1:16" x14ac:dyDescent="0.25">
      <c r="A2889" t="s">
        <v>32</v>
      </c>
      <c r="B2889" s="73" t="str">
        <f t="shared" ref="B2889:B2952" si="69">F2889</f>
        <v>ALMUS</v>
      </c>
      <c r="C2889" t="s">
        <v>188</v>
      </c>
      <c r="D2889" s="73" t="str">
        <f t="shared" si="68"/>
        <v>ALMUS/TOKAT</v>
      </c>
      <c r="E2889" s="9" t="s">
        <v>2159</v>
      </c>
      <c r="F2889" s="9" t="s">
        <v>2159</v>
      </c>
      <c r="G2889" t="s">
        <v>3366</v>
      </c>
      <c r="H2889">
        <v>0</v>
      </c>
      <c r="I2889">
        <v>0</v>
      </c>
      <c r="J2889">
        <v>220.7</v>
      </c>
      <c r="K2889">
        <v>22.07</v>
      </c>
      <c r="L2889">
        <v>-220.7</v>
      </c>
      <c r="M2889">
        <v>-22.07</v>
      </c>
      <c r="O2889" s="79">
        <f>IFERROR(VLOOKUP(D2889,'KAPANAN BLD.'!$C$2:$D$793,2,FALSE),0)</f>
        <v>0</v>
      </c>
      <c r="P2889" s="79">
        <v>0</v>
      </c>
    </row>
    <row r="2890" spans="1:16" x14ac:dyDescent="0.25">
      <c r="A2890" t="s">
        <v>32</v>
      </c>
      <c r="B2890" s="73" t="str">
        <f t="shared" si="69"/>
        <v>ALMUS</v>
      </c>
      <c r="C2890" t="s">
        <v>188</v>
      </c>
      <c r="D2890" s="73" t="str">
        <f t="shared" si="68"/>
        <v>ALMUS/TOKAT</v>
      </c>
      <c r="E2890" s="9" t="s">
        <v>2159</v>
      </c>
      <c r="F2890" s="9" t="s">
        <v>2159</v>
      </c>
      <c r="G2890" t="s">
        <v>3367</v>
      </c>
      <c r="H2890">
        <v>0</v>
      </c>
      <c r="I2890">
        <v>0</v>
      </c>
      <c r="J2890">
        <v>7.7</v>
      </c>
      <c r="K2890">
        <v>0.77</v>
      </c>
      <c r="L2890">
        <v>-7.7</v>
      </c>
      <c r="M2890">
        <v>-0.77</v>
      </c>
      <c r="O2890" s="79">
        <f>IFERROR(VLOOKUP(D2890,'KAPANAN BLD.'!$C$2:$D$793,2,FALSE),0)</f>
        <v>0</v>
      </c>
      <c r="P2890" s="79">
        <v>0</v>
      </c>
    </row>
    <row r="2891" spans="1:16" x14ac:dyDescent="0.25">
      <c r="A2891" t="s">
        <v>32</v>
      </c>
      <c r="B2891" s="73" t="str">
        <f t="shared" si="69"/>
        <v>ERBAA</v>
      </c>
      <c r="C2891" t="s">
        <v>188</v>
      </c>
      <c r="D2891" s="73" t="str">
        <f t="shared" si="68"/>
        <v>ERBAA/TOKAT</v>
      </c>
      <c r="E2891" s="9" t="s">
        <v>85</v>
      </c>
      <c r="F2891" s="9" t="s">
        <v>85</v>
      </c>
      <c r="G2891" t="s">
        <v>3367</v>
      </c>
      <c r="H2891">
        <v>72.7</v>
      </c>
      <c r="I2891">
        <v>7.27</v>
      </c>
      <c r="J2891">
        <v>0</v>
      </c>
      <c r="K2891">
        <v>0</v>
      </c>
      <c r="L2891">
        <v>72.7</v>
      </c>
      <c r="M2891">
        <v>7.27</v>
      </c>
      <c r="O2891" s="79">
        <f>IFERROR(VLOOKUP(D2891,'KAPANAN BLD.'!$C$2:$D$793,2,FALSE),0)</f>
        <v>0</v>
      </c>
      <c r="P2891" s="79">
        <v>0</v>
      </c>
    </row>
    <row r="2892" spans="1:16" x14ac:dyDescent="0.25">
      <c r="A2892" t="s">
        <v>32</v>
      </c>
      <c r="B2892" s="73" t="str">
        <f t="shared" si="69"/>
        <v>ERBAA</v>
      </c>
      <c r="C2892" t="s">
        <v>188</v>
      </c>
      <c r="D2892" s="73" t="str">
        <f t="shared" si="68"/>
        <v>ERBAA/TOKAT</v>
      </c>
      <c r="E2892" s="9" t="s">
        <v>85</v>
      </c>
      <c r="F2892" s="9" t="s">
        <v>85</v>
      </c>
      <c r="G2892" t="s">
        <v>3366</v>
      </c>
      <c r="H2892">
        <v>25.6</v>
      </c>
      <c r="I2892">
        <v>2.56</v>
      </c>
      <c r="J2892">
        <v>0</v>
      </c>
      <c r="K2892">
        <v>0</v>
      </c>
      <c r="L2892">
        <v>25.6</v>
      </c>
      <c r="M2892">
        <v>2.56</v>
      </c>
      <c r="O2892" s="79">
        <f>IFERROR(VLOOKUP(D2892,'KAPANAN BLD.'!$C$2:$D$793,2,FALSE),0)</f>
        <v>0</v>
      </c>
      <c r="P2892" s="79">
        <v>0</v>
      </c>
    </row>
    <row r="2893" spans="1:16" x14ac:dyDescent="0.25">
      <c r="A2893" t="s">
        <v>32</v>
      </c>
      <c r="B2893" s="73" t="str">
        <f t="shared" si="69"/>
        <v>ALMUS</v>
      </c>
      <c r="C2893" t="s">
        <v>188</v>
      </c>
      <c r="D2893" s="73" t="str">
        <f t="shared" si="68"/>
        <v>ALMUS/TOKAT</v>
      </c>
      <c r="E2893" s="9" t="s">
        <v>2159</v>
      </c>
      <c r="F2893" s="9" t="s">
        <v>2159</v>
      </c>
      <c r="G2893" t="s">
        <v>3366</v>
      </c>
      <c r="H2893">
        <v>103.3</v>
      </c>
      <c r="I2893">
        <v>10.33</v>
      </c>
      <c r="J2893">
        <v>0</v>
      </c>
      <c r="K2893">
        <v>0</v>
      </c>
      <c r="L2893">
        <v>103.3</v>
      </c>
      <c r="M2893">
        <v>10.33</v>
      </c>
      <c r="O2893" s="79">
        <f>IFERROR(VLOOKUP(D2893,'KAPANAN BLD.'!$C$2:$D$793,2,FALSE),0)</f>
        <v>0</v>
      </c>
      <c r="P2893" s="79">
        <v>0</v>
      </c>
    </row>
    <row r="2894" spans="1:16" x14ac:dyDescent="0.25">
      <c r="A2894" t="s">
        <v>32</v>
      </c>
      <c r="B2894" s="73" t="str">
        <f t="shared" si="69"/>
        <v>ALMUS</v>
      </c>
      <c r="C2894" t="s">
        <v>188</v>
      </c>
      <c r="D2894" s="73" t="str">
        <f t="shared" si="68"/>
        <v>ALMUS/TOKAT</v>
      </c>
      <c r="E2894" s="9" t="s">
        <v>2159</v>
      </c>
      <c r="F2894" s="9" t="s">
        <v>2159</v>
      </c>
      <c r="G2894" t="s">
        <v>3367</v>
      </c>
      <c r="H2894">
        <v>5.4</v>
      </c>
      <c r="I2894">
        <v>0.54</v>
      </c>
      <c r="J2894">
        <v>0</v>
      </c>
      <c r="K2894">
        <v>0</v>
      </c>
      <c r="L2894">
        <v>5.4</v>
      </c>
      <c r="M2894">
        <v>0.54</v>
      </c>
      <c r="O2894" s="79">
        <f>IFERROR(VLOOKUP(D2894,'KAPANAN BLD.'!$C$2:$D$793,2,FALSE),0)</f>
        <v>0</v>
      </c>
      <c r="P2894" s="79">
        <v>0</v>
      </c>
    </row>
    <row r="2895" spans="1:16" x14ac:dyDescent="0.25">
      <c r="A2895" t="s">
        <v>32</v>
      </c>
      <c r="B2895" s="73" t="str">
        <f t="shared" si="69"/>
        <v>MERKEZ</v>
      </c>
      <c r="C2895" t="s">
        <v>188</v>
      </c>
      <c r="D2895" s="73" t="str">
        <f t="shared" si="68"/>
        <v>MERKEZ/TOKAT</v>
      </c>
      <c r="E2895" s="9" t="s">
        <v>34</v>
      </c>
      <c r="F2895" s="9" t="s">
        <v>34</v>
      </c>
      <c r="G2895" t="s">
        <v>3367</v>
      </c>
      <c r="H2895">
        <v>849.8</v>
      </c>
      <c r="I2895">
        <v>84.98</v>
      </c>
      <c r="J2895">
        <v>0</v>
      </c>
      <c r="K2895">
        <v>0</v>
      </c>
      <c r="L2895">
        <v>849.8</v>
      </c>
      <c r="M2895">
        <v>84.98</v>
      </c>
      <c r="O2895" s="79">
        <f>IFERROR(VLOOKUP(D2895,'KAPANAN BLD.'!$C$2:$D$793,2,FALSE),0)</f>
        <v>0</v>
      </c>
      <c r="P2895" s="79">
        <v>0</v>
      </c>
    </row>
    <row r="2896" spans="1:16" x14ac:dyDescent="0.25">
      <c r="A2896" t="s">
        <v>32</v>
      </c>
      <c r="B2896" s="73" t="str">
        <f t="shared" si="69"/>
        <v>MERKEZ</v>
      </c>
      <c r="C2896" t="s">
        <v>188</v>
      </c>
      <c r="D2896" s="73" t="str">
        <f t="shared" si="68"/>
        <v>MERKEZ/TOKAT</v>
      </c>
      <c r="E2896" s="9" t="s">
        <v>34</v>
      </c>
      <c r="F2896" s="9" t="s">
        <v>34</v>
      </c>
      <c r="G2896" t="s">
        <v>3366</v>
      </c>
      <c r="H2896">
        <v>765.9</v>
      </c>
      <c r="I2896">
        <v>76.59</v>
      </c>
      <c r="J2896">
        <v>0</v>
      </c>
      <c r="K2896">
        <v>0</v>
      </c>
      <c r="L2896">
        <v>765.9</v>
      </c>
      <c r="M2896">
        <v>76.59</v>
      </c>
      <c r="O2896" s="79">
        <f>IFERROR(VLOOKUP(D2896,'KAPANAN BLD.'!$C$2:$D$793,2,FALSE),0)</f>
        <v>0</v>
      </c>
      <c r="P2896" s="79">
        <v>0</v>
      </c>
    </row>
    <row r="2897" spans="1:16" x14ac:dyDescent="0.25">
      <c r="A2897" t="s">
        <v>32</v>
      </c>
      <c r="B2897" s="73" t="str">
        <f t="shared" si="69"/>
        <v>REŞADİYE</v>
      </c>
      <c r="C2897" t="s">
        <v>188</v>
      </c>
      <c r="D2897" s="73" t="str">
        <f t="shared" si="68"/>
        <v>REŞADİYE/TOKAT</v>
      </c>
      <c r="E2897" s="9" t="s">
        <v>2160</v>
      </c>
      <c r="F2897" s="9" t="s">
        <v>2160</v>
      </c>
      <c r="G2897" t="s">
        <v>3367</v>
      </c>
      <c r="H2897">
        <v>415.6</v>
      </c>
      <c r="I2897">
        <v>41.56</v>
      </c>
      <c r="J2897">
        <v>191</v>
      </c>
      <c r="K2897">
        <v>19.100000000000001</v>
      </c>
      <c r="L2897">
        <v>224.6</v>
      </c>
      <c r="M2897">
        <v>22.46</v>
      </c>
      <c r="O2897" s="79">
        <f>IFERROR(VLOOKUP(D2897,'KAPANAN BLD.'!$C$2:$D$793,2,FALSE),0)</f>
        <v>0</v>
      </c>
      <c r="P2897" s="79">
        <v>0</v>
      </c>
    </row>
    <row r="2898" spans="1:16" x14ac:dyDescent="0.25">
      <c r="A2898" t="s">
        <v>32</v>
      </c>
      <c r="B2898" s="73" t="str">
        <f t="shared" si="69"/>
        <v>REŞADİYE</v>
      </c>
      <c r="C2898" t="s">
        <v>188</v>
      </c>
      <c r="D2898" s="73" t="str">
        <f t="shared" si="68"/>
        <v>REŞADİYE/TOKAT</v>
      </c>
      <c r="E2898" s="9" t="s">
        <v>2160</v>
      </c>
      <c r="F2898" s="9" t="s">
        <v>2160</v>
      </c>
      <c r="G2898" t="s">
        <v>3366</v>
      </c>
      <c r="H2898">
        <v>1388.9</v>
      </c>
      <c r="I2898">
        <v>138.88999999999999</v>
      </c>
      <c r="J2898">
        <v>109.4</v>
      </c>
      <c r="K2898">
        <v>10.94</v>
      </c>
      <c r="L2898">
        <v>1279.5</v>
      </c>
      <c r="M2898">
        <v>127.95</v>
      </c>
      <c r="O2898" s="79">
        <f>IFERROR(VLOOKUP(D2898,'KAPANAN BLD.'!$C$2:$D$793,2,FALSE),0)</f>
        <v>0</v>
      </c>
      <c r="P2898" s="79">
        <v>0</v>
      </c>
    </row>
    <row r="2899" spans="1:16" x14ac:dyDescent="0.25">
      <c r="A2899" t="s">
        <v>32</v>
      </c>
      <c r="B2899" s="73" t="str">
        <f t="shared" si="69"/>
        <v>MERKEZ</v>
      </c>
      <c r="C2899" t="s">
        <v>188</v>
      </c>
      <c r="D2899" s="73" t="str">
        <f t="shared" si="68"/>
        <v>MERKEZ/TOKAT</v>
      </c>
      <c r="E2899" s="9" t="s">
        <v>34</v>
      </c>
      <c r="F2899" s="9" t="s">
        <v>34</v>
      </c>
      <c r="G2899" t="s">
        <v>3366</v>
      </c>
      <c r="H2899">
        <v>2876.5</v>
      </c>
      <c r="I2899">
        <v>287.64999999999998</v>
      </c>
      <c r="J2899">
        <v>0</v>
      </c>
      <c r="K2899">
        <v>0</v>
      </c>
      <c r="L2899">
        <v>2876.5</v>
      </c>
      <c r="M2899">
        <v>287.64999999999998</v>
      </c>
      <c r="O2899" s="79">
        <f>IFERROR(VLOOKUP(D2899,'KAPANAN BLD.'!$C$2:$D$793,2,FALSE),0)</f>
        <v>0</v>
      </c>
      <c r="P2899" s="79">
        <v>0</v>
      </c>
    </row>
    <row r="2900" spans="1:16" x14ac:dyDescent="0.25">
      <c r="A2900" t="s">
        <v>32</v>
      </c>
      <c r="B2900" s="73" t="str">
        <f t="shared" si="69"/>
        <v>MERKEZ</v>
      </c>
      <c r="C2900" t="s">
        <v>188</v>
      </c>
      <c r="D2900" s="73" t="str">
        <f t="shared" si="68"/>
        <v>MERKEZ/TOKAT</v>
      </c>
      <c r="E2900" s="9" t="s">
        <v>34</v>
      </c>
      <c r="F2900" s="9" t="s">
        <v>34</v>
      </c>
      <c r="G2900" t="s">
        <v>3367</v>
      </c>
      <c r="H2900">
        <v>2239.3000000000002</v>
      </c>
      <c r="I2900">
        <v>223.93</v>
      </c>
      <c r="J2900">
        <v>0</v>
      </c>
      <c r="K2900">
        <v>0</v>
      </c>
      <c r="L2900">
        <v>2239.3000000000002</v>
      </c>
      <c r="M2900">
        <v>223.93</v>
      </c>
      <c r="O2900" s="79">
        <f>IFERROR(VLOOKUP(D2900,'KAPANAN BLD.'!$C$2:$D$793,2,FALSE),0)</f>
        <v>0</v>
      </c>
      <c r="P2900" s="79">
        <v>0</v>
      </c>
    </row>
    <row r="2901" spans="1:16" x14ac:dyDescent="0.25">
      <c r="A2901" t="s">
        <v>32</v>
      </c>
      <c r="B2901" s="73" t="str">
        <f t="shared" si="69"/>
        <v>REŞADİYE</v>
      </c>
      <c r="C2901" t="s">
        <v>188</v>
      </c>
      <c r="D2901" s="73" t="str">
        <f t="shared" si="68"/>
        <v>REŞADİYE/TOKAT</v>
      </c>
      <c r="E2901" s="9" t="s">
        <v>2160</v>
      </c>
      <c r="F2901" s="9" t="s">
        <v>2160</v>
      </c>
      <c r="G2901" t="s">
        <v>3367</v>
      </c>
      <c r="H2901">
        <v>16.3</v>
      </c>
      <c r="I2901">
        <v>1.63</v>
      </c>
      <c r="J2901">
        <v>0</v>
      </c>
      <c r="K2901">
        <v>0</v>
      </c>
      <c r="L2901">
        <v>16.3</v>
      </c>
      <c r="M2901">
        <v>1.63</v>
      </c>
      <c r="O2901" s="79">
        <f>IFERROR(VLOOKUP(D2901,'KAPANAN BLD.'!$C$2:$D$793,2,FALSE),0)</f>
        <v>0</v>
      </c>
      <c r="P2901" s="79">
        <v>0</v>
      </c>
    </row>
    <row r="2902" spans="1:16" x14ac:dyDescent="0.25">
      <c r="A2902" t="s">
        <v>32</v>
      </c>
      <c r="B2902" s="73" t="str">
        <f t="shared" si="69"/>
        <v>REŞADİYE</v>
      </c>
      <c r="C2902" t="s">
        <v>188</v>
      </c>
      <c r="D2902" s="73" t="str">
        <f t="shared" si="68"/>
        <v>REŞADİYE/TOKAT</v>
      </c>
      <c r="E2902" s="9" t="s">
        <v>2160</v>
      </c>
      <c r="F2902" s="9" t="s">
        <v>2160</v>
      </c>
      <c r="G2902" t="s">
        <v>3366</v>
      </c>
      <c r="H2902">
        <v>108.9</v>
      </c>
      <c r="I2902">
        <v>10.89</v>
      </c>
      <c r="J2902">
        <v>0</v>
      </c>
      <c r="K2902">
        <v>0</v>
      </c>
      <c r="L2902">
        <v>108.9</v>
      </c>
      <c r="M2902">
        <v>10.89</v>
      </c>
      <c r="O2902" s="79">
        <f>IFERROR(VLOOKUP(D2902,'KAPANAN BLD.'!$C$2:$D$793,2,FALSE),0)</f>
        <v>0</v>
      </c>
      <c r="P2902" s="79">
        <v>0</v>
      </c>
    </row>
    <row r="2903" spans="1:16" x14ac:dyDescent="0.25">
      <c r="A2903" t="s">
        <v>32</v>
      </c>
      <c r="B2903" s="73" t="str">
        <f t="shared" si="69"/>
        <v>MERKEZ</v>
      </c>
      <c r="C2903" t="s">
        <v>188</v>
      </c>
      <c r="D2903" s="73" t="str">
        <f t="shared" si="68"/>
        <v>MERKEZ/TOKAT</v>
      </c>
      <c r="E2903" s="9" t="s">
        <v>34</v>
      </c>
      <c r="F2903" s="9" t="s">
        <v>34</v>
      </c>
      <c r="G2903" t="s">
        <v>3367</v>
      </c>
      <c r="H2903">
        <v>440</v>
      </c>
      <c r="I2903">
        <v>44</v>
      </c>
      <c r="J2903">
        <v>0</v>
      </c>
      <c r="K2903">
        <v>0</v>
      </c>
      <c r="L2903">
        <v>440</v>
      </c>
      <c r="M2903">
        <v>44</v>
      </c>
      <c r="O2903" s="79">
        <f>IFERROR(VLOOKUP(D2903,'KAPANAN BLD.'!$C$2:$D$793,2,FALSE),0)</f>
        <v>0</v>
      </c>
      <c r="P2903" s="79">
        <v>0</v>
      </c>
    </row>
    <row r="2904" spans="1:16" x14ac:dyDescent="0.25">
      <c r="A2904" t="s">
        <v>32</v>
      </c>
      <c r="B2904" s="73" t="str">
        <f t="shared" si="69"/>
        <v>MERKEZ</v>
      </c>
      <c r="C2904" t="s">
        <v>188</v>
      </c>
      <c r="D2904" s="73" t="str">
        <f t="shared" si="68"/>
        <v>MERKEZ/TOKAT</v>
      </c>
      <c r="E2904" s="9" t="s">
        <v>34</v>
      </c>
      <c r="F2904" s="9" t="s">
        <v>34</v>
      </c>
      <c r="G2904" t="s">
        <v>3366</v>
      </c>
      <c r="H2904">
        <v>457.6</v>
      </c>
      <c r="I2904">
        <v>45.76</v>
      </c>
      <c r="J2904">
        <v>0</v>
      </c>
      <c r="K2904">
        <v>0</v>
      </c>
      <c r="L2904">
        <v>457.6</v>
      </c>
      <c r="M2904">
        <v>45.76</v>
      </c>
      <c r="O2904" s="79">
        <f>IFERROR(VLOOKUP(D2904,'KAPANAN BLD.'!$C$2:$D$793,2,FALSE),0)</f>
        <v>0</v>
      </c>
      <c r="P2904" s="79">
        <v>0</v>
      </c>
    </row>
    <row r="2905" spans="1:16" x14ac:dyDescent="0.25">
      <c r="A2905" t="s">
        <v>32</v>
      </c>
      <c r="B2905" s="73" t="str">
        <f t="shared" si="69"/>
        <v>MERKEZ</v>
      </c>
      <c r="C2905" t="s">
        <v>188</v>
      </c>
      <c r="D2905" s="73" t="str">
        <f t="shared" si="68"/>
        <v>MERKEZ/TOKAT</v>
      </c>
      <c r="E2905" s="9" t="s">
        <v>34</v>
      </c>
      <c r="F2905" s="9" t="s">
        <v>34</v>
      </c>
      <c r="G2905" t="s">
        <v>3367</v>
      </c>
      <c r="H2905">
        <v>622.1</v>
      </c>
      <c r="I2905">
        <v>62.21</v>
      </c>
      <c r="J2905">
        <v>0</v>
      </c>
      <c r="K2905">
        <v>0</v>
      </c>
      <c r="L2905">
        <v>622.1</v>
      </c>
      <c r="M2905">
        <v>62.21</v>
      </c>
      <c r="O2905" s="79">
        <f>IFERROR(VLOOKUP(D2905,'KAPANAN BLD.'!$C$2:$D$793,2,FALSE),0)</f>
        <v>0</v>
      </c>
      <c r="P2905" s="79">
        <v>0</v>
      </c>
    </row>
    <row r="2906" spans="1:16" x14ac:dyDescent="0.25">
      <c r="A2906" t="s">
        <v>32</v>
      </c>
      <c r="B2906" s="73" t="str">
        <f t="shared" si="69"/>
        <v>MERKEZ</v>
      </c>
      <c r="C2906" t="s">
        <v>188</v>
      </c>
      <c r="D2906" s="73" t="str">
        <f t="shared" si="68"/>
        <v>MERKEZ/TOKAT</v>
      </c>
      <c r="E2906" s="9" t="s">
        <v>34</v>
      </c>
      <c r="F2906" s="9" t="s">
        <v>34</v>
      </c>
      <c r="G2906" t="s">
        <v>3366</v>
      </c>
      <c r="H2906">
        <v>352.6</v>
      </c>
      <c r="I2906">
        <v>35.26</v>
      </c>
      <c r="J2906">
        <v>0</v>
      </c>
      <c r="K2906">
        <v>0</v>
      </c>
      <c r="L2906">
        <v>352.6</v>
      </c>
      <c r="M2906">
        <v>35.26</v>
      </c>
      <c r="O2906" s="79">
        <f>IFERROR(VLOOKUP(D2906,'KAPANAN BLD.'!$C$2:$D$793,2,FALSE),0)</f>
        <v>0</v>
      </c>
      <c r="P2906" s="79">
        <v>0</v>
      </c>
    </row>
    <row r="2907" spans="1:16" x14ac:dyDescent="0.25">
      <c r="A2907" t="s">
        <v>32</v>
      </c>
      <c r="B2907" s="73" t="str">
        <f t="shared" si="69"/>
        <v>ARTOVA</v>
      </c>
      <c r="C2907" t="s">
        <v>188</v>
      </c>
      <c r="D2907" s="73" t="str">
        <f t="shared" si="68"/>
        <v>ARTOVA/TOKAT</v>
      </c>
      <c r="E2907" s="9" t="s">
        <v>2599</v>
      </c>
      <c r="F2907" s="9" t="s">
        <v>2599</v>
      </c>
      <c r="G2907" t="s">
        <v>3366</v>
      </c>
      <c r="H2907">
        <v>200.3</v>
      </c>
      <c r="I2907">
        <v>20.03</v>
      </c>
      <c r="J2907">
        <v>0</v>
      </c>
      <c r="K2907">
        <v>0</v>
      </c>
      <c r="L2907">
        <v>200.3</v>
      </c>
      <c r="M2907">
        <v>20.03</v>
      </c>
      <c r="O2907" s="79">
        <f>IFERROR(VLOOKUP(D2907,'KAPANAN BLD.'!$C$2:$D$793,2,FALSE),0)</f>
        <v>0</v>
      </c>
      <c r="P2907" s="79">
        <v>0</v>
      </c>
    </row>
    <row r="2908" spans="1:16" x14ac:dyDescent="0.25">
      <c r="A2908" t="s">
        <v>32</v>
      </c>
      <c r="B2908" s="73" t="str">
        <f t="shared" si="69"/>
        <v>ARTOVA</v>
      </c>
      <c r="C2908" t="s">
        <v>188</v>
      </c>
      <c r="D2908" s="73" t="str">
        <f t="shared" si="68"/>
        <v>ARTOVA/TOKAT</v>
      </c>
      <c r="E2908" s="9" t="s">
        <v>2599</v>
      </c>
      <c r="F2908" s="9" t="s">
        <v>2599</v>
      </c>
      <c r="G2908" t="s">
        <v>3367</v>
      </c>
      <c r="H2908">
        <v>289.5</v>
      </c>
      <c r="I2908">
        <v>28.95</v>
      </c>
      <c r="J2908">
        <v>0</v>
      </c>
      <c r="K2908">
        <v>0</v>
      </c>
      <c r="L2908">
        <v>289.5</v>
      </c>
      <c r="M2908">
        <v>28.95</v>
      </c>
      <c r="O2908" s="79">
        <f>IFERROR(VLOOKUP(D2908,'KAPANAN BLD.'!$C$2:$D$793,2,FALSE),0)</f>
        <v>0</v>
      </c>
      <c r="P2908" s="79">
        <v>0</v>
      </c>
    </row>
    <row r="2909" spans="1:16" x14ac:dyDescent="0.25">
      <c r="A2909" t="s">
        <v>32</v>
      </c>
      <c r="B2909" s="73" t="str">
        <f t="shared" si="69"/>
        <v>ERBAA</v>
      </c>
      <c r="C2909" t="s">
        <v>188</v>
      </c>
      <c r="D2909" s="73" t="str">
        <f t="shared" si="68"/>
        <v>ERBAA/TOKAT</v>
      </c>
      <c r="E2909" s="9" t="s">
        <v>85</v>
      </c>
      <c r="F2909" s="9" t="s">
        <v>85</v>
      </c>
      <c r="G2909" t="s">
        <v>3367</v>
      </c>
      <c r="H2909">
        <v>402.7</v>
      </c>
      <c r="I2909">
        <v>40.270000000000003</v>
      </c>
      <c r="J2909">
        <v>1.4</v>
      </c>
      <c r="K2909">
        <v>0.14000000000000001</v>
      </c>
      <c r="L2909">
        <v>401.3</v>
      </c>
      <c r="M2909">
        <v>40.130000000000003</v>
      </c>
      <c r="O2909" s="79">
        <f>IFERROR(VLOOKUP(D2909,'KAPANAN BLD.'!$C$2:$D$793,2,FALSE),0)</f>
        <v>0</v>
      </c>
      <c r="P2909" s="79">
        <v>0</v>
      </c>
    </row>
    <row r="2910" spans="1:16" x14ac:dyDescent="0.25">
      <c r="A2910" t="s">
        <v>32</v>
      </c>
      <c r="B2910" s="73" t="str">
        <f t="shared" si="69"/>
        <v>ERBAA</v>
      </c>
      <c r="C2910" t="s">
        <v>188</v>
      </c>
      <c r="D2910" s="73" t="str">
        <f t="shared" si="68"/>
        <v>ERBAA/TOKAT</v>
      </c>
      <c r="E2910" s="9" t="s">
        <v>85</v>
      </c>
      <c r="F2910" s="9" t="s">
        <v>85</v>
      </c>
      <c r="G2910" t="s">
        <v>3366</v>
      </c>
      <c r="H2910">
        <v>1093.2</v>
      </c>
      <c r="I2910">
        <v>109.32</v>
      </c>
      <c r="J2910">
        <v>19</v>
      </c>
      <c r="K2910">
        <v>1.9</v>
      </c>
      <c r="L2910">
        <v>1074.2</v>
      </c>
      <c r="M2910">
        <v>107.42</v>
      </c>
      <c r="O2910" s="79">
        <f>IFERROR(VLOOKUP(D2910,'KAPANAN BLD.'!$C$2:$D$793,2,FALSE),0)</f>
        <v>0</v>
      </c>
      <c r="P2910" s="79">
        <v>0</v>
      </c>
    </row>
    <row r="2911" spans="1:16" x14ac:dyDescent="0.25">
      <c r="A2911" t="s">
        <v>32</v>
      </c>
      <c r="B2911" s="73" t="str">
        <f t="shared" si="69"/>
        <v>PAZAR</v>
      </c>
      <c r="C2911" t="s">
        <v>188</v>
      </c>
      <c r="D2911" s="73" t="str">
        <f t="shared" si="68"/>
        <v>PAZAR/TOKAT</v>
      </c>
      <c r="E2911" s="9" t="s">
        <v>336</v>
      </c>
      <c r="F2911" s="9" t="s">
        <v>336</v>
      </c>
      <c r="G2911" t="s">
        <v>3366</v>
      </c>
      <c r="H2911">
        <v>103.3</v>
      </c>
      <c r="I2911">
        <v>10.33</v>
      </c>
      <c r="J2911">
        <v>0</v>
      </c>
      <c r="K2911">
        <v>0</v>
      </c>
      <c r="L2911">
        <v>103.3</v>
      </c>
      <c r="M2911">
        <v>10.33</v>
      </c>
      <c r="O2911" s="79">
        <f>IFERROR(VLOOKUP(D2911,'KAPANAN BLD.'!$C$2:$D$793,2,FALSE),0)</f>
        <v>0</v>
      </c>
      <c r="P2911" s="79">
        <v>0</v>
      </c>
    </row>
    <row r="2912" spans="1:16" x14ac:dyDescent="0.25">
      <c r="A2912" t="s">
        <v>32</v>
      </c>
      <c r="B2912" s="73" t="str">
        <f t="shared" si="69"/>
        <v>PAZAR</v>
      </c>
      <c r="C2912" t="s">
        <v>188</v>
      </c>
      <c r="D2912" s="73" t="str">
        <f t="shared" si="68"/>
        <v>PAZAR/TOKAT</v>
      </c>
      <c r="E2912" s="9" t="s">
        <v>336</v>
      </c>
      <c r="F2912" s="9" t="s">
        <v>336</v>
      </c>
      <c r="G2912" t="s">
        <v>3367</v>
      </c>
      <c r="H2912">
        <v>5.4</v>
      </c>
      <c r="I2912">
        <v>0.54</v>
      </c>
      <c r="J2912">
        <v>0</v>
      </c>
      <c r="K2912">
        <v>0</v>
      </c>
      <c r="L2912">
        <v>5.4</v>
      </c>
      <c r="M2912">
        <v>0.54</v>
      </c>
      <c r="O2912" s="79">
        <f>IFERROR(VLOOKUP(D2912,'KAPANAN BLD.'!$C$2:$D$793,2,FALSE),0)</f>
        <v>0</v>
      </c>
      <c r="P2912" s="79">
        <v>0</v>
      </c>
    </row>
    <row r="2913" spans="1:16" x14ac:dyDescent="0.25">
      <c r="A2913" t="s">
        <v>32</v>
      </c>
      <c r="B2913" s="73" t="str">
        <f t="shared" si="69"/>
        <v>MERKEZ</v>
      </c>
      <c r="C2913" t="s">
        <v>188</v>
      </c>
      <c r="D2913" s="73" t="str">
        <f t="shared" si="68"/>
        <v>MERKEZ/TOKAT</v>
      </c>
      <c r="E2913" s="9" t="s">
        <v>34</v>
      </c>
      <c r="F2913" s="9" t="s">
        <v>34</v>
      </c>
      <c r="G2913" t="s">
        <v>3366</v>
      </c>
      <c r="H2913">
        <v>2299.5</v>
      </c>
      <c r="I2913">
        <v>229.95</v>
      </c>
      <c r="J2913">
        <v>0</v>
      </c>
      <c r="K2913">
        <v>0</v>
      </c>
      <c r="L2913">
        <v>2299.5</v>
      </c>
      <c r="M2913">
        <v>229.95</v>
      </c>
      <c r="O2913" s="79">
        <f>IFERROR(VLOOKUP(D2913,'KAPANAN BLD.'!$C$2:$D$793,2,FALSE),0)</f>
        <v>0</v>
      </c>
      <c r="P2913" s="79">
        <v>0</v>
      </c>
    </row>
    <row r="2914" spans="1:16" x14ac:dyDescent="0.25">
      <c r="A2914" t="s">
        <v>32</v>
      </c>
      <c r="B2914" s="73" t="str">
        <f t="shared" si="69"/>
        <v>MERKEZ</v>
      </c>
      <c r="C2914" t="s">
        <v>188</v>
      </c>
      <c r="D2914" s="73" t="str">
        <f t="shared" si="68"/>
        <v>MERKEZ/TOKAT</v>
      </c>
      <c r="E2914" s="9" t="s">
        <v>34</v>
      </c>
      <c r="F2914" s="9" t="s">
        <v>34</v>
      </c>
      <c r="G2914" t="s">
        <v>3367</v>
      </c>
      <c r="H2914">
        <v>304.8</v>
      </c>
      <c r="I2914">
        <v>30.48</v>
      </c>
      <c r="J2914">
        <v>0</v>
      </c>
      <c r="K2914">
        <v>0</v>
      </c>
      <c r="L2914">
        <v>304.8</v>
      </c>
      <c r="M2914">
        <v>30.48</v>
      </c>
      <c r="O2914" s="79">
        <f>IFERROR(VLOOKUP(D2914,'KAPANAN BLD.'!$C$2:$D$793,2,FALSE),0)</f>
        <v>0</v>
      </c>
      <c r="P2914" s="79">
        <v>0</v>
      </c>
    </row>
    <row r="2915" spans="1:16" x14ac:dyDescent="0.25">
      <c r="A2915" t="s">
        <v>32</v>
      </c>
      <c r="B2915" s="73" t="str">
        <f t="shared" si="69"/>
        <v>ERBAA</v>
      </c>
      <c r="C2915" t="s">
        <v>188</v>
      </c>
      <c r="D2915" s="73" t="str">
        <f t="shared" si="68"/>
        <v>ERBAA/TOKAT</v>
      </c>
      <c r="E2915" t="s">
        <v>85</v>
      </c>
      <c r="F2915" t="s">
        <v>85</v>
      </c>
      <c r="G2915" t="s">
        <v>3367</v>
      </c>
      <c r="H2915">
        <v>94.9</v>
      </c>
      <c r="I2915">
        <v>9.49</v>
      </c>
      <c r="J2915">
        <v>0</v>
      </c>
      <c r="K2915">
        <v>0</v>
      </c>
      <c r="L2915">
        <v>94.9</v>
      </c>
      <c r="M2915">
        <v>9.49</v>
      </c>
      <c r="O2915" s="79">
        <f>IFERROR(VLOOKUP(D2915,'KAPANAN BLD.'!$C$2:$D$793,2,FALSE),0)</f>
        <v>0</v>
      </c>
      <c r="P2915" s="79">
        <v>0</v>
      </c>
    </row>
    <row r="2916" spans="1:16" x14ac:dyDescent="0.25">
      <c r="A2916" t="s">
        <v>32</v>
      </c>
      <c r="B2916" s="73" t="str">
        <f t="shared" si="69"/>
        <v>ERBAA</v>
      </c>
      <c r="C2916" t="s">
        <v>188</v>
      </c>
      <c r="D2916" s="73" t="str">
        <f t="shared" si="68"/>
        <v>ERBAA/TOKAT</v>
      </c>
      <c r="E2916" t="s">
        <v>85</v>
      </c>
      <c r="F2916" t="s">
        <v>85</v>
      </c>
      <c r="G2916" t="s">
        <v>3366</v>
      </c>
      <c r="H2916">
        <v>54.6</v>
      </c>
      <c r="I2916">
        <v>5.46</v>
      </c>
      <c r="J2916">
        <v>0</v>
      </c>
      <c r="K2916">
        <v>0</v>
      </c>
      <c r="L2916">
        <v>54.6</v>
      </c>
      <c r="M2916">
        <v>5.46</v>
      </c>
      <c r="O2916" s="79">
        <f>IFERROR(VLOOKUP(D2916,'KAPANAN BLD.'!$C$2:$D$793,2,FALSE),0)</f>
        <v>0</v>
      </c>
      <c r="P2916" s="79">
        <v>0</v>
      </c>
    </row>
    <row r="2917" spans="1:16" x14ac:dyDescent="0.25">
      <c r="A2917" t="s">
        <v>32</v>
      </c>
      <c r="B2917" s="73" t="str">
        <f t="shared" si="69"/>
        <v>ZİLE</v>
      </c>
      <c r="C2917" t="s">
        <v>188</v>
      </c>
      <c r="D2917" s="73" t="str">
        <f t="shared" si="68"/>
        <v>ZİLE/TOKAT</v>
      </c>
      <c r="E2917" s="9" t="s">
        <v>384</v>
      </c>
      <c r="F2917" s="9" t="s">
        <v>384</v>
      </c>
      <c r="G2917" t="s">
        <v>3367</v>
      </c>
      <c r="H2917">
        <v>79.5</v>
      </c>
      <c r="I2917">
        <v>7.95</v>
      </c>
      <c r="J2917">
        <v>0</v>
      </c>
      <c r="K2917">
        <v>0</v>
      </c>
      <c r="L2917">
        <v>79.5</v>
      </c>
      <c r="M2917">
        <v>7.95</v>
      </c>
      <c r="O2917" s="79">
        <f>IFERROR(VLOOKUP(D2917,'KAPANAN BLD.'!$C$2:$D$793,2,FALSE),0)</f>
        <v>0</v>
      </c>
      <c r="P2917" s="79">
        <v>0</v>
      </c>
    </row>
    <row r="2918" spans="1:16" x14ac:dyDescent="0.25">
      <c r="A2918" t="s">
        <v>32</v>
      </c>
      <c r="B2918" s="73" t="str">
        <f t="shared" si="69"/>
        <v>ZİLE</v>
      </c>
      <c r="C2918" t="s">
        <v>188</v>
      </c>
      <c r="D2918" s="73" t="str">
        <f t="shared" si="68"/>
        <v>ZİLE/TOKAT</v>
      </c>
      <c r="E2918" s="9" t="s">
        <v>384</v>
      </c>
      <c r="F2918" s="9" t="s">
        <v>384</v>
      </c>
      <c r="G2918" t="s">
        <v>3366</v>
      </c>
      <c r="H2918">
        <v>55.7</v>
      </c>
      <c r="I2918">
        <v>5.57</v>
      </c>
      <c r="J2918">
        <v>0</v>
      </c>
      <c r="K2918">
        <v>0</v>
      </c>
      <c r="L2918">
        <v>55.7</v>
      </c>
      <c r="M2918">
        <v>5.57</v>
      </c>
      <c r="O2918" s="79">
        <f>IFERROR(VLOOKUP(D2918,'KAPANAN BLD.'!$C$2:$D$793,2,FALSE),0)</f>
        <v>0</v>
      </c>
      <c r="P2918" s="79">
        <v>0</v>
      </c>
    </row>
    <row r="2919" spans="1:16" x14ac:dyDescent="0.25">
      <c r="A2919" t="s">
        <v>32</v>
      </c>
      <c r="B2919" s="73" t="str">
        <f t="shared" si="69"/>
        <v>ERBAA</v>
      </c>
      <c r="C2919" t="s">
        <v>188</v>
      </c>
      <c r="D2919" s="73" t="str">
        <f t="shared" si="68"/>
        <v>ERBAA/TOKAT</v>
      </c>
      <c r="E2919" s="9" t="s">
        <v>85</v>
      </c>
      <c r="F2919" s="9" t="s">
        <v>85</v>
      </c>
      <c r="G2919" t="s">
        <v>3367</v>
      </c>
      <c r="H2919">
        <v>76.599999999999994</v>
      </c>
      <c r="I2919">
        <v>7.66</v>
      </c>
      <c r="J2919">
        <v>0</v>
      </c>
      <c r="K2919">
        <v>0</v>
      </c>
      <c r="L2919">
        <v>76.599999999999994</v>
      </c>
      <c r="M2919">
        <v>7.66</v>
      </c>
      <c r="O2919" s="79">
        <f>IFERROR(VLOOKUP(D2919,'KAPANAN BLD.'!$C$2:$D$793,2,FALSE),0)</f>
        <v>0</v>
      </c>
      <c r="P2919" s="79">
        <v>0</v>
      </c>
    </row>
    <row r="2920" spans="1:16" x14ac:dyDescent="0.25">
      <c r="A2920" t="s">
        <v>32</v>
      </c>
      <c r="B2920" s="73" t="str">
        <f t="shared" si="69"/>
        <v>NİKSAR</v>
      </c>
      <c r="C2920" t="s">
        <v>188</v>
      </c>
      <c r="D2920" s="73" t="str">
        <f t="shared" si="68"/>
        <v>NİKSAR/TOKAT</v>
      </c>
      <c r="E2920" s="9" t="s">
        <v>229</v>
      </c>
      <c r="F2920" s="9" t="s">
        <v>229</v>
      </c>
      <c r="G2920" t="s">
        <v>3367</v>
      </c>
      <c r="H2920">
        <v>2112.6</v>
      </c>
      <c r="I2920">
        <v>211.26</v>
      </c>
      <c r="J2920">
        <v>1632.7</v>
      </c>
      <c r="K2920">
        <v>163.27000000000001</v>
      </c>
      <c r="L2920">
        <v>479.9</v>
      </c>
      <c r="M2920">
        <v>47.99</v>
      </c>
      <c r="O2920" s="79">
        <f>IFERROR(VLOOKUP(D2920,'KAPANAN BLD.'!$C$2:$D$793,2,FALSE),0)</f>
        <v>0</v>
      </c>
      <c r="P2920" s="79">
        <v>0</v>
      </c>
    </row>
    <row r="2921" spans="1:16" x14ac:dyDescent="0.25">
      <c r="A2921" t="s">
        <v>32</v>
      </c>
      <c r="B2921" s="73" t="str">
        <f t="shared" si="69"/>
        <v>ALMUS</v>
      </c>
      <c r="C2921" t="s">
        <v>188</v>
      </c>
      <c r="D2921" s="73" t="str">
        <f t="shared" si="68"/>
        <v>ALMUS/TOKAT</v>
      </c>
      <c r="E2921" s="9" t="s">
        <v>2159</v>
      </c>
      <c r="F2921" s="9" t="s">
        <v>2159</v>
      </c>
      <c r="G2921" t="s">
        <v>3366</v>
      </c>
      <c r="H2921">
        <v>0</v>
      </c>
      <c r="I2921">
        <v>0</v>
      </c>
      <c r="J2921">
        <v>2.7</v>
      </c>
      <c r="K2921">
        <v>0.27</v>
      </c>
      <c r="L2921">
        <v>-2.7</v>
      </c>
      <c r="M2921">
        <v>-0.27</v>
      </c>
      <c r="O2921" s="79">
        <f>IFERROR(VLOOKUP(D2921,'KAPANAN BLD.'!$C$2:$D$793,2,FALSE),0)</f>
        <v>0</v>
      </c>
      <c r="P2921" s="79">
        <v>0</v>
      </c>
    </row>
    <row r="2922" spans="1:16" x14ac:dyDescent="0.25">
      <c r="A2922" t="s">
        <v>32</v>
      </c>
      <c r="B2922" s="73" t="str">
        <f t="shared" si="69"/>
        <v>ALMUS</v>
      </c>
      <c r="C2922" t="s">
        <v>188</v>
      </c>
      <c r="D2922" s="73" t="str">
        <f t="shared" si="68"/>
        <v>ALMUS/TOKAT</v>
      </c>
      <c r="E2922" s="9" t="s">
        <v>2159</v>
      </c>
      <c r="F2922" s="9" t="s">
        <v>2159</v>
      </c>
      <c r="G2922" t="s">
        <v>3367</v>
      </c>
      <c r="H2922">
        <v>0</v>
      </c>
      <c r="I2922">
        <v>0</v>
      </c>
      <c r="J2922">
        <v>3.5</v>
      </c>
      <c r="K2922">
        <v>0.35</v>
      </c>
      <c r="L2922">
        <v>-3.5</v>
      </c>
      <c r="M2922">
        <v>-0.35</v>
      </c>
      <c r="O2922" s="79">
        <f>IFERROR(VLOOKUP(D2922,'KAPANAN BLD.'!$C$2:$D$793,2,FALSE),0)</f>
        <v>0</v>
      </c>
      <c r="P2922" s="79">
        <v>0</v>
      </c>
    </row>
    <row r="2923" spans="1:16" x14ac:dyDescent="0.25">
      <c r="A2923" t="s">
        <v>32</v>
      </c>
      <c r="B2923" s="73" t="str">
        <f t="shared" si="69"/>
        <v>NİKSAR</v>
      </c>
      <c r="C2923" t="s">
        <v>188</v>
      </c>
      <c r="D2923" s="73" t="str">
        <f t="shared" si="68"/>
        <v>NİKSAR/TOKAT</v>
      </c>
      <c r="E2923" s="9" t="s">
        <v>229</v>
      </c>
      <c r="F2923" s="9" t="s">
        <v>229</v>
      </c>
      <c r="G2923" t="s">
        <v>3367</v>
      </c>
      <c r="H2923">
        <v>51.6</v>
      </c>
      <c r="I2923">
        <v>5.16</v>
      </c>
      <c r="J2923">
        <v>0</v>
      </c>
      <c r="K2923">
        <v>0</v>
      </c>
      <c r="L2923">
        <v>51.6</v>
      </c>
      <c r="M2923">
        <v>5.16</v>
      </c>
      <c r="O2923" s="79">
        <f>IFERROR(VLOOKUP(D2923,'KAPANAN BLD.'!$C$2:$D$793,2,FALSE),0)</f>
        <v>0</v>
      </c>
      <c r="P2923" s="79">
        <v>0</v>
      </c>
    </row>
    <row r="2924" spans="1:16" x14ac:dyDescent="0.25">
      <c r="A2924" t="s">
        <v>32</v>
      </c>
      <c r="B2924" s="73" t="str">
        <f t="shared" si="69"/>
        <v>NİKSAR</v>
      </c>
      <c r="C2924" t="s">
        <v>188</v>
      </c>
      <c r="D2924" s="73" t="str">
        <f t="shared" si="68"/>
        <v>NİKSAR/TOKAT</v>
      </c>
      <c r="E2924" s="9" t="s">
        <v>229</v>
      </c>
      <c r="F2924" s="9" t="s">
        <v>229</v>
      </c>
      <c r="G2924" t="s">
        <v>3366</v>
      </c>
      <c r="H2924">
        <v>29.8</v>
      </c>
      <c r="I2924">
        <v>2.98</v>
      </c>
      <c r="J2924">
        <v>0</v>
      </c>
      <c r="K2924">
        <v>0</v>
      </c>
      <c r="L2924">
        <v>29.8</v>
      </c>
      <c r="M2924">
        <v>2.98</v>
      </c>
      <c r="O2924" s="79">
        <f>IFERROR(VLOOKUP(D2924,'KAPANAN BLD.'!$C$2:$D$793,2,FALSE),0)</f>
        <v>0</v>
      </c>
      <c r="P2924" s="79">
        <v>0</v>
      </c>
    </row>
    <row r="2925" spans="1:16" x14ac:dyDescent="0.25">
      <c r="A2925" t="s">
        <v>32</v>
      </c>
      <c r="B2925" s="73" t="str">
        <f t="shared" si="69"/>
        <v>MERKEZ</v>
      </c>
      <c r="C2925" t="s">
        <v>188</v>
      </c>
      <c r="D2925" s="73" t="str">
        <f t="shared" si="68"/>
        <v>MERKEZ/TOKAT</v>
      </c>
      <c r="E2925" s="9" t="s">
        <v>34</v>
      </c>
      <c r="F2925" s="9" t="s">
        <v>34</v>
      </c>
      <c r="G2925" t="s">
        <v>3367</v>
      </c>
      <c r="H2925">
        <v>613.5</v>
      </c>
      <c r="I2925">
        <v>61.35</v>
      </c>
      <c r="J2925">
        <v>20.8</v>
      </c>
      <c r="K2925">
        <v>2.08</v>
      </c>
      <c r="L2925">
        <v>592.70000000000005</v>
      </c>
      <c r="M2925">
        <v>59.27</v>
      </c>
      <c r="O2925" s="79">
        <f>IFERROR(VLOOKUP(D2925,'KAPANAN BLD.'!$C$2:$D$793,2,FALSE),0)</f>
        <v>0</v>
      </c>
      <c r="P2925" s="79">
        <v>0</v>
      </c>
    </row>
    <row r="2926" spans="1:16" x14ac:dyDescent="0.25">
      <c r="A2926" t="s">
        <v>32</v>
      </c>
      <c r="B2926" s="73" t="str">
        <f t="shared" si="69"/>
        <v>MERKEZ</v>
      </c>
      <c r="C2926" t="s">
        <v>188</v>
      </c>
      <c r="D2926" s="73" t="str">
        <f t="shared" si="68"/>
        <v>MERKEZ/TOKAT</v>
      </c>
      <c r="E2926" s="9" t="s">
        <v>34</v>
      </c>
      <c r="F2926" s="9" t="s">
        <v>34</v>
      </c>
      <c r="G2926" t="s">
        <v>3366</v>
      </c>
      <c r="H2926">
        <v>1996.9</v>
      </c>
      <c r="I2926">
        <v>199.69</v>
      </c>
      <c r="J2926">
        <v>989.5</v>
      </c>
      <c r="K2926">
        <v>98.95</v>
      </c>
      <c r="L2926">
        <v>1007.4</v>
      </c>
      <c r="M2926">
        <v>100.74</v>
      </c>
      <c r="O2926" s="79">
        <f>IFERROR(VLOOKUP(D2926,'KAPANAN BLD.'!$C$2:$D$793,2,FALSE),0)</f>
        <v>0</v>
      </c>
      <c r="P2926" s="79">
        <v>0</v>
      </c>
    </row>
    <row r="2927" spans="1:16" x14ac:dyDescent="0.25">
      <c r="A2927" t="s">
        <v>32</v>
      </c>
      <c r="B2927" s="73" t="str">
        <f t="shared" si="69"/>
        <v>ERBAA</v>
      </c>
      <c r="C2927" t="s">
        <v>188</v>
      </c>
      <c r="D2927" s="73" t="str">
        <f t="shared" si="68"/>
        <v>ERBAA/TOKAT</v>
      </c>
      <c r="E2927" s="9" t="s">
        <v>85</v>
      </c>
      <c r="F2927" s="9" t="s">
        <v>85</v>
      </c>
      <c r="G2927" t="s">
        <v>3366</v>
      </c>
      <c r="H2927">
        <v>256.7</v>
      </c>
      <c r="I2927">
        <v>25.67</v>
      </c>
      <c r="J2927">
        <v>11.3</v>
      </c>
      <c r="K2927">
        <v>1.1299999999999999</v>
      </c>
      <c r="L2927">
        <v>245.4</v>
      </c>
      <c r="M2927">
        <v>24.54</v>
      </c>
      <c r="O2927" s="79">
        <f>IFERROR(VLOOKUP(D2927,'KAPANAN BLD.'!$C$2:$D$793,2,FALSE),0)</f>
        <v>0</v>
      </c>
      <c r="P2927" s="79">
        <v>0</v>
      </c>
    </row>
    <row r="2928" spans="1:16" x14ac:dyDescent="0.25">
      <c r="A2928" t="s">
        <v>32</v>
      </c>
      <c r="B2928" s="73" t="str">
        <f t="shared" si="69"/>
        <v>ERBAA</v>
      </c>
      <c r="C2928" t="s">
        <v>188</v>
      </c>
      <c r="D2928" s="73" t="str">
        <f t="shared" si="68"/>
        <v>ERBAA/TOKAT</v>
      </c>
      <c r="E2928" s="9" t="s">
        <v>85</v>
      </c>
      <c r="F2928" s="9" t="s">
        <v>85</v>
      </c>
      <c r="G2928" t="s">
        <v>3367</v>
      </c>
      <c r="H2928">
        <v>141.9</v>
      </c>
      <c r="I2928">
        <v>14.19</v>
      </c>
      <c r="J2928">
        <v>18.100000000000001</v>
      </c>
      <c r="K2928">
        <v>1.81</v>
      </c>
      <c r="L2928">
        <v>123.8</v>
      </c>
      <c r="M2928">
        <v>12.38</v>
      </c>
      <c r="O2928" s="79">
        <f>IFERROR(VLOOKUP(D2928,'KAPANAN BLD.'!$C$2:$D$793,2,FALSE),0)</f>
        <v>0</v>
      </c>
      <c r="P2928" s="79">
        <v>0</v>
      </c>
    </row>
    <row r="2929" spans="1:16" x14ac:dyDescent="0.25">
      <c r="A2929" t="s">
        <v>32</v>
      </c>
      <c r="B2929" s="73" t="str">
        <f t="shared" si="69"/>
        <v>TURHAL</v>
      </c>
      <c r="C2929" t="s">
        <v>188</v>
      </c>
      <c r="D2929" s="73" t="str">
        <f t="shared" si="68"/>
        <v>TURHAL/TOKAT</v>
      </c>
      <c r="E2929" s="9" t="s">
        <v>383</v>
      </c>
      <c r="F2929" s="9" t="s">
        <v>383</v>
      </c>
      <c r="G2929" t="s">
        <v>3367</v>
      </c>
      <c r="H2929">
        <v>243.7</v>
      </c>
      <c r="I2929">
        <v>24.37</v>
      </c>
      <c r="J2929">
        <v>0</v>
      </c>
      <c r="K2929">
        <v>0</v>
      </c>
      <c r="L2929">
        <v>243.7</v>
      </c>
      <c r="M2929">
        <v>24.37</v>
      </c>
      <c r="O2929" s="79">
        <f>IFERROR(VLOOKUP(D2929,'KAPANAN BLD.'!$C$2:$D$793,2,FALSE),0)</f>
        <v>0</v>
      </c>
      <c r="P2929" s="79">
        <v>0</v>
      </c>
    </row>
    <row r="2930" spans="1:16" x14ac:dyDescent="0.25">
      <c r="A2930" t="s">
        <v>32</v>
      </c>
      <c r="B2930" s="73" t="str">
        <f t="shared" si="69"/>
        <v>TURHAL</v>
      </c>
      <c r="C2930" t="s">
        <v>188</v>
      </c>
      <c r="D2930" s="73" t="str">
        <f t="shared" si="68"/>
        <v>TURHAL/TOKAT</v>
      </c>
      <c r="E2930" s="9" t="s">
        <v>383</v>
      </c>
      <c r="F2930" s="9" t="s">
        <v>383</v>
      </c>
      <c r="G2930" t="s">
        <v>3366</v>
      </c>
      <c r="H2930">
        <v>902.6</v>
      </c>
      <c r="I2930">
        <v>90.26</v>
      </c>
      <c r="J2930">
        <v>0</v>
      </c>
      <c r="K2930">
        <v>0</v>
      </c>
      <c r="L2930">
        <v>902.6</v>
      </c>
      <c r="M2930">
        <v>90.26</v>
      </c>
      <c r="O2930" s="79">
        <f>IFERROR(VLOOKUP(D2930,'KAPANAN BLD.'!$C$2:$D$793,2,FALSE),0)</f>
        <v>0</v>
      </c>
      <c r="P2930" s="79">
        <v>0</v>
      </c>
    </row>
    <row r="2931" spans="1:16" x14ac:dyDescent="0.25">
      <c r="A2931" t="s">
        <v>32</v>
      </c>
      <c r="B2931" s="73" t="str">
        <f t="shared" si="69"/>
        <v>ERBAA</v>
      </c>
      <c r="C2931" t="s">
        <v>188</v>
      </c>
      <c r="D2931" s="73" t="str">
        <f t="shared" si="68"/>
        <v>ERBAA/TOKAT</v>
      </c>
      <c r="E2931" s="9" t="s">
        <v>85</v>
      </c>
      <c r="F2931" s="9" t="s">
        <v>85</v>
      </c>
      <c r="G2931" t="s">
        <v>3366</v>
      </c>
      <c r="H2931">
        <v>24.3</v>
      </c>
      <c r="I2931">
        <v>2.4300000000000002</v>
      </c>
      <c r="J2931">
        <v>0</v>
      </c>
      <c r="K2931">
        <v>0</v>
      </c>
      <c r="L2931">
        <v>24.3</v>
      </c>
      <c r="M2931">
        <v>2.4300000000000002</v>
      </c>
      <c r="O2931" s="79">
        <f>IFERROR(VLOOKUP(D2931,'KAPANAN BLD.'!$C$2:$D$793,2,FALSE),0)</f>
        <v>0</v>
      </c>
      <c r="P2931" s="79">
        <v>0</v>
      </c>
    </row>
    <row r="2932" spans="1:16" x14ac:dyDescent="0.25">
      <c r="A2932" t="s">
        <v>32</v>
      </c>
      <c r="B2932" s="73" t="str">
        <f t="shared" si="69"/>
        <v>ERBAA</v>
      </c>
      <c r="C2932" t="s">
        <v>188</v>
      </c>
      <c r="D2932" s="73" t="str">
        <f t="shared" si="68"/>
        <v>ERBAA/TOKAT</v>
      </c>
      <c r="E2932" s="9" t="s">
        <v>85</v>
      </c>
      <c r="F2932" s="9" t="s">
        <v>85</v>
      </c>
      <c r="G2932" t="s">
        <v>3367</v>
      </c>
      <c r="H2932">
        <v>56.2</v>
      </c>
      <c r="I2932">
        <v>5.62</v>
      </c>
      <c r="J2932">
        <v>0</v>
      </c>
      <c r="K2932">
        <v>0</v>
      </c>
      <c r="L2932">
        <v>56.2</v>
      </c>
      <c r="M2932">
        <v>5.62</v>
      </c>
      <c r="O2932" s="79">
        <f>IFERROR(VLOOKUP(D2932,'KAPANAN BLD.'!$C$2:$D$793,2,FALSE),0)</f>
        <v>0</v>
      </c>
      <c r="P2932" s="79">
        <v>0</v>
      </c>
    </row>
    <row r="2933" spans="1:16" x14ac:dyDescent="0.25">
      <c r="A2933" t="s">
        <v>32</v>
      </c>
      <c r="B2933" s="73" t="str">
        <f t="shared" si="69"/>
        <v>NİKSAR</v>
      </c>
      <c r="C2933" t="s">
        <v>188</v>
      </c>
      <c r="D2933" s="73" t="str">
        <f t="shared" si="68"/>
        <v>NİKSAR/TOKAT</v>
      </c>
      <c r="E2933" s="9" t="s">
        <v>229</v>
      </c>
      <c r="F2933" s="9" t="s">
        <v>229</v>
      </c>
      <c r="G2933" t="s">
        <v>3367</v>
      </c>
      <c r="H2933">
        <v>62</v>
      </c>
      <c r="I2933">
        <v>6.2</v>
      </c>
      <c r="J2933">
        <v>0</v>
      </c>
      <c r="K2933">
        <v>0</v>
      </c>
      <c r="L2933">
        <v>62</v>
      </c>
      <c r="M2933">
        <v>6.2</v>
      </c>
      <c r="O2933" s="79">
        <f>IFERROR(VLOOKUP(D2933,'KAPANAN BLD.'!$C$2:$D$793,2,FALSE),0)</f>
        <v>0</v>
      </c>
      <c r="P2933" s="79">
        <v>0</v>
      </c>
    </row>
    <row r="2934" spans="1:16" x14ac:dyDescent="0.25">
      <c r="A2934" t="s">
        <v>32</v>
      </c>
      <c r="B2934" s="73" t="str">
        <f t="shared" si="69"/>
        <v>NİKSAR</v>
      </c>
      <c r="C2934" t="s">
        <v>188</v>
      </c>
      <c r="D2934" s="73" t="str">
        <f t="shared" si="68"/>
        <v>NİKSAR/TOKAT</v>
      </c>
      <c r="E2934" s="9" t="s">
        <v>229</v>
      </c>
      <c r="F2934" s="9" t="s">
        <v>229</v>
      </c>
      <c r="G2934" t="s">
        <v>3366</v>
      </c>
      <c r="H2934">
        <v>31</v>
      </c>
      <c r="I2934">
        <v>3.1</v>
      </c>
      <c r="J2934">
        <v>0</v>
      </c>
      <c r="K2934">
        <v>0</v>
      </c>
      <c r="L2934">
        <v>31</v>
      </c>
      <c r="M2934">
        <v>3.1</v>
      </c>
      <c r="O2934" s="79">
        <f>IFERROR(VLOOKUP(D2934,'KAPANAN BLD.'!$C$2:$D$793,2,FALSE),0)</f>
        <v>0</v>
      </c>
      <c r="P2934" s="79">
        <v>0</v>
      </c>
    </row>
    <row r="2935" spans="1:16" x14ac:dyDescent="0.25">
      <c r="A2935" t="s">
        <v>32</v>
      </c>
      <c r="B2935" s="73" t="str">
        <f t="shared" si="69"/>
        <v>REŞADİYE</v>
      </c>
      <c r="C2935" t="s">
        <v>188</v>
      </c>
      <c r="D2935" s="73" t="str">
        <f t="shared" si="68"/>
        <v>REŞADİYE/TOKAT</v>
      </c>
      <c r="E2935" s="9" t="s">
        <v>2160</v>
      </c>
      <c r="F2935" s="9" t="s">
        <v>2160</v>
      </c>
      <c r="G2935" t="s">
        <v>3367</v>
      </c>
      <c r="H2935">
        <v>191</v>
      </c>
      <c r="I2935">
        <v>19.100000000000001</v>
      </c>
      <c r="J2935">
        <v>0</v>
      </c>
      <c r="K2935">
        <v>0</v>
      </c>
      <c r="L2935">
        <v>191</v>
      </c>
      <c r="M2935">
        <v>19.100000000000001</v>
      </c>
      <c r="O2935" s="79">
        <f>IFERROR(VLOOKUP(D2935,'KAPANAN BLD.'!$C$2:$D$793,2,FALSE),0)</f>
        <v>0</v>
      </c>
      <c r="P2935" s="79">
        <v>0</v>
      </c>
    </row>
    <row r="2936" spans="1:16" x14ac:dyDescent="0.25">
      <c r="A2936" t="s">
        <v>32</v>
      </c>
      <c r="B2936" s="73" t="str">
        <f t="shared" si="69"/>
        <v>REŞADİYE</v>
      </c>
      <c r="C2936" t="s">
        <v>188</v>
      </c>
      <c r="D2936" s="73" t="str">
        <f t="shared" si="68"/>
        <v>REŞADİYE/TOKAT</v>
      </c>
      <c r="E2936" s="9" t="s">
        <v>2160</v>
      </c>
      <c r="F2936" s="9" t="s">
        <v>2160</v>
      </c>
      <c r="G2936" t="s">
        <v>3366</v>
      </c>
      <c r="H2936">
        <v>109.4</v>
      </c>
      <c r="I2936">
        <v>10.94</v>
      </c>
      <c r="J2936">
        <v>0</v>
      </c>
      <c r="K2936">
        <v>0</v>
      </c>
      <c r="L2936">
        <v>109.4</v>
      </c>
      <c r="M2936">
        <v>10.94</v>
      </c>
      <c r="O2936" s="79">
        <f>IFERROR(VLOOKUP(D2936,'KAPANAN BLD.'!$C$2:$D$793,2,FALSE),0)</f>
        <v>0</v>
      </c>
      <c r="P2936" s="79">
        <v>0</v>
      </c>
    </row>
    <row r="2937" spans="1:16" x14ac:dyDescent="0.25">
      <c r="A2937" t="s">
        <v>32</v>
      </c>
      <c r="B2937" s="73" t="str">
        <f t="shared" si="69"/>
        <v>MERKEZ</v>
      </c>
      <c r="C2937" t="s">
        <v>188</v>
      </c>
      <c r="D2937" s="73" t="str">
        <f t="shared" si="68"/>
        <v>MERKEZ/TOKAT</v>
      </c>
      <c r="E2937" t="s">
        <v>34</v>
      </c>
      <c r="F2937" t="s">
        <v>34</v>
      </c>
      <c r="G2937" t="s">
        <v>3366</v>
      </c>
      <c r="H2937">
        <v>20.5</v>
      </c>
      <c r="I2937">
        <v>2.0499999999999998</v>
      </c>
      <c r="J2937">
        <v>0</v>
      </c>
      <c r="K2937">
        <v>0</v>
      </c>
      <c r="L2937">
        <v>20.5</v>
      </c>
      <c r="M2937">
        <v>2.0499999999999998</v>
      </c>
      <c r="O2937" s="79">
        <f>IFERROR(VLOOKUP(D2937,'KAPANAN BLD.'!$C$2:$D$793,2,FALSE),0)</f>
        <v>0</v>
      </c>
      <c r="P2937" s="79">
        <v>0</v>
      </c>
    </row>
    <row r="2938" spans="1:16" x14ac:dyDescent="0.25">
      <c r="A2938" t="s">
        <v>32</v>
      </c>
      <c r="B2938" s="73" t="str">
        <f t="shared" si="69"/>
        <v>MERKEZ</v>
      </c>
      <c r="C2938" t="s">
        <v>188</v>
      </c>
      <c r="D2938" s="73" t="str">
        <f t="shared" si="68"/>
        <v>MERKEZ/TOKAT</v>
      </c>
      <c r="E2938" t="s">
        <v>34</v>
      </c>
      <c r="F2938" t="s">
        <v>34</v>
      </c>
      <c r="G2938" t="s">
        <v>3367</v>
      </c>
      <c r="H2938">
        <v>146.9</v>
      </c>
      <c r="I2938">
        <v>14.69</v>
      </c>
      <c r="J2938">
        <v>0</v>
      </c>
      <c r="K2938">
        <v>0</v>
      </c>
      <c r="L2938">
        <v>146.9</v>
      </c>
      <c r="M2938">
        <v>14.69</v>
      </c>
      <c r="O2938" s="79">
        <f>IFERROR(VLOOKUP(D2938,'KAPANAN BLD.'!$C$2:$D$793,2,FALSE),0)</f>
        <v>0</v>
      </c>
      <c r="P2938" s="79">
        <v>0</v>
      </c>
    </row>
    <row r="2939" spans="1:16" x14ac:dyDescent="0.25">
      <c r="A2939" t="s">
        <v>32</v>
      </c>
      <c r="B2939" s="73" t="str">
        <f t="shared" si="69"/>
        <v>MERKEZ</v>
      </c>
      <c r="C2939" t="s">
        <v>188</v>
      </c>
      <c r="D2939" s="73" t="str">
        <f t="shared" si="68"/>
        <v>MERKEZ/TOKAT</v>
      </c>
      <c r="E2939" t="s">
        <v>34</v>
      </c>
      <c r="F2939" t="s">
        <v>34</v>
      </c>
      <c r="G2939" t="s">
        <v>3367</v>
      </c>
      <c r="H2939">
        <v>375.1</v>
      </c>
      <c r="I2939">
        <v>37.51</v>
      </c>
      <c r="J2939">
        <v>0</v>
      </c>
      <c r="K2939">
        <v>0</v>
      </c>
      <c r="L2939">
        <v>375.1</v>
      </c>
      <c r="M2939">
        <v>37.51</v>
      </c>
      <c r="O2939" s="79">
        <f>IFERROR(VLOOKUP(D2939,'KAPANAN BLD.'!$C$2:$D$793,2,FALSE),0)</f>
        <v>0</v>
      </c>
      <c r="P2939" s="79">
        <v>0</v>
      </c>
    </row>
    <row r="2940" spans="1:16" x14ac:dyDescent="0.25">
      <c r="A2940" t="s">
        <v>32</v>
      </c>
      <c r="B2940" s="73" t="str">
        <f t="shared" si="69"/>
        <v>MERKEZ</v>
      </c>
      <c r="C2940" t="s">
        <v>188</v>
      </c>
      <c r="D2940" s="73" t="str">
        <f t="shared" si="68"/>
        <v>MERKEZ/TOKAT</v>
      </c>
      <c r="E2940" t="s">
        <v>34</v>
      </c>
      <c r="F2940" t="s">
        <v>34</v>
      </c>
      <c r="G2940" t="s">
        <v>3366</v>
      </c>
      <c r="H2940">
        <v>540.70000000000005</v>
      </c>
      <c r="I2940">
        <v>54.07</v>
      </c>
      <c r="J2940">
        <v>0</v>
      </c>
      <c r="K2940">
        <v>0</v>
      </c>
      <c r="L2940">
        <v>540.70000000000005</v>
      </c>
      <c r="M2940">
        <v>54.07</v>
      </c>
      <c r="O2940" s="79">
        <f>IFERROR(VLOOKUP(D2940,'KAPANAN BLD.'!$C$2:$D$793,2,FALSE),0)</f>
        <v>0</v>
      </c>
      <c r="P2940" s="79">
        <v>0</v>
      </c>
    </row>
    <row r="2941" spans="1:16" x14ac:dyDescent="0.25">
      <c r="A2941" t="s">
        <v>32</v>
      </c>
      <c r="B2941" s="73" t="str">
        <f t="shared" si="69"/>
        <v>MERKEZ</v>
      </c>
      <c r="C2941" t="s">
        <v>188</v>
      </c>
      <c r="D2941" s="73" t="str">
        <f t="shared" si="68"/>
        <v>MERKEZ/TOKAT</v>
      </c>
      <c r="E2941" t="s">
        <v>34</v>
      </c>
      <c r="F2941" t="s">
        <v>34</v>
      </c>
      <c r="G2941" t="s">
        <v>3367</v>
      </c>
      <c r="H2941">
        <v>2638.9</v>
      </c>
      <c r="I2941">
        <v>263.89</v>
      </c>
      <c r="J2941">
        <v>1.8</v>
      </c>
      <c r="K2941">
        <v>0.18</v>
      </c>
      <c r="L2941">
        <v>2637.1</v>
      </c>
      <c r="M2941">
        <v>263.70999999999998</v>
      </c>
      <c r="O2941" s="79">
        <f>IFERROR(VLOOKUP(D2941,'KAPANAN BLD.'!$C$2:$D$793,2,FALSE),0)</f>
        <v>0</v>
      </c>
      <c r="P2941" s="79">
        <v>0</v>
      </c>
    </row>
    <row r="2942" spans="1:16" x14ac:dyDescent="0.25">
      <c r="A2942" t="s">
        <v>32</v>
      </c>
      <c r="B2942" s="73" t="str">
        <f t="shared" si="69"/>
        <v>MERKEZ</v>
      </c>
      <c r="C2942" t="s">
        <v>188</v>
      </c>
      <c r="D2942" s="73" t="str">
        <f t="shared" si="68"/>
        <v>MERKEZ/TOKAT</v>
      </c>
      <c r="E2942" t="s">
        <v>34</v>
      </c>
      <c r="F2942" t="s">
        <v>34</v>
      </c>
      <c r="G2942" t="s">
        <v>3366</v>
      </c>
      <c r="H2942">
        <v>7851.5</v>
      </c>
      <c r="I2942">
        <v>785.15</v>
      </c>
      <c r="J2942">
        <v>24.7</v>
      </c>
      <c r="K2942">
        <v>2.4700000000000002</v>
      </c>
      <c r="L2942">
        <v>7826.8</v>
      </c>
      <c r="M2942">
        <v>782.68</v>
      </c>
      <c r="O2942" s="79">
        <f>IFERROR(VLOOKUP(D2942,'KAPANAN BLD.'!$C$2:$D$793,2,FALSE),0)</f>
        <v>0</v>
      </c>
      <c r="P2942" s="79">
        <v>0</v>
      </c>
    </row>
    <row r="2943" spans="1:16" x14ac:dyDescent="0.25">
      <c r="A2943" t="s">
        <v>32</v>
      </c>
      <c r="B2943" s="73" t="str">
        <f t="shared" si="69"/>
        <v>REŞADİYE</v>
      </c>
      <c r="C2943" t="s">
        <v>188</v>
      </c>
      <c r="D2943" s="73" t="str">
        <f t="shared" si="68"/>
        <v>REŞADİYE/TOKAT</v>
      </c>
      <c r="E2943" s="9" t="s">
        <v>2160</v>
      </c>
      <c r="F2943" s="9" t="s">
        <v>2160</v>
      </c>
      <c r="G2943" t="s">
        <v>3367</v>
      </c>
      <c r="H2943">
        <v>4977</v>
      </c>
      <c r="I2943">
        <v>497.7</v>
      </c>
      <c r="J2943">
        <v>0</v>
      </c>
      <c r="K2943">
        <v>0</v>
      </c>
      <c r="L2943">
        <v>4977</v>
      </c>
      <c r="M2943">
        <v>497.7</v>
      </c>
      <c r="O2943" s="79">
        <f>IFERROR(VLOOKUP(D2943,'KAPANAN BLD.'!$C$2:$D$793,2,FALSE),0)</f>
        <v>0</v>
      </c>
      <c r="P2943" s="79">
        <v>0</v>
      </c>
    </row>
    <row r="2944" spans="1:16" x14ac:dyDescent="0.25">
      <c r="A2944" t="s">
        <v>32</v>
      </c>
      <c r="B2944" s="73" t="str">
        <f t="shared" si="69"/>
        <v>REŞADİYE</v>
      </c>
      <c r="C2944" t="s">
        <v>188</v>
      </c>
      <c r="D2944" s="73" t="str">
        <f t="shared" si="68"/>
        <v>REŞADİYE/TOKAT</v>
      </c>
      <c r="E2944" s="9" t="s">
        <v>2160</v>
      </c>
      <c r="F2944" s="9" t="s">
        <v>2160</v>
      </c>
      <c r="G2944" t="s">
        <v>3366</v>
      </c>
      <c r="H2944">
        <v>4149.5</v>
      </c>
      <c r="I2944">
        <v>414.95</v>
      </c>
      <c r="J2944">
        <v>0</v>
      </c>
      <c r="K2944">
        <v>0</v>
      </c>
      <c r="L2944">
        <v>4149.5</v>
      </c>
      <c r="M2944">
        <v>414.95</v>
      </c>
      <c r="O2944" s="79">
        <f>IFERROR(VLOOKUP(D2944,'KAPANAN BLD.'!$C$2:$D$793,2,FALSE),0)</f>
        <v>0</v>
      </c>
      <c r="P2944" s="79">
        <v>0</v>
      </c>
    </row>
    <row r="2945" spans="1:16" x14ac:dyDescent="0.25">
      <c r="A2945" t="s">
        <v>32</v>
      </c>
      <c r="B2945" s="73" t="str">
        <f t="shared" si="69"/>
        <v>NİKSAR</v>
      </c>
      <c r="C2945" t="s">
        <v>188</v>
      </c>
      <c r="D2945" s="73" t="str">
        <f t="shared" si="68"/>
        <v>NİKSAR/TOKAT</v>
      </c>
      <c r="E2945" t="s">
        <v>229</v>
      </c>
      <c r="F2945" t="s">
        <v>229</v>
      </c>
      <c r="G2945" t="s">
        <v>3367</v>
      </c>
      <c r="H2945">
        <v>35.9</v>
      </c>
      <c r="I2945">
        <v>3.59</v>
      </c>
      <c r="J2945">
        <v>0</v>
      </c>
      <c r="K2945">
        <v>0</v>
      </c>
      <c r="L2945">
        <v>35.9</v>
      </c>
      <c r="M2945">
        <v>3.59</v>
      </c>
      <c r="O2945" s="79">
        <f>IFERROR(VLOOKUP(D2945,'KAPANAN BLD.'!$C$2:$D$793,2,FALSE),0)</f>
        <v>0</v>
      </c>
      <c r="P2945" s="79">
        <v>0</v>
      </c>
    </row>
    <row r="2946" spans="1:16" x14ac:dyDescent="0.25">
      <c r="A2946" t="s">
        <v>32</v>
      </c>
      <c r="B2946" s="73" t="str">
        <f t="shared" si="69"/>
        <v>NİKSAR</v>
      </c>
      <c r="C2946" t="s">
        <v>188</v>
      </c>
      <c r="D2946" s="73" t="str">
        <f t="shared" si="68"/>
        <v>NİKSAR/TOKAT</v>
      </c>
      <c r="E2946" t="s">
        <v>229</v>
      </c>
      <c r="F2946" t="s">
        <v>229</v>
      </c>
      <c r="G2946" t="s">
        <v>3366</v>
      </c>
      <c r="H2946">
        <v>16</v>
      </c>
      <c r="I2946">
        <v>1.6</v>
      </c>
      <c r="J2946">
        <v>0</v>
      </c>
      <c r="K2946">
        <v>0</v>
      </c>
      <c r="L2946">
        <v>16</v>
      </c>
      <c r="M2946">
        <v>1.6</v>
      </c>
      <c r="O2946" s="79">
        <f>IFERROR(VLOOKUP(D2946,'KAPANAN BLD.'!$C$2:$D$793,2,FALSE),0)</f>
        <v>0</v>
      </c>
      <c r="P2946" s="79">
        <v>0</v>
      </c>
    </row>
    <row r="2947" spans="1:16" x14ac:dyDescent="0.25">
      <c r="A2947" t="s">
        <v>32</v>
      </c>
      <c r="B2947" s="73" t="str">
        <f t="shared" si="69"/>
        <v>NİKSAR</v>
      </c>
      <c r="C2947" t="s">
        <v>188</v>
      </c>
      <c r="D2947" s="73" t="str">
        <f t="shared" ref="D2947:D3010" si="70">CONCATENATE(B2947,"/",C2947)</f>
        <v>NİKSAR/TOKAT</v>
      </c>
      <c r="E2947" s="9" t="s">
        <v>229</v>
      </c>
      <c r="F2947" s="9" t="s">
        <v>229</v>
      </c>
      <c r="G2947" t="s">
        <v>3367</v>
      </c>
      <c r="H2947">
        <v>756</v>
      </c>
      <c r="I2947">
        <v>75.599999999999994</v>
      </c>
      <c r="J2947">
        <v>0</v>
      </c>
      <c r="K2947">
        <v>0</v>
      </c>
      <c r="L2947">
        <v>756</v>
      </c>
      <c r="M2947">
        <v>75.599999999999994</v>
      </c>
      <c r="O2947" s="79">
        <f>IFERROR(VLOOKUP(D2947,'KAPANAN BLD.'!$C$2:$D$793,2,FALSE),0)</f>
        <v>0</v>
      </c>
      <c r="P2947" s="79">
        <v>0</v>
      </c>
    </row>
    <row r="2948" spans="1:16" x14ac:dyDescent="0.25">
      <c r="A2948" t="s">
        <v>32</v>
      </c>
      <c r="B2948" s="73" t="str">
        <f t="shared" si="69"/>
        <v>NİKSAR</v>
      </c>
      <c r="C2948" t="s">
        <v>188</v>
      </c>
      <c r="D2948" s="73" t="str">
        <f t="shared" si="70"/>
        <v>NİKSAR/TOKAT</v>
      </c>
      <c r="E2948" s="9" t="s">
        <v>229</v>
      </c>
      <c r="F2948" s="9" t="s">
        <v>229</v>
      </c>
      <c r="G2948" t="s">
        <v>3366</v>
      </c>
      <c r="H2948">
        <v>30.4</v>
      </c>
      <c r="I2948">
        <v>3.04</v>
      </c>
      <c r="J2948">
        <v>0</v>
      </c>
      <c r="K2948">
        <v>0</v>
      </c>
      <c r="L2948">
        <v>30.4</v>
      </c>
      <c r="M2948">
        <v>3.04</v>
      </c>
      <c r="O2948" s="79">
        <f>IFERROR(VLOOKUP(D2948,'KAPANAN BLD.'!$C$2:$D$793,2,FALSE),0)</f>
        <v>0</v>
      </c>
      <c r="P2948" s="79">
        <v>0</v>
      </c>
    </row>
    <row r="2949" spans="1:16" x14ac:dyDescent="0.25">
      <c r="A2949" t="s">
        <v>32</v>
      </c>
      <c r="B2949" s="73" t="str">
        <f t="shared" si="69"/>
        <v>TURHAL</v>
      </c>
      <c r="C2949" t="s">
        <v>188</v>
      </c>
      <c r="D2949" s="73" t="str">
        <f t="shared" si="70"/>
        <v>TURHAL/TOKAT</v>
      </c>
      <c r="E2949" s="9" t="s">
        <v>383</v>
      </c>
      <c r="F2949" s="9" t="s">
        <v>383</v>
      </c>
      <c r="G2949" t="s">
        <v>3367</v>
      </c>
      <c r="H2949">
        <v>153.30000000000001</v>
      </c>
      <c r="I2949">
        <v>15.33</v>
      </c>
      <c r="J2949">
        <v>0</v>
      </c>
      <c r="K2949">
        <v>0</v>
      </c>
      <c r="L2949">
        <v>153.30000000000001</v>
      </c>
      <c r="M2949">
        <v>15.33</v>
      </c>
      <c r="O2949" s="79">
        <f>IFERROR(VLOOKUP(D2949,'KAPANAN BLD.'!$C$2:$D$793,2,FALSE),0)</f>
        <v>0</v>
      </c>
      <c r="P2949" s="79">
        <v>0</v>
      </c>
    </row>
    <row r="2950" spans="1:16" x14ac:dyDescent="0.25">
      <c r="A2950" t="s">
        <v>32</v>
      </c>
      <c r="B2950" s="73" t="str">
        <f t="shared" si="69"/>
        <v>TURHAL</v>
      </c>
      <c r="C2950" t="s">
        <v>188</v>
      </c>
      <c r="D2950" s="73" t="str">
        <f t="shared" si="70"/>
        <v>TURHAL/TOKAT</v>
      </c>
      <c r="E2950" s="9" t="s">
        <v>383</v>
      </c>
      <c r="F2950" s="9" t="s">
        <v>383</v>
      </c>
      <c r="G2950" t="s">
        <v>3366</v>
      </c>
      <c r="H2950">
        <v>402.8</v>
      </c>
      <c r="I2950">
        <v>40.28</v>
      </c>
      <c r="J2950">
        <v>0</v>
      </c>
      <c r="K2950">
        <v>0</v>
      </c>
      <c r="L2950">
        <v>402.8</v>
      </c>
      <c r="M2950">
        <v>40.28</v>
      </c>
      <c r="O2950" s="79">
        <f>IFERROR(VLOOKUP(D2950,'KAPANAN BLD.'!$C$2:$D$793,2,FALSE),0)</f>
        <v>0</v>
      </c>
      <c r="P2950" s="79">
        <v>0</v>
      </c>
    </row>
    <row r="2951" spans="1:16" x14ac:dyDescent="0.25">
      <c r="A2951" t="s">
        <v>32</v>
      </c>
      <c r="B2951" s="73" t="str">
        <f t="shared" si="69"/>
        <v>ERBAA</v>
      </c>
      <c r="C2951" t="s">
        <v>188</v>
      </c>
      <c r="D2951" s="73" t="str">
        <f t="shared" si="70"/>
        <v>ERBAA/TOKAT</v>
      </c>
      <c r="E2951" s="9" t="s">
        <v>85</v>
      </c>
      <c r="F2951" s="9" t="s">
        <v>85</v>
      </c>
      <c r="G2951" t="s">
        <v>3367</v>
      </c>
      <c r="H2951">
        <v>352.3</v>
      </c>
      <c r="I2951">
        <v>35.229999999999997</v>
      </c>
      <c r="J2951">
        <v>4.9000000000000004</v>
      </c>
      <c r="K2951">
        <v>0.49</v>
      </c>
      <c r="L2951">
        <v>347.4</v>
      </c>
      <c r="M2951">
        <v>34.74</v>
      </c>
      <c r="O2951" s="79">
        <f>IFERROR(VLOOKUP(D2951,'KAPANAN BLD.'!$C$2:$D$793,2,FALSE),0)</f>
        <v>0</v>
      </c>
      <c r="P2951" s="79">
        <v>0</v>
      </c>
    </row>
    <row r="2952" spans="1:16" x14ac:dyDescent="0.25">
      <c r="A2952" t="s">
        <v>32</v>
      </c>
      <c r="B2952" s="73" t="str">
        <f t="shared" si="69"/>
        <v>ERBAA</v>
      </c>
      <c r="C2952" t="s">
        <v>188</v>
      </c>
      <c r="D2952" s="73" t="str">
        <f t="shared" si="70"/>
        <v>ERBAA/TOKAT</v>
      </c>
      <c r="E2952" s="9" t="s">
        <v>85</v>
      </c>
      <c r="F2952" s="9" t="s">
        <v>85</v>
      </c>
      <c r="G2952" t="s">
        <v>3366</v>
      </c>
      <c r="H2952">
        <v>288.5</v>
      </c>
      <c r="I2952">
        <v>28.85</v>
      </c>
      <c r="J2952">
        <v>93.4</v>
      </c>
      <c r="K2952">
        <v>9.34</v>
      </c>
      <c r="L2952">
        <v>195.1</v>
      </c>
      <c r="M2952">
        <v>19.510000000000002</v>
      </c>
      <c r="O2952" s="79">
        <f>IFERROR(VLOOKUP(D2952,'KAPANAN BLD.'!$C$2:$D$793,2,FALSE),0)</f>
        <v>0</v>
      </c>
      <c r="P2952" s="79">
        <v>0</v>
      </c>
    </row>
    <row r="2953" spans="1:16" x14ac:dyDescent="0.25">
      <c r="A2953" t="s">
        <v>32</v>
      </c>
      <c r="B2953" s="73" t="str">
        <f t="shared" ref="B2953:B2976" si="71">F2953</f>
        <v>TURHAL</v>
      </c>
      <c r="C2953" t="s">
        <v>188</v>
      </c>
      <c r="D2953" s="73" t="str">
        <f t="shared" si="70"/>
        <v>TURHAL/TOKAT</v>
      </c>
      <c r="E2953" t="s">
        <v>383</v>
      </c>
      <c r="F2953" t="s">
        <v>383</v>
      </c>
      <c r="G2953" t="s">
        <v>3367</v>
      </c>
      <c r="H2953">
        <v>46.8</v>
      </c>
      <c r="I2953">
        <v>4.68</v>
      </c>
      <c r="J2953">
        <v>0</v>
      </c>
      <c r="K2953">
        <v>0</v>
      </c>
      <c r="L2953">
        <v>46.8</v>
      </c>
      <c r="M2953">
        <v>4.68</v>
      </c>
      <c r="O2953" s="79">
        <f>IFERROR(VLOOKUP(D2953,'KAPANAN BLD.'!$C$2:$D$793,2,FALSE),0)</f>
        <v>0</v>
      </c>
      <c r="P2953" s="79">
        <v>0</v>
      </c>
    </row>
    <row r="2954" spans="1:16" x14ac:dyDescent="0.25">
      <c r="A2954" t="s">
        <v>32</v>
      </c>
      <c r="B2954" s="73" t="str">
        <f t="shared" si="71"/>
        <v>TURHAL</v>
      </c>
      <c r="C2954" t="s">
        <v>188</v>
      </c>
      <c r="D2954" s="73" t="str">
        <f t="shared" si="70"/>
        <v>TURHAL/TOKAT</v>
      </c>
      <c r="E2954" t="s">
        <v>383</v>
      </c>
      <c r="F2954" t="s">
        <v>383</v>
      </c>
      <c r="G2954" t="s">
        <v>3366</v>
      </c>
      <c r="H2954">
        <v>298.60000000000002</v>
      </c>
      <c r="I2954">
        <v>29.86</v>
      </c>
      <c r="J2954">
        <v>0</v>
      </c>
      <c r="K2954">
        <v>0</v>
      </c>
      <c r="L2954">
        <v>298.60000000000002</v>
      </c>
      <c r="M2954">
        <v>29.86</v>
      </c>
      <c r="O2954" s="79">
        <f>IFERROR(VLOOKUP(D2954,'KAPANAN BLD.'!$C$2:$D$793,2,FALSE),0)</f>
        <v>0</v>
      </c>
      <c r="P2954" s="79">
        <v>0</v>
      </c>
    </row>
    <row r="2955" spans="1:16" x14ac:dyDescent="0.25">
      <c r="A2955" t="s">
        <v>32</v>
      </c>
      <c r="B2955" s="73" t="str">
        <f t="shared" si="71"/>
        <v>TURHAL</v>
      </c>
      <c r="C2955" t="s">
        <v>188</v>
      </c>
      <c r="D2955" s="73" t="str">
        <f t="shared" si="70"/>
        <v>TURHAL/TOKAT</v>
      </c>
      <c r="E2955" t="s">
        <v>383</v>
      </c>
      <c r="F2955" t="s">
        <v>383</v>
      </c>
      <c r="G2955" t="s">
        <v>3367</v>
      </c>
      <c r="H2955">
        <v>1207</v>
      </c>
      <c r="I2955">
        <v>120.7</v>
      </c>
      <c r="J2955">
        <v>0</v>
      </c>
      <c r="K2955">
        <v>0</v>
      </c>
      <c r="L2955">
        <v>1207</v>
      </c>
      <c r="M2955">
        <v>120.7</v>
      </c>
      <c r="O2955" s="79">
        <f>IFERROR(VLOOKUP(D2955,'KAPANAN BLD.'!$C$2:$D$793,2,FALSE),0)</f>
        <v>0</v>
      </c>
      <c r="P2955" s="79">
        <v>0</v>
      </c>
    </row>
    <row r="2956" spans="1:16" x14ac:dyDescent="0.25">
      <c r="A2956" t="s">
        <v>32</v>
      </c>
      <c r="B2956" s="73" t="str">
        <f t="shared" si="71"/>
        <v>TURHAL</v>
      </c>
      <c r="C2956" t="s">
        <v>188</v>
      </c>
      <c r="D2956" s="73" t="str">
        <f t="shared" si="70"/>
        <v>TURHAL/TOKAT</v>
      </c>
      <c r="E2956" t="s">
        <v>383</v>
      </c>
      <c r="F2956" t="s">
        <v>383</v>
      </c>
      <c r="G2956" t="s">
        <v>3366</v>
      </c>
      <c r="H2956">
        <v>1120.7</v>
      </c>
      <c r="I2956">
        <v>112.07</v>
      </c>
      <c r="J2956">
        <v>0</v>
      </c>
      <c r="K2956">
        <v>0</v>
      </c>
      <c r="L2956">
        <v>1120.7</v>
      </c>
      <c r="M2956">
        <v>112.07</v>
      </c>
      <c r="O2956" s="79">
        <f>IFERROR(VLOOKUP(D2956,'KAPANAN BLD.'!$C$2:$D$793,2,FALSE),0)</f>
        <v>0</v>
      </c>
      <c r="P2956" s="79">
        <v>0</v>
      </c>
    </row>
    <row r="2957" spans="1:16" x14ac:dyDescent="0.25">
      <c r="A2957" t="s">
        <v>32</v>
      </c>
      <c r="B2957" s="73" t="str">
        <f t="shared" si="71"/>
        <v>TURHAL</v>
      </c>
      <c r="C2957" t="s">
        <v>188</v>
      </c>
      <c r="D2957" s="73" t="str">
        <f t="shared" si="70"/>
        <v>TURHAL/TOKAT</v>
      </c>
      <c r="E2957" t="s">
        <v>383</v>
      </c>
      <c r="F2957" t="s">
        <v>383</v>
      </c>
      <c r="G2957" t="s">
        <v>3367</v>
      </c>
      <c r="H2957">
        <v>153.4</v>
      </c>
      <c r="I2957">
        <v>15.34</v>
      </c>
      <c r="J2957">
        <v>0</v>
      </c>
      <c r="K2957">
        <v>0</v>
      </c>
      <c r="L2957">
        <v>153.4</v>
      </c>
      <c r="M2957">
        <v>15.34</v>
      </c>
      <c r="O2957" s="79">
        <f>IFERROR(VLOOKUP(D2957,'KAPANAN BLD.'!$C$2:$D$793,2,FALSE),0)</f>
        <v>0</v>
      </c>
      <c r="P2957" s="79">
        <v>0</v>
      </c>
    </row>
    <row r="2958" spans="1:16" x14ac:dyDescent="0.25">
      <c r="A2958" t="s">
        <v>32</v>
      </c>
      <c r="B2958" s="73" t="str">
        <f t="shared" si="71"/>
        <v>TURHAL</v>
      </c>
      <c r="C2958" t="s">
        <v>188</v>
      </c>
      <c r="D2958" s="73" t="str">
        <f t="shared" si="70"/>
        <v>TURHAL/TOKAT</v>
      </c>
      <c r="E2958" t="s">
        <v>383</v>
      </c>
      <c r="F2958" t="s">
        <v>383</v>
      </c>
      <c r="G2958" t="s">
        <v>3366</v>
      </c>
      <c r="H2958">
        <v>89.6</v>
      </c>
      <c r="I2958">
        <v>8.9600000000000009</v>
      </c>
      <c r="J2958">
        <v>0</v>
      </c>
      <c r="K2958">
        <v>0</v>
      </c>
      <c r="L2958">
        <v>89.6</v>
      </c>
      <c r="M2958">
        <v>8.9600000000000009</v>
      </c>
      <c r="O2958" s="79">
        <f>IFERROR(VLOOKUP(D2958,'KAPANAN BLD.'!$C$2:$D$793,2,FALSE),0)</f>
        <v>0</v>
      </c>
      <c r="P2958" s="79">
        <v>0</v>
      </c>
    </row>
    <row r="2959" spans="1:16" x14ac:dyDescent="0.25">
      <c r="A2959" t="s">
        <v>32</v>
      </c>
      <c r="B2959" s="73" t="str">
        <f t="shared" si="71"/>
        <v>TURHAL</v>
      </c>
      <c r="C2959" t="s">
        <v>188</v>
      </c>
      <c r="D2959" s="73" t="str">
        <f t="shared" si="70"/>
        <v>TURHAL/TOKAT</v>
      </c>
      <c r="E2959" s="9" t="s">
        <v>383</v>
      </c>
      <c r="F2959" s="9" t="s">
        <v>383</v>
      </c>
      <c r="G2959" t="s">
        <v>3367</v>
      </c>
      <c r="H2959">
        <v>90.7</v>
      </c>
      <c r="I2959">
        <v>9.07</v>
      </c>
      <c r="J2959">
        <v>0</v>
      </c>
      <c r="K2959">
        <v>0</v>
      </c>
      <c r="L2959">
        <v>90.7</v>
      </c>
      <c r="M2959">
        <v>9.07</v>
      </c>
      <c r="O2959" s="79">
        <f>IFERROR(VLOOKUP(D2959,'KAPANAN BLD.'!$C$2:$D$793,2,FALSE),0)</f>
        <v>0</v>
      </c>
      <c r="P2959" s="79">
        <v>0</v>
      </c>
    </row>
    <row r="2960" spans="1:16" x14ac:dyDescent="0.25">
      <c r="A2960" t="s">
        <v>32</v>
      </c>
      <c r="B2960" s="73" t="str">
        <f t="shared" si="71"/>
        <v>TURHAL</v>
      </c>
      <c r="C2960" t="s">
        <v>188</v>
      </c>
      <c r="D2960" s="73" t="str">
        <f t="shared" si="70"/>
        <v>TURHAL/TOKAT</v>
      </c>
      <c r="E2960" s="9" t="s">
        <v>383</v>
      </c>
      <c r="F2960" s="9" t="s">
        <v>383</v>
      </c>
      <c r="G2960" t="s">
        <v>3366</v>
      </c>
      <c r="H2960">
        <v>432.7</v>
      </c>
      <c r="I2960">
        <v>43.27</v>
      </c>
      <c r="J2960">
        <v>0</v>
      </c>
      <c r="K2960">
        <v>0</v>
      </c>
      <c r="L2960">
        <v>432.7</v>
      </c>
      <c r="M2960">
        <v>43.27</v>
      </c>
      <c r="O2960" s="79">
        <f>IFERROR(VLOOKUP(D2960,'KAPANAN BLD.'!$C$2:$D$793,2,FALSE),0)</f>
        <v>0</v>
      </c>
      <c r="P2960" s="79">
        <v>0</v>
      </c>
    </row>
    <row r="2961" spans="1:16" x14ac:dyDescent="0.25">
      <c r="A2961" t="s">
        <v>32</v>
      </c>
      <c r="B2961" s="73" t="str">
        <f t="shared" si="71"/>
        <v>ERBAA</v>
      </c>
      <c r="C2961" t="s">
        <v>188</v>
      </c>
      <c r="D2961" s="73" t="str">
        <f t="shared" si="70"/>
        <v>ERBAA/TOKAT</v>
      </c>
      <c r="E2961" s="9" t="s">
        <v>85</v>
      </c>
      <c r="F2961" s="9" t="s">
        <v>85</v>
      </c>
      <c r="G2961" t="s">
        <v>3367</v>
      </c>
      <c r="H2961">
        <v>130.5</v>
      </c>
      <c r="I2961">
        <v>13.05</v>
      </c>
      <c r="J2961">
        <v>0</v>
      </c>
      <c r="K2961">
        <v>0</v>
      </c>
      <c r="L2961">
        <v>130.5</v>
      </c>
      <c r="M2961">
        <v>13.05</v>
      </c>
      <c r="O2961" s="79">
        <f>IFERROR(VLOOKUP(D2961,'KAPANAN BLD.'!$C$2:$D$793,2,FALSE),0)</f>
        <v>0</v>
      </c>
      <c r="P2961" s="79">
        <v>0</v>
      </c>
    </row>
    <row r="2962" spans="1:16" x14ac:dyDescent="0.25">
      <c r="A2962" t="s">
        <v>32</v>
      </c>
      <c r="B2962" s="73" t="str">
        <f t="shared" si="71"/>
        <v>ERBAA</v>
      </c>
      <c r="C2962" t="s">
        <v>188</v>
      </c>
      <c r="D2962" s="73" t="str">
        <f t="shared" si="70"/>
        <v>ERBAA/TOKAT</v>
      </c>
      <c r="E2962" s="9" t="s">
        <v>85</v>
      </c>
      <c r="F2962" s="9" t="s">
        <v>85</v>
      </c>
      <c r="G2962" t="s">
        <v>3366</v>
      </c>
      <c r="H2962">
        <v>103.3</v>
      </c>
      <c r="I2962">
        <v>10.33</v>
      </c>
      <c r="J2962">
        <v>0</v>
      </c>
      <c r="K2962">
        <v>0</v>
      </c>
      <c r="L2962">
        <v>103.3</v>
      </c>
      <c r="M2962">
        <v>10.33</v>
      </c>
      <c r="O2962" s="79">
        <f>IFERROR(VLOOKUP(D2962,'KAPANAN BLD.'!$C$2:$D$793,2,FALSE),0)</f>
        <v>0</v>
      </c>
      <c r="P2962" s="79">
        <v>0</v>
      </c>
    </row>
    <row r="2963" spans="1:16" x14ac:dyDescent="0.25">
      <c r="A2963" t="s">
        <v>32</v>
      </c>
      <c r="B2963" s="73" t="str">
        <f t="shared" si="71"/>
        <v>MERKEZ</v>
      </c>
      <c r="C2963" t="s">
        <v>188</v>
      </c>
      <c r="D2963" s="73" t="str">
        <f t="shared" si="70"/>
        <v>MERKEZ/TOKAT</v>
      </c>
      <c r="E2963" s="9" t="s">
        <v>34</v>
      </c>
      <c r="F2963" s="9" t="s">
        <v>34</v>
      </c>
      <c r="G2963" t="s">
        <v>3367</v>
      </c>
      <c r="H2963">
        <v>391.1</v>
      </c>
      <c r="I2963">
        <v>39.11</v>
      </c>
      <c r="J2963">
        <v>0</v>
      </c>
      <c r="K2963">
        <v>0</v>
      </c>
      <c r="L2963">
        <v>391.1</v>
      </c>
      <c r="M2963">
        <v>39.11</v>
      </c>
      <c r="O2963" s="79">
        <f>IFERROR(VLOOKUP(D2963,'KAPANAN BLD.'!$C$2:$D$793,2,FALSE),0)</f>
        <v>0</v>
      </c>
      <c r="P2963" s="79">
        <v>0</v>
      </c>
    </row>
    <row r="2964" spans="1:16" x14ac:dyDescent="0.25">
      <c r="A2964" t="s">
        <v>32</v>
      </c>
      <c r="B2964" s="73" t="str">
        <f t="shared" si="71"/>
        <v>MERKEZ</v>
      </c>
      <c r="C2964" t="s">
        <v>188</v>
      </c>
      <c r="D2964" s="73" t="str">
        <f t="shared" si="70"/>
        <v>MERKEZ/TOKAT</v>
      </c>
      <c r="E2964" s="9" t="s">
        <v>34</v>
      </c>
      <c r="F2964" s="9" t="s">
        <v>34</v>
      </c>
      <c r="G2964" t="s">
        <v>3366</v>
      </c>
      <c r="H2964">
        <v>171.4</v>
      </c>
      <c r="I2964">
        <v>17.14</v>
      </c>
      <c r="J2964">
        <v>0</v>
      </c>
      <c r="K2964">
        <v>0</v>
      </c>
      <c r="L2964">
        <v>171.4</v>
      </c>
      <c r="M2964">
        <v>17.14</v>
      </c>
      <c r="O2964" s="79">
        <f>IFERROR(VLOOKUP(D2964,'KAPANAN BLD.'!$C$2:$D$793,2,FALSE),0)</f>
        <v>0</v>
      </c>
      <c r="P2964" s="79">
        <v>0</v>
      </c>
    </row>
    <row r="2965" spans="1:16" x14ac:dyDescent="0.25">
      <c r="A2965" t="s">
        <v>32</v>
      </c>
      <c r="B2965" s="73" t="str">
        <f t="shared" si="71"/>
        <v>ZİLE</v>
      </c>
      <c r="C2965" t="s">
        <v>188</v>
      </c>
      <c r="D2965" s="73" t="str">
        <f t="shared" si="70"/>
        <v>ZİLE/TOKAT</v>
      </c>
      <c r="E2965" s="9" t="s">
        <v>384</v>
      </c>
      <c r="F2965" s="9" t="s">
        <v>384</v>
      </c>
      <c r="G2965" t="s">
        <v>3367</v>
      </c>
      <c r="H2965">
        <v>93.8</v>
      </c>
      <c r="I2965">
        <v>9.3800000000000008</v>
      </c>
      <c r="J2965">
        <v>4.4000000000000004</v>
      </c>
      <c r="K2965">
        <v>0.44</v>
      </c>
      <c r="L2965">
        <v>89.4</v>
      </c>
      <c r="M2965">
        <v>8.94</v>
      </c>
      <c r="O2965" s="79">
        <f>IFERROR(VLOOKUP(D2965,'KAPANAN BLD.'!$C$2:$D$793,2,FALSE),0)</f>
        <v>0</v>
      </c>
      <c r="P2965" s="79">
        <v>0</v>
      </c>
    </row>
    <row r="2966" spans="1:16" x14ac:dyDescent="0.25">
      <c r="A2966" t="s">
        <v>32</v>
      </c>
      <c r="B2966" s="73" t="str">
        <f t="shared" si="71"/>
        <v>ZİLE</v>
      </c>
      <c r="C2966" t="s">
        <v>188</v>
      </c>
      <c r="D2966" s="73" t="str">
        <f t="shared" si="70"/>
        <v>ZİLE/TOKAT</v>
      </c>
      <c r="E2966" s="9" t="s">
        <v>384</v>
      </c>
      <c r="F2966" s="9" t="s">
        <v>384</v>
      </c>
      <c r="G2966" t="s">
        <v>3366</v>
      </c>
      <c r="H2966">
        <v>4167.3</v>
      </c>
      <c r="I2966">
        <v>416.73</v>
      </c>
      <c r="J2966">
        <v>0</v>
      </c>
      <c r="K2966">
        <v>0</v>
      </c>
      <c r="L2966">
        <v>4167.3</v>
      </c>
      <c r="M2966">
        <v>416.73</v>
      </c>
      <c r="O2966" s="79">
        <f>IFERROR(VLOOKUP(D2966,'KAPANAN BLD.'!$C$2:$D$793,2,FALSE),0)</f>
        <v>0</v>
      </c>
      <c r="P2966" s="79">
        <v>0</v>
      </c>
    </row>
    <row r="2967" spans="1:16" x14ac:dyDescent="0.25">
      <c r="A2967" t="s">
        <v>32</v>
      </c>
      <c r="B2967" s="73" t="str">
        <f t="shared" si="71"/>
        <v>MERKEZ</v>
      </c>
      <c r="C2967" t="s">
        <v>188</v>
      </c>
      <c r="D2967" s="73" t="str">
        <f t="shared" si="70"/>
        <v>MERKEZ/TOKAT</v>
      </c>
      <c r="E2967" s="9" t="s">
        <v>34</v>
      </c>
      <c r="F2967" s="9" t="s">
        <v>34</v>
      </c>
      <c r="G2967" t="s">
        <v>3367</v>
      </c>
      <c r="H2967">
        <v>54.6</v>
      </c>
      <c r="I2967">
        <v>5.46</v>
      </c>
      <c r="J2967">
        <v>0</v>
      </c>
      <c r="K2967">
        <v>0</v>
      </c>
      <c r="L2967">
        <v>54.6</v>
      </c>
      <c r="M2967">
        <v>5.46</v>
      </c>
      <c r="O2967" s="79">
        <f>IFERROR(VLOOKUP(D2967,'KAPANAN BLD.'!$C$2:$D$793,2,FALSE),0)</f>
        <v>0</v>
      </c>
      <c r="P2967" s="79">
        <v>0</v>
      </c>
    </row>
    <row r="2968" spans="1:16" x14ac:dyDescent="0.25">
      <c r="A2968" t="s">
        <v>32</v>
      </c>
      <c r="B2968" s="73" t="str">
        <f t="shared" si="71"/>
        <v>MERKEZ</v>
      </c>
      <c r="C2968" t="s">
        <v>188</v>
      </c>
      <c r="D2968" s="73" t="str">
        <f t="shared" si="70"/>
        <v>MERKEZ/TOKAT</v>
      </c>
      <c r="E2968" s="9" t="s">
        <v>34</v>
      </c>
      <c r="F2968" s="9" t="s">
        <v>34</v>
      </c>
      <c r="G2968" t="s">
        <v>3366</v>
      </c>
      <c r="H2968">
        <v>103.3</v>
      </c>
      <c r="I2968">
        <v>10.33</v>
      </c>
      <c r="J2968">
        <v>0</v>
      </c>
      <c r="K2968">
        <v>0</v>
      </c>
      <c r="L2968">
        <v>103.3</v>
      </c>
      <c r="M2968">
        <v>10.33</v>
      </c>
      <c r="O2968" s="79">
        <f>IFERROR(VLOOKUP(D2968,'KAPANAN BLD.'!$C$2:$D$793,2,FALSE),0)</f>
        <v>0</v>
      </c>
      <c r="P2968" s="79">
        <v>0</v>
      </c>
    </row>
    <row r="2969" spans="1:16" x14ac:dyDescent="0.25">
      <c r="A2969" t="s">
        <v>32</v>
      </c>
      <c r="B2969" s="73" t="str">
        <f t="shared" si="71"/>
        <v>TURHAL</v>
      </c>
      <c r="C2969" t="s">
        <v>188</v>
      </c>
      <c r="D2969" s="73" t="str">
        <f t="shared" si="70"/>
        <v>TURHAL/TOKAT</v>
      </c>
      <c r="E2969" s="9" t="s">
        <v>383</v>
      </c>
      <c r="F2969" s="9" t="s">
        <v>383</v>
      </c>
      <c r="G2969" t="s">
        <v>3367</v>
      </c>
      <c r="H2969">
        <v>606.70000000000005</v>
      </c>
      <c r="I2969">
        <v>60.67</v>
      </c>
      <c r="J2969">
        <v>0</v>
      </c>
      <c r="K2969">
        <v>0</v>
      </c>
      <c r="L2969">
        <v>606.70000000000005</v>
      </c>
      <c r="M2969">
        <v>60.67</v>
      </c>
      <c r="O2969" s="79">
        <f>IFERROR(VLOOKUP(D2969,'KAPANAN BLD.'!$C$2:$D$793,2,FALSE),0)</f>
        <v>0</v>
      </c>
      <c r="P2969" s="79">
        <v>0</v>
      </c>
    </row>
    <row r="2970" spans="1:16" x14ac:dyDescent="0.25">
      <c r="A2970" t="s">
        <v>32</v>
      </c>
      <c r="B2970" s="73" t="str">
        <f t="shared" si="71"/>
        <v>TURHAL</v>
      </c>
      <c r="C2970" t="s">
        <v>188</v>
      </c>
      <c r="D2970" s="73" t="str">
        <f t="shared" si="70"/>
        <v>TURHAL/TOKAT</v>
      </c>
      <c r="E2970" s="9" t="s">
        <v>383</v>
      </c>
      <c r="F2970" s="9" t="s">
        <v>383</v>
      </c>
      <c r="G2970" t="s">
        <v>3366</v>
      </c>
      <c r="H2970">
        <v>393.6</v>
      </c>
      <c r="I2970">
        <v>39.36</v>
      </c>
      <c r="J2970">
        <v>0</v>
      </c>
      <c r="K2970">
        <v>0</v>
      </c>
      <c r="L2970">
        <v>393.6</v>
      </c>
      <c r="M2970">
        <v>39.36</v>
      </c>
      <c r="O2970" s="79">
        <f>IFERROR(VLOOKUP(D2970,'KAPANAN BLD.'!$C$2:$D$793,2,FALSE),0)</f>
        <v>0</v>
      </c>
      <c r="P2970" s="79">
        <v>0</v>
      </c>
    </row>
    <row r="2971" spans="1:16" x14ac:dyDescent="0.25">
      <c r="A2971" t="s">
        <v>32</v>
      </c>
      <c r="B2971" s="73" t="str">
        <f t="shared" si="71"/>
        <v>ZİLE</v>
      </c>
      <c r="C2971" t="s">
        <v>188</v>
      </c>
      <c r="D2971" s="73" t="str">
        <f t="shared" si="70"/>
        <v>ZİLE/TOKAT</v>
      </c>
      <c r="E2971" s="9" t="s">
        <v>384</v>
      </c>
      <c r="F2971" s="9" t="s">
        <v>384</v>
      </c>
      <c r="G2971" t="s">
        <v>3366</v>
      </c>
      <c r="H2971">
        <v>784.7</v>
      </c>
      <c r="I2971">
        <v>78.47</v>
      </c>
      <c r="J2971">
        <v>0</v>
      </c>
      <c r="K2971">
        <v>0</v>
      </c>
      <c r="L2971">
        <v>784.7</v>
      </c>
      <c r="M2971">
        <v>78.47</v>
      </c>
      <c r="O2971" s="79">
        <f>IFERROR(VLOOKUP(D2971,'KAPANAN BLD.'!$C$2:$D$793,2,FALSE),0)</f>
        <v>0</v>
      </c>
      <c r="P2971" s="79">
        <v>0</v>
      </c>
    </row>
    <row r="2972" spans="1:16" x14ac:dyDescent="0.25">
      <c r="A2972" t="s">
        <v>32</v>
      </c>
      <c r="B2972" s="73" t="str">
        <f t="shared" si="71"/>
        <v>ZİLE</v>
      </c>
      <c r="C2972" t="s">
        <v>188</v>
      </c>
      <c r="D2972" s="73" t="str">
        <f t="shared" si="70"/>
        <v>ZİLE/TOKAT</v>
      </c>
      <c r="E2972" s="9" t="s">
        <v>384</v>
      </c>
      <c r="F2972" s="9" t="s">
        <v>384</v>
      </c>
      <c r="G2972" t="s">
        <v>3367</v>
      </c>
      <c r="H2972">
        <v>800.8</v>
      </c>
      <c r="I2972">
        <v>80.08</v>
      </c>
      <c r="J2972">
        <v>0</v>
      </c>
      <c r="K2972">
        <v>0</v>
      </c>
      <c r="L2972">
        <v>800.8</v>
      </c>
      <c r="M2972">
        <v>80.08</v>
      </c>
      <c r="O2972" s="79">
        <f>IFERROR(VLOOKUP(D2972,'KAPANAN BLD.'!$C$2:$D$793,2,FALSE),0)</f>
        <v>0</v>
      </c>
      <c r="P2972" s="79">
        <v>0</v>
      </c>
    </row>
    <row r="2973" spans="1:16" x14ac:dyDescent="0.25">
      <c r="A2973" t="s">
        <v>32</v>
      </c>
      <c r="B2973" s="73" t="str">
        <f t="shared" si="71"/>
        <v>NİKSAR</v>
      </c>
      <c r="C2973" t="s">
        <v>188</v>
      </c>
      <c r="D2973" s="73" t="str">
        <f t="shared" si="70"/>
        <v>NİKSAR/TOKAT</v>
      </c>
      <c r="E2973" s="9" t="s">
        <v>229</v>
      </c>
      <c r="F2973" s="9" t="s">
        <v>229</v>
      </c>
      <c r="G2973" t="s">
        <v>3366</v>
      </c>
      <c r="H2973">
        <v>40574.67</v>
      </c>
      <c r="I2973">
        <v>4057.47</v>
      </c>
      <c r="J2973">
        <v>0</v>
      </c>
      <c r="K2973">
        <v>0</v>
      </c>
      <c r="L2973">
        <v>40574.67</v>
      </c>
      <c r="M2973">
        <v>4057.47</v>
      </c>
      <c r="O2973" s="79">
        <f>IFERROR(VLOOKUP(D2973,'KAPANAN BLD.'!$C$2:$D$793,2,FALSE),0)</f>
        <v>0</v>
      </c>
      <c r="P2973" s="79">
        <v>0</v>
      </c>
    </row>
    <row r="2974" spans="1:16" x14ac:dyDescent="0.25">
      <c r="A2974" t="s">
        <v>32</v>
      </c>
      <c r="B2974" s="73" t="str">
        <f t="shared" si="71"/>
        <v>NİKSAR</v>
      </c>
      <c r="C2974" t="s">
        <v>188</v>
      </c>
      <c r="D2974" s="73" t="str">
        <f t="shared" si="70"/>
        <v>NİKSAR/TOKAT</v>
      </c>
      <c r="E2974" s="9" t="s">
        <v>229</v>
      </c>
      <c r="F2974" s="9" t="s">
        <v>229</v>
      </c>
      <c r="G2974" t="s">
        <v>3367</v>
      </c>
      <c r="H2974">
        <v>30199.89</v>
      </c>
      <c r="I2974">
        <v>3019.99</v>
      </c>
      <c r="J2974">
        <v>0</v>
      </c>
      <c r="K2974">
        <v>0</v>
      </c>
      <c r="L2974">
        <v>30199.89</v>
      </c>
      <c r="M2974">
        <v>3019.99</v>
      </c>
      <c r="O2974" s="79">
        <f>IFERROR(VLOOKUP(D2974,'KAPANAN BLD.'!$C$2:$D$793,2,FALSE),0)</f>
        <v>0</v>
      </c>
      <c r="P2974" s="79">
        <v>0</v>
      </c>
    </row>
    <row r="2975" spans="1:16" x14ac:dyDescent="0.25">
      <c r="A2975" t="s">
        <v>32</v>
      </c>
      <c r="B2975" s="73" t="str">
        <f t="shared" si="71"/>
        <v>REŞADİYE</v>
      </c>
      <c r="C2975" t="s">
        <v>188</v>
      </c>
      <c r="D2975" s="73" t="str">
        <f t="shared" si="70"/>
        <v>REŞADİYE/TOKAT</v>
      </c>
      <c r="E2975" s="9" t="s">
        <v>2160</v>
      </c>
      <c r="F2975" s="9" t="s">
        <v>2160</v>
      </c>
      <c r="G2975" t="s">
        <v>3366</v>
      </c>
      <c r="H2975">
        <v>109.4</v>
      </c>
      <c r="I2975">
        <v>10.94</v>
      </c>
      <c r="J2975">
        <v>0</v>
      </c>
      <c r="K2975">
        <v>0</v>
      </c>
      <c r="L2975">
        <v>109.4</v>
      </c>
      <c r="M2975">
        <v>10.94</v>
      </c>
      <c r="O2975" s="79">
        <f>IFERROR(VLOOKUP(D2975,'KAPANAN BLD.'!$C$2:$D$793,2,FALSE),0)</f>
        <v>0</v>
      </c>
      <c r="P2975" s="79">
        <v>0</v>
      </c>
    </row>
    <row r="2976" spans="1:16" x14ac:dyDescent="0.25">
      <c r="A2976" t="s">
        <v>32</v>
      </c>
      <c r="B2976" s="73" t="str">
        <f t="shared" si="71"/>
        <v>REŞADİYE</v>
      </c>
      <c r="C2976" t="s">
        <v>188</v>
      </c>
      <c r="D2976" s="73" t="str">
        <f t="shared" si="70"/>
        <v>REŞADİYE/TOKAT</v>
      </c>
      <c r="E2976" s="9" t="s">
        <v>2160</v>
      </c>
      <c r="F2976" s="9" t="s">
        <v>2160</v>
      </c>
      <c r="G2976" t="s">
        <v>3367</v>
      </c>
      <c r="H2976">
        <v>191</v>
      </c>
      <c r="I2976">
        <v>19.100000000000001</v>
      </c>
      <c r="J2976">
        <v>0</v>
      </c>
      <c r="K2976">
        <v>0</v>
      </c>
      <c r="L2976">
        <v>191</v>
      </c>
      <c r="M2976">
        <v>19.100000000000001</v>
      </c>
      <c r="O2976" s="79">
        <f>IFERROR(VLOOKUP(D2976,'KAPANAN BLD.'!$C$2:$D$793,2,FALSE),0)</f>
        <v>0</v>
      </c>
      <c r="P2976" s="79">
        <v>0</v>
      </c>
    </row>
    <row r="2977" spans="1:16" x14ac:dyDescent="0.25">
      <c r="A2977" t="s">
        <v>32</v>
      </c>
      <c r="B2977" s="73" t="str">
        <f>VLOOKUP(C2977,'Büyükşehir List'!$C$2:$D$31,2,FALSE)</f>
        <v>TRABZON BÜYÜKŞEHİR</v>
      </c>
      <c r="C2977" t="s">
        <v>147</v>
      </c>
      <c r="D2977" s="73" t="str">
        <f t="shared" si="70"/>
        <v>TRABZON BÜYÜKŞEHİR/TRABZON</v>
      </c>
      <c r="E2977" t="s">
        <v>4235</v>
      </c>
      <c r="F2977" t="s">
        <v>4235</v>
      </c>
      <c r="G2977" t="s">
        <v>3367</v>
      </c>
      <c r="H2977">
        <v>260.39999999999998</v>
      </c>
      <c r="I2977">
        <v>26.04</v>
      </c>
      <c r="J2977">
        <v>0</v>
      </c>
      <c r="K2977">
        <v>0</v>
      </c>
      <c r="L2977">
        <v>260.39999999999998</v>
      </c>
      <c r="M2977">
        <v>26.04</v>
      </c>
      <c r="O2977" s="79">
        <f>IFERROR(VLOOKUP(D2977,'KAPANAN BLD.'!$C$2:$D$793,2,FALSE),0)</f>
        <v>0</v>
      </c>
      <c r="P2977" s="79">
        <v>0</v>
      </c>
    </row>
    <row r="2978" spans="1:16" x14ac:dyDescent="0.25">
      <c r="A2978" t="s">
        <v>32</v>
      </c>
      <c r="B2978" s="73" t="str">
        <f>VLOOKUP(C2978,'Büyükşehir List'!$C$2:$D$31,2,FALSE)</f>
        <v>TRABZON BÜYÜKŞEHİR</v>
      </c>
      <c r="C2978" t="s">
        <v>147</v>
      </c>
      <c r="D2978" s="73" t="str">
        <f t="shared" si="70"/>
        <v>TRABZON BÜYÜKŞEHİR/TRABZON</v>
      </c>
      <c r="E2978" t="s">
        <v>4235</v>
      </c>
      <c r="F2978" t="s">
        <v>4235</v>
      </c>
      <c r="G2978" t="s">
        <v>3366</v>
      </c>
      <c r="H2978">
        <v>134.4</v>
      </c>
      <c r="I2978">
        <v>13.44</v>
      </c>
      <c r="J2978">
        <v>0</v>
      </c>
      <c r="K2978">
        <v>0</v>
      </c>
      <c r="L2978">
        <v>134.4</v>
      </c>
      <c r="M2978">
        <v>13.44</v>
      </c>
      <c r="O2978" s="79">
        <f>IFERROR(VLOOKUP(D2978,'KAPANAN BLD.'!$C$2:$D$793,2,FALSE),0)</f>
        <v>0</v>
      </c>
      <c r="P2978" s="79">
        <v>0</v>
      </c>
    </row>
    <row r="2979" spans="1:16" x14ac:dyDescent="0.25">
      <c r="A2979" t="s">
        <v>32</v>
      </c>
      <c r="B2979" s="73" t="str">
        <f>VLOOKUP(C2979,'Büyükşehir List'!$C$2:$D$31,2,FALSE)</f>
        <v>TRABZON BÜYÜKŞEHİR</v>
      </c>
      <c r="C2979" t="s">
        <v>147</v>
      </c>
      <c r="D2979" s="73" t="str">
        <f t="shared" si="70"/>
        <v>TRABZON BÜYÜKŞEHİR/TRABZON</v>
      </c>
      <c r="E2979" t="s">
        <v>244</v>
      </c>
      <c r="F2979" t="s">
        <v>244</v>
      </c>
      <c r="G2979" t="s">
        <v>3367</v>
      </c>
      <c r="H2979">
        <v>0.3</v>
      </c>
      <c r="I2979">
        <v>0.03</v>
      </c>
      <c r="J2979">
        <v>0</v>
      </c>
      <c r="K2979">
        <v>0</v>
      </c>
      <c r="L2979">
        <v>0.3</v>
      </c>
      <c r="M2979">
        <v>0.03</v>
      </c>
      <c r="O2979" s="79">
        <f>IFERROR(VLOOKUP(D2979,'KAPANAN BLD.'!$C$2:$D$793,2,FALSE),0)</f>
        <v>0</v>
      </c>
      <c r="P2979" s="79">
        <v>0</v>
      </c>
    </row>
    <row r="2980" spans="1:16" x14ac:dyDescent="0.25">
      <c r="A2980" t="s">
        <v>32</v>
      </c>
      <c r="B2980" s="73" t="str">
        <f>VLOOKUP(C2980,'Büyükşehir List'!$C$2:$D$31,2,FALSE)</f>
        <v>TRABZON BÜYÜKŞEHİR</v>
      </c>
      <c r="C2980" t="s">
        <v>147</v>
      </c>
      <c r="D2980" s="73" t="str">
        <f t="shared" si="70"/>
        <v>TRABZON BÜYÜKŞEHİR/TRABZON</v>
      </c>
      <c r="E2980" t="s">
        <v>244</v>
      </c>
      <c r="F2980" t="s">
        <v>244</v>
      </c>
      <c r="G2980" t="s">
        <v>3366</v>
      </c>
      <c r="H2980">
        <v>1923.8</v>
      </c>
      <c r="I2980">
        <v>192.38</v>
      </c>
      <c r="J2980">
        <v>0</v>
      </c>
      <c r="K2980">
        <v>0</v>
      </c>
      <c r="L2980">
        <v>1923.8</v>
      </c>
      <c r="M2980">
        <v>192.38</v>
      </c>
      <c r="O2980" s="79">
        <f>IFERROR(VLOOKUP(D2980,'KAPANAN BLD.'!$C$2:$D$793,2,FALSE),0)</f>
        <v>0</v>
      </c>
      <c r="P2980" s="79">
        <v>0</v>
      </c>
    </row>
    <row r="2981" spans="1:16" x14ac:dyDescent="0.25">
      <c r="A2981" t="s">
        <v>32</v>
      </c>
      <c r="B2981" s="73" t="str">
        <f>VLOOKUP(C2981,'Büyükşehir List'!$C$2:$D$31,2,FALSE)</f>
        <v>TRABZON BÜYÜKŞEHİR</v>
      </c>
      <c r="C2981" t="s">
        <v>147</v>
      </c>
      <c r="D2981" s="73" t="str">
        <f t="shared" si="70"/>
        <v>TRABZON BÜYÜKŞEHİR/TRABZON</v>
      </c>
      <c r="E2981" t="s">
        <v>4315</v>
      </c>
      <c r="F2981" t="s">
        <v>4315</v>
      </c>
      <c r="G2981" t="s">
        <v>3366</v>
      </c>
      <c r="H2981">
        <v>72.5</v>
      </c>
      <c r="I2981">
        <v>7.25</v>
      </c>
      <c r="J2981">
        <v>0</v>
      </c>
      <c r="K2981">
        <v>0</v>
      </c>
      <c r="L2981">
        <v>72.5</v>
      </c>
      <c r="M2981">
        <v>7.25</v>
      </c>
      <c r="O2981" s="79">
        <f>IFERROR(VLOOKUP(D2981,'KAPANAN BLD.'!$C$2:$D$793,2,FALSE),0)</f>
        <v>0</v>
      </c>
      <c r="P2981" s="79">
        <v>0</v>
      </c>
    </row>
    <row r="2982" spans="1:16" x14ac:dyDescent="0.25">
      <c r="A2982" t="s">
        <v>32</v>
      </c>
      <c r="B2982" s="73" t="str">
        <f>VLOOKUP(C2982,'Büyükşehir List'!$C$2:$D$31,2,FALSE)</f>
        <v>TRABZON BÜYÜKŞEHİR</v>
      </c>
      <c r="C2982" t="s">
        <v>147</v>
      </c>
      <c r="D2982" s="73" t="str">
        <f t="shared" si="70"/>
        <v>TRABZON BÜYÜKŞEHİR/TRABZON</v>
      </c>
      <c r="E2982" t="s">
        <v>4315</v>
      </c>
      <c r="F2982" t="s">
        <v>4315</v>
      </c>
      <c r="G2982" t="s">
        <v>3367</v>
      </c>
      <c r="H2982">
        <v>256.89999999999998</v>
      </c>
      <c r="I2982">
        <v>25.69</v>
      </c>
      <c r="J2982">
        <v>0</v>
      </c>
      <c r="K2982">
        <v>0</v>
      </c>
      <c r="L2982">
        <v>256.89999999999998</v>
      </c>
      <c r="M2982">
        <v>25.69</v>
      </c>
      <c r="O2982" s="79">
        <f>IFERROR(VLOOKUP(D2982,'KAPANAN BLD.'!$C$2:$D$793,2,FALSE),0)</f>
        <v>0</v>
      </c>
      <c r="P2982" s="79">
        <v>0</v>
      </c>
    </row>
    <row r="2983" spans="1:16" x14ac:dyDescent="0.25">
      <c r="A2983" t="s">
        <v>32</v>
      </c>
      <c r="B2983" s="73" t="str">
        <f>VLOOKUP(C2983,'Büyükşehir List'!$C$2:$D$31,2,FALSE)</f>
        <v>TRABZON BÜYÜKŞEHİR</v>
      </c>
      <c r="C2983" t="s">
        <v>147</v>
      </c>
      <c r="D2983" s="73" t="str">
        <f t="shared" si="70"/>
        <v>TRABZON BÜYÜKŞEHİR/TRABZON</v>
      </c>
      <c r="E2983" t="s">
        <v>2057</v>
      </c>
      <c r="F2983" t="s">
        <v>2057</v>
      </c>
      <c r="G2983" t="s">
        <v>3366</v>
      </c>
      <c r="H2983">
        <v>256.3</v>
      </c>
      <c r="I2983">
        <v>25.63</v>
      </c>
      <c r="J2983">
        <v>0</v>
      </c>
      <c r="K2983">
        <v>0</v>
      </c>
      <c r="L2983">
        <v>256.3</v>
      </c>
      <c r="M2983">
        <v>25.63</v>
      </c>
      <c r="O2983" s="79">
        <f>IFERROR(VLOOKUP(D2983,'KAPANAN BLD.'!$C$2:$D$793,2,FALSE),0)</f>
        <v>0</v>
      </c>
      <c r="P2983" s="79">
        <v>0</v>
      </c>
    </row>
    <row r="2984" spans="1:16" x14ac:dyDescent="0.25">
      <c r="A2984" t="s">
        <v>32</v>
      </c>
      <c r="B2984" s="73" t="str">
        <f>VLOOKUP(C2984,'Büyükşehir List'!$C$2:$D$31,2,FALSE)</f>
        <v>TRABZON BÜYÜKŞEHİR</v>
      </c>
      <c r="C2984" t="s">
        <v>147</v>
      </c>
      <c r="D2984" s="73" t="str">
        <f t="shared" si="70"/>
        <v>TRABZON BÜYÜKŞEHİR/TRABZON</v>
      </c>
      <c r="E2984" t="s">
        <v>2057</v>
      </c>
      <c r="F2984" t="s">
        <v>2057</v>
      </c>
      <c r="G2984" t="s">
        <v>3367</v>
      </c>
      <c r="H2984">
        <v>264.8</v>
      </c>
      <c r="I2984">
        <v>26.48</v>
      </c>
      <c r="J2984">
        <v>0</v>
      </c>
      <c r="K2984">
        <v>0</v>
      </c>
      <c r="L2984">
        <v>264.8</v>
      </c>
      <c r="M2984">
        <v>26.48</v>
      </c>
      <c r="O2984" s="79">
        <f>IFERROR(VLOOKUP(D2984,'KAPANAN BLD.'!$C$2:$D$793,2,FALSE),0)</f>
        <v>0</v>
      </c>
      <c r="P2984" s="79">
        <v>0</v>
      </c>
    </row>
    <row r="2985" spans="1:16" x14ac:dyDescent="0.25">
      <c r="A2985" t="s">
        <v>32</v>
      </c>
      <c r="B2985" s="73" t="str">
        <f>VLOOKUP(C2985,'Büyükşehir List'!$C$2:$D$31,2,FALSE)</f>
        <v>TRABZON BÜYÜKŞEHİR</v>
      </c>
      <c r="C2985" t="s">
        <v>147</v>
      </c>
      <c r="D2985" s="73" t="str">
        <f t="shared" si="70"/>
        <v>TRABZON BÜYÜKŞEHİR/TRABZON</v>
      </c>
      <c r="E2985" t="s">
        <v>4288</v>
      </c>
      <c r="F2985" t="s">
        <v>4288</v>
      </c>
      <c r="G2985" t="s">
        <v>3366</v>
      </c>
      <c r="H2985">
        <v>0</v>
      </c>
      <c r="I2985">
        <v>0</v>
      </c>
      <c r="J2985">
        <v>2.7</v>
      </c>
      <c r="K2985">
        <v>0.27</v>
      </c>
      <c r="L2985">
        <v>-2.7</v>
      </c>
      <c r="M2985">
        <v>-0.27</v>
      </c>
      <c r="O2985" s="79">
        <f>IFERROR(VLOOKUP(D2985,'KAPANAN BLD.'!$C$2:$D$793,2,FALSE),0)</f>
        <v>0</v>
      </c>
      <c r="P2985" s="79">
        <v>0</v>
      </c>
    </row>
    <row r="2986" spans="1:16" x14ac:dyDescent="0.25">
      <c r="A2986" t="s">
        <v>32</v>
      </c>
      <c r="B2986" s="73" t="str">
        <f>VLOOKUP(C2986,'Büyükşehir List'!$C$2:$D$31,2,FALSE)</f>
        <v>TRABZON BÜYÜKŞEHİR</v>
      </c>
      <c r="C2986" t="s">
        <v>147</v>
      </c>
      <c r="D2986" s="73" t="str">
        <f t="shared" si="70"/>
        <v>TRABZON BÜYÜKŞEHİR/TRABZON</v>
      </c>
      <c r="E2986" t="s">
        <v>4288</v>
      </c>
      <c r="F2986" t="s">
        <v>4288</v>
      </c>
      <c r="G2986" t="s">
        <v>3367</v>
      </c>
      <c r="H2986">
        <v>0</v>
      </c>
      <c r="I2986">
        <v>0</v>
      </c>
      <c r="J2986">
        <v>0.2</v>
      </c>
      <c r="K2986">
        <v>0.02</v>
      </c>
      <c r="L2986">
        <v>-0.2</v>
      </c>
      <c r="M2986">
        <v>-0.02</v>
      </c>
      <c r="O2986" s="79">
        <f>IFERROR(VLOOKUP(D2986,'KAPANAN BLD.'!$C$2:$D$793,2,FALSE),0)</f>
        <v>0</v>
      </c>
      <c r="P2986" s="79">
        <v>0</v>
      </c>
    </row>
    <row r="2987" spans="1:16" x14ac:dyDescent="0.25">
      <c r="A2987" t="s">
        <v>32</v>
      </c>
      <c r="B2987" s="73" t="str">
        <f>VLOOKUP(C2987,'Büyükşehir List'!$C$2:$D$31,2,FALSE)</f>
        <v>TRABZON BÜYÜKŞEHİR</v>
      </c>
      <c r="C2987" t="s">
        <v>147</v>
      </c>
      <c r="D2987" s="73" t="str">
        <f t="shared" si="70"/>
        <v>TRABZON BÜYÜKŞEHİR/TRABZON</v>
      </c>
      <c r="E2987" t="s">
        <v>1889</v>
      </c>
      <c r="F2987" t="s">
        <v>1889</v>
      </c>
      <c r="G2987" t="s">
        <v>3366</v>
      </c>
      <c r="H2987">
        <v>931.2</v>
      </c>
      <c r="I2987">
        <v>93.12</v>
      </c>
      <c r="J2987">
        <v>0</v>
      </c>
      <c r="K2987">
        <v>0</v>
      </c>
      <c r="L2987">
        <v>931.2</v>
      </c>
      <c r="M2987">
        <v>93.12</v>
      </c>
      <c r="O2987" s="79">
        <f>IFERROR(VLOOKUP(D2987,'KAPANAN BLD.'!$C$2:$D$793,2,FALSE),0)</f>
        <v>0</v>
      </c>
      <c r="P2987" s="79">
        <v>0</v>
      </c>
    </row>
    <row r="2988" spans="1:16" x14ac:dyDescent="0.25">
      <c r="A2988" t="s">
        <v>32</v>
      </c>
      <c r="B2988" s="73" t="str">
        <f>VLOOKUP(C2988,'Büyükşehir List'!$C$2:$D$31,2,FALSE)</f>
        <v>TRABZON BÜYÜKŞEHİR</v>
      </c>
      <c r="C2988" t="s">
        <v>147</v>
      </c>
      <c r="D2988" s="73" t="str">
        <f t="shared" si="70"/>
        <v>TRABZON BÜYÜKŞEHİR/TRABZON</v>
      </c>
      <c r="E2988" t="s">
        <v>1889</v>
      </c>
      <c r="F2988" t="s">
        <v>1889</v>
      </c>
      <c r="G2988" t="s">
        <v>3367</v>
      </c>
      <c r="H2988">
        <v>699.1</v>
      </c>
      <c r="I2988">
        <v>69.91</v>
      </c>
      <c r="J2988">
        <v>0</v>
      </c>
      <c r="K2988">
        <v>0</v>
      </c>
      <c r="L2988">
        <v>699.1</v>
      </c>
      <c r="M2988">
        <v>69.91</v>
      </c>
      <c r="O2988" s="79">
        <f>IFERROR(VLOOKUP(D2988,'KAPANAN BLD.'!$C$2:$D$793,2,FALSE),0)</f>
        <v>0</v>
      </c>
      <c r="P2988" s="79">
        <v>0</v>
      </c>
    </row>
    <row r="2989" spans="1:16" x14ac:dyDescent="0.25">
      <c r="A2989" t="s">
        <v>32</v>
      </c>
      <c r="B2989" s="73" t="str">
        <f>VLOOKUP(C2989,'Büyükşehir List'!$C$2:$D$31,2,FALSE)</f>
        <v>TRABZON BÜYÜKŞEHİR</v>
      </c>
      <c r="C2989" t="s">
        <v>147</v>
      </c>
      <c r="D2989" s="73" t="str">
        <f t="shared" si="70"/>
        <v>TRABZON BÜYÜKŞEHİR/TRABZON</v>
      </c>
      <c r="E2989" t="s">
        <v>3333</v>
      </c>
      <c r="F2989" t="s">
        <v>3333</v>
      </c>
      <c r="G2989" t="s">
        <v>3367</v>
      </c>
      <c r="H2989">
        <v>1449.1</v>
      </c>
      <c r="I2989">
        <v>144.91</v>
      </c>
      <c r="J2989">
        <v>0</v>
      </c>
      <c r="K2989">
        <v>0</v>
      </c>
      <c r="L2989">
        <v>1449.1</v>
      </c>
      <c r="M2989">
        <v>144.91</v>
      </c>
      <c r="O2989" s="79">
        <f>IFERROR(VLOOKUP(D2989,'KAPANAN BLD.'!$C$2:$D$793,2,FALSE),0)</f>
        <v>0</v>
      </c>
      <c r="P2989" s="79">
        <v>0</v>
      </c>
    </row>
    <row r="2990" spans="1:16" x14ac:dyDescent="0.25">
      <c r="A2990" t="s">
        <v>32</v>
      </c>
      <c r="B2990" s="73" t="str">
        <f>VLOOKUP(C2990,'Büyükşehir List'!$C$2:$D$31,2,FALSE)</f>
        <v>TRABZON BÜYÜKŞEHİR</v>
      </c>
      <c r="C2990" t="s">
        <v>147</v>
      </c>
      <c r="D2990" s="73" t="str">
        <f t="shared" si="70"/>
        <v>TRABZON BÜYÜKŞEHİR/TRABZON</v>
      </c>
      <c r="E2990" t="s">
        <v>3333</v>
      </c>
      <c r="F2990" t="s">
        <v>3333</v>
      </c>
      <c r="G2990" t="s">
        <v>3366</v>
      </c>
      <c r="H2990">
        <v>1266.8</v>
      </c>
      <c r="I2990">
        <v>126.68</v>
      </c>
      <c r="J2990">
        <v>0</v>
      </c>
      <c r="K2990">
        <v>0</v>
      </c>
      <c r="L2990">
        <v>1266.8</v>
      </c>
      <c r="M2990">
        <v>126.68</v>
      </c>
      <c r="O2990" s="79">
        <f>IFERROR(VLOOKUP(D2990,'KAPANAN BLD.'!$C$2:$D$793,2,FALSE),0)</f>
        <v>0</v>
      </c>
      <c r="P2990" s="79">
        <v>0</v>
      </c>
    </row>
    <row r="2991" spans="1:16" x14ac:dyDescent="0.25">
      <c r="A2991" t="s">
        <v>32</v>
      </c>
      <c r="B2991" s="73" t="str">
        <f>VLOOKUP(C2991,'Büyükşehir List'!$C$2:$D$31,2,FALSE)</f>
        <v>TRABZON BÜYÜKŞEHİR</v>
      </c>
      <c r="C2991" t="s">
        <v>147</v>
      </c>
      <c r="D2991" s="73" t="str">
        <f t="shared" si="70"/>
        <v>TRABZON BÜYÜKŞEHİR/TRABZON</v>
      </c>
      <c r="E2991" t="s">
        <v>4405</v>
      </c>
      <c r="F2991" t="s">
        <v>4405</v>
      </c>
      <c r="G2991" t="s">
        <v>3366</v>
      </c>
      <c r="H2991">
        <v>17.5</v>
      </c>
      <c r="I2991">
        <v>1.75</v>
      </c>
      <c r="J2991">
        <v>0</v>
      </c>
      <c r="K2991">
        <v>0</v>
      </c>
      <c r="L2991">
        <v>17.5</v>
      </c>
      <c r="M2991">
        <v>1.75</v>
      </c>
      <c r="O2991" s="79">
        <f>IFERROR(VLOOKUP(D2991,'KAPANAN BLD.'!$C$2:$D$793,2,FALSE),0)</f>
        <v>0</v>
      </c>
      <c r="P2991" s="79">
        <v>0</v>
      </c>
    </row>
    <row r="2992" spans="1:16" x14ac:dyDescent="0.25">
      <c r="A2992" t="s">
        <v>32</v>
      </c>
      <c r="B2992" s="73" t="str">
        <f>VLOOKUP(C2992,'Büyükşehir List'!$C$2:$D$31,2,FALSE)</f>
        <v>TRABZON BÜYÜKŞEHİR</v>
      </c>
      <c r="C2992" t="s">
        <v>147</v>
      </c>
      <c r="D2992" s="73" t="str">
        <f t="shared" si="70"/>
        <v>TRABZON BÜYÜKŞEHİR/TRABZON</v>
      </c>
      <c r="E2992" t="s">
        <v>4405</v>
      </c>
      <c r="F2992" t="s">
        <v>4405</v>
      </c>
      <c r="G2992" t="s">
        <v>3367</v>
      </c>
      <c r="H2992">
        <v>30.6</v>
      </c>
      <c r="I2992">
        <v>3.06</v>
      </c>
      <c r="J2992">
        <v>0</v>
      </c>
      <c r="K2992">
        <v>0</v>
      </c>
      <c r="L2992">
        <v>30.6</v>
      </c>
      <c r="M2992">
        <v>3.06</v>
      </c>
      <c r="O2992" s="79">
        <f>IFERROR(VLOOKUP(D2992,'KAPANAN BLD.'!$C$2:$D$793,2,FALSE),0)</f>
        <v>0</v>
      </c>
      <c r="P2992" s="79">
        <v>0</v>
      </c>
    </row>
    <row r="2993" spans="1:16" x14ac:dyDescent="0.25">
      <c r="A2993" t="s">
        <v>32</v>
      </c>
      <c r="B2993" s="73" t="str">
        <f>VLOOKUP(C2993,'Büyükşehir List'!$C$2:$D$31,2,FALSE)</f>
        <v>TRABZON BÜYÜKŞEHİR</v>
      </c>
      <c r="C2993" t="s">
        <v>147</v>
      </c>
      <c r="D2993" s="73" t="str">
        <f t="shared" si="70"/>
        <v>TRABZON BÜYÜKŞEHİR/TRABZON</v>
      </c>
      <c r="E2993" t="s">
        <v>4039</v>
      </c>
      <c r="F2993" t="s">
        <v>4039</v>
      </c>
      <c r="G2993" t="s">
        <v>3367</v>
      </c>
      <c r="H2993">
        <v>850.7</v>
      </c>
      <c r="I2993">
        <v>85.07</v>
      </c>
      <c r="J2993">
        <v>0</v>
      </c>
      <c r="K2993">
        <v>0</v>
      </c>
      <c r="L2993">
        <v>850.7</v>
      </c>
      <c r="M2993">
        <v>85.07</v>
      </c>
      <c r="O2993" s="79">
        <f>IFERROR(VLOOKUP(D2993,'KAPANAN BLD.'!$C$2:$D$793,2,FALSE),0)</f>
        <v>0</v>
      </c>
      <c r="P2993" s="79">
        <v>0</v>
      </c>
    </row>
    <row r="2994" spans="1:16" x14ac:dyDescent="0.25">
      <c r="A2994" t="s">
        <v>32</v>
      </c>
      <c r="B2994" s="73" t="str">
        <f>VLOOKUP(C2994,'Büyükşehir List'!$C$2:$D$31,2,FALSE)</f>
        <v>TRABZON BÜYÜKŞEHİR</v>
      </c>
      <c r="C2994" t="s">
        <v>147</v>
      </c>
      <c r="D2994" s="73" t="str">
        <f t="shared" si="70"/>
        <v>TRABZON BÜYÜKŞEHİR/TRABZON</v>
      </c>
      <c r="E2994" t="s">
        <v>4537</v>
      </c>
      <c r="F2994" t="s">
        <v>4537</v>
      </c>
      <c r="G2994" t="s">
        <v>3367</v>
      </c>
      <c r="H2994">
        <v>52.8</v>
      </c>
      <c r="I2994">
        <v>5.28</v>
      </c>
      <c r="J2994">
        <v>0</v>
      </c>
      <c r="K2994">
        <v>0</v>
      </c>
      <c r="L2994">
        <v>52.8</v>
      </c>
      <c r="M2994">
        <v>5.28</v>
      </c>
      <c r="O2994" s="79">
        <f>IFERROR(VLOOKUP(D2994,'KAPANAN BLD.'!$C$2:$D$793,2,FALSE),0)</f>
        <v>0</v>
      </c>
      <c r="P2994" s="79">
        <v>0</v>
      </c>
    </row>
    <row r="2995" spans="1:16" x14ac:dyDescent="0.25">
      <c r="A2995" t="s">
        <v>32</v>
      </c>
      <c r="B2995" s="73" t="str">
        <f>VLOOKUP(C2995,'Büyükşehir List'!$C$2:$D$31,2,FALSE)</f>
        <v>TRABZON BÜYÜKŞEHİR</v>
      </c>
      <c r="C2995" t="s">
        <v>147</v>
      </c>
      <c r="D2995" s="73" t="str">
        <f t="shared" si="70"/>
        <v>TRABZON BÜYÜKŞEHİR/TRABZON</v>
      </c>
      <c r="E2995" t="s">
        <v>4537</v>
      </c>
      <c r="F2995" t="s">
        <v>4537</v>
      </c>
      <c r="G2995" t="s">
        <v>3366</v>
      </c>
      <c r="H2995">
        <v>852.2</v>
      </c>
      <c r="I2995">
        <v>85.22</v>
      </c>
      <c r="J2995">
        <v>0</v>
      </c>
      <c r="K2995">
        <v>0</v>
      </c>
      <c r="L2995">
        <v>852.2</v>
      </c>
      <c r="M2995">
        <v>85.22</v>
      </c>
      <c r="O2995" s="79">
        <f>IFERROR(VLOOKUP(D2995,'KAPANAN BLD.'!$C$2:$D$793,2,FALSE),0)</f>
        <v>0</v>
      </c>
      <c r="P2995" s="79">
        <v>0</v>
      </c>
    </row>
    <row r="2996" spans="1:16" x14ac:dyDescent="0.25">
      <c r="A2996" t="s">
        <v>32</v>
      </c>
      <c r="B2996" s="73" t="str">
        <f>VLOOKUP(C2996,'Büyükşehir List'!$C$2:$D$31,2,FALSE)</f>
        <v>TRABZON BÜYÜKŞEHİR</v>
      </c>
      <c r="C2996" t="s">
        <v>147</v>
      </c>
      <c r="D2996" s="73" t="str">
        <f t="shared" si="70"/>
        <v>TRABZON BÜYÜKŞEHİR/TRABZON</v>
      </c>
      <c r="E2996" t="s">
        <v>4014</v>
      </c>
      <c r="F2996" t="s">
        <v>4014</v>
      </c>
      <c r="G2996" t="s">
        <v>3366</v>
      </c>
      <c r="H2996">
        <v>14.5</v>
      </c>
      <c r="I2996">
        <v>1.45</v>
      </c>
      <c r="J2996">
        <v>0</v>
      </c>
      <c r="K2996">
        <v>0</v>
      </c>
      <c r="L2996">
        <v>14.5</v>
      </c>
      <c r="M2996">
        <v>1.45</v>
      </c>
      <c r="O2996" s="79">
        <f>IFERROR(VLOOKUP(D2996,'KAPANAN BLD.'!$C$2:$D$793,2,FALSE),0)</f>
        <v>0</v>
      </c>
      <c r="P2996" s="79">
        <v>0</v>
      </c>
    </row>
    <row r="2997" spans="1:16" x14ac:dyDescent="0.25">
      <c r="A2997" t="s">
        <v>32</v>
      </c>
      <c r="B2997" s="73" t="str">
        <f>VLOOKUP(C2997,'Büyükşehir List'!$C$2:$D$31,2,FALSE)</f>
        <v>TRABZON BÜYÜKŞEHİR</v>
      </c>
      <c r="C2997" t="s">
        <v>147</v>
      </c>
      <c r="D2997" s="73" t="str">
        <f t="shared" si="70"/>
        <v>TRABZON BÜYÜKŞEHİR/TRABZON</v>
      </c>
      <c r="E2997" t="s">
        <v>4014</v>
      </c>
      <c r="F2997" t="s">
        <v>4014</v>
      </c>
      <c r="G2997" t="s">
        <v>3367</v>
      </c>
      <c r="H2997">
        <v>24.9</v>
      </c>
      <c r="I2997">
        <v>2.4900000000000002</v>
      </c>
      <c r="J2997">
        <v>0</v>
      </c>
      <c r="K2997">
        <v>0</v>
      </c>
      <c r="L2997">
        <v>24.9</v>
      </c>
      <c r="M2997">
        <v>2.4900000000000002</v>
      </c>
      <c r="O2997" s="79">
        <f>IFERROR(VLOOKUP(D2997,'KAPANAN BLD.'!$C$2:$D$793,2,FALSE),0)</f>
        <v>0</v>
      </c>
      <c r="P2997" s="79">
        <v>0</v>
      </c>
    </row>
    <row r="2998" spans="1:16" x14ac:dyDescent="0.25">
      <c r="A2998" t="s">
        <v>32</v>
      </c>
      <c r="B2998" s="73" t="str">
        <f>VLOOKUP(C2998,'Büyükşehir List'!$C$2:$D$31,2,FALSE)</f>
        <v>TRABZON BÜYÜKŞEHİR</v>
      </c>
      <c r="C2998" t="s">
        <v>147</v>
      </c>
      <c r="D2998" s="73" t="str">
        <f t="shared" si="70"/>
        <v>TRABZON BÜYÜKŞEHİR/TRABZON</v>
      </c>
      <c r="E2998" t="s">
        <v>3942</v>
      </c>
      <c r="F2998" t="s">
        <v>3942</v>
      </c>
      <c r="G2998" t="s">
        <v>3367</v>
      </c>
      <c r="H2998">
        <v>2276.6</v>
      </c>
      <c r="I2998">
        <v>227.66</v>
      </c>
      <c r="J2998">
        <v>0</v>
      </c>
      <c r="K2998">
        <v>0</v>
      </c>
      <c r="L2998">
        <v>2276.6</v>
      </c>
      <c r="M2998">
        <v>227.66</v>
      </c>
      <c r="O2998" s="79">
        <f>IFERROR(VLOOKUP(D2998,'KAPANAN BLD.'!$C$2:$D$793,2,FALSE),0)</f>
        <v>0</v>
      </c>
      <c r="P2998" s="79">
        <v>0</v>
      </c>
    </row>
    <row r="2999" spans="1:16" x14ac:dyDescent="0.25">
      <c r="A2999" t="s">
        <v>32</v>
      </c>
      <c r="B2999" s="73" t="str">
        <f>VLOOKUP(C2999,'Büyükşehir List'!$C$2:$D$31,2,FALSE)</f>
        <v>TRABZON BÜYÜKŞEHİR</v>
      </c>
      <c r="C2999" t="s">
        <v>147</v>
      </c>
      <c r="D2999" s="73" t="str">
        <f t="shared" si="70"/>
        <v>TRABZON BÜYÜKŞEHİR/TRABZON</v>
      </c>
      <c r="E2999" t="s">
        <v>3942</v>
      </c>
      <c r="F2999" t="s">
        <v>3942</v>
      </c>
      <c r="G2999" t="s">
        <v>3366</v>
      </c>
      <c r="H2999">
        <v>586.29999999999995</v>
      </c>
      <c r="I2999">
        <v>58.63</v>
      </c>
      <c r="J2999">
        <v>0</v>
      </c>
      <c r="K2999">
        <v>0</v>
      </c>
      <c r="L2999">
        <v>586.29999999999995</v>
      </c>
      <c r="M2999">
        <v>58.63</v>
      </c>
      <c r="O2999" s="79">
        <f>IFERROR(VLOOKUP(D2999,'KAPANAN BLD.'!$C$2:$D$793,2,FALSE),0)</f>
        <v>0</v>
      </c>
      <c r="P2999" s="79">
        <v>0</v>
      </c>
    </row>
    <row r="3000" spans="1:16" x14ac:dyDescent="0.25">
      <c r="A3000" t="s">
        <v>32</v>
      </c>
      <c r="B3000" s="73" t="str">
        <f>VLOOKUP(C3000,'Büyükşehir List'!$C$2:$D$31,2,FALSE)</f>
        <v>TRABZON BÜYÜKŞEHİR</v>
      </c>
      <c r="C3000" t="s">
        <v>147</v>
      </c>
      <c r="D3000" s="73" t="str">
        <f t="shared" si="70"/>
        <v>TRABZON BÜYÜKŞEHİR/TRABZON</v>
      </c>
      <c r="E3000" t="s">
        <v>3783</v>
      </c>
      <c r="F3000" t="s">
        <v>3783</v>
      </c>
      <c r="G3000" t="s">
        <v>3366</v>
      </c>
      <c r="H3000">
        <v>1169.5999999999999</v>
      </c>
      <c r="I3000">
        <v>116.96</v>
      </c>
      <c r="J3000">
        <v>0</v>
      </c>
      <c r="K3000">
        <v>0</v>
      </c>
      <c r="L3000">
        <v>1169.5999999999999</v>
      </c>
      <c r="M3000">
        <v>116.96</v>
      </c>
      <c r="O3000" s="79">
        <f>IFERROR(VLOOKUP(D3000,'KAPANAN BLD.'!$C$2:$D$793,2,FALSE),0)</f>
        <v>0</v>
      </c>
      <c r="P3000" s="79">
        <v>0</v>
      </c>
    </row>
    <row r="3001" spans="1:16" x14ac:dyDescent="0.25">
      <c r="A3001" t="s">
        <v>32</v>
      </c>
      <c r="B3001" s="73" t="str">
        <f>VLOOKUP(C3001,'Büyükşehir List'!$C$2:$D$31,2,FALSE)</f>
        <v>TRABZON BÜYÜKŞEHİR</v>
      </c>
      <c r="C3001" t="s">
        <v>147</v>
      </c>
      <c r="D3001" s="73" t="str">
        <f t="shared" si="70"/>
        <v>TRABZON BÜYÜKŞEHİR/TRABZON</v>
      </c>
      <c r="E3001" t="s">
        <v>3783</v>
      </c>
      <c r="F3001" t="s">
        <v>3783</v>
      </c>
      <c r="G3001" t="s">
        <v>3367</v>
      </c>
      <c r="H3001">
        <v>454.1</v>
      </c>
      <c r="I3001">
        <v>45.41</v>
      </c>
      <c r="J3001">
        <v>0</v>
      </c>
      <c r="K3001">
        <v>0</v>
      </c>
      <c r="L3001">
        <v>454.1</v>
      </c>
      <c r="M3001">
        <v>45.41</v>
      </c>
      <c r="O3001" s="79">
        <f>IFERROR(VLOOKUP(D3001,'KAPANAN BLD.'!$C$2:$D$793,2,FALSE),0)</f>
        <v>0</v>
      </c>
      <c r="P3001" s="79">
        <v>0</v>
      </c>
    </row>
    <row r="3002" spans="1:16" x14ac:dyDescent="0.25">
      <c r="A3002" t="s">
        <v>32</v>
      </c>
      <c r="B3002" s="73" t="str">
        <f>VLOOKUP(C3002,'Büyükşehir List'!$C$2:$D$31,2,FALSE)</f>
        <v>TRABZON BÜYÜKŞEHİR</v>
      </c>
      <c r="C3002" t="s">
        <v>147</v>
      </c>
      <c r="D3002" s="73" t="str">
        <f t="shared" si="70"/>
        <v>TRABZON BÜYÜKŞEHİR/TRABZON</v>
      </c>
      <c r="E3002" t="s">
        <v>4318</v>
      </c>
      <c r="F3002" t="s">
        <v>4318</v>
      </c>
      <c r="G3002" t="s">
        <v>3367</v>
      </c>
      <c r="H3002">
        <v>1218.2</v>
      </c>
      <c r="I3002">
        <v>121.82</v>
      </c>
      <c r="J3002">
        <v>0</v>
      </c>
      <c r="K3002">
        <v>0</v>
      </c>
      <c r="L3002">
        <v>1218.2</v>
      </c>
      <c r="M3002">
        <v>121.82</v>
      </c>
      <c r="O3002" s="79">
        <f>IFERROR(VLOOKUP(D3002,'KAPANAN BLD.'!$C$2:$D$793,2,FALSE),0)</f>
        <v>0</v>
      </c>
      <c r="P3002" s="79">
        <v>0</v>
      </c>
    </row>
    <row r="3003" spans="1:16" x14ac:dyDescent="0.25">
      <c r="A3003" t="s">
        <v>32</v>
      </c>
      <c r="B3003" s="73" t="str">
        <f>VLOOKUP(C3003,'Büyükşehir List'!$C$2:$D$31,2,FALSE)</f>
        <v>TRABZON BÜYÜKŞEHİR</v>
      </c>
      <c r="C3003" t="s">
        <v>147</v>
      </c>
      <c r="D3003" s="73" t="str">
        <f t="shared" si="70"/>
        <v>TRABZON BÜYÜKŞEHİR/TRABZON</v>
      </c>
      <c r="E3003" t="s">
        <v>4318</v>
      </c>
      <c r="F3003" t="s">
        <v>4318</v>
      </c>
      <c r="G3003" t="s">
        <v>3366</v>
      </c>
      <c r="H3003">
        <v>1205.8</v>
      </c>
      <c r="I3003">
        <v>120.58</v>
      </c>
      <c r="J3003">
        <v>0</v>
      </c>
      <c r="K3003">
        <v>0</v>
      </c>
      <c r="L3003">
        <v>1205.8</v>
      </c>
      <c r="M3003">
        <v>120.58</v>
      </c>
      <c r="O3003" s="79">
        <f>IFERROR(VLOOKUP(D3003,'KAPANAN BLD.'!$C$2:$D$793,2,FALSE),0)</f>
        <v>0</v>
      </c>
      <c r="P3003" s="79">
        <v>0</v>
      </c>
    </row>
    <row r="3004" spans="1:16" x14ac:dyDescent="0.25">
      <c r="A3004" t="s">
        <v>32</v>
      </c>
      <c r="B3004" s="73" t="str">
        <f>VLOOKUP(C3004,'Büyükşehir List'!$C$2:$D$31,2,FALSE)</f>
        <v>TRABZON BÜYÜKŞEHİR</v>
      </c>
      <c r="C3004" t="s">
        <v>147</v>
      </c>
      <c r="D3004" s="73" t="str">
        <f t="shared" si="70"/>
        <v>TRABZON BÜYÜKŞEHİR/TRABZON</v>
      </c>
      <c r="E3004" t="s">
        <v>4289</v>
      </c>
      <c r="F3004" t="s">
        <v>4289</v>
      </c>
      <c r="G3004" t="s">
        <v>3367</v>
      </c>
      <c r="H3004">
        <v>76.900000000000006</v>
      </c>
      <c r="I3004">
        <v>7.69</v>
      </c>
      <c r="J3004">
        <v>0</v>
      </c>
      <c r="K3004">
        <v>0</v>
      </c>
      <c r="L3004">
        <v>76.900000000000006</v>
      </c>
      <c r="M3004">
        <v>7.69</v>
      </c>
      <c r="O3004" s="79">
        <f>IFERROR(VLOOKUP(D3004,'KAPANAN BLD.'!$C$2:$D$793,2,FALSE),0)</f>
        <v>0</v>
      </c>
      <c r="P3004" s="79">
        <v>0</v>
      </c>
    </row>
    <row r="3005" spans="1:16" x14ac:dyDescent="0.25">
      <c r="A3005" t="s">
        <v>32</v>
      </c>
      <c r="B3005" s="73" t="str">
        <f>VLOOKUP(C3005,'Büyükşehir List'!$C$2:$D$31,2,FALSE)</f>
        <v>TRABZON BÜYÜKŞEHİR</v>
      </c>
      <c r="C3005" t="s">
        <v>147</v>
      </c>
      <c r="D3005" s="73" t="str">
        <f t="shared" si="70"/>
        <v>TRABZON BÜYÜKŞEHİR/TRABZON</v>
      </c>
      <c r="E3005" t="s">
        <v>4289</v>
      </c>
      <c r="F3005" t="s">
        <v>4289</v>
      </c>
      <c r="G3005" t="s">
        <v>3366</v>
      </c>
      <c r="H3005">
        <v>1077</v>
      </c>
      <c r="I3005">
        <v>107.7</v>
      </c>
      <c r="J3005">
        <v>0</v>
      </c>
      <c r="K3005">
        <v>0</v>
      </c>
      <c r="L3005">
        <v>1077</v>
      </c>
      <c r="M3005">
        <v>107.7</v>
      </c>
      <c r="O3005" s="79">
        <f>IFERROR(VLOOKUP(D3005,'KAPANAN BLD.'!$C$2:$D$793,2,FALSE),0)</f>
        <v>0</v>
      </c>
      <c r="P3005" s="79">
        <v>0</v>
      </c>
    </row>
    <row r="3006" spans="1:16" x14ac:dyDescent="0.25">
      <c r="A3006" t="s">
        <v>32</v>
      </c>
      <c r="B3006" s="73" t="str">
        <f>VLOOKUP(C3006,'Büyükşehir List'!$C$2:$D$31,2,FALSE)</f>
        <v>TRABZON BÜYÜKŞEHİR</v>
      </c>
      <c r="C3006" t="s">
        <v>147</v>
      </c>
      <c r="D3006" s="73" t="str">
        <f t="shared" si="70"/>
        <v>TRABZON BÜYÜKŞEHİR/TRABZON</v>
      </c>
      <c r="E3006" t="s">
        <v>17</v>
      </c>
      <c r="F3006" t="s">
        <v>17</v>
      </c>
      <c r="G3006" t="s">
        <v>3367</v>
      </c>
      <c r="H3006">
        <v>62.4</v>
      </c>
      <c r="I3006">
        <v>6.24</v>
      </c>
      <c r="J3006">
        <v>0</v>
      </c>
      <c r="K3006">
        <v>0</v>
      </c>
      <c r="L3006">
        <v>62.4</v>
      </c>
      <c r="M3006">
        <v>6.24</v>
      </c>
      <c r="O3006" s="79">
        <f>IFERROR(VLOOKUP(D3006,'KAPANAN BLD.'!$C$2:$D$793,2,FALSE),0)</f>
        <v>0</v>
      </c>
      <c r="P3006" s="79">
        <v>0</v>
      </c>
    </row>
    <row r="3007" spans="1:16" x14ac:dyDescent="0.25">
      <c r="A3007" t="s">
        <v>32</v>
      </c>
      <c r="B3007" s="73" t="str">
        <f>VLOOKUP(C3007,'Büyükşehir List'!$C$2:$D$31,2,FALSE)</f>
        <v>TRABZON BÜYÜKŞEHİR</v>
      </c>
      <c r="C3007" t="s">
        <v>147</v>
      </c>
      <c r="D3007" s="73" t="str">
        <f t="shared" si="70"/>
        <v>TRABZON BÜYÜKŞEHİR/TRABZON</v>
      </c>
      <c r="E3007" t="s">
        <v>4406</v>
      </c>
      <c r="F3007" t="s">
        <v>4406</v>
      </c>
      <c r="G3007" t="s">
        <v>3367</v>
      </c>
      <c r="H3007">
        <v>971.9</v>
      </c>
      <c r="I3007">
        <v>97.19</v>
      </c>
      <c r="J3007">
        <v>0</v>
      </c>
      <c r="K3007">
        <v>0</v>
      </c>
      <c r="L3007">
        <v>971.9</v>
      </c>
      <c r="M3007">
        <v>97.19</v>
      </c>
      <c r="O3007" s="79">
        <f>IFERROR(VLOOKUP(D3007,'KAPANAN BLD.'!$C$2:$D$793,2,FALSE),0)</f>
        <v>0</v>
      </c>
      <c r="P3007" s="79">
        <v>0</v>
      </c>
    </row>
    <row r="3008" spans="1:16" x14ac:dyDescent="0.25">
      <c r="A3008" t="s">
        <v>32</v>
      </c>
      <c r="B3008" s="73" t="str">
        <f>VLOOKUP(C3008,'Büyükşehir List'!$C$2:$D$31,2,FALSE)</f>
        <v>TRABZON BÜYÜKŞEHİR</v>
      </c>
      <c r="C3008" t="s">
        <v>147</v>
      </c>
      <c r="D3008" s="73" t="str">
        <f t="shared" si="70"/>
        <v>TRABZON BÜYÜKŞEHİR/TRABZON</v>
      </c>
      <c r="E3008" t="s">
        <v>2206</v>
      </c>
      <c r="F3008" t="s">
        <v>2206</v>
      </c>
      <c r="G3008" t="s">
        <v>3367</v>
      </c>
      <c r="H3008">
        <v>0.2</v>
      </c>
      <c r="I3008">
        <v>0.02</v>
      </c>
      <c r="J3008">
        <v>0</v>
      </c>
      <c r="K3008">
        <v>0</v>
      </c>
      <c r="L3008">
        <v>0.2</v>
      </c>
      <c r="M3008">
        <v>0.02</v>
      </c>
      <c r="O3008" s="79">
        <f>IFERROR(VLOOKUP(D3008,'KAPANAN BLD.'!$C$2:$D$793,2,FALSE),0)</f>
        <v>0</v>
      </c>
      <c r="P3008" s="79">
        <v>0</v>
      </c>
    </row>
    <row r="3009" spans="1:16" x14ac:dyDescent="0.25">
      <c r="A3009" t="s">
        <v>32</v>
      </c>
      <c r="B3009" s="73" t="str">
        <f>VLOOKUP(C3009,'Büyükşehir List'!$C$2:$D$31,2,FALSE)</f>
        <v>TRABZON BÜYÜKŞEHİR</v>
      </c>
      <c r="C3009" t="s">
        <v>147</v>
      </c>
      <c r="D3009" s="73" t="str">
        <f t="shared" si="70"/>
        <v>TRABZON BÜYÜKŞEHİR/TRABZON</v>
      </c>
      <c r="E3009" t="s">
        <v>2206</v>
      </c>
      <c r="F3009" t="s">
        <v>2206</v>
      </c>
      <c r="G3009" t="s">
        <v>3366</v>
      </c>
      <c r="H3009">
        <v>343.8</v>
      </c>
      <c r="I3009">
        <v>34.380000000000003</v>
      </c>
      <c r="J3009">
        <v>0</v>
      </c>
      <c r="K3009">
        <v>0</v>
      </c>
      <c r="L3009">
        <v>343.8</v>
      </c>
      <c r="M3009">
        <v>34.380000000000003</v>
      </c>
      <c r="O3009" s="79">
        <f>IFERROR(VLOOKUP(D3009,'KAPANAN BLD.'!$C$2:$D$793,2,FALSE),0)</f>
        <v>0</v>
      </c>
      <c r="P3009" s="79">
        <v>0</v>
      </c>
    </row>
    <row r="3010" spans="1:16" x14ac:dyDescent="0.25">
      <c r="A3010" t="s">
        <v>32</v>
      </c>
      <c r="B3010" s="73" t="str">
        <f>VLOOKUP(C3010,'Büyükşehir List'!$C$2:$D$31,2,FALSE)</f>
        <v>TRABZON BÜYÜKŞEHİR</v>
      </c>
      <c r="C3010" t="s">
        <v>147</v>
      </c>
      <c r="D3010" s="73" t="str">
        <f t="shared" si="70"/>
        <v>TRABZON BÜYÜKŞEHİR/TRABZON</v>
      </c>
      <c r="E3010" t="s">
        <v>380</v>
      </c>
      <c r="F3010" t="s">
        <v>380</v>
      </c>
      <c r="G3010" t="s">
        <v>3367</v>
      </c>
      <c r="H3010">
        <v>712.5</v>
      </c>
      <c r="I3010">
        <v>71.25</v>
      </c>
      <c r="J3010">
        <v>0</v>
      </c>
      <c r="K3010">
        <v>0</v>
      </c>
      <c r="L3010">
        <v>712.5</v>
      </c>
      <c r="M3010">
        <v>71.25</v>
      </c>
      <c r="O3010" s="79">
        <f>IFERROR(VLOOKUP(D3010,'KAPANAN BLD.'!$C$2:$D$793,2,FALSE),0)</f>
        <v>0</v>
      </c>
      <c r="P3010" s="79">
        <v>0</v>
      </c>
    </row>
    <row r="3011" spans="1:16" x14ac:dyDescent="0.25">
      <c r="A3011" t="s">
        <v>32</v>
      </c>
      <c r="B3011" s="73" t="str">
        <f>VLOOKUP(C3011,'Büyükşehir List'!$C$2:$D$31,2,FALSE)</f>
        <v>TRABZON BÜYÜKŞEHİR</v>
      </c>
      <c r="C3011" t="s">
        <v>147</v>
      </c>
      <c r="D3011" s="73" t="str">
        <f t="shared" ref="D3011:D3074" si="72">CONCATENATE(B3011,"/",C3011)</f>
        <v>TRABZON BÜYÜKŞEHİR/TRABZON</v>
      </c>
      <c r="E3011" t="s">
        <v>380</v>
      </c>
      <c r="F3011" t="s">
        <v>380</v>
      </c>
      <c r="G3011" t="s">
        <v>3366</v>
      </c>
      <c r="H3011">
        <v>568.70000000000005</v>
      </c>
      <c r="I3011">
        <v>56.87</v>
      </c>
      <c r="J3011">
        <v>0</v>
      </c>
      <c r="K3011">
        <v>0</v>
      </c>
      <c r="L3011">
        <v>568.70000000000005</v>
      </c>
      <c r="M3011">
        <v>56.87</v>
      </c>
      <c r="O3011" s="79">
        <f>IFERROR(VLOOKUP(D3011,'KAPANAN BLD.'!$C$2:$D$793,2,FALSE),0)</f>
        <v>0</v>
      </c>
      <c r="P3011" s="79">
        <v>0</v>
      </c>
    </row>
    <row r="3012" spans="1:16" x14ac:dyDescent="0.25">
      <c r="A3012" t="s">
        <v>32</v>
      </c>
      <c r="B3012" s="73" t="str">
        <f>VLOOKUP(C3012,'Büyükşehir List'!$C$2:$D$31,2,FALSE)</f>
        <v>TRABZON BÜYÜKŞEHİR</v>
      </c>
      <c r="C3012" t="s">
        <v>147</v>
      </c>
      <c r="D3012" s="73" t="str">
        <f t="shared" si="72"/>
        <v>TRABZON BÜYÜKŞEHİR/TRABZON</v>
      </c>
      <c r="E3012" t="s">
        <v>3090</v>
      </c>
      <c r="F3012" t="s">
        <v>3090</v>
      </c>
      <c r="G3012" t="s">
        <v>3367</v>
      </c>
      <c r="H3012">
        <v>414.8</v>
      </c>
      <c r="I3012">
        <v>41.48</v>
      </c>
      <c r="J3012">
        <v>0</v>
      </c>
      <c r="K3012">
        <v>0</v>
      </c>
      <c r="L3012">
        <v>414.8</v>
      </c>
      <c r="M3012">
        <v>41.48</v>
      </c>
      <c r="O3012" s="79">
        <f>IFERROR(VLOOKUP(D3012,'KAPANAN BLD.'!$C$2:$D$793,2,FALSE),0)</f>
        <v>0</v>
      </c>
      <c r="P3012" s="79">
        <v>0</v>
      </c>
    </row>
    <row r="3013" spans="1:16" x14ac:dyDescent="0.25">
      <c r="A3013" t="s">
        <v>32</v>
      </c>
      <c r="B3013" s="73" t="str">
        <f>VLOOKUP(C3013,'Büyükşehir List'!$C$2:$D$31,2,FALSE)</f>
        <v>TRABZON BÜYÜKŞEHİR</v>
      </c>
      <c r="C3013" t="s">
        <v>147</v>
      </c>
      <c r="D3013" s="73" t="str">
        <f t="shared" si="72"/>
        <v>TRABZON BÜYÜKŞEHİR/TRABZON</v>
      </c>
      <c r="E3013" t="s">
        <v>3090</v>
      </c>
      <c r="F3013" t="s">
        <v>3090</v>
      </c>
      <c r="G3013" t="s">
        <v>3366</v>
      </c>
      <c r="H3013">
        <v>867.6</v>
      </c>
      <c r="I3013">
        <v>86.76</v>
      </c>
      <c r="J3013">
        <v>0</v>
      </c>
      <c r="K3013">
        <v>0</v>
      </c>
      <c r="L3013">
        <v>867.6</v>
      </c>
      <c r="M3013">
        <v>86.76</v>
      </c>
      <c r="O3013" s="79">
        <f>IFERROR(VLOOKUP(D3013,'KAPANAN BLD.'!$C$2:$D$793,2,FALSE),0)</f>
        <v>0</v>
      </c>
      <c r="P3013" s="79">
        <v>0</v>
      </c>
    </row>
    <row r="3014" spans="1:16" x14ac:dyDescent="0.25">
      <c r="A3014" t="s">
        <v>32</v>
      </c>
      <c r="B3014" s="73" t="str">
        <f>VLOOKUP(C3014,'Büyükşehir List'!$C$2:$D$31,2,FALSE)</f>
        <v>TRABZON BÜYÜKŞEHİR</v>
      </c>
      <c r="C3014" t="s">
        <v>147</v>
      </c>
      <c r="D3014" s="73" t="str">
        <f t="shared" si="72"/>
        <v>TRABZON BÜYÜKŞEHİR/TRABZON</v>
      </c>
      <c r="E3014" t="s">
        <v>3864</v>
      </c>
      <c r="F3014" t="s">
        <v>3864</v>
      </c>
      <c r="G3014" t="s">
        <v>3367</v>
      </c>
      <c r="H3014">
        <v>182.4</v>
      </c>
      <c r="I3014">
        <v>18.239999999999998</v>
      </c>
      <c r="J3014">
        <v>0</v>
      </c>
      <c r="K3014">
        <v>0</v>
      </c>
      <c r="L3014">
        <v>182.4</v>
      </c>
      <c r="M3014">
        <v>18.239999999999998</v>
      </c>
      <c r="O3014" s="79">
        <f>IFERROR(VLOOKUP(D3014,'KAPANAN BLD.'!$C$2:$D$793,2,FALSE),0)</f>
        <v>0</v>
      </c>
      <c r="P3014" s="79">
        <v>0</v>
      </c>
    </row>
    <row r="3015" spans="1:16" x14ac:dyDescent="0.25">
      <c r="A3015" t="s">
        <v>32</v>
      </c>
      <c r="B3015" s="73" t="str">
        <f>VLOOKUP(C3015,'Büyükşehir List'!$C$2:$D$31,2,FALSE)</f>
        <v>TRABZON BÜYÜKŞEHİR</v>
      </c>
      <c r="C3015" t="s">
        <v>147</v>
      </c>
      <c r="D3015" s="73" t="str">
        <f t="shared" si="72"/>
        <v>TRABZON BÜYÜKŞEHİR/TRABZON</v>
      </c>
      <c r="E3015" t="s">
        <v>3864</v>
      </c>
      <c r="F3015" t="s">
        <v>3864</v>
      </c>
      <c r="G3015" t="s">
        <v>3366</v>
      </c>
      <c r="H3015">
        <v>420.8</v>
      </c>
      <c r="I3015">
        <v>42.08</v>
      </c>
      <c r="J3015">
        <v>0</v>
      </c>
      <c r="K3015">
        <v>0</v>
      </c>
      <c r="L3015">
        <v>420.8</v>
      </c>
      <c r="M3015">
        <v>42.08</v>
      </c>
      <c r="O3015" s="79">
        <f>IFERROR(VLOOKUP(D3015,'KAPANAN BLD.'!$C$2:$D$793,2,FALSE),0)</f>
        <v>0</v>
      </c>
      <c r="P3015" s="79">
        <v>0</v>
      </c>
    </row>
    <row r="3016" spans="1:16" x14ac:dyDescent="0.25">
      <c r="A3016" t="s">
        <v>32</v>
      </c>
      <c r="B3016" s="73" t="str">
        <f>VLOOKUP(C3016,'Büyükşehir List'!$C$2:$D$31,2,FALSE)</f>
        <v>TRABZON BÜYÜKŞEHİR</v>
      </c>
      <c r="C3016" t="s">
        <v>147</v>
      </c>
      <c r="D3016" s="73" t="str">
        <f t="shared" si="72"/>
        <v>TRABZON BÜYÜKŞEHİR/TRABZON</v>
      </c>
      <c r="E3016" t="s">
        <v>1877</v>
      </c>
      <c r="F3016" t="s">
        <v>1877</v>
      </c>
      <c r="G3016" t="s">
        <v>3367</v>
      </c>
      <c r="H3016">
        <v>611.29999999999995</v>
      </c>
      <c r="I3016">
        <v>61.13</v>
      </c>
      <c r="J3016">
        <v>0</v>
      </c>
      <c r="K3016">
        <v>0</v>
      </c>
      <c r="L3016">
        <v>611.29999999999995</v>
      </c>
      <c r="M3016">
        <v>61.13</v>
      </c>
      <c r="O3016" s="79">
        <f>IFERROR(VLOOKUP(D3016,'KAPANAN BLD.'!$C$2:$D$793,2,FALSE),0)</f>
        <v>0</v>
      </c>
      <c r="P3016" s="79">
        <v>0</v>
      </c>
    </row>
    <row r="3017" spans="1:16" x14ac:dyDescent="0.25">
      <c r="A3017" t="s">
        <v>32</v>
      </c>
      <c r="B3017" s="73" t="str">
        <f>VLOOKUP(C3017,'Büyükşehir List'!$C$2:$D$31,2,FALSE)</f>
        <v>TRABZON BÜYÜKŞEHİR</v>
      </c>
      <c r="C3017" t="s">
        <v>147</v>
      </c>
      <c r="D3017" s="73" t="str">
        <f t="shared" si="72"/>
        <v>TRABZON BÜYÜKŞEHİR/TRABZON</v>
      </c>
      <c r="E3017" t="s">
        <v>1877</v>
      </c>
      <c r="F3017" t="s">
        <v>1877</v>
      </c>
      <c r="G3017" t="s">
        <v>3366</v>
      </c>
      <c r="H3017">
        <v>249.8</v>
      </c>
      <c r="I3017">
        <v>24.98</v>
      </c>
      <c r="J3017">
        <v>0</v>
      </c>
      <c r="K3017">
        <v>0</v>
      </c>
      <c r="L3017">
        <v>249.8</v>
      </c>
      <c r="M3017">
        <v>24.98</v>
      </c>
      <c r="O3017" s="79">
        <f>IFERROR(VLOOKUP(D3017,'KAPANAN BLD.'!$C$2:$D$793,2,FALSE),0)</f>
        <v>0</v>
      </c>
      <c r="P3017" s="79">
        <v>0</v>
      </c>
    </row>
    <row r="3018" spans="1:16" x14ac:dyDescent="0.25">
      <c r="A3018" t="s">
        <v>32</v>
      </c>
      <c r="B3018" s="73" t="str">
        <f>VLOOKUP(C3018,'Büyükşehir List'!$C$2:$D$31,2,FALSE)</f>
        <v>TRABZON BÜYÜKŞEHİR</v>
      </c>
      <c r="C3018" t="s">
        <v>147</v>
      </c>
      <c r="D3018" s="73" t="str">
        <f t="shared" si="72"/>
        <v>TRABZON BÜYÜKŞEHİR/TRABZON</v>
      </c>
      <c r="E3018" t="s">
        <v>4538</v>
      </c>
      <c r="F3018" t="s">
        <v>4538</v>
      </c>
      <c r="G3018" t="s">
        <v>3367</v>
      </c>
      <c r="H3018">
        <v>1102.4000000000001</v>
      </c>
      <c r="I3018">
        <v>110.24</v>
      </c>
      <c r="J3018">
        <v>0</v>
      </c>
      <c r="K3018">
        <v>0</v>
      </c>
      <c r="L3018">
        <v>1102.4000000000001</v>
      </c>
      <c r="M3018">
        <v>110.24</v>
      </c>
      <c r="O3018" s="79">
        <f>IFERROR(VLOOKUP(D3018,'KAPANAN BLD.'!$C$2:$D$793,2,FALSE),0)</f>
        <v>0</v>
      </c>
      <c r="P3018" s="79">
        <v>0</v>
      </c>
    </row>
    <row r="3019" spans="1:16" x14ac:dyDescent="0.25">
      <c r="A3019" t="s">
        <v>32</v>
      </c>
      <c r="B3019" s="73" t="str">
        <f>VLOOKUP(C3019,'Büyükşehir List'!$C$2:$D$31,2,FALSE)</f>
        <v>TRABZON BÜYÜKŞEHİR</v>
      </c>
      <c r="C3019" t="s">
        <v>147</v>
      </c>
      <c r="D3019" s="73" t="str">
        <f t="shared" si="72"/>
        <v>TRABZON BÜYÜKŞEHİR/TRABZON</v>
      </c>
      <c r="E3019" t="s">
        <v>4538</v>
      </c>
      <c r="F3019" t="s">
        <v>4538</v>
      </c>
      <c r="G3019" t="s">
        <v>3366</v>
      </c>
      <c r="H3019">
        <v>446.8</v>
      </c>
      <c r="I3019">
        <v>44.68</v>
      </c>
      <c r="J3019">
        <v>0</v>
      </c>
      <c r="K3019">
        <v>0</v>
      </c>
      <c r="L3019">
        <v>446.8</v>
      </c>
      <c r="M3019">
        <v>44.68</v>
      </c>
      <c r="O3019" s="79">
        <f>IFERROR(VLOOKUP(D3019,'KAPANAN BLD.'!$C$2:$D$793,2,FALSE),0)</f>
        <v>0</v>
      </c>
      <c r="P3019" s="79">
        <v>0</v>
      </c>
    </row>
    <row r="3020" spans="1:16" x14ac:dyDescent="0.25">
      <c r="A3020" t="s">
        <v>32</v>
      </c>
      <c r="B3020" s="73" t="str">
        <f>VLOOKUP(C3020,'Büyükşehir List'!$C$2:$D$31,2,FALSE)</f>
        <v>TRABZON BÜYÜKŞEHİR</v>
      </c>
      <c r="C3020" t="s">
        <v>147</v>
      </c>
      <c r="D3020" s="73" t="str">
        <f t="shared" si="72"/>
        <v>TRABZON BÜYÜKŞEHİR/TRABZON</v>
      </c>
      <c r="E3020" t="s">
        <v>34</v>
      </c>
      <c r="F3020" t="s">
        <v>34</v>
      </c>
      <c r="G3020" t="s">
        <v>3366</v>
      </c>
      <c r="H3020">
        <v>63237.83</v>
      </c>
      <c r="I3020">
        <v>6323.78</v>
      </c>
      <c r="J3020">
        <v>4663</v>
      </c>
      <c r="K3020">
        <v>466.3</v>
      </c>
      <c r="L3020">
        <v>58574.83</v>
      </c>
      <c r="M3020">
        <v>5857.48</v>
      </c>
      <c r="O3020" s="79">
        <f>IFERROR(VLOOKUP(D3020,'KAPANAN BLD.'!$C$2:$D$793,2,FALSE),0)</f>
        <v>0</v>
      </c>
      <c r="P3020" s="79">
        <v>0</v>
      </c>
    </row>
    <row r="3021" spans="1:16" x14ac:dyDescent="0.25">
      <c r="A3021" t="s">
        <v>32</v>
      </c>
      <c r="B3021" s="73" t="str">
        <f>VLOOKUP(C3021,'Büyükşehir List'!$C$2:$D$31,2,FALSE)</f>
        <v>TRABZON BÜYÜKŞEHİR</v>
      </c>
      <c r="C3021" t="s">
        <v>147</v>
      </c>
      <c r="D3021" s="73" t="str">
        <f t="shared" si="72"/>
        <v>TRABZON BÜYÜKŞEHİR/TRABZON</v>
      </c>
      <c r="E3021" t="s">
        <v>34</v>
      </c>
      <c r="F3021" t="s">
        <v>34</v>
      </c>
      <c r="G3021" t="s">
        <v>3367</v>
      </c>
      <c r="H3021">
        <v>27592.49</v>
      </c>
      <c r="I3021">
        <v>2759.25</v>
      </c>
      <c r="J3021">
        <v>2828.4</v>
      </c>
      <c r="K3021">
        <v>282.83999999999997</v>
      </c>
      <c r="L3021">
        <v>24764.09</v>
      </c>
      <c r="M3021">
        <v>2476.41</v>
      </c>
      <c r="O3021" s="79">
        <f>IFERROR(VLOOKUP(D3021,'KAPANAN BLD.'!$C$2:$D$793,2,FALSE),0)</f>
        <v>0</v>
      </c>
      <c r="P3021" s="79">
        <v>0</v>
      </c>
    </row>
    <row r="3022" spans="1:16" x14ac:dyDescent="0.25">
      <c r="A3022" t="s">
        <v>32</v>
      </c>
      <c r="B3022" s="73" t="str">
        <f>VLOOKUP(C3022,'Büyükşehir List'!$C$2:$D$31,2,FALSE)</f>
        <v>TRABZON BÜYÜKŞEHİR</v>
      </c>
      <c r="C3022" t="s">
        <v>147</v>
      </c>
      <c r="D3022" s="73" t="str">
        <f t="shared" si="72"/>
        <v>TRABZON BÜYÜKŞEHİR/TRABZON</v>
      </c>
      <c r="E3022" t="s">
        <v>4539</v>
      </c>
      <c r="F3022" t="s">
        <v>4539</v>
      </c>
      <c r="G3022" t="s">
        <v>3366</v>
      </c>
      <c r="H3022">
        <v>0</v>
      </c>
      <c r="I3022">
        <v>0</v>
      </c>
      <c r="J3022">
        <v>1.6</v>
      </c>
      <c r="K3022">
        <v>0.16</v>
      </c>
      <c r="L3022">
        <v>-1.6</v>
      </c>
      <c r="M3022">
        <v>-0.16</v>
      </c>
      <c r="O3022" s="79">
        <f>IFERROR(VLOOKUP(D3022,'KAPANAN BLD.'!$C$2:$D$793,2,FALSE),0)</f>
        <v>0</v>
      </c>
      <c r="P3022" s="79">
        <v>0</v>
      </c>
    </row>
    <row r="3023" spans="1:16" x14ac:dyDescent="0.25">
      <c r="A3023" t="s">
        <v>32</v>
      </c>
      <c r="B3023" s="73" t="str">
        <f>VLOOKUP(C3023,'Büyükşehir List'!$C$2:$D$31,2,FALSE)</f>
        <v>TRABZON BÜYÜKŞEHİR</v>
      </c>
      <c r="C3023" t="s">
        <v>147</v>
      </c>
      <c r="D3023" s="73" t="str">
        <f t="shared" si="72"/>
        <v>TRABZON BÜYÜKŞEHİR/TRABZON</v>
      </c>
      <c r="E3023" t="s">
        <v>4539</v>
      </c>
      <c r="F3023" t="s">
        <v>4539</v>
      </c>
      <c r="G3023" t="s">
        <v>3367</v>
      </c>
      <c r="H3023">
        <v>0</v>
      </c>
      <c r="I3023">
        <v>0</v>
      </c>
      <c r="J3023">
        <v>2.2999999999999998</v>
      </c>
      <c r="K3023">
        <v>0.23</v>
      </c>
      <c r="L3023">
        <v>-2.2999999999999998</v>
      </c>
      <c r="M3023">
        <v>-0.23</v>
      </c>
      <c r="O3023" s="79">
        <f>IFERROR(VLOOKUP(D3023,'KAPANAN BLD.'!$C$2:$D$793,2,FALSE),0)</f>
        <v>0</v>
      </c>
      <c r="P3023" s="79">
        <v>0</v>
      </c>
    </row>
    <row r="3024" spans="1:16" x14ac:dyDescent="0.25">
      <c r="A3024" t="s">
        <v>32</v>
      </c>
      <c r="B3024" s="73" t="str">
        <f>VLOOKUP(C3024,'Büyükşehir List'!$C$2:$D$31,2,FALSE)</f>
        <v>TRABZON BÜYÜKŞEHİR</v>
      </c>
      <c r="C3024" t="s">
        <v>147</v>
      </c>
      <c r="D3024" s="73" t="str">
        <f t="shared" si="72"/>
        <v>TRABZON BÜYÜKŞEHİR/TRABZON</v>
      </c>
      <c r="E3024" t="s">
        <v>3865</v>
      </c>
      <c r="F3024" t="s">
        <v>3865</v>
      </c>
      <c r="G3024" t="s">
        <v>3366</v>
      </c>
      <c r="H3024">
        <v>4.8</v>
      </c>
      <c r="I3024">
        <v>0.48</v>
      </c>
      <c r="J3024">
        <v>0</v>
      </c>
      <c r="K3024">
        <v>0</v>
      </c>
      <c r="L3024">
        <v>4.8</v>
      </c>
      <c r="M3024">
        <v>0.48</v>
      </c>
      <c r="O3024" s="79">
        <f>IFERROR(VLOOKUP(D3024,'KAPANAN BLD.'!$C$2:$D$793,2,FALSE),0)</f>
        <v>0</v>
      </c>
      <c r="P3024" s="79">
        <v>0</v>
      </c>
    </row>
    <row r="3025" spans="1:16" x14ac:dyDescent="0.25">
      <c r="A3025" t="s">
        <v>32</v>
      </c>
      <c r="B3025" s="73" t="str">
        <f>VLOOKUP(C3025,'Büyükşehir List'!$C$2:$D$31,2,FALSE)</f>
        <v>TRABZON BÜYÜKŞEHİR</v>
      </c>
      <c r="C3025" t="s">
        <v>147</v>
      </c>
      <c r="D3025" s="73" t="str">
        <f t="shared" si="72"/>
        <v>TRABZON BÜYÜKŞEHİR/TRABZON</v>
      </c>
      <c r="E3025" t="s">
        <v>3865</v>
      </c>
      <c r="F3025" t="s">
        <v>3865</v>
      </c>
      <c r="G3025" t="s">
        <v>3367</v>
      </c>
      <c r="H3025">
        <v>14</v>
      </c>
      <c r="I3025">
        <v>1.4</v>
      </c>
      <c r="J3025">
        <v>0</v>
      </c>
      <c r="K3025">
        <v>0</v>
      </c>
      <c r="L3025">
        <v>14</v>
      </c>
      <c r="M3025">
        <v>1.4</v>
      </c>
      <c r="O3025" s="79">
        <f>IFERROR(VLOOKUP(D3025,'KAPANAN BLD.'!$C$2:$D$793,2,FALSE),0)</f>
        <v>0</v>
      </c>
      <c r="P3025" s="79">
        <v>0</v>
      </c>
    </row>
    <row r="3026" spans="1:16" x14ac:dyDescent="0.25">
      <c r="A3026" t="s">
        <v>32</v>
      </c>
      <c r="B3026" s="73" t="str">
        <f>VLOOKUP(C3026,'Büyükşehir List'!$C$2:$D$31,2,FALSE)</f>
        <v>TRABZON BÜYÜKŞEHİR</v>
      </c>
      <c r="C3026" t="s">
        <v>147</v>
      </c>
      <c r="D3026" s="73" t="str">
        <f t="shared" si="72"/>
        <v>TRABZON BÜYÜKŞEHİR/TRABZON</v>
      </c>
      <c r="E3026" t="s">
        <v>4319</v>
      </c>
      <c r="F3026" t="s">
        <v>4319</v>
      </c>
      <c r="G3026" t="s">
        <v>3366</v>
      </c>
      <c r="H3026">
        <v>50.2</v>
      </c>
      <c r="I3026">
        <v>5.0199999999999996</v>
      </c>
      <c r="J3026">
        <v>0</v>
      </c>
      <c r="K3026">
        <v>0</v>
      </c>
      <c r="L3026">
        <v>50.2</v>
      </c>
      <c r="M3026">
        <v>5.0199999999999996</v>
      </c>
      <c r="O3026" s="79">
        <f>IFERROR(VLOOKUP(D3026,'KAPANAN BLD.'!$C$2:$D$793,2,FALSE),0)</f>
        <v>0</v>
      </c>
      <c r="P3026" s="79">
        <v>0</v>
      </c>
    </row>
    <row r="3027" spans="1:16" x14ac:dyDescent="0.25">
      <c r="A3027" t="s">
        <v>32</v>
      </c>
      <c r="B3027" s="73" t="str">
        <f>VLOOKUP(C3027,'Büyükşehir List'!$C$2:$D$31,2,FALSE)</f>
        <v>TRABZON BÜYÜKŞEHİR</v>
      </c>
      <c r="C3027" t="s">
        <v>147</v>
      </c>
      <c r="D3027" s="73" t="str">
        <f t="shared" si="72"/>
        <v>TRABZON BÜYÜKŞEHİR/TRABZON</v>
      </c>
      <c r="E3027" t="s">
        <v>4319</v>
      </c>
      <c r="F3027" t="s">
        <v>4319</v>
      </c>
      <c r="G3027" t="s">
        <v>3367</v>
      </c>
      <c r="H3027">
        <v>177.3</v>
      </c>
      <c r="I3027">
        <v>17.73</v>
      </c>
      <c r="J3027">
        <v>0</v>
      </c>
      <c r="K3027">
        <v>0</v>
      </c>
      <c r="L3027">
        <v>177.3</v>
      </c>
      <c r="M3027">
        <v>17.73</v>
      </c>
      <c r="O3027" s="79">
        <f>IFERROR(VLOOKUP(D3027,'KAPANAN BLD.'!$C$2:$D$793,2,FALSE),0)</f>
        <v>0</v>
      </c>
      <c r="P3027" s="79">
        <v>0</v>
      </c>
    </row>
    <row r="3028" spans="1:16" x14ac:dyDescent="0.25">
      <c r="A3028" t="s">
        <v>32</v>
      </c>
      <c r="B3028" s="73" t="str">
        <f>VLOOKUP(C3028,'Büyükşehir List'!$C$2:$D$31,2,FALSE)</f>
        <v>TRABZON BÜYÜKŞEHİR</v>
      </c>
      <c r="C3028" t="s">
        <v>147</v>
      </c>
      <c r="D3028" s="73" t="str">
        <f t="shared" si="72"/>
        <v>TRABZON BÜYÜKŞEHİR/TRABZON</v>
      </c>
      <c r="E3028" t="s">
        <v>3778</v>
      </c>
      <c r="F3028" t="s">
        <v>3778</v>
      </c>
      <c r="G3028" t="s">
        <v>3367</v>
      </c>
      <c r="H3028">
        <v>112.4</v>
      </c>
      <c r="I3028">
        <v>11.24</v>
      </c>
      <c r="J3028">
        <v>0</v>
      </c>
      <c r="K3028">
        <v>0</v>
      </c>
      <c r="L3028">
        <v>112.4</v>
      </c>
      <c r="M3028">
        <v>11.24</v>
      </c>
      <c r="O3028" s="79">
        <f>IFERROR(VLOOKUP(D3028,'KAPANAN BLD.'!$C$2:$D$793,2,FALSE),0)</f>
        <v>0</v>
      </c>
      <c r="P3028" s="79">
        <v>0</v>
      </c>
    </row>
    <row r="3029" spans="1:16" x14ac:dyDescent="0.25">
      <c r="A3029" t="s">
        <v>32</v>
      </c>
      <c r="B3029" s="73" t="str">
        <f>VLOOKUP(C3029,'Büyükşehir List'!$C$2:$D$31,2,FALSE)</f>
        <v>TRABZON BÜYÜKŞEHİR</v>
      </c>
      <c r="C3029" t="s">
        <v>147</v>
      </c>
      <c r="D3029" s="73" t="str">
        <f t="shared" si="72"/>
        <v>TRABZON BÜYÜKŞEHİR/TRABZON</v>
      </c>
      <c r="E3029" t="s">
        <v>3778</v>
      </c>
      <c r="F3029" t="s">
        <v>3778</v>
      </c>
      <c r="G3029" t="s">
        <v>3366</v>
      </c>
      <c r="H3029">
        <v>440</v>
      </c>
      <c r="I3029">
        <v>44</v>
      </c>
      <c r="J3029">
        <v>0</v>
      </c>
      <c r="K3029">
        <v>0</v>
      </c>
      <c r="L3029">
        <v>440</v>
      </c>
      <c r="M3029">
        <v>44</v>
      </c>
      <c r="O3029" s="79">
        <f>IFERROR(VLOOKUP(D3029,'KAPANAN BLD.'!$C$2:$D$793,2,FALSE),0)</f>
        <v>0</v>
      </c>
      <c r="P3029" s="79">
        <v>0</v>
      </c>
    </row>
    <row r="3030" spans="1:16" x14ac:dyDescent="0.25">
      <c r="A3030" t="s">
        <v>32</v>
      </c>
      <c r="B3030" s="73" t="str">
        <f>VLOOKUP(C3030,'Büyükşehir List'!$C$2:$D$31,2,FALSE)</f>
        <v>TRABZON BÜYÜKŞEHİR</v>
      </c>
      <c r="C3030" t="s">
        <v>147</v>
      </c>
      <c r="D3030" s="73" t="str">
        <f t="shared" si="72"/>
        <v>TRABZON BÜYÜKŞEHİR/TRABZON</v>
      </c>
      <c r="E3030" t="s">
        <v>4360</v>
      </c>
      <c r="F3030" t="s">
        <v>4360</v>
      </c>
      <c r="G3030" t="s">
        <v>3367</v>
      </c>
      <c r="H3030">
        <v>45</v>
      </c>
      <c r="I3030">
        <v>4.5</v>
      </c>
      <c r="J3030">
        <v>0</v>
      </c>
      <c r="K3030">
        <v>0</v>
      </c>
      <c r="L3030">
        <v>45</v>
      </c>
      <c r="M3030">
        <v>4.5</v>
      </c>
      <c r="O3030" s="79">
        <f>IFERROR(VLOOKUP(D3030,'KAPANAN BLD.'!$C$2:$D$793,2,FALSE),0)</f>
        <v>0</v>
      </c>
      <c r="P3030" s="79">
        <v>0</v>
      </c>
    </row>
    <row r="3031" spans="1:16" x14ac:dyDescent="0.25">
      <c r="A3031" t="s">
        <v>32</v>
      </c>
      <c r="B3031" s="73" t="str">
        <f>VLOOKUP(C3031,'Büyükşehir List'!$C$2:$D$31,2,FALSE)</f>
        <v>TRABZON BÜYÜKŞEHİR</v>
      </c>
      <c r="C3031" t="s">
        <v>147</v>
      </c>
      <c r="D3031" s="73" t="str">
        <f t="shared" si="72"/>
        <v>TRABZON BÜYÜKŞEHİR/TRABZON</v>
      </c>
      <c r="E3031" t="s">
        <v>4360</v>
      </c>
      <c r="F3031" t="s">
        <v>4360</v>
      </c>
      <c r="G3031" t="s">
        <v>3366</v>
      </c>
      <c r="H3031">
        <v>402.8</v>
      </c>
      <c r="I3031">
        <v>40.28</v>
      </c>
      <c r="J3031">
        <v>0</v>
      </c>
      <c r="K3031">
        <v>0</v>
      </c>
      <c r="L3031">
        <v>402.8</v>
      </c>
      <c r="M3031">
        <v>40.28</v>
      </c>
      <c r="O3031" s="79">
        <f>IFERROR(VLOOKUP(D3031,'KAPANAN BLD.'!$C$2:$D$793,2,FALSE),0)</f>
        <v>0</v>
      </c>
      <c r="P3031" s="79">
        <v>0</v>
      </c>
    </row>
    <row r="3032" spans="1:16" x14ac:dyDescent="0.25">
      <c r="A3032" t="s">
        <v>32</v>
      </c>
      <c r="B3032" s="73" t="str">
        <f>VLOOKUP(C3032,'Büyükşehir List'!$C$2:$D$31,2,FALSE)</f>
        <v>TRABZON BÜYÜKŞEHİR</v>
      </c>
      <c r="C3032" t="s">
        <v>147</v>
      </c>
      <c r="D3032" s="73" t="str">
        <f t="shared" si="72"/>
        <v>TRABZON BÜYÜKŞEHİR/TRABZON</v>
      </c>
      <c r="E3032" t="s">
        <v>478</v>
      </c>
      <c r="F3032" t="s">
        <v>478</v>
      </c>
      <c r="G3032" t="s">
        <v>3366</v>
      </c>
      <c r="H3032">
        <v>1453.4</v>
      </c>
      <c r="I3032">
        <v>145.34</v>
      </c>
      <c r="J3032">
        <v>402.8</v>
      </c>
      <c r="K3032">
        <v>40.28</v>
      </c>
      <c r="L3032">
        <v>1050.5999999999999</v>
      </c>
      <c r="M3032">
        <v>105.06</v>
      </c>
      <c r="O3032" s="79">
        <f>IFERROR(VLOOKUP(D3032,'KAPANAN BLD.'!$C$2:$D$793,2,FALSE),0)</f>
        <v>0</v>
      </c>
      <c r="P3032" s="79">
        <v>0</v>
      </c>
    </row>
    <row r="3033" spans="1:16" x14ac:dyDescent="0.25">
      <c r="A3033" t="s">
        <v>32</v>
      </c>
      <c r="B3033" s="73" t="str">
        <f>VLOOKUP(C3033,'Büyükşehir List'!$C$2:$D$31,2,FALSE)</f>
        <v>TRABZON BÜYÜKŞEHİR</v>
      </c>
      <c r="C3033" t="s">
        <v>147</v>
      </c>
      <c r="D3033" s="73" t="str">
        <f t="shared" si="72"/>
        <v>TRABZON BÜYÜKŞEHİR/TRABZON</v>
      </c>
      <c r="E3033" t="s">
        <v>478</v>
      </c>
      <c r="F3033" t="s">
        <v>478</v>
      </c>
      <c r="G3033" t="s">
        <v>3367</v>
      </c>
      <c r="H3033">
        <v>45.6</v>
      </c>
      <c r="I3033">
        <v>4.5599999999999996</v>
      </c>
      <c r="J3033">
        <v>45</v>
      </c>
      <c r="K3033">
        <v>4.5</v>
      </c>
      <c r="L3033">
        <v>0.6</v>
      </c>
      <c r="M3033">
        <v>0.06</v>
      </c>
      <c r="O3033" s="79">
        <f>IFERROR(VLOOKUP(D3033,'KAPANAN BLD.'!$C$2:$D$793,2,FALSE),0)</f>
        <v>0</v>
      </c>
      <c r="P3033" s="79">
        <v>0</v>
      </c>
    </row>
    <row r="3034" spans="1:16" x14ac:dyDescent="0.25">
      <c r="A3034" t="s">
        <v>32</v>
      </c>
      <c r="B3034" s="73" t="str">
        <f>VLOOKUP(C3034,'Büyükşehir List'!$C$2:$D$31,2,FALSE)</f>
        <v>TRABZON BÜYÜKŞEHİR</v>
      </c>
      <c r="C3034" t="s">
        <v>147</v>
      </c>
      <c r="D3034" s="73" t="str">
        <f t="shared" si="72"/>
        <v>TRABZON BÜYÜKŞEHİR/TRABZON</v>
      </c>
      <c r="E3034" t="s">
        <v>4540</v>
      </c>
      <c r="F3034" t="s">
        <v>4540</v>
      </c>
      <c r="G3034" t="s">
        <v>3366</v>
      </c>
      <c r="H3034">
        <v>1050.7</v>
      </c>
      <c r="I3034">
        <v>105.07</v>
      </c>
      <c r="J3034">
        <v>0</v>
      </c>
      <c r="K3034">
        <v>0</v>
      </c>
      <c r="L3034">
        <v>1050.7</v>
      </c>
      <c r="M3034">
        <v>105.07</v>
      </c>
      <c r="O3034" s="79">
        <f>IFERROR(VLOOKUP(D3034,'KAPANAN BLD.'!$C$2:$D$793,2,FALSE),0)</f>
        <v>0</v>
      </c>
      <c r="P3034" s="79">
        <v>0</v>
      </c>
    </row>
    <row r="3035" spans="1:16" x14ac:dyDescent="0.25">
      <c r="A3035" t="s">
        <v>32</v>
      </c>
      <c r="B3035" s="73" t="str">
        <f>VLOOKUP(C3035,'Büyükşehir List'!$C$2:$D$31,2,FALSE)</f>
        <v>TRABZON BÜYÜKŞEHİR</v>
      </c>
      <c r="C3035" t="s">
        <v>147</v>
      </c>
      <c r="D3035" s="73" t="str">
        <f t="shared" si="72"/>
        <v>TRABZON BÜYÜKŞEHİR/TRABZON</v>
      </c>
      <c r="E3035" t="s">
        <v>4540</v>
      </c>
      <c r="F3035" t="s">
        <v>4540</v>
      </c>
      <c r="G3035" t="s">
        <v>3367</v>
      </c>
      <c r="H3035">
        <v>290.2</v>
      </c>
      <c r="I3035">
        <v>29.02</v>
      </c>
      <c r="J3035">
        <v>0</v>
      </c>
      <c r="K3035">
        <v>0</v>
      </c>
      <c r="L3035">
        <v>290.2</v>
      </c>
      <c r="M3035">
        <v>29.02</v>
      </c>
      <c r="O3035" s="79">
        <f>IFERROR(VLOOKUP(D3035,'KAPANAN BLD.'!$C$2:$D$793,2,FALSE),0)</f>
        <v>0</v>
      </c>
      <c r="P3035" s="79">
        <v>0</v>
      </c>
    </row>
    <row r="3036" spans="1:16" x14ac:dyDescent="0.25">
      <c r="A3036" t="s">
        <v>32</v>
      </c>
      <c r="B3036" s="73" t="str">
        <f>VLOOKUP(C3036,'Büyükşehir List'!$C$2:$D$31,2,FALSE)</f>
        <v>TRABZON BÜYÜKŞEHİR</v>
      </c>
      <c r="C3036" t="s">
        <v>147</v>
      </c>
      <c r="D3036" s="73" t="str">
        <f t="shared" si="72"/>
        <v>TRABZON BÜYÜKŞEHİR/TRABZON</v>
      </c>
      <c r="E3036" t="s">
        <v>688</v>
      </c>
      <c r="F3036" t="s">
        <v>688</v>
      </c>
      <c r="G3036" t="s">
        <v>3367</v>
      </c>
      <c r="H3036">
        <v>90.8</v>
      </c>
      <c r="I3036">
        <v>9.08</v>
      </c>
      <c r="J3036">
        <v>0</v>
      </c>
      <c r="K3036">
        <v>0</v>
      </c>
      <c r="L3036">
        <v>90.8</v>
      </c>
      <c r="M3036">
        <v>9.08</v>
      </c>
      <c r="O3036" s="79">
        <f>IFERROR(VLOOKUP(D3036,'KAPANAN BLD.'!$C$2:$D$793,2,FALSE),0)</f>
        <v>0</v>
      </c>
      <c r="P3036" s="79">
        <v>0</v>
      </c>
    </row>
    <row r="3037" spans="1:16" x14ac:dyDescent="0.25">
      <c r="A3037" t="s">
        <v>32</v>
      </c>
      <c r="B3037" s="73" t="str">
        <f>VLOOKUP(C3037,'Büyükşehir List'!$C$2:$D$31,2,FALSE)</f>
        <v>TRABZON BÜYÜKŞEHİR</v>
      </c>
      <c r="C3037" t="s">
        <v>147</v>
      </c>
      <c r="D3037" s="73" t="str">
        <f t="shared" si="72"/>
        <v>TRABZON BÜYÜKŞEHİR/TRABZON</v>
      </c>
      <c r="E3037" t="s">
        <v>3843</v>
      </c>
      <c r="F3037" t="s">
        <v>3843</v>
      </c>
      <c r="G3037" t="s">
        <v>3366</v>
      </c>
      <c r="H3037">
        <v>1168.2</v>
      </c>
      <c r="I3037">
        <v>116.82</v>
      </c>
      <c r="J3037">
        <v>0</v>
      </c>
      <c r="K3037">
        <v>0</v>
      </c>
      <c r="L3037">
        <v>1168.2</v>
      </c>
      <c r="M3037">
        <v>116.82</v>
      </c>
      <c r="O3037" s="79">
        <f>IFERROR(VLOOKUP(D3037,'KAPANAN BLD.'!$C$2:$D$793,2,FALSE),0)</f>
        <v>0</v>
      </c>
      <c r="P3037" s="79">
        <v>0</v>
      </c>
    </row>
    <row r="3038" spans="1:16" x14ac:dyDescent="0.25">
      <c r="A3038" t="s">
        <v>32</v>
      </c>
      <c r="B3038" s="73" t="str">
        <f>VLOOKUP(C3038,'Büyükşehir List'!$C$2:$D$31,2,FALSE)</f>
        <v>TRABZON BÜYÜKŞEHİR</v>
      </c>
      <c r="C3038" t="s">
        <v>147</v>
      </c>
      <c r="D3038" s="73" t="str">
        <f t="shared" si="72"/>
        <v>TRABZON BÜYÜKŞEHİR/TRABZON</v>
      </c>
      <c r="E3038" t="s">
        <v>3843</v>
      </c>
      <c r="F3038" t="s">
        <v>3843</v>
      </c>
      <c r="G3038" t="s">
        <v>3367</v>
      </c>
      <c r="H3038">
        <v>873.1</v>
      </c>
      <c r="I3038">
        <v>87.31</v>
      </c>
      <c r="J3038">
        <v>0</v>
      </c>
      <c r="K3038">
        <v>0</v>
      </c>
      <c r="L3038">
        <v>873.1</v>
      </c>
      <c r="M3038">
        <v>87.31</v>
      </c>
      <c r="O3038" s="79">
        <f>IFERROR(VLOOKUP(D3038,'KAPANAN BLD.'!$C$2:$D$793,2,FALSE),0)</f>
        <v>0</v>
      </c>
      <c r="P3038" s="79">
        <v>0</v>
      </c>
    </row>
    <row r="3039" spans="1:16" x14ac:dyDescent="0.25">
      <c r="A3039" t="s">
        <v>32</v>
      </c>
      <c r="B3039" s="73" t="str">
        <f>VLOOKUP(C3039,'Büyükşehir List'!$C$2:$D$31,2,FALSE)</f>
        <v>TRABZON BÜYÜKŞEHİR</v>
      </c>
      <c r="C3039" t="s">
        <v>147</v>
      </c>
      <c r="D3039" s="73" t="str">
        <f t="shared" si="72"/>
        <v>TRABZON BÜYÜKŞEHİR/TRABZON</v>
      </c>
      <c r="E3039" t="s">
        <v>3765</v>
      </c>
      <c r="F3039" t="s">
        <v>3765</v>
      </c>
      <c r="G3039" t="s">
        <v>3367</v>
      </c>
      <c r="H3039">
        <v>336.1</v>
      </c>
      <c r="I3039">
        <v>33.61</v>
      </c>
      <c r="J3039">
        <v>0</v>
      </c>
      <c r="K3039">
        <v>0</v>
      </c>
      <c r="L3039">
        <v>336.1</v>
      </c>
      <c r="M3039">
        <v>33.61</v>
      </c>
      <c r="O3039" s="79">
        <f>IFERROR(VLOOKUP(D3039,'KAPANAN BLD.'!$C$2:$D$793,2,FALSE),0)</f>
        <v>0</v>
      </c>
      <c r="P3039" s="79">
        <v>0</v>
      </c>
    </row>
    <row r="3040" spans="1:16" x14ac:dyDescent="0.25">
      <c r="A3040" t="s">
        <v>32</v>
      </c>
      <c r="B3040" s="73" t="str">
        <f>VLOOKUP(C3040,'Büyükşehir List'!$C$2:$D$31,2,FALSE)</f>
        <v>TRABZON BÜYÜKŞEHİR</v>
      </c>
      <c r="C3040" t="s">
        <v>147</v>
      </c>
      <c r="D3040" s="73" t="str">
        <f t="shared" si="72"/>
        <v>TRABZON BÜYÜKŞEHİR/TRABZON</v>
      </c>
      <c r="E3040" t="s">
        <v>3765</v>
      </c>
      <c r="F3040" t="s">
        <v>3765</v>
      </c>
      <c r="G3040" t="s">
        <v>3366</v>
      </c>
      <c r="H3040">
        <v>302.89999999999998</v>
      </c>
      <c r="I3040">
        <v>30.29</v>
      </c>
      <c r="J3040">
        <v>0</v>
      </c>
      <c r="K3040">
        <v>0</v>
      </c>
      <c r="L3040">
        <v>302.89999999999998</v>
      </c>
      <c r="M3040">
        <v>30.29</v>
      </c>
      <c r="O3040" s="79">
        <f>IFERROR(VLOOKUP(D3040,'KAPANAN BLD.'!$C$2:$D$793,2,FALSE),0)</f>
        <v>0</v>
      </c>
      <c r="P3040" s="79">
        <v>0</v>
      </c>
    </row>
    <row r="3041" spans="1:16" x14ac:dyDescent="0.25">
      <c r="A3041" t="s">
        <v>32</v>
      </c>
      <c r="B3041" s="73" t="str">
        <f>VLOOKUP(C3041,'Büyükşehir List'!$C$2:$D$31,2,FALSE)</f>
        <v>TRABZON BÜYÜKŞEHİR</v>
      </c>
      <c r="C3041" t="s">
        <v>147</v>
      </c>
      <c r="D3041" s="73" t="str">
        <f t="shared" si="72"/>
        <v>TRABZON BÜYÜKŞEHİR/TRABZON</v>
      </c>
      <c r="E3041" t="s">
        <v>4236</v>
      </c>
      <c r="F3041" t="s">
        <v>4236</v>
      </c>
      <c r="G3041" t="s">
        <v>3366</v>
      </c>
      <c r="H3041">
        <v>103.3</v>
      </c>
      <c r="I3041">
        <v>10.33</v>
      </c>
      <c r="J3041">
        <v>0</v>
      </c>
      <c r="K3041">
        <v>0</v>
      </c>
      <c r="L3041">
        <v>103.3</v>
      </c>
      <c r="M3041">
        <v>10.33</v>
      </c>
      <c r="O3041" s="79">
        <f>IFERROR(VLOOKUP(D3041,'KAPANAN BLD.'!$C$2:$D$793,2,FALSE),0)</f>
        <v>0</v>
      </c>
      <c r="P3041" s="79">
        <v>0</v>
      </c>
    </row>
    <row r="3042" spans="1:16" x14ac:dyDescent="0.25">
      <c r="A3042" t="s">
        <v>32</v>
      </c>
      <c r="B3042" s="73" t="str">
        <f>VLOOKUP(C3042,'Büyükşehir List'!$C$2:$D$31,2,FALSE)</f>
        <v>TRABZON BÜYÜKŞEHİR</v>
      </c>
      <c r="C3042" t="s">
        <v>147</v>
      </c>
      <c r="D3042" s="73" t="str">
        <f t="shared" si="72"/>
        <v>TRABZON BÜYÜKŞEHİR/TRABZON</v>
      </c>
      <c r="E3042" t="s">
        <v>4236</v>
      </c>
      <c r="F3042" t="s">
        <v>4236</v>
      </c>
      <c r="G3042" t="s">
        <v>3367</v>
      </c>
      <c r="H3042">
        <v>888.2</v>
      </c>
      <c r="I3042">
        <v>88.82</v>
      </c>
      <c r="J3042">
        <v>0</v>
      </c>
      <c r="K3042">
        <v>0</v>
      </c>
      <c r="L3042">
        <v>888.2</v>
      </c>
      <c r="M3042">
        <v>88.82</v>
      </c>
      <c r="O3042" s="79">
        <f>IFERROR(VLOOKUP(D3042,'KAPANAN BLD.'!$C$2:$D$793,2,FALSE),0)</f>
        <v>0</v>
      </c>
      <c r="P3042" s="79">
        <v>0</v>
      </c>
    </row>
    <row r="3043" spans="1:16" x14ac:dyDescent="0.25">
      <c r="A3043" t="s">
        <v>32</v>
      </c>
      <c r="B3043" s="73" t="str">
        <f>VLOOKUP(C3043,'Büyükşehir List'!$C$2:$D$31,2,FALSE)</f>
        <v>TRABZON BÜYÜKŞEHİR</v>
      </c>
      <c r="C3043" t="s">
        <v>147</v>
      </c>
      <c r="D3043" s="73" t="str">
        <f t="shared" si="72"/>
        <v>TRABZON BÜYÜKŞEHİR/TRABZON</v>
      </c>
      <c r="E3043" t="s">
        <v>386</v>
      </c>
      <c r="F3043" t="s">
        <v>386</v>
      </c>
      <c r="G3043" t="s">
        <v>3367</v>
      </c>
      <c r="H3043">
        <v>123.6</v>
      </c>
      <c r="I3043">
        <v>12.36</v>
      </c>
      <c r="J3043">
        <v>0</v>
      </c>
      <c r="K3043">
        <v>0</v>
      </c>
      <c r="L3043">
        <v>123.6</v>
      </c>
      <c r="M3043">
        <v>12.36</v>
      </c>
      <c r="O3043" s="79">
        <f>IFERROR(VLOOKUP(D3043,'KAPANAN BLD.'!$C$2:$D$793,2,FALSE),0)</f>
        <v>0</v>
      </c>
      <c r="P3043" s="79">
        <v>0</v>
      </c>
    </row>
    <row r="3044" spans="1:16" x14ac:dyDescent="0.25">
      <c r="A3044" t="s">
        <v>32</v>
      </c>
      <c r="B3044" s="73" t="str">
        <f>VLOOKUP(C3044,'Büyükşehir List'!$C$2:$D$31,2,FALSE)</f>
        <v>TRABZON BÜYÜKŞEHİR</v>
      </c>
      <c r="C3044" t="s">
        <v>147</v>
      </c>
      <c r="D3044" s="73" t="str">
        <f t="shared" si="72"/>
        <v>TRABZON BÜYÜKŞEHİR/TRABZON</v>
      </c>
      <c r="E3044" t="s">
        <v>386</v>
      </c>
      <c r="F3044" t="s">
        <v>386</v>
      </c>
      <c r="G3044" t="s">
        <v>3366</v>
      </c>
      <c r="H3044">
        <v>435.2</v>
      </c>
      <c r="I3044">
        <v>43.52</v>
      </c>
      <c r="J3044">
        <v>0</v>
      </c>
      <c r="K3044">
        <v>0</v>
      </c>
      <c r="L3044">
        <v>435.2</v>
      </c>
      <c r="M3044">
        <v>43.52</v>
      </c>
      <c r="O3044" s="79">
        <f>IFERROR(VLOOKUP(D3044,'KAPANAN BLD.'!$C$2:$D$793,2,FALSE),0)</f>
        <v>0</v>
      </c>
      <c r="P3044" s="79">
        <v>0</v>
      </c>
    </row>
    <row r="3045" spans="1:16" x14ac:dyDescent="0.25">
      <c r="A3045" t="s">
        <v>32</v>
      </c>
      <c r="B3045" s="73" t="str">
        <f t="shared" ref="B3045:B3075" si="73">F3045</f>
        <v>ÇEMİŞGEZEK</v>
      </c>
      <c r="C3045" t="s">
        <v>311</v>
      </c>
      <c r="D3045" s="73" t="str">
        <f t="shared" si="72"/>
        <v>ÇEMİŞGEZEK/TUNCELİ</v>
      </c>
      <c r="E3045" t="s">
        <v>2310</v>
      </c>
      <c r="F3045" t="s">
        <v>2310</v>
      </c>
      <c r="G3045" t="s">
        <v>3367</v>
      </c>
      <c r="H3045">
        <v>61.2</v>
      </c>
      <c r="I3045">
        <v>6.12</v>
      </c>
      <c r="J3045">
        <v>0</v>
      </c>
      <c r="K3045">
        <v>0</v>
      </c>
      <c r="L3045">
        <v>61.2</v>
      </c>
      <c r="M3045">
        <v>6.12</v>
      </c>
      <c r="O3045" s="79">
        <f>IFERROR(VLOOKUP(D3045,'KAPANAN BLD.'!$C$2:$D$793,2,FALSE),0)</f>
        <v>0</v>
      </c>
      <c r="P3045" s="79">
        <v>0</v>
      </c>
    </row>
    <row r="3046" spans="1:16" x14ac:dyDescent="0.25">
      <c r="A3046" t="s">
        <v>32</v>
      </c>
      <c r="B3046" s="73" t="str">
        <f t="shared" si="73"/>
        <v>ÇEMİŞGEZEK</v>
      </c>
      <c r="C3046" t="s">
        <v>311</v>
      </c>
      <c r="D3046" s="73" t="str">
        <f t="shared" si="72"/>
        <v>ÇEMİŞGEZEK/TUNCELİ</v>
      </c>
      <c r="E3046" t="s">
        <v>2310</v>
      </c>
      <c r="F3046" t="s">
        <v>2310</v>
      </c>
      <c r="G3046" t="s">
        <v>3366</v>
      </c>
      <c r="H3046">
        <v>712.7</v>
      </c>
      <c r="I3046">
        <v>71.27</v>
      </c>
      <c r="J3046">
        <v>0</v>
      </c>
      <c r="K3046">
        <v>0</v>
      </c>
      <c r="L3046">
        <v>712.7</v>
      </c>
      <c r="M3046">
        <v>71.27</v>
      </c>
      <c r="O3046" s="79">
        <f>IFERROR(VLOOKUP(D3046,'KAPANAN BLD.'!$C$2:$D$793,2,FALSE),0)</f>
        <v>0</v>
      </c>
      <c r="P3046" s="79">
        <v>0</v>
      </c>
    </row>
    <row r="3047" spans="1:16" x14ac:dyDescent="0.25">
      <c r="A3047" t="s">
        <v>32</v>
      </c>
      <c r="B3047" s="73" t="str">
        <f t="shared" si="73"/>
        <v>MERKEZ</v>
      </c>
      <c r="C3047" t="s">
        <v>311</v>
      </c>
      <c r="D3047" s="73" t="str">
        <f t="shared" si="72"/>
        <v>MERKEZ/TUNCELİ</v>
      </c>
      <c r="E3047" t="s">
        <v>34</v>
      </c>
      <c r="F3047" t="s">
        <v>34</v>
      </c>
      <c r="G3047" t="s">
        <v>3367</v>
      </c>
      <c r="H3047">
        <v>2763.7</v>
      </c>
      <c r="I3047">
        <v>276.37</v>
      </c>
      <c r="J3047">
        <v>0</v>
      </c>
      <c r="K3047">
        <v>0</v>
      </c>
      <c r="L3047">
        <v>2763.7</v>
      </c>
      <c r="M3047">
        <v>276.37</v>
      </c>
      <c r="O3047" s="79">
        <f>IFERROR(VLOOKUP(D3047,'KAPANAN BLD.'!$C$2:$D$793,2,FALSE),0)</f>
        <v>0</v>
      </c>
      <c r="P3047" s="79">
        <v>0</v>
      </c>
    </row>
    <row r="3048" spans="1:16" x14ac:dyDescent="0.25">
      <c r="A3048" t="s">
        <v>32</v>
      </c>
      <c r="B3048" s="73" t="str">
        <f t="shared" si="73"/>
        <v>MERKEZ</v>
      </c>
      <c r="C3048" t="s">
        <v>311</v>
      </c>
      <c r="D3048" s="73" t="str">
        <f t="shared" si="72"/>
        <v>MERKEZ/TUNCELİ</v>
      </c>
      <c r="E3048" t="s">
        <v>34</v>
      </c>
      <c r="F3048" t="s">
        <v>34</v>
      </c>
      <c r="G3048" t="s">
        <v>3366</v>
      </c>
      <c r="H3048">
        <v>1676.6</v>
      </c>
      <c r="I3048">
        <v>167.66</v>
      </c>
      <c r="J3048">
        <v>0</v>
      </c>
      <c r="K3048">
        <v>0</v>
      </c>
      <c r="L3048">
        <v>1676.6</v>
      </c>
      <c r="M3048">
        <v>167.66</v>
      </c>
      <c r="O3048" s="79">
        <f>IFERROR(VLOOKUP(D3048,'KAPANAN BLD.'!$C$2:$D$793,2,FALSE),0)</f>
        <v>0</v>
      </c>
      <c r="P3048" s="79">
        <v>0</v>
      </c>
    </row>
    <row r="3049" spans="1:16" x14ac:dyDescent="0.25">
      <c r="A3049" t="s">
        <v>32</v>
      </c>
      <c r="B3049" s="73" t="str">
        <f t="shared" si="73"/>
        <v>EŞME</v>
      </c>
      <c r="C3049" t="s">
        <v>13</v>
      </c>
      <c r="D3049" s="73" t="str">
        <f t="shared" si="72"/>
        <v>EŞME/UŞAK</v>
      </c>
      <c r="E3049" s="9" t="s">
        <v>2241</v>
      </c>
      <c r="F3049" s="9" t="s">
        <v>2241</v>
      </c>
      <c r="G3049" t="s">
        <v>3367</v>
      </c>
      <c r="H3049">
        <v>0.6</v>
      </c>
      <c r="I3049">
        <v>0.06</v>
      </c>
      <c r="J3049">
        <v>0</v>
      </c>
      <c r="K3049">
        <v>0</v>
      </c>
      <c r="L3049">
        <v>0.6</v>
      </c>
      <c r="M3049">
        <v>0.06</v>
      </c>
      <c r="O3049" s="79">
        <f>IFERROR(VLOOKUP(D3049,'KAPANAN BLD.'!$C$2:$D$793,2,FALSE),0)</f>
        <v>0</v>
      </c>
      <c r="P3049" s="79">
        <v>0</v>
      </c>
    </row>
    <row r="3050" spans="1:16" x14ac:dyDescent="0.25">
      <c r="A3050" t="s">
        <v>32</v>
      </c>
      <c r="B3050" s="73" t="str">
        <f t="shared" si="73"/>
        <v>EŞME</v>
      </c>
      <c r="C3050" t="s">
        <v>13</v>
      </c>
      <c r="D3050" s="73" t="str">
        <f t="shared" si="72"/>
        <v>EŞME/UŞAK</v>
      </c>
      <c r="E3050" s="9" t="s">
        <v>2241</v>
      </c>
      <c r="F3050" s="9" t="s">
        <v>2241</v>
      </c>
      <c r="G3050" t="s">
        <v>3366</v>
      </c>
      <c r="H3050">
        <v>0.2</v>
      </c>
      <c r="I3050">
        <v>0.02</v>
      </c>
      <c r="J3050">
        <v>0</v>
      </c>
      <c r="K3050">
        <v>0</v>
      </c>
      <c r="L3050">
        <v>0.2</v>
      </c>
      <c r="M3050">
        <v>0.02</v>
      </c>
      <c r="O3050" s="79">
        <f>IFERROR(VLOOKUP(D3050,'KAPANAN BLD.'!$C$2:$D$793,2,FALSE),0)</f>
        <v>0</v>
      </c>
      <c r="P3050" s="79">
        <v>0</v>
      </c>
    </row>
    <row r="3051" spans="1:16" x14ac:dyDescent="0.25">
      <c r="A3051" t="s">
        <v>32</v>
      </c>
      <c r="B3051" s="73" t="str">
        <f t="shared" si="73"/>
        <v>MERKEZ</v>
      </c>
      <c r="C3051" t="s">
        <v>13</v>
      </c>
      <c r="D3051" s="73" t="str">
        <f t="shared" si="72"/>
        <v>MERKEZ/UŞAK</v>
      </c>
      <c r="E3051" s="9" t="s">
        <v>34</v>
      </c>
      <c r="F3051" s="9" t="s">
        <v>34</v>
      </c>
      <c r="G3051" t="s">
        <v>3367</v>
      </c>
      <c r="H3051">
        <v>5509.6</v>
      </c>
      <c r="I3051">
        <v>550.96</v>
      </c>
      <c r="J3051">
        <v>10.3</v>
      </c>
      <c r="K3051">
        <v>1.03</v>
      </c>
      <c r="L3051">
        <v>5499.3</v>
      </c>
      <c r="M3051">
        <v>549.92999999999995</v>
      </c>
      <c r="O3051" s="79">
        <f>IFERROR(VLOOKUP(D3051,'KAPANAN BLD.'!$C$2:$D$793,2,FALSE),0)</f>
        <v>0</v>
      </c>
      <c r="P3051" s="79">
        <v>0</v>
      </c>
    </row>
    <row r="3052" spans="1:16" x14ac:dyDescent="0.25">
      <c r="A3052" t="s">
        <v>32</v>
      </c>
      <c r="B3052" s="73" t="str">
        <f t="shared" si="73"/>
        <v>MERKEZ</v>
      </c>
      <c r="C3052" t="s">
        <v>13</v>
      </c>
      <c r="D3052" s="73" t="str">
        <f t="shared" si="72"/>
        <v>MERKEZ/UŞAK</v>
      </c>
      <c r="E3052" s="9" t="s">
        <v>34</v>
      </c>
      <c r="F3052" s="9" t="s">
        <v>34</v>
      </c>
      <c r="G3052" t="s">
        <v>3366</v>
      </c>
      <c r="H3052">
        <v>3648.9</v>
      </c>
      <c r="I3052">
        <v>364.89</v>
      </c>
      <c r="J3052">
        <v>5.4</v>
      </c>
      <c r="K3052">
        <v>0.54</v>
      </c>
      <c r="L3052">
        <v>3643.5</v>
      </c>
      <c r="M3052">
        <v>364.35</v>
      </c>
      <c r="O3052" s="79">
        <f>IFERROR(VLOOKUP(D3052,'KAPANAN BLD.'!$C$2:$D$793,2,FALSE),0)</f>
        <v>0</v>
      </c>
      <c r="P3052" s="79">
        <v>0</v>
      </c>
    </row>
    <row r="3053" spans="1:16" x14ac:dyDescent="0.25">
      <c r="A3053" t="s">
        <v>32</v>
      </c>
      <c r="B3053" s="73" t="str">
        <f t="shared" si="73"/>
        <v>BANAZ</v>
      </c>
      <c r="C3053" t="s">
        <v>13</v>
      </c>
      <c r="D3053" s="73" t="str">
        <f t="shared" si="72"/>
        <v>BANAZ/UŞAK</v>
      </c>
      <c r="E3053" s="9" t="s">
        <v>345</v>
      </c>
      <c r="F3053" s="9" t="s">
        <v>345</v>
      </c>
      <c r="G3053" t="s">
        <v>3367</v>
      </c>
      <c r="H3053">
        <v>736</v>
      </c>
      <c r="I3053">
        <v>73.599999999999994</v>
      </c>
      <c r="J3053">
        <v>0</v>
      </c>
      <c r="K3053">
        <v>0</v>
      </c>
      <c r="L3053">
        <v>736</v>
      </c>
      <c r="M3053">
        <v>73.599999999999994</v>
      </c>
      <c r="O3053" s="79">
        <f>IFERROR(VLOOKUP(D3053,'KAPANAN BLD.'!$C$2:$D$793,2,FALSE),0)</f>
        <v>0</v>
      </c>
      <c r="P3053" s="79">
        <v>0</v>
      </c>
    </row>
    <row r="3054" spans="1:16" x14ac:dyDescent="0.25">
      <c r="A3054" t="s">
        <v>32</v>
      </c>
      <c r="B3054" s="73" t="str">
        <f t="shared" si="73"/>
        <v>EŞME</v>
      </c>
      <c r="C3054" t="s">
        <v>13</v>
      </c>
      <c r="D3054" s="73" t="str">
        <f t="shared" si="72"/>
        <v>EŞME/UŞAK</v>
      </c>
      <c r="E3054" t="s">
        <v>2241</v>
      </c>
      <c r="F3054" t="s">
        <v>2241</v>
      </c>
      <c r="G3054" t="s">
        <v>3367</v>
      </c>
      <c r="H3054">
        <v>188</v>
      </c>
      <c r="I3054">
        <v>18.8</v>
      </c>
      <c r="J3054">
        <v>0</v>
      </c>
      <c r="K3054">
        <v>0</v>
      </c>
      <c r="L3054">
        <v>188</v>
      </c>
      <c r="M3054">
        <v>18.8</v>
      </c>
      <c r="O3054" s="79">
        <f>IFERROR(VLOOKUP(D3054,'KAPANAN BLD.'!$C$2:$D$793,2,FALSE),0)</f>
        <v>0</v>
      </c>
      <c r="P3054" s="79">
        <v>0</v>
      </c>
    </row>
    <row r="3055" spans="1:16" x14ac:dyDescent="0.25">
      <c r="A3055" t="s">
        <v>32</v>
      </c>
      <c r="B3055" s="73" t="str">
        <f t="shared" si="73"/>
        <v>EŞME</v>
      </c>
      <c r="C3055" t="s">
        <v>13</v>
      </c>
      <c r="D3055" s="73" t="str">
        <f t="shared" si="72"/>
        <v>EŞME/UŞAK</v>
      </c>
      <c r="E3055" t="s">
        <v>2241</v>
      </c>
      <c r="F3055" t="s">
        <v>2241</v>
      </c>
      <c r="G3055" t="s">
        <v>3366</v>
      </c>
      <c r="H3055">
        <v>465.7</v>
      </c>
      <c r="I3055">
        <v>46.57</v>
      </c>
      <c r="J3055">
        <v>0</v>
      </c>
      <c r="K3055">
        <v>0</v>
      </c>
      <c r="L3055">
        <v>465.7</v>
      </c>
      <c r="M3055">
        <v>46.57</v>
      </c>
      <c r="O3055" s="79">
        <f>IFERROR(VLOOKUP(D3055,'KAPANAN BLD.'!$C$2:$D$793,2,FALSE),0)</f>
        <v>0</v>
      </c>
      <c r="P3055" s="79">
        <v>0</v>
      </c>
    </row>
    <row r="3056" spans="1:16" x14ac:dyDescent="0.25">
      <c r="A3056" t="s">
        <v>32</v>
      </c>
      <c r="B3056" s="73" t="str">
        <f t="shared" si="73"/>
        <v>EŞME</v>
      </c>
      <c r="C3056" t="s">
        <v>13</v>
      </c>
      <c r="D3056" s="73" t="str">
        <f t="shared" si="72"/>
        <v>EŞME/UŞAK</v>
      </c>
      <c r="E3056" s="9" t="s">
        <v>2241</v>
      </c>
      <c r="F3056" s="9" t="s">
        <v>2241</v>
      </c>
      <c r="G3056" t="s">
        <v>3367</v>
      </c>
      <c r="H3056">
        <v>2012.9</v>
      </c>
      <c r="I3056">
        <v>201.29</v>
      </c>
      <c r="J3056">
        <v>0</v>
      </c>
      <c r="K3056">
        <v>0</v>
      </c>
      <c r="L3056">
        <v>2012.9</v>
      </c>
      <c r="M3056">
        <v>201.29</v>
      </c>
      <c r="O3056" s="79">
        <f>IFERROR(VLOOKUP(D3056,'KAPANAN BLD.'!$C$2:$D$793,2,FALSE),0)</f>
        <v>0</v>
      </c>
      <c r="P3056" s="79">
        <v>0</v>
      </c>
    </row>
    <row r="3057" spans="1:16" x14ac:dyDescent="0.25">
      <c r="A3057" t="s">
        <v>32</v>
      </c>
      <c r="B3057" s="73" t="str">
        <f t="shared" si="73"/>
        <v>EŞME</v>
      </c>
      <c r="C3057" t="s">
        <v>13</v>
      </c>
      <c r="D3057" s="73" t="str">
        <f t="shared" si="72"/>
        <v>EŞME/UŞAK</v>
      </c>
      <c r="E3057" s="9" t="s">
        <v>2241</v>
      </c>
      <c r="F3057" s="9" t="s">
        <v>2241</v>
      </c>
      <c r="G3057" t="s">
        <v>3366</v>
      </c>
      <c r="H3057">
        <v>1983.5</v>
      </c>
      <c r="I3057">
        <v>198.35</v>
      </c>
      <c r="J3057">
        <v>0</v>
      </c>
      <c r="K3057">
        <v>0</v>
      </c>
      <c r="L3057">
        <v>1983.5</v>
      </c>
      <c r="M3057">
        <v>198.35</v>
      </c>
      <c r="O3057" s="79">
        <f>IFERROR(VLOOKUP(D3057,'KAPANAN BLD.'!$C$2:$D$793,2,FALSE),0)</f>
        <v>0</v>
      </c>
      <c r="P3057" s="79">
        <v>0</v>
      </c>
    </row>
    <row r="3058" spans="1:16" x14ac:dyDescent="0.25">
      <c r="A3058" t="s">
        <v>32</v>
      </c>
      <c r="B3058" s="73" t="str">
        <f t="shared" si="73"/>
        <v>MERKEZ</v>
      </c>
      <c r="C3058" t="s">
        <v>13</v>
      </c>
      <c r="D3058" s="73" t="str">
        <f t="shared" si="72"/>
        <v>MERKEZ/UŞAK</v>
      </c>
      <c r="E3058" s="9" t="s">
        <v>34</v>
      </c>
      <c r="F3058" s="9" t="s">
        <v>34</v>
      </c>
      <c r="G3058" t="s">
        <v>3366</v>
      </c>
      <c r="H3058">
        <v>6568.6</v>
      </c>
      <c r="I3058">
        <v>656.86</v>
      </c>
      <c r="J3058">
        <v>132.1</v>
      </c>
      <c r="K3058">
        <v>13.21</v>
      </c>
      <c r="L3058">
        <v>6436.5</v>
      </c>
      <c r="M3058">
        <v>643.65</v>
      </c>
      <c r="O3058" s="79">
        <f>IFERROR(VLOOKUP(D3058,'KAPANAN BLD.'!$C$2:$D$793,2,FALSE),0)</f>
        <v>0</v>
      </c>
      <c r="P3058" s="79">
        <v>0</v>
      </c>
    </row>
    <row r="3059" spans="1:16" x14ac:dyDescent="0.25">
      <c r="A3059" t="s">
        <v>32</v>
      </c>
      <c r="B3059" s="73" t="str">
        <f t="shared" si="73"/>
        <v>MERKEZ</v>
      </c>
      <c r="C3059" t="s">
        <v>13</v>
      </c>
      <c r="D3059" s="73" t="str">
        <f t="shared" si="72"/>
        <v>MERKEZ/UŞAK</v>
      </c>
      <c r="E3059" s="9" t="s">
        <v>34</v>
      </c>
      <c r="F3059" s="9" t="s">
        <v>34</v>
      </c>
      <c r="G3059" t="s">
        <v>3367</v>
      </c>
      <c r="H3059">
        <v>5588.2</v>
      </c>
      <c r="I3059">
        <v>558.82000000000005</v>
      </c>
      <c r="J3059">
        <v>182.3</v>
      </c>
      <c r="K3059">
        <v>18.23</v>
      </c>
      <c r="L3059">
        <v>5405.9</v>
      </c>
      <c r="M3059">
        <v>540.59</v>
      </c>
      <c r="O3059" s="79">
        <f>IFERROR(VLOOKUP(D3059,'KAPANAN BLD.'!$C$2:$D$793,2,FALSE),0)</f>
        <v>0</v>
      </c>
      <c r="P3059" s="79">
        <v>0</v>
      </c>
    </row>
    <row r="3060" spans="1:16" x14ac:dyDescent="0.25">
      <c r="A3060" t="s">
        <v>32</v>
      </c>
      <c r="B3060" s="73" t="str">
        <f t="shared" si="73"/>
        <v>MERKEZ</v>
      </c>
      <c r="C3060" t="s">
        <v>13</v>
      </c>
      <c r="D3060" s="73" t="str">
        <f t="shared" si="72"/>
        <v>MERKEZ/UŞAK</v>
      </c>
      <c r="E3060" s="9" t="s">
        <v>34</v>
      </c>
      <c r="F3060" s="9" t="s">
        <v>34</v>
      </c>
      <c r="G3060" t="s">
        <v>3367</v>
      </c>
      <c r="H3060">
        <v>2268.8000000000002</v>
      </c>
      <c r="I3060">
        <v>226.88</v>
      </c>
      <c r="J3060">
        <v>204</v>
      </c>
      <c r="K3060">
        <v>20.399999999999999</v>
      </c>
      <c r="L3060">
        <v>2064.8000000000002</v>
      </c>
      <c r="M3060">
        <v>206.48</v>
      </c>
      <c r="O3060" s="79">
        <f>IFERROR(VLOOKUP(D3060,'KAPANAN BLD.'!$C$2:$D$793,2,FALSE),0)</f>
        <v>0</v>
      </c>
      <c r="P3060" s="79">
        <v>0</v>
      </c>
    </row>
    <row r="3061" spans="1:16" x14ac:dyDescent="0.25">
      <c r="A3061" t="s">
        <v>32</v>
      </c>
      <c r="B3061" s="73" t="str">
        <f t="shared" si="73"/>
        <v>MERKEZ</v>
      </c>
      <c r="C3061" t="s">
        <v>13</v>
      </c>
      <c r="D3061" s="73" t="str">
        <f t="shared" si="72"/>
        <v>MERKEZ/UŞAK</v>
      </c>
      <c r="E3061" s="9" t="s">
        <v>34</v>
      </c>
      <c r="F3061" s="9" t="s">
        <v>34</v>
      </c>
      <c r="G3061" t="s">
        <v>3366</v>
      </c>
      <c r="H3061">
        <v>3264.9</v>
      </c>
      <c r="I3061">
        <v>326.49</v>
      </c>
      <c r="J3061">
        <v>105.4</v>
      </c>
      <c r="K3061">
        <v>10.54</v>
      </c>
      <c r="L3061">
        <v>3159.5</v>
      </c>
      <c r="M3061">
        <v>315.95</v>
      </c>
      <c r="O3061" s="79">
        <f>IFERROR(VLOOKUP(D3061,'KAPANAN BLD.'!$C$2:$D$793,2,FALSE),0)</f>
        <v>0</v>
      </c>
      <c r="P3061" s="79">
        <v>0</v>
      </c>
    </row>
    <row r="3062" spans="1:16" x14ac:dyDescent="0.25">
      <c r="A3062" t="s">
        <v>32</v>
      </c>
      <c r="B3062" s="73" t="str">
        <f t="shared" si="73"/>
        <v>KARAHALLI</v>
      </c>
      <c r="C3062" t="s">
        <v>13</v>
      </c>
      <c r="D3062" s="73" t="str">
        <f t="shared" si="72"/>
        <v>KARAHALLI/UŞAK</v>
      </c>
      <c r="E3062" s="9" t="s">
        <v>2214</v>
      </c>
      <c r="F3062" s="9" t="s">
        <v>2214</v>
      </c>
      <c r="G3062" t="s">
        <v>3366</v>
      </c>
      <c r="H3062">
        <v>81</v>
      </c>
      <c r="I3062">
        <v>8.1</v>
      </c>
      <c r="J3062">
        <v>0</v>
      </c>
      <c r="K3062">
        <v>0</v>
      </c>
      <c r="L3062">
        <v>81</v>
      </c>
      <c r="M3062">
        <v>8.1</v>
      </c>
      <c r="O3062" s="79">
        <f>IFERROR(VLOOKUP(D3062,'KAPANAN BLD.'!$C$2:$D$793,2,FALSE),0)</f>
        <v>0</v>
      </c>
      <c r="P3062" s="79">
        <v>0</v>
      </c>
    </row>
    <row r="3063" spans="1:16" x14ac:dyDescent="0.25">
      <c r="A3063" t="s">
        <v>32</v>
      </c>
      <c r="B3063" s="73" t="str">
        <f t="shared" si="73"/>
        <v>KARAHALLI</v>
      </c>
      <c r="C3063" t="s">
        <v>13</v>
      </c>
      <c r="D3063" s="73" t="str">
        <f t="shared" si="72"/>
        <v>KARAHALLI/UŞAK</v>
      </c>
      <c r="E3063" s="9" t="s">
        <v>2214</v>
      </c>
      <c r="F3063" s="9" t="s">
        <v>2214</v>
      </c>
      <c r="G3063" t="s">
        <v>3367</v>
      </c>
      <c r="H3063">
        <v>112.2</v>
      </c>
      <c r="I3063">
        <v>11.22</v>
      </c>
      <c r="J3063">
        <v>0</v>
      </c>
      <c r="K3063">
        <v>0</v>
      </c>
      <c r="L3063">
        <v>112.2</v>
      </c>
      <c r="M3063">
        <v>11.22</v>
      </c>
      <c r="O3063" s="79">
        <f>IFERROR(VLOOKUP(D3063,'KAPANAN BLD.'!$C$2:$D$793,2,FALSE),0)</f>
        <v>0</v>
      </c>
      <c r="P3063" s="79">
        <v>0</v>
      </c>
    </row>
    <row r="3064" spans="1:16" x14ac:dyDescent="0.25">
      <c r="A3064" t="s">
        <v>32</v>
      </c>
      <c r="B3064" s="73" t="str">
        <f t="shared" si="73"/>
        <v>BANAZ</v>
      </c>
      <c r="C3064" t="s">
        <v>13</v>
      </c>
      <c r="D3064" s="73" t="str">
        <f t="shared" si="72"/>
        <v>BANAZ/UŞAK</v>
      </c>
      <c r="E3064" s="9" t="s">
        <v>345</v>
      </c>
      <c r="F3064" s="9" t="s">
        <v>345</v>
      </c>
      <c r="G3064" t="s">
        <v>3367</v>
      </c>
      <c r="H3064">
        <v>155.19999999999999</v>
      </c>
      <c r="I3064">
        <v>15.52</v>
      </c>
      <c r="J3064">
        <v>45</v>
      </c>
      <c r="K3064">
        <v>4.5</v>
      </c>
      <c r="L3064">
        <v>110.2</v>
      </c>
      <c r="M3064">
        <v>11.02</v>
      </c>
      <c r="O3064" s="79">
        <f>IFERROR(VLOOKUP(D3064,'KAPANAN BLD.'!$C$2:$D$793,2,FALSE),0)</f>
        <v>0</v>
      </c>
      <c r="P3064" s="79">
        <v>0</v>
      </c>
    </row>
    <row r="3065" spans="1:16" x14ac:dyDescent="0.25">
      <c r="A3065" t="s">
        <v>32</v>
      </c>
      <c r="B3065" s="73" t="str">
        <f t="shared" si="73"/>
        <v>BANAZ</v>
      </c>
      <c r="C3065" t="s">
        <v>13</v>
      </c>
      <c r="D3065" s="73" t="str">
        <f t="shared" si="72"/>
        <v>BANAZ/UŞAK</v>
      </c>
      <c r="E3065" s="9" t="s">
        <v>345</v>
      </c>
      <c r="F3065" s="9" t="s">
        <v>345</v>
      </c>
      <c r="G3065" t="s">
        <v>3366</v>
      </c>
      <c r="H3065">
        <v>989.9</v>
      </c>
      <c r="I3065">
        <v>98.99</v>
      </c>
      <c r="J3065">
        <v>402.8</v>
      </c>
      <c r="K3065">
        <v>40.28</v>
      </c>
      <c r="L3065">
        <v>587.1</v>
      </c>
      <c r="M3065">
        <v>58.71</v>
      </c>
      <c r="O3065" s="79">
        <f>IFERROR(VLOOKUP(D3065,'KAPANAN BLD.'!$C$2:$D$793,2,FALSE),0)</f>
        <v>0</v>
      </c>
      <c r="P3065" s="79">
        <v>0</v>
      </c>
    </row>
    <row r="3066" spans="1:16" x14ac:dyDescent="0.25">
      <c r="A3066" t="s">
        <v>32</v>
      </c>
      <c r="B3066" s="73" t="str">
        <f t="shared" si="73"/>
        <v>MERKEZ</v>
      </c>
      <c r="C3066" t="s">
        <v>13</v>
      </c>
      <c r="D3066" s="73" t="str">
        <f t="shared" si="72"/>
        <v>MERKEZ/UŞAK</v>
      </c>
      <c r="E3066" t="s">
        <v>34</v>
      </c>
      <c r="F3066" t="s">
        <v>34</v>
      </c>
      <c r="G3066" t="s">
        <v>3366</v>
      </c>
      <c r="H3066">
        <v>6948.3</v>
      </c>
      <c r="I3066">
        <v>694.83</v>
      </c>
      <c r="J3066">
        <v>121.9</v>
      </c>
      <c r="K3066">
        <v>12.19</v>
      </c>
      <c r="L3066">
        <v>6826.4</v>
      </c>
      <c r="M3066">
        <v>682.64</v>
      </c>
      <c r="O3066" s="79">
        <f>IFERROR(VLOOKUP(D3066,'KAPANAN BLD.'!$C$2:$D$793,2,FALSE),0)</f>
        <v>0</v>
      </c>
      <c r="P3066" s="79">
        <v>0</v>
      </c>
    </row>
    <row r="3067" spans="1:16" x14ac:dyDescent="0.25">
      <c r="A3067" t="s">
        <v>32</v>
      </c>
      <c r="B3067" s="73" t="str">
        <f t="shared" si="73"/>
        <v>MERKEZ</v>
      </c>
      <c r="C3067" t="s">
        <v>13</v>
      </c>
      <c r="D3067" s="73" t="str">
        <f t="shared" si="72"/>
        <v>MERKEZ/UŞAK</v>
      </c>
      <c r="E3067" t="s">
        <v>34</v>
      </c>
      <c r="F3067" t="s">
        <v>34</v>
      </c>
      <c r="G3067" t="s">
        <v>3367</v>
      </c>
      <c r="H3067">
        <v>7258.6</v>
      </c>
      <c r="I3067">
        <v>725.86</v>
      </c>
      <c r="J3067">
        <v>236.7</v>
      </c>
      <c r="K3067">
        <v>23.67</v>
      </c>
      <c r="L3067">
        <v>7021.9</v>
      </c>
      <c r="M3067">
        <v>702.19</v>
      </c>
      <c r="O3067" s="79">
        <f>IFERROR(VLOOKUP(D3067,'KAPANAN BLD.'!$C$2:$D$793,2,FALSE),0)</f>
        <v>0</v>
      </c>
      <c r="P3067" s="79">
        <v>0</v>
      </c>
    </row>
    <row r="3068" spans="1:16" x14ac:dyDescent="0.25">
      <c r="A3068" t="s">
        <v>32</v>
      </c>
      <c r="B3068" s="73" t="str">
        <f t="shared" si="73"/>
        <v>ULUBEY</v>
      </c>
      <c r="C3068" t="s">
        <v>13</v>
      </c>
      <c r="D3068" s="73" t="str">
        <f t="shared" si="72"/>
        <v>ULUBEY/UŞAK</v>
      </c>
      <c r="E3068" s="9" t="s">
        <v>2418</v>
      </c>
      <c r="F3068" s="9" t="s">
        <v>2418</v>
      </c>
      <c r="G3068" t="s">
        <v>3366</v>
      </c>
      <c r="H3068">
        <v>300.5</v>
      </c>
      <c r="I3068">
        <v>30.05</v>
      </c>
      <c r="J3068">
        <v>0</v>
      </c>
      <c r="K3068">
        <v>0</v>
      </c>
      <c r="L3068">
        <v>300.5</v>
      </c>
      <c r="M3068">
        <v>30.05</v>
      </c>
      <c r="O3068" s="79">
        <f>IFERROR(VLOOKUP(D3068,'KAPANAN BLD.'!$C$2:$D$793,2,FALSE),0)</f>
        <v>0</v>
      </c>
      <c r="P3068" s="79">
        <v>0</v>
      </c>
    </row>
    <row r="3069" spans="1:16" x14ac:dyDescent="0.25">
      <c r="A3069" t="s">
        <v>32</v>
      </c>
      <c r="B3069" s="73" t="str">
        <f t="shared" si="73"/>
        <v>ULUBEY</v>
      </c>
      <c r="C3069" t="s">
        <v>13</v>
      </c>
      <c r="D3069" s="73" t="str">
        <f t="shared" si="72"/>
        <v>ULUBEY/UŞAK</v>
      </c>
      <c r="E3069" s="9" t="s">
        <v>2418</v>
      </c>
      <c r="F3069" s="9" t="s">
        <v>2418</v>
      </c>
      <c r="G3069" t="s">
        <v>3367</v>
      </c>
      <c r="H3069">
        <v>404.9</v>
      </c>
      <c r="I3069">
        <v>40.49</v>
      </c>
      <c r="J3069">
        <v>0</v>
      </c>
      <c r="K3069">
        <v>0</v>
      </c>
      <c r="L3069">
        <v>404.9</v>
      </c>
      <c r="M3069">
        <v>40.49</v>
      </c>
      <c r="O3069" s="79">
        <f>IFERROR(VLOOKUP(D3069,'KAPANAN BLD.'!$C$2:$D$793,2,FALSE),0)</f>
        <v>0</v>
      </c>
      <c r="P3069" s="79">
        <v>0</v>
      </c>
    </row>
    <row r="3070" spans="1:16" x14ac:dyDescent="0.25">
      <c r="A3070" t="s">
        <v>32</v>
      </c>
      <c r="B3070" s="73" t="str">
        <f t="shared" si="73"/>
        <v>SİVASLI</v>
      </c>
      <c r="C3070" t="s">
        <v>13</v>
      </c>
      <c r="D3070" s="73" t="str">
        <f t="shared" si="72"/>
        <v>SİVASLI/UŞAK</v>
      </c>
      <c r="E3070" s="9" t="s">
        <v>2003</v>
      </c>
      <c r="F3070" s="9" t="s">
        <v>2003</v>
      </c>
      <c r="G3070" t="s">
        <v>3367</v>
      </c>
      <c r="H3070">
        <v>115.6</v>
      </c>
      <c r="I3070">
        <v>11.56</v>
      </c>
      <c r="J3070">
        <v>0</v>
      </c>
      <c r="K3070">
        <v>0</v>
      </c>
      <c r="L3070">
        <v>115.6</v>
      </c>
      <c r="M3070">
        <v>11.56</v>
      </c>
      <c r="O3070" s="79">
        <f>IFERROR(VLOOKUP(D3070,'KAPANAN BLD.'!$C$2:$D$793,2,FALSE),0)</f>
        <v>0</v>
      </c>
      <c r="P3070" s="79">
        <v>0</v>
      </c>
    </row>
    <row r="3071" spans="1:16" x14ac:dyDescent="0.25">
      <c r="A3071" t="s">
        <v>32</v>
      </c>
      <c r="B3071" s="73" t="str">
        <f t="shared" si="73"/>
        <v>SİVASLI</v>
      </c>
      <c r="C3071" t="s">
        <v>13</v>
      </c>
      <c r="D3071" s="73" t="str">
        <f t="shared" si="72"/>
        <v>SİVASLI/UŞAK</v>
      </c>
      <c r="E3071" s="9" t="s">
        <v>2003</v>
      </c>
      <c r="F3071" s="9" t="s">
        <v>2003</v>
      </c>
      <c r="G3071" t="s">
        <v>3366</v>
      </c>
      <c r="H3071">
        <v>690.4</v>
      </c>
      <c r="I3071">
        <v>69.040000000000006</v>
      </c>
      <c r="J3071">
        <v>0</v>
      </c>
      <c r="K3071">
        <v>0</v>
      </c>
      <c r="L3071">
        <v>690.4</v>
      </c>
      <c r="M3071">
        <v>69.040000000000006</v>
      </c>
      <c r="O3071" s="79">
        <f>IFERROR(VLOOKUP(D3071,'KAPANAN BLD.'!$C$2:$D$793,2,FALSE),0)</f>
        <v>0</v>
      </c>
      <c r="P3071" s="79">
        <v>0</v>
      </c>
    </row>
    <row r="3072" spans="1:16" x14ac:dyDescent="0.25">
      <c r="A3072" t="s">
        <v>32</v>
      </c>
      <c r="B3072" s="73" t="str">
        <f t="shared" si="73"/>
        <v>SİVASLI</v>
      </c>
      <c r="C3072" t="s">
        <v>13</v>
      </c>
      <c r="D3072" s="73" t="str">
        <f t="shared" si="72"/>
        <v>SİVASLI/UŞAK</v>
      </c>
      <c r="E3072" s="9" t="s">
        <v>2003</v>
      </c>
      <c r="F3072" s="9" t="s">
        <v>2003</v>
      </c>
      <c r="G3072" t="s">
        <v>3367</v>
      </c>
      <c r="H3072">
        <v>664.3</v>
      </c>
      <c r="I3072">
        <v>66.430000000000007</v>
      </c>
      <c r="J3072">
        <v>0</v>
      </c>
      <c r="K3072">
        <v>0</v>
      </c>
      <c r="L3072">
        <v>664.3</v>
      </c>
      <c r="M3072">
        <v>66.430000000000007</v>
      </c>
      <c r="O3072" s="79">
        <f>IFERROR(VLOOKUP(D3072,'KAPANAN BLD.'!$C$2:$D$793,2,FALSE),0)</f>
        <v>0</v>
      </c>
      <c r="P3072" s="79">
        <v>0</v>
      </c>
    </row>
    <row r="3073" spans="1:16" x14ac:dyDescent="0.25">
      <c r="A3073" t="s">
        <v>32</v>
      </c>
      <c r="B3073" s="73" t="str">
        <f t="shared" si="73"/>
        <v>SİVASLI</v>
      </c>
      <c r="C3073" t="s">
        <v>13</v>
      </c>
      <c r="D3073" s="73" t="str">
        <f t="shared" si="72"/>
        <v>SİVASLI/UŞAK</v>
      </c>
      <c r="E3073" s="9" t="s">
        <v>2003</v>
      </c>
      <c r="F3073" s="9" t="s">
        <v>2003</v>
      </c>
      <c r="G3073" t="s">
        <v>3366</v>
      </c>
      <c r="H3073">
        <v>509.2</v>
      </c>
      <c r="I3073">
        <v>50.92</v>
      </c>
      <c r="J3073">
        <v>0</v>
      </c>
      <c r="K3073">
        <v>0</v>
      </c>
      <c r="L3073">
        <v>509.2</v>
      </c>
      <c r="M3073">
        <v>50.92</v>
      </c>
      <c r="O3073" s="79">
        <f>IFERROR(VLOOKUP(D3073,'KAPANAN BLD.'!$C$2:$D$793,2,FALSE),0)</f>
        <v>0</v>
      </c>
      <c r="P3073" s="79">
        <v>0</v>
      </c>
    </row>
    <row r="3074" spans="1:16" x14ac:dyDescent="0.25">
      <c r="A3074" t="s">
        <v>32</v>
      </c>
      <c r="B3074" s="73" t="str">
        <f t="shared" si="73"/>
        <v>EŞME</v>
      </c>
      <c r="C3074" t="s">
        <v>13</v>
      </c>
      <c r="D3074" s="73" t="str">
        <f t="shared" si="72"/>
        <v>EŞME/UŞAK</v>
      </c>
      <c r="E3074" s="9" t="s">
        <v>2241</v>
      </c>
      <c r="F3074" s="9" t="s">
        <v>2241</v>
      </c>
      <c r="G3074" t="s">
        <v>3366</v>
      </c>
      <c r="H3074">
        <v>1174.7</v>
      </c>
      <c r="I3074">
        <v>117.47</v>
      </c>
      <c r="J3074">
        <v>0</v>
      </c>
      <c r="K3074">
        <v>0</v>
      </c>
      <c r="L3074">
        <v>1174.7</v>
      </c>
      <c r="M3074">
        <v>117.47</v>
      </c>
      <c r="O3074" s="79">
        <f>IFERROR(VLOOKUP(D3074,'KAPANAN BLD.'!$C$2:$D$793,2,FALSE),0)</f>
        <v>0</v>
      </c>
      <c r="P3074" s="79">
        <v>0</v>
      </c>
    </row>
    <row r="3075" spans="1:16" x14ac:dyDescent="0.25">
      <c r="A3075" t="s">
        <v>32</v>
      </c>
      <c r="B3075" s="73" t="str">
        <f t="shared" si="73"/>
        <v>EŞME</v>
      </c>
      <c r="C3075" t="s">
        <v>13</v>
      </c>
      <c r="D3075" s="73" t="str">
        <f t="shared" ref="D3075:D3138" si="74">CONCATENATE(B3075,"/",C3075)</f>
        <v>EŞME/UŞAK</v>
      </c>
      <c r="E3075" s="9" t="s">
        <v>2241</v>
      </c>
      <c r="F3075" s="9" t="s">
        <v>2241</v>
      </c>
      <c r="G3075" t="s">
        <v>3367</v>
      </c>
      <c r="H3075">
        <v>1188.9000000000001</v>
      </c>
      <c r="I3075">
        <v>118.89</v>
      </c>
      <c r="J3075">
        <v>0</v>
      </c>
      <c r="K3075">
        <v>0</v>
      </c>
      <c r="L3075">
        <v>1188.9000000000001</v>
      </c>
      <c r="M3075">
        <v>118.89</v>
      </c>
      <c r="O3075" s="79">
        <f>IFERROR(VLOOKUP(D3075,'KAPANAN BLD.'!$C$2:$D$793,2,FALSE),0)</f>
        <v>0</v>
      </c>
      <c r="P3075" s="79">
        <v>0</v>
      </c>
    </row>
    <row r="3076" spans="1:16" x14ac:dyDescent="0.25">
      <c r="A3076" t="s">
        <v>32</v>
      </c>
      <c r="B3076" s="73" t="str">
        <f>VLOOKUP(C3076,'Büyükşehir List'!$C$2:$D$31,2,FALSE)</f>
        <v>VAN BÜYÜKŞEHİR</v>
      </c>
      <c r="C3076" t="s">
        <v>181</v>
      </c>
      <c r="D3076" s="73" t="str">
        <f t="shared" si="74"/>
        <v>VAN BÜYÜKŞEHİR/VAN</v>
      </c>
      <c r="E3076" t="s">
        <v>4407</v>
      </c>
      <c r="F3076" t="s">
        <v>4407</v>
      </c>
      <c r="G3076" t="s">
        <v>3366</v>
      </c>
      <c r="H3076">
        <v>12.3</v>
      </c>
      <c r="I3076">
        <v>1.23</v>
      </c>
      <c r="J3076">
        <v>0</v>
      </c>
      <c r="K3076">
        <v>0</v>
      </c>
      <c r="L3076">
        <v>12.3</v>
      </c>
      <c r="M3076">
        <v>1.23</v>
      </c>
      <c r="O3076" s="79">
        <f>IFERROR(VLOOKUP(D3076,'KAPANAN BLD.'!$C$2:$D$793,2,FALSE),0)</f>
        <v>0</v>
      </c>
      <c r="P3076" s="79">
        <v>0</v>
      </c>
    </row>
    <row r="3077" spans="1:16" x14ac:dyDescent="0.25">
      <c r="A3077" t="s">
        <v>32</v>
      </c>
      <c r="B3077" s="73" t="str">
        <f>VLOOKUP(C3077,'Büyükşehir List'!$C$2:$D$31,2,FALSE)</f>
        <v>VAN BÜYÜKŞEHİR</v>
      </c>
      <c r="C3077" t="s">
        <v>181</v>
      </c>
      <c r="D3077" s="73" t="str">
        <f t="shared" si="74"/>
        <v>VAN BÜYÜKŞEHİR/VAN</v>
      </c>
      <c r="E3077" t="s">
        <v>4407</v>
      </c>
      <c r="F3077" t="s">
        <v>4407</v>
      </c>
      <c r="G3077" t="s">
        <v>3367</v>
      </c>
      <c r="H3077">
        <v>278.10000000000002</v>
      </c>
      <c r="I3077">
        <v>27.81</v>
      </c>
      <c r="J3077">
        <v>0</v>
      </c>
      <c r="K3077">
        <v>0</v>
      </c>
      <c r="L3077">
        <v>278.10000000000002</v>
      </c>
      <c r="M3077">
        <v>27.81</v>
      </c>
      <c r="O3077" s="79">
        <f>IFERROR(VLOOKUP(D3077,'KAPANAN BLD.'!$C$2:$D$793,2,FALSE),0)</f>
        <v>0</v>
      </c>
      <c r="P3077" s="79">
        <v>0</v>
      </c>
    </row>
    <row r="3078" spans="1:16" x14ac:dyDescent="0.25">
      <c r="A3078" t="s">
        <v>32</v>
      </c>
      <c r="B3078" s="73" t="str">
        <f>VLOOKUP(C3078,'Büyükşehir List'!$C$2:$D$31,2,FALSE)</f>
        <v>VAN BÜYÜKŞEHİR</v>
      </c>
      <c r="C3078" t="s">
        <v>181</v>
      </c>
      <c r="D3078" s="73" t="str">
        <f t="shared" si="74"/>
        <v>VAN BÜYÜKŞEHİR/VAN</v>
      </c>
      <c r="E3078" t="s">
        <v>3866</v>
      </c>
      <c r="F3078" t="s">
        <v>3866</v>
      </c>
      <c r="G3078" t="s">
        <v>3366</v>
      </c>
      <c r="H3078">
        <v>661.9</v>
      </c>
      <c r="I3078">
        <v>66.19</v>
      </c>
      <c r="J3078">
        <v>496.8</v>
      </c>
      <c r="K3078">
        <v>49.68</v>
      </c>
      <c r="L3078">
        <v>165.1</v>
      </c>
      <c r="M3078">
        <v>16.510000000000002</v>
      </c>
      <c r="O3078" s="79">
        <f>IFERROR(VLOOKUP(D3078,'KAPANAN BLD.'!$C$2:$D$793,2,FALSE),0)</f>
        <v>0</v>
      </c>
      <c r="P3078" s="79">
        <v>0</v>
      </c>
    </row>
    <row r="3079" spans="1:16" x14ac:dyDescent="0.25">
      <c r="A3079" t="s">
        <v>32</v>
      </c>
      <c r="B3079" s="73" t="str">
        <f>VLOOKUP(C3079,'Büyükşehir List'!$C$2:$D$31,2,FALSE)</f>
        <v>VAN BÜYÜKŞEHİR</v>
      </c>
      <c r="C3079" t="s">
        <v>181</v>
      </c>
      <c r="D3079" s="73" t="str">
        <f t="shared" si="74"/>
        <v>VAN BÜYÜKŞEHİR/VAN</v>
      </c>
      <c r="E3079" t="s">
        <v>3866</v>
      </c>
      <c r="F3079" t="s">
        <v>3866</v>
      </c>
      <c r="G3079" t="s">
        <v>3367</v>
      </c>
      <c r="H3079">
        <v>81.8</v>
      </c>
      <c r="I3079">
        <v>8.18</v>
      </c>
      <c r="J3079">
        <v>38.1</v>
      </c>
      <c r="K3079">
        <v>3.81</v>
      </c>
      <c r="L3079">
        <v>43.7</v>
      </c>
      <c r="M3079">
        <v>4.37</v>
      </c>
      <c r="O3079" s="79">
        <f>IFERROR(VLOOKUP(D3079,'KAPANAN BLD.'!$C$2:$D$793,2,FALSE),0)</f>
        <v>0</v>
      </c>
      <c r="P3079" s="79">
        <v>0</v>
      </c>
    </row>
    <row r="3080" spans="1:16" x14ac:dyDescent="0.25">
      <c r="A3080" t="s">
        <v>32</v>
      </c>
      <c r="B3080" s="73" t="str">
        <f>VLOOKUP(C3080,'Büyükşehir List'!$C$2:$D$31,2,FALSE)</f>
        <v>VAN BÜYÜKŞEHİR</v>
      </c>
      <c r="C3080" t="s">
        <v>181</v>
      </c>
      <c r="D3080" s="73" t="str">
        <f t="shared" si="74"/>
        <v>VAN BÜYÜKŞEHİR/VAN</v>
      </c>
      <c r="E3080" t="s">
        <v>3442</v>
      </c>
      <c r="F3080" t="s">
        <v>3442</v>
      </c>
      <c r="G3080" t="s">
        <v>3366</v>
      </c>
      <c r="H3080">
        <v>475.2</v>
      </c>
      <c r="I3080">
        <v>47.52</v>
      </c>
      <c r="J3080">
        <v>0</v>
      </c>
      <c r="K3080">
        <v>0</v>
      </c>
      <c r="L3080">
        <v>475.2</v>
      </c>
      <c r="M3080">
        <v>47.52</v>
      </c>
      <c r="O3080" s="79">
        <f>IFERROR(VLOOKUP(D3080,'KAPANAN BLD.'!$C$2:$D$793,2,FALSE),0)</f>
        <v>0</v>
      </c>
      <c r="P3080" s="79">
        <v>0</v>
      </c>
    </row>
    <row r="3081" spans="1:16" x14ac:dyDescent="0.25">
      <c r="A3081" t="s">
        <v>32</v>
      </c>
      <c r="B3081" s="73" t="str">
        <f>VLOOKUP(C3081,'Büyükşehir List'!$C$2:$D$31,2,FALSE)</f>
        <v>VAN BÜYÜKŞEHİR</v>
      </c>
      <c r="C3081" t="s">
        <v>181</v>
      </c>
      <c r="D3081" s="73" t="str">
        <f t="shared" si="74"/>
        <v>VAN BÜYÜKŞEHİR/VAN</v>
      </c>
      <c r="E3081" t="s">
        <v>3442</v>
      </c>
      <c r="F3081" t="s">
        <v>3442</v>
      </c>
      <c r="G3081" t="s">
        <v>3367</v>
      </c>
      <c r="H3081">
        <v>769.7</v>
      </c>
      <c r="I3081">
        <v>76.97</v>
      </c>
      <c r="J3081">
        <v>0</v>
      </c>
      <c r="K3081">
        <v>0</v>
      </c>
      <c r="L3081">
        <v>769.7</v>
      </c>
      <c r="M3081">
        <v>76.97</v>
      </c>
      <c r="O3081" s="79">
        <f>IFERROR(VLOOKUP(D3081,'KAPANAN BLD.'!$C$2:$D$793,2,FALSE),0)</f>
        <v>0</v>
      </c>
      <c r="P3081" s="79">
        <v>0</v>
      </c>
    </row>
    <row r="3082" spans="1:16" x14ac:dyDescent="0.25">
      <c r="A3082" t="s">
        <v>32</v>
      </c>
      <c r="B3082" s="73" t="str">
        <f>VLOOKUP(C3082,'Büyükşehir List'!$C$2:$D$31,2,FALSE)</f>
        <v>VAN BÜYÜKŞEHİR</v>
      </c>
      <c r="C3082" t="s">
        <v>181</v>
      </c>
      <c r="D3082" s="73" t="str">
        <f t="shared" si="74"/>
        <v>VAN BÜYÜKŞEHİR/VAN</v>
      </c>
      <c r="E3082" t="s">
        <v>47</v>
      </c>
      <c r="F3082" t="s">
        <v>47</v>
      </c>
      <c r="G3082" t="s">
        <v>3367</v>
      </c>
      <c r="H3082">
        <v>842.9</v>
      </c>
      <c r="I3082">
        <v>84.29</v>
      </c>
      <c r="J3082">
        <v>0</v>
      </c>
      <c r="K3082">
        <v>0</v>
      </c>
      <c r="L3082">
        <v>842.9</v>
      </c>
      <c r="M3082">
        <v>84.29</v>
      </c>
      <c r="O3082" s="79">
        <f>IFERROR(VLOOKUP(D3082,'KAPANAN BLD.'!$C$2:$D$793,2,FALSE),0)</f>
        <v>0</v>
      </c>
      <c r="P3082" s="79">
        <v>0</v>
      </c>
    </row>
    <row r="3083" spans="1:16" x14ac:dyDescent="0.25">
      <c r="A3083" t="s">
        <v>32</v>
      </c>
      <c r="B3083" s="73" t="str">
        <f>VLOOKUP(C3083,'Büyükşehir List'!$C$2:$D$31,2,FALSE)</f>
        <v>VAN BÜYÜKŞEHİR</v>
      </c>
      <c r="C3083" t="s">
        <v>181</v>
      </c>
      <c r="D3083" s="73" t="str">
        <f t="shared" si="74"/>
        <v>VAN BÜYÜKŞEHİR/VAN</v>
      </c>
      <c r="E3083" t="s">
        <v>47</v>
      </c>
      <c r="F3083" t="s">
        <v>47</v>
      </c>
      <c r="G3083" t="s">
        <v>3366</v>
      </c>
      <c r="H3083">
        <v>355.1</v>
      </c>
      <c r="I3083">
        <v>35.51</v>
      </c>
      <c r="J3083">
        <v>0</v>
      </c>
      <c r="K3083">
        <v>0</v>
      </c>
      <c r="L3083">
        <v>355.1</v>
      </c>
      <c r="M3083">
        <v>35.51</v>
      </c>
      <c r="O3083" s="79">
        <f>IFERROR(VLOOKUP(D3083,'KAPANAN BLD.'!$C$2:$D$793,2,FALSE),0)</f>
        <v>0</v>
      </c>
      <c r="P3083" s="79">
        <v>0</v>
      </c>
    </row>
    <row r="3084" spans="1:16" x14ac:dyDescent="0.25">
      <c r="A3084" t="s">
        <v>32</v>
      </c>
      <c r="B3084" s="73" t="str">
        <f>VLOOKUP(C3084,'Büyükşehir List'!$C$2:$D$31,2,FALSE)</f>
        <v>VAN BÜYÜKŞEHİR</v>
      </c>
      <c r="C3084" t="s">
        <v>181</v>
      </c>
      <c r="D3084" s="73" t="str">
        <f t="shared" si="74"/>
        <v>VAN BÜYÜKŞEHİR/VAN</v>
      </c>
      <c r="E3084" t="s">
        <v>690</v>
      </c>
      <c r="F3084" t="s">
        <v>690</v>
      </c>
      <c r="G3084" t="s">
        <v>3367</v>
      </c>
      <c r="H3084">
        <v>460.3</v>
      </c>
      <c r="I3084">
        <v>46.03</v>
      </c>
      <c r="J3084">
        <v>0</v>
      </c>
      <c r="K3084">
        <v>0</v>
      </c>
      <c r="L3084">
        <v>460.3</v>
      </c>
      <c r="M3084">
        <v>46.03</v>
      </c>
      <c r="O3084" s="79">
        <f>IFERROR(VLOOKUP(D3084,'KAPANAN BLD.'!$C$2:$D$793,2,FALSE),0)</f>
        <v>0</v>
      </c>
      <c r="P3084" s="79">
        <v>0</v>
      </c>
    </row>
    <row r="3085" spans="1:16" x14ac:dyDescent="0.25">
      <c r="A3085" t="s">
        <v>32</v>
      </c>
      <c r="B3085" s="73" t="str">
        <f>VLOOKUP(C3085,'Büyükşehir List'!$C$2:$D$31,2,FALSE)</f>
        <v>VAN BÜYÜKŞEHİR</v>
      </c>
      <c r="C3085" t="s">
        <v>181</v>
      </c>
      <c r="D3085" s="73" t="str">
        <f t="shared" si="74"/>
        <v>VAN BÜYÜKŞEHİR/VAN</v>
      </c>
      <c r="E3085" t="s">
        <v>690</v>
      </c>
      <c r="F3085" t="s">
        <v>690</v>
      </c>
      <c r="G3085" t="s">
        <v>3366</v>
      </c>
      <c r="H3085">
        <v>175.8</v>
      </c>
      <c r="I3085">
        <v>17.579999999999998</v>
      </c>
      <c r="J3085">
        <v>0</v>
      </c>
      <c r="K3085">
        <v>0</v>
      </c>
      <c r="L3085">
        <v>175.8</v>
      </c>
      <c r="M3085">
        <v>17.579999999999998</v>
      </c>
      <c r="O3085" s="79">
        <f>IFERROR(VLOOKUP(D3085,'KAPANAN BLD.'!$C$2:$D$793,2,FALSE),0)</f>
        <v>0</v>
      </c>
      <c r="P3085" s="79">
        <v>0</v>
      </c>
    </row>
    <row r="3086" spans="1:16" x14ac:dyDescent="0.25">
      <c r="A3086" t="s">
        <v>32</v>
      </c>
      <c r="B3086" s="73" t="str">
        <f>VLOOKUP(C3086,'Büyükşehir List'!$C$2:$D$31,2,FALSE)</f>
        <v>VAN BÜYÜKŞEHİR</v>
      </c>
      <c r="C3086" t="s">
        <v>181</v>
      </c>
      <c r="D3086" s="73" t="str">
        <f t="shared" si="74"/>
        <v>VAN BÜYÜKŞEHİR/VAN</v>
      </c>
      <c r="E3086" t="s">
        <v>4541</v>
      </c>
      <c r="F3086" t="s">
        <v>4541</v>
      </c>
      <c r="G3086" t="s">
        <v>3366</v>
      </c>
      <c r="H3086">
        <v>108.5</v>
      </c>
      <c r="I3086">
        <v>10.85</v>
      </c>
      <c r="J3086">
        <v>0</v>
      </c>
      <c r="K3086">
        <v>0</v>
      </c>
      <c r="L3086">
        <v>108.5</v>
      </c>
      <c r="M3086">
        <v>10.85</v>
      </c>
      <c r="O3086" s="79">
        <f>IFERROR(VLOOKUP(D3086,'KAPANAN BLD.'!$C$2:$D$793,2,FALSE),0)</f>
        <v>0</v>
      </c>
      <c r="P3086" s="79">
        <v>0</v>
      </c>
    </row>
    <row r="3087" spans="1:16" x14ac:dyDescent="0.25">
      <c r="A3087" t="s">
        <v>32</v>
      </c>
      <c r="B3087" s="73" t="str">
        <f>VLOOKUP(C3087,'Büyükşehir List'!$C$2:$D$31,2,FALSE)</f>
        <v>VAN BÜYÜKŞEHİR</v>
      </c>
      <c r="C3087" t="s">
        <v>181</v>
      </c>
      <c r="D3087" s="73" t="str">
        <f t="shared" si="74"/>
        <v>VAN BÜYÜKŞEHİR/VAN</v>
      </c>
      <c r="E3087" t="s">
        <v>4541</v>
      </c>
      <c r="F3087" t="s">
        <v>4541</v>
      </c>
      <c r="G3087" t="s">
        <v>3367</v>
      </c>
      <c r="H3087">
        <v>226.6</v>
      </c>
      <c r="I3087">
        <v>22.66</v>
      </c>
      <c r="J3087">
        <v>0</v>
      </c>
      <c r="K3087">
        <v>0</v>
      </c>
      <c r="L3087">
        <v>226.6</v>
      </c>
      <c r="M3087">
        <v>22.66</v>
      </c>
      <c r="O3087" s="79">
        <f>IFERROR(VLOOKUP(D3087,'KAPANAN BLD.'!$C$2:$D$793,2,FALSE),0)</f>
        <v>0</v>
      </c>
      <c r="P3087" s="79">
        <v>0</v>
      </c>
    </row>
    <row r="3088" spans="1:16" x14ac:dyDescent="0.25">
      <c r="A3088" t="s">
        <v>32</v>
      </c>
      <c r="B3088" s="73" t="str">
        <f>VLOOKUP(C3088,'Büyükşehir List'!$C$2:$D$31,2,FALSE)</f>
        <v>VAN BÜYÜKŞEHİR</v>
      </c>
      <c r="C3088" t="s">
        <v>181</v>
      </c>
      <c r="D3088" s="73" t="str">
        <f t="shared" si="74"/>
        <v>VAN BÜYÜKŞEHİR/VAN</v>
      </c>
      <c r="E3088" t="s">
        <v>4021</v>
      </c>
      <c r="F3088" t="s">
        <v>4021</v>
      </c>
      <c r="G3088" t="s">
        <v>3367</v>
      </c>
      <c r="H3088">
        <v>0</v>
      </c>
      <c r="I3088">
        <v>0</v>
      </c>
      <c r="J3088">
        <v>111.1</v>
      </c>
      <c r="K3088">
        <v>11.11</v>
      </c>
      <c r="L3088">
        <v>-111.1</v>
      </c>
      <c r="M3088">
        <v>-11.11</v>
      </c>
      <c r="O3088" s="79">
        <f>IFERROR(VLOOKUP(D3088,'KAPANAN BLD.'!$C$2:$D$793,2,FALSE),0)</f>
        <v>0</v>
      </c>
      <c r="P3088" s="79">
        <v>0</v>
      </c>
    </row>
    <row r="3089" spans="1:16" x14ac:dyDescent="0.25">
      <c r="A3089" t="s">
        <v>32</v>
      </c>
      <c r="B3089" s="73" t="str">
        <f>VLOOKUP(C3089,'Büyükşehir List'!$C$2:$D$31,2,FALSE)</f>
        <v>VAN BÜYÜKŞEHİR</v>
      </c>
      <c r="C3089" t="s">
        <v>181</v>
      </c>
      <c r="D3089" s="73" t="str">
        <f t="shared" si="74"/>
        <v>VAN BÜYÜKŞEHİR/VAN</v>
      </c>
      <c r="E3089" t="s">
        <v>4021</v>
      </c>
      <c r="F3089" t="s">
        <v>4021</v>
      </c>
      <c r="G3089" t="s">
        <v>3366</v>
      </c>
      <c r="H3089">
        <v>0</v>
      </c>
      <c r="I3089">
        <v>0</v>
      </c>
      <c r="J3089">
        <v>82.9</v>
      </c>
      <c r="K3089">
        <v>8.2899999999999991</v>
      </c>
      <c r="L3089">
        <v>-82.9</v>
      </c>
      <c r="M3089">
        <v>-8.2899999999999991</v>
      </c>
      <c r="O3089" s="79">
        <f>IFERROR(VLOOKUP(D3089,'KAPANAN BLD.'!$C$2:$D$793,2,FALSE),0)</f>
        <v>0</v>
      </c>
      <c r="P3089" s="79">
        <v>0</v>
      </c>
    </row>
    <row r="3090" spans="1:16" x14ac:dyDescent="0.25">
      <c r="A3090" t="s">
        <v>32</v>
      </c>
      <c r="B3090" s="73" t="str">
        <f>VLOOKUP(C3090,'Büyükşehir List'!$C$2:$D$31,2,FALSE)</f>
        <v>VAN BÜYÜKŞEHİR</v>
      </c>
      <c r="C3090" t="s">
        <v>181</v>
      </c>
      <c r="D3090" s="73" t="str">
        <f t="shared" si="74"/>
        <v>VAN BÜYÜKŞEHİR/VAN</v>
      </c>
      <c r="E3090" t="s">
        <v>3930</v>
      </c>
      <c r="F3090" t="s">
        <v>3930</v>
      </c>
      <c r="G3090" t="s">
        <v>3366</v>
      </c>
      <c r="H3090">
        <v>71.3</v>
      </c>
      <c r="I3090">
        <v>7.13</v>
      </c>
      <c r="J3090">
        <v>0</v>
      </c>
      <c r="K3090">
        <v>0</v>
      </c>
      <c r="L3090">
        <v>71.3</v>
      </c>
      <c r="M3090">
        <v>7.13</v>
      </c>
      <c r="O3090" s="79">
        <f>IFERROR(VLOOKUP(D3090,'KAPANAN BLD.'!$C$2:$D$793,2,FALSE),0)</f>
        <v>0</v>
      </c>
      <c r="P3090" s="79">
        <v>0</v>
      </c>
    </row>
    <row r="3091" spans="1:16" x14ac:dyDescent="0.25">
      <c r="A3091" t="s">
        <v>32</v>
      </c>
      <c r="B3091" s="73" t="str">
        <f>VLOOKUP(C3091,'Büyükşehir List'!$C$2:$D$31,2,FALSE)</f>
        <v>VAN BÜYÜKŞEHİR</v>
      </c>
      <c r="C3091" t="s">
        <v>181</v>
      </c>
      <c r="D3091" s="73" t="str">
        <f t="shared" si="74"/>
        <v>VAN BÜYÜKŞEHİR/VAN</v>
      </c>
      <c r="E3091" t="s">
        <v>3930</v>
      </c>
      <c r="F3091" t="s">
        <v>3930</v>
      </c>
      <c r="G3091" t="s">
        <v>3367</v>
      </c>
      <c r="H3091">
        <v>857</v>
      </c>
      <c r="I3091">
        <v>85.7</v>
      </c>
      <c r="J3091">
        <v>0</v>
      </c>
      <c r="K3091">
        <v>0</v>
      </c>
      <c r="L3091">
        <v>857</v>
      </c>
      <c r="M3091">
        <v>85.7</v>
      </c>
      <c r="O3091" s="79">
        <f>IFERROR(VLOOKUP(D3091,'KAPANAN BLD.'!$C$2:$D$793,2,FALSE),0)</f>
        <v>0</v>
      </c>
      <c r="P3091" s="79">
        <v>0</v>
      </c>
    </row>
    <row r="3092" spans="1:16" x14ac:dyDescent="0.25">
      <c r="A3092" t="s">
        <v>32</v>
      </c>
      <c r="B3092" s="73" t="str">
        <f>VLOOKUP(C3092,'Büyükşehir List'!$C$2:$D$31,2,FALSE)</f>
        <v>VAN BÜYÜKŞEHİR</v>
      </c>
      <c r="C3092" t="s">
        <v>181</v>
      </c>
      <c r="D3092" s="73" t="str">
        <f t="shared" si="74"/>
        <v>VAN BÜYÜKŞEHİR/VAN</v>
      </c>
      <c r="E3092" t="s">
        <v>34</v>
      </c>
      <c r="F3092" t="s">
        <v>34</v>
      </c>
      <c r="G3092" t="s">
        <v>3367</v>
      </c>
      <c r="H3092">
        <v>22434.6</v>
      </c>
      <c r="I3092">
        <v>2243.46</v>
      </c>
      <c r="J3092">
        <v>724</v>
      </c>
      <c r="K3092">
        <v>72.400000000000006</v>
      </c>
      <c r="L3092">
        <v>21710.6</v>
      </c>
      <c r="M3092">
        <v>2171.06</v>
      </c>
      <c r="O3092" s="79">
        <f>IFERROR(VLOOKUP(D3092,'KAPANAN BLD.'!$C$2:$D$793,2,FALSE),0)</f>
        <v>0</v>
      </c>
      <c r="P3092" s="79">
        <v>0</v>
      </c>
    </row>
    <row r="3093" spans="1:16" x14ac:dyDescent="0.25">
      <c r="A3093" t="s">
        <v>32</v>
      </c>
      <c r="B3093" s="73" t="str">
        <f>VLOOKUP(C3093,'Büyükşehir List'!$C$2:$D$31,2,FALSE)</f>
        <v>VAN BÜYÜKŞEHİR</v>
      </c>
      <c r="C3093" t="s">
        <v>181</v>
      </c>
      <c r="D3093" s="73" t="str">
        <f t="shared" si="74"/>
        <v>VAN BÜYÜKŞEHİR/VAN</v>
      </c>
      <c r="E3093" t="s">
        <v>34</v>
      </c>
      <c r="F3093" t="s">
        <v>34</v>
      </c>
      <c r="G3093" t="s">
        <v>3366</v>
      </c>
      <c r="H3093">
        <v>14083.63</v>
      </c>
      <c r="I3093">
        <v>1408.36</v>
      </c>
      <c r="J3093">
        <v>570.1</v>
      </c>
      <c r="K3093">
        <v>57.01</v>
      </c>
      <c r="L3093">
        <v>13513.53</v>
      </c>
      <c r="M3093">
        <v>1351.35</v>
      </c>
      <c r="O3093" s="79">
        <f>IFERROR(VLOOKUP(D3093,'KAPANAN BLD.'!$C$2:$D$793,2,FALSE),0)</f>
        <v>0</v>
      </c>
      <c r="P3093" s="79">
        <v>0</v>
      </c>
    </row>
    <row r="3094" spans="1:16" x14ac:dyDescent="0.25">
      <c r="A3094" t="s">
        <v>32</v>
      </c>
      <c r="B3094" s="73" t="str">
        <f t="shared" ref="B3094:B3157" si="75">F3094</f>
        <v>MERKEZ</v>
      </c>
      <c r="C3094" t="s">
        <v>148</v>
      </c>
      <c r="D3094" s="73" t="str">
        <f t="shared" si="74"/>
        <v>MERKEZ/YALOVA</v>
      </c>
      <c r="E3094" s="9" t="s">
        <v>34</v>
      </c>
      <c r="F3094" s="9" t="s">
        <v>34</v>
      </c>
      <c r="G3094" t="s">
        <v>3366</v>
      </c>
      <c r="H3094">
        <v>904.9</v>
      </c>
      <c r="I3094">
        <v>90.49</v>
      </c>
      <c r="J3094">
        <v>92.7</v>
      </c>
      <c r="K3094">
        <v>9.27</v>
      </c>
      <c r="L3094">
        <v>812.2</v>
      </c>
      <c r="M3094">
        <v>81.22</v>
      </c>
      <c r="O3094" s="79">
        <f>IFERROR(VLOOKUP(D3094,'KAPANAN BLD.'!$C$2:$D$793,2,FALSE),0)</f>
        <v>0</v>
      </c>
      <c r="P3094" s="79">
        <v>0</v>
      </c>
    </row>
    <row r="3095" spans="1:16" x14ac:dyDescent="0.25">
      <c r="A3095" t="s">
        <v>32</v>
      </c>
      <c r="B3095" s="73" t="str">
        <f t="shared" si="75"/>
        <v>MERKEZ</v>
      </c>
      <c r="C3095" t="s">
        <v>148</v>
      </c>
      <c r="D3095" s="73" t="str">
        <f t="shared" si="74"/>
        <v>MERKEZ/YALOVA</v>
      </c>
      <c r="E3095" s="9" t="s">
        <v>34</v>
      </c>
      <c r="F3095" s="9" t="s">
        <v>34</v>
      </c>
      <c r="G3095" t="s">
        <v>3367</v>
      </c>
      <c r="H3095">
        <v>3631.4</v>
      </c>
      <c r="I3095">
        <v>363.14</v>
      </c>
      <c r="J3095">
        <v>136.5</v>
      </c>
      <c r="K3095">
        <v>13.65</v>
      </c>
      <c r="L3095">
        <v>3494.9</v>
      </c>
      <c r="M3095">
        <v>349.49</v>
      </c>
      <c r="O3095" s="79">
        <f>IFERROR(VLOOKUP(D3095,'KAPANAN BLD.'!$C$2:$D$793,2,FALSE),0)</f>
        <v>0</v>
      </c>
      <c r="P3095" s="79">
        <v>0</v>
      </c>
    </row>
    <row r="3096" spans="1:16" x14ac:dyDescent="0.25">
      <c r="A3096" t="s">
        <v>32</v>
      </c>
      <c r="B3096" s="73" t="str">
        <f t="shared" si="75"/>
        <v>ÇINARCIK</v>
      </c>
      <c r="C3096" t="s">
        <v>148</v>
      </c>
      <c r="D3096" s="73" t="str">
        <f t="shared" si="74"/>
        <v>ÇINARCIK/YALOVA</v>
      </c>
      <c r="E3096" t="s">
        <v>182</v>
      </c>
      <c r="F3096" t="s">
        <v>182</v>
      </c>
      <c r="G3096" t="s">
        <v>3366</v>
      </c>
      <c r="H3096">
        <v>1702.8</v>
      </c>
      <c r="I3096">
        <v>170.28</v>
      </c>
      <c r="J3096">
        <v>409.2</v>
      </c>
      <c r="K3096">
        <v>40.92</v>
      </c>
      <c r="L3096">
        <v>1293.5999999999999</v>
      </c>
      <c r="M3096">
        <v>129.36000000000001</v>
      </c>
      <c r="O3096" s="79">
        <f>IFERROR(VLOOKUP(D3096,'KAPANAN BLD.'!$C$2:$D$793,2,FALSE),0)</f>
        <v>0</v>
      </c>
      <c r="P3096" s="79">
        <v>0</v>
      </c>
    </row>
    <row r="3097" spans="1:16" x14ac:dyDescent="0.25">
      <c r="A3097" t="s">
        <v>32</v>
      </c>
      <c r="B3097" s="73" t="str">
        <f t="shared" si="75"/>
        <v>ÇINARCIK</v>
      </c>
      <c r="C3097" t="s">
        <v>148</v>
      </c>
      <c r="D3097" s="73" t="str">
        <f t="shared" si="74"/>
        <v>ÇINARCIK/YALOVA</v>
      </c>
      <c r="E3097" t="s">
        <v>182</v>
      </c>
      <c r="F3097" t="s">
        <v>182</v>
      </c>
      <c r="G3097" t="s">
        <v>3367</v>
      </c>
      <c r="H3097">
        <v>6910.5</v>
      </c>
      <c r="I3097">
        <v>691.05</v>
      </c>
      <c r="J3097">
        <v>2320.8000000000002</v>
      </c>
      <c r="K3097">
        <v>232.08</v>
      </c>
      <c r="L3097">
        <v>4589.7</v>
      </c>
      <c r="M3097">
        <v>458.97</v>
      </c>
      <c r="O3097" s="79">
        <f>IFERROR(VLOOKUP(D3097,'KAPANAN BLD.'!$C$2:$D$793,2,FALSE),0)</f>
        <v>0</v>
      </c>
      <c r="P3097" s="79">
        <v>0</v>
      </c>
    </row>
    <row r="3098" spans="1:16" x14ac:dyDescent="0.25">
      <c r="A3098" t="s">
        <v>32</v>
      </c>
      <c r="B3098" s="73" t="str">
        <f t="shared" si="75"/>
        <v>ÇINARCIK</v>
      </c>
      <c r="C3098" t="s">
        <v>148</v>
      </c>
      <c r="D3098" s="73" t="str">
        <f t="shared" si="74"/>
        <v>ÇINARCIK/YALOVA</v>
      </c>
      <c r="E3098" t="s">
        <v>182</v>
      </c>
      <c r="F3098" t="s">
        <v>182</v>
      </c>
      <c r="G3098" t="s">
        <v>3367</v>
      </c>
      <c r="H3098">
        <v>6303.2</v>
      </c>
      <c r="I3098">
        <v>630.32000000000005</v>
      </c>
      <c r="J3098">
        <v>1091</v>
      </c>
      <c r="K3098">
        <v>109.1</v>
      </c>
      <c r="L3098">
        <v>5212.2</v>
      </c>
      <c r="M3098">
        <v>521.22</v>
      </c>
      <c r="O3098" s="79">
        <f>IFERROR(VLOOKUP(D3098,'KAPANAN BLD.'!$C$2:$D$793,2,FALSE),0)</f>
        <v>0</v>
      </c>
      <c r="P3098" s="79">
        <v>0</v>
      </c>
    </row>
    <row r="3099" spans="1:16" x14ac:dyDescent="0.25">
      <c r="A3099" t="s">
        <v>32</v>
      </c>
      <c r="B3099" s="73" t="str">
        <f t="shared" si="75"/>
        <v>ÇINARCIK</v>
      </c>
      <c r="C3099" t="s">
        <v>148</v>
      </c>
      <c r="D3099" s="73" t="str">
        <f t="shared" si="74"/>
        <v>ÇINARCIK/YALOVA</v>
      </c>
      <c r="E3099" t="s">
        <v>182</v>
      </c>
      <c r="F3099" t="s">
        <v>182</v>
      </c>
      <c r="G3099" t="s">
        <v>3366</v>
      </c>
      <c r="H3099">
        <v>441.1</v>
      </c>
      <c r="I3099">
        <v>44.11</v>
      </c>
      <c r="J3099">
        <v>103.3</v>
      </c>
      <c r="K3099">
        <v>10.33</v>
      </c>
      <c r="L3099">
        <v>337.8</v>
      </c>
      <c r="M3099">
        <v>33.78</v>
      </c>
      <c r="O3099" s="79">
        <f>IFERROR(VLOOKUP(D3099,'KAPANAN BLD.'!$C$2:$D$793,2,FALSE),0)</f>
        <v>0</v>
      </c>
      <c r="P3099" s="79">
        <v>0</v>
      </c>
    </row>
    <row r="3100" spans="1:16" x14ac:dyDescent="0.25">
      <c r="A3100" t="s">
        <v>32</v>
      </c>
      <c r="B3100" s="73" t="str">
        <f t="shared" si="75"/>
        <v>ÇİFTLİKKÖY</v>
      </c>
      <c r="C3100" t="s">
        <v>148</v>
      </c>
      <c r="D3100" s="73" t="str">
        <f t="shared" si="74"/>
        <v>ÇİFTLİKKÖY/YALOVA</v>
      </c>
      <c r="E3100" t="s">
        <v>207</v>
      </c>
      <c r="F3100" t="s">
        <v>207</v>
      </c>
      <c r="G3100" t="s">
        <v>3367</v>
      </c>
      <c r="H3100">
        <v>5235.2</v>
      </c>
      <c r="I3100">
        <v>523.52</v>
      </c>
      <c r="J3100">
        <v>1798.5</v>
      </c>
      <c r="K3100">
        <v>179.85</v>
      </c>
      <c r="L3100">
        <v>3436.7</v>
      </c>
      <c r="M3100">
        <v>343.67</v>
      </c>
      <c r="O3100" s="79">
        <f>IFERROR(VLOOKUP(D3100,'KAPANAN BLD.'!$C$2:$D$793,2,FALSE),0)</f>
        <v>0</v>
      </c>
      <c r="P3100" s="79">
        <v>0</v>
      </c>
    </row>
    <row r="3101" spans="1:16" x14ac:dyDescent="0.25">
      <c r="A3101" t="s">
        <v>32</v>
      </c>
      <c r="B3101" s="73" t="str">
        <f t="shared" si="75"/>
        <v>ÇİFTLİKKÖY</v>
      </c>
      <c r="C3101" t="s">
        <v>148</v>
      </c>
      <c r="D3101" s="73" t="str">
        <f t="shared" si="74"/>
        <v>ÇİFTLİKKÖY/YALOVA</v>
      </c>
      <c r="E3101" t="s">
        <v>207</v>
      </c>
      <c r="F3101" t="s">
        <v>207</v>
      </c>
      <c r="G3101" t="s">
        <v>3366</v>
      </c>
      <c r="H3101">
        <v>3978.9</v>
      </c>
      <c r="I3101">
        <v>397.89</v>
      </c>
      <c r="J3101">
        <v>438.4</v>
      </c>
      <c r="K3101">
        <v>43.84</v>
      </c>
      <c r="L3101">
        <v>3540.5</v>
      </c>
      <c r="M3101">
        <v>354.05</v>
      </c>
      <c r="O3101" s="79">
        <f>IFERROR(VLOOKUP(D3101,'KAPANAN BLD.'!$C$2:$D$793,2,FALSE),0)</f>
        <v>0</v>
      </c>
      <c r="P3101" s="79">
        <v>0</v>
      </c>
    </row>
    <row r="3102" spans="1:16" x14ac:dyDescent="0.25">
      <c r="A3102" t="s">
        <v>32</v>
      </c>
      <c r="B3102" s="73" t="str">
        <f t="shared" si="75"/>
        <v>ÇINARCIK</v>
      </c>
      <c r="C3102" t="s">
        <v>148</v>
      </c>
      <c r="D3102" s="73" t="str">
        <f t="shared" si="74"/>
        <v>ÇINARCIK/YALOVA</v>
      </c>
      <c r="E3102" s="9" t="s">
        <v>182</v>
      </c>
      <c r="F3102" s="9" t="s">
        <v>182</v>
      </c>
      <c r="G3102" t="s">
        <v>3366</v>
      </c>
      <c r="H3102">
        <v>1844.9</v>
      </c>
      <c r="I3102">
        <v>184.49</v>
      </c>
      <c r="J3102">
        <v>0</v>
      </c>
      <c r="K3102">
        <v>0</v>
      </c>
      <c r="L3102">
        <v>1844.9</v>
      </c>
      <c r="M3102">
        <v>184.49</v>
      </c>
      <c r="O3102" s="79">
        <f>IFERROR(VLOOKUP(D3102,'KAPANAN BLD.'!$C$2:$D$793,2,FALSE),0)</f>
        <v>0</v>
      </c>
      <c r="P3102" s="79">
        <v>0</v>
      </c>
    </row>
    <row r="3103" spans="1:16" x14ac:dyDescent="0.25">
      <c r="A3103" t="s">
        <v>32</v>
      </c>
      <c r="B3103" s="73" t="str">
        <f t="shared" si="75"/>
        <v>ÇINARCIK</v>
      </c>
      <c r="C3103" t="s">
        <v>148</v>
      </c>
      <c r="D3103" s="73" t="str">
        <f t="shared" si="74"/>
        <v>ÇINARCIK/YALOVA</v>
      </c>
      <c r="E3103" s="9" t="s">
        <v>182</v>
      </c>
      <c r="F3103" s="9" t="s">
        <v>182</v>
      </c>
      <c r="G3103" t="s">
        <v>3367</v>
      </c>
      <c r="H3103">
        <v>6836.6</v>
      </c>
      <c r="I3103">
        <v>683.66</v>
      </c>
      <c r="J3103">
        <v>0</v>
      </c>
      <c r="K3103">
        <v>0</v>
      </c>
      <c r="L3103">
        <v>6836.6</v>
      </c>
      <c r="M3103">
        <v>683.66</v>
      </c>
      <c r="O3103" s="79">
        <f>IFERROR(VLOOKUP(D3103,'KAPANAN BLD.'!$C$2:$D$793,2,FALSE),0)</f>
        <v>0</v>
      </c>
      <c r="P3103" s="79">
        <v>0</v>
      </c>
    </row>
    <row r="3104" spans="1:16" x14ac:dyDescent="0.25">
      <c r="A3104" t="s">
        <v>32</v>
      </c>
      <c r="B3104" s="73" t="str">
        <f t="shared" si="75"/>
        <v>MERKEZ</v>
      </c>
      <c r="C3104" t="s">
        <v>148</v>
      </c>
      <c r="D3104" s="73" t="str">
        <f t="shared" si="74"/>
        <v>MERKEZ/YALOVA</v>
      </c>
      <c r="E3104" s="9" t="s">
        <v>34</v>
      </c>
      <c r="F3104" s="9" t="s">
        <v>34</v>
      </c>
      <c r="G3104" t="s">
        <v>3367</v>
      </c>
      <c r="H3104">
        <v>26711.07</v>
      </c>
      <c r="I3104">
        <v>2671.1</v>
      </c>
      <c r="J3104">
        <v>1348.7</v>
      </c>
      <c r="K3104">
        <v>134.87</v>
      </c>
      <c r="L3104">
        <v>25362.37</v>
      </c>
      <c r="M3104">
        <v>2536.23</v>
      </c>
      <c r="O3104" s="79">
        <f>IFERROR(VLOOKUP(D3104,'KAPANAN BLD.'!$C$2:$D$793,2,FALSE),0)</f>
        <v>0</v>
      </c>
      <c r="P3104" s="79">
        <v>0</v>
      </c>
    </row>
    <row r="3105" spans="1:16" x14ac:dyDescent="0.25">
      <c r="A3105" t="s">
        <v>32</v>
      </c>
      <c r="B3105" s="73" t="str">
        <f t="shared" si="75"/>
        <v>MERKEZ</v>
      </c>
      <c r="C3105" t="s">
        <v>148</v>
      </c>
      <c r="D3105" s="73" t="str">
        <f t="shared" si="74"/>
        <v>MERKEZ/YALOVA</v>
      </c>
      <c r="E3105" s="9" t="s">
        <v>34</v>
      </c>
      <c r="F3105" s="9" t="s">
        <v>34</v>
      </c>
      <c r="G3105" t="s">
        <v>3366</v>
      </c>
      <c r="H3105">
        <v>17911.599999999999</v>
      </c>
      <c r="I3105">
        <v>1791.16</v>
      </c>
      <c r="J3105">
        <v>1498.6</v>
      </c>
      <c r="K3105">
        <v>149.86000000000001</v>
      </c>
      <c r="L3105">
        <v>16413</v>
      </c>
      <c r="M3105">
        <v>1641.3</v>
      </c>
      <c r="O3105" s="79">
        <f>IFERROR(VLOOKUP(D3105,'KAPANAN BLD.'!$C$2:$D$793,2,FALSE),0)</f>
        <v>0</v>
      </c>
      <c r="P3105" s="79">
        <v>0</v>
      </c>
    </row>
    <row r="3106" spans="1:16" x14ac:dyDescent="0.25">
      <c r="A3106" t="s">
        <v>32</v>
      </c>
      <c r="B3106" s="73" t="str">
        <f t="shared" si="75"/>
        <v>ÇINARCIK</v>
      </c>
      <c r="C3106" t="s">
        <v>148</v>
      </c>
      <c r="D3106" s="73" t="str">
        <f t="shared" si="74"/>
        <v>ÇINARCIK/YALOVA</v>
      </c>
      <c r="E3106" s="9" t="s">
        <v>182</v>
      </c>
      <c r="F3106" s="9" t="s">
        <v>182</v>
      </c>
      <c r="G3106" t="s">
        <v>3366</v>
      </c>
      <c r="H3106">
        <v>1338.6</v>
      </c>
      <c r="I3106">
        <v>133.86000000000001</v>
      </c>
      <c r="J3106">
        <v>177.5</v>
      </c>
      <c r="K3106">
        <v>17.75</v>
      </c>
      <c r="L3106">
        <v>1161.0999999999999</v>
      </c>
      <c r="M3106">
        <v>116.11</v>
      </c>
      <c r="O3106" s="79">
        <f>IFERROR(VLOOKUP(D3106,'KAPANAN BLD.'!$C$2:$D$793,2,FALSE),0)</f>
        <v>0</v>
      </c>
      <c r="P3106" s="79">
        <v>0</v>
      </c>
    </row>
    <row r="3107" spans="1:16" x14ac:dyDescent="0.25">
      <c r="A3107" t="s">
        <v>32</v>
      </c>
      <c r="B3107" s="73" t="str">
        <f t="shared" si="75"/>
        <v>ÇINARCIK</v>
      </c>
      <c r="C3107" t="s">
        <v>148</v>
      </c>
      <c r="D3107" s="73" t="str">
        <f t="shared" si="74"/>
        <v>ÇINARCIK/YALOVA</v>
      </c>
      <c r="E3107" s="9" t="s">
        <v>182</v>
      </c>
      <c r="F3107" s="9" t="s">
        <v>182</v>
      </c>
      <c r="G3107" t="s">
        <v>3367</v>
      </c>
      <c r="H3107">
        <v>8710.1</v>
      </c>
      <c r="I3107">
        <v>871.01</v>
      </c>
      <c r="J3107">
        <v>649.70000000000005</v>
      </c>
      <c r="K3107">
        <v>64.97</v>
      </c>
      <c r="L3107">
        <v>8060.4</v>
      </c>
      <c r="M3107">
        <v>806.04</v>
      </c>
      <c r="O3107" s="79">
        <f>IFERROR(VLOOKUP(D3107,'KAPANAN BLD.'!$C$2:$D$793,2,FALSE),0)</f>
        <v>0</v>
      </c>
      <c r="P3107" s="79">
        <v>0</v>
      </c>
    </row>
    <row r="3108" spans="1:16" x14ac:dyDescent="0.25">
      <c r="A3108" t="s">
        <v>32</v>
      </c>
      <c r="B3108" s="73" t="str">
        <f t="shared" si="75"/>
        <v>MERKEZ</v>
      </c>
      <c r="C3108" t="s">
        <v>148</v>
      </c>
      <c r="D3108" s="73" t="str">
        <f t="shared" si="74"/>
        <v>MERKEZ/YALOVA</v>
      </c>
      <c r="E3108" t="s">
        <v>34</v>
      </c>
      <c r="F3108" t="s">
        <v>34</v>
      </c>
      <c r="G3108" t="s">
        <v>3367</v>
      </c>
      <c r="H3108">
        <v>13472.4</v>
      </c>
      <c r="I3108">
        <v>1347.24</v>
      </c>
      <c r="J3108">
        <v>1243.5</v>
      </c>
      <c r="K3108">
        <v>124.35</v>
      </c>
      <c r="L3108">
        <v>12228.9</v>
      </c>
      <c r="M3108">
        <v>1222.8900000000001</v>
      </c>
      <c r="O3108" s="79">
        <f>IFERROR(VLOOKUP(D3108,'KAPANAN BLD.'!$C$2:$D$793,2,FALSE),0)</f>
        <v>0</v>
      </c>
      <c r="P3108" s="79">
        <v>0</v>
      </c>
    </row>
    <row r="3109" spans="1:16" x14ac:dyDescent="0.25">
      <c r="A3109" t="s">
        <v>32</v>
      </c>
      <c r="B3109" s="73" t="str">
        <f t="shared" si="75"/>
        <v>MERKEZ</v>
      </c>
      <c r="C3109" t="s">
        <v>148</v>
      </c>
      <c r="D3109" s="73" t="str">
        <f t="shared" si="74"/>
        <v>MERKEZ/YALOVA</v>
      </c>
      <c r="E3109" t="s">
        <v>34</v>
      </c>
      <c r="F3109" t="s">
        <v>34</v>
      </c>
      <c r="G3109" t="s">
        <v>3366</v>
      </c>
      <c r="H3109">
        <v>13185.3</v>
      </c>
      <c r="I3109">
        <v>1318.53</v>
      </c>
      <c r="J3109">
        <v>407.3</v>
      </c>
      <c r="K3109">
        <v>40.729999999999997</v>
      </c>
      <c r="L3109">
        <v>12778</v>
      </c>
      <c r="M3109">
        <v>1277.8</v>
      </c>
      <c r="O3109" s="79">
        <f>IFERROR(VLOOKUP(D3109,'KAPANAN BLD.'!$C$2:$D$793,2,FALSE),0)</f>
        <v>0</v>
      </c>
      <c r="P3109" s="79">
        <v>0</v>
      </c>
    </row>
    <row r="3110" spans="1:16" x14ac:dyDescent="0.25">
      <c r="A3110" t="s">
        <v>32</v>
      </c>
      <c r="B3110" s="73" t="str">
        <f t="shared" si="75"/>
        <v>ALTINOVA</v>
      </c>
      <c r="C3110" t="s">
        <v>148</v>
      </c>
      <c r="D3110" s="73" t="str">
        <f t="shared" si="74"/>
        <v>ALTINOVA/YALOVA</v>
      </c>
      <c r="E3110" s="9" t="s">
        <v>183</v>
      </c>
      <c r="F3110" s="9" t="s">
        <v>183</v>
      </c>
      <c r="G3110" t="s">
        <v>3367</v>
      </c>
      <c r="H3110">
        <v>552.6</v>
      </c>
      <c r="I3110">
        <v>55.26</v>
      </c>
      <c r="J3110">
        <v>0</v>
      </c>
      <c r="K3110">
        <v>0</v>
      </c>
      <c r="L3110">
        <v>552.6</v>
      </c>
      <c r="M3110">
        <v>55.26</v>
      </c>
      <c r="O3110" s="79">
        <f>IFERROR(VLOOKUP(D3110,'KAPANAN BLD.'!$C$2:$D$793,2,FALSE),0)</f>
        <v>0</v>
      </c>
      <c r="P3110" s="79">
        <v>0</v>
      </c>
    </row>
    <row r="3111" spans="1:16" x14ac:dyDescent="0.25">
      <c r="A3111" t="s">
        <v>32</v>
      </c>
      <c r="B3111" s="73" t="str">
        <f t="shared" si="75"/>
        <v>ALTINOVA</v>
      </c>
      <c r="C3111" t="s">
        <v>148</v>
      </c>
      <c r="D3111" s="73" t="str">
        <f t="shared" si="74"/>
        <v>ALTINOVA/YALOVA</v>
      </c>
      <c r="E3111" s="9" t="s">
        <v>183</v>
      </c>
      <c r="F3111" s="9" t="s">
        <v>183</v>
      </c>
      <c r="G3111" t="s">
        <v>3366</v>
      </c>
      <c r="H3111">
        <v>56.8</v>
      </c>
      <c r="I3111">
        <v>5.68</v>
      </c>
      <c r="J3111">
        <v>0</v>
      </c>
      <c r="K3111">
        <v>0</v>
      </c>
      <c r="L3111">
        <v>56.8</v>
      </c>
      <c r="M3111">
        <v>5.68</v>
      </c>
      <c r="O3111" s="79">
        <f>IFERROR(VLOOKUP(D3111,'KAPANAN BLD.'!$C$2:$D$793,2,FALSE),0)</f>
        <v>0</v>
      </c>
      <c r="P3111" s="79">
        <v>0</v>
      </c>
    </row>
    <row r="3112" spans="1:16" x14ac:dyDescent="0.25">
      <c r="A3112" t="s">
        <v>32</v>
      </c>
      <c r="B3112" s="73" t="str">
        <f t="shared" si="75"/>
        <v>ÇİFTLİKKÖY</v>
      </c>
      <c r="C3112" t="s">
        <v>148</v>
      </c>
      <c r="D3112" s="73" t="str">
        <f t="shared" si="74"/>
        <v>ÇİFTLİKKÖY/YALOVA</v>
      </c>
      <c r="E3112" s="9" t="s">
        <v>207</v>
      </c>
      <c r="F3112" s="9" t="s">
        <v>207</v>
      </c>
      <c r="G3112" t="s">
        <v>3366</v>
      </c>
      <c r="H3112">
        <v>7801.6</v>
      </c>
      <c r="I3112">
        <v>780.16</v>
      </c>
      <c r="J3112">
        <v>508.6</v>
      </c>
      <c r="K3112">
        <v>50.86</v>
      </c>
      <c r="L3112">
        <v>7293</v>
      </c>
      <c r="M3112">
        <v>729.3</v>
      </c>
      <c r="O3112" s="79">
        <f>IFERROR(VLOOKUP(D3112,'KAPANAN BLD.'!$C$2:$D$793,2,FALSE),0)</f>
        <v>0</v>
      </c>
      <c r="P3112" s="79">
        <v>0</v>
      </c>
    </row>
    <row r="3113" spans="1:16" x14ac:dyDescent="0.25">
      <c r="A3113" t="s">
        <v>32</v>
      </c>
      <c r="B3113" s="73" t="str">
        <f t="shared" si="75"/>
        <v>ÇİFTLİKKÖY</v>
      </c>
      <c r="C3113" t="s">
        <v>148</v>
      </c>
      <c r="D3113" s="73" t="str">
        <f t="shared" si="74"/>
        <v>ÇİFTLİKKÖY/YALOVA</v>
      </c>
      <c r="E3113" s="9" t="s">
        <v>207</v>
      </c>
      <c r="F3113" s="9" t="s">
        <v>207</v>
      </c>
      <c r="G3113" t="s">
        <v>3367</v>
      </c>
      <c r="H3113">
        <v>24459.9</v>
      </c>
      <c r="I3113">
        <v>2445.9899999999998</v>
      </c>
      <c r="J3113">
        <v>1035.2</v>
      </c>
      <c r="K3113">
        <v>103.52</v>
      </c>
      <c r="L3113">
        <v>23424.7</v>
      </c>
      <c r="M3113">
        <v>2342.4699999999998</v>
      </c>
      <c r="O3113" s="79">
        <f>IFERROR(VLOOKUP(D3113,'KAPANAN BLD.'!$C$2:$D$793,2,FALSE),0)</f>
        <v>0</v>
      </c>
      <c r="P3113" s="79">
        <v>0</v>
      </c>
    </row>
    <row r="3114" spans="1:16" x14ac:dyDescent="0.25">
      <c r="A3114" t="s">
        <v>32</v>
      </c>
      <c r="B3114" s="73" t="str">
        <f t="shared" si="75"/>
        <v>ALTINOVA</v>
      </c>
      <c r="C3114" t="s">
        <v>148</v>
      </c>
      <c r="D3114" s="73" t="str">
        <f t="shared" si="74"/>
        <v>ALTINOVA/YALOVA</v>
      </c>
      <c r="E3114" s="9" t="s">
        <v>183</v>
      </c>
      <c r="F3114" s="9" t="s">
        <v>183</v>
      </c>
      <c r="G3114" t="s">
        <v>3366</v>
      </c>
      <c r="H3114">
        <v>103.3</v>
      </c>
      <c r="I3114">
        <v>10.33</v>
      </c>
      <c r="J3114">
        <v>0</v>
      </c>
      <c r="K3114">
        <v>0</v>
      </c>
      <c r="L3114">
        <v>103.3</v>
      </c>
      <c r="M3114">
        <v>10.33</v>
      </c>
      <c r="O3114" s="79">
        <f>IFERROR(VLOOKUP(D3114,'KAPANAN BLD.'!$C$2:$D$793,2,FALSE),0)</f>
        <v>0</v>
      </c>
      <c r="P3114" s="79">
        <v>0</v>
      </c>
    </row>
    <row r="3115" spans="1:16" x14ac:dyDescent="0.25">
      <c r="A3115" t="s">
        <v>32</v>
      </c>
      <c r="B3115" s="73" t="str">
        <f t="shared" si="75"/>
        <v>ALTINOVA</v>
      </c>
      <c r="C3115" t="s">
        <v>148</v>
      </c>
      <c r="D3115" s="73" t="str">
        <f t="shared" si="74"/>
        <v>ALTINOVA/YALOVA</v>
      </c>
      <c r="E3115" s="9" t="s">
        <v>183</v>
      </c>
      <c r="F3115" s="9" t="s">
        <v>183</v>
      </c>
      <c r="G3115" t="s">
        <v>3367</v>
      </c>
      <c r="H3115">
        <v>5.4</v>
      </c>
      <c r="I3115">
        <v>0.54</v>
      </c>
      <c r="J3115">
        <v>0</v>
      </c>
      <c r="K3115">
        <v>0</v>
      </c>
      <c r="L3115">
        <v>5.4</v>
      </c>
      <c r="M3115">
        <v>0.54</v>
      </c>
      <c r="O3115" s="79">
        <f>IFERROR(VLOOKUP(D3115,'KAPANAN BLD.'!$C$2:$D$793,2,FALSE),0)</f>
        <v>0</v>
      </c>
      <c r="P3115" s="79">
        <v>0</v>
      </c>
    </row>
    <row r="3116" spans="1:16" x14ac:dyDescent="0.25">
      <c r="A3116" t="s">
        <v>32</v>
      </c>
      <c r="B3116" s="73" t="str">
        <f t="shared" si="75"/>
        <v>TERMAL</v>
      </c>
      <c r="C3116" t="s">
        <v>148</v>
      </c>
      <c r="D3116" s="73" t="str">
        <f t="shared" si="74"/>
        <v>TERMAL/YALOVA</v>
      </c>
      <c r="E3116" t="s">
        <v>2063</v>
      </c>
      <c r="F3116" t="s">
        <v>2063</v>
      </c>
      <c r="G3116" t="s">
        <v>3367</v>
      </c>
      <c r="H3116">
        <v>1495</v>
      </c>
      <c r="I3116">
        <v>149.5</v>
      </c>
      <c r="J3116">
        <v>0</v>
      </c>
      <c r="K3116">
        <v>0</v>
      </c>
      <c r="L3116">
        <v>1495</v>
      </c>
      <c r="M3116">
        <v>149.5</v>
      </c>
      <c r="O3116" s="79">
        <f>IFERROR(VLOOKUP(D3116,'KAPANAN BLD.'!$C$2:$D$793,2,FALSE),0)</f>
        <v>0</v>
      </c>
      <c r="P3116" s="79">
        <v>0</v>
      </c>
    </row>
    <row r="3117" spans="1:16" x14ac:dyDescent="0.25">
      <c r="A3117" t="s">
        <v>32</v>
      </c>
      <c r="B3117" s="73" t="str">
        <f t="shared" si="75"/>
        <v>TERMAL</v>
      </c>
      <c r="C3117" t="s">
        <v>148</v>
      </c>
      <c r="D3117" s="73" t="str">
        <f t="shared" si="74"/>
        <v>TERMAL/YALOVA</v>
      </c>
      <c r="E3117" t="s">
        <v>2063</v>
      </c>
      <c r="F3117" t="s">
        <v>2063</v>
      </c>
      <c r="G3117" t="s">
        <v>3366</v>
      </c>
      <c r="H3117">
        <v>929.6</v>
      </c>
      <c r="I3117">
        <v>92.96</v>
      </c>
      <c r="J3117">
        <v>0</v>
      </c>
      <c r="K3117">
        <v>0</v>
      </c>
      <c r="L3117">
        <v>929.6</v>
      </c>
      <c r="M3117">
        <v>92.96</v>
      </c>
      <c r="O3117" s="79">
        <f>IFERROR(VLOOKUP(D3117,'KAPANAN BLD.'!$C$2:$D$793,2,FALSE),0)</f>
        <v>0</v>
      </c>
      <c r="P3117" s="79">
        <v>0</v>
      </c>
    </row>
    <row r="3118" spans="1:16" x14ac:dyDescent="0.25">
      <c r="A3118" t="s">
        <v>32</v>
      </c>
      <c r="B3118" s="73" t="str">
        <f t="shared" si="75"/>
        <v>ÇINARCIK</v>
      </c>
      <c r="C3118" t="s">
        <v>148</v>
      </c>
      <c r="D3118" s="73" t="str">
        <f t="shared" si="74"/>
        <v>ÇINARCIK/YALOVA</v>
      </c>
      <c r="E3118" s="9" t="s">
        <v>182</v>
      </c>
      <c r="F3118" s="9" t="s">
        <v>182</v>
      </c>
      <c r="G3118" t="s">
        <v>3367</v>
      </c>
      <c r="H3118">
        <v>1825.7</v>
      </c>
      <c r="I3118">
        <v>182.57</v>
      </c>
      <c r="J3118">
        <v>981.8</v>
      </c>
      <c r="K3118">
        <v>98.18</v>
      </c>
      <c r="L3118">
        <v>843.9</v>
      </c>
      <c r="M3118">
        <v>84.39</v>
      </c>
      <c r="O3118" s="79">
        <f>IFERROR(VLOOKUP(D3118,'KAPANAN BLD.'!$C$2:$D$793,2,FALSE),0)</f>
        <v>0</v>
      </c>
      <c r="P3118" s="79">
        <v>0</v>
      </c>
    </row>
    <row r="3119" spans="1:16" x14ac:dyDescent="0.25">
      <c r="A3119" t="s">
        <v>32</v>
      </c>
      <c r="B3119" s="73" t="str">
        <f t="shared" si="75"/>
        <v>SORGUN</v>
      </c>
      <c r="C3119" t="s">
        <v>284</v>
      </c>
      <c r="D3119" s="73" t="str">
        <f t="shared" si="74"/>
        <v>SORGUN/YOZGAT</v>
      </c>
      <c r="E3119" s="9" t="s">
        <v>480</v>
      </c>
      <c r="F3119" s="9" t="s">
        <v>480</v>
      </c>
      <c r="G3119" t="s">
        <v>3367</v>
      </c>
      <c r="H3119">
        <v>6.1</v>
      </c>
      <c r="I3119">
        <v>0.61</v>
      </c>
      <c r="J3119">
        <v>0</v>
      </c>
      <c r="K3119">
        <v>0</v>
      </c>
      <c r="L3119">
        <v>6.1</v>
      </c>
      <c r="M3119">
        <v>0.61</v>
      </c>
      <c r="O3119" s="79">
        <f>IFERROR(VLOOKUP(D3119,'KAPANAN BLD.'!$C$2:$D$793,2,FALSE),0)</f>
        <v>0</v>
      </c>
      <c r="P3119" s="79">
        <v>0</v>
      </c>
    </row>
    <row r="3120" spans="1:16" x14ac:dyDescent="0.25">
      <c r="A3120" t="s">
        <v>32</v>
      </c>
      <c r="B3120" s="73" t="str">
        <f t="shared" si="75"/>
        <v>SORGUN</v>
      </c>
      <c r="C3120" t="s">
        <v>284</v>
      </c>
      <c r="D3120" s="73" t="str">
        <f t="shared" si="74"/>
        <v>SORGUN/YOZGAT</v>
      </c>
      <c r="E3120" s="9" t="s">
        <v>480</v>
      </c>
      <c r="F3120" s="9" t="s">
        <v>480</v>
      </c>
      <c r="G3120" t="s">
        <v>3366</v>
      </c>
      <c r="H3120">
        <v>702.3</v>
      </c>
      <c r="I3120">
        <v>70.23</v>
      </c>
      <c r="J3120">
        <v>0</v>
      </c>
      <c r="K3120">
        <v>0</v>
      </c>
      <c r="L3120">
        <v>702.3</v>
      </c>
      <c r="M3120">
        <v>70.23</v>
      </c>
      <c r="O3120" s="79">
        <f>IFERROR(VLOOKUP(D3120,'KAPANAN BLD.'!$C$2:$D$793,2,FALSE),0)</f>
        <v>0</v>
      </c>
      <c r="P3120" s="79">
        <v>0</v>
      </c>
    </row>
    <row r="3121" spans="1:16" x14ac:dyDescent="0.25">
      <c r="A3121" t="s">
        <v>32</v>
      </c>
      <c r="B3121" s="73" t="str">
        <f t="shared" si="75"/>
        <v>YENİFAKILI</v>
      </c>
      <c r="C3121" t="s">
        <v>284</v>
      </c>
      <c r="D3121" s="73" t="str">
        <f t="shared" si="74"/>
        <v>YENİFAKILI/YOZGAT</v>
      </c>
      <c r="E3121" s="9" t="s">
        <v>2262</v>
      </c>
      <c r="F3121" s="9" t="s">
        <v>2262</v>
      </c>
      <c r="G3121" t="s">
        <v>3367</v>
      </c>
      <c r="H3121">
        <v>415.5</v>
      </c>
      <c r="I3121">
        <v>41.55</v>
      </c>
      <c r="J3121">
        <v>0</v>
      </c>
      <c r="K3121">
        <v>0</v>
      </c>
      <c r="L3121">
        <v>415.5</v>
      </c>
      <c r="M3121">
        <v>41.55</v>
      </c>
      <c r="O3121" s="79">
        <f>IFERROR(VLOOKUP(D3121,'KAPANAN BLD.'!$C$2:$D$793,2,FALSE),0)</f>
        <v>0</v>
      </c>
      <c r="P3121" s="79">
        <v>0</v>
      </c>
    </row>
    <row r="3122" spans="1:16" x14ac:dyDescent="0.25">
      <c r="A3122" t="s">
        <v>32</v>
      </c>
      <c r="B3122" s="73" t="str">
        <f t="shared" si="75"/>
        <v>YENİFAKILI</v>
      </c>
      <c r="C3122" t="s">
        <v>284</v>
      </c>
      <c r="D3122" s="73" t="str">
        <f t="shared" si="74"/>
        <v>YENİFAKILI/YOZGAT</v>
      </c>
      <c r="E3122" s="9" t="s">
        <v>2262</v>
      </c>
      <c r="F3122" s="9" t="s">
        <v>2262</v>
      </c>
      <c r="G3122" t="s">
        <v>3366</v>
      </c>
      <c r="H3122">
        <v>299.60000000000002</v>
      </c>
      <c r="I3122">
        <v>29.96</v>
      </c>
      <c r="J3122">
        <v>0</v>
      </c>
      <c r="K3122">
        <v>0</v>
      </c>
      <c r="L3122">
        <v>299.60000000000002</v>
      </c>
      <c r="M3122">
        <v>29.96</v>
      </c>
      <c r="O3122" s="79">
        <f>IFERROR(VLOOKUP(D3122,'KAPANAN BLD.'!$C$2:$D$793,2,FALSE),0)</f>
        <v>0</v>
      </c>
      <c r="P3122" s="79">
        <v>0</v>
      </c>
    </row>
    <row r="3123" spans="1:16" x14ac:dyDescent="0.25">
      <c r="A3123" t="s">
        <v>32</v>
      </c>
      <c r="B3123" s="73" t="str">
        <f t="shared" si="75"/>
        <v>SORGUN</v>
      </c>
      <c r="C3123" t="s">
        <v>284</v>
      </c>
      <c r="D3123" s="73" t="str">
        <f t="shared" si="74"/>
        <v>SORGUN/YOZGAT</v>
      </c>
      <c r="E3123" s="9" t="s">
        <v>480</v>
      </c>
      <c r="F3123" s="9" t="s">
        <v>480</v>
      </c>
      <c r="G3123" t="s">
        <v>3367</v>
      </c>
      <c r="H3123">
        <v>57.3</v>
      </c>
      <c r="I3123">
        <v>5.73</v>
      </c>
      <c r="J3123">
        <v>0</v>
      </c>
      <c r="K3123">
        <v>0</v>
      </c>
      <c r="L3123">
        <v>57.3</v>
      </c>
      <c r="M3123">
        <v>5.73</v>
      </c>
      <c r="O3123" s="79">
        <f>IFERROR(VLOOKUP(D3123,'KAPANAN BLD.'!$C$2:$D$793,2,FALSE),0)</f>
        <v>0</v>
      </c>
      <c r="P3123" s="79">
        <v>0</v>
      </c>
    </row>
    <row r="3124" spans="1:16" x14ac:dyDescent="0.25">
      <c r="A3124" t="s">
        <v>32</v>
      </c>
      <c r="B3124" s="73" t="str">
        <f t="shared" si="75"/>
        <v>SORGUN</v>
      </c>
      <c r="C3124" t="s">
        <v>284</v>
      </c>
      <c r="D3124" s="73" t="str">
        <f t="shared" si="74"/>
        <v>SORGUN/YOZGAT</v>
      </c>
      <c r="E3124" s="9" t="s">
        <v>480</v>
      </c>
      <c r="F3124" s="9" t="s">
        <v>480</v>
      </c>
      <c r="G3124" t="s">
        <v>3366</v>
      </c>
      <c r="H3124">
        <v>26</v>
      </c>
      <c r="I3124">
        <v>2.6</v>
      </c>
      <c r="J3124">
        <v>0</v>
      </c>
      <c r="K3124">
        <v>0</v>
      </c>
      <c r="L3124">
        <v>26</v>
      </c>
      <c r="M3124">
        <v>2.6</v>
      </c>
      <c r="O3124" s="79">
        <f>IFERROR(VLOOKUP(D3124,'KAPANAN BLD.'!$C$2:$D$793,2,FALSE),0)</f>
        <v>0</v>
      </c>
      <c r="P3124" s="79">
        <v>0</v>
      </c>
    </row>
    <row r="3125" spans="1:16" x14ac:dyDescent="0.25">
      <c r="A3125" t="s">
        <v>32</v>
      </c>
      <c r="B3125" s="73" t="str">
        <f t="shared" si="75"/>
        <v>ÇEKEREK</v>
      </c>
      <c r="C3125" t="s">
        <v>284</v>
      </c>
      <c r="D3125" s="73" t="str">
        <f t="shared" si="74"/>
        <v>ÇEKEREK/YOZGAT</v>
      </c>
      <c r="E3125" s="9" t="s">
        <v>2237</v>
      </c>
      <c r="F3125" s="9" t="s">
        <v>2237</v>
      </c>
      <c r="G3125" t="s">
        <v>3367</v>
      </c>
      <c r="H3125">
        <v>0.3</v>
      </c>
      <c r="I3125">
        <v>0.03</v>
      </c>
      <c r="J3125">
        <v>0</v>
      </c>
      <c r="K3125">
        <v>0</v>
      </c>
      <c r="L3125">
        <v>0.3</v>
      </c>
      <c r="M3125">
        <v>0.03</v>
      </c>
      <c r="O3125" s="79">
        <f>IFERROR(VLOOKUP(D3125,'KAPANAN BLD.'!$C$2:$D$793,2,FALSE),0)</f>
        <v>0</v>
      </c>
      <c r="P3125" s="79">
        <v>0</v>
      </c>
    </row>
    <row r="3126" spans="1:16" x14ac:dyDescent="0.25">
      <c r="A3126" t="s">
        <v>32</v>
      </c>
      <c r="B3126" s="73" t="str">
        <f t="shared" si="75"/>
        <v>ÇEKEREK</v>
      </c>
      <c r="C3126" t="s">
        <v>284</v>
      </c>
      <c r="D3126" s="73" t="str">
        <f t="shared" si="74"/>
        <v>ÇEKEREK/YOZGAT</v>
      </c>
      <c r="E3126" s="9" t="s">
        <v>2237</v>
      </c>
      <c r="F3126" s="9" t="s">
        <v>2237</v>
      </c>
      <c r="G3126" t="s">
        <v>3366</v>
      </c>
      <c r="H3126">
        <v>2017.4</v>
      </c>
      <c r="I3126">
        <v>201.74</v>
      </c>
      <c r="J3126">
        <v>0</v>
      </c>
      <c r="K3126">
        <v>0</v>
      </c>
      <c r="L3126">
        <v>2017.4</v>
      </c>
      <c r="M3126">
        <v>201.74</v>
      </c>
      <c r="O3126" s="79">
        <f>IFERROR(VLOOKUP(D3126,'KAPANAN BLD.'!$C$2:$D$793,2,FALSE),0)</f>
        <v>0</v>
      </c>
      <c r="P3126" s="79">
        <v>0</v>
      </c>
    </row>
    <row r="3127" spans="1:16" x14ac:dyDescent="0.25">
      <c r="A3127" t="s">
        <v>32</v>
      </c>
      <c r="B3127" s="73" t="str">
        <f t="shared" si="75"/>
        <v>ÇEKEREK</v>
      </c>
      <c r="C3127" t="s">
        <v>284</v>
      </c>
      <c r="D3127" s="73" t="str">
        <f t="shared" si="74"/>
        <v>ÇEKEREK/YOZGAT</v>
      </c>
      <c r="E3127" t="s">
        <v>2237</v>
      </c>
      <c r="F3127" t="s">
        <v>2237</v>
      </c>
      <c r="G3127" t="s">
        <v>3366</v>
      </c>
      <c r="H3127">
        <v>0</v>
      </c>
      <c r="I3127">
        <v>0</v>
      </c>
      <c r="J3127">
        <v>1448.7</v>
      </c>
      <c r="K3127">
        <v>144.87</v>
      </c>
      <c r="L3127">
        <v>-1448.7</v>
      </c>
      <c r="M3127">
        <v>-144.87</v>
      </c>
      <c r="O3127" s="79">
        <f>IFERROR(VLOOKUP(D3127,'KAPANAN BLD.'!$C$2:$D$793,2,FALSE),0)</f>
        <v>0</v>
      </c>
      <c r="P3127" s="79">
        <v>0</v>
      </c>
    </row>
    <row r="3128" spans="1:16" x14ac:dyDescent="0.25">
      <c r="A3128" t="s">
        <v>32</v>
      </c>
      <c r="B3128" s="73" t="str">
        <f t="shared" si="75"/>
        <v>ÇEKEREK</v>
      </c>
      <c r="C3128" t="s">
        <v>284</v>
      </c>
      <c r="D3128" s="73" t="str">
        <f t="shared" si="74"/>
        <v>ÇEKEREK/YOZGAT</v>
      </c>
      <c r="E3128" t="s">
        <v>2237</v>
      </c>
      <c r="F3128" t="s">
        <v>2237</v>
      </c>
      <c r="G3128" t="s">
        <v>3367</v>
      </c>
      <c r="H3128">
        <v>0</v>
      </c>
      <c r="I3128">
        <v>0</v>
      </c>
      <c r="J3128">
        <v>146.19999999999999</v>
      </c>
      <c r="K3128">
        <v>14.62</v>
      </c>
      <c r="L3128">
        <v>-146.19999999999999</v>
      </c>
      <c r="M3128">
        <v>-14.62</v>
      </c>
      <c r="O3128" s="79">
        <f>IFERROR(VLOOKUP(D3128,'KAPANAN BLD.'!$C$2:$D$793,2,FALSE),0)</f>
        <v>0</v>
      </c>
      <c r="P3128" s="79">
        <v>0</v>
      </c>
    </row>
    <row r="3129" spans="1:16" x14ac:dyDescent="0.25">
      <c r="A3129" t="s">
        <v>32</v>
      </c>
      <c r="B3129" s="73" t="str">
        <f t="shared" si="75"/>
        <v>SORGUN</v>
      </c>
      <c r="C3129" t="s">
        <v>284</v>
      </c>
      <c r="D3129" s="73" t="str">
        <f t="shared" si="74"/>
        <v>SORGUN/YOZGAT</v>
      </c>
      <c r="E3129" s="9" t="s">
        <v>480</v>
      </c>
      <c r="F3129" s="9" t="s">
        <v>480</v>
      </c>
      <c r="G3129" t="s">
        <v>3367</v>
      </c>
      <c r="H3129">
        <v>110.2</v>
      </c>
      <c r="I3129">
        <v>11.02</v>
      </c>
      <c r="J3129">
        <v>0</v>
      </c>
      <c r="K3129">
        <v>0</v>
      </c>
      <c r="L3129">
        <v>110.2</v>
      </c>
      <c r="M3129">
        <v>11.02</v>
      </c>
      <c r="O3129" s="79">
        <f>IFERROR(VLOOKUP(D3129,'KAPANAN BLD.'!$C$2:$D$793,2,FALSE),0)</f>
        <v>0</v>
      </c>
      <c r="P3129" s="79">
        <v>0</v>
      </c>
    </row>
    <row r="3130" spans="1:16" x14ac:dyDescent="0.25">
      <c r="A3130" t="s">
        <v>32</v>
      </c>
      <c r="B3130" s="73" t="str">
        <f t="shared" si="75"/>
        <v>SORGUN</v>
      </c>
      <c r="C3130" t="s">
        <v>284</v>
      </c>
      <c r="D3130" s="73" t="str">
        <f t="shared" si="74"/>
        <v>SORGUN/YOZGAT</v>
      </c>
      <c r="E3130" s="9" t="s">
        <v>480</v>
      </c>
      <c r="F3130" s="9" t="s">
        <v>480</v>
      </c>
      <c r="G3130" t="s">
        <v>3366</v>
      </c>
      <c r="H3130">
        <v>587.1</v>
      </c>
      <c r="I3130">
        <v>58.71</v>
      </c>
      <c r="J3130">
        <v>0</v>
      </c>
      <c r="K3130">
        <v>0</v>
      </c>
      <c r="L3130">
        <v>587.1</v>
      </c>
      <c r="M3130">
        <v>58.71</v>
      </c>
      <c r="O3130" s="79">
        <f>IFERROR(VLOOKUP(D3130,'KAPANAN BLD.'!$C$2:$D$793,2,FALSE),0)</f>
        <v>0</v>
      </c>
      <c r="P3130" s="79">
        <v>0</v>
      </c>
    </row>
    <row r="3131" spans="1:16" x14ac:dyDescent="0.25">
      <c r="A3131" t="s">
        <v>32</v>
      </c>
      <c r="B3131" s="73" t="str">
        <f t="shared" si="75"/>
        <v>BOĞAZLIYAN</v>
      </c>
      <c r="C3131" t="s">
        <v>284</v>
      </c>
      <c r="D3131" s="73" t="str">
        <f t="shared" si="74"/>
        <v>BOĞAZLIYAN/YOZGAT</v>
      </c>
      <c r="E3131" s="9" t="s">
        <v>387</v>
      </c>
      <c r="F3131" s="9" t="s">
        <v>387</v>
      </c>
      <c r="G3131" t="s">
        <v>3367</v>
      </c>
      <c r="H3131">
        <v>236.5</v>
      </c>
      <c r="I3131">
        <v>23.65</v>
      </c>
      <c r="J3131">
        <v>0</v>
      </c>
      <c r="K3131">
        <v>0</v>
      </c>
      <c r="L3131">
        <v>236.5</v>
      </c>
      <c r="M3131">
        <v>23.65</v>
      </c>
      <c r="O3131" s="79">
        <f>IFERROR(VLOOKUP(D3131,'KAPANAN BLD.'!$C$2:$D$793,2,FALSE),0)</f>
        <v>0</v>
      </c>
      <c r="P3131" s="79">
        <v>0</v>
      </c>
    </row>
    <row r="3132" spans="1:16" x14ac:dyDescent="0.25">
      <c r="A3132" t="s">
        <v>32</v>
      </c>
      <c r="B3132" s="73" t="str">
        <f t="shared" si="75"/>
        <v>BOĞAZLIYAN</v>
      </c>
      <c r="C3132" t="s">
        <v>284</v>
      </c>
      <c r="D3132" s="73" t="str">
        <f t="shared" si="74"/>
        <v>BOĞAZLIYAN/YOZGAT</v>
      </c>
      <c r="E3132" s="9" t="s">
        <v>387</v>
      </c>
      <c r="F3132" s="9" t="s">
        <v>387</v>
      </c>
      <c r="G3132" t="s">
        <v>3366</v>
      </c>
      <c r="H3132">
        <v>66.5</v>
      </c>
      <c r="I3132">
        <v>6.65</v>
      </c>
      <c r="J3132">
        <v>0</v>
      </c>
      <c r="K3132">
        <v>0</v>
      </c>
      <c r="L3132">
        <v>66.5</v>
      </c>
      <c r="M3132">
        <v>6.65</v>
      </c>
      <c r="O3132" s="79">
        <f>IFERROR(VLOOKUP(D3132,'KAPANAN BLD.'!$C$2:$D$793,2,FALSE),0)</f>
        <v>0</v>
      </c>
      <c r="P3132" s="79">
        <v>0</v>
      </c>
    </row>
    <row r="3133" spans="1:16" x14ac:dyDescent="0.25">
      <c r="A3133" t="s">
        <v>32</v>
      </c>
      <c r="B3133" s="73" t="str">
        <f t="shared" si="75"/>
        <v>MERKEZ</v>
      </c>
      <c r="C3133" t="s">
        <v>284</v>
      </c>
      <c r="D3133" s="73" t="str">
        <f t="shared" si="74"/>
        <v>MERKEZ/YOZGAT</v>
      </c>
      <c r="E3133" s="9" t="s">
        <v>34</v>
      </c>
      <c r="F3133" s="9" t="s">
        <v>34</v>
      </c>
      <c r="G3133" t="s">
        <v>3367</v>
      </c>
      <c r="H3133">
        <v>291.8</v>
      </c>
      <c r="I3133">
        <v>29.18</v>
      </c>
      <c r="J3133">
        <v>17.7</v>
      </c>
      <c r="K3133">
        <v>1.77</v>
      </c>
      <c r="L3133">
        <v>274.10000000000002</v>
      </c>
      <c r="M3133">
        <v>27.41</v>
      </c>
      <c r="O3133" s="79">
        <f>IFERROR(VLOOKUP(D3133,'KAPANAN BLD.'!$C$2:$D$793,2,FALSE),0)</f>
        <v>0</v>
      </c>
      <c r="P3133" s="79">
        <v>0</v>
      </c>
    </row>
    <row r="3134" spans="1:16" x14ac:dyDescent="0.25">
      <c r="A3134" t="s">
        <v>32</v>
      </c>
      <c r="B3134" s="73" t="str">
        <f t="shared" si="75"/>
        <v>MERKEZ</v>
      </c>
      <c r="C3134" t="s">
        <v>284</v>
      </c>
      <c r="D3134" s="73" t="str">
        <f t="shared" si="74"/>
        <v>MERKEZ/YOZGAT</v>
      </c>
      <c r="E3134" s="9" t="s">
        <v>34</v>
      </c>
      <c r="F3134" s="9" t="s">
        <v>34</v>
      </c>
      <c r="G3134" t="s">
        <v>3366</v>
      </c>
      <c r="H3134">
        <v>248.7</v>
      </c>
      <c r="I3134">
        <v>24.87</v>
      </c>
      <c r="J3134">
        <v>314</v>
      </c>
      <c r="K3134">
        <v>31.4</v>
      </c>
      <c r="L3134">
        <v>-65.3</v>
      </c>
      <c r="M3134">
        <v>-6.53</v>
      </c>
      <c r="O3134" s="79">
        <f>IFERROR(VLOOKUP(D3134,'KAPANAN BLD.'!$C$2:$D$793,2,FALSE),0)</f>
        <v>0</v>
      </c>
      <c r="P3134" s="79">
        <v>0</v>
      </c>
    </row>
    <row r="3135" spans="1:16" x14ac:dyDescent="0.25">
      <c r="A3135" t="s">
        <v>32</v>
      </c>
      <c r="B3135" s="73" t="str">
        <f t="shared" si="75"/>
        <v>SORGUN</v>
      </c>
      <c r="C3135" t="s">
        <v>284</v>
      </c>
      <c r="D3135" s="73" t="str">
        <f t="shared" si="74"/>
        <v>SORGUN/YOZGAT</v>
      </c>
      <c r="E3135" s="9" t="s">
        <v>480</v>
      </c>
      <c r="F3135" s="9" t="s">
        <v>480</v>
      </c>
      <c r="G3135" t="s">
        <v>3367</v>
      </c>
      <c r="H3135">
        <v>3.6</v>
      </c>
      <c r="I3135">
        <v>0.36</v>
      </c>
      <c r="J3135">
        <v>0</v>
      </c>
      <c r="K3135">
        <v>0</v>
      </c>
      <c r="L3135">
        <v>3.6</v>
      </c>
      <c r="M3135">
        <v>0.36</v>
      </c>
      <c r="O3135" s="79">
        <f>IFERROR(VLOOKUP(D3135,'KAPANAN BLD.'!$C$2:$D$793,2,FALSE),0)</f>
        <v>0</v>
      </c>
      <c r="P3135" s="79">
        <v>0</v>
      </c>
    </row>
    <row r="3136" spans="1:16" x14ac:dyDescent="0.25">
      <c r="A3136" t="s">
        <v>32</v>
      </c>
      <c r="B3136" s="73" t="str">
        <f t="shared" si="75"/>
        <v>SORGUN</v>
      </c>
      <c r="C3136" t="s">
        <v>284</v>
      </c>
      <c r="D3136" s="73" t="str">
        <f t="shared" si="74"/>
        <v>SORGUN/YOZGAT</v>
      </c>
      <c r="E3136" s="9" t="s">
        <v>480</v>
      </c>
      <c r="F3136" s="9" t="s">
        <v>480</v>
      </c>
      <c r="G3136" t="s">
        <v>3366</v>
      </c>
      <c r="H3136">
        <v>825.6</v>
      </c>
      <c r="I3136">
        <v>82.56</v>
      </c>
      <c r="J3136">
        <v>0</v>
      </c>
      <c r="K3136">
        <v>0</v>
      </c>
      <c r="L3136">
        <v>825.6</v>
      </c>
      <c r="M3136">
        <v>82.56</v>
      </c>
      <c r="O3136" s="79">
        <f>IFERROR(VLOOKUP(D3136,'KAPANAN BLD.'!$C$2:$D$793,2,FALSE),0)</f>
        <v>0</v>
      </c>
      <c r="P3136" s="79">
        <v>0</v>
      </c>
    </row>
    <row r="3137" spans="1:16" x14ac:dyDescent="0.25">
      <c r="A3137" t="s">
        <v>32</v>
      </c>
      <c r="B3137" s="73" t="str">
        <f t="shared" si="75"/>
        <v>SORGUN</v>
      </c>
      <c r="C3137" t="s">
        <v>284</v>
      </c>
      <c r="D3137" s="73" t="str">
        <f t="shared" si="74"/>
        <v>SORGUN/YOZGAT</v>
      </c>
      <c r="E3137" s="9" t="s">
        <v>480</v>
      </c>
      <c r="F3137" s="9" t="s">
        <v>480</v>
      </c>
      <c r="G3137" t="s">
        <v>3367</v>
      </c>
      <c r="H3137">
        <v>379.7</v>
      </c>
      <c r="I3137">
        <v>37.97</v>
      </c>
      <c r="J3137">
        <v>0</v>
      </c>
      <c r="K3137">
        <v>0</v>
      </c>
      <c r="L3137">
        <v>379.7</v>
      </c>
      <c r="M3137">
        <v>37.97</v>
      </c>
      <c r="O3137" s="79">
        <f>IFERROR(VLOOKUP(D3137,'KAPANAN BLD.'!$C$2:$D$793,2,FALSE),0)</f>
        <v>0</v>
      </c>
      <c r="P3137" s="79">
        <v>0</v>
      </c>
    </row>
    <row r="3138" spans="1:16" x14ac:dyDescent="0.25">
      <c r="A3138" t="s">
        <v>32</v>
      </c>
      <c r="B3138" s="73" t="str">
        <f t="shared" si="75"/>
        <v>SORGUN</v>
      </c>
      <c r="C3138" t="s">
        <v>284</v>
      </c>
      <c r="D3138" s="73" t="str">
        <f t="shared" si="74"/>
        <v>SORGUN/YOZGAT</v>
      </c>
      <c r="E3138" s="9" t="s">
        <v>480</v>
      </c>
      <c r="F3138" s="9" t="s">
        <v>480</v>
      </c>
      <c r="G3138" t="s">
        <v>3366</v>
      </c>
      <c r="H3138">
        <v>1111.7</v>
      </c>
      <c r="I3138">
        <v>111.17</v>
      </c>
      <c r="J3138">
        <v>0</v>
      </c>
      <c r="K3138">
        <v>0</v>
      </c>
      <c r="L3138">
        <v>1111.7</v>
      </c>
      <c r="M3138">
        <v>111.17</v>
      </c>
      <c r="O3138" s="79">
        <f>IFERROR(VLOOKUP(D3138,'KAPANAN BLD.'!$C$2:$D$793,2,FALSE),0)</f>
        <v>0</v>
      </c>
      <c r="P3138" s="79">
        <v>0</v>
      </c>
    </row>
    <row r="3139" spans="1:16" x14ac:dyDescent="0.25">
      <c r="A3139" t="s">
        <v>32</v>
      </c>
      <c r="B3139" s="73" t="str">
        <f t="shared" si="75"/>
        <v>MERKEZ</v>
      </c>
      <c r="C3139" t="s">
        <v>284</v>
      </c>
      <c r="D3139" s="73" t="str">
        <f t="shared" ref="D3139:D3202" si="76">CONCATENATE(B3139,"/",C3139)</f>
        <v>MERKEZ/YOZGAT</v>
      </c>
      <c r="E3139" t="s">
        <v>34</v>
      </c>
      <c r="F3139" t="s">
        <v>34</v>
      </c>
      <c r="G3139" t="s">
        <v>3366</v>
      </c>
      <c r="H3139">
        <v>2183</v>
      </c>
      <c r="I3139">
        <v>218.3</v>
      </c>
      <c r="J3139">
        <v>0</v>
      </c>
      <c r="K3139">
        <v>0</v>
      </c>
      <c r="L3139">
        <v>2183</v>
      </c>
      <c r="M3139">
        <v>218.3</v>
      </c>
      <c r="O3139" s="79">
        <f>IFERROR(VLOOKUP(D3139,'KAPANAN BLD.'!$C$2:$D$793,2,FALSE),0)</f>
        <v>0</v>
      </c>
      <c r="P3139" s="79">
        <v>0</v>
      </c>
    </row>
    <row r="3140" spans="1:16" x14ac:dyDescent="0.25">
      <c r="A3140" t="s">
        <v>32</v>
      </c>
      <c r="B3140" s="73" t="str">
        <f t="shared" si="75"/>
        <v>MERKEZ</v>
      </c>
      <c r="C3140" t="s">
        <v>284</v>
      </c>
      <c r="D3140" s="73" t="str">
        <f t="shared" si="76"/>
        <v>MERKEZ/YOZGAT</v>
      </c>
      <c r="E3140" t="s">
        <v>34</v>
      </c>
      <c r="F3140" t="s">
        <v>34</v>
      </c>
      <c r="G3140" t="s">
        <v>3367</v>
      </c>
      <c r="H3140">
        <v>720.8</v>
      </c>
      <c r="I3140">
        <v>72.08</v>
      </c>
      <c r="J3140">
        <v>0</v>
      </c>
      <c r="K3140">
        <v>0</v>
      </c>
      <c r="L3140">
        <v>720.8</v>
      </c>
      <c r="M3140">
        <v>72.08</v>
      </c>
      <c r="O3140" s="79">
        <f>IFERROR(VLOOKUP(D3140,'KAPANAN BLD.'!$C$2:$D$793,2,FALSE),0)</f>
        <v>0</v>
      </c>
      <c r="P3140" s="79">
        <v>0</v>
      </c>
    </row>
    <row r="3141" spans="1:16" x14ac:dyDescent="0.25">
      <c r="A3141" t="s">
        <v>32</v>
      </c>
      <c r="B3141" s="73" t="str">
        <f t="shared" si="75"/>
        <v>MERKEZ</v>
      </c>
      <c r="C3141" t="s">
        <v>284</v>
      </c>
      <c r="D3141" s="73" t="str">
        <f t="shared" si="76"/>
        <v>MERKEZ/YOZGAT</v>
      </c>
      <c r="E3141" t="s">
        <v>34</v>
      </c>
      <c r="F3141" t="s">
        <v>34</v>
      </c>
      <c r="G3141" t="s">
        <v>3367</v>
      </c>
      <c r="H3141">
        <v>253.4</v>
      </c>
      <c r="I3141">
        <v>25.34</v>
      </c>
      <c r="J3141">
        <v>0</v>
      </c>
      <c r="K3141">
        <v>0</v>
      </c>
      <c r="L3141">
        <v>253.4</v>
      </c>
      <c r="M3141">
        <v>25.34</v>
      </c>
      <c r="O3141" s="79">
        <f>IFERROR(VLOOKUP(D3141,'KAPANAN BLD.'!$C$2:$D$793,2,FALSE),0)</f>
        <v>0</v>
      </c>
      <c r="P3141" s="79">
        <v>0</v>
      </c>
    </row>
    <row r="3142" spans="1:16" x14ac:dyDescent="0.25">
      <c r="A3142" t="s">
        <v>32</v>
      </c>
      <c r="B3142" s="73" t="str">
        <f t="shared" si="75"/>
        <v>MERKEZ</v>
      </c>
      <c r="C3142" t="s">
        <v>284</v>
      </c>
      <c r="D3142" s="73" t="str">
        <f t="shared" si="76"/>
        <v>MERKEZ/YOZGAT</v>
      </c>
      <c r="E3142" t="s">
        <v>34</v>
      </c>
      <c r="F3142" t="s">
        <v>34</v>
      </c>
      <c r="G3142" t="s">
        <v>3366</v>
      </c>
      <c r="H3142">
        <v>367.9</v>
      </c>
      <c r="I3142">
        <v>36.79</v>
      </c>
      <c r="J3142">
        <v>0</v>
      </c>
      <c r="K3142">
        <v>0</v>
      </c>
      <c r="L3142">
        <v>367.9</v>
      </c>
      <c r="M3142">
        <v>36.79</v>
      </c>
      <c r="O3142" s="79">
        <f>IFERROR(VLOOKUP(D3142,'KAPANAN BLD.'!$C$2:$D$793,2,FALSE),0)</f>
        <v>0</v>
      </c>
      <c r="P3142" s="79">
        <v>0</v>
      </c>
    </row>
    <row r="3143" spans="1:16" x14ac:dyDescent="0.25">
      <c r="A3143" t="s">
        <v>32</v>
      </c>
      <c r="B3143" s="73" t="str">
        <f t="shared" si="75"/>
        <v>MERKEZ</v>
      </c>
      <c r="C3143" t="s">
        <v>284</v>
      </c>
      <c r="D3143" s="73" t="str">
        <f t="shared" si="76"/>
        <v>MERKEZ/YOZGAT</v>
      </c>
      <c r="E3143" s="9" t="s">
        <v>34</v>
      </c>
      <c r="F3143" s="9" t="s">
        <v>34</v>
      </c>
      <c r="G3143" t="s">
        <v>3367</v>
      </c>
      <c r="H3143">
        <v>528.79999999999995</v>
      </c>
      <c r="I3143">
        <v>52.88</v>
      </c>
      <c r="J3143">
        <v>0</v>
      </c>
      <c r="K3143">
        <v>0</v>
      </c>
      <c r="L3143">
        <v>528.79999999999995</v>
      </c>
      <c r="M3143">
        <v>52.88</v>
      </c>
      <c r="O3143" s="79">
        <f>IFERROR(VLOOKUP(D3143,'KAPANAN BLD.'!$C$2:$D$793,2,FALSE),0)</f>
        <v>0</v>
      </c>
      <c r="P3143" s="79">
        <v>0</v>
      </c>
    </row>
    <row r="3144" spans="1:16" x14ac:dyDescent="0.25">
      <c r="A3144" t="s">
        <v>32</v>
      </c>
      <c r="B3144" s="73" t="str">
        <f t="shared" si="75"/>
        <v>MERKEZ</v>
      </c>
      <c r="C3144" t="s">
        <v>284</v>
      </c>
      <c r="D3144" s="73" t="str">
        <f t="shared" si="76"/>
        <v>MERKEZ/YOZGAT</v>
      </c>
      <c r="E3144" s="9" t="s">
        <v>34</v>
      </c>
      <c r="F3144" s="9" t="s">
        <v>34</v>
      </c>
      <c r="G3144" t="s">
        <v>3366</v>
      </c>
      <c r="H3144">
        <v>965</v>
      </c>
      <c r="I3144">
        <v>96.5</v>
      </c>
      <c r="J3144">
        <v>0</v>
      </c>
      <c r="K3144">
        <v>0</v>
      </c>
      <c r="L3144">
        <v>965</v>
      </c>
      <c r="M3144">
        <v>96.5</v>
      </c>
      <c r="O3144" s="79">
        <f>IFERROR(VLOOKUP(D3144,'KAPANAN BLD.'!$C$2:$D$793,2,FALSE),0)</f>
        <v>0</v>
      </c>
      <c r="P3144" s="79">
        <v>0</v>
      </c>
    </row>
    <row r="3145" spans="1:16" x14ac:dyDescent="0.25">
      <c r="A3145" t="s">
        <v>32</v>
      </c>
      <c r="B3145" s="73" t="str">
        <f t="shared" si="75"/>
        <v>ŞEFAATLİ</v>
      </c>
      <c r="C3145" t="s">
        <v>284</v>
      </c>
      <c r="D3145" s="73" t="str">
        <f t="shared" si="76"/>
        <v>ŞEFAATLİ/YOZGAT</v>
      </c>
      <c r="E3145" s="9" t="s">
        <v>2259</v>
      </c>
      <c r="F3145" s="9" t="s">
        <v>2259</v>
      </c>
      <c r="G3145" t="s">
        <v>3367</v>
      </c>
      <c r="H3145">
        <v>45</v>
      </c>
      <c r="I3145">
        <v>4.5</v>
      </c>
      <c r="J3145">
        <v>0</v>
      </c>
      <c r="K3145">
        <v>0</v>
      </c>
      <c r="L3145">
        <v>45</v>
      </c>
      <c r="M3145">
        <v>4.5</v>
      </c>
      <c r="O3145" s="79">
        <f>IFERROR(VLOOKUP(D3145,'KAPANAN BLD.'!$C$2:$D$793,2,FALSE),0)</f>
        <v>0</v>
      </c>
      <c r="P3145" s="79">
        <v>0</v>
      </c>
    </row>
    <row r="3146" spans="1:16" x14ac:dyDescent="0.25">
      <c r="A3146" t="s">
        <v>32</v>
      </c>
      <c r="B3146" s="73" t="str">
        <f t="shared" si="75"/>
        <v>ŞEFAATLİ</v>
      </c>
      <c r="C3146" t="s">
        <v>284</v>
      </c>
      <c r="D3146" s="73" t="str">
        <f t="shared" si="76"/>
        <v>ŞEFAATLİ/YOZGAT</v>
      </c>
      <c r="E3146" s="9" t="s">
        <v>2259</v>
      </c>
      <c r="F3146" s="9" t="s">
        <v>2259</v>
      </c>
      <c r="G3146" t="s">
        <v>3366</v>
      </c>
      <c r="H3146">
        <v>402.8</v>
      </c>
      <c r="I3146">
        <v>40.28</v>
      </c>
      <c r="J3146">
        <v>0</v>
      </c>
      <c r="K3146">
        <v>0</v>
      </c>
      <c r="L3146">
        <v>402.8</v>
      </c>
      <c r="M3146">
        <v>40.28</v>
      </c>
      <c r="O3146" s="79">
        <f>IFERROR(VLOOKUP(D3146,'KAPANAN BLD.'!$C$2:$D$793,2,FALSE),0)</f>
        <v>0</v>
      </c>
      <c r="P3146" s="79">
        <v>0</v>
      </c>
    </row>
    <row r="3147" spans="1:16" x14ac:dyDescent="0.25">
      <c r="A3147" t="s">
        <v>32</v>
      </c>
      <c r="B3147" s="73" t="str">
        <f t="shared" si="75"/>
        <v>YERKÖY</v>
      </c>
      <c r="C3147" t="s">
        <v>284</v>
      </c>
      <c r="D3147" s="73" t="str">
        <f t="shared" si="76"/>
        <v>YERKÖY/YOZGAT</v>
      </c>
      <c r="E3147" s="9" t="s">
        <v>692</v>
      </c>
      <c r="F3147" s="9" t="s">
        <v>692</v>
      </c>
      <c r="G3147" t="s">
        <v>3367</v>
      </c>
      <c r="H3147">
        <v>39</v>
      </c>
      <c r="I3147">
        <v>3.9</v>
      </c>
      <c r="J3147">
        <v>0</v>
      </c>
      <c r="K3147">
        <v>0</v>
      </c>
      <c r="L3147">
        <v>39</v>
      </c>
      <c r="M3147">
        <v>3.9</v>
      </c>
      <c r="O3147" s="79">
        <f>IFERROR(VLOOKUP(D3147,'KAPANAN BLD.'!$C$2:$D$793,2,FALSE),0)</f>
        <v>0</v>
      </c>
      <c r="P3147" s="79">
        <v>0</v>
      </c>
    </row>
    <row r="3148" spans="1:16" x14ac:dyDescent="0.25">
      <c r="A3148" t="s">
        <v>32</v>
      </c>
      <c r="B3148" s="73" t="str">
        <f t="shared" si="75"/>
        <v>BOĞAZLIYAN</v>
      </c>
      <c r="C3148" t="s">
        <v>284</v>
      </c>
      <c r="D3148" s="73" t="str">
        <f t="shared" si="76"/>
        <v>BOĞAZLIYAN/YOZGAT</v>
      </c>
      <c r="E3148" s="9" t="s">
        <v>387</v>
      </c>
      <c r="F3148" s="9" t="s">
        <v>387</v>
      </c>
      <c r="G3148" t="s">
        <v>3367</v>
      </c>
      <c r="H3148">
        <v>5.4</v>
      </c>
      <c r="I3148">
        <v>0.54</v>
      </c>
      <c r="J3148">
        <v>0</v>
      </c>
      <c r="K3148">
        <v>0</v>
      </c>
      <c r="L3148">
        <v>5.4</v>
      </c>
      <c r="M3148">
        <v>0.54</v>
      </c>
      <c r="O3148" s="79">
        <f>IFERROR(VLOOKUP(D3148,'KAPANAN BLD.'!$C$2:$D$793,2,FALSE),0)</f>
        <v>0</v>
      </c>
      <c r="P3148" s="79">
        <v>0</v>
      </c>
    </row>
    <row r="3149" spans="1:16" x14ac:dyDescent="0.25">
      <c r="A3149" t="s">
        <v>32</v>
      </c>
      <c r="B3149" s="73" t="str">
        <f t="shared" si="75"/>
        <v>BOĞAZLIYAN</v>
      </c>
      <c r="C3149" t="s">
        <v>284</v>
      </c>
      <c r="D3149" s="73" t="str">
        <f t="shared" si="76"/>
        <v>BOĞAZLIYAN/YOZGAT</v>
      </c>
      <c r="E3149" s="9" t="s">
        <v>387</v>
      </c>
      <c r="F3149" s="9" t="s">
        <v>387</v>
      </c>
      <c r="G3149" t="s">
        <v>3366</v>
      </c>
      <c r="H3149">
        <v>103.3</v>
      </c>
      <c r="I3149">
        <v>10.33</v>
      </c>
      <c r="J3149">
        <v>0</v>
      </c>
      <c r="K3149">
        <v>0</v>
      </c>
      <c r="L3149">
        <v>103.3</v>
      </c>
      <c r="M3149">
        <v>10.33</v>
      </c>
      <c r="O3149" s="79">
        <f>IFERROR(VLOOKUP(D3149,'KAPANAN BLD.'!$C$2:$D$793,2,FALSE),0)</f>
        <v>0</v>
      </c>
      <c r="P3149" s="79">
        <v>0</v>
      </c>
    </row>
    <row r="3150" spans="1:16" x14ac:dyDescent="0.25">
      <c r="A3150" t="s">
        <v>32</v>
      </c>
      <c r="B3150" s="73" t="str">
        <f t="shared" si="75"/>
        <v>SORGUN</v>
      </c>
      <c r="C3150" t="s">
        <v>284</v>
      </c>
      <c r="D3150" s="73" t="str">
        <f t="shared" si="76"/>
        <v>SORGUN/YOZGAT</v>
      </c>
      <c r="E3150" t="s">
        <v>480</v>
      </c>
      <c r="F3150" t="s">
        <v>480</v>
      </c>
      <c r="G3150" t="s">
        <v>3366</v>
      </c>
      <c r="H3150">
        <v>65.3</v>
      </c>
      <c r="I3150">
        <v>6.53</v>
      </c>
      <c r="J3150">
        <v>0</v>
      </c>
      <c r="K3150">
        <v>0</v>
      </c>
      <c r="L3150">
        <v>65.3</v>
      </c>
      <c r="M3150">
        <v>6.53</v>
      </c>
      <c r="O3150" s="79">
        <f>IFERROR(VLOOKUP(D3150,'KAPANAN BLD.'!$C$2:$D$793,2,FALSE),0)</f>
        <v>0</v>
      </c>
      <c r="P3150" s="79">
        <v>0</v>
      </c>
    </row>
    <row r="3151" spans="1:16" x14ac:dyDescent="0.25">
      <c r="A3151" t="s">
        <v>32</v>
      </c>
      <c r="B3151" s="73" t="str">
        <f t="shared" si="75"/>
        <v>SORGUN</v>
      </c>
      <c r="C3151" t="s">
        <v>284</v>
      </c>
      <c r="D3151" s="73" t="str">
        <f t="shared" si="76"/>
        <v>SORGUN/YOZGAT</v>
      </c>
      <c r="E3151" t="s">
        <v>480</v>
      </c>
      <c r="F3151" t="s">
        <v>480</v>
      </c>
      <c r="G3151" t="s">
        <v>3367</v>
      </c>
      <c r="H3151">
        <v>121.1</v>
      </c>
      <c r="I3151">
        <v>12.11</v>
      </c>
      <c r="J3151">
        <v>0</v>
      </c>
      <c r="K3151">
        <v>0</v>
      </c>
      <c r="L3151">
        <v>121.1</v>
      </c>
      <c r="M3151">
        <v>12.11</v>
      </c>
      <c r="O3151" s="79">
        <f>IFERROR(VLOOKUP(D3151,'KAPANAN BLD.'!$C$2:$D$793,2,FALSE),0)</f>
        <v>0</v>
      </c>
      <c r="P3151" s="79">
        <v>0</v>
      </c>
    </row>
    <row r="3152" spans="1:16" x14ac:dyDescent="0.25">
      <c r="A3152" t="s">
        <v>32</v>
      </c>
      <c r="B3152" s="73" t="str">
        <f t="shared" si="75"/>
        <v>SORGUN</v>
      </c>
      <c r="C3152" t="s">
        <v>284</v>
      </c>
      <c r="D3152" s="73" t="str">
        <f t="shared" si="76"/>
        <v>SORGUN/YOZGAT</v>
      </c>
      <c r="E3152" t="s">
        <v>480</v>
      </c>
      <c r="F3152" t="s">
        <v>480</v>
      </c>
      <c r="G3152" t="s">
        <v>3367</v>
      </c>
      <c r="H3152">
        <v>180.4</v>
      </c>
      <c r="I3152">
        <v>18.04</v>
      </c>
      <c r="J3152">
        <v>0</v>
      </c>
      <c r="K3152">
        <v>0</v>
      </c>
      <c r="L3152">
        <v>180.4</v>
      </c>
      <c r="M3152">
        <v>18.04</v>
      </c>
      <c r="O3152" s="79">
        <f>IFERROR(VLOOKUP(D3152,'KAPANAN BLD.'!$C$2:$D$793,2,FALSE),0)</f>
        <v>0</v>
      </c>
      <c r="P3152" s="79">
        <v>0</v>
      </c>
    </row>
    <row r="3153" spans="1:16" x14ac:dyDescent="0.25">
      <c r="A3153" t="s">
        <v>32</v>
      </c>
      <c r="B3153" s="73" t="str">
        <f t="shared" si="75"/>
        <v>SORGUN</v>
      </c>
      <c r="C3153" t="s">
        <v>284</v>
      </c>
      <c r="D3153" s="73" t="str">
        <f t="shared" si="76"/>
        <v>SORGUN/YOZGAT</v>
      </c>
      <c r="E3153" t="s">
        <v>480</v>
      </c>
      <c r="F3153" t="s">
        <v>480</v>
      </c>
      <c r="G3153" t="s">
        <v>3366</v>
      </c>
      <c r="H3153">
        <v>2427.5</v>
      </c>
      <c r="I3153">
        <v>242.75</v>
      </c>
      <c r="J3153">
        <v>0</v>
      </c>
      <c r="K3153">
        <v>0</v>
      </c>
      <c r="L3153">
        <v>2427.5</v>
      </c>
      <c r="M3153">
        <v>242.75</v>
      </c>
      <c r="O3153" s="79">
        <f>IFERROR(VLOOKUP(D3153,'KAPANAN BLD.'!$C$2:$D$793,2,FALSE),0)</f>
        <v>0</v>
      </c>
      <c r="P3153" s="79">
        <v>0</v>
      </c>
    </row>
    <row r="3154" spans="1:16" x14ac:dyDescent="0.25">
      <c r="A3154" t="s">
        <v>32</v>
      </c>
      <c r="B3154" s="73" t="str">
        <f t="shared" si="75"/>
        <v>AKDAĞMADENİ</v>
      </c>
      <c r="C3154" t="s">
        <v>284</v>
      </c>
      <c r="D3154" s="73" t="str">
        <f t="shared" si="76"/>
        <v>AKDAĞMADENİ/YOZGAT</v>
      </c>
      <c r="E3154" s="9" t="s">
        <v>2181</v>
      </c>
      <c r="F3154" s="9" t="s">
        <v>2181</v>
      </c>
      <c r="G3154" t="s">
        <v>3366</v>
      </c>
      <c r="H3154">
        <v>142.1</v>
      </c>
      <c r="I3154">
        <v>14.21</v>
      </c>
      <c r="J3154">
        <v>0</v>
      </c>
      <c r="K3154">
        <v>0</v>
      </c>
      <c r="L3154">
        <v>142.1</v>
      </c>
      <c r="M3154">
        <v>14.21</v>
      </c>
      <c r="O3154" s="79">
        <f>IFERROR(VLOOKUP(D3154,'KAPANAN BLD.'!$C$2:$D$793,2,FALSE),0)</f>
        <v>0</v>
      </c>
      <c r="P3154" s="79">
        <v>0</v>
      </c>
    </row>
    <row r="3155" spans="1:16" x14ac:dyDescent="0.25">
      <c r="A3155" t="s">
        <v>32</v>
      </c>
      <c r="B3155" s="73" t="str">
        <f t="shared" si="75"/>
        <v>AKDAĞMADENİ</v>
      </c>
      <c r="C3155" t="s">
        <v>284</v>
      </c>
      <c r="D3155" s="73" t="str">
        <f t="shared" si="76"/>
        <v>AKDAĞMADENİ/YOZGAT</v>
      </c>
      <c r="E3155" s="9" t="s">
        <v>2181</v>
      </c>
      <c r="F3155" s="9" t="s">
        <v>2181</v>
      </c>
      <c r="G3155" t="s">
        <v>3367</v>
      </c>
      <c r="H3155">
        <v>402.8</v>
      </c>
      <c r="I3155">
        <v>40.28</v>
      </c>
      <c r="J3155">
        <v>0</v>
      </c>
      <c r="K3155">
        <v>0</v>
      </c>
      <c r="L3155">
        <v>402.8</v>
      </c>
      <c r="M3155">
        <v>40.28</v>
      </c>
      <c r="O3155" s="79">
        <f>IFERROR(VLOOKUP(D3155,'KAPANAN BLD.'!$C$2:$D$793,2,FALSE),0)</f>
        <v>0</v>
      </c>
      <c r="P3155" s="79">
        <v>0</v>
      </c>
    </row>
    <row r="3156" spans="1:16" x14ac:dyDescent="0.25">
      <c r="A3156" t="s">
        <v>32</v>
      </c>
      <c r="B3156" s="73" t="str">
        <f t="shared" si="75"/>
        <v>YERKÖY</v>
      </c>
      <c r="C3156" t="s">
        <v>284</v>
      </c>
      <c r="D3156" s="73" t="str">
        <f t="shared" si="76"/>
        <v>YERKÖY/YOZGAT</v>
      </c>
      <c r="E3156" t="s">
        <v>692</v>
      </c>
      <c r="F3156" t="s">
        <v>692</v>
      </c>
      <c r="G3156" t="s">
        <v>3367</v>
      </c>
      <c r="H3156">
        <v>98.2</v>
      </c>
      <c r="I3156">
        <v>9.82</v>
      </c>
      <c r="J3156">
        <v>0</v>
      </c>
      <c r="K3156">
        <v>0</v>
      </c>
      <c r="L3156">
        <v>98.2</v>
      </c>
      <c r="M3156">
        <v>9.82</v>
      </c>
      <c r="O3156" s="79">
        <f>IFERROR(VLOOKUP(D3156,'KAPANAN BLD.'!$C$2:$D$793,2,FALSE),0)</f>
        <v>0</v>
      </c>
      <c r="P3156" s="79">
        <v>0</v>
      </c>
    </row>
    <row r="3157" spans="1:16" x14ac:dyDescent="0.25">
      <c r="A3157" t="s">
        <v>32</v>
      </c>
      <c r="B3157" s="73" t="str">
        <f t="shared" si="75"/>
        <v>YERKÖY</v>
      </c>
      <c r="C3157" t="s">
        <v>284</v>
      </c>
      <c r="D3157" s="73" t="str">
        <f t="shared" si="76"/>
        <v>YERKÖY/YOZGAT</v>
      </c>
      <c r="E3157" t="s">
        <v>692</v>
      </c>
      <c r="F3157" t="s">
        <v>692</v>
      </c>
      <c r="G3157" t="s">
        <v>3366</v>
      </c>
      <c r="H3157">
        <v>42.5</v>
      </c>
      <c r="I3157">
        <v>4.25</v>
      </c>
      <c r="J3157">
        <v>0</v>
      </c>
      <c r="K3157">
        <v>0</v>
      </c>
      <c r="L3157">
        <v>42.5</v>
      </c>
      <c r="M3157">
        <v>4.25</v>
      </c>
      <c r="O3157" s="79">
        <f>IFERROR(VLOOKUP(D3157,'KAPANAN BLD.'!$C$2:$D$793,2,FALSE),0)</f>
        <v>0</v>
      </c>
      <c r="P3157" s="79">
        <v>0</v>
      </c>
    </row>
    <row r="3158" spans="1:16" x14ac:dyDescent="0.25">
      <c r="A3158" t="s">
        <v>32</v>
      </c>
      <c r="B3158" s="73" t="str">
        <f t="shared" ref="B3158:B3215" si="77">F3158</f>
        <v>YERKÖY</v>
      </c>
      <c r="C3158" t="s">
        <v>284</v>
      </c>
      <c r="D3158" s="73" t="str">
        <f t="shared" si="76"/>
        <v>YERKÖY/YOZGAT</v>
      </c>
      <c r="E3158" t="s">
        <v>692</v>
      </c>
      <c r="F3158" t="s">
        <v>692</v>
      </c>
      <c r="G3158" t="s">
        <v>3367</v>
      </c>
      <c r="H3158">
        <v>228</v>
      </c>
      <c r="I3158">
        <v>22.8</v>
      </c>
      <c r="J3158">
        <v>0</v>
      </c>
      <c r="K3158">
        <v>0</v>
      </c>
      <c r="L3158">
        <v>228</v>
      </c>
      <c r="M3158">
        <v>22.8</v>
      </c>
      <c r="O3158" s="79">
        <f>IFERROR(VLOOKUP(D3158,'KAPANAN BLD.'!$C$2:$D$793,2,FALSE),0)</f>
        <v>0</v>
      </c>
      <c r="P3158" s="79">
        <v>0</v>
      </c>
    </row>
    <row r="3159" spans="1:16" x14ac:dyDescent="0.25">
      <c r="A3159" t="s">
        <v>32</v>
      </c>
      <c r="B3159" s="73" t="str">
        <f t="shared" si="77"/>
        <v>YERKÖY</v>
      </c>
      <c r="C3159" t="s">
        <v>284</v>
      </c>
      <c r="D3159" s="73" t="str">
        <f t="shared" si="76"/>
        <v>YERKÖY/YOZGAT</v>
      </c>
      <c r="E3159" t="s">
        <v>692</v>
      </c>
      <c r="F3159" t="s">
        <v>692</v>
      </c>
      <c r="G3159" t="s">
        <v>3366</v>
      </c>
      <c r="H3159">
        <v>57.6</v>
      </c>
      <c r="I3159">
        <v>5.76</v>
      </c>
      <c r="J3159">
        <v>0</v>
      </c>
      <c r="K3159">
        <v>0</v>
      </c>
      <c r="L3159">
        <v>57.6</v>
      </c>
      <c r="M3159">
        <v>5.76</v>
      </c>
      <c r="O3159" s="79">
        <f>IFERROR(VLOOKUP(D3159,'KAPANAN BLD.'!$C$2:$D$793,2,FALSE),0)</f>
        <v>0</v>
      </c>
      <c r="P3159" s="79">
        <v>0</v>
      </c>
    </row>
    <row r="3160" spans="1:16" x14ac:dyDescent="0.25">
      <c r="A3160" t="s">
        <v>32</v>
      </c>
      <c r="B3160" s="73" t="str">
        <f t="shared" si="77"/>
        <v>ALAPLI</v>
      </c>
      <c r="C3160" t="s">
        <v>149</v>
      </c>
      <c r="D3160" s="73" t="str">
        <f t="shared" si="76"/>
        <v>ALAPLI/ZONGULDAK</v>
      </c>
      <c r="E3160" t="s">
        <v>693</v>
      </c>
      <c r="F3160" t="s">
        <v>693</v>
      </c>
      <c r="G3160" t="s">
        <v>3367</v>
      </c>
      <c r="H3160">
        <v>822</v>
      </c>
      <c r="I3160">
        <v>82.2</v>
      </c>
      <c r="J3160">
        <v>3.1</v>
      </c>
      <c r="K3160">
        <v>0.31</v>
      </c>
      <c r="L3160">
        <v>818.9</v>
      </c>
      <c r="M3160">
        <v>81.89</v>
      </c>
      <c r="O3160" s="79">
        <f>IFERROR(VLOOKUP(D3160,'KAPANAN BLD.'!$C$2:$D$793,2,FALSE),0)</f>
        <v>0</v>
      </c>
      <c r="P3160" s="79">
        <v>0</v>
      </c>
    </row>
    <row r="3161" spans="1:16" x14ac:dyDescent="0.25">
      <c r="A3161" t="s">
        <v>32</v>
      </c>
      <c r="B3161" s="73" t="str">
        <f t="shared" si="77"/>
        <v>ALAPLI</v>
      </c>
      <c r="C3161" t="s">
        <v>149</v>
      </c>
      <c r="D3161" s="73" t="str">
        <f t="shared" si="76"/>
        <v>ALAPLI/ZONGULDAK</v>
      </c>
      <c r="E3161" t="s">
        <v>693</v>
      </c>
      <c r="F3161" t="s">
        <v>693</v>
      </c>
      <c r="G3161" t="s">
        <v>3366</v>
      </c>
      <c r="H3161">
        <v>530.5</v>
      </c>
      <c r="I3161">
        <v>53.05</v>
      </c>
      <c r="J3161">
        <v>0</v>
      </c>
      <c r="K3161">
        <v>0</v>
      </c>
      <c r="L3161">
        <v>530.5</v>
      </c>
      <c r="M3161">
        <v>53.05</v>
      </c>
      <c r="O3161" s="79">
        <f>IFERROR(VLOOKUP(D3161,'KAPANAN BLD.'!$C$2:$D$793,2,FALSE),0)</f>
        <v>0</v>
      </c>
      <c r="P3161" s="79">
        <v>0</v>
      </c>
    </row>
    <row r="3162" spans="1:16" x14ac:dyDescent="0.25">
      <c r="A3162" t="s">
        <v>32</v>
      </c>
      <c r="B3162" s="73" t="str">
        <f t="shared" si="77"/>
        <v>GÖKÇEBEY</v>
      </c>
      <c r="C3162" t="s">
        <v>149</v>
      </c>
      <c r="D3162" s="73" t="str">
        <f t="shared" si="76"/>
        <v>GÖKÇEBEY/ZONGULDAK</v>
      </c>
      <c r="E3162" s="9" t="s">
        <v>694</v>
      </c>
      <c r="F3162" s="9" t="s">
        <v>694</v>
      </c>
      <c r="G3162" t="s">
        <v>3366</v>
      </c>
      <c r="H3162">
        <v>632.79999999999995</v>
      </c>
      <c r="I3162">
        <v>63.28</v>
      </c>
      <c r="J3162">
        <v>0</v>
      </c>
      <c r="K3162">
        <v>0</v>
      </c>
      <c r="L3162">
        <v>632.79999999999995</v>
      </c>
      <c r="M3162">
        <v>63.28</v>
      </c>
      <c r="O3162" s="79">
        <f>IFERROR(VLOOKUP(D3162,'KAPANAN BLD.'!$C$2:$D$793,2,FALSE),0)</f>
        <v>0</v>
      </c>
      <c r="P3162" s="79">
        <v>0</v>
      </c>
    </row>
    <row r="3163" spans="1:16" x14ac:dyDescent="0.25">
      <c r="A3163" t="s">
        <v>32</v>
      </c>
      <c r="B3163" s="73" t="str">
        <f t="shared" si="77"/>
        <v>GÖKÇEBEY</v>
      </c>
      <c r="C3163" t="s">
        <v>149</v>
      </c>
      <c r="D3163" s="73" t="str">
        <f t="shared" si="76"/>
        <v>GÖKÇEBEY/ZONGULDAK</v>
      </c>
      <c r="E3163" s="9" t="s">
        <v>694</v>
      </c>
      <c r="F3163" s="9" t="s">
        <v>694</v>
      </c>
      <c r="G3163" t="s">
        <v>3367</v>
      </c>
      <c r="H3163">
        <v>47</v>
      </c>
      <c r="I3163">
        <v>4.7</v>
      </c>
      <c r="J3163">
        <v>0</v>
      </c>
      <c r="K3163">
        <v>0</v>
      </c>
      <c r="L3163">
        <v>47</v>
      </c>
      <c r="M3163">
        <v>4.7</v>
      </c>
      <c r="O3163" s="79">
        <f>IFERROR(VLOOKUP(D3163,'KAPANAN BLD.'!$C$2:$D$793,2,FALSE),0)</f>
        <v>0</v>
      </c>
      <c r="P3163" s="79">
        <v>0</v>
      </c>
    </row>
    <row r="3164" spans="1:16" x14ac:dyDescent="0.25">
      <c r="A3164" t="s">
        <v>32</v>
      </c>
      <c r="B3164" s="73" t="str">
        <f t="shared" si="77"/>
        <v>MERKEZ</v>
      </c>
      <c r="C3164" t="s">
        <v>149</v>
      </c>
      <c r="D3164" s="73" t="str">
        <f t="shared" si="76"/>
        <v>MERKEZ/ZONGULDAK</v>
      </c>
      <c r="E3164" s="9" t="s">
        <v>34</v>
      </c>
      <c r="F3164" s="9" t="s">
        <v>34</v>
      </c>
      <c r="G3164" t="s">
        <v>3366</v>
      </c>
      <c r="H3164">
        <v>2549.9</v>
      </c>
      <c r="I3164">
        <v>254.99</v>
      </c>
      <c r="J3164">
        <v>0</v>
      </c>
      <c r="K3164">
        <v>0</v>
      </c>
      <c r="L3164">
        <v>2549.9</v>
      </c>
      <c r="M3164">
        <v>254.99</v>
      </c>
      <c r="O3164" s="79">
        <f>IFERROR(VLOOKUP(D3164,'KAPANAN BLD.'!$C$2:$D$793,2,FALSE),0)</f>
        <v>0</v>
      </c>
      <c r="P3164" s="79">
        <v>0</v>
      </c>
    </row>
    <row r="3165" spans="1:16" x14ac:dyDescent="0.25">
      <c r="A3165" t="s">
        <v>32</v>
      </c>
      <c r="B3165" s="73" t="str">
        <f t="shared" si="77"/>
        <v>MERKEZ</v>
      </c>
      <c r="C3165" t="s">
        <v>149</v>
      </c>
      <c r="D3165" s="73" t="str">
        <f t="shared" si="76"/>
        <v>MERKEZ/ZONGULDAK</v>
      </c>
      <c r="E3165" s="9" t="s">
        <v>34</v>
      </c>
      <c r="F3165" s="9" t="s">
        <v>34</v>
      </c>
      <c r="G3165" t="s">
        <v>3367</v>
      </c>
      <c r="H3165">
        <v>404.1</v>
      </c>
      <c r="I3165">
        <v>40.409999999999997</v>
      </c>
      <c r="J3165">
        <v>0</v>
      </c>
      <c r="K3165">
        <v>0</v>
      </c>
      <c r="L3165">
        <v>404.1</v>
      </c>
      <c r="M3165">
        <v>40.409999999999997</v>
      </c>
      <c r="O3165" s="79">
        <f>IFERROR(VLOOKUP(D3165,'KAPANAN BLD.'!$C$2:$D$793,2,FALSE),0)</f>
        <v>0</v>
      </c>
      <c r="P3165" s="79">
        <v>0</v>
      </c>
    </row>
    <row r="3166" spans="1:16" x14ac:dyDescent="0.25">
      <c r="A3166" t="s">
        <v>32</v>
      </c>
      <c r="B3166" s="73" t="str">
        <f t="shared" si="77"/>
        <v>KİLİMLİ</v>
      </c>
      <c r="C3166" t="s">
        <v>149</v>
      </c>
      <c r="D3166" s="73" t="str">
        <f t="shared" si="76"/>
        <v>KİLİMLİ/ZONGULDAK</v>
      </c>
      <c r="E3166" s="9" t="s">
        <v>2253</v>
      </c>
      <c r="F3166" s="9" t="s">
        <v>2253</v>
      </c>
      <c r="G3166" t="s">
        <v>3366</v>
      </c>
      <c r="H3166">
        <v>17.8</v>
      </c>
      <c r="I3166">
        <v>1.78</v>
      </c>
      <c r="J3166">
        <v>0</v>
      </c>
      <c r="K3166">
        <v>0</v>
      </c>
      <c r="L3166">
        <v>17.8</v>
      </c>
      <c r="M3166">
        <v>1.78</v>
      </c>
      <c r="O3166" s="79">
        <f>IFERROR(VLOOKUP(D3166,'KAPANAN BLD.'!$C$2:$D$793,2,FALSE),0)</f>
        <v>0</v>
      </c>
      <c r="P3166" s="79">
        <v>0</v>
      </c>
    </row>
    <row r="3167" spans="1:16" x14ac:dyDescent="0.25">
      <c r="A3167" t="s">
        <v>32</v>
      </c>
      <c r="B3167" s="73" t="str">
        <f t="shared" si="77"/>
        <v>KİLİMLİ</v>
      </c>
      <c r="C3167" t="s">
        <v>149</v>
      </c>
      <c r="D3167" s="73" t="str">
        <f t="shared" si="76"/>
        <v>KİLİMLİ/ZONGULDAK</v>
      </c>
      <c r="E3167" s="9" t="s">
        <v>2253</v>
      </c>
      <c r="F3167" s="9" t="s">
        <v>2253</v>
      </c>
      <c r="G3167" t="s">
        <v>3367</v>
      </c>
      <c r="H3167">
        <v>101.8</v>
      </c>
      <c r="I3167">
        <v>10.18</v>
      </c>
      <c r="J3167">
        <v>0</v>
      </c>
      <c r="K3167">
        <v>0</v>
      </c>
      <c r="L3167">
        <v>101.8</v>
      </c>
      <c r="M3167">
        <v>10.18</v>
      </c>
      <c r="O3167" s="79">
        <f>IFERROR(VLOOKUP(D3167,'KAPANAN BLD.'!$C$2:$D$793,2,FALSE),0)</f>
        <v>0</v>
      </c>
      <c r="P3167" s="79">
        <v>0</v>
      </c>
    </row>
    <row r="3168" spans="1:16" x14ac:dyDescent="0.25">
      <c r="A3168" t="s">
        <v>32</v>
      </c>
      <c r="B3168" s="73" t="str">
        <f t="shared" si="77"/>
        <v>ÇAYCUMA</v>
      </c>
      <c r="C3168" t="s">
        <v>149</v>
      </c>
      <c r="D3168" s="73" t="str">
        <f t="shared" si="76"/>
        <v>ÇAYCUMA/ZONGULDAK</v>
      </c>
      <c r="E3168" t="s">
        <v>285</v>
      </c>
      <c r="F3168" t="s">
        <v>285</v>
      </c>
      <c r="G3168" t="s">
        <v>3367</v>
      </c>
      <c r="H3168">
        <v>32.1</v>
      </c>
      <c r="I3168">
        <v>3.21</v>
      </c>
      <c r="J3168">
        <v>0</v>
      </c>
      <c r="K3168">
        <v>0</v>
      </c>
      <c r="L3168">
        <v>32.1</v>
      </c>
      <c r="M3168">
        <v>3.21</v>
      </c>
      <c r="O3168" s="79">
        <f>IFERROR(VLOOKUP(D3168,'KAPANAN BLD.'!$C$2:$D$793,2,FALSE),0)</f>
        <v>0</v>
      </c>
      <c r="P3168" s="79">
        <v>0</v>
      </c>
    </row>
    <row r="3169" spans="1:16" x14ac:dyDescent="0.25">
      <c r="A3169" t="s">
        <v>32</v>
      </c>
      <c r="B3169" s="73" t="str">
        <f t="shared" si="77"/>
        <v>DEVREK</v>
      </c>
      <c r="C3169" t="s">
        <v>149</v>
      </c>
      <c r="D3169" s="73" t="str">
        <f t="shared" si="76"/>
        <v>DEVREK/ZONGULDAK</v>
      </c>
      <c r="E3169" s="9" t="s">
        <v>255</v>
      </c>
      <c r="F3169" s="9" t="s">
        <v>255</v>
      </c>
      <c r="G3169" t="s">
        <v>3367</v>
      </c>
      <c r="H3169">
        <v>440.6</v>
      </c>
      <c r="I3169">
        <v>44.06</v>
      </c>
      <c r="J3169">
        <v>5.4</v>
      </c>
      <c r="K3169">
        <v>0.54</v>
      </c>
      <c r="L3169">
        <v>435.2</v>
      </c>
      <c r="M3169">
        <v>43.52</v>
      </c>
      <c r="O3169" s="79">
        <f>IFERROR(VLOOKUP(D3169,'KAPANAN BLD.'!$C$2:$D$793,2,FALSE),0)</f>
        <v>0</v>
      </c>
      <c r="P3169" s="79">
        <v>0</v>
      </c>
    </row>
    <row r="3170" spans="1:16" x14ac:dyDescent="0.25">
      <c r="A3170" t="s">
        <v>32</v>
      </c>
      <c r="B3170" s="73" t="str">
        <f t="shared" si="77"/>
        <v>DEVREK</v>
      </c>
      <c r="C3170" t="s">
        <v>149</v>
      </c>
      <c r="D3170" s="73" t="str">
        <f t="shared" si="76"/>
        <v>DEVREK/ZONGULDAK</v>
      </c>
      <c r="E3170" s="9" t="s">
        <v>255</v>
      </c>
      <c r="F3170" s="9" t="s">
        <v>255</v>
      </c>
      <c r="G3170" t="s">
        <v>3366</v>
      </c>
      <c r="H3170">
        <v>324.3</v>
      </c>
      <c r="I3170">
        <v>32.43</v>
      </c>
      <c r="J3170">
        <v>103.3</v>
      </c>
      <c r="K3170">
        <v>10.33</v>
      </c>
      <c r="L3170">
        <v>221</v>
      </c>
      <c r="M3170">
        <v>22.1</v>
      </c>
      <c r="O3170" s="79">
        <f>IFERROR(VLOOKUP(D3170,'KAPANAN BLD.'!$C$2:$D$793,2,FALSE),0)</f>
        <v>0</v>
      </c>
      <c r="P3170" s="79">
        <v>0</v>
      </c>
    </row>
    <row r="3171" spans="1:16" x14ac:dyDescent="0.25">
      <c r="A3171" t="s">
        <v>32</v>
      </c>
      <c r="B3171" s="73" t="str">
        <f t="shared" si="77"/>
        <v>DEVREK</v>
      </c>
      <c r="C3171" t="s">
        <v>149</v>
      </c>
      <c r="D3171" s="73" t="str">
        <f t="shared" si="76"/>
        <v>DEVREK/ZONGULDAK</v>
      </c>
      <c r="E3171" t="s">
        <v>255</v>
      </c>
      <c r="F3171" t="s">
        <v>255</v>
      </c>
      <c r="G3171" t="s">
        <v>3367</v>
      </c>
      <c r="H3171">
        <v>57.6</v>
      </c>
      <c r="I3171">
        <v>5.76</v>
      </c>
      <c r="J3171">
        <v>0</v>
      </c>
      <c r="K3171">
        <v>0</v>
      </c>
      <c r="L3171">
        <v>57.6</v>
      </c>
      <c r="M3171">
        <v>5.76</v>
      </c>
      <c r="O3171" s="79">
        <f>IFERROR(VLOOKUP(D3171,'KAPANAN BLD.'!$C$2:$D$793,2,FALSE),0)</f>
        <v>0</v>
      </c>
      <c r="P3171" s="79">
        <v>0</v>
      </c>
    </row>
    <row r="3172" spans="1:16" x14ac:dyDescent="0.25">
      <c r="A3172" t="s">
        <v>32</v>
      </c>
      <c r="B3172" s="73" t="str">
        <f t="shared" si="77"/>
        <v>DEVREK</v>
      </c>
      <c r="C3172" t="s">
        <v>149</v>
      </c>
      <c r="D3172" s="73" t="str">
        <f t="shared" si="76"/>
        <v>DEVREK/ZONGULDAK</v>
      </c>
      <c r="E3172" t="s">
        <v>255</v>
      </c>
      <c r="F3172" t="s">
        <v>255</v>
      </c>
      <c r="G3172" t="s">
        <v>3366</v>
      </c>
      <c r="H3172">
        <v>130</v>
      </c>
      <c r="I3172">
        <v>13</v>
      </c>
      <c r="J3172">
        <v>0</v>
      </c>
      <c r="K3172">
        <v>0</v>
      </c>
      <c r="L3172">
        <v>130</v>
      </c>
      <c r="M3172">
        <v>13</v>
      </c>
      <c r="O3172" s="79">
        <f>IFERROR(VLOOKUP(D3172,'KAPANAN BLD.'!$C$2:$D$793,2,FALSE),0)</f>
        <v>0</v>
      </c>
      <c r="P3172" s="79">
        <v>0</v>
      </c>
    </row>
    <row r="3173" spans="1:16" x14ac:dyDescent="0.25">
      <c r="A3173" t="s">
        <v>32</v>
      </c>
      <c r="B3173" s="73" t="str">
        <f t="shared" si="77"/>
        <v>MERKEZ</v>
      </c>
      <c r="C3173" t="s">
        <v>149</v>
      </c>
      <c r="D3173" s="73" t="str">
        <f t="shared" si="76"/>
        <v>MERKEZ/ZONGULDAK</v>
      </c>
      <c r="E3173" s="9" t="s">
        <v>34</v>
      </c>
      <c r="F3173" s="9" t="s">
        <v>34</v>
      </c>
      <c r="G3173" t="s">
        <v>3366</v>
      </c>
      <c r="H3173">
        <v>597.52</v>
      </c>
      <c r="I3173">
        <v>59.75</v>
      </c>
      <c r="J3173">
        <v>0</v>
      </c>
      <c r="K3173">
        <v>0</v>
      </c>
      <c r="L3173">
        <v>597.52</v>
      </c>
      <c r="M3173">
        <v>59.75</v>
      </c>
      <c r="O3173" s="79">
        <f>IFERROR(VLOOKUP(D3173,'KAPANAN BLD.'!$C$2:$D$793,2,FALSE),0)</f>
        <v>0</v>
      </c>
      <c r="P3173" s="79">
        <v>0</v>
      </c>
    </row>
    <row r="3174" spans="1:16" x14ac:dyDescent="0.25">
      <c r="A3174" t="s">
        <v>32</v>
      </c>
      <c r="B3174" s="73" t="str">
        <f t="shared" si="77"/>
        <v>MERKEZ</v>
      </c>
      <c r="C3174" t="s">
        <v>149</v>
      </c>
      <c r="D3174" s="73" t="str">
        <f t="shared" si="76"/>
        <v>MERKEZ/ZONGULDAK</v>
      </c>
      <c r="E3174" s="9" t="s">
        <v>34</v>
      </c>
      <c r="F3174" s="9" t="s">
        <v>34</v>
      </c>
      <c r="G3174" t="s">
        <v>3367</v>
      </c>
      <c r="H3174">
        <v>114.13</v>
      </c>
      <c r="I3174">
        <v>11.41</v>
      </c>
      <c r="J3174">
        <v>0</v>
      </c>
      <c r="K3174">
        <v>0</v>
      </c>
      <c r="L3174">
        <v>114.13</v>
      </c>
      <c r="M3174">
        <v>11.41</v>
      </c>
      <c r="O3174" s="79">
        <f>IFERROR(VLOOKUP(D3174,'KAPANAN BLD.'!$C$2:$D$793,2,FALSE),0)</f>
        <v>0</v>
      </c>
      <c r="P3174" s="79">
        <v>0</v>
      </c>
    </row>
    <row r="3175" spans="1:16" x14ac:dyDescent="0.25">
      <c r="A3175" t="s">
        <v>32</v>
      </c>
      <c r="B3175" s="73" t="str">
        <f t="shared" si="77"/>
        <v>EREĞLİ</v>
      </c>
      <c r="C3175" t="s">
        <v>149</v>
      </c>
      <c r="D3175" s="73" t="str">
        <f t="shared" si="76"/>
        <v>EREĞLİ/ZONGULDAK</v>
      </c>
      <c r="E3175" t="s">
        <v>119</v>
      </c>
      <c r="F3175" t="s">
        <v>119</v>
      </c>
      <c r="G3175" t="s">
        <v>3367</v>
      </c>
      <c r="H3175">
        <v>2521.92</v>
      </c>
      <c r="I3175">
        <v>252.19</v>
      </c>
      <c r="J3175">
        <v>111.6</v>
      </c>
      <c r="K3175">
        <v>11.16</v>
      </c>
      <c r="L3175">
        <v>2410.3200000000002</v>
      </c>
      <c r="M3175">
        <v>241.03</v>
      </c>
      <c r="O3175" s="79">
        <f>IFERROR(VLOOKUP(D3175,'KAPANAN BLD.'!$C$2:$D$793,2,FALSE),0)</f>
        <v>0</v>
      </c>
      <c r="P3175" s="79">
        <v>0</v>
      </c>
    </row>
    <row r="3176" spans="1:16" x14ac:dyDescent="0.25">
      <c r="A3176" t="s">
        <v>32</v>
      </c>
      <c r="B3176" s="73" t="str">
        <f t="shared" si="77"/>
        <v>EREĞLİ</v>
      </c>
      <c r="C3176" t="s">
        <v>149</v>
      </c>
      <c r="D3176" s="73" t="str">
        <f t="shared" si="76"/>
        <v>EREĞLİ/ZONGULDAK</v>
      </c>
      <c r="E3176" t="s">
        <v>119</v>
      </c>
      <c r="F3176" t="s">
        <v>119</v>
      </c>
      <c r="G3176" t="s">
        <v>3366</v>
      </c>
      <c r="H3176">
        <v>3208.72</v>
      </c>
      <c r="I3176">
        <v>320.87</v>
      </c>
      <c r="J3176">
        <v>471.3</v>
      </c>
      <c r="K3176">
        <v>47.13</v>
      </c>
      <c r="L3176">
        <v>2737.42</v>
      </c>
      <c r="M3176">
        <v>273.74</v>
      </c>
      <c r="O3176" s="79">
        <f>IFERROR(VLOOKUP(D3176,'KAPANAN BLD.'!$C$2:$D$793,2,FALSE),0)</f>
        <v>0</v>
      </c>
      <c r="P3176" s="79">
        <v>0</v>
      </c>
    </row>
    <row r="3177" spans="1:16" x14ac:dyDescent="0.25">
      <c r="A3177" t="s">
        <v>32</v>
      </c>
      <c r="B3177" s="73" t="str">
        <f t="shared" si="77"/>
        <v>EREĞLİ</v>
      </c>
      <c r="C3177" t="s">
        <v>149</v>
      </c>
      <c r="D3177" s="73" t="str">
        <f t="shared" si="76"/>
        <v>EREĞLİ/ZONGULDAK</v>
      </c>
      <c r="E3177" t="s">
        <v>119</v>
      </c>
      <c r="F3177" t="s">
        <v>119</v>
      </c>
      <c r="G3177" t="s">
        <v>3367</v>
      </c>
      <c r="H3177">
        <v>159.19</v>
      </c>
      <c r="I3177">
        <v>15.92</v>
      </c>
      <c r="J3177">
        <v>2.2999999999999998</v>
      </c>
      <c r="K3177">
        <v>0.23</v>
      </c>
      <c r="L3177">
        <v>156.88999999999999</v>
      </c>
      <c r="M3177">
        <v>15.69</v>
      </c>
      <c r="O3177" s="79">
        <f>IFERROR(VLOOKUP(D3177,'KAPANAN BLD.'!$C$2:$D$793,2,FALSE),0)</f>
        <v>0</v>
      </c>
      <c r="P3177" s="79">
        <v>0</v>
      </c>
    </row>
    <row r="3178" spans="1:16" x14ac:dyDescent="0.25">
      <c r="A3178" t="s">
        <v>32</v>
      </c>
      <c r="B3178" s="73" t="str">
        <f t="shared" si="77"/>
        <v>EREĞLİ</v>
      </c>
      <c r="C3178" t="s">
        <v>149</v>
      </c>
      <c r="D3178" s="73" t="str">
        <f t="shared" si="76"/>
        <v>EREĞLİ/ZONGULDAK</v>
      </c>
      <c r="E3178" t="s">
        <v>119</v>
      </c>
      <c r="F3178" t="s">
        <v>119</v>
      </c>
      <c r="G3178" t="s">
        <v>3366</v>
      </c>
      <c r="H3178">
        <v>1436.75</v>
      </c>
      <c r="I3178">
        <v>143.66999999999999</v>
      </c>
      <c r="J3178">
        <v>1070.8399999999999</v>
      </c>
      <c r="K3178">
        <v>107.08</v>
      </c>
      <c r="L3178">
        <v>365.91</v>
      </c>
      <c r="M3178">
        <v>36.590000000000003</v>
      </c>
      <c r="O3178" s="79">
        <f>IFERROR(VLOOKUP(D3178,'KAPANAN BLD.'!$C$2:$D$793,2,FALSE),0)</f>
        <v>0</v>
      </c>
      <c r="P3178" s="79">
        <v>0</v>
      </c>
    </row>
    <row r="3179" spans="1:16" x14ac:dyDescent="0.25">
      <c r="A3179" t="s">
        <v>32</v>
      </c>
      <c r="B3179" s="73" t="str">
        <f t="shared" si="77"/>
        <v>EREĞLİ</v>
      </c>
      <c r="C3179" t="s">
        <v>149</v>
      </c>
      <c r="D3179" s="73" t="str">
        <f t="shared" si="76"/>
        <v>EREĞLİ/ZONGULDAK</v>
      </c>
      <c r="E3179" t="s">
        <v>119</v>
      </c>
      <c r="F3179" t="s">
        <v>119</v>
      </c>
      <c r="G3179" t="s">
        <v>3367</v>
      </c>
      <c r="H3179">
        <v>289.39999999999998</v>
      </c>
      <c r="I3179">
        <v>28.94</v>
      </c>
      <c r="J3179">
        <v>0</v>
      </c>
      <c r="K3179">
        <v>0</v>
      </c>
      <c r="L3179">
        <v>289.39999999999998</v>
      </c>
      <c r="M3179">
        <v>28.94</v>
      </c>
      <c r="O3179" s="79">
        <f>IFERROR(VLOOKUP(D3179,'KAPANAN BLD.'!$C$2:$D$793,2,FALSE),0)</f>
        <v>0</v>
      </c>
      <c r="P3179" s="79">
        <v>0</v>
      </c>
    </row>
    <row r="3180" spans="1:16" x14ac:dyDescent="0.25">
      <c r="A3180" t="s">
        <v>32</v>
      </c>
      <c r="B3180" s="73" t="str">
        <f t="shared" si="77"/>
        <v>EREĞLİ</v>
      </c>
      <c r="C3180" t="s">
        <v>149</v>
      </c>
      <c r="D3180" s="73" t="str">
        <f t="shared" si="76"/>
        <v>EREĞLİ/ZONGULDAK</v>
      </c>
      <c r="E3180" t="s">
        <v>119</v>
      </c>
      <c r="F3180" t="s">
        <v>119</v>
      </c>
      <c r="G3180" t="s">
        <v>3366</v>
      </c>
      <c r="H3180">
        <v>370</v>
      </c>
      <c r="I3180">
        <v>37</v>
      </c>
      <c r="J3180">
        <v>0</v>
      </c>
      <c r="K3180">
        <v>0</v>
      </c>
      <c r="L3180">
        <v>370</v>
      </c>
      <c r="M3180">
        <v>37</v>
      </c>
      <c r="O3180" s="79">
        <f>IFERROR(VLOOKUP(D3180,'KAPANAN BLD.'!$C$2:$D$793,2,FALSE),0)</f>
        <v>0</v>
      </c>
      <c r="P3180" s="79">
        <v>0</v>
      </c>
    </row>
    <row r="3181" spans="1:16" x14ac:dyDescent="0.25">
      <c r="A3181" t="s">
        <v>32</v>
      </c>
      <c r="B3181" s="73" t="str">
        <f t="shared" si="77"/>
        <v>EREĞLİ</v>
      </c>
      <c r="C3181" t="s">
        <v>149</v>
      </c>
      <c r="D3181" s="73" t="str">
        <f t="shared" si="76"/>
        <v>EREĞLİ/ZONGULDAK</v>
      </c>
      <c r="E3181" t="s">
        <v>119</v>
      </c>
      <c r="F3181" t="s">
        <v>119</v>
      </c>
      <c r="G3181" t="s">
        <v>3367</v>
      </c>
      <c r="H3181">
        <v>2543</v>
      </c>
      <c r="I3181">
        <v>254.3</v>
      </c>
      <c r="J3181">
        <v>88</v>
      </c>
      <c r="K3181">
        <v>8.8000000000000007</v>
      </c>
      <c r="L3181">
        <v>2455</v>
      </c>
      <c r="M3181">
        <v>245.5</v>
      </c>
      <c r="O3181" s="79">
        <f>IFERROR(VLOOKUP(D3181,'KAPANAN BLD.'!$C$2:$D$793,2,FALSE),0)</f>
        <v>0</v>
      </c>
      <c r="P3181" s="79">
        <v>0</v>
      </c>
    </row>
    <row r="3182" spans="1:16" x14ac:dyDescent="0.25">
      <c r="A3182" t="s">
        <v>32</v>
      </c>
      <c r="B3182" s="73" t="str">
        <f t="shared" si="77"/>
        <v>EREĞLİ</v>
      </c>
      <c r="C3182" t="s">
        <v>149</v>
      </c>
      <c r="D3182" s="73" t="str">
        <f t="shared" si="76"/>
        <v>EREĞLİ/ZONGULDAK</v>
      </c>
      <c r="E3182" t="s">
        <v>119</v>
      </c>
      <c r="F3182" t="s">
        <v>119</v>
      </c>
      <c r="G3182" t="s">
        <v>3366</v>
      </c>
      <c r="H3182">
        <v>2573</v>
      </c>
      <c r="I3182">
        <v>257.3</v>
      </c>
      <c r="J3182">
        <v>543.5</v>
      </c>
      <c r="K3182">
        <v>54.35</v>
      </c>
      <c r="L3182">
        <v>2029.5</v>
      </c>
      <c r="M3182">
        <v>202.95</v>
      </c>
      <c r="O3182" s="79">
        <f>IFERROR(VLOOKUP(D3182,'KAPANAN BLD.'!$C$2:$D$793,2,FALSE),0)</f>
        <v>0</v>
      </c>
      <c r="P3182" s="79">
        <v>0</v>
      </c>
    </row>
    <row r="3183" spans="1:16" x14ac:dyDescent="0.25">
      <c r="A3183" t="s">
        <v>32</v>
      </c>
      <c r="B3183" s="73" t="str">
        <f t="shared" si="77"/>
        <v>KİLİMLİ</v>
      </c>
      <c r="C3183" t="s">
        <v>149</v>
      </c>
      <c r="D3183" s="73" t="str">
        <f t="shared" si="76"/>
        <v>KİLİMLİ/ZONGULDAK</v>
      </c>
      <c r="E3183" s="9" t="s">
        <v>2253</v>
      </c>
      <c r="F3183" s="9" t="s">
        <v>2253</v>
      </c>
      <c r="G3183" t="s">
        <v>3366</v>
      </c>
      <c r="H3183">
        <v>337</v>
      </c>
      <c r="I3183">
        <v>33.700000000000003</v>
      </c>
      <c r="J3183">
        <v>0</v>
      </c>
      <c r="K3183">
        <v>0</v>
      </c>
      <c r="L3183">
        <v>337</v>
      </c>
      <c r="M3183">
        <v>33.700000000000003</v>
      </c>
      <c r="O3183" s="79">
        <f>IFERROR(VLOOKUP(D3183,'KAPANAN BLD.'!$C$2:$D$793,2,FALSE),0)</f>
        <v>0</v>
      </c>
      <c r="P3183" s="79">
        <v>0</v>
      </c>
    </row>
    <row r="3184" spans="1:16" x14ac:dyDescent="0.25">
      <c r="A3184" t="s">
        <v>32</v>
      </c>
      <c r="B3184" s="73" t="str">
        <f t="shared" si="77"/>
        <v>KİLİMLİ</v>
      </c>
      <c r="C3184" t="s">
        <v>149</v>
      </c>
      <c r="D3184" s="73" t="str">
        <f t="shared" si="76"/>
        <v>KİLİMLİ/ZONGULDAK</v>
      </c>
      <c r="E3184" s="9" t="s">
        <v>2253</v>
      </c>
      <c r="F3184" s="9" t="s">
        <v>2253</v>
      </c>
      <c r="G3184" t="s">
        <v>3367</v>
      </c>
      <c r="H3184">
        <v>114.5</v>
      </c>
      <c r="I3184">
        <v>11.45</v>
      </c>
      <c r="J3184">
        <v>0</v>
      </c>
      <c r="K3184">
        <v>0</v>
      </c>
      <c r="L3184">
        <v>114.5</v>
      </c>
      <c r="M3184">
        <v>11.45</v>
      </c>
      <c r="O3184" s="79">
        <f>IFERROR(VLOOKUP(D3184,'KAPANAN BLD.'!$C$2:$D$793,2,FALSE),0)</f>
        <v>0</v>
      </c>
      <c r="P3184" s="79">
        <v>0</v>
      </c>
    </row>
    <row r="3185" spans="1:16" x14ac:dyDescent="0.25">
      <c r="A3185" t="s">
        <v>32</v>
      </c>
      <c r="B3185" s="73" t="str">
        <f t="shared" si="77"/>
        <v>GÖKÇEBEY</v>
      </c>
      <c r="C3185" t="s">
        <v>149</v>
      </c>
      <c r="D3185" s="73" t="str">
        <f t="shared" si="76"/>
        <v>GÖKÇEBEY/ZONGULDAK</v>
      </c>
      <c r="E3185" t="s">
        <v>694</v>
      </c>
      <c r="F3185" t="s">
        <v>694</v>
      </c>
      <c r="G3185" t="s">
        <v>3367</v>
      </c>
      <c r="H3185">
        <v>108.5</v>
      </c>
      <c r="I3185">
        <v>10.85</v>
      </c>
      <c r="J3185">
        <v>0</v>
      </c>
      <c r="K3185">
        <v>0</v>
      </c>
      <c r="L3185">
        <v>108.5</v>
      </c>
      <c r="M3185">
        <v>10.85</v>
      </c>
      <c r="O3185" s="79">
        <f>IFERROR(VLOOKUP(D3185,'KAPANAN BLD.'!$C$2:$D$793,2,FALSE),0)</f>
        <v>0</v>
      </c>
      <c r="P3185" s="79">
        <v>0</v>
      </c>
    </row>
    <row r="3186" spans="1:16" x14ac:dyDescent="0.25">
      <c r="A3186" t="s">
        <v>32</v>
      </c>
      <c r="B3186" s="73" t="str">
        <f t="shared" si="77"/>
        <v>GÖKÇEBEY</v>
      </c>
      <c r="C3186" t="s">
        <v>149</v>
      </c>
      <c r="D3186" s="73" t="str">
        <f t="shared" si="76"/>
        <v>GÖKÇEBEY/ZONGULDAK</v>
      </c>
      <c r="E3186" t="s">
        <v>694</v>
      </c>
      <c r="F3186" t="s">
        <v>694</v>
      </c>
      <c r="G3186" t="s">
        <v>3366</v>
      </c>
      <c r="H3186">
        <v>160.1</v>
      </c>
      <c r="I3186">
        <v>16.010000000000002</v>
      </c>
      <c r="J3186">
        <v>0</v>
      </c>
      <c r="K3186">
        <v>0</v>
      </c>
      <c r="L3186">
        <v>160.1</v>
      </c>
      <c r="M3186">
        <v>16.010000000000002</v>
      </c>
      <c r="O3186" s="79">
        <f>IFERROR(VLOOKUP(D3186,'KAPANAN BLD.'!$C$2:$D$793,2,FALSE),0)</f>
        <v>0</v>
      </c>
      <c r="P3186" s="79">
        <v>0</v>
      </c>
    </row>
    <row r="3187" spans="1:16" x14ac:dyDescent="0.25">
      <c r="A3187" t="s">
        <v>32</v>
      </c>
      <c r="B3187" s="73" t="str">
        <f t="shared" si="77"/>
        <v>EREĞLİ</v>
      </c>
      <c r="C3187" t="s">
        <v>149</v>
      </c>
      <c r="D3187" s="73" t="str">
        <f t="shared" si="76"/>
        <v>EREĞLİ/ZONGULDAK</v>
      </c>
      <c r="E3187" s="9" t="s">
        <v>119</v>
      </c>
      <c r="F3187" s="9" t="s">
        <v>119</v>
      </c>
      <c r="G3187" t="s">
        <v>3366</v>
      </c>
      <c r="H3187">
        <v>1984</v>
      </c>
      <c r="I3187">
        <v>198.4</v>
      </c>
      <c r="J3187">
        <v>2.2000000000000002</v>
      </c>
      <c r="K3187">
        <v>0.22</v>
      </c>
      <c r="L3187">
        <v>1981.8</v>
      </c>
      <c r="M3187">
        <v>198.18</v>
      </c>
      <c r="O3187" s="79">
        <f>IFERROR(VLOOKUP(D3187,'KAPANAN BLD.'!$C$2:$D$793,2,FALSE),0)</f>
        <v>0</v>
      </c>
      <c r="P3187" s="79">
        <v>0</v>
      </c>
    </row>
    <row r="3188" spans="1:16" x14ac:dyDescent="0.25">
      <c r="A3188" t="s">
        <v>32</v>
      </c>
      <c r="B3188" s="73" t="str">
        <f t="shared" si="77"/>
        <v>EREĞLİ</v>
      </c>
      <c r="C3188" t="s">
        <v>149</v>
      </c>
      <c r="D3188" s="73" t="str">
        <f t="shared" si="76"/>
        <v>EREĞLİ/ZONGULDAK</v>
      </c>
      <c r="E3188" s="9" t="s">
        <v>119</v>
      </c>
      <c r="F3188" s="9" t="s">
        <v>119</v>
      </c>
      <c r="G3188" t="s">
        <v>3367</v>
      </c>
      <c r="H3188">
        <v>795.2</v>
      </c>
      <c r="I3188">
        <v>79.52</v>
      </c>
      <c r="J3188">
        <v>6.1</v>
      </c>
      <c r="K3188">
        <v>0.61</v>
      </c>
      <c r="L3188">
        <v>789.1</v>
      </c>
      <c r="M3188">
        <v>78.91</v>
      </c>
      <c r="O3188" s="79">
        <f>IFERROR(VLOOKUP(D3188,'KAPANAN BLD.'!$C$2:$D$793,2,FALSE),0)</f>
        <v>0</v>
      </c>
      <c r="P3188" s="79">
        <v>0</v>
      </c>
    </row>
    <row r="3189" spans="1:16" x14ac:dyDescent="0.25">
      <c r="A3189" t="s">
        <v>32</v>
      </c>
      <c r="B3189" s="73" t="str">
        <f t="shared" si="77"/>
        <v>ALAPLI</v>
      </c>
      <c r="C3189" t="s">
        <v>149</v>
      </c>
      <c r="D3189" s="73" t="str">
        <f t="shared" si="76"/>
        <v>ALAPLI/ZONGULDAK</v>
      </c>
      <c r="E3189" s="9" t="s">
        <v>693</v>
      </c>
      <c r="F3189" s="9" t="s">
        <v>693</v>
      </c>
      <c r="G3189" t="s">
        <v>3367</v>
      </c>
      <c r="H3189">
        <v>12.5</v>
      </c>
      <c r="I3189">
        <v>1.25</v>
      </c>
      <c r="J3189">
        <v>0</v>
      </c>
      <c r="K3189">
        <v>0</v>
      </c>
      <c r="L3189">
        <v>12.5</v>
      </c>
      <c r="M3189">
        <v>1.25</v>
      </c>
      <c r="O3189" s="79">
        <f>IFERROR(VLOOKUP(D3189,'KAPANAN BLD.'!$C$2:$D$793,2,FALSE),0)</f>
        <v>0</v>
      </c>
      <c r="P3189" s="79">
        <v>0</v>
      </c>
    </row>
    <row r="3190" spans="1:16" x14ac:dyDescent="0.25">
      <c r="A3190" t="s">
        <v>32</v>
      </c>
      <c r="B3190" s="73" t="str">
        <f t="shared" si="77"/>
        <v>ALAPLI</v>
      </c>
      <c r="C3190" t="s">
        <v>149</v>
      </c>
      <c r="D3190" s="73" t="str">
        <f t="shared" si="76"/>
        <v>ALAPLI/ZONGULDAK</v>
      </c>
      <c r="E3190" s="9" t="s">
        <v>693</v>
      </c>
      <c r="F3190" s="9" t="s">
        <v>693</v>
      </c>
      <c r="G3190" t="s">
        <v>3366</v>
      </c>
      <c r="H3190">
        <v>941.2</v>
      </c>
      <c r="I3190">
        <v>94.12</v>
      </c>
      <c r="J3190">
        <v>0</v>
      </c>
      <c r="K3190">
        <v>0</v>
      </c>
      <c r="L3190">
        <v>941.2</v>
      </c>
      <c r="M3190">
        <v>94.12</v>
      </c>
      <c r="O3190" s="79">
        <f>IFERROR(VLOOKUP(D3190,'KAPANAN BLD.'!$C$2:$D$793,2,FALSE),0)</f>
        <v>0</v>
      </c>
      <c r="P3190" s="79">
        <v>0</v>
      </c>
    </row>
    <row r="3191" spans="1:16" x14ac:dyDescent="0.25">
      <c r="A3191" t="s">
        <v>32</v>
      </c>
      <c r="B3191" s="73" t="str">
        <f t="shared" si="77"/>
        <v>GÖKÇEBEY</v>
      </c>
      <c r="C3191" t="s">
        <v>149</v>
      </c>
      <c r="D3191" s="73" t="str">
        <f t="shared" si="76"/>
        <v>GÖKÇEBEY/ZONGULDAK</v>
      </c>
      <c r="E3191" s="9" t="s">
        <v>694</v>
      </c>
      <c r="F3191" s="9" t="s">
        <v>694</v>
      </c>
      <c r="G3191" t="s">
        <v>3367</v>
      </c>
      <c r="H3191">
        <v>53.5</v>
      </c>
      <c r="I3191">
        <v>5.35</v>
      </c>
      <c r="J3191">
        <v>0</v>
      </c>
      <c r="K3191">
        <v>0</v>
      </c>
      <c r="L3191">
        <v>53.5</v>
      </c>
      <c r="M3191">
        <v>5.35</v>
      </c>
      <c r="O3191" s="79">
        <f>IFERROR(VLOOKUP(D3191,'KAPANAN BLD.'!$C$2:$D$793,2,FALSE),0)</f>
        <v>0</v>
      </c>
      <c r="P3191" s="79">
        <v>0</v>
      </c>
    </row>
    <row r="3192" spans="1:16" x14ac:dyDescent="0.25">
      <c r="A3192" t="s">
        <v>32</v>
      </c>
      <c r="B3192" s="73" t="str">
        <f t="shared" si="77"/>
        <v>ÇAYCUMA</v>
      </c>
      <c r="C3192" t="s">
        <v>149</v>
      </c>
      <c r="D3192" s="73" t="str">
        <f t="shared" si="76"/>
        <v>ÇAYCUMA/ZONGULDAK</v>
      </c>
      <c r="E3192" s="9" t="s">
        <v>285</v>
      </c>
      <c r="F3192" s="9" t="s">
        <v>285</v>
      </c>
      <c r="G3192" t="s">
        <v>3367</v>
      </c>
      <c r="H3192">
        <v>6.4</v>
      </c>
      <c r="I3192">
        <v>0.64</v>
      </c>
      <c r="J3192">
        <v>0</v>
      </c>
      <c r="K3192">
        <v>0</v>
      </c>
      <c r="L3192">
        <v>6.4</v>
      </c>
      <c r="M3192">
        <v>0.64</v>
      </c>
      <c r="O3192" s="79">
        <f>IFERROR(VLOOKUP(D3192,'KAPANAN BLD.'!$C$2:$D$793,2,FALSE),0)</f>
        <v>0</v>
      </c>
      <c r="P3192" s="79">
        <v>0</v>
      </c>
    </row>
    <row r="3193" spans="1:16" x14ac:dyDescent="0.25">
      <c r="A3193" t="s">
        <v>32</v>
      </c>
      <c r="B3193" s="73" t="str">
        <f t="shared" si="77"/>
        <v>ÇAYCUMA</v>
      </c>
      <c r="C3193" t="s">
        <v>149</v>
      </c>
      <c r="D3193" s="73" t="str">
        <f t="shared" si="76"/>
        <v>ÇAYCUMA/ZONGULDAK</v>
      </c>
      <c r="E3193" s="9" t="s">
        <v>285</v>
      </c>
      <c r="F3193" s="9" t="s">
        <v>285</v>
      </c>
      <c r="G3193" t="s">
        <v>3366</v>
      </c>
      <c r="H3193">
        <v>2.2000000000000002</v>
      </c>
      <c r="I3193">
        <v>0.22</v>
      </c>
      <c r="J3193">
        <v>0</v>
      </c>
      <c r="K3193">
        <v>0</v>
      </c>
      <c r="L3193">
        <v>2.2000000000000002</v>
      </c>
      <c r="M3193">
        <v>0.22</v>
      </c>
      <c r="O3193" s="79">
        <f>IFERROR(VLOOKUP(D3193,'KAPANAN BLD.'!$C$2:$D$793,2,FALSE),0)</f>
        <v>0</v>
      </c>
      <c r="P3193" s="79">
        <v>0</v>
      </c>
    </row>
    <row r="3194" spans="1:16" x14ac:dyDescent="0.25">
      <c r="A3194" t="s">
        <v>32</v>
      </c>
      <c r="B3194" s="73" t="str">
        <f t="shared" si="77"/>
        <v>MERKEZ</v>
      </c>
      <c r="C3194" t="s">
        <v>149</v>
      </c>
      <c r="D3194" s="73" t="str">
        <f t="shared" si="76"/>
        <v>MERKEZ/ZONGULDAK</v>
      </c>
      <c r="E3194" s="9" t="s">
        <v>34</v>
      </c>
      <c r="F3194" s="9" t="s">
        <v>34</v>
      </c>
      <c r="G3194" t="s">
        <v>3366</v>
      </c>
      <c r="H3194">
        <v>231.9</v>
      </c>
      <c r="I3194">
        <v>23.19</v>
      </c>
      <c r="J3194">
        <v>0</v>
      </c>
      <c r="K3194">
        <v>0</v>
      </c>
      <c r="L3194">
        <v>231.9</v>
      </c>
      <c r="M3194">
        <v>23.19</v>
      </c>
      <c r="O3194" s="79">
        <f>IFERROR(VLOOKUP(D3194,'KAPANAN BLD.'!$C$2:$D$793,2,FALSE),0)</f>
        <v>0</v>
      </c>
      <c r="P3194" s="79">
        <v>0</v>
      </c>
    </row>
    <row r="3195" spans="1:16" x14ac:dyDescent="0.25">
      <c r="A3195" t="s">
        <v>32</v>
      </c>
      <c r="B3195" s="73" t="str">
        <f t="shared" si="77"/>
        <v>MERKEZ</v>
      </c>
      <c r="C3195" t="s">
        <v>149</v>
      </c>
      <c r="D3195" s="73" t="str">
        <f t="shared" si="76"/>
        <v>MERKEZ/ZONGULDAK</v>
      </c>
      <c r="E3195" s="9" t="s">
        <v>34</v>
      </c>
      <c r="F3195" s="9" t="s">
        <v>34</v>
      </c>
      <c r="G3195" t="s">
        <v>3367</v>
      </c>
      <c r="H3195">
        <v>407.5</v>
      </c>
      <c r="I3195">
        <v>40.75</v>
      </c>
      <c r="J3195">
        <v>0</v>
      </c>
      <c r="K3195">
        <v>0</v>
      </c>
      <c r="L3195">
        <v>407.5</v>
      </c>
      <c r="M3195">
        <v>40.75</v>
      </c>
      <c r="O3195" s="79">
        <f>IFERROR(VLOOKUP(D3195,'KAPANAN BLD.'!$C$2:$D$793,2,FALSE),0)</f>
        <v>0</v>
      </c>
      <c r="P3195" s="79">
        <v>0</v>
      </c>
    </row>
    <row r="3196" spans="1:16" x14ac:dyDescent="0.25">
      <c r="A3196" t="s">
        <v>32</v>
      </c>
      <c r="B3196" s="73" t="str">
        <f t="shared" si="77"/>
        <v>MERKEZ</v>
      </c>
      <c r="C3196" t="s">
        <v>149</v>
      </c>
      <c r="D3196" s="73" t="str">
        <f t="shared" si="76"/>
        <v>MERKEZ/ZONGULDAK</v>
      </c>
      <c r="E3196" s="9" t="s">
        <v>34</v>
      </c>
      <c r="F3196" s="9" t="s">
        <v>34</v>
      </c>
      <c r="G3196" t="s">
        <v>3367</v>
      </c>
      <c r="H3196">
        <v>79</v>
      </c>
      <c r="I3196">
        <v>7.9</v>
      </c>
      <c r="J3196">
        <v>3.9</v>
      </c>
      <c r="K3196">
        <v>0.39</v>
      </c>
      <c r="L3196">
        <v>75.099999999999994</v>
      </c>
      <c r="M3196">
        <v>7.51</v>
      </c>
      <c r="O3196" s="79">
        <f>IFERROR(VLOOKUP(D3196,'KAPANAN BLD.'!$C$2:$D$793,2,FALSE),0)</f>
        <v>0</v>
      </c>
      <c r="P3196" s="79">
        <v>0</v>
      </c>
    </row>
    <row r="3197" spans="1:16" x14ac:dyDescent="0.25">
      <c r="A3197" t="s">
        <v>32</v>
      </c>
      <c r="B3197" s="73" t="str">
        <f t="shared" si="77"/>
        <v>MERKEZ</v>
      </c>
      <c r="C3197" t="s">
        <v>149</v>
      </c>
      <c r="D3197" s="73" t="str">
        <f t="shared" si="76"/>
        <v>MERKEZ/ZONGULDAK</v>
      </c>
      <c r="E3197" s="9" t="s">
        <v>34</v>
      </c>
      <c r="F3197" s="9" t="s">
        <v>34</v>
      </c>
      <c r="G3197" t="s">
        <v>3366</v>
      </c>
      <c r="H3197">
        <v>403.1</v>
      </c>
      <c r="I3197">
        <v>40.31</v>
      </c>
      <c r="J3197">
        <v>0</v>
      </c>
      <c r="K3197">
        <v>0</v>
      </c>
      <c r="L3197">
        <v>403.1</v>
      </c>
      <c r="M3197">
        <v>40.31</v>
      </c>
      <c r="O3197" s="79">
        <f>IFERROR(VLOOKUP(D3197,'KAPANAN BLD.'!$C$2:$D$793,2,FALSE),0)</f>
        <v>0</v>
      </c>
      <c r="P3197" s="79">
        <v>0</v>
      </c>
    </row>
    <row r="3198" spans="1:16" x14ac:dyDescent="0.25">
      <c r="A3198" t="s">
        <v>32</v>
      </c>
      <c r="B3198" s="73" t="str">
        <f t="shared" si="77"/>
        <v>KİLİMLİ</v>
      </c>
      <c r="C3198" t="s">
        <v>149</v>
      </c>
      <c r="D3198" s="73" t="str">
        <f t="shared" si="76"/>
        <v>KİLİMLİ/ZONGULDAK</v>
      </c>
      <c r="E3198" t="s">
        <v>2253</v>
      </c>
      <c r="F3198" t="s">
        <v>2253</v>
      </c>
      <c r="G3198" t="s">
        <v>3367</v>
      </c>
      <c r="H3198">
        <v>1038.5</v>
      </c>
      <c r="I3198">
        <v>103.85</v>
      </c>
      <c r="J3198">
        <v>0</v>
      </c>
      <c r="K3198">
        <v>0</v>
      </c>
      <c r="L3198">
        <v>1038.5</v>
      </c>
      <c r="M3198">
        <v>103.85</v>
      </c>
      <c r="O3198" s="79">
        <f>IFERROR(VLOOKUP(D3198,'KAPANAN BLD.'!$C$2:$D$793,2,FALSE),0)</f>
        <v>0</v>
      </c>
      <c r="P3198" s="79">
        <v>0</v>
      </c>
    </row>
    <row r="3199" spans="1:16" x14ac:dyDescent="0.25">
      <c r="A3199" t="s">
        <v>32</v>
      </c>
      <c r="B3199" s="73" t="str">
        <f t="shared" si="77"/>
        <v>KİLİMLİ</v>
      </c>
      <c r="C3199" t="s">
        <v>149</v>
      </c>
      <c r="D3199" s="73" t="str">
        <f t="shared" si="76"/>
        <v>KİLİMLİ/ZONGULDAK</v>
      </c>
      <c r="E3199" t="s">
        <v>2253</v>
      </c>
      <c r="F3199" t="s">
        <v>2253</v>
      </c>
      <c r="G3199" t="s">
        <v>3366</v>
      </c>
      <c r="H3199">
        <v>968</v>
      </c>
      <c r="I3199">
        <v>96.8</v>
      </c>
      <c r="J3199">
        <v>0</v>
      </c>
      <c r="K3199">
        <v>0</v>
      </c>
      <c r="L3199">
        <v>968</v>
      </c>
      <c r="M3199">
        <v>96.8</v>
      </c>
      <c r="O3199" s="79">
        <f>IFERROR(VLOOKUP(D3199,'KAPANAN BLD.'!$C$2:$D$793,2,FALSE),0)</f>
        <v>0</v>
      </c>
      <c r="P3199" s="79">
        <v>0</v>
      </c>
    </row>
    <row r="3200" spans="1:16" x14ac:dyDescent="0.25">
      <c r="A3200" t="s">
        <v>32</v>
      </c>
      <c r="B3200" s="73" t="str">
        <f t="shared" si="77"/>
        <v>KOZLU</v>
      </c>
      <c r="C3200" t="s">
        <v>149</v>
      </c>
      <c r="D3200" s="73" t="str">
        <f t="shared" si="76"/>
        <v>KOZLU/ZONGULDAK</v>
      </c>
      <c r="E3200" t="s">
        <v>346</v>
      </c>
      <c r="F3200" t="s">
        <v>346</v>
      </c>
      <c r="G3200" t="s">
        <v>3367</v>
      </c>
      <c r="H3200">
        <v>1250.7</v>
      </c>
      <c r="I3200">
        <v>125.07</v>
      </c>
      <c r="J3200">
        <v>0</v>
      </c>
      <c r="K3200">
        <v>0</v>
      </c>
      <c r="L3200">
        <v>1250.7</v>
      </c>
      <c r="M3200">
        <v>125.07</v>
      </c>
      <c r="O3200" s="79">
        <f>IFERROR(VLOOKUP(D3200,'KAPANAN BLD.'!$C$2:$D$793,2,FALSE),0)</f>
        <v>0</v>
      </c>
      <c r="P3200" s="79">
        <v>0</v>
      </c>
    </row>
    <row r="3201" spans="1:16" x14ac:dyDescent="0.25">
      <c r="A3201" t="s">
        <v>32</v>
      </c>
      <c r="B3201" s="73" t="str">
        <f t="shared" si="77"/>
        <v>KOZLU</v>
      </c>
      <c r="C3201" t="s">
        <v>149</v>
      </c>
      <c r="D3201" s="73" t="str">
        <f t="shared" si="76"/>
        <v>KOZLU/ZONGULDAK</v>
      </c>
      <c r="E3201" t="s">
        <v>346</v>
      </c>
      <c r="F3201" t="s">
        <v>346</v>
      </c>
      <c r="G3201" t="s">
        <v>3366</v>
      </c>
      <c r="H3201">
        <v>1237.5</v>
      </c>
      <c r="I3201">
        <v>123.75</v>
      </c>
      <c r="J3201">
        <v>0</v>
      </c>
      <c r="K3201">
        <v>0</v>
      </c>
      <c r="L3201">
        <v>1237.5</v>
      </c>
      <c r="M3201">
        <v>123.75</v>
      </c>
      <c r="O3201" s="79">
        <f>IFERROR(VLOOKUP(D3201,'KAPANAN BLD.'!$C$2:$D$793,2,FALSE),0)</f>
        <v>0</v>
      </c>
      <c r="P3201" s="79">
        <v>0</v>
      </c>
    </row>
    <row r="3202" spans="1:16" x14ac:dyDescent="0.25">
      <c r="A3202" t="s">
        <v>32</v>
      </c>
      <c r="B3202" s="73" t="str">
        <f t="shared" si="77"/>
        <v>MERKEZ</v>
      </c>
      <c r="C3202" t="s">
        <v>149</v>
      </c>
      <c r="D3202" s="73" t="str">
        <f t="shared" si="76"/>
        <v>MERKEZ/ZONGULDAK</v>
      </c>
      <c r="E3202" t="s">
        <v>34</v>
      </c>
      <c r="F3202" t="s">
        <v>34</v>
      </c>
      <c r="G3202" t="s">
        <v>3366</v>
      </c>
      <c r="H3202">
        <v>7802.6</v>
      </c>
      <c r="I3202">
        <v>780.26</v>
      </c>
      <c r="J3202">
        <v>1934.2</v>
      </c>
      <c r="K3202">
        <v>193.42</v>
      </c>
      <c r="L3202">
        <v>5868.4</v>
      </c>
      <c r="M3202">
        <v>586.84</v>
      </c>
      <c r="O3202" s="79">
        <f>IFERROR(VLOOKUP(D3202,'KAPANAN BLD.'!$C$2:$D$793,2,FALSE),0)</f>
        <v>0</v>
      </c>
      <c r="P3202" s="79">
        <v>0</v>
      </c>
    </row>
    <row r="3203" spans="1:16" x14ac:dyDescent="0.25">
      <c r="A3203" t="s">
        <v>32</v>
      </c>
      <c r="B3203" s="73" t="str">
        <f t="shared" si="77"/>
        <v>MERKEZ</v>
      </c>
      <c r="C3203" t="s">
        <v>149</v>
      </c>
      <c r="D3203" s="73" t="str">
        <f t="shared" ref="D3203:D3215" si="78">CONCATENATE(B3203,"/",C3203)</f>
        <v>MERKEZ/ZONGULDAK</v>
      </c>
      <c r="E3203" t="s">
        <v>34</v>
      </c>
      <c r="F3203" t="s">
        <v>34</v>
      </c>
      <c r="G3203" t="s">
        <v>3367</v>
      </c>
      <c r="H3203">
        <v>2623</v>
      </c>
      <c r="I3203">
        <v>262.3</v>
      </c>
      <c r="J3203">
        <v>20.9</v>
      </c>
      <c r="K3203">
        <v>2.09</v>
      </c>
      <c r="L3203">
        <v>2602.1</v>
      </c>
      <c r="M3203">
        <v>260.20999999999998</v>
      </c>
      <c r="O3203" s="79">
        <f>IFERROR(VLOOKUP(D3203,'KAPANAN BLD.'!$C$2:$D$793,2,FALSE),0)</f>
        <v>0</v>
      </c>
      <c r="P3203" s="79">
        <v>0</v>
      </c>
    </row>
    <row r="3204" spans="1:16" x14ac:dyDescent="0.25">
      <c r="A3204" t="s">
        <v>32</v>
      </c>
      <c r="B3204" s="73" t="str">
        <f t="shared" si="77"/>
        <v>KİLİMLİ</v>
      </c>
      <c r="C3204" t="s">
        <v>149</v>
      </c>
      <c r="D3204" s="73" t="str">
        <f t="shared" si="78"/>
        <v>KİLİMLİ/ZONGULDAK</v>
      </c>
      <c r="E3204" s="9" t="s">
        <v>2253</v>
      </c>
      <c r="F3204" s="9" t="s">
        <v>2253</v>
      </c>
      <c r="G3204" t="s">
        <v>3366</v>
      </c>
      <c r="H3204">
        <v>537.79999999999995</v>
      </c>
      <c r="I3204">
        <v>53.78</v>
      </c>
      <c r="J3204">
        <v>0</v>
      </c>
      <c r="K3204">
        <v>0</v>
      </c>
      <c r="L3204">
        <v>537.79999999999995</v>
      </c>
      <c r="M3204">
        <v>53.78</v>
      </c>
      <c r="O3204" s="79">
        <f>IFERROR(VLOOKUP(D3204,'KAPANAN BLD.'!$C$2:$D$793,2,FALSE),0)</f>
        <v>0</v>
      </c>
      <c r="P3204" s="79">
        <v>0</v>
      </c>
    </row>
    <row r="3205" spans="1:16" x14ac:dyDescent="0.25">
      <c r="A3205" t="s">
        <v>32</v>
      </c>
      <c r="B3205" s="73" t="str">
        <f t="shared" si="77"/>
        <v>KİLİMLİ</v>
      </c>
      <c r="C3205" t="s">
        <v>149</v>
      </c>
      <c r="D3205" s="73" t="str">
        <f t="shared" si="78"/>
        <v>KİLİMLİ/ZONGULDAK</v>
      </c>
      <c r="E3205" s="9" t="s">
        <v>2253</v>
      </c>
      <c r="F3205" s="9" t="s">
        <v>2253</v>
      </c>
      <c r="G3205" t="s">
        <v>3367</v>
      </c>
      <c r="H3205">
        <v>10.5</v>
      </c>
      <c r="I3205">
        <v>1.05</v>
      </c>
      <c r="J3205">
        <v>0</v>
      </c>
      <c r="K3205">
        <v>0</v>
      </c>
      <c r="L3205">
        <v>10.5</v>
      </c>
      <c r="M3205">
        <v>1.05</v>
      </c>
      <c r="O3205" s="79">
        <f>IFERROR(VLOOKUP(D3205,'KAPANAN BLD.'!$C$2:$D$793,2,FALSE),0)</f>
        <v>0</v>
      </c>
      <c r="P3205" s="79">
        <v>0</v>
      </c>
    </row>
    <row r="3206" spans="1:16" x14ac:dyDescent="0.25">
      <c r="A3206" t="s">
        <v>32</v>
      </c>
      <c r="B3206" s="73" t="str">
        <f t="shared" si="77"/>
        <v>ÇAYCUMA</v>
      </c>
      <c r="C3206" t="s">
        <v>149</v>
      </c>
      <c r="D3206" s="73" t="str">
        <f t="shared" si="78"/>
        <v>ÇAYCUMA/ZONGULDAK</v>
      </c>
      <c r="E3206" s="9" t="s">
        <v>285</v>
      </c>
      <c r="F3206" s="9" t="s">
        <v>285</v>
      </c>
      <c r="G3206" t="s">
        <v>3367</v>
      </c>
      <c r="H3206">
        <v>69.599999999999994</v>
      </c>
      <c r="I3206">
        <v>6.96</v>
      </c>
      <c r="J3206">
        <v>45</v>
      </c>
      <c r="K3206">
        <v>4.5</v>
      </c>
      <c r="L3206">
        <v>24.6</v>
      </c>
      <c r="M3206">
        <v>2.46</v>
      </c>
      <c r="O3206" s="79">
        <f>IFERROR(VLOOKUP(D3206,'KAPANAN BLD.'!$C$2:$D$793,2,FALSE),0)</f>
        <v>0</v>
      </c>
      <c r="P3206" s="79">
        <v>0</v>
      </c>
    </row>
    <row r="3207" spans="1:16" x14ac:dyDescent="0.25">
      <c r="A3207" t="s">
        <v>32</v>
      </c>
      <c r="B3207" s="73" t="str">
        <f t="shared" si="77"/>
        <v>EREĞLİ</v>
      </c>
      <c r="C3207" t="s">
        <v>149</v>
      </c>
      <c r="D3207" s="73" t="str">
        <f t="shared" si="78"/>
        <v>EREĞLİ/ZONGULDAK</v>
      </c>
      <c r="E3207" s="9" t="s">
        <v>119</v>
      </c>
      <c r="F3207" s="9" t="s">
        <v>119</v>
      </c>
      <c r="G3207" t="s">
        <v>3367</v>
      </c>
      <c r="H3207">
        <v>236.7</v>
      </c>
      <c r="I3207">
        <v>23.67</v>
      </c>
      <c r="J3207">
        <v>0</v>
      </c>
      <c r="K3207">
        <v>0</v>
      </c>
      <c r="L3207">
        <v>236.7</v>
      </c>
      <c r="M3207">
        <v>23.67</v>
      </c>
      <c r="O3207" s="79">
        <f>IFERROR(VLOOKUP(D3207,'KAPANAN BLD.'!$C$2:$D$793,2,FALSE),0)</f>
        <v>0</v>
      </c>
      <c r="P3207" s="79">
        <v>0</v>
      </c>
    </row>
    <row r="3208" spans="1:16" x14ac:dyDescent="0.25">
      <c r="A3208" t="s">
        <v>32</v>
      </c>
      <c r="B3208" s="73" t="str">
        <f t="shared" si="77"/>
        <v>EREĞLİ</v>
      </c>
      <c r="C3208" t="s">
        <v>149</v>
      </c>
      <c r="D3208" s="73" t="str">
        <f t="shared" si="78"/>
        <v>EREĞLİ/ZONGULDAK</v>
      </c>
      <c r="E3208" s="9" t="s">
        <v>119</v>
      </c>
      <c r="F3208" s="9" t="s">
        <v>119</v>
      </c>
      <c r="G3208" t="s">
        <v>3366</v>
      </c>
      <c r="H3208">
        <v>3042.2</v>
      </c>
      <c r="I3208">
        <v>304.22000000000003</v>
      </c>
      <c r="J3208">
        <v>0</v>
      </c>
      <c r="K3208">
        <v>0</v>
      </c>
      <c r="L3208">
        <v>3042.2</v>
      </c>
      <c r="M3208">
        <v>304.22000000000003</v>
      </c>
      <c r="O3208" s="79">
        <f>IFERROR(VLOOKUP(D3208,'KAPANAN BLD.'!$C$2:$D$793,2,FALSE),0)</f>
        <v>0</v>
      </c>
      <c r="P3208" s="79">
        <v>0</v>
      </c>
    </row>
    <row r="3209" spans="1:16" x14ac:dyDescent="0.25">
      <c r="A3209" t="s">
        <v>32</v>
      </c>
      <c r="B3209" s="73" t="str">
        <f t="shared" si="77"/>
        <v>DEVREK</v>
      </c>
      <c r="C3209" t="s">
        <v>149</v>
      </c>
      <c r="D3209" s="73" t="str">
        <f t="shared" si="78"/>
        <v>DEVREK/ZONGULDAK</v>
      </c>
      <c r="E3209" s="9" t="s">
        <v>255</v>
      </c>
      <c r="F3209" s="9" t="s">
        <v>255</v>
      </c>
      <c r="G3209" t="s">
        <v>3366</v>
      </c>
      <c r="H3209">
        <v>821.9</v>
      </c>
      <c r="I3209">
        <v>82.19</v>
      </c>
      <c r="J3209">
        <v>0</v>
      </c>
      <c r="K3209">
        <v>0</v>
      </c>
      <c r="L3209">
        <v>821.9</v>
      </c>
      <c r="M3209">
        <v>82.19</v>
      </c>
      <c r="O3209" s="79">
        <f>IFERROR(VLOOKUP(D3209,'KAPANAN BLD.'!$C$2:$D$793,2,FALSE),0)</f>
        <v>0</v>
      </c>
      <c r="P3209" s="79">
        <v>0</v>
      </c>
    </row>
    <row r="3210" spans="1:16" x14ac:dyDescent="0.25">
      <c r="A3210" t="s">
        <v>32</v>
      </c>
      <c r="B3210" s="73" t="str">
        <f t="shared" si="77"/>
        <v>DEVREK</v>
      </c>
      <c r="C3210" t="s">
        <v>149</v>
      </c>
      <c r="D3210" s="73" t="str">
        <f t="shared" si="78"/>
        <v>DEVREK/ZONGULDAK</v>
      </c>
      <c r="E3210" s="9" t="s">
        <v>255</v>
      </c>
      <c r="F3210" s="9" t="s">
        <v>255</v>
      </c>
      <c r="G3210" t="s">
        <v>3367</v>
      </c>
      <c r="H3210">
        <v>239.9</v>
      </c>
      <c r="I3210">
        <v>23.99</v>
      </c>
      <c r="J3210">
        <v>0</v>
      </c>
      <c r="K3210">
        <v>0</v>
      </c>
      <c r="L3210">
        <v>239.9</v>
      </c>
      <c r="M3210">
        <v>23.99</v>
      </c>
      <c r="O3210" s="79">
        <f>IFERROR(VLOOKUP(D3210,'KAPANAN BLD.'!$C$2:$D$793,2,FALSE),0)</f>
        <v>0</v>
      </c>
      <c r="P3210" s="79">
        <v>0</v>
      </c>
    </row>
    <row r="3211" spans="1:16" x14ac:dyDescent="0.25">
      <c r="A3211" t="s">
        <v>32</v>
      </c>
      <c r="B3211" s="73" t="str">
        <f t="shared" si="77"/>
        <v>ÇAYCUMA</v>
      </c>
      <c r="C3211" t="s">
        <v>149</v>
      </c>
      <c r="D3211" s="73" t="str">
        <f t="shared" si="78"/>
        <v>ÇAYCUMA/ZONGULDAK</v>
      </c>
      <c r="E3211" s="9" t="s">
        <v>285</v>
      </c>
      <c r="F3211" s="9" t="s">
        <v>285</v>
      </c>
      <c r="G3211" t="s">
        <v>3367</v>
      </c>
      <c r="H3211">
        <v>196.9</v>
      </c>
      <c r="I3211">
        <v>19.690000000000001</v>
      </c>
      <c r="J3211">
        <v>0</v>
      </c>
      <c r="K3211">
        <v>0</v>
      </c>
      <c r="L3211">
        <v>196.9</v>
      </c>
      <c r="M3211">
        <v>19.690000000000001</v>
      </c>
      <c r="O3211" s="79">
        <f>IFERROR(VLOOKUP(D3211,'KAPANAN BLD.'!$C$2:$D$793,2,FALSE),0)</f>
        <v>0</v>
      </c>
      <c r="P3211" s="79">
        <v>0</v>
      </c>
    </row>
    <row r="3212" spans="1:16" x14ac:dyDescent="0.25">
      <c r="A3212" t="s">
        <v>32</v>
      </c>
      <c r="B3212" s="73" t="str">
        <f t="shared" si="77"/>
        <v>ÇAYCUMA</v>
      </c>
      <c r="C3212" t="s">
        <v>149</v>
      </c>
      <c r="D3212" s="73" t="str">
        <f t="shared" si="78"/>
        <v>ÇAYCUMA/ZONGULDAK</v>
      </c>
      <c r="E3212" s="9" t="s">
        <v>285</v>
      </c>
      <c r="F3212" s="9" t="s">
        <v>285</v>
      </c>
      <c r="G3212" t="s">
        <v>3366</v>
      </c>
      <c r="H3212">
        <v>1611.2</v>
      </c>
      <c r="I3212">
        <v>161.12</v>
      </c>
      <c r="J3212">
        <v>0</v>
      </c>
      <c r="K3212">
        <v>0</v>
      </c>
      <c r="L3212">
        <v>1611.2</v>
      </c>
      <c r="M3212">
        <v>161.12</v>
      </c>
      <c r="O3212" s="79">
        <f>IFERROR(VLOOKUP(D3212,'KAPANAN BLD.'!$C$2:$D$793,2,FALSE),0)</f>
        <v>0</v>
      </c>
      <c r="P3212" s="79">
        <v>0</v>
      </c>
    </row>
    <row r="3213" spans="1:16" x14ac:dyDescent="0.25">
      <c r="A3213" t="s">
        <v>32</v>
      </c>
      <c r="B3213" s="73" t="str">
        <f t="shared" si="77"/>
        <v>ÇAYCUMA</v>
      </c>
      <c r="C3213" t="s">
        <v>149</v>
      </c>
      <c r="D3213" s="73" t="str">
        <f t="shared" si="78"/>
        <v>ÇAYCUMA/ZONGULDAK</v>
      </c>
      <c r="E3213" s="9" t="s">
        <v>285</v>
      </c>
      <c r="F3213" s="9" t="s">
        <v>285</v>
      </c>
      <c r="G3213" t="s">
        <v>3367</v>
      </c>
      <c r="H3213">
        <v>0.4</v>
      </c>
      <c r="I3213">
        <v>0.04</v>
      </c>
      <c r="J3213">
        <v>0</v>
      </c>
      <c r="K3213">
        <v>0</v>
      </c>
      <c r="L3213">
        <v>0.4</v>
      </c>
      <c r="M3213">
        <v>0.04</v>
      </c>
      <c r="O3213" s="79">
        <f>IFERROR(VLOOKUP(D3213,'KAPANAN BLD.'!$C$2:$D$793,2,FALSE),0)</f>
        <v>0</v>
      </c>
      <c r="P3213" s="79">
        <v>0</v>
      </c>
    </row>
    <row r="3214" spans="1:16" x14ac:dyDescent="0.25">
      <c r="A3214" t="s">
        <v>32</v>
      </c>
      <c r="B3214" s="73" t="str">
        <f t="shared" si="77"/>
        <v>KOZLU</v>
      </c>
      <c r="C3214" t="s">
        <v>149</v>
      </c>
      <c r="D3214" s="73" t="str">
        <f t="shared" si="78"/>
        <v>KOZLU/ZONGULDAK</v>
      </c>
      <c r="E3214" s="9" t="s">
        <v>346</v>
      </c>
      <c r="F3214" s="9" t="s">
        <v>346</v>
      </c>
      <c r="G3214" t="s">
        <v>3367</v>
      </c>
      <c r="H3214">
        <v>127.9</v>
      </c>
      <c r="I3214">
        <v>12.79</v>
      </c>
      <c r="J3214">
        <v>0</v>
      </c>
      <c r="K3214">
        <v>0</v>
      </c>
      <c r="L3214">
        <v>127.9</v>
      </c>
      <c r="M3214">
        <v>12.79</v>
      </c>
      <c r="O3214" s="79">
        <f>IFERROR(VLOOKUP(D3214,'KAPANAN BLD.'!$C$2:$D$793,2,FALSE),0)</f>
        <v>0</v>
      </c>
      <c r="P3214" s="79">
        <v>0</v>
      </c>
    </row>
    <row r="3215" spans="1:16" x14ac:dyDescent="0.25">
      <c r="A3215" t="s">
        <v>32</v>
      </c>
      <c r="B3215" s="73" t="str">
        <f t="shared" si="77"/>
        <v>KOZLU</v>
      </c>
      <c r="C3215" t="s">
        <v>149</v>
      </c>
      <c r="D3215" s="73" t="str">
        <f t="shared" si="78"/>
        <v>KOZLU/ZONGULDAK</v>
      </c>
      <c r="E3215" s="9" t="s">
        <v>346</v>
      </c>
      <c r="F3215" s="9" t="s">
        <v>346</v>
      </c>
      <c r="G3215" t="s">
        <v>3366</v>
      </c>
      <c r="H3215">
        <v>690.4</v>
      </c>
      <c r="I3215">
        <v>69.040000000000006</v>
      </c>
      <c r="J3215">
        <v>0</v>
      </c>
      <c r="K3215">
        <v>0</v>
      </c>
      <c r="L3215">
        <v>690.4</v>
      </c>
      <c r="M3215">
        <v>69.040000000000006</v>
      </c>
      <c r="O3215" s="79">
        <f>IFERROR(VLOOKUP(D3215,'KAPANAN BLD.'!$C$2:$D$793,2,FALSE),0)</f>
        <v>0</v>
      </c>
      <c r="P3215" s="79">
        <v>0</v>
      </c>
    </row>
    <row r="3216" spans="1:16" ht="13" x14ac:dyDescent="0.3">
      <c r="G3216"/>
      <c r="L3216" s="102"/>
      <c r="M3216" s="102">
        <f>SUM(M2:M3215)</f>
        <v>3075907.4500000114</v>
      </c>
    </row>
    <row r="3217" spans="7:13" x14ac:dyDescent="0.25">
      <c r="G3217"/>
      <c r="M3217" s="32">
        <v>-3075975.17</v>
      </c>
    </row>
    <row r="3218" spans="7:13" x14ac:dyDescent="0.25">
      <c r="G3218"/>
      <c r="M3218" s="32">
        <f>M3217+M3216</f>
        <v>-67.719999988563359</v>
      </c>
    </row>
    <row r="3219" spans="7:13" x14ac:dyDescent="0.25">
      <c r="G3219"/>
    </row>
    <row r="3220" spans="7:13" x14ac:dyDescent="0.25">
      <c r="G3220"/>
    </row>
    <row r="3221" spans="7:13" x14ac:dyDescent="0.25">
      <c r="G3221"/>
    </row>
    <row r="3222" spans="7:13" x14ac:dyDescent="0.25">
      <c r="G3222"/>
    </row>
    <row r="3223" spans="7:13" x14ac:dyDescent="0.25">
      <c r="G3223"/>
    </row>
    <row r="3224" spans="7:13" x14ac:dyDescent="0.25">
      <c r="G3224"/>
    </row>
    <row r="3225" spans="7:13" x14ac:dyDescent="0.25">
      <c r="G3225"/>
    </row>
    <row r="3226" spans="7:13" x14ac:dyDescent="0.25">
      <c r="G3226"/>
    </row>
    <row r="3227" spans="7:13" x14ac:dyDescent="0.25">
      <c r="G3227"/>
    </row>
    <row r="3228" spans="7:13" x14ac:dyDescent="0.25">
      <c r="G3228"/>
    </row>
    <row r="3229" spans="7:13" x14ac:dyDescent="0.25">
      <c r="G3229"/>
    </row>
    <row r="3230" spans="7:13" x14ac:dyDescent="0.25">
      <c r="G3230"/>
    </row>
    <row r="3231" spans="7:13" x14ac:dyDescent="0.25">
      <c r="G3231"/>
    </row>
    <row r="3232" spans="7:13" x14ac:dyDescent="0.25">
      <c r="G3232"/>
    </row>
    <row r="3233" spans="7:7" x14ac:dyDescent="0.25">
      <c r="G3233"/>
    </row>
    <row r="3234" spans="7:7" x14ac:dyDescent="0.25">
      <c r="G3234"/>
    </row>
    <row r="3235" spans="7:7" x14ac:dyDescent="0.25">
      <c r="G3235"/>
    </row>
    <row r="3236" spans="7:7" x14ac:dyDescent="0.25">
      <c r="G3236"/>
    </row>
    <row r="3237" spans="7:7" x14ac:dyDescent="0.25">
      <c r="G3237"/>
    </row>
    <row r="3238" spans="7:7" x14ac:dyDescent="0.25">
      <c r="G3238"/>
    </row>
    <row r="3239" spans="7:7" x14ac:dyDescent="0.25">
      <c r="G3239"/>
    </row>
    <row r="3240" spans="7:7" x14ac:dyDescent="0.25">
      <c r="G3240"/>
    </row>
    <row r="3241" spans="7:7" x14ac:dyDescent="0.25">
      <c r="G3241"/>
    </row>
    <row r="3242" spans="7:7" x14ac:dyDescent="0.25">
      <c r="G3242"/>
    </row>
    <row r="3243" spans="7:7" x14ac:dyDescent="0.25">
      <c r="G3243"/>
    </row>
    <row r="3244" spans="7:7" x14ac:dyDescent="0.25">
      <c r="G3244"/>
    </row>
    <row r="3245" spans="7:7" x14ac:dyDescent="0.25">
      <c r="G3245"/>
    </row>
    <row r="3246" spans="7:7" x14ac:dyDescent="0.25">
      <c r="G3246"/>
    </row>
    <row r="3247" spans="7:7" x14ac:dyDescent="0.25">
      <c r="G3247"/>
    </row>
    <row r="3248" spans="7:7" x14ac:dyDescent="0.25">
      <c r="G3248"/>
    </row>
    <row r="3249" spans="7:7" x14ac:dyDescent="0.25">
      <c r="G3249"/>
    </row>
    <row r="3250" spans="7:7" x14ac:dyDescent="0.25">
      <c r="G3250"/>
    </row>
    <row r="3251" spans="7:7" x14ac:dyDescent="0.25">
      <c r="G3251"/>
    </row>
    <row r="3252" spans="7:7" x14ac:dyDescent="0.25">
      <c r="G3252"/>
    </row>
    <row r="3253" spans="7:7" x14ac:dyDescent="0.25">
      <c r="G3253"/>
    </row>
    <row r="3254" spans="7:7" x14ac:dyDescent="0.25">
      <c r="G3254"/>
    </row>
    <row r="3255" spans="7:7" x14ac:dyDescent="0.25">
      <c r="G3255"/>
    </row>
    <row r="3256" spans="7:7" x14ac:dyDescent="0.25">
      <c r="G3256"/>
    </row>
    <row r="3257" spans="7:7" x14ac:dyDescent="0.25">
      <c r="G3257"/>
    </row>
    <row r="3258" spans="7:7" x14ac:dyDescent="0.25">
      <c r="G3258"/>
    </row>
    <row r="3259" spans="7:7" x14ac:dyDescent="0.25">
      <c r="G3259"/>
    </row>
    <row r="3260" spans="7:7" x14ac:dyDescent="0.25">
      <c r="G3260"/>
    </row>
    <row r="3261" spans="7:7" x14ac:dyDescent="0.25">
      <c r="G3261"/>
    </row>
    <row r="3262" spans="7:7" x14ac:dyDescent="0.25">
      <c r="G3262"/>
    </row>
    <row r="3263" spans="7:7" x14ac:dyDescent="0.25">
      <c r="G3263"/>
    </row>
    <row r="3264" spans="7:7" x14ac:dyDescent="0.25">
      <c r="G3264"/>
    </row>
    <row r="3265" spans="7:7" x14ac:dyDescent="0.25">
      <c r="G3265"/>
    </row>
    <row r="3266" spans="7:7" x14ac:dyDescent="0.25">
      <c r="G3266"/>
    </row>
    <row r="3267" spans="7:7" x14ac:dyDescent="0.25">
      <c r="G3267"/>
    </row>
    <row r="3268" spans="7:7" x14ac:dyDescent="0.25">
      <c r="G3268"/>
    </row>
    <row r="3269" spans="7:7" x14ac:dyDescent="0.25">
      <c r="G3269"/>
    </row>
    <row r="3270" spans="7:7" x14ac:dyDescent="0.25">
      <c r="G3270"/>
    </row>
    <row r="3271" spans="7:7" x14ac:dyDescent="0.25">
      <c r="G3271"/>
    </row>
    <row r="3272" spans="7:7" x14ac:dyDescent="0.25">
      <c r="G3272"/>
    </row>
    <row r="3273" spans="7:7" x14ac:dyDescent="0.25">
      <c r="G3273"/>
    </row>
    <row r="3274" spans="7:7" x14ac:dyDescent="0.25">
      <c r="G3274"/>
    </row>
    <row r="3275" spans="7:7" x14ac:dyDescent="0.25">
      <c r="G3275"/>
    </row>
    <row r="3276" spans="7:7" x14ac:dyDescent="0.25">
      <c r="G3276"/>
    </row>
    <row r="3277" spans="7:7" x14ac:dyDescent="0.25">
      <c r="G3277"/>
    </row>
    <row r="3278" spans="7:7" x14ac:dyDescent="0.25">
      <c r="G3278"/>
    </row>
    <row r="3279" spans="7:7" x14ac:dyDescent="0.25">
      <c r="G3279"/>
    </row>
    <row r="3280" spans="7:7" x14ac:dyDescent="0.25">
      <c r="G3280"/>
    </row>
    <row r="3281" spans="7:7" x14ac:dyDescent="0.25">
      <c r="G3281"/>
    </row>
    <row r="3282" spans="7:7" x14ac:dyDescent="0.25">
      <c r="G3282"/>
    </row>
    <row r="3283" spans="7:7" x14ac:dyDescent="0.25">
      <c r="G3283"/>
    </row>
    <row r="3284" spans="7:7" x14ac:dyDescent="0.25">
      <c r="G3284"/>
    </row>
    <row r="3285" spans="7:7" x14ac:dyDescent="0.25">
      <c r="G3285"/>
    </row>
    <row r="3286" spans="7:7" x14ac:dyDescent="0.25">
      <c r="G3286"/>
    </row>
    <row r="3287" spans="7:7" x14ac:dyDescent="0.25">
      <c r="G3287"/>
    </row>
    <row r="3288" spans="7:7" x14ac:dyDescent="0.25">
      <c r="G3288"/>
    </row>
    <row r="3289" spans="7:7" x14ac:dyDescent="0.25">
      <c r="G3289"/>
    </row>
    <row r="3290" spans="7:7" x14ac:dyDescent="0.25">
      <c r="G3290"/>
    </row>
    <row r="3291" spans="7:7" x14ac:dyDescent="0.25">
      <c r="G3291"/>
    </row>
    <row r="3292" spans="7:7" x14ac:dyDescent="0.25">
      <c r="G3292"/>
    </row>
    <row r="3293" spans="7:7" x14ac:dyDescent="0.25">
      <c r="G3293"/>
    </row>
    <row r="3294" spans="7:7" x14ac:dyDescent="0.25">
      <c r="G3294"/>
    </row>
    <row r="3295" spans="7:7" x14ac:dyDescent="0.25">
      <c r="G3295"/>
    </row>
  </sheetData>
  <pageMargins left="0.70866141732283472" right="0.70866141732283472" top="0.74803149606299213" bottom="0.74803149606299213" header="0.31496062992125984" footer="0.31496062992125984"/>
  <pageSetup paperSize="9" scale="60" orientation="landscape" r:id="rId1"/>
  <headerFooter differentOddEven="1" differentFirst="1">
    <oddFooter>&amp;L
_x000D_&amp;1#&amp;"Calibri"&amp;10&amp;K008000 Internal&amp;C&amp;"tahoma,Bold"&amp;8&amp;KFFCC00¯¯¯¯¯¯¯¯¯¯¯¯¯¯¯¯¯¯¯¯¯¯¯¯¯¯¯¯¯¯¯¯¯¯¯¯¯
Gizli / Confidential  -
 Genel Nitelikli Kişisel Veri
&amp;10_____________________________________</oddFooter>
    <evenFooter>&amp;L
_x000D_&amp;1#&amp;"Calibri"&amp;10&amp;K008000 Internal&amp;C&amp;"tahoma,Bold"&amp;8&amp;KFFCC00¯¯¯¯¯¯¯¯¯¯¯¯¯¯¯¯¯¯¯¯¯¯¯¯¯¯¯¯¯¯¯¯¯¯¯¯¯
Gizli / Confidential  -
 Genel Nitelikli Kişisel Veri
&amp;10_____________________________________</evenFooter>
    <firstFooter>&amp;L
_x000D_&amp;1#&amp;"Calibri"&amp;10&amp;K008000 Internal&amp;C&amp;"tahoma,Bold"&amp;8&amp;KFFCC00¯¯¯¯¯¯¯¯¯¯¯¯¯¯¯¯¯¯¯¯¯¯¯¯¯¯¯¯¯¯¯¯¯¯¯¯¯
Gizli / Confidential  -
 Genel Nitelikli Kişisel Veri
&amp;10_____________________________________</first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8"/>
  <dimension ref="A2:I1048576"/>
  <sheetViews>
    <sheetView zoomScale="85" zoomScaleNormal="85" workbookViewId="0">
      <pane ySplit="2" topLeftCell="A737" activePane="bottomLeft" state="frozen"/>
      <selection activeCell="G302" sqref="G302"/>
      <selection pane="bottomLeft" activeCell="G768" sqref="G768"/>
    </sheetView>
  </sheetViews>
  <sheetFormatPr defaultColWidth="9.26953125" defaultRowHeight="12.5" x14ac:dyDescent="0.25"/>
  <cols>
    <col min="1" max="1" width="18.453125" style="40" bestFit="1" customWidth="1"/>
    <col min="2" max="2" width="25.26953125" style="40" bestFit="1" customWidth="1"/>
    <col min="3" max="3" width="35.453125" style="40" customWidth="1"/>
    <col min="4" max="4" width="26.26953125" style="40" bestFit="1" customWidth="1"/>
    <col min="5" max="16384" width="9.26953125" style="40"/>
  </cols>
  <sheetData>
    <row r="2" spans="1:6" x14ac:dyDescent="0.25">
      <c r="A2" s="44" t="s">
        <v>190</v>
      </c>
      <c r="B2" s="44" t="s">
        <v>2793</v>
      </c>
      <c r="C2" s="44" t="str">
        <f t="shared" ref="C2:C65" si="0">CONCATENATE(B2,"/",A2)</f>
        <v>KARICIK/ADIYAMAN</v>
      </c>
      <c r="D2" s="44" t="s">
        <v>34</v>
      </c>
      <c r="F2" s="40" t="s">
        <v>3132</v>
      </c>
    </row>
    <row r="3" spans="1:6" x14ac:dyDescent="0.25">
      <c r="A3" s="44" t="s">
        <v>190</v>
      </c>
      <c r="B3" s="44" t="s">
        <v>3200</v>
      </c>
      <c r="C3" s="44" t="str">
        <f t="shared" si="0"/>
        <v>ESKİKÖY/ADIYAMAN</v>
      </c>
      <c r="D3" s="44" t="s">
        <v>495</v>
      </c>
      <c r="F3" s="40">
        <f>IFERROR(VLOOKUP(A3,'Büyükşehir List'!$C$2:$D$31,2,FALSE),0)</f>
        <v>0</v>
      </c>
    </row>
    <row r="4" spans="1:6" x14ac:dyDescent="0.25">
      <c r="A4" s="39" t="s">
        <v>190</v>
      </c>
      <c r="B4" s="39" t="s">
        <v>3311</v>
      </c>
      <c r="C4" s="39" t="str">
        <f t="shared" si="0"/>
        <v>DAMLACIK/ADIYAMAN</v>
      </c>
      <c r="D4" s="39" t="s">
        <v>424</v>
      </c>
      <c r="F4" s="40">
        <f>IFERROR(VLOOKUP(A4,'Büyükşehir List'!$C$2:$D$31,2,FALSE),0)</f>
        <v>0</v>
      </c>
    </row>
    <row r="5" spans="1:6" x14ac:dyDescent="0.25">
      <c r="A5" s="39" t="s">
        <v>190</v>
      </c>
      <c r="B5" s="39" t="s">
        <v>3327</v>
      </c>
      <c r="C5" s="44" t="str">
        <f t="shared" si="0"/>
        <v>ÜÇGÖZ/ADIYAMAN</v>
      </c>
      <c r="D5" s="39" t="s">
        <v>340</v>
      </c>
      <c r="F5" s="40">
        <f>IFERROR(VLOOKUP(B5,'Büyükşehir List'!$C$2:$D$31,2,FALSE),0)</f>
        <v>0</v>
      </c>
    </row>
    <row r="6" spans="1:6" customFormat="1" x14ac:dyDescent="0.25">
      <c r="A6" s="39" t="s">
        <v>190</v>
      </c>
      <c r="B6" s="39" t="s">
        <v>2956</v>
      </c>
      <c r="C6" s="39" t="str">
        <f t="shared" si="0"/>
        <v>KÖMÜR/ADIYAMAN</v>
      </c>
      <c r="D6" s="39" t="s">
        <v>34</v>
      </c>
      <c r="E6" s="40"/>
      <c r="F6" s="40">
        <f>IFERROR(VLOOKUP(A6,'Büyükşehir List'!$C$2:$D$31,2,FALSE),0)</f>
        <v>0</v>
      </c>
    </row>
    <row r="7" spans="1:6" x14ac:dyDescent="0.25">
      <c r="A7" s="39" t="s">
        <v>190</v>
      </c>
      <c r="B7" s="39" t="s">
        <v>3201</v>
      </c>
      <c r="C7" s="39" t="str">
        <f t="shared" si="0"/>
        <v>YAYLAKONAK/ADIYAMAN</v>
      </c>
      <c r="D7" s="39" t="s">
        <v>34</v>
      </c>
      <c r="F7" s="40">
        <f>IFERROR(VLOOKUP(A7,'Büyükşehir List'!$C$2:$D$31,2,FALSE),0)</f>
        <v>0</v>
      </c>
    </row>
    <row r="8" spans="1:6" x14ac:dyDescent="0.25">
      <c r="A8" s="39" t="s">
        <v>190</v>
      </c>
      <c r="B8" s="39" t="s">
        <v>2995</v>
      </c>
      <c r="C8" s="39" t="str">
        <f t="shared" si="0"/>
        <v>BÖLÜKYAYLA/ADIYAMAN</v>
      </c>
      <c r="D8" s="39" t="s">
        <v>424</v>
      </c>
      <c r="E8"/>
      <c r="F8">
        <f>IFERROR(VLOOKUP(A8,'Büyükşehir List'!$C$2:$D$31,2,FALSE),0)</f>
        <v>0</v>
      </c>
    </row>
    <row r="9" spans="1:6" ht="13" x14ac:dyDescent="0.3">
      <c r="A9" s="39" t="s">
        <v>190</v>
      </c>
      <c r="B9" s="39" t="s">
        <v>610</v>
      </c>
      <c r="C9" s="39" t="str">
        <f t="shared" si="0"/>
        <v>PINARBAŞI/ADIYAMAN</v>
      </c>
      <c r="D9" s="39" t="s">
        <v>3515</v>
      </c>
      <c r="E9" s="41"/>
      <c r="F9" s="40">
        <f>IFERROR(VLOOKUP(A9,'Büyükşehir List'!$C$2:$D$31,2,FALSE),0)</f>
        <v>0</v>
      </c>
    </row>
    <row r="10" spans="1:6" x14ac:dyDescent="0.25">
      <c r="A10" s="39" t="s">
        <v>190</v>
      </c>
      <c r="B10" s="39" t="s">
        <v>3497</v>
      </c>
      <c r="C10" s="39" t="str">
        <f t="shared" si="0"/>
        <v>HARMANLI/ADIYAMAN</v>
      </c>
      <c r="D10" s="39" t="s">
        <v>150</v>
      </c>
      <c r="F10" s="40">
        <f>IFERROR(VLOOKUP(A10,'Büyükşehir List'!$C$2:$D$31,2,FALSE),0)</f>
        <v>0</v>
      </c>
    </row>
    <row r="11" spans="1:6" x14ac:dyDescent="0.25">
      <c r="A11" s="39" t="s">
        <v>190</v>
      </c>
      <c r="B11" s="39" t="s">
        <v>3472</v>
      </c>
      <c r="C11" s="39" t="str">
        <f t="shared" si="0"/>
        <v>SUVARLI/ADIYAMAN</v>
      </c>
      <c r="D11" s="39" t="s">
        <v>340</v>
      </c>
      <c r="F11" s="40">
        <f>IFERROR(VLOOKUP(A11,'Büyükşehir List'!$C$2:$D$31,2,FALSE),0)</f>
        <v>0</v>
      </c>
    </row>
    <row r="12" spans="1:6" x14ac:dyDescent="0.25">
      <c r="A12" s="39" t="s">
        <v>190</v>
      </c>
      <c r="B12" s="39" t="s">
        <v>2833</v>
      </c>
      <c r="C12" s="39" t="str">
        <f t="shared" si="0"/>
        <v>ÇAKIRHÜYÜK/ADIYAMAN</v>
      </c>
      <c r="D12" s="39" t="s">
        <v>340</v>
      </c>
      <c r="F12" s="40">
        <f>IFERROR(VLOOKUP(A12,'Büyükşehir List'!$C$2:$D$31,2,FALSE),0)</f>
        <v>0</v>
      </c>
    </row>
    <row r="13" spans="1:6" x14ac:dyDescent="0.25">
      <c r="A13" s="39" t="s">
        <v>190</v>
      </c>
      <c r="B13" s="39" t="s">
        <v>2801</v>
      </c>
      <c r="C13" s="39" t="str">
        <f t="shared" si="0"/>
        <v>ŞAMBAYAT/ADIYAMAN</v>
      </c>
      <c r="D13" s="39" t="s">
        <v>340</v>
      </c>
      <c r="F13" s="40">
        <f>IFERROR(VLOOKUP(A13,'Büyükşehir List'!$C$2:$D$31,2,FALSE),0)</f>
        <v>0</v>
      </c>
    </row>
    <row r="14" spans="1:6" x14ac:dyDescent="0.25">
      <c r="A14" s="39" t="s">
        <v>190</v>
      </c>
      <c r="B14" s="39" t="s">
        <v>3522</v>
      </c>
      <c r="C14" s="39" t="str">
        <f t="shared" si="0"/>
        <v>BALKAR/ADIYAMAN</v>
      </c>
      <c r="D14" s="39" t="s">
        <v>150</v>
      </c>
      <c r="F14" s="40">
        <f>IFERROR(VLOOKUP(A14,'Büyükşehir List'!$C$2:$D$31,2,FALSE),0)</f>
        <v>0</v>
      </c>
    </row>
    <row r="15" spans="1:6" x14ac:dyDescent="0.25">
      <c r="A15" s="39" t="s">
        <v>190</v>
      </c>
      <c r="B15" s="39" t="s">
        <v>3582</v>
      </c>
      <c r="C15" s="39" t="str">
        <f t="shared" si="0"/>
        <v>BELÖREN/ADIYAMAN</v>
      </c>
      <c r="D15" s="39" t="s">
        <v>150</v>
      </c>
      <c r="F15" s="40">
        <f>IFERROR(VLOOKUP(A15,'Büyükşehir List'!$C$2:$D$31,2,FALSE),0)</f>
        <v>0</v>
      </c>
    </row>
    <row r="16" spans="1:6" x14ac:dyDescent="0.25">
      <c r="A16" s="39" t="s">
        <v>190</v>
      </c>
      <c r="B16" s="39" t="s">
        <v>3381</v>
      </c>
      <c r="C16" s="39" t="str">
        <f t="shared" si="0"/>
        <v>İNLİCE/ADIYAMAN</v>
      </c>
      <c r="D16" s="39" t="s">
        <v>495</v>
      </c>
      <c r="F16" s="40">
        <f>IFERROR(VLOOKUP(A16,'Büyükşehir List'!$C$2:$D$31,2,FALSE),0)</f>
        <v>0</v>
      </c>
    </row>
    <row r="17" spans="1:6" customFormat="1" x14ac:dyDescent="0.25">
      <c r="A17" s="39" t="s">
        <v>190</v>
      </c>
      <c r="B17" s="39" t="s">
        <v>3280</v>
      </c>
      <c r="C17" s="39" t="str">
        <f t="shared" si="0"/>
        <v>KESMETEPE/ADIYAMAN</v>
      </c>
      <c r="D17" s="39" t="s">
        <v>340</v>
      </c>
      <c r="E17" s="40"/>
      <c r="F17" s="40">
        <f>IFERROR(VLOOKUP(A17,'Büyükşehir List'!$C$2:$D$31,2,FALSE),0)</f>
        <v>0</v>
      </c>
    </row>
    <row r="18" spans="1:6" customFormat="1" x14ac:dyDescent="0.25">
      <c r="A18" s="44" t="s">
        <v>2143</v>
      </c>
      <c r="B18" s="44" t="s">
        <v>3020</v>
      </c>
      <c r="C18" s="44" t="str">
        <f t="shared" si="0"/>
        <v>AYAZİNİ/AFYONKARAHİSAR</v>
      </c>
      <c r="D18" s="44" t="s">
        <v>501</v>
      </c>
      <c r="E18" s="40"/>
      <c r="F18" s="40">
        <f>IFERROR(VLOOKUP(A18,'Büyükşehir List'!$C$2:$D$31,2,FALSE),0)</f>
        <v>0</v>
      </c>
    </row>
    <row r="19" spans="1:6" x14ac:dyDescent="0.25">
      <c r="A19" s="44" t="s">
        <v>2143</v>
      </c>
      <c r="B19" s="24" t="s">
        <v>2996</v>
      </c>
      <c r="C19" s="24" t="str">
        <f t="shared" si="0"/>
        <v>ÇİÇEKTEPE/AFYONKARAHİSAR</v>
      </c>
      <c r="D19" s="24" t="s">
        <v>348</v>
      </c>
      <c r="F19" s="40">
        <f>IFERROR(VLOOKUP(A19,'Büyükşehir List'!$C$2:$D$31,2,FALSE),0)</f>
        <v>0</v>
      </c>
    </row>
    <row r="20" spans="1:6" x14ac:dyDescent="0.25">
      <c r="A20" s="44" t="s">
        <v>2143</v>
      </c>
      <c r="B20" s="44" t="s">
        <v>3078</v>
      </c>
      <c r="C20" s="44" t="str">
        <f t="shared" si="0"/>
        <v>SİNCANLI /AFYONKARAHİSAR</v>
      </c>
      <c r="D20" s="70" t="s">
        <v>2721</v>
      </c>
      <c r="F20" s="40">
        <f>IFERROR(VLOOKUP(A20,'Büyükşehir List'!$C$2:$D$31,2,FALSE),0)</f>
        <v>0</v>
      </c>
    </row>
    <row r="21" spans="1:6" x14ac:dyDescent="0.25">
      <c r="A21" s="44" t="s">
        <v>2143</v>
      </c>
      <c r="B21" s="66" t="s">
        <v>3093</v>
      </c>
      <c r="C21" s="71" t="str">
        <f t="shared" si="0"/>
        <v>YÜREĞİL/AFYONKARAHİSAR</v>
      </c>
      <c r="D21" s="44" t="s">
        <v>292</v>
      </c>
      <c r="F21" s="40">
        <f>IFERROR(VLOOKUP(A21,'Büyükşehir List'!$C$2:$D$31,2,FALSE),0)</f>
        <v>0</v>
      </c>
    </row>
    <row r="22" spans="1:6" x14ac:dyDescent="0.25">
      <c r="A22" s="44" t="s">
        <v>2143</v>
      </c>
      <c r="B22" s="66" t="s">
        <v>3161</v>
      </c>
      <c r="C22" s="71" t="str">
        <f t="shared" si="0"/>
        <v>DOĞANLI/AFYONKARAHİSAR</v>
      </c>
      <c r="D22" s="44" t="s">
        <v>348</v>
      </c>
      <c r="F22" s="40">
        <f>IFERROR(VLOOKUP(A22,'Büyükşehir List'!$C$2:$D$31,2,FALSE),0)</f>
        <v>0</v>
      </c>
    </row>
    <row r="23" spans="1:6" x14ac:dyDescent="0.25">
      <c r="A23" s="44" t="s">
        <v>2143</v>
      </c>
      <c r="B23" s="44" t="s">
        <v>3177</v>
      </c>
      <c r="C23" s="44" t="str">
        <f t="shared" si="0"/>
        <v>KUSURA/AFYONKARAHİSAR</v>
      </c>
      <c r="D23" s="44" t="s">
        <v>93</v>
      </c>
      <c r="F23" s="40">
        <f>IFERROR(VLOOKUP(A23,'Büyükşehir List'!$C$2:$D$31,2,FALSE),0)</f>
        <v>0</v>
      </c>
    </row>
    <row r="24" spans="1:6" x14ac:dyDescent="0.25">
      <c r="A24" s="44" t="s">
        <v>2143</v>
      </c>
      <c r="B24" s="44" t="s">
        <v>3118</v>
      </c>
      <c r="C24" s="44" t="str">
        <f t="shared" si="0"/>
        <v>YAKA/AFYONKARAHİSAR</v>
      </c>
      <c r="D24" s="44" t="s">
        <v>2234</v>
      </c>
      <c r="F24" s="40">
        <f>IFERROR(VLOOKUP(A24,'Büyükşehir List'!$C$2:$D$31,2,FALSE),0)</f>
        <v>0</v>
      </c>
    </row>
    <row r="25" spans="1:6" x14ac:dyDescent="0.25">
      <c r="A25" s="44" t="s">
        <v>2143</v>
      </c>
      <c r="B25" s="44" t="s">
        <v>3091</v>
      </c>
      <c r="C25" s="44" t="str">
        <f t="shared" si="0"/>
        <v>SORKUN/AFYONKARAHİSAR</v>
      </c>
      <c r="D25" s="44" t="s">
        <v>93</v>
      </c>
      <c r="F25" s="40">
        <f>IFERROR(VLOOKUP(A25,'Büyükşehir List'!$C$2:$D$31,2,FALSE),0)</f>
        <v>0</v>
      </c>
    </row>
    <row r="26" spans="1:6" x14ac:dyDescent="0.25">
      <c r="A26" s="44" t="s">
        <v>2143</v>
      </c>
      <c r="B26" s="44" t="s">
        <v>2802</v>
      </c>
      <c r="C26" s="44" t="str">
        <f t="shared" si="0"/>
        <v>BÜYÜKKALECİK/AFYONKARAHİSAR</v>
      </c>
      <c r="D26" s="44" t="s">
        <v>34</v>
      </c>
      <c r="F26" s="40">
        <f>IFERROR(VLOOKUP(A26,'Büyükşehir List'!$C$2:$D$31,2,FALSE),0)</f>
        <v>0</v>
      </c>
    </row>
    <row r="27" spans="1:6" x14ac:dyDescent="0.25">
      <c r="A27" s="44" t="s">
        <v>2143</v>
      </c>
      <c r="B27" s="44" t="s">
        <v>3007</v>
      </c>
      <c r="C27" s="44" t="str">
        <f t="shared" si="0"/>
        <v>İNCESU/AFYONKARAHİSAR</v>
      </c>
      <c r="D27" s="44" t="s">
        <v>348</v>
      </c>
      <c r="F27" s="40">
        <f>IFERROR(VLOOKUP(A27,'Büyükşehir List'!$C$2:$D$31,2,FALSE),0)</f>
        <v>0</v>
      </c>
    </row>
    <row r="28" spans="1:6" x14ac:dyDescent="0.25">
      <c r="A28" s="44" t="s">
        <v>2143</v>
      </c>
      <c r="B28" s="44" t="s">
        <v>3203</v>
      </c>
      <c r="C28" s="44" t="str">
        <f t="shared" si="0"/>
        <v>YAVAŞLAR/AFYONKARAHİSAR</v>
      </c>
      <c r="D28" s="44" t="s">
        <v>93</v>
      </c>
      <c r="F28" s="40">
        <f>IFERROR(VLOOKUP(B28,'Büyükşehir List'!$C$2:$D$31,2,FALSE),0)</f>
        <v>0</v>
      </c>
    </row>
    <row r="29" spans="1:6" x14ac:dyDescent="0.25">
      <c r="A29" s="44" t="s">
        <v>2143</v>
      </c>
      <c r="B29" s="44" t="s">
        <v>3241</v>
      </c>
      <c r="C29" s="44" t="str">
        <f t="shared" si="0"/>
        <v>AHURHİSAR/AFYONKARAHİSAR</v>
      </c>
      <c r="D29" s="44" t="s">
        <v>500</v>
      </c>
      <c r="F29" s="40">
        <f>IFERROR(VLOOKUP(A29,'Büyükşehir List'!$C$2:$D$31,2,FALSE),0)</f>
        <v>0</v>
      </c>
    </row>
    <row r="30" spans="1:6" x14ac:dyDescent="0.25">
      <c r="A30" s="44" t="s">
        <v>2143</v>
      </c>
      <c r="B30" s="39" t="s">
        <v>3263</v>
      </c>
      <c r="C30" s="39" t="str">
        <f t="shared" si="0"/>
        <v>ÜÇKUYU/AFYONKARAHİSAR</v>
      </c>
      <c r="D30" s="39" t="s">
        <v>2258</v>
      </c>
    </row>
    <row r="31" spans="1:6" x14ac:dyDescent="0.25">
      <c r="A31" s="44" t="s">
        <v>2143</v>
      </c>
      <c r="B31" s="39" t="s">
        <v>3202</v>
      </c>
      <c r="C31" s="39" t="str">
        <f t="shared" si="0"/>
        <v>AŞAĞIPİRİBEYLİ/AFYONKARAHİSAR</v>
      </c>
      <c r="D31" s="39" t="s">
        <v>292</v>
      </c>
      <c r="F31" s="40">
        <f>IFERROR(VLOOKUP(A31,'Büyükşehir List'!$C$2:$D$31,2,FALSE),0)</f>
        <v>0</v>
      </c>
    </row>
    <row r="32" spans="1:6" x14ac:dyDescent="0.25">
      <c r="A32" s="44" t="s">
        <v>2143</v>
      </c>
      <c r="B32" s="39" t="s">
        <v>3242</v>
      </c>
      <c r="C32" s="39" t="str">
        <f t="shared" si="0"/>
        <v>KIZIK/AFYONKARAHİSAR</v>
      </c>
      <c r="D32" s="39" t="s">
        <v>93</v>
      </c>
      <c r="F32" s="40">
        <f>IFERROR(VLOOKUP(A32,'Büyükşehir List'!$C$2:$D$31,2,FALSE),0)</f>
        <v>0</v>
      </c>
    </row>
    <row r="33" spans="1:9" x14ac:dyDescent="0.25">
      <c r="A33" s="44" t="s">
        <v>2143</v>
      </c>
      <c r="B33" s="39" t="s">
        <v>3115</v>
      </c>
      <c r="C33" s="39" t="str">
        <f t="shared" si="0"/>
        <v>ULUKÖY/AFYONKARAHİSAR</v>
      </c>
      <c r="D33" s="39" t="s">
        <v>500</v>
      </c>
    </row>
    <row r="34" spans="1:9" x14ac:dyDescent="0.25">
      <c r="A34" s="44" t="s">
        <v>2143</v>
      </c>
      <c r="B34" s="39" t="s">
        <v>332</v>
      </c>
      <c r="C34" s="39" t="str">
        <f t="shared" si="0"/>
        <v>KINIK/AFYONKARAHİSAR</v>
      </c>
      <c r="D34" s="39" t="s">
        <v>2721</v>
      </c>
    </row>
    <row r="35" spans="1:9" x14ac:dyDescent="0.25">
      <c r="A35" s="44" t="s">
        <v>2143</v>
      </c>
      <c r="B35" s="39" t="s">
        <v>3176</v>
      </c>
      <c r="C35" s="39" t="str">
        <f t="shared" si="0"/>
        <v>KARADİREK/AFYONKARAHİSAR</v>
      </c>
      <c r="D35" s="39" t="s">
        <v>93</v>
      </c>
      <c r="E35"/>
      <c r="F35">
        <f>IFERROR(VLOOKUP(A35,'Büyükşehir List'!$C$2:$D$31,2,FALSE),0)</f>
        <v>0</v>
      </c>
    </row>
    <row r="36" spans="1:9" x14ac:dyDescent="0.25">
      <c r="A36" s="44" t="s">
        <v>2143</v>
      </c>
      <c r="B36" s="39" t="s">
        <v>3262</v>
      </c>
      <c r="C36" s="39" t="str">
        <f t="shared" si="0"/>
        <v>KEMERKAYA/AFYONKARAHİSAR</v>
      </c>
      <c r="D36" s="39" t="s">
        <v>347</v>
      </c>
      <c r="E36"/>
      <c r="F36">
        <f>IFERROR(VLOOKUP(A36,'Büyükşehir List'!$C$2:$D$31,2,FALSE),0)</f>
        <v>0</v>
      </c>
    </row>
    <row r="37" spans="1:9" x14ac:dyDescent="0.25">
      <c r="A37" s="44" t="s">
        <v>2143</v>
      </c>
      <c r="B37" s="39" t="s">
        <v>3281</v>
      </c>
      <c r="C37" s="39" t="str">
        <f t="shared" si="0"/>
        <v>KARAMIK/AFYONKARAHİSAR</v>
      </c>
      <c r="D37" s="39" t="s">
        <v>497</v>
      </c>
      <c r="F37" s="40">
        <f>IFERROR(VLOOKUP(A37,'Büyükşehir List'!$C$2:$D$31,2,FALSE),0)</f>
        <v>0</v>
      </c>
    </row>
    <row r="38" spans="1:9" x14ac:dyDescent="0.25">
      <c r="A38" s="44" t="s">
        <v>2143</v>
      </c>
      <c r="B38" s="39" t="s">
        <v>3160</v>
      </c>
      <c r="C38" s="39" t="str">
        <f t="shared" si="0"/>
        <v>BAŞAĞAÇ/AFYONKARAHİSAR</v>
      </c>
      <c r="D38" s="39" t="s">
        <v>93</v>
      </c>
      <c r="F38" s="40">
        <f>IFERROR(VLOOKUP(A38,'Büyükşehir List'!$C$2:$D$31,2,FALSE),0)</f>
        <v>0</v>
      </c>
      <c r="G38" s="42"/>
      <c r="H38" s="42"/>
      <c r="I38" s="42"/>
    </row>
    <row r="39" spans="1:9" x14ac:dyDescent="0.25">
      <c r="A39" s="44" t="s">
        <v>2143</v>
      </c>
      <c r="B39" s="39" t="s">
        <v>3261</v>
      </c>
      <c r="C39" s="39" t="str">
        <f t="shared" si="0"/>
        <v>GÜNEY/AFYONKARAHİSAR</v>
      </c>
      <c r="D39" s="39" t="s">
        <v>2721</v>
      </c>
      <c r="F39" s="40">
        <f>IFERROR(VLOOKUP(A39,'Büyükşehir List'!$C$2:$D$31,2,FALSE),0)</f>
        <v>0</v>
      </c>
      <c r="G39" s="42"/>
      <c r="H39" s="42"/>
      <c r="I39" s="42"/>
    </row>
    <row r="40" spans="1:9" x14ac:dyDescent="0.25">
      <c r="A40" s="44" t="s">
        <v>2143</v>
      </c>
      <c r="B40" s="39" t="s">
        <v>3368</v>
      </c>
      <c r="C40" s="44" t="str">
        <f t="shared" si="0"/>
        <v>EFE/AFYONKARAHİSAR</v>
      </c>
      <c r="D40" s="39" t="s">
        <v>2260</v>
      </c>
      <c r="F40" s="40">
        <f>IFERROR(VLOOKUP(A40,'Büyükşehir List'!$C$2:$D$31,2,FALSE),0)</f>
        <v>0</v>
      </c>
      <c r="G40" s="42"/>
      <c r="H40" s="42"/>
      <c r="I40" s="42"/>
    </row>
    <row r="41" spans="1:9" x14ac:dyDescent="0.25">
      <c r="A41" s="44" t="s">
        <v>2143</v>
      </c>
      <c r="B41" s="39" t="s">
        <v>3371</v>
      </c>
      <c r="C41" s="44" t="str">
        <f t="shared" si="0"/>
        <v>YIPRAK/AFYONKARAHİSAR</v>
      </c>
      <c r="D41" s="39" t="s">
        <v>348</v>
      </c>
      <c r="F41" s="40">
        <f>IFERROR(VLOOKUP(A41,'Büyükşehir List'!$C$2:$D$31,2,FALSE),0)</f>
        <v>0</v>
      </c>
      <c r="G41" s="42"/>
      <c r="H41" s="42"/>
      <c r="I41" s="42"/>
    </row>
    <row r="42" spans="1:9" x14ac:dyDescent="0.25">
      <c r="A42" s="44" t="s">
        <v>2143</v>
      </c>
      <c r="B42" s="39" t="s">
        <v>3457</v>
      </c>
      <c r="C42" s="39" t="str">
        <f t="shared" si="0"/>
        <v>DERESİNEK/AFYONKARAHİSAR</v>
      </c>
      <c r="D42" s="39" t="s">
        <v>497</v>
      </c>
      <c r="F42" s="40">
        <f>IFERROR(VLOOKUP(A42,'Büyükşehir List'!$C$2:$D$31,2,FALSE),0)</f>
        <v>0</v>
      </c>
      <c r="G42" s="42"/>
      <c r="H42" s="42"/>
      <c r="I42" s="42"/>
    </row>
    <row r="43" spans="1:9" x14ac:dyDescent="0.25">
      <c r="A43" s="44" t="s">
        <v>2143</v>
      </c>
      <c r="B43" s="39" t="s">
        <v>3370</v>
      </c>
      <c r="C43" s="39" t="str">
        <f t="shared" si="0"/>
        <v>SÜLÜN/AFYONKARAHİSAR</v>
      </c>
      <c r="D43" s="39" t="s">
        <v>34</v>
      </c>
      <c r="F43" s="40">
        <f>IFERROR(VLOOKUP(A43,'Büyükşehir List'!$C$2:$D$31,2,FALSE),0)</f>
        <v>0</v>
      </c>
      <c r="G43" s="42"/>
      <c r="H43" s="42"/>
      <c r="I43" s="42"/>
    </row>
    <row r="44" spans="1:9" x14ac:dyDescent="0.25">
      <c r="A44" s="44" t="s">
        <v>2143</v>
      </c>
      <c r="B44" s="39" t="s">
        <v>3369</v>
      </c>
      <c r="C44" s="39" t="str">
        <f t="shared" si="0"/>
        <v>NURİBEY/AFYONKARAHİSAR</v>
      </c>
      <c r="D44" s="39" t="s">
        <v>34</v>
      </c>
      <c r="F44" s="40">
        <f>IFERROR(VLOOKUP(A44,'Büyükşehir List'!$C$2:$D$31,2,FALSE),0)</f>
        <v>0</v>
      </c>
      <c r="G44" s="42"/>
      <c r="H44" s="42"/>
      <c r="I44" s="42"/>
    </row>
    <row r="45" spans="1:9" x14ac:dyDescent="0.25">
      <c r="A45" s="44" t="s">
        <v>2143</v>
      </c>
      <c r="B45" s="39" t="s">
        <v>2744</v>
      </c>
      <c r="C45" s="39" t="str">
        <f t="shared" si="0"/>
        <v>BEYYAZI/AFYONKARAHİSAR</v>
      </c>
      <c r="D45" s="39" t="s">
        <v>34</v>
      </c>
      <c r="G45" s="42"/>
      <c r="H45" s="42"/>
      <c r="I45" s="42"/>
    </row>
    <row r="46" spans="1:9" x14ac:dyDescent="0.25">
      <c r="A46" s="44" t="s">
        <v>2143</v>
      </c>
      <c r="B46" s="39" t="s">
        <v>3473</v>
      </c>
      <c r="C46" s="39" t="str">
        <f t="shared" si="0"/>
        <v>BALÇIKHİSAR/AFYONKARAHİSAR</v>
      </c>
      <c r="D46" s="39" t="s">
        <v>2260</v>
      </c>
      <c r="G46" s="42"/>
      <c r="H46" s="42"/>
      <c r="I46" s="42"/>
    </row>
    <row r="47" spans="1:9" x14ac:dyDescent="0.25">
      <c r="A47" s="44" t="s">
        <v>2143</v>
      </c>
      <c r="B47" s="39" t="s">
        <v>3092</v>
      </c>
      <c r="C47" s="39" t="str">
        <f t="shared" si="0"/>
        <v>SÜLÜMENLİ/AFYONKARAHİSAR</v>
      </c>
      <c r="D47" s="39" t="s">
        <v>34</v>
      </c>
      <c r="G47" s="42"/>
      <c r="H47" s="42"/>
      <c r="I47" s="42"/>
    </row>
    <row r="48" spans="1:9" x14ac:dyDescent="0.25">
      <c r="A48" s="44" t="s">
        <v>2143</v>
      </c>
      <c r="B48" s="39" t="s">
        <v>3090</v>
      </c>
      <c r="C48" s="39" t="str">
        <f t="shared" si="0"/>
        <v>IŞIKLAR/AFYONKARAHİSAR</v>
      </c>
      <c r="D48" s="39" t="s">
        <v>34</v>
      </c>
      <c r="F48" s="40">
        <f>IFERROR(VLOOKUP(A48,'Büyükşehir List'!$C$2:$D$31,2,FALSE),0)</f>
        <v>0</v>
      </c>
      <c r="G48" s="42"/>
      <c r="H48" s="42"/>
      <c r="I48" s="42"/>
    </row>
    <row r="49" spans="1:6" x14ac:dyDescent="0.25">
      <c r="A49" s="44" t="s">
        <v>2143</v>
      </c>
      <c r="B49" s="39" t="s">
        <v>2319</v>
      </c>
      <c r="C49" s="39" t="str">
        <f t="shared" si="0"/>
        <v>YAYLABAĞI/AFYONKARAHİSAR</v>
      </c>
      <c r="D49" s="39" t="s">
        <v>501</v>
      </c>
      <c r="F49" s="40">
        <f>IFERROR(VLOOKUP(A49,'Büyükşehir List'!$C$2:$D$31,2,FALSE),0)</f>
        <v>0</v>
      </c>
    </row>
    <row r="50" spans="1:6" x14ac:dyDescent="0.25">
      <c r="A50" s="44" t="s">
        <v>2143</v>
      </c>
      <c r="B50" s="39" t="s">
        <v>2173</v>
      </c>
      <c r="C50" s="39" t="str">
        <f t="shared" si="0"/>
        <v>GÖMÜ/AFYONKARAHİSAR</v>
      </c>
      <c r="D50" s="39" t="s">
        <v>292</v>
      </c>
      <c r="F50" s="40">
        <f>IFERROR(VLOOKUP(A50,'Büyükşehir List'!$C$2:$D$31,2,FALSE),0)</f>
        <v>0</v>
      </c>
    </row>
    <row r="51" spans="1:6" x14ac:dyDescent="0.25">
      <c r="A51" s="44" t="s">
        <v>2143</v>
      </c>
      <c r="B51" s="39" t="s">
        <v>2306</v>
      </c>
      <c r="C51" s="39" t="str">
        <f t="shared" si="0"/>
        <v>SALAR/AFYONKARAHİSAR</v>
      </c>
      <c r="D51" s="39" t="s">
        <v>34</v>
      </c>
      <c r="F51" s="40">
        <f>IFERROR(VLOOKUP(A51,'Büyükşehir List'!$C$2:$D$31,2,FALSE),0)</f>
        <v>0</v>
      </c>
    </row>
    <row r="52" spans="1:6" x14ac:dyDescent="0.25">
      <c r="A52" s="44" t="s">
        <v>2143</v>
      </c>
      <c r="B52" s="39" t="s">
        <v>3089</v>
      </c>
      <c r="C52" s="39" t="str">
        <f t="shared" si="0"/>
        <v>DEĞİRMENAYVALI/AFYONKARAHİSAR</v>
      </c>
      <c r="D52" s="39" t="s">
        <v>34</v>
      </c>
      <c r="F52" s="40">
        <f>IFERROR(VLOOKUP(A52,'Büyükşehir List'!$C$2:$D$31,2,FALSE),0)</f>
        <v>0</v>
      </c>
    </row>
    <row r="53" spans="1:6" x14ac:dyDescent="0.25">
      <c r="A53" s="44" t="s">
        <v>2143</v>
      </c>
      <c r="B53" s="39" t="s">
        <v>605</v>
      </c>
      <c r="C53" s="39" t="str">
        <f t="shared" si="0"/>
        <v>SUSUZ/AFYONKARAHİSAR</v>
      </c>
      <c r="D53" s="39" t="s">
        <v>34</v>
      </c>
      <c r="F53" s="40">
        <f>IFERROR(VLOOKUP(A53,'Büyükşehir List'!$C$2:$D$31,2,FALSE),0)</f>
        <v>0</v>
      </c>
    </row>
    <row r="54" spans="1:6" x14ac:dyDescent="0.25">
      <c r="A54" s="44" t="s">
        <v>2143</v>
      </c>
      <c r="B54" s="39" t="s">
        <v>3260</v>
      </c>
      <c r="C54" s="39" t="str">
        <f t="shared" si="0"/>
        <v>FETHİBEY/AFYONKARAHİSAR</v>
      </c>
      <c r="D54" s="39" t="s">
        <v>34</v>
      </c>
      <c r="F54" s="40">
        <f>IFERROR(VLOOKUP(A54,'Büyükşehir List'!$C$2:$D$31,2,FALSE),0)</f>
        <v>0</v>
      </c>
    </row>
    <row r="55" spans="1:6" x14ac:dyDescent="0.25">
      <c r="A55" s="44" t="s">
        <v>2143</v>
      </c>
      <c r="B55" s="39" t="s">
        <v>3064</v>
      </c>
      <c r="C55" s="39" t="str">
        <f t="shared" si="0"/>
        <v>ÇAYIRBAĞ/AFYONKARAHİSAR</v>
      </c>
      <c r="D55" s="39" t="s">
        <v>34</v>
      </c>
      <c r="F55" s="40">
        <f>IFERROR(VLOOKUP(A55,'Büyükşehir List'!$C$2:$D$31,2,FALSE),0)</f>
        <v>0</v>
      </c>
    </row>
    <row r="56" spans="1:6" x14ac:dyDescent="0.25">
      <c r="A56" s="44" t="s">
        <v>2143</v>
      </c>
      <c r="B56" s="39" t="s">
        <v>2854</v>
      </c>
      <c r="C56" s="39" t="str">
        <f t="shared" si="0"/>
        <v>ÖZBURUN/AFYONKARAHİSAR</v>
      </c>
      <c r="D56" s="39" t="s">
        <v>347</v>
      </c>
      <c r="F56" s="40">
        <f>IFERROR(VLOOKUP(B56,'Büyükşehir List'!$C$2:$D$31,2,FALSE),0)</f>
        <v>0</v>
      </c>
    </row>
    <row r="57" spans="1:6" x14ac:dyDescent="0.25">
      <c r="A57" s="44" t="s">
        <v>2143</v>
      </c>
      <c r="B57" s="39" t="s">
        <v>2989</v>
      </c>
      <c r="C57" s="39" t="str">
        <f t="shared" si="0"/>
        <v>AKHARIM/AFYONKARAHİSAR</v>
      </c>
      <c r="D57" s="39" t="s">
        <v>93</v>
      </c>
      <c r="F57" s="40">
        <f>IFERROR(VLOOKUP(A57,'Büyükşehir List'!$C$2:$D$31,2,FALSE),0)</f>
        <v>0</v>
      </c>
    </row>
    <row r="58" spans="1:6" x14ac:dyDescent="0.25">
      <c r="A58" s="44" t="s">
        <v>2143</v>
      </c>
      <c r="B58" s="39" t="s">
        <v>2123</v>
      </c>
      <c r="C58" s="39" t="str">
        <f t="shared" si="0"/>
        <v>TATARLI/AFYONKARAHİSAR</v>
      </c>
      <c r="D58" s="39" t="s">
        <v>348</v>
      </c>
      <c r="F58" s="40">
        <f>IFERROR(VLOOKUP(A58,'Büyükşehir List'!$C$2:$D$31,2,FALSE),0)</f>
        <v>0</v>
      </c>
    </row>
    <row r="59" spans="1:6" customFormat="1" x14ac:dyDescent="0.25">
      <c r="A59" s="44" t="s">
        <v>2143</v>
      </c>
      <c r="B59" s="39" t="s">
        <v>3298</v>
      </c>
      <c r="C59" s="39" t="str">
        <f t="shared" si="0"/>
        <v>ÇIKRIK/AFYONKARAHİSAR</v>
      </c>
      <c r="D59" s="39" t="s">
        <v>34</v>
      </c>
      <c r="E59" s="40"/>
      <c r="F59" s="40">
        <f>IFERROR(VLOOKUP(A59,'Büyükşehir List'!$C$2:$D$31,2,FALSE),0)</f>
        <v>0</v>
      </c>
    </row>
    <row r="60" spans="1:6" x14ac:dyDescent="0.25">
      <c r="A60" s="44" t="s">
        <v>2143</v>
      </c>
      <c r="B60" s="39" t="s">
        <v>2172</v>
      </c>
      <c r="C60" s="39" t="str">
        <f t="shared" si="0"/>
        <v>ERKMEN/AFYONKARAHİSAR</v>
      </c>
      <c r="D60" s="39" t="s">
        <v>34</v>
      </c>
      <c r="F60" s="40">
        <f>IFERROR(VLOOKUP(A60,'Büyükşehir List'!$C$2:$D$31,2,FALSE),0)</f>
        <v>0</v>
      </c>
    </row>
    <row r="61" spans="1:6" x14ac:dyDescent="0.25">
      <c r="A61" s="44" t="s">
        <v>2143</v>
      </c>
      <c r="B61" s="39" t="s">
        <v>2763</v>
      </c>
      <c r="C61" s="39" t="str">
        <f t="shared" si="0"/>
        <v>HAYDARLI/AFYONKARAHİSAR</v>
      </c>
      <c r="D61" s="39" t="s">
        <v>348</v>
      </c>
      <c r="F61" s="40">
        <f>IFERROR(VLOOKUP(A61,'Büyükşehir List'!$C$2:$D$31,2,FALSE),0)</f>
        <v>0</v>
      </c>
    </row>
    <row r="62" spans="1:6" x14ac:dyDescent="0.25">
      <c r="A62" s="44" t="s">
        <v>2143</v>
      </c>
      <c r="B62" s="39" t="s">
        <v>627</v>
      </c>
      <c r="C62" s="39" t="str">
        <f t="shared" si="0"/>
        <v>AKÖREN/AFYONKARAHİSAR</v>
      </c>
      <c r="D62" s="39" t="s">
        <v>2721</v>
      </c>
      <c r="F62" s="40">
        <f>IFERROR(VLOOKUP(A62,'Büyükşehir List'!$C$2:$D$31,2,FALSE),0)</f>
        <v>0</v>
      </c>
    </row>
    <row r="63" spans="1:6" x14ac:dyDescent="0.25">
      <c r="A63" s="44" t="s">
        <v>2143</v>
      </c>
      <c r="B63" s="39" t="s">
        <v>3523</v>
      </c>
      <c r="C63" s="39" t="str">
        <f t="shared" si="0"/>
        <v>YAKASİNEK/AFYONKARAHİSAR</v>
      </c>
      <c r="D63" s="39" t="s">
        <v>2258</v>
      </c>
      <c r="F63" s="40">
        <f>IFERROR(VLOOKUP(A63,'Büyükşehir List'!$C$2:$D$31,2,FALSE),0)</f>
        <v>0</v>
      </c>
    </row>
    <row r="64" spans="1:6" x14ac:dyDescent="0.25">
      <c r="A64" s="44" t="s">
        <v>2143</v>
      </c>
      <c r="B64" s="39" t="s">
        <v>2712</v>
      </c>
      <c r="C64" s="39" t="str">
        <f t="shared" si="0"/>
        <v>GEBECELER/AFYONKARAHİSAR</v>
      </c>
      <c r="D64" s="39" t="s">
        <v>34</v>
      </c>
      <c r="F64" s="40">
        <f>IFERROR(VLOOKUP(B64,'Büyükşehir List'!$C$2:$D$31,2,FALSE),0)</f>
        <v>0</v>
      </c>
    </row>
    <row r="65" spans="1:6" x14ac:dyDescent="0.25">
      <c r="A65" s="44" t="s">
        <v>2143</v>
      </c>
      <c r="B65" s="39" t="s">
        <v>3551</v>
      </c>
      <c r="C65" s="39" t="str">
        <f t="shared" si="0"/>
        <v>AHMETPAŞA/AFYONKARAHİSAR</v>
      </c>
      <c r="D65" s="39" t="s">
        <v>2721</v>
      </c>
    </row>
    <row r="66" spans="1:6" x14ac:dyDescent="0.25">
      <c r="A66" s="44" t="s">
        <v>2143</v>
      </c>
      <c r="B66" s="39" t="s">
        <v>3552</v>
      </c>
      <c r="C66" s="39" t="str">
        <f t="shared" ref="C66:C129" si="1">CONCATENATE(B66,"/",A66)</f>
        <v>KÜÇÜKHÜYÜK/AFYONKARAHİSAR</v>
      </c>
      <c r="D66" s="39" t="s">
        <v>2721</v>
      </c>
      <c r="E66" s="40" t="s">
        <v>3395</v>
      </c>
    </row>
    <row r="67" spans="1:6" x14ac:dyDescent="0.25">
      <c r="A67" s="44" t="s">
        <v>2143</v>
      </c>
      <c r="B67" s="39" t="s">
        <v>3477</v>
      </c>
      <c r="C67" s="39" t="str">
        <f t="shared" si="1"/>
        <v>ALANYURT/AFYONKARAHİSAR</v>
      </c>
      <c r="D67" s="39" t="s">
        <v>502</v>
      </c>
      <c r="F67" s="40">
        <f>IFERROR(VLOOKUP(A67,'Büyükşehir List'!$C$2:$D$31,2,FALSE),0)</f>
        <v>0</v>
      </c>
    </row>
    <row r="68" spans="1:6" x14ac:dyDescent="0.25">
      <c r="A68" s="44" t="s">
        <v>2143</v>
      </c>
      <c r="B68" s="39" t="s">
        <v>3561</v>
      </c>
      <c r="C68" s="39" t="str">
        <f t="shared" si="1"/>
        <v>EBER/AFYONKARAHİSAR</v>
      </c>
      <c r="D68" s="39" t="s">
        <v>497</v>
      </c>
      <c r="F68" s="40">
        <f>IFERROR(VLOOKUP(A68,'Büyükşehir List'!$C$2:$D$31,2,FALSE),0)</f>
        <v>0</v>
      </c>
    </row>
    <row r="69" spans="1:6" x14ac:dyDescent="0.25">
      <c r="A69" s="44" t="s">
        <v>2143</v>
      </c>
      <c r="B69" s="39" t="s">
        <v>2966</v>
      </c>
      <c r="C69" s="39" t="str">
        <f t="shared" si="1"/>
        <v>DİŞLİ/AFYONKARAHİSAR</v>
      </c>
      <c r="D69" s="39" t="s">
        <v>347</v>
      </c>
      <c r="F69" s="40">
        <f>IFERROR(VLOOKUP(A69,'Büyükşehir List'!$C$2:$D$31,2,FALSE),0)</f>
        <v>0</v>
      </c>
    </row>
    <row r="70" spans="1:6" x14ac:dyDescent="0.25">
      <c r="A70" s="44" t="s">
        <v>2143</v>
      </c>
      <c r="B70" s="39" t="s">
        <v>3012</v>
      </c>
      <c r="C70" s="39" t="str">
        <f t="shared" si="1"/>
        <v>DAVULGA/AFYONKARAHİSAR</v>
      </c>
      <c r="D70" s="39" t="s">
        <v>292</v>
      </c>
      <c r="F70" s="40">
        <f>IFERROR(VLOOKUP(A70,'Büyükşehir List'!$C$2:$D$31,2,FALSE),0)</f>
        <v>0</v>
      </c>
    </row>
    <row r="71" spans="1:6" x14ac:dyDescent="0.25">
      <c r="A71" s="44" t="s">
        <v>2143</v>
      </c>
      <c r="B71" s="39" t="s">
        <v>3570</v>
      </c>
      <c r="C71" s="39" t="str">
        <f t="shared" si="1"/>
        <v>KOCAGÖZ/AFYONKARAHİSAR</v>
      </c>
      <c r="D71" s="39" t="s">
        <v>498</v>
      </c>
      <c r="F71" s="40">
        <f>IFERROR(VLOOKUP(A71,'Büyükşehir List'!$C$2:$D$31,2,FALSE),0)</f>
        <v>0</v>
      </c>
    </row>
    <row r="72" spans="1:6" x14ac:dyDescent="0.25">
      <c r="A72" s="44" t="s">
        <v>2143</v>
      </c>
      <c r="B72" s="39" t="s">
        <v>3583</v>
      </c>
      <c r="C72" s="39" t="str">
        <f t="shared" si="1"/>
        <v>KIRCA/AFYONKARAHİSAR</v>
      </c>
      <c r="D72" s="39" t="s">
        <v>2258</v>
      </c>
      <c r="F72" s="40">
        <f>IFERROR(VLOOKUP(B72,'Büyükşehir List'!$C$2:$D$31,2,FALSE),0)</f>
        <v>0</v>
      </c>
    </row>
    <row r="73" spans="1:6" x14ac:dyDescent="0.25">
      <c r="A73" s="39" t="s">
        <v>2143</v>
      </c>
      <c r="B73" s="39" t="s">
        <v>611</v>
      </c>
      <c r="C73" s="39" t="str">
        <f t="shared" si="1"/>
        <v>SEYDİLER/AFYONKARAHİSAR</v>
      </c>
      <c r="D73" s="39" t="s">
        <v>502</v>
      </c>
      <c r="F73" s="40">
        <f>IFERROR(VLOOKUP(A73,'Büyükşehir List'!$C$2:$D$31,2,FALSE),0)</f>
        <v>0</v>
      </c>
    </row>
    <row r="74" spans="1:6" x14ac:dyDescent="0.25">
      <c r="A74" s="39" t="s">
        <v>2143</v>
      </c>
      <c r="B74" s="39" t="s">
        <v>3653</v>
      </c>
      <c r="C74" s="39" t="str">
        <f t="shared" si="1"/>
        <v>PAZARAĞAÇ/AFYONKARAHİSAR</v>
      </c>
      <c r="D74" s="39" t="s">
        <v>497</v>
      </c>
    </row>
    <row r="75" spans="1:6" x14ac:dyDescent="0.25">
      <c r="A75" s="39" t="s">
        <v>175</v>
      </c>
      <c r="B75" s="39" t="s">
        <v>3372</v>
      </c>
      <c r="C75" s="44" t="str">
        <f t="shared" si="1"/>
        <v>DEDELİ/AĞRI</v>
      </c>
      <c r="D75" s="39" t="s">
        <v>34</v>
      </c>
    </row>
    <row r="76" spans="1:6" x14ac:dyDescent="0.25">
      <c r="A76" s="24" t="s">
        <v>194</v>
      </c>
      <c r="B76" s="24" t="s">
        <v>2641</v>
      </c>
      <c r="C76" s="24" t="str">
        <f t="shared" si="1"/>
        <v>AKÇAKENT/AKSARAY</v>
      </c>
      <c r="D76" s="24" t="s">
        <v>34</v>
      </c>
    </row>
    <row r="77" spans="1:6" x14ac:dyDescent="0.25">
      <c r="A77" s="24" t="s">
        <v>194</v>
      </c>
      <c r="B77" s="66" t="s">
        <v>668</v>
      </c>
      <c r="C77" s="66" t="str">
        <f t="shared" si="1"/>
        <v>AVANOS/AKSARAY</v>
      </c>
      <c r="D77" s="24" t="s">
        <v>34</v>
      </c>
    </row>
    <row r="78" spans="1:6" x14ac:dyDescent="0.25">
      <c r="A78" s="44" t="s">
        <v>194</v>
      </c>
      <c r="B78" s="66" t="s">
        <v>3094</v>
      </c>
      <c r="C78" s="71" t="str">
        <f t="shared" si="1"/>
        <v>DOĞANTARLA/AKSARAY</v>
      </c>
      <c r="D78" s="44" t="s">
        <v>34</v>
      </c>
      <c r="F78" s="40">
        <f>IFERROR(VLOOKUP(A78,'Büyükşehir List'!$C$2:$D$31,2,FALSE),0)</f>
        <v>0</v>
      </c>
    </row>
    <row r="79" spans="1:6" x14ac:dyDescent="0.25">
      <c r="A79" s="44" t="s">
        <v>194</v>
      </c>
      <c r="B79" s="44" t="s">
        <v>3097</v>
      </c>
      <c r="C79" s="44" t="str">
        <f t="shared" si="1"/>
        <v>KARKIN/AKSARAY</v>
      </c>
      <c r="D79" s="44" t="s">
        <v>34</v>
      </c>
      <c r="F79" s="40">
        <f>IFERROR(VLOOKUP(A79,'Büyükşehir List'!$C$2:$D$31,2,FALSE),0)</f>
        <v>0</v>
      </c>
    </row>
    <row r="80" spans="1:6" x14ac:dyDescent="0.25">
      <c r="A80" s="44" t="s">
        <v>194</v>
      </c>
      <c r="B80" s="44" t="s">
        <v>3098</v>
      </c>
      <c r="C80" s="44" t="str">
        <f t="shared" si="1"/>
        <v>SEVİNÇLİ/AKSARAY</v>
      </c>
      <c r="D80" s="44" t="s">
        <v>34</v>
      </c>
      <c r="F80" s="40">
        <f>IFERROR(VLOOKUP(A80,'Büyükşehir List'!$C$2:$D$31,2,FALSE),0)</f>
        <v>0</v>
      </c>
    </row>
    <row r="81" spans="1:6" x14ac:dyDescent="0.25">
      <c r="A81" s="44" t="s">
        <v>194</v>
      </c>
      <c r="B81" s="44" t="s">
        <v>466</v>
      </c>
      <c r="C81" s="44" t="str">
        <f t="shared" si="1"/>
        <v>ULUKIŞLA/AKSARAY</v>
      </c>
      <c r="D81" s="44" t="s">
        <v>34</v>
      </c>
      <c r="F81" s="40">
        <f>IFERROR(VLOOKUP(A81,'Büyükşehir List'!$C$2:$D$31,2,FALSE),0)</f>
        <v>0</v>
      </c>
    </row>
    <row r="82" spans="1:6" x14ac:dyDescent="0.25">
      <c r="A82" s="44" t="s">
        <v>194</v>
      </c>
      <c r="B82" s="44" t="s">
        <v>3204</v>
      </c>
      <c r="C82" s="44" t="str">
        <f t="shared" si="1"/>
        <v>SARAYHAN/AKSARAY</v>
      </c>
      <c r="D82" s="44" t="s">
        <v>34</v>
      </c>
      <c r="F82" s="40">
        <f>IFERROR(VLOOKUP(A82,'Büyükşehir List'!$C$2:$D$31,2,FALSE),0)</f>
        <v>0</v>
      </c>
    </row>
    <row r="83" spans="1:6" x14ac:dyDescent="0.25">
      <c r="A83" s="39" t="s">
        <v>194</v>
      </c>
      <c r="B83" s="39" t="s">
        <v>189</v>
      </c>
      <c r="C83" s="39" t="str">
        <f t="shared" si="1"/>
        <v>ARMUTLU/AKSARAY</v>
      </c>
      <c r="D83" s="39" t="s">
        <v>34</v>
      </c>
      <c r="F83" s="40">
        <f>IFERROR(VLOOKUP(B83,'Büyükşehir List'!$C$2:$D$31,2,FALSE),0)</f>
        <v>0</v>
      </c>
    </row>
    <row r="84" spans="1:6" x14ac:dyDescent="0.25">
      <c r="A84" s="39" t="s">
        <v>194</v>
      </c>
      <c r="B84" s="39" t="s">
        <v>3100</v>
      </c>
      <c r="C84" s="39" t="str">
        <f t="shared" si="1"/>
        <v>YUVA/AKSARAY</v>
      </c>
      <c r="D84" s="39" t="s">
        <v>34</v>
      </c>
    </row>
    <row r="85" spans="1:6" x14ac:dyDescent="0.25">
      <c r="A85" s="39" t="s">
        <v>194</v>
      </c>
      <c r="B85" s="39" t="s">
        <v>3328</v>
      </c>
      <c r="C85" s="44" t="str">
        <f t="shared" si="1"/>
        <v>HARMANDALI/AKSARAY</v>
      </c>
      <c r="D85" s="39" t="s">
        <v>349</v>
      </c>
      <c r="F85" s="40">
        <f>IFERROR(VLOOKUP(A85,'Büyükşehir List'!$C$2:$D$31,2,FALSE),0)</f>
        <v>0</v>
      </c>
    </row>
    <row r="86" spans="1:6" ht="13" x14ac:dyDescent="0.3">
      <c r="A86" s="39" t="s">
        <v>194</v>
      </c>
      <c r="B86" s="39" t="s">
        <v>3373</v>
      </c>
      <c r="C86" s="44" t="str">
        <f t="shared" si="1"/>
        <v>ILISU/AKSARAY</v>
      </c>
      <c r="D86" s="39" t="s">
        <v>2395</v>
      </c>
      <c r="E86" s="41"/>
      <c r="F86" s="40">
        <f>IFERROR(VLOOKUP(A86,'Büyükşehir List'!$C$2:$D$31,2,FALSE),0)</f>
        <v>0</v>
      </c>
    </row>
    <row r="87" spans="1:6" x14ac:dyDescent="0.25">
      <c r="A87" s="39" t="s">
        <v>194</v>
      </c>
      <c r="B87" s="39" t="s">
        <v>3397</v>
      </c>
      <c r="C87" s="44" t="str">
        <f t="shared" si="1"/>
        <v>CAMİLİ/AKSARAY</v>
      </c>
      <c r="D87" s="39" t="s">
        <v>1993</v>
      </c>
      <c r="F87" s="40">
        <f>IFERROR(VLOOKUP(A87,'Büyükşehir List'!$C$2:$D$31,2,FALSE),0)</f>
        <v>0</v>
      </c>
    </row>
    <row r="88" spans="1:6" x14ac:dyDescent="0.25">
      <c r="A88" s="39" t="s">
        <v>194</v>
      </c>
      <c r="B88" s="39" t="s">
        <v>3415</v>
      </c>
      <c r="C88" s="39" t="str">
        <f t="shared" si="1"/>
        <v>BEKARLAR/AKSARAY</v>
      </c>
      <c r="D88" s="39" t="s">
        <v>2102</v>
      </c>
      <c r="F88" s="40">
        <f>IFERROR(VLOOKUP(A88,'Büyükşehir List'!$C$2:$D$31,2,FALSE),0)</f>
        <v>0</v>
      </c>
    </row>
    <row r="89" spans="1:6" x14ac:dyDescent="0.25">
      <c r="A89" s="39" t="s">
        <v>194</v>
      </c>
      <c r="B89" s="39" t="s">
        <v>3438</v>
      </c>
      <c r="C89" s="39" t="str">
        <f t="shared" si="1"/>
        <v>OZANCIK/AKSARAY</v>
      </c>
      <c r="D89" s="39" t="s">
        <v>349</v>
      </c>
      <c r="F89" s="40">
        <f>IFERROR(VLOOKUP(B89,'Büyükşehir List'!$C$2:$D$31,2,FALSE),0)</f>
        <v>0</v>
      </c>
    </row>
    <row r="90" spans="1:6" x14ac:dyDescent="0.25">
      <c r="A90" s="39" t="s">
        <v>194</v>
      </c>
      <c r="B90" s="39" t="s">
        <v>2425</v>
      </c>
      <c r="C90" s="39" t="str">
        <f t="shared" si="1"/>
        <v>BAĞLIKAYA/AKSARAY</v>
      </c>
      <c r="D90" s="39" t="s">
        <v>34</v>
      </c>
      <c r="F90" s="40">
        <f>IFERROR(VLOOKUP(A90,'Büyükşehir List'!$C$2:$D$31,2,FALSE),0)</f>
        <v>0</v>
      </c>
    </row>
    <row r="91" spans="1:6" ht="13" x14ac:dyDescent="0.3">
      <c r="A91" s="39" t="s">
        <v>194</v>
      </c>
      <c r="B91" s="39" t="s">
        <v>2865</v>
      </c>
      <c r="C91" s="39" t="str">
        <f t="shared" si="1"/>
        <v>TOPAKKAYA/AKSARAY</v>
      </c>
      <c r="D91" s="39" t="s">
        <v>34</v>
      </c>
      <c r="E91" s="41"/>
      <c r="F91" s="40">
        <f>IFERROR(VLOOKUP(A91,'Büyükşehir List'!$C$2:$D$31,2,FALSE),0)</f>
        <v>0</v>
      </c>
    </row>
    <row r="92" spans="1:6" x14ac:dyDescent="0.25">
      <c r="A92" s="39" t="s">
        <v>194</v>
      </c>
      <c r="B92" s="39" t="s">
        <v>2050</v>
      </c>
      <c r="C92" s="39" t="str">
        <f t="shared" si="1"/>
        <v>YENİKENT/AKSARAY</v>
      </c>
      <c r="D92" s="39" t="s">
        <v>34</v>
      </c>
      <c r="F92" s="40">
        <f>IFERROR(VLOOKUP(A92,'Büyükşehir List'!$C$2:$D$31,2,FALSE),0)</f>
        <v>0</v>
      </c>
    </row>
    <row r="93" spans="1:6" x14ac:dyDescent="0.25">
      <c r="A93" s="39" t="s">
        <v>194</v>
      </c>
      <c r="B93" s="39" t="s">
        <v>3099</v>
      </c>
      <c r="C93" s="39" t="str">
        <f t="shared" si="1"/>
        <v>YEŞİLTEPE/AKSARAY</v>
      </c>
      <c r="D93" s="39" t="s">
        <v>34</v>
      </c>
      <c r="F93" s="40">
        <f>IFERROR(VLOOKUP(A93,'Büyükşehir List'!$C$2:$D$31,2,FALSE),0)</f>
        <v>0</v>
      </c>
    </row>
    <row r="94" spans="1:6" x14ac:dyDescent="0.25">
      <c r="A94" s="39" t="s">
        <v>194</v>
      </c>
      <c r="B94" s="39" t="s">
        <v>3096</v>
      </c>
      <c r="C94" s="39" t="str">
        <f t="shared" si="1"/>
        <v>HELVADERE/AKSARAY</v>
      </c>
      <c r="D94" s="39" t="s">
        <v>34</v>
      </c>
      <c r="F94" s="40">
        <f>IFERROR(VLOOKUP(A94,'Büyükşehir List'!$C$2:$D$31,2,FALSE),0)</f>
        <v>0</v>
      </c>
    </row>
    <row r="95" spans="1:6" x14ac:dyDescent="0.25">
      <c r="A95" s="39" t="s">
        <v>194</v>
      </c>
      <c r="B95" s="39" t="s">
        <v>2263</v>
      </c>
      <c r="C95" s="39" t="str">
        <f t="shared" si="1"/>
        <v>YEŞİLOVA/AKSARAY</v>
      </c>
      <c r="D95" s="39" t="s">
        <v>34</v>
      </c>
      <c r="F95" s="40">
        <f>IFERROR(VLOOKUP(A95,'Büyükşehir List'!$C$2:$D$31,2,FALSE),0)</f>
        <v>0</v>
      </c>
    </row>
    <row r="96" spans="1:6" x14ac:dyDescent="0.25">
      <c r="A96" s="39" t="s">
        <v>194</v>
      </c>
      <c r="B96" s="39" t="s">
        <v>3095</v>
      </c>
      <c r="C96" s="39" t="str">
        <f t="shared" si="1"/>
        <v>GÜLPINAR/AKSARAY</v>
      </c>
      <c r="D96" s="39" t="s">
        <v>2102</v>
      </c>
      <c r="F96" s="40">
        <f>IFERROR(VLOOKUP(A96,'Büyükşehir List'!$C$2:$D$31,2,FALSE),0)</f>
        <v>0</v>
      </c>
    </row>
    <row r="97" spans="1:6" x14ac:dyDescent="0.25">
      <c r="A97" s="39" t="s">
        <v>194</v>
      </c>
      <c r="B97" s="39" t="s">
        <v>2658</v>
      </c>
      <c r="C97" s="39" t="str">
        <f t="shared" si="1"/>
        <v>TAŞPINAR/AKSARAY</v>
      </c>
      <c r="D97" s="39" t="s">
        <v>34</v>
      </c>
      <c r="F97" s="40">
        <f>IFERROR(VLOOKUP(A97,'Büyükşehir List'!$C$2:$D$31,2,FALSE),0)</f>
        <v>0</v>
      </c>
    </row>
    <row r="98" spans="1:6" x14ac:dyDescent="0.25">
      <c r="A98" s="39" t="s">
        <v>194</v>
      </c>
      <c r="B98" s="39" t="s">
        <v>2911</v>
      </c>
      <c r="C98" s="39" t="str">
        <f t="shared" si="1"/>
        <v>SAĞLIK/AKSARAY</v>
      </c>
      <c r="D98" s="39" t="s">
        <v>34</v>
      </c>
      <c r="F98" s="40">
        <f>IFERROR(VLOOKUP(A98,'Büyükşehir List'!$C$2:$D$31,2,FALSE),0)</f>
        <v>0</v>
      </c>
    </row>
    <row r="99" spans="1:6" x14ac:dyDescent="0.25">
      <c r="A99" s="39" t="s">
        <v>194</v>
      </c>
      <c r="B99" s="39" t="s">
        <v>628</v>
      </c>
      <c r="C99" s="39" t="str">
        <f t="shared" si="1"/>
        <v>BOZKIR/AKSARAY</v>
      </c>
      <c r="D99" s="39" t="s">
        <v>349</v>
      </c>
      <c r="F99" s="40">
        <f>IFERROR(VLOOKUP(B99,'Büyükşehir List'!$C$2:$D$31,2,FALSE),0)</f>
        <v>0</v>
      </c>
    </row>
    <row r="100" spans="1:6" x14ac:dyDescent="0.25">
      <c r="A100" s="39" t="s">
        <v>194</v>
      </c>
      <c r="B100" s="39" t="s">
        <v>3524</v>
      </c>
      <c r="C100" s="39" t="str">
        <f t="shared" si="1"/>
        <v>DEVADAMI/AKSARAY</v>
      </c>
      <c r="D100" s="39" t="s">
        <v>349</v>
      </c>
      <c r="F100" s="40">
        <f>IFERROR(VLOOKUP(B100,'Büyükşehir List'!$C$2:$D$31,2,FALSE),0)</f>
        <v>0</v>
      </c>
    </row>
    <row r="101" spans="1:6" x14ac:dyDescent="0.25">
      <c r="A101" s="39" t="s">
        <v>194</v>
      </c>
      <c r="B101" s="39" t="s">
        <v>2174</v>
      </c>
      <c r="C101" s="39" t="str">
        <f t="shared" si="1"/>
        <v>EŞMEKAYA/AKSARAY</v>
      </c>
      <c r="D101" s="39" t="s">
        <v>2200</v>
      </c>
      <c r="F101" s="40">
        <f>IFERROR(VLOOKUP(A101,'Büyükşehir List'!$C$2:$D$31,2,FALSE),0)</f>
        <v>0</v>
      </c>
    </row>
    <row r="102" spans="1:6" x14ac:dyDescent="0.25">
      <c r="A102" s="39" t="s">
        <v>194</v>
      </c>
      <c r="B102" s="39" t="s">
        <v>3584</v>
      </c>
      <c r="C102" s="39" t="str">
        <f t="shared" si="1"/>
        <v>ÇİFTEEVİ/AKSARAY</v>
      </c>
      <c r="D102" s="39" t="s">
        <v>349</v>
      </c>
      <c r="F102" s="40">
        <f>IFERROR(VLOOKUP(A102,'Büyükşehir List'!$C$2:$D$31,2,FALSE),0)</f>
        <v>0</v>
      </c>
    </row>
    <row r="103" spans="1:6" x14ac:dyDescent="0.25">
      <c r="A103" s="39" t="s">
        <v>194</v>
      </c>
      <c r="B103" s="39" t="s">
        <v>3597</v>
      </c>
      <c r="C103" s="39" t="str">
        <f t="shared" si="1"/>
        <v>SARIKARAMAN/AKSARAY</v>
      </c>
      <c r="D103" s="39" t="s">
        <v>349</v>
      </c>
      <c r="F103" s="40">
        <f>IFERROR(VLOOKUP(A103,'Büyükşehir List'!$C$2:$D$31,2,FALSE),0)</f>
        <v>0</v>
      </c>
    </row>
    <row r="104" spans="1:6" x14ac:dyDescent="0.25">
      <c r="A104" s="39" t="s">
        <v>194</v>
      </c>
      <c r="B104" s="39" t="s">
        <v>504</v>
      </c>
      <c r="C104" s="39" t="str">
        <f t="shared" si="1"/>
        <v>DEMİRCİ/AKSARAY</v>
      </c>
      <c r="D104" s="39" t="s">
        <v>2102</v>
      </c>
      <c r="F104" s="40">
        <f>IFERROR(VLOOKUP(A104,'Büyükşehir List'!$C$2:$D$31,2,FALSE),0)</f>
        <v>0</v>
      </c>
    </row>
    <row r="105" spans="1:6" x14ac:dyDescent="0.25">
      <c r="A105" s="44" t="s">
        <v>38</v>
      </c>
      <c r="B105" s="44" t="s">
        <v>2745</v>
      </c>
      <c r="C105" s="44" t="str">
        <f t="shared" si="1"/>
        <v>DOĞANTEPE/AMASYA</v>
      </c>
      <c r="D105" s="44" t="s">
        <v>34</v>
      </c>
      <c r="F105" s="40">
        <f>IFERROR(VLOOKUP(A105,'Büyükşehir List'!$C$2:$D$31,2,FALSE),0)</f>
        <v>0</v>
      </c>
    </row>
    <row r="106" spans="1:6" x14ac:dyDescent="0.25">
      <c r="A106" s="44" t="s">
        <v>38</v>
      </c>
      <c r="B106" s="44" t="s">
        <v>3102</v>
      </c>
      <c r="C106" s="44" t="str">
        <f t="shared" si="1"/>
        <v>YEŞİL YENİCE/AMASYA</v>
      </c>
      <c r="D106" s="44" t="s">
        <v>34</v>
      </c>
    </row>
    <row r="107" spans="1:6" x14ac:dyDescent="0.25">
      <c r="A107" s="44" t="s">
        <v>38</v>
      </c>
      <c r="B107" s="44" t="s">
        <v>3205</v>
      </c>
      <c r="C107" s="44" t="str">
        <f t="shared" si="1"/>
        <v>ÖZBARAKLI/AMASYA</v>
      </c>
      <c r="D107" s="44" t="s">
        <v>328</v>
      </c>
      <c r="F107" s="40">
        <f>IFERROR(VLOOKUP(A107,'Büyükşehir List'!$C$2:$D$31,2,FALSE),0)</f>
        <v>0</v>
      </c>
    </row>
    <row r="108" spans="1:6" x14ac:dyDescent="0.25">
      <c r="A108" s="44" t="s">
        <v>38</v>
      </c>
      <c r="B108" s="44" t="s">
        <v>3101</v>
      </c>
      <c r="C108" s="44" t="str">
        <f t="shared" si="1"/>
        <v>YASSIÇAL/AMASYA</v>
      </c>
      <c r="D108" s="44" t="s">
        <v>34</v>
      </c>
      <c r="F108" s="40">
        <f>IFERROR(VLOOKUP(A108,'Büyükşehir List'!$C$2:$D$31,2,FALSE),0)</f>
        <v>0</v>
      </c>
    </row>
    <row r="109" spans="1:6" x14ac:dyDescent="0.25">
      <c r="A109" s="39" t="s">
        <v>38</v>
      </c>
      <c r="B109" s="39" t="s">
        <v>3425</v>
      </c>
      <c r="C109" s="39" t="str">
        <f t="shared" si="1"/>
        <v>ESENÇAY/AMASYA</v>
      </c>
      <c r="D109" s="39" t="s">
        <v>328</v>
      </c>
      <c r="F109" s="40">
        <f>IFERROR(VLOOKUP(A109,'Büyükşehir List'!$C$2:$D$31,2,FALSE),0)</f>
        <v>0</v>
      </c>
    </row>
    <row r="110" spans="1:6" x14ac:dyDescent="0.25">
      <c r="A110" s="39" t="s">
        <v>38</v>
      </c>
      <c r="B110" s="39" t="s">
        <v>3424</v>
      </c>
      <c r="C110" s="39" t="str">
        <f t="shared" si="1"/>
        <v>BALLIDERE/AMASYA</v>
      </c>
      <c r="D110" s="39" t="s">
        <v>328</v>
      </c>
      <c r="F110" s="40">
        <f>IFERROR(VLOOKUP(A110,'Büyükşehir List'!$C$2:$D$31,2,FALSE),0)</f>
        <v>0</v>
      </c>
    </row>
    <row r="111" spans="1:6" x14ac:dyDescent="0.25">
      <c r="A111" s="39" t="s">
        <v>38</v>
      </c>
      <c r="B111" s="39" t="s">
        <v>3115</v>
      </c>
      <c r="C111" s="39" t="str">
        <f t="shared" si="1"/>
        <v>ULUKÖY/AMASYA</v>
      </c>
      <c r="D111" s="39" t="s">
        <v>328</v>
      </c>
      <c r="F111" s="40">
        <f>IFERROR(VLOOKUP(A111,'Büyükşehir List'!$C$2:$D$31,2,FALSE),0)</f>
        <v>0</v>
      </c>
    </row>
    <row r="112" spans="1:6" x14ac:dyDescent="0.25">
      <c r="A112" s="39" t="s">
        <v>38</v>
      </c>
      <c r="B112" s="39" t="s">
        <v>505</v>
      </c>
      <c r="C112" s="39" t="str">
        <f t="shared" si="1"/>
        <v>ZİYARET/AMASYA</v>
      </c>
      <c r="D112" s="39" t="s">
        <v>34</v>
      </c>
      <c r="F112" s="40">
        <f>IFERROR(VLOOKUP(A112,'Büyükşehir List'!$C$2:$D$31,2,FALSE),0)</f>
        <v>0</v>
      </c>
    </row>
    <row r="113" spans="1:6" x14ac:dyDescent="0.25">
      <c r="A113" s="39" t="s">
        <v>38</v>
      </c>
      <c r="B113" s="39" t="s">
        <v>3571</v>
      </c>
      <c r="C113" s="39" t="str">
        <f t="shared" si="1"/>
        <v>ALPASLAN/AMASYA</v>
      </c>
      <c r="D113" s="39" t="s">
        <v>328</v>
      </c>
      <c r="F113" s="40">
        <f>IFERROR(VLOOKUP(A113,'Büyükşehir List'!$C$2:$D$31,2,FALSE),0)</f>
        <v>0</v>
      </c>
    </row>
    <row r="114" spans="1:6" x14ac:dyDescent="0.25">
      <c r="A114" s="39" t="s">
        <v>38</v>
      </c>
      <c r="B114" s="39" t="s">
        <v>3379</v>
      </c>
      <c r="C114" s="39" t="str">
        <f t="shared" si="1"/>
        <v>BELEVİ/AMASYA</v>
      </c>
      <c r="D114" s="39" t="s">
        <v>328</v>
      </c>
      <c r="E114" s="40" t="s">
        <v>3396</v>
      </c>
    </row>
    <row r="115" spans="1:6" x14ac:dyDescent="0.25">
      <c r="A115" s="39" t="s">
        <v>313</v>
      </c>
      <c r="B115" s="39" t="s">
        <v>3525</v>
      </c>
      <c r="C115" s="39" t="str">
        <f t="shared" si="1"/>
        <v>KÖPRÜLÜ/ARDAHAN</v>
      </c>
      <c r="D115" s="39" t="s">
        <v>514</v>
      </c>
    </row>
    <row r="116" spans="1:6" x14ac:dyDescent="0.25">
      <c r="A116" s="44" t="s">
        <v>2</v>
      </c>
      <c r="B116" s="44" t="s">
        <v>3103</v>
      </c>
      <c r="C116" s="71" t="str">
        <f t="shared" si="1"/>
        <v>MEYDANCIK/ARTVİN</v>
      </c>
      <c r="D116" s="44" t="s">
        <v>352</v>
      </c>
      <c r="F116" s="40">
        <f>IFERROR(VLOOKUP(A116,'Büyükşehir List'!$C$2:$D$31,2,FALSE),0)</f>
        <v>0</v>
      </c>
    </row>
    <row r="117" spans="1:6" x14ac:dyDescent="0.25">
      <c r="A117" s="44" t="s">
        <v>2</v>
      </c>
      <c r="B117" s="44" t="s">
        <v>3243</v>
      </c>
      <c r="C117" s="44" t="str">
        <f t="shared" si="1"/>
        <v>KILIÇKAYA/ARTVİN</v>
      </c>
      <c r="D117" s="44" t="s">
        <v>2264</v>
      </c>
      <c r="F117" s="40">
        <f>IFERROR(VLOOKUP(A117,'Büyükşehir List'!$C$2:$D$31,2,FALSE),0)</f>
        <v>0</v>
      </c>
    </row>
    <row r="118" spans="1:6" x14ac:dyDescent="0.25">
      <c r="A118" s="39" t="s">
        <v>67</v>
      </c>
      <c r="B118" s="39" t="s">
        <v>1858</v>
      </c>
      <c r="C118" s="39" t="str">
        <f t="shared" si="1"/>
        <v>KOZCAĞIZ/BARTIN</v>
      </c>
      <c r="D118" s="39" t="s">
        <v>34</v>
      </c>
      <c r="F118" s="40">
        <f>IFERROR(VLOOKUP(A118,'Büyükşehir List'!$C$2:$D$31,2,FALSE),0)</f>
        <v>0</v>
      </c>
    </row>
    <row r="119" spans="1:6" ht="13" x14ac:dyDescent="0.3">
      <c r="A119" s="39" t="s">
        <v>67</v>
      </c>
      <c r="B119" s="39" t="s">
        <v>2746</v>
      </c>
      <c r="C119" s="39" t="str">
        <f t="shared" si="1"/>
        <v>HASANKADI/BARTIN</v>
      </c>
      <c r="D119" s="39" t="s">
        <v>34</v>
      </c>
      <c r="E119" s="41"/>
      <c r="F119" s="40">
        <f>IFERROR(VLOOKUP(A119,'Büyükşehir List'!$C$2:$D$31,2,FALSE),0)</f>
        <v>0</v>
      </c>
    </row>
    <row r="120" spans="1:6" x14ac:dyDescent="0.25">
      <c r="A120" s="39" t="s">
        <v>49</v>
      </c>
      <c r="B120" s="39" t="s">
        <v>1995</v>
      </c>
      <c r="C120" s="39" t="str">
        <f t="shared" si="1"/>
        <v>BALPINAR/BATMAN</v>
      </c>
      <c r="D120" s="39" t="s">
        <v>34</v>
      </c>
      <c r="F120" s="40">
        <f>IFERROR(VLOOKUP(A120,'Büyükşehir List'!$C$2:$D$31,2,FALSE),0)</f>
        <v>0</v>
      </c>
    </row>
    <row r="121" spans="1:6" x14ac:dyDescent="0.25">
      <c r="A121" s="39" t="s">
        <v>49</v>
      </c>
      <c r="B121" s="39" t="s">
        <v>3478</v>
      </c>
      <c r="C121" s="39" t="str">
        <f t="shared" si="1"/>
        <v>İKİKÖPRÜ/BATMAN</v>
      </c>
      <c r="D121" s="39" t="s">
        <v>527</v>
      </c>
      <c r="F121" s="40">
        <f>IFERROR(VLOOKUP(A121,'Büyükşehir List'!$C$2:$D$31,2,FALSE),0)</f>
        <v>0</v>
      </c>
    </row>
    <row r="122" spans="1:6" x14ac:dyDescent="0.25">
      <c r="A122" s="44" t="s">
        <v>3170</v>
      </c>
      <c r="B122" s="66" t="s">
        <v>527</v>
      </c>
      <c r="C122" s="71" t="str">
        <f t="shared" si="1"/>
        <v xml:space="preserve">BEŞİRİ/BATMAN </v>
      </c>
      <c r="D122" s="44" t="s">
        <v>34</v>
      </c>
      <c r="F122" s="40">
        <f>IFERROR(VLOOKUP(A122,'Büyükşehir List'!$C$2:$D$31,2,FALSE),0)</f>
        <v>0</v>
      </c>
    </row>
    <row r="123" spans="1:6" x14ac:dyDescent="0.25">
      <c r="A123" s="44" t="s">
        <v>529</v>
      </c>
      <c r="B123" s="44" t="s">
        <v>3021</v>
      </c>
      <c r="C123" s="44" t="str">
        <f t="shared" si="1"/>
        <v>AKŞAR/BAYBURT</v>
      </c>
      <c r="D123" s="44" t="s">
        <v>34</v>
      </c>
      <c r="F123" s="40">
        <f>IFERROR(VLOOKUP(B123,'Büyükşehir List'!$C$2:$D$31,2,FALSE),0)</f>
        <v>0</v>
      </c>
    </row>
    <row r="124" spans="1:6" x14ac:dyDescent="0.25">
      <c r="A124" s="39" t="s">
        <v>529</v>
      </c>
      <c r="B124" s="39" t="s">
        <v>3206</v>
      </c>
      <c r="C124" s="39" t="str">
        <f t="shared" si="1"/>
        <v>ÇAYIRYOLU/BAYBURT</v>
      </c>
      <c r="D124" s="39" t="s">
        <v>34</v>
      </c>
      <c r="F124" s="40">
        <f>IFERROR(VLOOKUP(A124,'Büyükşehir List'!$C$2:$D$31,2,FALSE),0)</f>
        <v>0</v>
      </c>
    </row>
    <row r="125" spans="1:6" x14ac:dyDescent="0.25">
      <c r="A125" s="39" t="s">
        <v>529</v>
      </c>
      <c r="B125" s="39" t="s">
        <v>3312</v>
      </c>
      <c r="C125" s="44" t="str">
        <f t="shared" si="1"/>
        <v>KONURSU/BAYBURT</v>
      </c>
      <c r="D125" s="39" t="s">
        <v>34</v>
      </c>
      <c r="F125" s="40">
        <f>IFERROR(VLOOKUP(A125,'Büyükşehir List'!$C$2:$D$31,2,FALSE),0)</f>
        <v>0</v>
      </c>
    </row>
    <row r="126" spans="1:6" ht="13" x14ac:dyDescent="0.3">
      <c r="A126" s="39" t="s">
        <v>529</v>
      </c>
      <c r="B126" s="39" t="s">
        <v>3479</v>
      </c>
      <c r="C126" s="39" t="str">
        <f t="shared" si="1"/>
        <v>ARPALI/BAYBURT</v>
      </c>
      <c r="D126" s="39" t="s">
        <v>34</v>
      </c>
      <c r="E126" s="41"/>
      <c r="F126" s="40">
        <f>IFERROR(VLOOKUP(A126,'Büyükşehir List'!$C$2:$D$31,2,FALSE),0)</f>
        <v>0</v>
      </c>
    </row>
    <row r="127" spans="1:6" ht="13" x14ac:dyDescent="0.3">
      <c r="A127" s="39" t="s">
        <v>529</v>
      </c>
      <c r="B127" s="39" t="s">
        <v>3598</v>
      </c>
      <c r="C127" s="39" t="str">
        <f t="shared" si="1"/>
        <v>BEŞPINAR/BAYBURT</v>
      </c>
      <c r="D127" s="39" t="s">
        <v>3599</v>
      </c>
      <c r="E127" s="41"/>
      <c r="F127" s="40">
        <f>IFERROR(VLOOKUP(A127,'Büyükşehir List'!$C$2:$D$31,2,FALSE),0)</f>
        <v>0</v>
      </c>
    </row>
    <row r="128" spans="1:6" x14ac:dyDescent="0.25">
      <c r="A128" s="44" t="s">
        <v>50</v>
      </c>
      <c r="B128" s="44" t="s">
        <v>3022</v>
      </c>
      <c r="C128" s="44" t="str">
        <f t="shared" si="1"/>
        <v>ÇALTI/BİLECİK</v>
      </c>
      <c r="D128" s="44" t="s">
        <v>532</v>
      </c>
      <c r="F128" s="40">
        <f>IFERROR(VLOOKUP(A128,'Büyükşehir List'!$C$2:$D$31,2,FALSE),0)</f>
        <v>0</v>
      </c>
    </row>
    <row r="129" spans="1:6" x14ac:dyDescent="0.25">
      <c r="A129" s="44" t="s">
        <v>50</v>
      </c>
      <c r="B129" s="44" t="s">
        <v>3178</v>
      </c>
      <c r="C129" s="44" t="str">
        <f t="shared" si="1"/>
        <v>CİHANGAZİ/BİLECİK</v>
      </c>
      <c r="D129" s="44" t="s">
        <v>167</v>
      </c>
      <c r="F129" s="40">
        <f>IFERROR(VLOOKUP(A129,'Büyükşehir List'!$C$2:$D$31,2,FALSE),0)</f>
        <v>0</v>
      </c>
    </row>
    <row r="130" spans="1:6" x14ac:dyDescent="0.25">
      <c r="A130" s="39" t="s">
        <v>50</v>
      </c>
      <c r="B130" s="39" t="s">
        <v>2392</v>
      </c>
      <c r="C130" s="39" t="str">
        <f t="shared" ref="C130:C193" si="2">CONCATENATE(B130,"/",A130)</f>
        <v>KÜRE/BİLECİK</v>
      </c>
      <c r="D130" s="39" t="s">
        <v>532</v>
      </c>
      <c r="F130" s="40">
        <f>IFERROR(VLOOKUP(A130,'Büyükşehir List'!$C$2:$D$31,2,FALSE),0)</f>
        <v>0</v>
      </c>
    </row>
    <row r="131" spans="1:6" x14ac:dyDescent="0.25">
      <c r="A131" s="39" t="s">
        <v>50</v>
      </c>
      <c r="B131" s="39" t="s">
        <v>3374</v>
      </c>
      <c r="C131" s="44" t="str">
        <f t="shared" si="2"/>
        <v>TARPAK/BİLECİK</v>
      </c>
      <c r="D131" s="39" t="s">
        <v>530</v>
      </c>
      <c r="F131" s="40">
        <f>IFERROR(VLOOKUP(A131,'Büyükşehir List'!$C$2:$D$31,2,FALSE),0)</f>
        <v>0</v>
      </c>
    </row>
    <row r="132" spans="1:6" x14ac:dyDescent="0.25">
      <c r="A132" s="39" t="s">
        <v>50</v>
      </c>
      <c r="B132" s="39" t="s">
        <v>3264</v>
      </c>
      <c r="C132" s="39" t="str">
        <f t="shared" si="2"/>
        <v>DODURGA/BİLECİK</v>
      </c>
      <c r="D132" s="39" t="s">
        <v>167</v>
      </c>
      <c r="F132" s="40">
        <f>IFERROR(VLOOKUP(A132,'Büyükşehir List'!$C$2:$D$31,2,FALSE),0)</f>
        <v>0</v>
      </c>
    </row>
    <row r="133" spans="1:6" x14ac:dyDescent="0.25">
      <c r="A133" s="39" t="s">
        <v>50</v>
      </c>
      <c r="B133" s="39" t="s">
        <v>2753</v>
      </c>
      <c r="C133" s="39" t="str">
        <f t="shared" si="2"/>
        <v>BAYIRKÖY/BİLECİK</v>
      </c>
      <c r="D133" s="39" t="s">
        <v>34</v>
      </c>
      <c r="F133" s="40">
        <f>IFERROR(VLOOKUP(A133,'Büyükşehir List'!$C$2:$D$31,2,FALSE),0)</f>
        <v>0</v>
      </c>
    </row>
    <row r="134" spans="1:6" x14ac:dyDescent="0.25">
      <c r="A134" s="39" t="s">
        <v>50</v>
      </c>
      <c r="B134" s="39" t="s">
        <v>3104</v>
      </c>
      <c r="C134" s="39" t="str">
        <f t="shared" si="2"/>
        <v>VEZİRHAN/BİLECİK</v>
      </c>
      <c r="D134" s="39" t="s">
        <v>34</v>
      </c>
      <c r="F134" s="40">
        <f>IFERROR(VLOOKUP(A134,'Büyükşehir List'!$C$2:$D$31,2,FALSE),0)</f>
        <v>0</v>
      </c>
    </row>
    <row r="135" spans="1:6" x14ac:dyDescent="0.25">
      <c r="A135" s="39" t="s">
        <v>199</v>
      </c>
      <c r="B135" s="39" t="s">
        <v>3375</v>
      </c>
      <c r="C135" s="44" t="str">
        <f t="shared" si="2"/>
        <v>SANCAK/BİNGÖL</v>
      </c>
      <c r="D135" s="39" t="s">
        <v>34</v>
      </c>
      <c r="F135" s="40">
        <f>IFERROR(VLOOKUP(A135,'Büyükşehir List'!$C$2:$D$31,2,FALSE),0)</f>
        <v>0</v>
      </c>
    </row>
    <row r="136" spans="1:6" x14ac:dyDescent="0.25">
      <c r="A136" s="39" t="s">
        <v>199</v>
      </c>
      <c r="B136" s="39" t="s">
        <v>3023</v>
      </c>
      <c r="C136" s="39" t="str">
        <f t="shared" si="2"/>
        <v>ILICALAR/BİNGÖL</v>
      </c>
      <c r="D136" s="39" t="s">
        <v>34</v>
      </c>
      <c r="F136" s="40">
        <f>IFERROR(VLOOKUP(B136,'Büyükşehir List'!$C$2:$D$31,2,FALSE),0)</f>
        <v>0</v>
      </c>
    </row>
    <row r="137" spans="1:6" x14ac:dyDescent="0.25">
      <c r="A137" s="39" t="s">
        <v>358</v>
      </c>
      <c r="B137" s="39" t="s">
        <v>3526</v>
      </c>
      <c r="C137" s="39" t="str">
        <f t="shared" si="2"/>
        <v>YOLALAN/BİTLİS</v>
      </c>
      <c r="D137" s="39" t="s">
        <v>34</v>
      </c>
      <c r="F137" s="40">
        <f>IFERROR(VLOOKUP(A137,'Büyükşehir List'!$C$2:$D$31,2,FALSE),0)</f>
        <v>0</v>
      </c>
    </row>
    <row r="138" spans="1:6" x14ac:dyDescent="0.25">
      <c r="A138" s="39" t="s">
        <v>358</v>
      </c>
      <c r="B138" s="39" t="s">
        <v>3553</v>
      </c>
      <c r="C138" s="39" t="str">
        <f t="shared" si="2"/>
        <v>OVAKIŞLA/BİTLİS</v>
      </c>
      <c r="D138" s="39" t="s">
        <v>2307</v>
      </c>
    </row>
    <row r="139" spans="1:6" x14ac:dyDescent="0.25">
      <c r="A139" s="39" t="s">
        <v>358</v>
      </c>
      <c r="B139" s="39" t="s">
        <v>3585</v>
      </c>
      <c r="C139" s="39" t="str">
        <f t="shared" si="2"/>
        <v>KOYUNLU/BİTLİS</v>
      </c>
      <c r="D139" s="39" t="s">
        <v>2957</v>
      </c>
      <c r="F139" s="40">
        <f>IFERROR(VLOOKUP(A139,'Büyükşehir List'!$C$2:$D$31,2,FALSE),0)</f>
        <v>0</v>
      </c>
    </row>
    <row r="140" spans="1:6" x14ac:dyDescent="0.25">
      <c r="A140" s="39" t="s">
        <v>51</v>
      </c>
      <c r="B140" s="39" t="s">
        <v>2052</v>
      </c>
      <c r="C140" s="39" t="str">
        <f t="shared" si="2"/>
        <v>KARACASU/BOLU</v>
      </c>
      <c r="D140" s="39" t="s">
        <v>34</v>
      </c>
      <c r="F140" s="40">
        <f>IFERROR(VLOOKUP(A140,'Büyükşehir List'!$C$2:$D$31,2,FALSE),0)</f>
        <v>0</v>
      </c>
    </row>
    <row r="141" spans="1:6" x14ac:dyDescent="0.25">
      <c r="A141" s="39" t="s">
        <v>51</v>
      </c>
      <c r="B141" s="39" t="s">
        <v>2321</v>
      </c>
      <c r="C141" s="39" t="str">
        <f t="shared" si="2"/>
        <v>TAŞKESTİ/BOLU</v>
      </c>
      <c r="D141" s="39" t="s">
        <v>437</v>
      </c>
      <c r="F141" s="40">
        <f>IFERROR(VLOOKUP(A141,'Büyükşehir List'!$C$2:$D$31,2,FALSE),0)</f>
        <v>0</v>
      </c>
    </row>
    <row r="142" spans="1:6" x14ac:dyDescent="0.25">
      <c r="A142" s="39" t="s">
        <v>51</v>
      </c>
      <c r="B142" s="39" t="s">
        <v>2415</v>
      </c>
      <c r="C142" s="39" t="str">
        <f t="shared" si="2"/>
        <v>GÖKÇESU/BOLU</v>
      </c>
      <c r="D142" s="39" t="s">
        <v>2083</v>
      </c>
      <c r="F142" s="40">
        <f>IFERROR(VLOOKUP(A142,'Büyükşehir List'!$C$2:$D$31,2,FALSE),0)</f>
        <v>0</v>
      </c>
    </row>
    <row r="143" spans="1:6" x14ac:dyDescent="0.25">
      <c r="A143" s="44" t="s">
        <v>69</v>
      </c>
      <c r="B143" s="44" t="s">
        <v>2796</v>
      </c>
      <c r="C143" s="44" t="str">
        <f t="shared" si="2"/>
        <v>KOZLUCA/BURDUR</v>
      </c>
      <c r="D143" s="44" t="s">
        <v>34</v>
      </c>
      <c r="F143" s="40">
        <f>IFERROR(VLOOKUP(A143,'Büyükşehir List'!$C$2:$D$31,2,FALSE),0)</f>
        <v>0</v>
      </c>
    </row>
    <row r="144" spans="1:6" x14ac:dyDescent="0.25">
      <c r="A144" s="44" t="s">
        <v>69</v>
      </c>
      <c r="B144" s="66" t="s">
        <v>511</v>
      </c>
      <c r="C144" s="71" t="str">
        <f t="shared" si="2"/>
        <v>GÜNDOĞDU/BURDUR</v>
      </c>
      <c r="D144" s="44" t="s">
        <v>268</v>
      </c>
      <c r="F144" s="40">
        <f>IFERROR(VLOOKUP(A144,'Büyükşehir List'!$C$2:$D$31,2,FALSE),0)</f>
        <v>0</v>
      </c>
    </row>
    <row r="145" spans="1:6" x14ac:dyDescent="0.25">
      <c r="A145" s="44" t="s">
        <v>69</v>
      </c>
      <c r="B145" s="44" t="s">
        <v>3179</v>
      </c>
      <c r="C145" s="44" t="str">
        <f t="shared" si="2"/>
        <v>KOZAĞAÇ/BURDUR</v>
      </c>
      <c r="D145" s="44" t="s">
        <v>2053</v>
      </c>
      <c r="F145" s="40">
        <f>IFERROR(VLOOKUP(A145,'Büyükşehir List'!$C$2:$D$31,2,FALSE),0)</f>
        <v>0</v>
      </c>
    </row>
    <row r="146" spans="1:6" x14ac:dyDescent="0.25">
      <c r="A146" s="44" t="s">
        <v>69</v>
      </c>
      <c r="B146" s="44" t="s">
        <v>3207</v>
      </c>
      <c r="C146" s="44" t="str">
        <f t="shared" si="2"/>
        <v>İBECİK/BURDUR</v>
      </c>
      <c r="D146" s="44" t="s">
        <v>2155</v>
      </c>
      <c r="F146" s="40">
        <f>IFERROR(VLOOKUP(A146,'Büyükşehir List'!$C$2:$D$31,2,FALSE),0)</f>
        <v>0</v>
      </c>
    </row>
    <row r="147" spans="1:6" x14ac:dyDescent="0.25">
      <c r="A147" s="44" t="s">
        <v>69</v>
      </c>
      <c r="B147" s="44" t="s">
        <v>3245</v>
      </c>
      <c r="C147" s="44" t="str">
        <f t="shared" si="2"/>
        <v>BEYKÖY/BURDUR</v>
      </c>
      <c r="D147" s="44" t="s">
        <v>536</v>
      </c>
      <c r="F147" s="40">
        <f>IFERROR(VLOOKUP(A147,'Büyükşehir List'!$C$2:$D$31,2,FALSE),0)</f>
        <v>0</v>
      </c>
    </row>
    <row r="148" spans="1:6" x14ac:dyDescent="0.25">
      <c r="A148" s="39" t="s">
        <v>69</v>
      </c>
      <c r="B148" s="39" t="s">
        <v>2252</v>
      </c>
      <c r="C148" s="39" t="str">
        <f t="shared" si="2"/>
        <v>KIZILKAYA/BURDUR</v>
      </c>
      <c r="D148" s="39" t="s">
        <v>34</v>
      </c>
      <c r="F148" s="40">
        <f>IFERROR(VLOOKUP(A148,'Büyükşehir List'!$C$2:$D$31,2,FALSE),0)</f>
        <v>0</v>
      </c>
    </row>
    <row r="149" spans="1:6" x14ac:dyDescent="0.25">
      <c r="A149" s="39" t="s">
        <v>69</v>
      </c>
      <c r="B149" s="39" t="s">
        <v>3329</v>
      </c>
      <c r="C149" s="44" t="str">
        <f t="shared" si="2"/>
        <v>BAYIR/BURDUR</v>
      </c>
      <c r="D149" s="39" t="s">
        <v>2053</v>
      </c>
      <c r="F149" s="40">
        <f>IFERROR(VLOOKUP(A149,'Büyükşehir List'!$C$2:$D$31,2,FALSE),0)</f>
        <v>0</v>
      </c>
    </row>
    <row r="150" spans="1:6" ht="13" x14ac:dyDescent="0.3">
      <c r="A150" s="39" t="s">
        <v>69</v>
      </c>
      <c r="B150" s="39" t="s">
        <v>3376</v>
      </c>
      <c r="C150" s="44" t="str">
        <f t="shared" si="2"/>
        <v>ÜRKÜTLÜ/BURDUR</v>
      </c>
      <c r="D150" s="39" t="s">
        <v>268</v>
      </c>
      <c r="E150" s="41"/>
      <c r="F150" s="40">
        <f>IFERROR(VLOOKUP(A150,'Büyükşehir List'!$C$2:$D$31,2,FALSE),0)</f>
        <v>0</v>
      </c>
    </row>
    <row r="151" spans="1:6" x14ac:dyDescent="0.25">
      <c r="A151" s="39" t="s">
        <v>69</v>
      </c>
      <c r="B151" s="39" t="s">
        <v>3261</v>
      </c>
      <c r="C151" s="44" t="str">
        <f t="shared" si="2"/>
        <v>GÜNEY/BURDUR</v>
      </c>
      <c r="D151" s="39" t="s">
        <v>2263</v>
      </c>
      <c r="F151" s="40">
        <f>IFERROR(VLOOKUP(A151,'Büyükşehir List'!$C$2:$D$31,2,FALSE),0)</f>
        <v>0</v>
      </c>
    </row>
    <row r="152" spans="1:6" x14ac:dyDescent="0.25">
      <c r="A152" s="39" t="s">
        <v>69</v>
      </c>
      <c r="B152" s="39" t="s">
        <v>3416</v>
      </c>
      <c r="C152" s="39" t="str">
        <f t="shared" si="2"/>
        <v>SALDA/BURDUR</v>
      </c>
      <c r="D152" s="39" t="s">
        <v>2263</v>
      </c>
      <c r="F152" s="40">
        <f>IFERROR(VLOOKUP(A152,'Büyükşehir List'!$C$2:$D$31,2,FALSE),0)</f>
        <v>0</v>
      </c>
    </row>
    <row r="153" spans="1:6" x14ac:dyDescent="0.25">
      <c r="A153" s="39" t="s">
        <v>69</v>
      </c>
      <c r="B153" s="39" t="s">
        <v>3426</v>
      </c>
      <c r="C153" s="39" t="str">
        <f t="shared" si="2"/>
        <v>ÇANAKLI/BURDUR</v>
      </c>
      <c r="D153" s="39" t="s">
        <v>2229</v>
      </c>
      <c r="F153" s="40">
        <f>IFERROR(VLOOKUP(A153,'Büyükşehir List'!$C$2:$D$31,2,FALSE),0)</f>
        <v>0</v>
      </c>
    </row>
    <row r="154" spans="1:6" x14ac:dyDescent="0.25">
      <c r="A154" s="39" t="s">
        <v>69</v>
      </c>
      <c r="B154" s="39" t="s">
        <v>3330</v>
      </c>
      <c r="C154" s="39" t="str">
        <f t="shared" si="2"/>
        <v>KOCAALİLER/BURDUR</v>
      </c>
      <c r="D154" s="39" t="s">
        <v>268</v>
      </c>
      <c r="F154" s="40">
        <f>IFERROR(VLOOKUP(B154,'Büyükşehir List'!$C$2:$D$31,2,FALSE),0)</f>
        <v>0</v>
      </c>
    </row>
    <row r="155" spans="1:6" x14ac:dyDescent="0.25">
      <c r="A155" s="39" t="s">
        <v>69</v>
      </c>
      <c r="B155" s="39" t="s">
        <v>532</v>
      </c>
      <c r="C155" s="39" t="str">
        <f t="shared" si="2"/>
        <v>SÖĞÜT/BURDUR</v>
      </c>
      <c r="D155" s="39" t="s">
        <v>2053</v>
      </c>
    </row>
    <row r="156" spans="1:6" x14ac:dyDescent="0.25">
      <c r="A156" s="44" t="s">
        <v>55</v>
      </c>
      <c r="B156" s="44" t="s">
        <v>3024</v>
      </c>
      <c r="C156" s="44" t="str">
        <f t="shared" si="2"/>
        <v>AKÇAKOYUN/ÇANAKKALE</v>
      </c>
      <c r="D156" s="44" t="s">
        <v>90</v>
      </c>
    </row>
    <row r="157" spans="1:6" x14ac:dyDescent="0.25">
      <c r="A157" s="44" t="s">
        <v>55</v>
      </c>
      <c r="B157" s="44" t="s">
        <v>2747</v>
      </c>
      <c r="C157" s="44" t="str">
        <f t="shared" si="2"/>
        <v>KUMKALE/ÇANAKKALE</v>
      </c>
      <c r="D157" s="44" t="s">
        <v>34</v>
      </c>
      <c r="F157" s="40">
        <f>IFERROR(VLOOKUP(A157,'Büyükşehir List'!$C$2:$D$31,2,FALSE),0)</f>
        <v>0</v>
      </c>
    </row>
    <row r="158" spans="1:6" x14ac:dyDescent="0.25">
      <c r="A158" s="44" t="s">
        <v>55</v>
      </c>
      <c r="B158" s="71" t="s">
        <v>2714</v>
      </c>
      <c r="C158" s="71" t="str">
        <f t="shared" si="2"/>
        <v>PAZARKÖY/ÇANAKKALE</v>
      </c>
      <c r="D158" s="44" t="s">
        <v>90</v>
      </c>
    </row>
    <row r="159" spans="1:6" x14ac:dyDescent="0.25">
      <c r="A159" s="44" t="s">
        <v>55</v>
      </c>
      <c r="B159" s="44" t="s">
        <v>3208</v>
      </c>
      <c r="C159" s="44" t="str">
        <f t="shared" si="2"/>
        <v>KOZÇEŞME/ÇANAKKALE</v>
      </c>
      <c r="D159" s="44" t="s">
        <v>153</v>
      </c>
      <c r="F159" s="40">
        <f>IFERROR(VLOOKUP(A159,'Büyükşehir List'!$C$2:$D$31,2,FALSE),0)</f>
        <v>0</v>
      </c>
    </row>
    <row r="160" spans="1:6" x14ac:dyDescent="0.25">
      <c r="A160" s="44" t="s">
        <v>55</v>
      </c>
      <c r="B160" s="44" t="s">
        <v>581</v>
      </c>
      <c r="C160" s="44" t="str">
        <f t="shared" si="2"/>
        <v>MAHMUDİYE/ÇANAKKALE</v>
      </c>
      <c r="D160" s="44" t="s">
        <v>218</v>
      </c>
      <c r="F160" s="40">
        <f>IFERROR(VLOOKUP(A160,'Büyükşehir List'!$C$2:$D$31,2,FALSE),0)</f>
        <v>0</v>
      </c>
    </row>
    <row r="161" spans="1:6" x14ac:dyDescent="0.25">
      <c r="A161" s="39" t="s">
        <v>55</v>
      </c>
      <c r="B161" s="39" t="s">
        <v>3009</v>
      </c>
      <c r="C161" s="39" t="str">
        <f t="shared" si="2"/>
        <v>YENİÇİFTLİK/ÇANAKKALE</v>
      </c>
      <c r="D161" s="39" t="s">
        <v>153</v>
      </c>
      <c r="F161" s="40">
        <f>IFERROR(VLOOKUP(B161,'Büyükşehir List'!$C$2:$D$31,2,FALSE),0)</f>
        <v>0</v>
      </c>
    </row>
    <row r="162" spans="1:6" x14ac:dyDescent="0.25">
      <c r="A162" s="39" t="s">
        <v>55</v>
      </c>
      <c r="B162" s="39" t="s">
        <v>3398</v>
      </c>
      <c r="C162" s="44" t="str">
        <f t="shared" si="2"/>
        <v>HAMDİBEY/ÇANAKKALE</v>
      </c>
      <c r="D162" s="39" t="s">
        <v>90</v>
      </c>
    </row>
    <row r="163" spans="1:6" x14ac:dyDescent="0.25">
      <c r="A163" s="39" t="s">
        <v>55</v>
      </c>
      <c r="B163" s="39" t="s">
        <v>248</v>
      </c>
      <c r="C163" s="39" t="str">
        <f t="shared" si="2"/>
        <v>KÜÇÜKKUYU/ÇANAKKALE</v>
      </c>
      <c r="D163" s="39" t="s">
        <v>4</v>
      </c>
      <c r="F163" s="40">
        <f>IFERROR(VLOOKUP(A163,'Büyükşehir List'!$C$2:$D$31,2,FALSE),0)</f>
        <v>0</v>
      </c>
    </row>
    <row r="164" spans="1:6" x14ac:dyDescent="0.25">
      <c r="A164" s="39" t="s">
        <v>55</v>
      </c>
      <c r="B164" s="39" t="s">
        <v>2242</v>
      </c>
      <c r="C164" s="39" t="str">
        <f t="shared" si="2"/>
        <v>EVREŞE/ÇANAKKALE</v>
      </c>
      <c r="D164" s="39" t="s">
        <v>200</v>
      </c>
      <c r="F164" s="40">
        <f>IFERROR(VLOOKUP(A164,'Büyükşehir List'!$C$2:$D$31,2,FALSE),0)</f>
        <v>0</v>
      </c>
    </row>
    <row r="165" spans="1:6" x14ac:dyDescent="0.25">
      <c r="A165" s="39" t="s">
        <v>55</v>
      </c>
      <c r="B165" s="39" t="s">
        <v>539</v>
      </c>
      <c r="C165" s="39" t="str">
        <f t="shared" si="2"/>
        <v>ÇARDAK/ÇANAKKALE</v>
      </c>
      <c r="D165" s="39" t="s">
        <v>541</v>
      </c>
      <c r="F165" s="40">
        <f>IFERROR(VLOOKUP(A165,'Büyükşehir List'!$C$2:$D$31,2,FALSE),0)</f>
        <v>0</v>
      </c>
    </row>
    <row r="166" spans="1:6" x14ac:dyDescent="0.25">
      <c r="A166" s="39" t="s">
        <v>55</v>
      </c>
      <c r="B166" s="39" t="s">
        <v>2877</v>
      </c>
      <c r="C166" s="39" t="str">
        <f t="shared" si="2"/>
        <v>GÜMÜŞÇAY/ÇANAKKALE</v>
      </c>
      <c r="D166" s="39" t="s">
        <v>153</v>
      </c>
      <c r="F166" s="40">
        <f>IFERROR(VLOOKUP(A166,'Büyükşehir List'!$C$2:$D$31,2,FALSE),0)</f>
        <v>0</v>
      </c>
    </row>
    <row r="167" spans="1:6" x14ac:dyDescent="0.25">
      <c r="A167" s="39" t="s">
        <v>55</v>
      </c>
      <c r="B167" s="39" t="s">
        <v>280</v>
      </c>
      <c r="C167" s="39" t="str">
        <f t="shared" si="2"/>
        <v>GEYİKLİ/ÇANAKKALE</v>
      </c>
      <c r="D167" s="39" t="s">
        <v>218</v>
      </c>
      <c r="F167" s="40">
        <f>IFERROR(VLOOKUP(A167,'Büyükşehir List'!$C$2:$D$31,2,FALSE),0)</f>
        <v>0</v>
      </c>
    </row>
    <row r="168" spans="1:6" x14ac:dyDescent="0.25">
      <c r="A168" s="39" t="s">
        <v>55</v>
      </c>
      <c r="B168" s="39" t="s">
        <v>3105</v>
      </c>
      <c r="C168" s="39" t="str">
        <f t="shared" si="2"/>
        <v>KAVAKKÖY/ÇANAKKALE</v>
      </c>
      <c r="D168" s="39" t="s">
        <v>200</v>
      </c>
      <c r="F168" s="40">
        <f>IFERROR(VLOOKUP(A168,'Büyükşehir List'!$C$2:$D$31,2,FALSE),0)</f>
        <v>0</v>
      </c>
    </row>
    <row r="169" spans="1:6" x14ac:dyDescent="0.25">
      <c r="A169" s="39" t="s">
        <v>55</v>
      </c>
      <c r="B169" s="39" t="s">
        <v>1860</v>
      </c>
      <c r="C169" s="39" t="str">
        <f t="shared" si="2"/>
        <v>KARABİGA/ÇANAKKALE</v>
      </c>
      <c r="D169" s="39" t="s">
        <v>153</v>
      </c>
      <c r="F169" s="40">
        <f>IFERROR(VLOOKUP(A169,'Büyükşehir List'!$C$2:$D$31,2,FALSE),0)</f>
        <v>0</v>
      </c>
    </row>
    <row r="170" spans="1:6" x14ac:dyDescent="0.25">
      <c r="A170" s="39" t="s">
        <v>55</v>
      </c>
      <c r="B170" s="39" t="s">
        <v>2401</v>
      </c>
      <c r="C170" s="39" t="str">
        <f t="shared" si="2"/>
        <v>UMURBEY/ÇANAKKALE</v>
      </c>
      <c r="D170" s="39" t="s">
        <v>541</v>
      </c>
    </row>
    <row r="171" spans="1:6" x14ac:dyDescent="0.25">
      <c r="A171" s="39" t="s">
        <v>55</v>
      </c>
      <c r="B171" s="39" t="s">
        <v>2054</v>
      </c>
      <c r="C171" s="39" t="str">
        <f t="shared" si="2"/>
        <v>TERZİALAN/ÇANAKKALE</v>
      </c>
      <c r="D171" s="39" t="s">
        <v>341</v>
      </c>
    </row>
    <row r="172" spans="1:6" x14ac:dyDescent="0.25">
      <c r="A172" s="39" t="s">
        <v>55</v>
      </c>
      <c r="B172" s="39" t="s">
        <v>3498</v>
      </c>
      <c r="C172" s="39" t="str">
        <f t="shared" si="2"/>
        <v>KALKIM/ÇANAKKALE</v>
      </c>
      <c r="D172" s="39" t="s">
        <v>90</v>
      </c>
      <c r="F172" s="40">
        <f>IFERROR(VLOOKUP(A172,'Büyükşehir List'!$C$2:$D$31,2,FALSE),0)</f>
        <v>0</v>
      </c>
    </row>
    <row r="173" spans="1:6" x14ac:dyDescent="0.25">
      <c r="A173" s="44" t="s">
        <v>184</v>
      </c>
      <c r="B173" s="44" t="s">
        <v>3013</v>
      </c>
      <c r="C173" s="44" t="str">
        <f t="shared" si="2"/>
        <v>DUMANLI/ÇANKIRI</v>
      </c>
      <c r="D173" s="44" t="s">
        <v>543</v>
      </c>
      <c r="F173" s="40">
        <f>IFERROR(VLOOKUP(A173,'Büyükşehir List'!$C$2:$D$31,2,FALSE),0)</f>
        <v>0</v>
      </c>
    </row>
    <row r="174" spans="1:6" x14ac:dyDescent="0.25">
      <c r="A174" s="44" t="s">
        <v>184</v>
      </c>
      <c r="B174" s="44" t="s">
        <v>3065</v>
      </c>
      <c r="C174" s="44" t="str">
        <f t="shared" si="2"/>
        <v>ÖZLÜ/ÇANKIRI</v>
      </c>
      <c r="D174" s="70" t="s">
        <v>544</v>
      </c>
      <c r="F174" s="40">
        <f>IFERROR(VLOOKUP(B174,'Büyükşehir List'!$C$2:$D$31,2,FALSE),0)</f>
        <v>0</v>
      </c>
    </row>
    <row r="175" spans="1:6" x14ac:dyDescent="0.25">
      <c r="A175" s="44" t="s">
        <v>184</v>
      </c>
      <c r="B175" s="66" t="s">
        <v>3106</v>
      </c>
      <c r="C175" s="71" t="str">
        <f t="shared" si="2"/>
        <v>GÜMERDİĞİN/ÇANKIRI</v>
      </c>
      <c r="D175" s="44" t="s">
        <v>545</v>
      </c>
      <c r="F175" s="40">
        <f>IFERROR(VLOOKUP(A175,'Büyükşehir List'!$C$2:$D$31,2,FALSE),0)</f>
        <v>0</v>
      </c>
    </row>
    <row r="176" spans="1:6" x14ac:dyDescent="0.25">
      <c r="A176" s="39" t="s">
        <v>184</v>
      </c>
      <c r="B176" s="39" t="s">
        <v>3282</v>
      </c>
      <c r="C176" s="39" t="str">
        <f t="shared" si="2"/>
        <v>YEŞİLDUMLUPINAR/ÇANKIRI</v>
      </c>
      <c r="D176" s="39" t="s">
        <v>440</v>
      </c>
      <c r="F176" s="40">
        <f>IFERROR(VLOOKUP(A176,'Büyükşehir List'!$C$2:$D$31,2,FALSE),0)</f>
        <v>0</v>
      </c>
    </row>
    <row r="177" spans="1:6" x14ac:dyDescent="0.25">
      <c r="A177" s="39" t="s">
        <v>184</v>
      </c>
      <c r="B177" s="39" t="s">
        <v>3299</v>
      </c>
      <c r="C177" s="39" t="str">
        <f t="shared" si="2"/>
        <v>KALFAT/ÇANKIRI</v>
      </c>
      <c r="D177" s="39" t="s">
        <v>544</v>
      </c>
      <c r="F177" s="40">
        <f>IFERROR(VLOOKUP(A177,'Büyükşehir List'!$C$2:$D$31,2,FALSE),0)</f>
        <v>0</v>
      </c>
    </row>
    <row r="178" spans="1:6" x14ac:dyDescent="0.25">
      <c r="A178" s="39" t="s">
        <v>184</v>
      </c>
      <c r="B178" s="39" t="s">
        <v>3107</v>
      </c>
      <c r="C178" s="39" t="str">
        <f t="shared" si="2"/>
        <v>SAÇAK/ÇANKIRI</v>
      </c>
      <c r="D178" s="39" t="s">
        <v>219</v>
      </c>
      <c r="F178" s="40">
        <f>IFERROR(VLOOKUP(A178,'Büyükşehir List'!$C$2:$D$31,2,FALSE),0)</f>
        <v>0</v>
      </c>
    </row>
    <row r="179" spans="1:6" x14ac:dyDescent="0.25">
      <c r="A179" s="39" t="s">
        <v>184</v>
      </c>
      <c r="B179" s="39" t="s">
        <v>2888</v>
      </c>
      <c r="C179" s="39" t="str">
        <f t="shared" si="2"/>
        <v>YAYLAKENT/ÇANKIRI</v>
      </c>
      <c r="D179" s="39" t="s">
        <v>544</v>
      </c>
      <c r="F179" s="40">
        <f>IFERROR(VLOOKUP(A179,'Büyükşehir List'!$C$2:$D$31,2,FALSE),0)</f>
        <v>0</v>
      </c>
    </row>
    <row r="180" spans="1:6" x14ac:dyDescent="0.25">
      <c r="A180" s="44" t="s">
        <v>170</v>
      </c>
      <c r="B180" s="44" t="s">
        <v>3025</v>
      </c>
      <c r="C180" s="44" t="str">
        <f t="shared" si="2"/>
        <v>DEMİRŞEYH/ÇORUM</v>
      </c>
      <c r="D180" s="44" t="s">
        <v>363</v>
      </c>
      <c r="F180" s="40">
        <f>IFERROR(VLOOKUP(A180,'Büyükşehir List'!$C$2:$D$31,2,FALSE),0)</f>
        <v>0</v>
      </c>
    </row>
    <row r="181" spans="1:6" x14ac:dyDescent="0.25">
      <c r="A181" s="44" t="s">
        <v>170</v>
      </c>
      <c r="B181" s="44" t="s">
        <v>3079</v>
      </c>
      <c r="C181" s="44" t="str">
        <f t="shared" si="2"/>
        <v>DÜVECİ /ÇORUM</v>
      </c>
      <c r="D181" s="70" t="s">
        <v>2738</v>
      </c>
      <c r="F181" s="40">
        <f>IFERROR(VLOOKUP(A181,'Büyükşehir List'!$C$2:$D$31,2,FALSE),0)</f>
        <v>0</v>
      </c>
    </row>
    <row r="182" spans="1:6" x14ac:dyDescent="0.25">
      <c r="A182" s="44" t="s">
        <v>170</v>
      </c>
      <c r="B182" s="44" t="s">
        <v>3108</v>
      </c>
      <c r="C182" s="44" t="str">
        <f t="shared" si="2"/>
        <v>KALEDERE/ÇORUM</v>
      </c>
      <c r="D182" s="44" t="s">
        <v>363</v>
      </c>
      <c r="F182" s="40">
        <f>IFERROR(VLOOKUP(A182,'Büyükşehir List'!$C$2:$D$31,2,FALSE),0)</f>
        <v>0</v>
      </c>
    </row>
    <row r="183" spans="1:6" x14ac:dyDescent="0.25">
      <c r="A183" s="44" t="s">
        <v>170</v>
      </c>
      <c r="B183" s="44" t="s">
        <v>3210</v>
      </c>
      <c r="C183" s="44" t="str">
        <f t="shared" si="2"/>
        <v>ELVANÇELEBİ/ÇORUM</v>
      </c>
      <c r="D183" s="44" t="s">
        <v>548</v>
      </c>
    </row>
    <row r="184" spans="1:6" x14ac:dyDescent="0.25">
      <c r="A184" s="44" t="s">
        <v>170</v>
      </c>
      <c r="B184" s="44" t="s">
        <v>3209</v>
      </c>
      <c r="C184" s="44" t="str">
        <f t="shared" si="2"/>
        <v>ÇOPRAŞIK/ÇORUM</v>
      </c>
      <c r="D184" s="44" t="s">
        <v>2125</v>
      </c>
    </row>
    <row r="185" spans="1:6" x14ac:dyDescent="0.25">
      <c r="A185" s="44" t="s">
        <v>170</v>
      </c>
      <c r="B185" s="44" t="s">
        <v>3109</v>
      </c>
      <c r="C185" s="44" t="str">
        <f t="shared" si="2"/>
        <v>KAVŞUT/ÇORUM</v>
      </c>
      <c r="D185" s="44" t="s">
        <v>363</v>
      </c>
    </row>
    <row r="186" spans="1:6" x14ac:dyDescent="0.25">
      <c r="A186" s="39" t="s">
        <v>170</v>
      </c>
      <c r="B186" s="39" t="s">
        <v>3110</v>
      </c>
      <c r="C186" s="39" t="str">
        <f t="shared" si="2"/>
        <v>TUĞLU/ÇORUM</v>
      </c>
      <c r="D186" s="39" t="s">
        <v>363</v>
      </c>
    </row>
    <row r="187" spans="1:6" x14ac:dyDescent="0.25">
      <c r="A187" s="39" t="s">
        <v>170</v>
      </c>
      <c r="B187" s="39" t="s">
        <v>512</v>
      </c>
      <c r="C187" s="39" t="str">
        <f t="shared" si="2"/>
        <v>KONAKLI/ÇORUM</v>
      </c>
      <c r="D187" s="39" t="s">
        <v>34</v>
      </c>
    </row>
    <row r="188" spans="1:6" x14ac:dyDescent="0.25">
      <c r="A188" s="39" t="s">
        <v>170</v>
      </c>
      <c r="B188" s="39" t="s">
        <v>3162</v>
      </c>
      <c r="C188" s="39" t="str">
        <f t="shared" si="2"/>
        <v>BÜYÜKHIRKA/ÇORUM</v>
      </c>
      <c r="D188" s="39" t="s">
        <v>2125</v>
      </c>
    </row>
    <row r="189" spans="1:6" x14ac:dyDescent="0.25">
      <c r="A189" s="39" t="s">
        <v>170</v>
      </c>
      <c r="B189" s="39" t="s">
        <v>3300</v>
      </c>
      <c r="C189" s="39" t="str">
        <f t="shared" si="2"/>
        <v>KARAHACİP/ÇORUM</v>
      </c>
      <c r="D189" s="39" t="s">
        <v>349</v>
      </c>
      <c r="F189" s="40">
        <f>IFERROR(VLOOKUP(A189,'Büyükşehir List'!$C$2:$D$31,2,FALSE),0)</f>
        <v>0</v>
      </c>
    </row>
    <row r="190" spans="1:6" x14ac:dyDescent="0.25">
      <c r="A190" s="39" t="s">
        <v>170</v>
      </c>
      <c r="B190" s="39" t="s">
        <v>3246</v>
      </c>
      <c r="C190" s="39" t="str">
        <f t="shared" si="2"/>
        <v>ALACAHÖYÜK/ÇORUM</v>
      </c>
      <c r="D190" s="39" t="s">
        <v>2125</v>
      </c>
      <c r="F190" s="40">
        <f>IFERROR(VLOOKUP(A190,'Büyükşehir List'!$C$2:$D$31,2,FALSE),0)</f>
        <v>0</v>
      </c>
    </row>
    <row r="191" spans="1:6" x14ac:dyDescent="0.25">
      <c r="A191" s="39" t="s">
        <v>170</v>
      </c>
      <c r="B191" s="39" t="s">
        <v>2697</v>
      </c>
      <c r="C191" s="39" t="str">
        <f t="shared" si="2"/>
        <v>DÜVECİ/ÇORUM</v>
      </c>
      <c r="D191" s="39" t="s">
        <v>34</v>
      </c>
      <c r="F191" s="40">
        <f>IFERROR(VLOOKUP(A191,'Büyükşehir List'!$C$2:$D$31,2,FALSE),0)</f>
        <v>0</v>
      </c>
    </row>
    <row r="192" spans="1:6" x14ac:dyDescent="0.25">
      <c r="A192" s="39" t="s">
        <v>170</v>
      </c>
      <c r="B192" s="39" t="s">
        <v>3572</v>
      </c>
      <c r="C192" s="39" t="str">
        <f t="shared" si="2"/>
        <v>ESKİALİBEY/ÇORUM</v>
      </c>
      <c r="D192" s="39" t="s">
        <v>496</v>
      </c>
      <c r="F192" s="40">
        <f>IFERROR(VLOOKUP(A192,'Büyükşehir List'!$C$2:$D$31,2,FALSE),0)</f>
        <v>0</v>
      </c>
    </row>
    <row r="193" spans="1:6" x14ac:dyDescent="0.25">
      <c r="A193" s="39" t="s">
        <v>170</v>
      </c>
      <c r="B193" s="39" t="s">
        <v>3566</v>
      </c>
      <c r="C193" s="39" t="str">
        <f t="shared" si="2"/>
        <v>NARLI/ÇORUM</v>
      </c>
      <c r="D193" s="39" t="s">
        <v>2417</v>
      </c>
      <c r="F193" s="40">
        <f>IFERROR(VLOOKUP(A193,'Büyükşehir List'!$C$2:$D$31,2,FALSE),0)</f>
        <v>0</v>
      </c>
    </row>
    <row r="194" spans="1:6" x14ac:dyDescent="0.25">
      <c r="A194" s="44" t="s">
        <v>59</v>
      </c>
      <c r="B194" s="44" t="s">
        <v>3008</v>
      </c>
      <c r="C194" s="44" t="str">
        <f t="shared" ref="C194:C257" si="3">CONCATENATE(B194,"/",A194)</f>
        <v>ÇAMLICA/EDİRNE</v>
      </c>
      <c r="D194" s="44" t="s">
        <v>176</v>
      </c>
      <c r="F194" s="40">
        <f>IFERROR(VLOOKUP(A194,'Büyükşehir List'!$C$2:$D$31,2,FALSE),0)</f>
        <v>0</v>
      </c>
    </row>
    <row r="195" spans="1:6" ht="13" x14ac:dyDescent="0.3">
      <c r="A195" s="44" t="s">
        <v>59</v>
      </c>
      <c r="B195" s="66" t="s">
        <v>3111</v>
      </c>
      <c r="C195" s="71" t="str">
        <f t="shared" si="3"/>
        <v>KURTBEY/EDİRNE</v>
      </c>
      <c r="D195" s="44" t="s">
        <v>294</v>
      </c>
      <c r="E195" s="41"/>
      <c r="F195" s="40">
        <f>IFERROR(VLOOKUP(A195,'Büyükşehir List'!$C$2:$D$31,2,FALSE),0)</f>
        <v>0</v>
      </c>
    </row>
    <row r="196" spans="1:6" x14ac:dyDescent="0.25">
      <c r="A196" s="44" t="s">
        <v>59</v>
      </c>
      <c r="B196" s="44" t="s">
        <v>3211</v>
      </c>
      <c r="C196" s="44" t="str">
        <f t="shared" si="3"/>
        <v>PAŞAYİĞİT/EDİRNE</v>
      </c>
      <c r="D196" s="44" t="s">
        <v>176</v>
      </c>
      <c r="F196" s="40">
        <f>IFERROR(VLOOKUP(A196,'Büyükşehir List'!$C$2:$D$31,2,FALSE),0)</f>
        <v>0</v>
      </c>
    </row>
    <row r="197" spans="1:6" x14ac:dyDescent="0.25">
      <c r="A197" s="39" t="s">
        <v>59</v>
      </c>
      <c r="B197" s="39" t="s">
        <v>2683</v>
      </c>
      <c r="C197" s="39" t="str">
        <f t="shared" si="3"/>
        <v>BEĞENDİK/EDİRNE</v>
      </c>
      <c r="D197" s="39" t="s">
        <v>176</v>
      </c>
      <c r="F197" s="40">
        <f>IFERROR(VLOOKUP(A197,'Büyükşehir List'!$C$2:$D$31,2,FALSE),0)</f>
        <v>0</v>
      </c>
    </row>
    <row r="198" spans="1:6" x14ac:dyDescent="0.25">
      <c r="A198" s="39" t="s">
        <v>59</v>
      </c>
      <c r="B198" s="39" t="s">
        <v>3112</v>
      </c>
      <c r="C198" s="39" t="str">
        <f t="shared" si="3"/>
        <v>YENİMUHACİR/EDİRNE</v>
      </c>
      <c r="D198" s="39" t="s">
        <v>176</v>
      </c>
      <c r="F198" s="40">
        <f>IFERROR(VLOOKUP(A198,'Büyükşehir List'!$C$2:$D$31,2,FALSE),0)</f>
        <v>0</v>
      </c>
    </row>
    <row r="199" spans="1:6" x14ac:dyDescent="0.25">
      <c r="A199" s="39" t="s">
        <v>59</v>
      </c>
      <c r="B199" s="39" t="s">
        <v>2176</v>
      </c>
      <c r="C199" s="39" t="str">
        <f t="shared" si="3"/>
        <v>KIRCASALİH/EDİRNE</v>
      </c>
      <c r="D199" s="39" t="s">
        <v>294</v>
      </c>
      <c r="F199" s="40">
        <f>IFERROR(VLOOKUP(A199,'Büyükşehir List'!$C$2:$D$31,2,FALSE),0)</f>
        <v>0</v>
      </c>
    </row>
    <row r="200" spans="1:6" x14ac:dyDescent="0.25">
      <c r="A200" s="39" t="s">
        <v>59</v>
      </c>
      <c r="B200" s="39" t="s">
        <v>3499</v>
      </c>
      <c r="C200" s="39" t="str">
        <f t="shared" si="3"/>
        <v>İBRİKTEPE/EDİRNE</v>
      </c>
      <c r="D200" s="39" t="s">
        <v>330</v>
      </c>
    </row>
    <row r="201" spans="1:6" x14ac:dyDescent="0.25">
      <c r="A201" s="39" t="s">
        <v>59</v>
      </c>
      <c r="B201" s="39" t="s">
        <v>3527</v>
      </c>
      <c r="C201" s="39" t="str">
        <f t="shared" si="3"/>
        <v>KOCAHIDIR/EDİRNE</v>
      </c>
      <c r="D201" s="39" t="s">
        <v>34</v>
      </c>
    </row>
    <row r="202" spans="1:6" x14ac:dyDescent="0.25">
      <c r="A202" s="44" t="s">
        <v>161</v>
      </c>
      <c r="B202" s="44" t="s">
        <v>3248</v>
      </c>
      <c r="C202" s="44" t="str">
        <f t="shared" si="3"/>
        <v>ÇAKIRKAŞ/ELAZIĞ</v>
      </c>
      <c r="D202" s="44" t="s">
        <v>567</v>
      </c>
    </row>
    <row r="203" spans="1:6" x14ac:dyDescent="0.25">
      <c r="A203" s="39" t="s">
        <v>161</v>
      </c>
      <c r="B203" s="39" t="s">
        <v>3439</v>
      </c>
      <c r="C203" s="39" t="str">
        <f t="shared" si="3"/>
        <v>SARICAN/ELAZIĞ</v>
      </c>
      <c r="D203" s="39" t="s">
        <v>2055</v>
      </c>
    </row>
    <row r="204" spans="1:6" x14ac:dyDescent="0.25">
      <c r="A204" s="39" t="s">
        <v>161</v>
      </c>
      <c r="B204" s="39" t="s">
        <v>2602</v>
      </c>
      <c r="C204" s="39" t="str">
        <f t="shared" si="3"/>
        <v>YAZIKONAK/ELAZIĞ</v>
      </c>
      <c r="D204" s="39" t="s">
        <v>34</v>
      </c>
    </row>
    <row r="205" spans="1:6" x14ac:dyDescent="0.25">
      <c r="A205" s="39" t="s">
        <v>161</v>
      </c>
      <c r="B205" s="39" t="s">
        <v>1785</v>
      </c>
      <c r="C205" s="39" t="str">
        <f t="shared" si="3"/>
        <v>AKÇAKİRAZ/ELAZIĞ</v>
      </c>
      <c r="D205" s="39" t="s">
        <v>34</v>
      </c>
      <c r="F205" s="40">
        <f>IFERROR(VLOOKUP(A205,'Büyükşehir List'!$C$2:$D$31,2,FALSE),0)</f>
        <v>0</v>
      </c>
    </row>
    <row r="206" spans="1:6" x14ac:dyDescent="0.25">
      <c r="A206" s="39" t="s">
        <v>161</v>
      </c>
      <c r="B206" s="39" t="s">
        <v>570</v>
      </c>
      <c r="C206" s="39" t="str">
        <f t="shared" si="3"/>
        <v>YURTBAŞI/ELAZIĞ</v>
      </c>
      <c r="D206" s="39" t="s">
        <v>34</v>
      </c>
      <c r="F206" s="40">
        <f>IFERROR(VLOOKUP(A206,'Büyükşehir List'!$C$2:$D$31,2,FALSE),0)</f>
        <v>0</v>
      </c>
    </row>
    <row r="207" spans="1:6" x14ac:dyDescent="0.25">
      <c r="A207" s="39" t="s">
        <v>161</v>
      </c>
      <c r="B207" s="39" t="s">
        <v>3066</v>
      </c>
      <c r="C207" s="39" t="str">
        <f t="shared" si="3"/>
        <v>MOLLAKENDİ/ELAZIĞ</v>
      </c>
      <c r="D207" s="39" t="s">
        <v>34</v>
      </c>
      <c r="F207" s="40">
        <f>IFERROR(VLOOKUP(A207,'Büyükşehir List'!$C$2:$D$31,2,FALSE),0)</f>
        <v>0</v>
      </c>
    </row>
    <row r="208" spans="1:6" x14ac:dyDescent="0.25">
      <c r="A208" s="39" t="s">
        <v>161</v>
      </c>
      <c r="B208" s="39" t="s">
        <v>3600</v>
      </c>
      <c r="C208" s="39" t="str">
        <f t="shared" si="3"/>
        <v>GEZİN/ELAZIĞ</v>
      </c>
      <c r="D208" s="39" t="s">
        <v>568</v>
      </c>
    </row>
    <row r="209" spans="1:6" x14ac:dyDescent="0.25">
      <c r="A209" s="44" t="s">
        <v>173</v>
      </c>
      <c r="B209" s="44" t="s">
        <v>574</v>
      </c>
      <c r="C209" s="44" t="str">
        <f t="shared" si="3"/>
        <v>ULALAR/ERZİNCAN</v>
      </c>
      <c r="D209" s="44" t="s">
        <v>34</v>
      </c>
      <c r="F209" s="40">
        <f>IFERROR(VLOOKUP(A209,'Büyükşehir List'!$C$2:$D$31,2,FALSE),0)</f>
        <v>0</v>
      </c>
    </row>
    <row r="210" spans="1:6" x14ac:dyDescent="0.25">
      <c r="A210" s="44" t="s">
        <v>173</v>
      </c>
      <c r="B210" s="66" t="s">
        <v>3115</v>
      </c>
      <c r="C210" s="71" t="str">
        <f t="shared" si="3"/>
        <v>ULUKÖY/ERZİNCAN</v>
      </c>
      <c r="D210" s="44" t="s">
        <v>34</v>
      </c>
      <c r="F210" s="40">
        <f>IFERROR(VLOOKUP(A210,'Büyükşehir List'!$C$2:$D$31,2,FALSE),0)</f>
        <v>0</v>
      </c>
    </row>
    <row r="211" spans="1:6" x14ac:dyDescent="0.25">
      <c r="A211" s="39" t="s">
        <v>173</v>
      </c>
      <c r="B211" s="39" t="s">
        <v>3265</v>
      </c>
      <c r="C211" s="39" t="str">
        <f t="shared" si="3"/>
        <v>ALTUNKENT/ERZİNCAN</v>
      </c>
      <c r="D211" s="39" t="s">
        <v>444</v>
      </c>
      <c r="F211" s="40">
        <f>IFERROR(VLOOKUP(A211,'Büyükşehir List'!$C$2:$D$31,2,FALSE),0)</f>
        <v>0</v>
      </c>
    </row>
    <row r="212" spans="1:6" x14ac:dyDescent="0.25">
      <c r="A212" s="39" t="s">
        <v>173</v>
      </c>
      <c r="B212" s="39" t="s">
        <v>2866</v>
      </c>
      <c r="C212" s="39" t="str">
        <f t="shared" si="3"/>
        <v>DEMİRKENT/ERZİNCAN</v>
      </c>
      <c r="D212" s="39" t="s">
        <v>34</v>
      </c>
      <c r="F212" s="40">
        <f>IFERROR(VLOOKUP(A212,'Büyükşehir List'!$C$2:$D$31,2,FALSE),0)</f>
        <v>0</v>
      </c>
    </row>
    <row r="213" spans="1:6" x14ac:dyDescent="0.25">
      <c r="A213" s="39" t="s">
        <v>173</v>
      </c>
      <c r="B213" s="39" t="s">
        <v>3114</v>
      </c>
      <c r="C213" s="44" t="str">
        <f t="shared" si="3"/>
        <v>GEÇİT/ERZİNCAN</v>
      </c>
      <c r="D213" s="39" t="s">
        <v>34</v>
      </c>
      <c r="F213" s="40">
        <f>IFERROR(VLOOKUP(A213,'Büyükşehir List'!$C$2:$D$31,2,FALSE),0)</f>
        <v>0</v>
      </c>
    </row>
    <row r="214" spans="1:6" x14ac:dyDescent="0.25">
      <c r="A214" s="39" t="s">
        <v>173</v>
      </c>
      <c r="B214" s="39" t="s">
        <v>3116</v>
      </c>
      <c r="C214" s="44" t="str">
        <f t="shared" si="3"/>
        <v>YALNIZBAĞ/ERZİNCAN</v>
      </c>
      <c r="D214" s="39" t="s">
        <v>34</v>
      </c>
      <c r="F214" s="40">
        <f>IFERROR(VLOOKUP(A214,'Büyükşehir List'!$C$2:$D$31,2,FALSE),0)</f>
        <v>0</v>
      </c>
    </row>
    <row r="215" spans="1:6" x14ac:dyDescent="0.25">
      <c r="A215" s="39" t="s">
        <v>173</v>
      </c>
      <c r="B215" s="39" t="s">
        <v>2642</v>
      </c>
      <c r="C215" s="44" t="str">
        <f t="shared" si="3"/>
        <v>YOĞURTLU/ERZİNCAN</v>
      </c>
      <c r="D215" s="39" t="s">
        <v>34</v>
      </c>
      <c r="F215" s="40">
        <f>IFERROR(VLOOKUP(A215,'Büyükşehir List'!$C$2:$D$31,2,FALSE),0)</f>
        <v>0</v>
      </c>
    </row>
    <row r="216" spans="1:6" x14ac:dyDescent="0.25">
      <c r="A216" s="39" t="s">
        <v>173</v>
      </c>
      <c r="B216" s="39" t="s">
        <v>83</v>
      </c>
      <c r="C216" s="44" t="str">
        <f t="shared" si="3"/>
        <v>AKYAZI/ERZİNCAN</v>
      </c>
      <c r="D216" s="39" t="s">
        <v>34</v>
      </c>
      <c r="F216" s="40">
        <f>IFERROR(VLOOKUP(A216,'Büyükşehir List'!$C$2:$D$31,2,FALSE),0)</f>
        <v>0</v>
      </c>
    </row>
    <row r="217" spans="1:6" x14ac:dyDescent="0.25">
      <c r="A217" s="39" t="s">
        <v>173</v>
      </c>
      <c r="B217" s="39" t="s">
        <v>3113</v>
      </c>
      <c r="C217" s="39" t="str">
        <f t="shared" si="3"/>
        <v>DÖRTLER/ERZİNCAN</v>
      </c>
      <c r="D217" s="39" t="s">
        <v>34</v>
      </c>
      <c r="F217" s="40">
        <f>IFERROR(VLOOKUP(A217,'Büyükşehir List'!$C$2:$D$31,2,FALSE),0)</f>
        <v>0</v>
      </c>
    </row>
    <row r="218" spans="1:6" x14ac:dyDescent="0.25">
      <c r="A218" s="39" t="s">
        <v>173</v>
      </c>
      <c r="B218" s="39" t="s">
        <v>2715</v>
      </c>
      <c r="C218" s="39" t="str">
        <f t="shared" si="3"/>
        <v>ÇAĞLAYAN/ERZİNCAN</v>
      </c>
      <c r="D218" s="39" t="s">
        <v>34</v>
      </c>
      <c r="F218" s="40">
        <f>IFERROR(VLOOKUP(A218,'Büyükşehir List'!$C$2:$D$31,2,FALSE),0)</f>
        <v>0</v>
      </c>
    </row>
    <row r="219" spans="1:6" x14ac:dyDescent="0.25">
      <c r="A219" s="39" t="s">
        <v>173</v>
      </c>
      <c r="B219" s="39" t="s">
        <v>3377</v>
      </c>
      <c r="C219" s="39" t="str">
        <f t="shared" si="3"/>
        <v>KAVAKYOLU/ERZİNCAN</v>
      </c>
      <c r="D219" s="39" t="s">
        <v>34</v>
      </c>
      <c r="F219" s="40">
        <f>IFERROR(VLOOKUP(A219,'Büyükşehir List'!$C$2:$D$31,2,FALSE),0)</f>
        <v>0</v>
      </c>
    </row>
    <row r="220" spans="1:6" x14ac:dyDescent="0.25">
      <c r="A220" s="39" t="s">
        <v>173</v>
      </c>
      <c r="B220" s="39" t="s">
        <v>3448</v>
      </c>
      <c r="C220" s="39" t="str">
        <f t="shared" si="3"/>
        <v>YAYLABAŞI/ERZİNCAN</v>
      </c>
      <c r="D220" s="39" t="s">
        <v>34</v>
      </c>
      <c r="F220" s="40">
        <f>IFERROR(VLOOKUP(B220,'Büyükşehir List'!$C$2:$D$31,2,FALSE),0)</f>
        <v>0</v>
      </c>
    </row>
    <row r="221" spans="1:6" x14ac:dyDescent="0.25">
      <c r="A221" s="39" t="s">
        <v>173</v>
      </c>
      <c r="B221" s="39" t="s">
        <v>2868</v>
      </c>
      <c r="C221" s="39" t="str">
        <f t="shared" si="3"/>
        <v>ÇUKURKUYU/ERZİNCAN</v>
      </c>
      <c r="D221" s="39" t="s">
        <v>34</v>
      </c>
      <c r="F221" s="40">
        <f>IFERROR(VLOOKUP(A221,'Büyükşehir List'!$C$2:$D$31,2,FALSE),0)</f>
        <v>0</v>
      </c>
    </row>
    <row r="222" spans="1:6" x14ac:dyDescent="0.25">
      <c r="A222" s="39" t="s">
        <v>173</v>
      </c>
      <c r="B222" s="39" t="s">
        <v>3562</v>
      </c>
      <c r="C222" s="39" t="str">
        <f t="shared" si="3"/>
        <v>BAYIRBAĞ/ERZİNCAN</v>
      </c>
      <c r="D222" s="39" t="s">
        <v>575</v>
      </c>
      <c r="E222" s="40" t="s">
        <v>3395</v>
      </c>
    </row>
    <row r="223" spans="1:6" x14ac:dyDescent="0.25">
      <c r="A223" s="39" t="s">
        <v>173</v>
      </c>
      <c r="B223" s="39" t="s">
        <v>3586</v>
      </c>
      <c r="C223" s="39" t="str">
        <f t="shared" si="3"/>
        <v>KARAKAYA/ERZİNCAN</v>
      </c>
      <c r="D223" s="39" t="s">
        <v>575</v>
      </c>
    </row>
    <row r="224" spans="1:6" x14ac:dyDescent="0.25">
      <c r="A224" s="44" t="s">
        <v>163</v>
      </c>
      <c r="B224" s="44" t="s">
        <v>3026</v>
      </c>
      <c r="C224" s="44" t="str">
        <f t="shared" si="3"/>
        <v>BOZAT/GİRESUN</v>
      </c>
      <c r="D224" s="44" t="s">
        <v>365</v>
      </c>
      <c r="F224" s="40">
        <f>IFERROR(VLOOKUP(A224,'Büyükşehir List'!$C$2:$D$31,2,FALSE),0)</f>
        <v>0</v>
      </c>
    </row>
    <row r="225" spans="1:6" x14ac:dyDescent="0.25">
      <c r="A225" s="44" t="s">
        <v>163</v>
      </c>
      <c r="B225" s="44" t="s">
        <v>3027</v>
      </c>
      <c r="C225" s="44" t="str">
        <f t="shared" si="3"/>
        <v>KIRIKLI/GİRESUN</v>
      </c>
      <c r="D225" s="44" t="s">
        <v>318</v>
      </c>
      <c r="F225" s="40">
        <f>IFERROR(VLOOKUP(A225,'Büyükşehir List'!$C$2:$D$31,2,FALSE),0)</f>
        <v>0</v>
      </c>
    </row>
    <row r="226" spans="1:6" x14ac:dyDescent="0.25">
      <c r="A226" s="39" t="s">
        <v>163</v>
      </c>
      <c r="B226" s="39" t="s">
        <v>3283</v>
      </c>
      <c r="C226" s="39" t="str">
        <f t="shared" si="3"/>
        <v>KARABULDUK/GİRESUN</v>
      </c>
      <c r="D226" s="39" t="s">
        <v>450</v>
      </c>
    </row>
    <row r="227" spans="1:6" x14ac:dyDescent="0.25">
      <c r="A227" s="45" t="s">
        <v>163</v>
      </c>
      <c r="B227" s="45" t="s">
        <v>3244</v>
      </c>
      <c r="C227" s="44" t="str">
        <f t="shared" si="3"/>
        <v>AYDINLAR/GİRESUN</v>
      </c>
      <c r="D227" s="45" t="s">
        <v>34</v>
      </c>
    </row>
    <row r="228" spans="1:6" x14ac:dyDescent="0.25">
      <c r="A228" s="39" t="s">
        <v>163</v>
      </c>
      <c r="B228" s="39" t="s">
        <v>651</v>
      </c>
      <c r="C228" s="39" t="str">
        <f t="shared" si="3"/>
        <v>KÖPRÜBAŞI/GİRESUN</v>
      </c>
      <c r="D228" s="39" t="s">
        <v>318</v>
      </c>
    </row>
    <row r="229" spans="1:6" x14ac:dyDescent="0.25">
      <c r="A229" s="39" t="s">
        <v>163</v>
      </c>
      <c r="B229" s="39" t="s">
        <v>2716</v>
      </c>
      <c r="C229" s="39" t="str">
        <f t="shared" si="3"/>
        <v>DUROĞLU/GİRESUN</v>
      </c>
      <c r="D229" s="39" t="s">
        <v>34</v>
      </c>
      <c r="F229" s="40">
        <f>IFERROR(VLOOKUP(A229,'Büyükşehir List'!$C$2:$D$31,2,FALSE),0)</f>
        <v>0</v>
      </c>
    </row>
    <row r="230" spans="1:6" x14ac:dyDescent="0.25">
      <c r="A230" s="39" t="s">
        <v>163</v>
      </c>
      <c r="B230" s="39" t="s">
        <v>3028</v>
      </c>
      <c r="C230" s="39" t="str">
        <f t="shared" si="3"/>
        <v>KOVANLIK/GİRESUN</v>
      </c>
      <c r="D230" s="39" t="s">
        <v>95</v>
      </c>
    </row>
    <row r="231" spans="1:6" ht="13" x14ac:dyDescent="0.3">
      <c r="A231" s="39" t="s">
        <v>163</v>
      </c>
      <c r="B231" s="39" t="s">
        <v>2698</v>
      </c>
      <c r="C231" s="39" t="str">
        <f t="shared" si="3"/>
        <v>AYDINDERE/GİRESUN</v>
      </c>
      <c r="D231" s="39" t="s">
        <v>95</v>
      </c>
      <c r="E231" s="41"/>
      <c r="F231" s="40">
        <f>IFERROR(VLOOKUP(A231,'Büyükşehir List'!$C$2:$D$31,2,FALSE),0)</f>
        <v>0</v>
      </c>
    </row>
    <row r="232" spans="1:6" x14ac:dyDescent="0.25">
      <c r="A232" s="39" t="s">
        <v>163</v>
      </c>
      <c r="B232" s="39" t="s">
        <v>2177</v>
      </c>
      <c r="C232" s="39" t="str">
        <f t="shared" si="3"/>
        <v>YAVUZKEMAL/GİRESUN</v>
      </c>
      <c r="D232" s="39" t="s">
        <v>587</v>
      </c>
      <c r="F232" s="40">
        <f>IFERROR(VLOOKUP(A232,'Büyükşehir List'!$C$2:$D$31,2,FALSE),0)</f>
        <v>0</v>
      </c>
    </row>
    <row r="233" spans="1:6" x14ac:dyDescent="0.25">
      <c r="A233" s="39" t="s">
        <v>163</v>
      </c>
      <c r="B233" s="39" t="s">
        <v>2717</v>
      </c>
      <c r="C233" s="39" t="str">
        <f t="shared" si="3"/>
        <v>SOĞUKPINAR/GİRESUN</v>
      </c>
      <c r="D233" s="39" t="s">
        <v>2204</v>
      </c>
    </row>
    <row r="234" spans="1:6" x14ac:dyDescent="0.25">
      <c r="A234" s="39" t="s">
        <v>163</v>
      </c>
      <c r="B234" s="39" t="s">
        <v>3378</v>
      </c>
      <c r="C234" s="39" t="str">
        <f t="shared" si="3"/>
        <v>ÖREN/GİRESUN</v>
      </c>
      <c r="D234" s="39" t="s">
        <v>588</v>
      </c>
      <c r="F234" s="40">
        <f>IFERROR(VLOOKUP(A234,'Büyükşehir List'!$C$2:$D$31,2,FALSE),0)</f>
        <v>0</v>
      </c>
    </row>
    <row r="235" spans="1:6" x14ac:dyDescent="0.25">
      <c r="A235" s="39" t="s">
        <v>163</v>
      </c>
      <c r="B235" s="39" t="s">
        <v>2600</v>
      </c>
      <c r="C235" s="39" t="str">
        <f t="shared" si="3"/>
        <v>DOĞANKENT/GİRESUN</v>
      </c>
      <c r="D235" s="39" t="s">
        <v>34</v>
      </c>
      <c r="F235" s="40">
        <f>IFERROR(VLOOKUP(A235,'Büyükşehir List'!$C$2:$D$31,2,FALSE),0)</f>
        <v>0</v>
      </c>
    </row>
    <row r="236" spans="1:6" x14ac:dyDescent="0.25">
      <c r="A236" s="39" t="s">
        <v>163</v>
      </c>
      <c r="B236" s="39" t="s">
        <v>589</v>
      </c>
      <c r="C236" s="39" t="str">
        <f t="shared" si="3"/>
        <v>ÜÇTEPE/GİRESUN</v>
      </c>
      <c r="D236" s="39" t="s">
        <v>2261</v>
      </c>
      <c r="F236" s="40">
        <f>IFERROR(VLOOKUP(A236,'Büyükşehir List'!$C$2:$D$31,2,FALSE),0)</f>
        <v>0</v>
      </c>
    </row>
    <row r="237" spans="1:6" x14ac:dyDescent="0.25">
      <c r="A237" s="39" t="s">
        <v>163</v>
      </c>
      <c r="B237" s="39" t="s">
        <v>2889</v>
      </c>
      <c r="C237" s="39" t="str">
        <f t="shared" si="3"/>
        <v>ÇAVUŞLU/GİRESUN</v>
      </c>
      <c r="D237" s="39" t="s">
        <v>318</v>
      </c>
      <c r="F237" s="40">
        <f>IFERROR(VLOOKUP(A237,'Büyükşehir List'!$C$2:$D$31,2,FALSE),0)</f>
        <v>0</v>
      </c>
    </row>
    <row r="238" spans="1:6" x14ac:dyDescent="0.25">
      <c r="A238" s="39" t="s">
        <v>163</v>
      </c>
      <c r="B238" s="39" t="s">
        <v>3601</v>
      </c>
      <c r="C238" s="39" t="str">
        <f t="shared" si="3"/>
        <v>KARABÖRK/GİRESUN</v>
      </c>
      <c r="D238" s="39" t="s">
        <v>586</v>
      </c>
      <c r="F238" s="40">
        <f>IFERROR(VLOOKUP(A238,'Büyükşehir List'!$C$2:$D$31,2,FALSE),0)</f>
        <v>0</v>
      </c>
    </row>
    <row r="239" spans="1:6" x14ac:dyDescent="0.25">
      <c r="A239" s="44" t="s">
        <v>247</v>
      </c>
      <c r="B239" s="44" t="s">
        <v>3029</v>
      </c>
      <c r="C239" s="44" t="str">
        <f t="shared" si="3"/>
        <v>ALTINPINAR/GÜMÜŞHANE</v>
      </c>
      <c r="D239" s="44" t="s">
        <v>2643</v>
      </c>
      <c r="F239" s="40">
        <f>IFERROR(VLOOKUP(A239,'Büyükşehir List'!$C$2:$D$31,2,FALSE),0)</f>
        <v>0</v>
      </c>
    </row>
    <row r="240" spans="1:6" x14ac:dyDescent="0.25">
      <c r="A240" s="44" t="s">
        <v>247</v>
      </c>
      <c r="B240" s="44" t="s">
        <v>3030</v>
      </c>
      <c r="C240" s="44" t="str">
        <f t="shared" si="3"/>
        <v>TEKKE/GÜMÜŞHANE</v>
      </c>
      <c r="D240" s="44" t="s">
        <v>34</v>
      </c>
      <c r="F240" s="40">
        <f>IFERROR(VLOOKUP(A240,'Büyükşehir List'!$C$2:$D$31,2,FALSE),0)</f>
        <v>0</v>
      </c>
    </row>
    <row r="241" spans="1:6" x14ac:dyDescent="0.25">
      <c r="A241" s="39" t="s">
        <v>247</v>
      </c>
      <c r="B241" s="39" t="s">
        <v>3133</v>
      </c>
      <c r="C241" s="39" t="str">
        <f t="shared" si="3"/>
        <v>ARZULARKABAKÖY/GÜMÜŞHANE</v>
      </c>
      <c r="D241" s="39" t="s">
        <v>34</v>
      </c>
    </row>
    <row r="242" spans="1:6" x14ac:dyDescent="0.25">
      <c r="A242" s="39" t="s">
        <v>247</v>
      </c>
      <c r="B242" s="39" t="s">
        <v>3482</v>
      </c>
      <c r="C242" s="39" t="str">
        <f t="shared" si="3"/>
        <v>ÖBEKTAŞ/GÜMÜŞHANE</v>
      </c>
      <c r="D242" s="39" t="s">
        <v>2250</v>
      </c>
      <c r="F242" s="40">
        <f>IFERROR(VLOOKUP(A242,'Büyükşehir List'!$C$2:$D$31,2,FALSE),0)</f>
        <v>0</v>
      </c>
    </row>
    <row r="243" spans="1:6" x14ac:dyDescent="0.25">
      <c r="A243" s="39" t="s">
        <v>247</v>
      </c>
      <c r="B243" s="39" t="s">
        <v>3500</v>
      </c>
      <c r="C243" s="39" t="str">
        <f t="shared" si="3"/>
        <v>ÖZKÜRTÜN/GÜMÜŞHANE</v>
      </c>
      <c r="D243" s="39" t="s">
        <v>2205</v>
      </c>
      <c r="F243" s="40">
        <f>IFERROR(VLOOKUP(A243,'Büyükşehir List'!$C$2:$D$31,2,FALSE),0)</f>
        <v>0</v>
      </c>
    </row>
    <row r="244" spans="1:6" x14ac:dyDescent="0.25">
      <c r="A244" s="39" t="s">
        <v>247</v>
      </c>
      <c r="B244" s="39" t="s">
        <v>3528</v>
      </c>
      <c r="C244" s="39" t="str">
        <f t="shared" si="3"/>
        <v>YEŞİLBÜK/GÜMÜŞHANE</v>
      </c>
      <c r="D244" s="39" t="s">
        <v>343</v>
      </c>
      <c r="F244" s="40">
        <f>IFERROR(VLOOKUP(A244,'Büyükşehir List'!$C$2:$D$31,2,FALSE),0)</f>
        <v>0</v>
      </c>
    </row>
    <row r="245" spans="1:6" x14ac:dyDescent="0.25">
      <c r="A245" s="39" t="s">
        <v>247</v>
      </c>
      <c r="B245" s="39" t="s">
        <v>3546</v>
      </c>
      <c r="C245" s="39" t="str">
        <f t="shared" si="3"/>
        <v>ARZULAR/GÜMÜŞHANE</v>
      </c>
      <c r="D245" s="39" t="s">
        <v>34</v>
      </c>
      <c r="F245" s="40">
        <f>IFERROR(VLOOKUP(A245,'Büyükşehir List'!$C$2:$D$31,2,FALSE),0)</f>
        <v>0</v>
      </c>
    </row>
    <row r="246" spans="1:6" x14ac:dyDescent="0.25">
      <c r="A246" s="39" t="s">
        <v>344</v>
      </c>
      <c r="B246" s="39" t="s">
        <v>2973</v>
      </c>
      <c r="C246" s="39" t="str">
        <f t="shared" si="3"/>
        <v>ESENDERE/HAKKARİ</v>
      </c>
      <c r="D246" s="39" t="s">
        <v>590</v>
      </c>
      <c r="F246" s="40">
        <f>IFERROR(VLOOKUP(A246,'Büyükşehir List'!$C$2:$D$31,2,FALSE),0)</f>
        <v>0</v>
      </c>
    </row>
    <row r="247" spans="1:6" x14ac:dyDescent="0.25">
      <c r="A247" s="39" t="s">
        <v>239</v>
      </c>
      <c r="B247" s="39" t="s">
        <v>3301</v>
      </c>
      <c r="C247" s="39" t="str">
        <f t="shared" si="3"/>
        <v>TAŞBURUN/IĞDIR</v>
      </c>
      <c r="D247" s="39" t="s">
        <v>594</v>
      </c>
      <c r="F247" s="40">
        <f>IFERROR(VLOOKUP(A247,'Büyükşehir List'!$C$2:$D$31,2,FALSE),0)</f>
        <v>0</v>
      </c>
    </row>
    <row r="248" spans="1:6" x14ac:dyDescent="0.25">
      <c r="A248" s="39" t="s">
        <v>239</v>
      </c>
      <c r="B248" s="39" t="s">
        <v>3462</v>
      </c>
      <c r="C248" s="39" t="str">
        <f t="shared" si="3"/>
        <v>HOŞHABER/IĞDIR</v>
      </c>
      <c r="D248" s="39" t="s">
        <v>34</v>
      </c>
      <c r="F248" s="40">
        <f>IFERROR(VLOOKUP(A248,'Büyükşehir List'!$C$2:$D$31,2,FALSE),0)</f>
        <v>0</v>
      </c>
    </row>
    <row r="249" spans="1:6" x14ac:dyDescent="0.25">
      <c r="A249" s="39" t="s">
        <v>239</v>
      </c>
      <c r="B249" s="39" t="s">
        <v>1999</v>
      </c>
      <c r="C249" s="39" t="str">
        <f t="shared" si="3"/>
        <v>MELEKLİ/IĞDIR</v>
      </c>
      <c r="D249" s="39" t="s">
        <v>34</v>
      </c>
      <c r="F249" s="40">
        <f>IFERROR(VLOOKUP(A249,'Büyükşehir List'!$C$2:$D$31,2,FALSE),0)</f>
        <v>0</v>
      </c>
    </row>
    <row r="250" spans="1:6" x14ac:dyDescent="0.25">
      <c r="A250" s="39" t="s">
        <v>239</v>
      </c>
      <c r="B250" s="39" t="s">
        <v>2903</v>
      </c>
      <c r="C250" s="39" t="str">
        <f t="shared" si="3"/>
        <v>HALFELİ/IĞDIR</v>
      </c>
      <c r="D250" s="39" t="s">
        <v>34</v>
      </c>
      <c r="F250" s="40">
        <f>IFERROR(VLOOKUP(A250,'Büyükşehir List'!$C$2:$D$31,2,FALSE),0)</f>
        <v>0</v>
      </c>
    </row>
    <row r="251" spans="1:6" x14ac:dyDescent="0.25">
      <c r="A251" s="44" t="s">
        <v>66</v>
      </c>
      <c r="B251" s="44" t="s">
        <v>2982</v>
      </c>
      <c r="C251" s="44" t="str">
        <f t="shared" si="3"/>
        <v>ÇETİNCE/ISPARTA</v>
      </c>
      <c r="D251" s="44" t="s">
        <v>202</v>
      </c>
      <c r="F251" s="40">
        <f>IFERROR(VLOOKUP(A251,'Büyükşehir List'!$C$2:$D$31,2,FALSE),0)</f>
        <v>0</v>
      </c>
    </row>
    <row r="252" spans="1:6" x14ac:dyDescent="0.25">
      <c r="A252" s="44" t="s">
        <v>66</v>
      </c>
      <c r="B252" s="44" t="s">
        <v>3031</v>
      </c>
      <c r="C252" s="44" t="str">
        <f t="shared" si="3"/>
        <v>SARIİDRİS/ISPARTA</v>
      </c>
      <c r="D252" s="44" t="s">
        <v>596</v>
      </c>
      <c r="F252" s="40">
        <f>IFERROR(VLOOKUP(A252,'Büyükşehir List'!$C$2:$D$31,2,FALSE),0)</f>
        <v>0</v>
      </c>
    </row>
    <row r="253" spans="1:6" x14ac:dyDescent="0.25">
      <c r="A253" s="44" t="s">
        <v>66</v>
      </c>
      <c r="B253" s="44" t="s">
        <v>3050</v>
      </c>
      <c r="C253" s="44" t="str">
        <f t="shared" si="3"/>
        <v>KILIÇ/ISPARTA</v>
      </c>
      <c r="D253" s="70" t="s">
        <v>598</v>
      </c>
      <c r="F253" s="40">
        <f>IFERROR(VLOOKUP(A253,'Büyükşehir List'!$C$2:$D$31,2,FALSE),0)</f>
        <v>0</v>
      </c>
    </row>
    <row r="254" spans="1:6" x14ac:dyDescent="0.25">
      <c r="A254" s="44" t="s">
        <v>66</v>
      </c>
      <c r="B254" s="44" t="s">
        <v>3051</v>
      </c>
      <c r="C254" s="44" t="str">
        <f t="shared" si="3"/>
        <v>KOZLUÇAY/ISPARTA</v>
      </c>
      <c r="D254" s="70" t="s">
        <v>202</v>
      </c>
      <c r="F254" s="40">
        <f>IFERROR(VLOOKUP(A254,'Büyükşehir List'!$C$2:$D$31,2,FALSE),0)</f>
        <v>0</v>
      </c>
    </row>
    <row r="255" spans="1:6" x14ac:dyDescent="0.25">
      <c r="A255" s="71" t="s">
        <v>66</v>
      </c>
      <c r="B255" s="71" t="s">
        <v>3067</v>
      </c>
      <c r="C255" s="44" t="str">
        <f t="shared" si="3"/>
        <v>KÖRKÜLER/ISPARTA</v>
      </c>
      <c r="D255" s="45" t="s">
        <v>202</v>
      </c>
      <c r="F255" s="40">
        <f>IFERROR(VLOOKUP(A255,'Büyükşehir List'!$C$2:$D$31,2,FALSE),0)</f>
        <v>0</v>
      </c>
    </row>
    <row r="256" spans="1:6" x14ac:dyDescent="0.25">
      <c r="A256" s="44" t="s">
        <v>66</v>
      </c>
      <c r="B256" s="66" t="s">
        <v>3118</v>
      </c>
      <c r="C256" s="71" t="str">
        <f t="shared" si="3"/>
        <v>YAKA/ISPARTA</v>
      </c>
      <c r="D256" s="44" t="s">
        <v>597</v>
      </c>
      <c r="F256" s="40">
        <f>IFERROR(VLOOKUP(A256,'Büyükşehir List'!$C$2:$D$31,2,FALSE),0)</f>
        <v>0</v>
      </c>
    </row>
    <row r="257" spans="1:6" x14ac:dyDescent="0.25">
      <c r="A257" s="44" t="s">
        <v>66</v>
      </c>
      <c r="B257" s="66" t="s">
        <v>3134</v>
      </c>
      <c r="C257" s="71" t="str">
        <f t="shared" si="3"/>
        <v>SAVKÖY/ISPARTA</v>
      </c>
      <c r="D257" s="44" t="s">
        <v>2837</v>
      </c>
      <c r="F257" s="40">
        <f>IFERROR(VLOOKUP(A257,'Büyükşehir List'!$C$2:$D$31,2,FALSE),0)</f>
        <v>0</v>
      </c>
    </row>
    <row r="258" spans="1:6" x14ac:dyDescent="0.25">
      <c r="A258" s="44" t="s">
        <v>66</v>
      </c>
      <c r="B258" s="66" t="s">
        <v>3163</v>
      </c>
      <c r="C258" s="71" t="str">
        <f t="shared" ref="C258:C284" si="4">CONCATENATE(B258,"/",A258)</f>
        <v>GÖKSÖĞÜT/ISPARTA</v>
      </c>
      <c r="D258" s="66" t="s">
        <v>260</v>
      </c>
      <c r="F258" s="40">
        <f>IFERROR(VLOOKUP(A258,'Büyükşehir List'!$C$2:$D$31,2,FALSE),0)</f>
        <v>0</v>
      </c>
    </row>
    <row r="259" spans="1:6" x14ac:dyDescent="0.25">
      <c r="A259" s="44" t="s">
        <v>66</v>
      </c>
      <c r="B259" s="44" t="s">
        <v>3249</v>
      </c>
      <c r="C259" s="44" t="str">
        <f t="shared" si="4"/>
        <v>KUMDANLI/ISPARTA</v>
      </c>
      <c r="D259" s="44" t="s">
        <v>202</v>
      </c>
      <c r="F259" s="40">
        <f>IFERROR(VLOOKUP(A259,'Büyükşehir List'!$C$2:$D$31,2,FALSE),0)</f>
        <v>0</v>
      </c>
    </row>
    <row r="260" spans="1:6" x14ac:dyDescent="0.25">
      <c r="A260" s="44" t="s">
        <v>66</v>
      </c>
      <c r="B260" s="44" t="s">
        <v>3180</v>
      </c>
      <c r="C260" s="44" t="str">
        <f t="shared" si="4"/>
        <v>ÖZGÜNEY/ISPARTA</v>
      </c>
      <c r="D260" s="44" t="s">
        <v>202</v>
      </c>
      <c r="F260" s="40">
        <f>IFERROR(VLOOKUP(A260,'Büyükşehir List'!$C$2:$D$31,2,FALSE),0)</f>
        <v>0</v>
      </c>
    </row>
    <row r="261" spans="1:6" x14ac:dyDescent="0.25">
      <c r="A261" s="39" t="s">
        <v>66</v>
      </c>
      <c r="B261" s="39" t="s">
        <v>2714</v>
      </c>
      <c r="C261" s="39" t="str">
        <f t="shared" si="4"/>
        <v>PAZARKÖY/ISPARTA</v>
      </c>
      <c r="D261" s="39" t="s">
        <v>596</v>
      </c>
      <c r="F261" s="40">
        <f>IFERROR(VLOOKUP(A261,'Büyükşehir List'!$C$2:$D$31,2,FALSE),0)</f>
        <v>0</v>
      </c>
    </row>
    <row r="262" spans="1:6" x14ac:dyDescent="0.25">
      <c r="A262" s="39" t="s">
        <v>66</v>
      </c>
      <c r="B262" s="39" t="s">
        <v>3212</v>
      </c>
      <c r="C262" s="39" t="str">
        <f t="shared" si="4"/>
        <v>YUKARIKAŞIKARA/ISPARTA</v>
      </c>
      <c r="D262" s="39" t="s">
        <v>202</v>
      </c>
      <c r="F262" s="40">
        <f>IFERROR(VLOOKUP(A262,'Büyükşehir List'!$C$2:$D$31,2,FALSE),0)</f>
        <v>0</v>
      </c>
    </row>
    <row r="263" spans="1:6" x14ac:dyDescent="0.25">
      <c r="A263" s="39" t="s">
        <v>66</v>
      </c>
      <c r="B263" s="39" t="s">
        <v>3284</v>
      </c>
      <c r="C263" s="39" t="str">
        <f t="shared" si="4"/>
        <v>BAĞILLI/ISPARTA</v>
      </c>
      <c r="D263" s="39" t="s">
        <v>596</v>
      </c>
      <c r="F263" s="40">
        <f>IFERROR(VLOOKUP(A263,'Büyükşehir List'!$C$2:$D$31,2,FALSE),0)</f>
        <v>0</v>
      </c>
    </row>
    <row r="264" spans="1:6" x14ac:dyDescent="0.25">
      <c r="A264" s="39" t="s">
        <v>66</v>
      </c>
      <c r="B264" s="39" t="s">
        <v>520</v>
      </c>
      <c r="C264" s="44" t="str">
        <f t="shared" si="4"/>
        <v>KUYUCAK/ISPARTA</v>
      </c>
      <c r="D264" s="39" t="s">
        <v>598</v>
      </c>
      <c r="F264" s="40">
        <f>IFERROR(VLOOKUP(B264,'Büyükşehir List'!$C$2:$D$31,2,FALSE),0)</f>
        <v>0</v>
      </c>
    </row>
    <row r="265" spans="1:6" x14ac:dyDescent="0.25">
      <c r="A265" s="39" t="s">
        <v>66</v>
      </c>
      <c r="B265" s="39" t="s">
        <v>3117</v>
      </c>
      <c r="C265" s="39" t="str">
        <f t="shared" si="4"/>
        <v>SÜCÜLLÜ/ISPARTA</v>
      </c>
      <c r="D265" s="39" t="s">
        <v>202</v>
      </c>
    </row>
    <row r="266" spans="1:6" x14ac:dyDescent="0.25">
      <c r="A266" s="39" t="s">
        <v>66</v>
      </c>
      <c r="B266" s="39" t="s">
        <v>3427</v>
      </c>
      <c r="C266" s="39" t="str">
        <f t="shared" si="4"/>
        <v>İSLAMKÖY/ISPARTA</v>
      </c>
      <c r="D266" s="39" t="s">
        <v>2231</v>
      </c>
      <c r="F266" s="40">
        <f>IFERROR(VLOOKUP(A266,'Büyükşehir List'!$C$2:$D$31,2,FALSE),0)</f>
        <v>0</v>
      </c>
    </row>
    <row r="267" spans="1:6" x14ac:dyDescent="0.25">
      <c r="A267" s="39" t="s">
        <v>66</v>
      </c>
      <c r="B267" s="39" t="s">
        <v>3450</v>
      </c>
      <c r="C267" s="39" t="str">
        <f t="shared" si="4"/>
        <v>ULUĞBEY/ISPARTA</v>
      </c>
      <c r="D267" s="39" t="s">
        <v>2256</v>
      </c>
    </row>
    <row r="268" spans="1:6" x14ac:dyDescent="0.25">
      <c r="A268" s="39" t="s">
        <v>66</v>
      </c>
      <c r="B268" s="39" t="s">
        <v>3449</v>
      </c>
      <c r="C268" s="39" t="str">
        <f t="shared" si="4"/>
        <v>KASIMLAR/ISPARTA</v>
      </c>
      <c r="D268" s="39" t="s">
        <v>599</v>
      </c>
    </row>
    <row r="269" spans="1:6" x14ac:dyDescent="0.25">
      <c r="A269" s="40" t="s">
        <v>66</v>
      </c>
      <c r="B269" s="39" t="s">
        <v>3440</v>
      </c>
      <c r="C269" s="39" t="str">
        <f t="shared" si="4"/>
        <v>GÖKÇEHÜYÜK/ISPARTA</v>
      </c>
      <c r="D269" s="39" t="s">
        <v>596</v>
      </c>
      <c r="E269" s="40" t="s">
        <v>3395</v>
      </c>
    </row>
    <row r="270" spans="1:6" x14ac:dyDescent="0.25">
      <c r="A270" s="39" t="s">
        <v>66</v>
      </c>
      <c r="B270" s="39" t="s">
        <v>3451</v>
      </c>
      <c r="C270" s="39" t="str">
        <f t="shared" si="4"/>
        <v>YASSIÖREN/ISPARTA</v>
      </c>
      <c r="D270" s="39" t="s">
        <v>2256</v>
      </c>
    </row>
    <row r="271" spans="1:6" x14ac:dyDescent="0.25">
      <c r="A271" s="39" t="s">
        <v>66</v>
      </c>
      <c r="B271" s="39" t="s">
        <v>2837</v>
      </c>
      <c r="C271" s="39" t="str">
        <f t="shared" si="4"/>
        <v>SAV/ISPARTA</v>
      </c>
      <c r="D271" s="39" t="s">
        <v>34</v>
      </c>
      <c r="F271" s="40">
        <f>IFERROR(VLOOKUP(A271,'Büyükşehir List'!$C$2:$D$31,2,FALSE),0)</f>
        <v>0</v>
      </c>
    </row>
    <row r="272" spans="1:6" x14ac:dyDescent="0.25">
      <c r="A272" s="39" t="s">
        <v>66</v>
      </c>
      <c r="B272" s="39" t="s">
        <v>2794</v>
      </c>
      <c r="C272" s="39" t="str">
        <f t="shared" si="4"/>
        <v>KULEÖNÜ/ISPARTA</v>
      </c>
      <c r="D272" s="39" t="s">
        <v>34</v>
      </c>
      <c r="F272" s="40">
        <f>IFERROR(VLOOKUP(A272,'Büyükşehir List'!$C$2:$D$31,2,FALSE),0)</f>
        <v>0</v>
      </c>
    </row>
    <row r="273" spans="1:6" x14ac:dyDescent="0.25">
      <c r="A273" s="39" t="s">
        <v>66</v>
      </c>
      <c r="B273" s="39" t="s">
        <v>3080</v>
      </c>
      <c r="C273" s="39" t="str">
        <f t="shared" si="4"/>
        <v>ÇARIKSARAYLAR/ISPARTA</v>
      </c>
      <c r="D273" s="39" t="s">
        <v>260</v>
      </c>
      <c r="F273" s="40">
        <f>IFERROR(VLOOKUP(A273,'Büyükşehir List'!$C$2:$D$31,2,FALSE),0)</f>
        <v>0</v>
      </c>
    </row>
    <row r="274" spans="1:6" x14ac:dyDescent="0.25">
      <c r="A274" s="39" t="s">
        <v>66</v>
      </c>
      <c r="B274" s="39" t="s">
        <v>3501</v>
      </c>
      <c r="C274" s="39" t="str">
        <f t="shared" si="4"/>
        <v>KESME/ISPARTA</v>
      </c>
      <c r="D274" s="39" t="s">
        <v>599</v>
      </c>
      <c r="F274" s="40">
        <f>IFERROR(VLOOKUP(A274,'Büyükşehir List'!$C$2:$D$31,2,FALSE),0)</f>
        <v>0</v>
      </c>
    </row>
    <row r="275" spans="1:6" x14ac:dyDescent="0.25">
      <c r="A275" s="39" t="s">
        <v>66</v>
      </c>
      <c r="B275" s="39" t="s">
        <v>3529</v>
      </c>
      <c r="C275" s="39" t="str">
        <f t="shared" si="4"/>
        <v>AYVALIPINAR/ISPARTA</v>
      </c>
      <c r="D275" s="39" t="s">
        <v>599</v>
      </c>
      <c r="F275" s="40">
        <f>IFERROR(VLOOKUP(B275,'Büyükşehir List'!$C$2:$D$31,2,FALSE),0)</f>
        <v>0</v>
      </c>
    </row>
    <row r="276" spans="1:6" x14ac:dyDescent="0.25">
      <c r="A276" s="39" t="s">
        <v>66</v>
      </c>
      <c r="B276" s="39" t="s">
        <v>2718</v>
      </c>
      <c r="C276" s="39" t="str">
        <f t="shared" si="4"/>
        <v>ÇİÇEKPINAR/ISPARTA</v>
      </c>
      <c r="D276" s="39" t="s">
        <v>260</v>
      </c>
      <c r="F276" s="40">
        <f>IFERROR(VLOOKUP(A276,'Büyükşehir List'!$C$2:$D$31,2,FALSE),0)</f>
        <v>0</v>
      </c>
    </row>
    <row r="277" spans="1:6" x14ac:dyDescent="0.25">
      <c r="A277" s="39" t="s">
        <v>66</v>
      </c>
      <c r="B277" s="39" t="s">
        <v>2178</v>
      </c>
      <c r="C277" s="39" t="str">
        <f t="shared" si="4"/>
        <v>HÜYÜKLÜ/ISPARTA</v>
      </c>
      <c r="D277" s="39" t="s">
        <v>202</v>
      </c>
      <c r="F277" s="40">
        <f>IFERROR(VLOOKUP(A277,'Büyükşehir List'!$C$2:$D$31,2,FALSE),0)</f>
        <v>0</v>
      </c>
    </row>
    <row r="278" spans="1:6" x14ac:dyDescent="0.25">
      <c r="A278" s="39" t="s">
        <v>66</v>
      </c>
      <c r="B278" s="39" t="s">
        <v>2409</v>
      </c>
      <c r="C278" s="39" t="str">
        <f t="shared" si="4"/>
        <v>BÜYÜKKABACA/ISPARTA</v>
      </c>
      <c r="D278" s="39" t="s">
        <v>2256</v>
      </c>
      <c r="F278" s="40">
        <f>IFERROR(VLOOKUP(A278,'Büyükşehir List'!$C$2:$D$31,2,FALSE),0)</f>
        <v>0</v>
      </c>
    </row>
    <row r="279" spans="1:6" x14ac:dyDescent="0.25">
      <c r="A279" s="39" t="s">
        <v>66</v>
      </c>
      <c r="B279" s="39" t="s">
        <v>3052</v>
      </c>
      <c r="C279" s="39" t="str">
        <f t="shared" si="4"/>
        <v>SENİR/ISPARTA</v>
      </c>
      <c r="D279" s="39" t="s">
        <v>598</v>
      </c>
      <c r="F279" s="40">
        <f>IFERROR(VLOOKUP(A279,'Büyükşehir List'!$C$2:$D$31,2,FALSE),0)</f>
        <v>0</v>
      </c>
    </row>
    <row r="280" spans="1:6" x14ac:dyDescent="0.25">
      <c r="A280" s="39" t="s">
        <v>66</v>
      </c>
      <c r="B280" s="39" t="s">
        <v>3588</v>
      </c>
      <c r="C280" s="39" t="str">
        <f t="shared" si="4"/>
        <v>YAKAAFŞAR/ISPARTA</v>
      </c>
      <c r="D280" s="39" t="s">
        <v>267</v>
      </c>
      <c r="F280" s="40">
        <f>IFERROR(VLOOKUP(A280,'Büyükşehir List'!$C$2:$D$31,2,FALSE),0)</f>
        <v>0</v>
      </c>
    </row>
    <row r="281" spans="1:6" x14ac:dyDescent="0.25">
      <c r="A281" s="39" t="s">
        <v>66</v>
      </c>
      <c r="B281" s="39" t="s">
        <v>3587</v>
      </c>
      <c r="C281" s="39" t="str">
        <f t="shared" si="4"/>
        <v>GÜNEYKENT/ISPARTA</v>
      </c>
      <c r="D281" s="39" t="s">
        <v>257</v>
      </c>
      <c r="F281" s="40">
        <f>IFERROR(VLOOKUP(A281,'Büyükşehir List'!$C$2:$D$31,2,FALSE),0)</f>
        <v>0</v>
      </c>
    </row>
    <row r="282" spans="1:6" x14ac:dyDescent="0.25">
      <c r="A282" s="39" t="s">
        <v>66</v>
      </c>
      <c r="B282" s="39" t="s">
        <v>3654</v>
      </c>
      <c r="C282" s="39" t="str">
        <f t="shared" si="4"/>
        <v>Ç.SARAYLAR/ISPARTA</v>
      </c>
      <c r="D282" s="39" t="s">
        <v>260</v>
      </c>
      <c r="F282" s="40">
        <f>IFERROR(VLOOKUP(A282,'Büyükşehir List'!$C$2:$D$31,2,FALSE),0)</f>
        <v>0</v>
      </c>
    </row>
    <row r="283" spans="1:6" x14ac:dyDescent="0.25">
      <c r="A283" s="44" t="s">
        <v>3189</v>
      </c>
      <c r="B283" s="44" t="s">
        <v>3117</v>
      </c>
      <c r="C283" s="44" t="str">
        <f t="shared" si="4"/>
        <v xml:space="preserve">SÜCÜLLÜ/ISPARTA </v>
      </c>
      <c r="D283" s="44" t="s">
        <v>202</v>
      </c>
    </row>
    <row r="284" spans="1:6" x14ac:dyDescent="0.25">
      <c r="A284" s="44" t="s">
        <v>3189</v>
      </c>
      <c r="B284" s="44" t="s">
        <v>520</v>
      </c>
      <c r="C284" s="44" t="str">
        <f t="shared" si="4"/>
        <v xml:space="preserve">KUYUCAK/ISPARTA </v>
      </c>
      <c r="D284" s="44" t="s">
        <v>3190</v>
      </c>
    </row>
    <row r="285" spans="1:6" ht="13" x14ac:dyDescent="0.3">
      <c r="A285" s="43" t="s">
        <v>225</v>
      </c>
      <c r="B285" s="43" t="s">
        <v>227</v>
      </c>
      <c r="C285" s="43"/>
      <c r="D285" s="43" t="s">
        <v>3130</v>
      </c>
    </row>
    <row r="286" spans="1:6" x14ac:dyDescent="0.25">
      <c r="A286" s="39" t="s">
        <v>6</v>
      </c>
      <c r="B286" s="39" t="s">
        <v>3502</v>
      </c>
      <c r="C286" s="39" t="str">
        <f t="shared" ref="C286:C317" si="5">CONCATENATE(B286,"/",A286)</f>
        <v>YORTANPAZARI/KARABÜK</v>
      </c>
      <c r="D286" s="39" t="s">
        <v>90</v>
      </c>
      <c r="F286" s="40">
        <f>IFERROR(VLOOKUP(A286,'Büyükşehir List'!$C$2:$D$31,2,FALSE),0)</f>
        <v>0</v>
      </c>
    </row>
    <row r="287" spans="1:6" x14ac:dyDescent="0.25">
      <c r="A287" s="71" t="s">
        <v>81</v>
      </c>
      <c r="B287" s="71" t="s">
        <v>3069</v>
      </c>
      <c r="C287" s="44" t="str">
        <f t="shared" si="5"/>
        <v>TAŞKALE/KARAMAN</v>
      </c>
      <c r="D287" s="45" t="s">
        <v>34</v>
      </c>
      <c r="F287" s="40">
        <f>IFERROR(VLOOKUP(A287,'Büyükşehir List'!$C$2:$D$31,2,FALSE),0)</f>
        <v>0</v>
      </c>
    </row>
    <row r="288" spans="1:6" x14ac:dyDescent="0.25">
      <c r="A288" s="71" t="s">
        <v>81</v>
      </c>
      <c r="B288" s="71" t="s">
        <v>3070</v>
      </c>
      <c r="C288" s="44" t="str">
        <f t="shared" si="5"/>
        <v>YEŞİLDERE/KARAMAN</v>
      </c>
      <c r="D288" s="45" t="s">
        <v>34</v>
      </c>
      <c r="F288" s="40">
        <f>IFERROR(VLOOKUP(A288,'Büyükşehir List'!$C$2:$D$31,2,FALSE),0)</f>
        <v>0</v>
      </c>
    </row>
    <row r="289" spans="1:6" x14ac:dyDescent="0.25">
      <c r="A289" s="39" t="s">
        <v>81</v>
      </c>
      <c r="B289" s="39" t="s">
        <v>2523</v>
      </c>
      <c r="C289" s="39" t="str">
        <f t="shared" si="5"/>
        <v>AKÇAŞEHİR/KARAMAN</v>
      </c>
      <c r="D289" s="39" t="s">
        <v>34</v>
      </c>
      <c r="F289" s="40">
        <f>IFERROR(VLOOKUP(A289,'Büyükşehir List'!$C$2:$D$31,2,FALSE),0)</f>
        <v>0</v>
      </c>
    </row>
    <row r="290" spans="1:6" x14ac:dyDescent="0.25">
      <c r="A290" s="39" t="s">
        <v>81</v>
      </c>
      <c r="B290" s="39" t="s">
        <v>3068</v>
      </c>
      <c r="C290" s="39" t="str">
        <f t="shared" si="5"/>
        <v>SUDURAĞI/KARAMAN</v>
      </c>
      <c r="D290" s="39" t="s">
        <v>34</v>
      </c>
      <c r="F290" s="40">
        <f>IFERROR(VLOOKUP(A290,'Büyükşehir List'!$C$2:$D$31,2,FALSE),0)</f>
        <v>0</v>
      </c>
    </row>
    <row r="291" spans="1:6" x14ac:dyDescent="0.25">
      <c r="A291" s="39" t="s">
        <v>81</v>
      </c>
      <c r="B291" s="39" t="s">
        <v>3503</v>
      </c>
      <c r="C291" s="39" t="str">
        <f t="shared" si="5"/>
        <v>GÜNEYYURT/KARAMAN</v>
      </c>
      <c r="D291" s="39" t="s">
        <v>602</v>
      </c>
      <c r="F291" s="40">
        <f>IFERROR(VLOOKUP(A291,'Büyükşehir List'!$C$2:$D$31,2,FALSE),0)</f>
        <v>0</v>
      </c>
    </row>
    <row r="292" spans="1:6" x14ac:dyDescent="0.25">
      <c r="A292" s="39" t="s">
        <v>81</v>
      </c>
      <c r="B292" s="39" t="s">
        <v>3554</v>
      </c>
      <c r="C292" s="39" t="str">
        <f t="shared" si="5"/>
        <v>GÖKTEPE/KARAMAN</v>
      </c>
      <c r="D292" s="39" t="s">
        <v>2838</v>
      </c>
      <c r="F292" s="40">
        <f>IFERROR(VLOOKUP(A292,'Büyükşehir List'!$C$2:$D$31,2,FALSE),0)</f>
        <v>0</v>
      </c>
    </row>
    <row r="293" spans="1:6" x14ac:dyDescent="0.25">
      <c r="A293" s="39" t="s">
        <v>81</v>
      </c>
      <c r="B293" s="39" t="s">
        <v>2414</v>
      </c>
      <c r="C293" s="39" t="str">
        <f t="shared" si="5"/>
        <v>KAZANCI/KARAMAN</v>
      </c>
      <c r="D293" s="39" t="s">
        <v>602</v>
      </c>
      <c r="F293" s="40">
        <f>IFERROR(VLOOKUP(A293,'Büyükşehir List'!$C$2:$D$31,2,FALSE),0)</f>
        <v>0</v>
      </c>
    </row>
    <row r="294" spans="1:6" x14ac:dyDescent="0.25">
      <c r="A294" s="39" t="s">
        <v>77</v>
      </c>
      <c r="B294" s="39" t="s">
        <v>3266</v>
      </c>
      <c r="C294" s="39" t="str">
        <f t="shared" si="5"/>
        <v>KOÇKÖY/KARS</v>
      </c>
      <c r="D294" s="39" t="s">
        <v>2110</v>
      </c>
      <c r="F294" s="40">
        <f>IFERROR(VLOOKUP(A294,'Büyükşehir List'!$C$2:$D$31,2,FALSE),0)</f>
        <v>0</v>
      </c>
    </row>
    <row r="295" spans="1:6" x14ac:dyDescent="0.25">
      <c r="A295" s="44" t="s">
        <v>8</v>
      </c>
      <c r="B295" s="44" t="s">
        <v>2811</v>
      </c>
      <c r="C295" s="44" t="str">
        <f t="shared" si="5"/>
        <v>KILIÇLAR/KIRIKKALE</v>
      </c>
      <c r="D295" s="44" t="s">
        <v>369</v>
      </c>
      <c r="F295" s="40">
        <f>IFERROR(VLOOKUP(A295,'Büyükşehir List'!$C$2:$D$31,2,FALSE),0)</f>
        <v>0</v>
      </c>
    </row>
    <row r="296" spans="1:6" x14ac:dyDescent="0.25">
      <c r="A296" s="44" t="s">
        <v>8</v>
      </c>
      <c r="B296" s="44" t="s">
        <v>3053</v>
      </c>
      <c r="C296" s="44" t="str">
        <f t="shared" si="5"/>
        <v>KONUR/KIRIKKALE</v>
      </c>
      <c r="D296" s="70" t="s">
        <v>2325</v>
      </c>
      <c r="F296" s="40">
        <f>IFERROR(VLOOKUP(A296,'Büyükşehir List'!$C$2:$D$31,2,FALSE),0)</f>
        <v>0</v>
      </c>
    </row>
    <row r="297" spans="1:6" x14ac:dyDescent="0.25">
      <c r="A297" s="44" t="s">
        <v>8</v>
      </c>
      <c r="B297" s="44" t="s">
        <v>3250</v>
      </c>
      <c r="C297" s="44" t="str">
        <f t="shared" si="5"/>
        <v>KULAKSIZ/KIRIKKALE</v>
      </c>
      <c r="D297" s="44" t="s">
        <v>619</v>
      </c>
      <c r="F297" s="40">
        <f>IFERROR(VLOOKUP(A297,'Büyükşehir List'!$C$2:$D$31,2,FALSE),0)</f>
        <v>0</v>
      </c>
    </row>
    <row r="298" spans="1:6" x14ac:dyDescent="0.25">
      <c r="A298" s="44" t="s">
        <v>8</v>
      </c>
      <c r="B298" s="44" t="s">
        <v>3213</v>
      </c>
      <c r="C298" s="44" t="str">
        <f t="shared" si="5"/>
        <v>KARAAHMETLİ/KIRIKKALE</v>
      </c>
      <c r="D298" s="44" t="s">
        <v>1891</v>
      </c>
      <c r="F298" s="40">
        <f>IFERROR(VLOOKUP(A298,'Büyükşehir List'!$C$2:$D$31,2,FALSE),0)</f>
        <v>0</v>
      </c>
    </row>
    <row r="299" spans="1:6" x14ac:dyDescent="0.25">
      <c r="A299" s="39" t="s">
        <v>8</v>
      </c>
      <c r="B299" s="39" t="s">
        <v>3285</v>
      </c>
      <c r="C299" s="39" t="str">
        <f t="shared" si="5"/>
        <v>KOÇUBABA/KIRIKKALE</v>
      </c>
      <c r="D299" s="39" t="s">
        <v>619</v>
      </c>
      <c r="F299" s="40">
        <f>IFERROR(VLOOKUP(A299,'Büyükşehir List'!$C$2:$D$31,2,FALSE),0)</f>
        <v>0</v>
      </c>
    </row>
    <row r="300" spans="1:6" x14ac:dyDescent="0.25">
      <c r="A300" s="39" t="s">
        <v>8</v>
      </c>
      <c r="B300" s="39" t="s">
        <v>2395</v>
      </c>
      <c r="C300" s="39" t="str">
        <f t="shared" si="5"/>
        <v>GÜZELYURT/KIRIKKALE</v>
      </c>
      <c r="D300" s="39" t="s">
        <v>2257</v>
      </c>
      <c r="F300" s="40">
        <f>IFERROR(VLOOKUP(A300,'Büyükşehir List'!$C$2:$D$31,2,FALSE),0)</f>
        <v>0</v>
      </c>
    </row>
    <row r="301" spans="1:6" x14ac:dyDescent="0.25">
      <c r="A301" s="39" t="s">
        <v>8</v>
      </c>
      <c r="B301" s="39" t="s">
        <v>3380</v>
      </c>
      <c r="C301" s="44" t="str">
        <f t="shared" si="5"/>
        <v>KÖPRÜKÖY/KIRIKKALE</v>
      </c>
      <c r="D301" s="39" t="s">
        <v>2325</v>
      </c>
      <c r="F301" s="40">
        <f>IFERROR(VLOOKUP(A301,'Büyükşehir List'!$C$2:$D$31,2,FALSE),0)</f>
        <v>0</v>
      </c>
    </row>
    <row r="302" spans="1:6" x14ac:dyDescent="0.25">
      <c r="A302" s="39" t="s">
        <v>8</v>
      </c>
      <c r="B302" s="39" t="s">
        <v>3409</v>
      </c>
      <c r="C302" s="44" t="str">
        <f t="shared" si="5"/>
        <v>BÜYÜKYAĞLI/KIRIKKALE</v>
      </c>
      <c r="D302" s="39" t="s">
        <v>2323</v>
      </c>
      <c r="F302" s="40">
        <f>IFERROR(VLOOKUP(A302,'Büyükşehir List'!$C$2:$D$31,2,FALSE),0)</f>
        <v>0</v>
      </c>
    </row>
    <row r="303" spans="1:6" x14ac:dyDescent="0.25">
      <c r="A303" s="39" t="s">
        <v>8</v>
      </c>
      <c r="B303" s="39" t="s">
        <v>3452</v>
      </c>
      <c r="C303" s="39" t="str">
        <f t="shared" si="5"/>
        <v>HAMZALI/KIRIKKALE</v>
      </c>
      <c r="D303" s="39" t="s">
        <v>2257</v>
      </c>
      <c r="F303" s="40">
        <f>IFERROR(VLOOKUP(A303,'Büyükşehir List'!$C$2:$D$31,2,FALSE),0)</f>
        <v>0</v>
      </c>
    </row>
    <row r="304" spans="1:6" x14ac:dyDescent="0.25">
      <c r="A304" s="39" t="s">
        <v>8</v>
      </c>
      <c r="B304" s="39" t="s">
        <v>3259</v>
      </c>
      <c r="C304" s="39" t="str">
        <f t="shared" si="5"/>
        <v>BAHŞİLİ/KIRIKKALE</v>
      </c>
      <c r="D304" s="39" t="s">
        <v>1891</v>
      </c>
      <c r="F304" s="40">
        <f>IFERROR(VLOOKUP(A304,'Büyükşehir List'!$C$2:$D$31,2,FALSE),0)</f>
        <v>0</v>
      </c>
    </row>
    <row r="305" spans="1:6" x14ac:dyDescent="0.25">
      <c r="A305" s="39" t="s">
        <v>8</v>
      </c>
      <c r="B305" s="39" t="s">
        <v>3530</v>
      </c>
      <c r="C305" s="39" t="str">
        <f t="shared" si="5"/>
        <v>BÜYÜKAVŞAR/KIRIKKALE</v>
      </c>
      <c r="D305" s="39" t="s">
        <v>2323</v>
      </c>
      <c r="F305" s="40">
        <f>IFERROR(VLOOKUP(A305,'Büyükşehir List'!$C$2:$D$31,2,FALSE),0)</f>
        <v>0</v>
      </c>
    </row>
    <row r="306" spans="1:6" x14ac:dyDescent="0.25">
      <c r="A306" s="71" t="s">
        <v>155</v>
      </c>
      <c r="B306" s="71" t="s">
        <v>3054</v>
      </c>
      <c r="C306" s="44" t="str">
        <f t="shared" si="5"/>
        <v>KIRIKKÖY/KIRKLARELİ</v>
      </c>
      <c r="D306" s="70" t="s">
        <v>156</v>
      </c>
      <c r="F306" s="40">
        <f>IFERROR(VLOOKUP(A306,'Büyükşehir List'!$C$2:$D$31,2,FALSE),0)</f>
        <v>0</v>
      </c>
    </row>
    <row r="307" spans="1:6" x14ac:dyDescent="0.25">
      <c r="A307" s="44" t="s">
        <v>155</v>
      </c>
      <c r="B307" s="44" t="s">
        <v>3251</v>
      </c>
      <c r="C307" s="44" t="str">
        <f t="shared" si="5"/>
        <v>SAKIZKÖY/KIRKLARELİ</v>
      </c>
      <c r="D307" s="44" t="s">
        <v>156</v>
      </c>
    </row>
    <row r="308" spans="1:6" x14ac:dyDescent="0.25">
      <c r="A308" s="39" t="s">
        <v>155</v>
      </c>
      <c r="B308" s="39" t="s">
        <v>3252</v>
      </c>
      <c r="C308" s="39" t="str">
        <f t="shared" si="5"/>
        <v>SİNANLI/KIRKLARELİ</v>
      </c>
      <c r="D308" s="39" t="s">
        <v>295</v>
      </c>
      <c r="E308" s="40" t="s">
        <v>3492</v>
      </c>
    </row>
    <row r="309" spans="1:6" x14ac:dyDescent="0.25">
      <c r="A309" s="39" t="s">
        <v>155</v>
      </c>
      <c r="B309" s="39" t="s">
        <v>3410</v>
      </c>
      <c r="C309" s="44" t="str">
        <f t="shared" si="5"/>
        <v>SERGEN/KIRKLARELİ</v>
      </c>
      <c r="D309" s="39" t="s">
        <v>18</v>
      </c>
    </row>
    <row r="310" spans="1:6" x14ac:dyDescent="0.25">
      <c r="A310" s="39" t="s">
        <v>155</v>
      </c>
      <c r="B310" s="39" t="s">
        <v>2230</v>
      </c>
      <c r="C310" s="39" t="str">
        <f t="shared" si="5"/>
        <v>AHMETBEY/KIRKLARELİ</v>
      </c>
      <c r="D310" s="39" t="s">
        <v>156</v>
      </c>
    </row>
    <row r="311" spans="1:6" x14ac:dyDescent="0.25">
      <c r="A311" s="39" t="s">
        <v>155</v>
      </c>
      <c r="B311" s="39" t="s">
        <v>2235</v>
      </c>
      <c r="C311" s="39" t="str">
        <f t="shared" si="5"/>
        <v>BÜYÜKKARIŞTIRAN/KIRKLARELİ</v>
      </c>
      <c r="D311" s="39" t="s">
        <v>156</v>
      </c>
    </row>
    <row r="312" spans="1:6" x14ac:dyDescent="0.25">
      <c r="A312" s="39" t="s">
        <v>155</v>
      </c>
      <c r="B312" s="39" t="s">
        <v>1877</v>
      </c>
      <c r="C312" s="39" t="str">
        <f t="shared" si="5"/>
        <v>KAVAKLI/KIRKLARELİ</v>
      </c>
      <c r="D312" s="39" t="s">
        <v>34</v>
      </c>
    </row>
    <row r="313" spans="1:6" x14ac:dyDescent="0.25">
      <c r="A313" s="39" t="s">
        <v>155</v>
      </c>
      <c r="B313" s="39" t="s">
        <v>2320</v>
      </c>
      <c r="C313" s="39" t="str">
        <f t="shared" si="5"/>
        <v>ALPULLU/KIRKLARELİ</v>
      </c>
      <c r="D313" s="39" t="s">
        <v>295</v>
      </c>
    </row>
    <row r="314" spans="1:6" x14ac:dyDescent="0.25">
      <c r="A314" s="39" t="s">
        <v>155</v>
      </c>
      <c r="B314" s="39" t="s">
        <v>2156</v>
      </c>
      <c r="C314" s="39" t="str">
        <f t="shared" si="5"/>
        <v>İNECE/KIRKLARELİ</v>
      </c>
      <c r="D314" s="39" t="s">
        <v>34</v>
      </c>
    </row>
    <row r="315" spans="1:6" x14ac:dyDescent="0.25">
      <c r="A315" s="39" t="s">
        <v>155</v>
      </c>
      <c r="B315" s="39" t="s">
        <v>2313</v>
      </c>
      <c r="C315" s="39" t="str">
        <f t="shared" si="5"/>
        <v>ÜSKÜP/KIRKLARELİ</v>
      </c>
      <c r="D315" s="39" t="s">
        <v>34</v>
      </c>
    </row>
    <row r="316" spans="1:6" x14ac:dyDescent="0.25">
      <c r="A316" s="39" t="s">
        <v>155</v>
      </c>
      <c r="B316" s="39" t="s">
        <v>2422</v>
      </c>
      <c r="C316" s="39" t="str">
        <f t="shared" si="5"/>
        <v>EVRENSEKİZ/KIRKLARELİ</v>
      </c>
      <c r="D316" s="39" t="s">
        <v>156</v>
      </c>
    </row>
    <row r="317" spans="1:6" x14ac:dyDescent="0.25">
      <c r="A317" s="39" t="s">
        <v>155</v>
      </c>
      <c r="B317" s="39" t="s">
        <v>3129</v>
      </c>
      <c r="C317" s="39" t="str">
        <f t="shared" si="5"/>
        <v>BÜYÜKMANDIRA/KIRKLARELİ</v>
      </c>
      <c r="D317" s="39" t="s">
        <v>295</v>
      </c>
    </row>
    <row r="318" spans="1:6" x14ac:dyDescent="0.25">
      <c r="A318" s="39" t="s">
        <v>155</v>
      </c>
      <c r="B318" s="39" t="s">
        <v>2056</v>
      </c>
      <c r="C318" s="39" t="str">
        <f t="shared" ref="C318:C349" si="6">CONCATENATE(B318,"/",A318)</f>
        <v>ÇAKILLI/KIRKLARELİ</v>
      </c>
      <c r="D318" s="39" t="s">
        <v>18</v>
      </c>
    </row>
    <row r="319" spans="1:6" x14ac:dyDescent="0.25">
      <c r="A319" s="39" t="s">
        <v>155</v>
      </c>
      <c r="B319" s="39" t="s">
        <v>682</v>
      </c>
      <c r="C319" s="39" t="str">
        <f t="shared" si="6"/>
        <v>KAYNARCA/KIRKLARELİ</v>
      </c>
      <c r="D319" s="39" t="s">
        <v>371</v>
      </c>
    </row>
    <row r="320" spans="1:6" x14ac:dyDescent="0.25">
      <c r="A320" s="39" t="s">
        <v>155</v>
      </c>
      <c r="B320" s="39" t="s">
        <v>2207</v>
      </c>
      <c r="C320" s="39" t="str">
        <f t="shared" si="6"/>
        <v>İĞNEADA/KIRKLARELİ</v>
      </c>
      <c r="D320" s="39" t="s">
        <v>370</v>
      </c>
    </row>
    <row r="321" spans="1:4" x14ac:dyDescent="0.25">
      <c r="A321" s="39" t="s">
        <v>155</v>
      </c>
      <c r="B321" s="39" t="s">
        <v>3504</v>
      </c>
      <c r="C321" s="39" t="str">
        <f t="shared" si="6"/>
        <v>KARAHALİL/KIRKLARELİ</v>
      </c>
      <c r="D321" s="39" t="s">
        <v>295</v>
      </c>
    </row>
    <row r="322" spans="1:4" x14ac:dyDescent="0.25">
      <c r="A322" s="39" t="s">
        <v>155</v>
      </c>
      <c r="B322" s="39" t="s">
        <v>3505</v>
      </c>
      <c r="C322" s="39" t="str">
        <f t="shared" si="6"/>
        <v>KIYIKÖY/KIRKLARELİ</v>
      </c>
      <c r="D322" s="39" t="s">
        <v>18</v>
      </c>
    </row>
    <row r="323" spans="1:4" x14ac:dyDescent="0.25">
      <c r="A323" s="39" t="s">
        <v>155</v>
      </c>
      <c r="B323" s="39" t="s">
        <v>3547</v>
      </c>
      <c r="C323" s="39" t="str">
        <f t="shared" si="6"/>
        <v>B.MANDIRA/KIRKLARELİ</v>
      </c>
      <c r="D323" s="39" t="s">
        <v>295</v>
      </c>
    </row>
    <row r="324" spans="1:4" x14ac:dyDescent="0.25">
      <c r="A324" s="44" t="s">
        <v>144</v>
      </c>
      <c r="B324" s="44" t="s">
        <v>3032</v>
      </c>
      <c r="C324" s="44" t="str">
        <f t="shared" si="6"/>
        <v>BAŞKÖY/KIRŞEHİR</v>
      </c>
      <c r="D324" s="44" t="s">
        <v>321</v>
      </c>
    </row>
    <row r="325" spans="1:4" x14ac:dyDescent="0.25">
      <c r="A325" s="44" t="s">
        <v>144</v>
      </c>
      <c r="B325" s="44" t="s">
        <v>2748</v>
      </c>
      <c r="C325" s="44" t="str">
        <f t="shared" si="6"/>
        <v>DULKADİRLİ/KIRŞEHİR</v>
      </c>
      <c r="D325" s="44" t="s">
        <v>34</v>
      </c>
    </row>
    <row r="326" spans="1:4" x14ac:dyDescent="0.25">
      <c r="A326" s="71" t="s">
        <v>144</v>
      </c>
      <c r="B326" s="71" t="s">
        <v>3071</v>
      </c>
      <c r="C326" s="44" t="str">
        <f t="shared" si="6"/>
        <v>BÜYÜKABDİUŞAĞI/KIRŞEHİR</v>
      </c>
      <c r="D326" s="70" t="s">
        <v>3081</v>
      </c>
    </row>
    <row r="327" spans="1:4" x14ac:dyDescent="0.25">
      <c r="A327" s="71" t="s">
        <v>144</v>
      </c>
      <c r="B327" s="71" t="s">
        <v>3072</v>
      </c>
      <c r="C327" s="44" t="str">
        <f t="shared" si="6"/>
        <v>TOKLÜMEN/KIRŞEHİR</v>
      </c>
      <c r="D327" s="70" t="s">
        <v>34</v>
      </c>
    </row>
    <row r="328" spans="1:4" x14ac:dyDescent="0.25">
      <c r="A328" s="71" t="s">
        <v>144</v>
      </c>
      <c r="B328" s="71" t="s">
        <v>3073</v>
      </c>
      <c r="C328" s="44" t="str">
        <f t="shared" si="6"/>
        <v>ULUPINAR/KIRŞEHİR</v>
      </c>
      <c r="D328" s="70" t="s">
        <v>34</v>
      </c>
    </row>
    <row r="329" spans="1:4" x14ac:dyDescent="0.25">
      <c r="A329" s="44" t="s">
        <v>144</v>
      </c>
      <c r="B329" s="44" t="s">
        <v>3181</v>
      </c>
      <c r="C329" s="44" t="str">
        <f t="shared" si="6"/>
        <v>DEMİRLİ/KIRŞEHİR</v>
      </c>
      <c r="D329" s="44" t="s">
        <v>321</v>
      </c>
    </row>
    <row r="330" spans="1:4" x14ac:dyDescent="0.25">
      <c r="A330" s="44" t="s">
        <v>144</v>
      </c>
      <c r="B330" s="44" t="s">
        <v>3214</v>
      </c>
      <c r="C330" s="44" t="str">
        <f t="shared" si="6"/>
        <v>SAVCILIBÜYÜKOVA/KIRŞEHİR</v>
      </c>
      <c r="D330" s="44" t="s">
        <v>321</v>
      </c>
    </row>
    <row r="331" spans="1:4" x14ac:dyDescent="0.25">
      <c r="A331" s="39" t="s">
        <v>144</v>
      </c>
      <c r="B331" s="39" t="s">
        <v>3399</v>
      </c>
      <c r="C331" s="44" t="str">
        <f t="shared" si="6"/>
        <v>ÇAĞIRKAN/KIRŞEHİR</v>
      </c>
      <c r="D331" s="39" t="s">
        <v>321</v>
      </c>
    </row>
    <row r="332" spans="1:4" x14ac:dyDescent="0.25">
      <c r="A332" s="39" t="s">
        <v>144</v>
      </c>
      <c r="B332" s="39" t="s">
        <v>3417</v>
      </c>
      <c r="C332" s="39" t="str">
        <f t="shared" si="6"/>
        <v>HAMİT/KIRŞEHİR</v>
      </c>
      <c r="D332" s="39" t="s">
        <v>321</v>
      </c>
    </row>
    <row r="333" spans="1:4" x14ac:dyDescent="0.25">
      <c r="A333" s="39" t="s">
        <v>144</v>
      </c>
      <c r="B333" s="39" t="s">
        <v>3417</v>
      </c>
      <c r="C333" s="39" t="str">
        <f t="shared" si="6"/>
        <v>HAMİT/KIRŞEHİR</v>
      </c>
      <c r="D333" s="39" t="s">
        <v>321</v>
      </c>
    </row>
    <row r="334" spans="1:4" x14ac:dyDescent="0.25">
      <c r="A334" s="39" t="s">
        <v>144</v>
      </c>
      <c r="B334" s="39" t="s">
        <v>3418</v>
      </c>
      <c r="C334" s="39" t="str">
        <f t="shared" si="6"/>
        <v>KARACAÖREN/KIRŞEHİR</v>
      </c>
      <c r="D334" s="39" t="s">
        <v>621</v>
      </c>
    </row>
    <row r="335" spans="1:4" x14ac:dyDescent="0.25">
      <c r="A335" s="39" t="s">
        <v>144</v>
      </c>
      <c r="B335" s="39" t="s">
        <v>3428</v>
      </c>
      <c r="C335" s="39" t="str">
        <f t="shared" si="6"/>
        <v>KARGINYENİCE/KIRŞEHİR</v>
      </c>
      <c r="D335" s="39" t="s">
        <v>321</v>
      </c>
    </row>
    <row r="336" spans="1:4" x14ac:dyDescent="0.25">
      <c r="A336" s="39" t="s">
        <v>144</v>
      </c>
      <c r="B336" s="39" t="s">
        <v>3441</v>
      </c>
      <c r="C336" s="39" t="str">
        <f t="shared" si="6"/>
        <v>YELEK/KIRŞEHİR</v>
      </c>
      <c r="D336" s="39" t="s">
        <v>321</v>
      </c>
    </row>
    <row r="337" spans="1:4" x14ac:dyDescent="0.25">
      <c r="A337" s="39" t="s">
        <v>144</v>
      </c>
      <c r="B337" s="39" t="s">
        <v>3453</v>
      </c>
      <c r="C337" s="39" t="str">
        <f t="shared" si="6"/>
        <v>BOĞAZEVCİ/KIRŞEHİR</v>
      </c>
      <c r="D337" s="39" t="s">
        <v>622</v>
      </c>
    </row>
    <row r="338" spans="1:4" x14ac:dyDescent="0.25">
      <c r="A338" s="39" t="s">
        <v>144</v>
      </c>
      <c r="B338" s="39" t="s">
        <v>2976</v>
      </c>
      <c r="C338" s="39" t="str">
        <f t="shared" si="6"/>
        <v>ÖZBAĞ/KIRŞEHİR</v>
      </c>
      <c r="D338" s="39" t="s">
        <v>34</v>
      </c>
    </row>
    <row r="339" spans="1:4" x14ac:dyDescent="0.25">
      <c r="A339" s="39" t="s">
        <v>144</v>
      </c>
      <c r="B339" s="39" t="s">
        <v>3483</v>
      </c>
      <c r="C339" s="39" t="str">
        <f t="shared" si="6"/>
        <v>KURANCILI/KIRŞEHİR</v>
      </c>
      <c r="D339" s="39" t="s">
        <v>321</v>
      </c>
    </row>
    <row r="340" spans="1:4" x14ac:dyDescent="0.25">
      <c r="A340" s="39" t="s">
        <v>144</v>
      </c>
      <c r="B340" s="39" t="s">
        <v>3565</v>
      </c>
      <c r="C340" s="39" t="str">
        <f t="shared" si="6"/>
        <v>KÖSELİ/KIRŞEHİR</v>
      </c>
      <c r="D340" s="39" t="s">
        <v>622</v>
      </c>
    </row>
    <row r="341" spans="1:4" x14ac:dyDescent="0.25">
      <c r="A341" s="39" t="s">
        <v>144</v>
      </c>
      <c r="B341" s="39" t="s">
        <v>3589</v>
      </c>
      <c r="C341" s="39" t="str">
        <f t="shared" si="6"/>
        <v>KÖŞKER/KIRŞEHİR</v>
      </c>
      <c r="D341" s="39" t="s">
        <v>2057</v>
      </c>
    </row>
    <row r="342" spans="1:4" x14ac:dyDescent="0.25">
      <c r="A342" s="39" t="s">
        <v>262</v>
      </c>
      <c r="B342" s="39" t="s">
        <v>3286</v>
      </c>
      <c r="C342" s="39" t="str">
        <f t="shared" si="6"/>
        <v>YAVUZLU/KİLİS</v>
      </c>
      <c r="D342" s="39" t="s">
        <v>34</v>
      </c>
    </row>
    <row r="343" spans="1:4" x14ac:dyDescent="0.25">
      <c r="A343" s="39" t="s">
        <v>262</v>
      </c>
      <c r="B343" s="39" t="s">
        <v>3555</v>
      </c>
      <c r="C343" s="39" t="str">
        <f t="shared" si="6"/>
        <v>POLATELİ/KİLİS</v>
      </c>
      <c r="D343" s="39" t="s">
        <v>34</v>
      </c>
    </row>
    <row r="344" spans="1:4" x14ac:dyDescent="0.25">
      <c r="A344" s="44" t="s">
        <v>76</v>
      </c>
      <c r="B344" s="44" t="s">
        <v>3033</v>
      </c>
      <c r="C344" s="44" t="str">
        <f t="shared" si="6"/>
        <v>ALTINKENT/KÜTAHYA</v>
      </c>
      <c r="D344" s="44" t="s">
        <v>307</v>
      </c>
    </row>
    <row r="345" spans="1:4" x14ac:dyDescent="0.25">
      <c r="A345" s="71" t="s">
        <v>76</v>
      </c>
      <c r="B345" s="45" t="s">
        <v>638</v>
      </c>
      <c r="C345" s="44" t="str">
        <f t="shared" si="6"/>
        <v>ALİKÖY/KÜTAHYA</v>
      </c>
      <c r="D345" s="70" t="s">
        <v>374</v>
      </c>
    </row>
    <row r="346" spans="1:4" x14ac:dyDescent="0.25">
      <c r="A346" s="39" t="s">
        <v>76</v>
      </c>
      <c r="B346" s="39" t="s">
        <v>575</v>
      </c>
      <c r="C346" s="39" t="str">
        <f t="shared" si="6"/>
        <v>ÜZÜMLÜ/KÜTAHYA</v>
      </c>
      <c r="D346" s="39" t="s">
        <v>307</v>
      </c>
    </row>
    <row r="347" spans="1:4" x14ac:dyDescent="0.25">
      <c r="A347" s="39" t="s">
        <v>76</v>
      </c>
      <c r="B347" s="39" t="s">
        <v>3253</v>
      </c>
      <c r="C347" s="39" t="str">
        <f t="shared" si="6"/>
        <v>HİSARBEY/KÜTAHYA</v>
      </c>
      <c r="D347" s="39" t="s">
        <v>458</v>
      </c>
    </row>
    <row r="348" spans="1:4" x14ac:dyDescent="0.25">
      <c r="A348" s="39" t="s">
        <v>76</v>
      </c>
      <c r="B348" s="39" t="s">
        <v>3331</v>
      </c>
      <c r="C348" s="44" t="str">
        <f t="shared" si="6"/>
        <v>CEBRAİL/KÜTAHYA</v>
      </c>
      <c r="D348" s="39" t="s">
        <v>307</v>
      </c>
    </row>
    <row r="349" spans="1:4" x14ac:dyDescent="0.25">
      <c r="A349" s="39" t="s">
        <v>76</v>
      </c>
      <c r="B349" s="39" t="s">
        <v>3383</v>
      </c>
      <c r="C349" s="44" t="str">
        <f t="shared" si="6"/>
        <v>YEMİŞLİ/KÜTAHYA</v>
      </c>
      <c r="D349" s="39" t="s">
        <v>458</v>
      </c>
    </row>
    <row r="350" spans="1:4" x14ac:dyDescent="0.25">
      <c r="A350" s="39" t="s">
        <v>76</v>
      </c>
      <c r="B350" s="39" t="s">
        <v>3401</v>
      </c>
      <c r="C350" s="44" t="str">
        <f t="shared" ref="C350:C381" si="7">CONCATENATE(B350,"/",A350)</f>
        <v>KARBASAN/KÜTAHYA</v>
      </c>
      <c r="D350" s="39" t="s">
        <v>2393</v>
      </c>
    </row>
    <row r="351" spans="1:4" x14ac:dyDescent="0.25">
      <c r="A351" s="39" t="s">
        <v>76</v>
      </c>
      <c r="B351" s="39" t="s">
        <v>3400</v>
      </c>
      <c r="C351" s="44" t="str">
        <f t="shared" si="7"/>
        <v>ÇAYIRBAŞI/KÜTAHYA</v>
      </c>
      <c r="D351" s="39" t="s">
        <v>639</v>
      </c>
    </row>
    <row r="352" spans="1:4" x14ac:dyDescent="0.25">
      <c r="A352" s="39" t="s">
        <v>76</v>
      </c>
      <c r="B352" s="39" t="s">
        <v>3402</v>
      </c>
      <c r="C352" s="44" t="str">
        <f t="shared" si="7"/>
        <v>SOFULAR/KÜTAHYA</v>
      </c>
      <c r="D352" s="39" t="s">
        <v>2102</v>
      </c>
    </row>
    <row r="353" spans="1:4" x14ac:dyDescent="0.25">
      <c r="A353" s="39" t="s">
        <v>76</v>
      </c>
      <c r="B353" s="39" t="s">
        <v>3411</v>
      </c>
      <c r="C353" s="44" t="str">
        <f t="shared" si="7"/>
        <v>ERDOĞMUŞ/KÜTAHYA</v>
      </c>
      <c r="D353" s="39" t="s">
        <v>307</v>
      </c>
    </row>
    <row r="354" spans="1:4" x14ac:dyDescent="0.25">
      <c r="A354" s="39" t="s">
        <v>76</v>
      </c>
      <c r="B354" s="39" t="s">
        <v>3419</v>
      </c>
      <c r="C354" s="39" t="str">
        <f t="shared" si="7"/>
        <v>ZAFERTEPEÇALKÖY/KÜTAHYA</v>
      </c>
      <c r="D354" s="39" t="s">
        <v>639</v>
      </c>
    </row>
    <row r="355" spans="1:4" x14ac:dyDescent="0.25">
      <c r="A355" s="39" t="s">
        <v>76</v>
      </c>
      <c r="B355" s="39" t="s">
        <v>3430</v>
      </c>
      <c r="C355" s="39" t="str">
        <f t="shared" si="7"/>
        <v>ÖREYLER/KÜTAHYA</v>
      </c>
      <c r="D355" s="39" t="s">
        <v>458</v>
      </c>
    </row>
    <row r="356" spans="1:4" x14ac:dyDescent="0.25">
      <c r="A356" s="39" t="s">
        <v>76</v>
      </c>
      <c r="B356" s="39" t="s">
        <v>3429</v>
      </c>
      <c r="C356" s="39" t="str">
        <f t="shared" si="7"/>
        <v>GÜMÜLE/KÜTAHYA</v>
      </c>
      <c r="D356" s="39" t="s">
        <v>307</v>
      </c>
    </row>
    <row r="357" spans="1:4" x14ac:dyDescent="0.25">
      <c r="A357" s="39" t="s">
        <v>76</v>
      </c>
      <c r="B357" s="39" t="s">
        <v>3458</v>
      </c>
      <c r="C357" s="39" t="str">
        <f t="shared" si="7"/>
        <v>ÜÇBAŞ/KÜTAHYA</v>
      </c>
      <c r="D357" s="39" t="s">
        <v>643</v>
      </c>
    </row>
    <row r="358" spans="1:4" x14ac:dyDescent="0.25">
      <c r="A358" s="39" t="s">
        <v>76</v>
      </c>
      <c r="B358" s="39" t="s">
        <v>3463</v>
      </c>
      <c r="C358" s="39" t="str">
        <f t="shared" si="7"/>
        <v>GÜMELE/KÜTAHYA</v>
      </c>
      <c r="D358" s="39" t="s">
        <v>307</v>
      </c>
    </row>
    <row r="359" spans="1:4" x14ac:dyDescent="0.25">
      <c r="A359" s="39" t="s">
        <v>76</v>
      </c>
      <c r="B359" s="39" t="s">
        <v>2050</v>
      </c>
      <c r="C359" s="39" t="str">
        <f t="shared" si="7"/>
        <v>YENİKENT/KÜTAHYA</v>
      </c>
      <c r="D359" s="39" t="s">
        <v>307</v>
      </c>
    </row>
    <row r="360" spans="1:4" x14ac:dyDescent="0.25">
      <c r="A360" s="39" t="s">
        <v>76</v>
      </c>
      <c r="B360" s="39" t="s">
        <v>2890</v>
      </c>
      <c r="C360" s="39" t="str">
        <f t="shared" si="7"/>
        <v>SEYİTÖMER/KÜTAHYA</v>
      </c>
      <c r="D360" s="39" t="s">
        <v>34</v>
      </c>
    </row>
    <row r="361" spans="1:4" x14ac:dyDescent="0.25">
      <c r="A361" s="39" t="s">
        <v>76</v>
      </c>
      <c r="B361" s="39" t="s">
        <v>3485</v>
      </c>
      <c r="C361" s="39" t="str">
        <f t="shared" si="7"/>
        <v>HACIKEBİR/KÜTAHYA</v>
      </c>
      <c r="D361" s="39" t="s">
        <v>640</v>
      </c>
    </row>
    <row r="362" spans="1:4" x14ac:dyDescent="0.25">
      <c r="A362" s="39" t="s">
        <v>76</v>
      </c>
      <c r="B362" s="39" t="s">
        <v>2785</v>
      </c>
      <c r="C362" s="39" t="str">
        <f t="shared" si="7"/>
        <v>BALİKÖY/KÜTAHYA</v>
      </c>
      <c r="D362" s="39" t="s">
        <v>374</v>
      </c>
    </row>
    <row r="363" spans="1:4" x14ac:dyDescent="0.25">
      <c r="A363" s="39" t="s">
        <v>76</v>
      </c>
      <c r="B363" s="39" t="s">
        <v>1781</v>
      </c>
      <c r="C363" s="39" t="str">
        <f t="shared" si="7"/>
        <v>TEPECİK/KÜTAHYA</v>
      </c>
      <c r="D363" s="39" t="s">
        <v>374</v>
      </c>
    </row>
    <row r="364" spans="1:4" x14ac:dyDescent="0.25">
      <c r="A364" s="39" t="s">
        <v>76</v>
      </c>
      <c r="B364" s="39" t="s">
        <v>195</v>
      </c>
      <c r="C364" s="39" t="str">
        <f t="shared" si="7"/>
        <v>KALKAN/KÜTAHYA</v>
      </c>
      <c r="D364" s="39" t="s">
        <v>458</v>
      </c>
    </row>
    <row r="365" spans="1:4" x14ac:dyDescent="0.25">
      <c r="A365" s="39" t="s">
        <v>76</v>
      </c>
      <c r="B365" s="39" t="s">
        <v>75</v>
      </c>
      <c r="C365" s="39" t="str">
        <f t="shared" si="7"/>
        <v>KESTEL/KÜTAHYA</v>
      </c>
      <c r="D365" s="39" t="s">
        <v>458</v>
      </c>
    </row>
    <row r="366" spans="1:4" x14ac:dyDescent="0.25">
      <c r="A366" s="39" t="s">
        <v>76</v>
      </c>
      <c r="B366" s="39" t="s">
        <v>3508</v>
      </c>
      <c r="C366" s="39" t="str">
        <f t="shared" si="7"/>
        <v>NAŞA/KÜTAHYA</v>
      </c>
      <c r="D366" s="39" t="s">
        <v>458</v>
      </c>
    </row>
    <row r="367" spans="1:4" x14ac:dyDescent="0.25">
      <c r="A367" s="39" t="s">
        <v>76</v>
      </c>
      <c r="B367" s="39" t="s">
        <v>3507</v>
      </c>
      <c r="C367" s="39" t="str">
        <f t="shared" si="7"/>
        <v>KUŞU/KÜTAHYA</v>
      </c>
      <c r="D367" s="39" t="s">
        <v>458</v>
      </c>
    </row>
    <row r="368" spans="1:4" x14ac:dyDescent="0.25">
      <c r="A368" s="39" t="s">
        <v>76</v>
      </c>
      <c r="B368" s="39" t="s">
        <v>3506</v>
      </c>
      <c r="C368" s="39" t="str">
        <f t="shared" si="7"/>
        <v>KURUÇAY/KÜTAHYA</v>
      </c>
      <c r="D368" s="39" t="s">
        <v>374</v>
      </c>
    </row>
    <row r="369" spans="1:4" x14ac:dyDescent="0.25">
      <c r="A369" s="39" t="s">
        <v>76</v>
      </c>
      <c r="B369" s="39" t="s">
        <v>2179</v>
      </c>
      <c r="C369" s="39" t="str">
        <f t="shared" si="7"/>
        <v>TUNÇBİLEK/KÜTAHYA</v>
      </c>
      <c r="D369" s="39" t="s">
        <v>374</v>
      </c>
    </row>
    <row r="370" spans="1:4" x14ac:dyDescent="0.25">
      <c r="A370" s="39" t="s">
        <v>76</v>
      </c>
      <c r="B370" s="39" t="s">
        <v>3484</v>
      </c>
      <c r="C370" s="39" t="str">
        <f t="shared" si="7"/>
        <v>AKDAĞ/KÜTAHYA</v>
      </c>
      <c r="D370" s="39" t="s">
        <v>458</v>
      </c>
    </row>
    <row r="371" spans="1:4" x14ac:dyDescent="0.25">
      <c r="A371" s="39" t="s">
        <v>76</v>
      </c>
      <c r="B371" s="39" t="s">
        <v>3531</v>
      </c>
      <c r="C371" s="39" t="str">
        <f t="shared" si="7"/>
        <v>HASANLAR/KÜTAHYA</v>
      </c>
      <c r="D371" s="39" t="s">
        <v>2393</v>
      </c>
    </row>
    <row r="372" spans="1:4" x14ac:dyDescent="0.25">
      <c r="A372" s="39" t="s">
        <v>76</v>
      </c>
      <c r="B372" s="39" t="s">
        <v>3461</v>
      </c>
      <c r="C372" s="39" t="str">
        <f t="shared" si="7"/>
        <v>YENİKÖY/KÜTAHYA</v>
      </c>
      <c r="D372" s="39" t="s">
        <v>458</v>
      </c>
    </row>
    <row r="373" spans="1:4" x14ac:dyDescent="0.25">
      <c r="A373" s="39" t="s">
        <v>76</v>
      </c>
      <c r="B373" s="39" t="s">
        <v>3564</v>
      </c>
      <c r="C373" s="39" t="str">
        <f t="shared" si="7"/>
        <v>KAYAKÖY/KÜTAHYA</v>
      </c>
      <c r="D373" s="39" t="s">
        <v>307</v>
      </c>
    </row>
    <row r="374" spans="1:4" x14ac:dyDescent="0.25">
      <c r="A374" s="39" t="s">
        <v>76</v>
      </c>
      <c r="B374" s="39" t="s">
        <v>3573</v>
      </c>
      <c r="C374" s="39" t="str">
        <f t="shared" si="7"/>
        <v>ÇİTGÖL/KÜTAHYA</v>
      </c>
      <c r="D374" s="39" t="s">
        <v>458</v>
      </c>
    </row>
    <row r="375" spans="1:4" x14ac:dyDescent="0.25">
      <c r="A375" s="39" t="s">
        <v>76</v>
      </c>
      <c r="B375" s="39" t="s">
        <v>3574</v>
      </c>
      <c r="C375" s="39" t="str">
        <f t="shared" si="7"/>
        <v>ÇUKURCA/KÜTAHYA</v>
      </c>
      <c r="D375" s="39" t="s">
        <v>641</v>
      </c>
    </row>
    <row r="376" spans="1:4" x14ac:dyDescent="0.25">
      <c r="A376" s="39" t="s">
        <v>76</v>
      </c>
      <c r="B376" s="39" t="s">
        <v>3575</v>
      </c>
      <c r="C376" s="39" t="str">
        <f t="shared" si="7"/>
        <v>ÖRENCİK/KÜTAHYA</v>
      </c>
      <c r="D376" s="39" t="s">
        <v>2397</v>
      </c>
    </row>
    <row r="377" spans="1:4" x14ac:dyDescent="0.25">
      <c r="A377" s="39" t="s">
        <v>76</v>
      </c>
      <c r="B377" s="39" t="s">
        <v>2766</v>
      </c>
      <c r="C377" s="39" t="str">
        <f t="shared" si="7"/>
        <v>BALIKÖY/KÜTAHYA</v>
      </c>
      <c r="D377" s="39" t="s">
        <v>374</v>
      </c>
    </row>
    <row r="378" spans="1:4" x14ac:dyDescent="0.25">
      <c r="A378" s="39" t="s">
        <v>76</v>
      </c>
      <c r="B378" s="39" t="s">
        <v>3590</v>
      </c>
      <c r="C378" s="39" t="str">
        <f t="shared" si="7"/>
        <v>YEŞİLÇAY/KÜTAHYA</v>
      </c>
      <c r="D378" s="39" t="s">
        <v>307</v>
      </c>
    </row>
    <row r="379" spans="1:4" x14ac:dyDescent="0.25">
      <c r="A379" s="39" t="s">
        <v>76</v>
      </c>
      <c r="B379" s="39" t="s">
        <v>3563</v>
      </c>
      <c r="C379" s="39" t="str">
        <f t="shared" si="7"/>
        <v>ŞENKÖY/KÜTAHYA</v>
      </c>
      <c r="D379" s="39" t="s">
        <v>458</v>
      </c>
    </row>
    <row r="380" spans="1:4" x14ac:dyDescent="0.25">
      <c r="A380" s="39" t="s">
        <v>76</v>
      </c>
      <c r="B380" s="39" t="s">
        <v>2208</v>
      </c>
      <c r="C380" s="39" t="str">
        <f t="shared" si="7"/>
        <v>BAHTILLI/KÜTAHYA</v>
      </c>
      <c r="D380" s="39" t="s">
        <v>458</v>
      </c>
    </row>
    <row r="381" spans="1:4" x14ac:dyDescent="0.25">
      <c r="A381" s="39" t="s">
        <v>76</v>
      </c>
      <c r="B381" s="39" t="s">
        <v>3655</v>
      </c>
      <c r="C381" s="39" t="str">
        <f t="shared" si="7"/>
        <v>KARAMANCA/KÜTAHYA</v>
      </c>
      <c r="D381" s="39" t="s">
        <v>643</v>
      </c>
    </row>
    <row r="382" spans="1:4" x14ac:dyDescent="0.25">
      <c r="A382" s="39" t="s">
        <v>76</v>
      </c>
      <c r="B382" s="39" t="s">
        <v>3657</v>
      </c>
      <c r="C382" s="39" t="str">
        <f t="shared" ref="C382:C413" si="8">CONCATENATE(B382,"/",A382)</f>
        <v>ŞEYHLER/KÜTAHYA</v>
      </c>
      <c r="D382" s="39" t="s">
        <v>2393</v>
      </c>
    </row>
    <row r="383" spans="1:4" x14ac:dyDescent="0.25">
      <c r="A383" s="44" t="s">
        <v>221</v>
      </c>
      <c r="B383" s="44" t="s">
        <v>3254</v>
      </c>
      <c r="C383" s="44" t="str">
        <f t="shared" si="8"/>
        <v>KARAKALE/MUŞ</v>
      </c>
      <c r="D383" s="44" t="s">
        <v>2421</v>
      </c>
    </row>
    <row r="384" spans="1:4" x14ac:dyDescent="0.25">
      <c r="A384" s="39" t="s">
        <v>221</v>
      </c>
      <c r="B384" s="39" t="s">
        <v>3332</v>
      </c>
      <c r="C384" s="44" t="str">
        <f t="shared" si="8"/>
        <v>MOLLAKENT/MUŞ</v>
      </c>
      <c r="D384" s="39" t="s">
        <v>666</v>
      </c>
    </row>
    <row r="385" spans="1:4" x14ac:dyDescent="0.25">
      <c r="A385" s="39" t="s">
        <v>221</v>
      </c>
      <c r="B385" s="39" t="s">
        <v>3486</v>
      </c>
      <c r="C385" s="39" t="str">
        <f t="shared" si="8"/>
        <v>YAĞCILAR/MUŞ</v>
      </c>
      <c r="D385" s="39" t="s">
        <v>34</v>
      </c>
    </row>
    <row r="386" spans="1:4" x14ac:dyDescent="0.25">
      <c r="A386" s="39" t="s">
        <v>221</v>
      </c>
      <c r="B386" s="39" t="s">
        <v>667</v>
      </c>
      <c r="C386" s="39" t="str">
        <f t="shared" si="8"/>
        <v>KIZILAĞAÇ/MUŞ</v>
      </c>
      <c r="D386" s="39" t="s">
        <v>34</v>
      </c>
    </row>
    <row r="387" spans="1:4" x14ac:dyDescent="0.25">
      <c r="A387" s="39" t="s">
        <v>221</v>
      </c>
      <c r="B387" s="39" t="s">
        <v>3509</v>
      </c>
      <c r="C387" s="39" t="str">
        <f t="shared" si="8"/>
        <v>DÜZKIŞLA/MUŞ</v>
      </c>
      <c r="D387" s="39" t="s">
        <v>2058</v>
      </c>
    </row>
    <row r="388" spans="1:4" x14ac:dyDescent="0.25">
      <c r="A388" s="39" t="s">
        <v>221</v>
      </c>
      <c r="B388" s="39" t="s">
        <v>2655</v>
      </c>
      <c r="C388" s="39" t="str">
        <f t="shared" si="8"/>
        <v>YAYGIN/MUŞ</v>
      </c>
      <c r="D388" s="39" t="s">
        <v>34</v>
      </c>
    </row>
    <row r="389" spans="1:4" x14ac:dyDescent="0.25">
      <c r="A389" s="39" t="s">
        <v>221</v>
      </c>
      <c r="B389" s="39" t="s">
        <v>3510</v>
      </c>
      <c r="C389" s="39" t="str">
        <f t="shared" si="8"/>
        <v>KIRKÖY/MUŞ</v>
      </c>
      <c r="D389" s="39" t="s">
        <v>34</v>
      </c>
    </row>
    <row r="390" spans="1:4" x14ac:dyDescent="0.25">
      <c r="A390" s="39" t="s">
        <v>221</v>
      </c>
      <c r="B390" s="39" t="s">
        <v>3532</v>
      </c>
      <c r="C390" s="39" t="str">
        <f t="shared" si="8"/>
        <v>SERİNOVA/MUŞ</v>
      </c>
      <c r="D390" s="39" t="s">
        <v>34</v>
      </c>
    </row>
    <row r="391" spans="1:4" x14ac:dyDescent="0.25">
      <c r="A391" s="39" t="s">
        <v>221</v>
      </c>
      <c r="B391" s="39" t="s">
        <v>2782</v>
      </c>
      <c r="C391" s="39" t="str">
        <f t="shared" si="8"/>
        <v>KONUKBEKLER/MUŞ</v>
      </c>
      <c r="D391" s="39" t="s">
        <v>34</v>
      </c>
    </row>
    <row r="392" spans="1:4" x14ac:dyDescent="0.25">
      <c r="A392" s="44" t="s">
        <v>191</v>
      </c>
      <c r="B392" s="44" t="s">
        <v>317</v>
      </c>
      <c r="C392" s="44" t="str">
        <f t="shared" si="8"/>
        <v>GÖYNÜK/NEVŞEHİR</v>
      </c>
      <c r="D392" s="44" t="s">
        <v>668</v>
      </c>
    </row>
    <row r="393" spans="1:4" x14ac:dyDescent="0.25">
      <c r="A393" s="44" t="s">
        <v>191</v>
      </c>
      <c r="B393" s="44" t="s">
        <v>3056</v>
      </c>
      <c r="C393" s="44" t="str">
        <f t="shared" si="8"/>
        <v>KIZILAĞIL/NEVŞEHİR</v>
      </c>
      <c r="D393" s="70" t="s">
        <v>34</v>
      </c>
    </row>
    <row r="394" spans="1:4" x14ac:dyDescent="0.25">
      <c r="A394" s="44" t="s">
        <v>191</v>
      </c>
      <c r="B394" s="44" t="s">
        <v>3182</v>
      </c>
      <c r="C394" s="44" t="str">
        <f t="shared" si="8"/>
        <v>KURUGÖL/NEVŞEHİR</v>
      </c>
      <c r="D394" s="44" t="s">
        <v>2402</v>
      </c>
    </row>
    <row r="395" spans="1:4" x14ac:dyDescent="0.25">
      <c r="A395" s="44" t="s">
        <v>191</v>
      </c>
      <c r="B395" s="44" t="s">
        <v>3215</v>
      </c>
      <c r="C395" s="44" t="str">
        <f t="shared" si="8"/>
        <v>OVAÖREN/NEVŞEHİR</v>
      </c>
      <c r="D395" s="44" t="s">
        <v>670</v>
      </c>
    </row>
    <row r="396" spans="1:4" x14ac:dyDescent="0.25">
      <c r="A396" s="44" t="s">
        <v>191</v>
      </c>
      <c r="B396" s="44" t="s">
        <v>3049</v>
      </c>
      <c r="C396" s="44" t="str">
        <f t="shared" si="8"/>
        <v>SARILAR/NEVŞEHİR</v>
      </c>
      <c r="D396" s="44" t="s">
        <v>668</v>
      </c>
    </row>
    <row r="397" spans="1:4" x14ac:dyDescent="0.25">
      <c r="A397" s="39" t="s">
        <v>191</v>
      </c>
      <c r="B397" s="39" t="s">
        <v>3255</v>
      </c>
      <c r="C397" s="39" t="str">
        <f t="shared" si="8"/>
        <v>ABUŞAĞI/NEVŞEHİR</v>
      </c>
      <c r="D397" s="39" t="s">
        <v>670</v>
      </c>
    </row>
    <row r="398" spans="1:4" x14ac:dyDescent="0.25">
      <c r="A398" s="39" t="s">
        <v>191</v>
      </c>
      <c r="B398" s="39" t="s">
        <v>3384</v>
      </c>
      <c r="C398" s="44" t="str">
        <f t="shared" si="8"/>
        <v>KARABURNA/NEVŞEHİR</v>
      </c>
      <c r="D398" s="39" t="s">
        <v>671</v>
      </c>
    </row>
    <row r="399" spans="1:4" x14ac:dyDescent="0.25">
      <c r="A399" s="39" t="s">
        <v>191</v>
      </c>
      <c r="B399" s="39" t="s">
        <v>3386</v>
      </c>
      <c r="C399" s="44" t="str">
        <f t="shared" si="8"/>
        <v>TOPAKLI/NEVŞEHİR</v>
      </c>
      <c r="D399" s="39" t="s">
        <v>668</v>
      </c>
    </row>
    <row r="400" spans="1:4" x14ac:dyDescent="0.25">
      <c r="A400" s="39" t="s">
        <v>191</v>
      </c>
      <c r="B400" s="39" t="s">
        <v>3385</v>
      </c>
      <c r="C400" s="44" t="str">
        <f t="shared" si="8"/>
        <v>MAHMAT/NEVŞEHİR</v>
      </c>
      <c r="D400" s="39" t="s">
        <v>668</v>
      </c>
    </row>
    <row r="401" spans="1:4" x14ac:dyDescent="0.25">
      <c r="A401" s="39" t="s">
        <v>191</v>
      </c>
      <c r="B401" s="39" t="s">
        <v>3404</v>
      </c>
      <c r="C401" s="44" t="str">
        <f t="shared" si="8"/>
        <v>SUVERMEZ/NEVŞEHİR</v>
      </c>
      <c r="D401" s="39" t="s">
        <v>669</v>
      </c>
    </row>
    <row r="402" spans="1:4" x14ac:dyDescent="0.25">
      <c r="A402" s="39" t="s">
        <v>191</v>
      </c>
      <c r="B402" s="39" t="s">
        <v>3403</v>
      </c>
      <c r="C402" s="44" t="str">
        <f t="shared" si="8"/>
        <v>KARACAŞAR/NEVŞEHİR</v>
      </c>
      <c r="D402" s="39" t="s">
        <v>670</v>
      </c>
    </row>
    <row r="403" spans="1:4" x14ac:dyDescent="0.25">
      <c r="A403" s="39" t="s">
        <v>191</v>
      </c>
      <c r="B403" s="39" t="s">
        <v>3421</v>
      </c>
      <c r="C403" s="39" t="str">
        <f t="shared" si="8"/>
        <v>GÜMÜŞKENT/NEVŞEHİR</v>
      </c>
      <c r="D403" s="39" t="s">
        <v>670</v>
      </c>
    </row>
    <row r="404" spans="1:4" x14ac:dyDescent="0.25">
      <c r="A404" s="39" t="s">
        <v>191</v>
      </c>
      <c r="B404" s="39" t="s">
        <v>3422</v>
      </c>
      <c r="C404" s="39" t="str">
        <f t="shared" si="8"/>
        <v>TUZKÖY/NEVŞEHİR</v>
      </c>
      <c r="D404" s="39" t="s">
        <v>670</v>
      </c>
    </row>
    <row r="405" spans="1:4" x14ac:dyDescent="0.25">
      <c r="A405" s="39" t="s">
        <v>191</v>
      </c>
      <c r="B405" s="39" t="s">
        <v>429</v>
      </c>
      <c r="C405" s="39" t="str">
        <f t="shared" si="8"/>
        <v>KALECİK/NEVŞEHİR</v>
      </c>
      <c r="D405" s="39" t="s">
        <v>464</v>
      </c>
    </row>
    <row r="406" spans="1:4" x14ac:dyDescent="0.25">
      <c r="A406" s="39" t="s">
        <v>191</v>
      </c>
      <c r="B406" s="39" t="s">
        <v>3443</v>
      </c>
      <c r="C406" s="39" t="str">
        <f t="shared" si="8"/>
        <v>KALABA/NEVŞEHİR</v>
      </c>
      <c r="D406" s="39" t="s">
        <v>668</v>
      </c>
    </row>
    <row r="407" spans="1:4" x14ac:dyDescent="0.25">
      <c r="A407" s="39" t="s">
        <v>191</v>
      </c>
      <c r="B407" s="39" t="s">
        <v>576</v>
      </c>
      <c r="C407" s="39" t="str">
        <f t="shared" si="8"/>
        <v>ÇAT/NEVŞEHİR</v>
      </c>
      <c r="D407" s="39" t="s">
        <v>34</v>
      </c>
    </row>
    <row r="408" spans="1:4" x14ac:dyDescent="0.25">
      <c r="A408" s="39" t="s">
        <v>191</v>
      </c>
      <c r="B408" s="39" t="s">
        <v>3164</v>
      </c>
      <c r="C408" s="39" t="str">
        <f t="shared" si="8"/>
        <v>SULUSARAY/NEVŞEHİR</v>
      </c>
      <c r="D408" s="39" t="s">
        <v>34</v>
      </c>
    </row>
    <row r="409" spans="1:4" x14ac:dyDescent="0.25">
      <c r="A409" s="39" t="s">
        <v>191</v>
      </c>
      <c r="B409" s="39" t="s">
        <v>2822</v>
      </c>
      <c r="C409" s="39" t="str">
        <f t="shared" si="8"/>
        <v>ORTAHİSAR/NEVŞEHİR</v>
      </c>
      <c r="D409" s="39" t="s">
        <v>309</v>
      </c>
    </row>
    <row r="410" spans="1:4" x14ac:dyDescent="0.25">
      <c r="A410" s="39" t="s">
        <v>191</v>
      </c>
      <c r="B410" s="39" t="s">
        <v>2000</v>
      </c>
      <c r="C410" s="39" t="str">
        <f t="shared" si="8"/>
        <v>GÖREME/NEVŞEHİR</v>
      </c>
      <c r="D410" s="39" t="s">
        <v>34</v>
      </c>
    </row>
    <row r="411" spans="1:4" x14ac:dyDescent="0.25">
      <c r="A411" s="39" t="s">
        <v>191</v>
      </c>
      <c r="B411" s="39" t="s">
        <v>2591</v>
      </c>
      <c r="C411" s="39" t="str">
        <f t="shared" si="8"/>
        <v>GÖRE/NEVŞEHİR</v>
      </c>
      <c r="D411" s="39" t="s">
        <v>34</v>
      </c>
    </row>
    <row r="412" spans="1:4" x14ac:dyDescent="0.25">
      <c r="A412" s="39" t="s">
        <v>191</v>
      </c>
      <c r="B412" s="39" t="s">
        <v>2990</v>
      </c>
      <c r="C412" s="39" t="str">
        <f t="shared" si="8"/>
        <v>TATLARİN/NEVŞEHİR</v>
      </c>
      <c r="D412" s="39" t="s">
        <v>2402</v>
      </c>
    </row>
    <row r="413" spans="1:4" x14ac:dyDescent="0.25">
      <c r="A413" s="39" t="s">
        <v>191</v>
      </c>
      <c r="B413" s="39" t="s">
        <v>3055</v>
      </c>
      <c r="C413" s="39" t="str">
        <f t="shared" si="8"/>
        <v>ÇALIŞ/NEVŞEHİR</v>
      </c>
      <c r="D413" s="39" t="s">
        <v>668</v>
      </c>
    </row>
    <row r="414" spans="1:4" x14ac:dyDescent="0.25">
      <c r="A414" s="39" t="s">
        <v>191</v>
      </c>
      <c r="B414" s="39" t="s">
        <v>2157</v>
      </c>
      <c r="C414" s="39" t="str">
        <f t="shared" ref="C414:C445" si="9">CONCATENATE(B414,"/",A414)</f>
        <v>KAYMAKLI/NEVŞEHİR</v>
      </c>
      <c r="D414" s="39" t="s">
        <v>34</v>
      </c>
    </row>
    <row r="415" spans="1:4" x14ac:dyDescent="0.25">
      <c r="A415" s="39" t="s">
        <v>191</v>
      </c>
      <c r="B415" s="39" t="s">
        <v>2416</v>
      </c>
      <c r="C415" s="39" t="str">
        <f t="shared" si="9"/>
        <v>KAVAK/NEVŞEHİR</v>
      </c>
      <c r="D415" s="39" t="s">
        <v>34</v>
      </c>
    </row>
    <row r="416" spans="1:4" x14ac:dyDescent="0.25">
      <c r="A416" s="39" t="s">
        <v>191</v>
      </c>
      <c r="B416" s="39" t="s">
        <v>672</v>
      </c>
      <c r="C416" s="39" t="str">
        <f t="shared" si="9"/>
        <v>NARKÖY/NEVŞEHİR</v>
      </c>
      <c r="D416" s="39" t="s">
        <v>34</v>
      </c>
    </row>
    <row r="417" spans="1:4" x14ac:dyDescent="0.25">
      <c r="A417" s="39" t="s">
        <v>191</v>
      </c>
      <c r="B417" s="39" t="s">
        <v>2867</v>
      </c>
      <c r="C417" s="39" t="str">
        <f t="shared" si="9"/>
        <v>UÇHİSAR/NEVŞEHİR</v>
      </c>
      <c r="D417" s="39" t="s">
        <v>34</v>
      </c>
    </row>
    <row r="418" spans="1:4" x14ac:dyDescent="0.25">
      <c r="A418" s="39" t="s">
        <v>191</v>
      </c>
      <c r="B418" s="39" t="s">
        <v>456</v>
      </c>
      <c r="C418" s="39" t="str">
        <f t="shared" si="9"/>
        <v>KARAPINAR/NEVŞEHİR</v>
      </c>
      <c r="D418" s="39" t="s">
        <v>2402</v>
      </c>
    </row>
    <row r="419" spans="1:4" x14ac:dyDescent="0.25">
      <c r="A419" s="39" t="s">
        <v>191</v>
      </c>
      <c r="B419" s="39" t="s">
        <v>3074</v>
      </c>
      <c r="C419" s="39" t="str">
        <f t="shared" si="9"/>
        <v>ÖZKONAK/NEVŞEHİR</v>
      </c>
      <c r="D419" s="39" t="s">
        <v>668</v>
      </c>
    </row>
    <row r="420" spans="1:4" x14ac:dyDescent="0.25">
      <c r="A420" s="39" t="s">
        <v>191</v>
      </c>
      <c r="B420" s="39" t="s">
        <v>3603</v>
      </c>
      <c r="C420" s="39" t="str">
        <f t="shared" si="9"/>
        <v>KANLICA/NEVŞEHİR</v>
      </c>
      <c r="D420" s="39" t="s">
        <v>464</v>
      </c>
    </row>
    <row r="421" spans="1:4" x14ac:dyDescent="0.25">
      <c r="A421" s="44" t="s">
        <v>192</v>
      </c>
      <c r="B421" s="44" t="s">
        <v>3035</v>
      </c>
      <c r="C421" s="44" t="str">
        <f t="shared" si="9"/>
        <v>FERTEK/NİĞDE</v>
      </c>
      <c r="D421" s="44" t="s">
        <v>34</v>
      </c>
    </row>
    <row r="422" spans="1:4" x14ac:dyDescent="0.25">
      <c r="A422" s="44" t="s">
        <v>192</v>
      </c>
      <c r="B422" s="66" t="s">
        <v>3120</v>
      </c>
      <c r="C422" s="71" t="str">
        <f t="shared" si="9"/>
        <v>DİKİLİTAŞ/NİĞDE</v>
      </c>
      <c r="D422" s="44" t="s">
        <v>34</v>
      </c>
    </row>
    <row r="423" spans="1:4" x14ac:dyDescent="0.25">
      <c r="A423" s="44" t="s">
        <v>192</v>
      </c>
      <c r="B423" s="66" t="s">
        <v>3166</v>
      </c>
      <c r="C423" s="71" t="str">
        <f t="shared" si="9"/>
        <v>DARBOĞAZ/NİĞDE</v>
      </c>
      <c r="D423" s="44" t="s">
        <v>466</v>
      </c>
    </row>
    <row r="424" spans="1:4" x14ac:dyDescent="0.25">
      <c r="A424" s="44" t="s">
        <v>192</v>
      </c>
      <c r="B424" s="44" t="s">
        <v>3217</v>
      </c>
      <c r="C424" s="44" t="str">
        <f t="shared" si="9"/>
        <v>İÇMELİ/NİĞDE</v>
      </c>
      <c r="D424" s="44" t="s">
        <v>34</v>
      </c>
    </row>
    <row r="425" spans="1:4" x14ac:dyDescent="0.25">
      <c r="A425" s="44" t="s">
        <v>192</v>
      </c>
      <c r="B425" s="44" t="s">
        <v>3165</v>
      </c>
      <c r="C425" s="44" t="str">
        <f t="shared" si="9"/>
        <v>ÇAVDARLI/NİĞDE</v>
      </c>
      <c r="D425" s="44" t="s">
        <v>34</v>
      </c>
    </row>
    <row r="426" spans="1:4" x14ac:dyDescent="0.25">
      <c r="A426" s="44" t="s">
        <v>192</v>
      </c>
      <c r="B426" s="44" t="s">
        <v>3247</v>
      </c>
      <c r="C426" s="44" t="str">
        <f t="shared" si="9"/>
        <v>KIZILCA/NİĞDE</v>
      </c>
      <c r="D426" s="44" t="s">
        <v>334</v>
      </c>
    </row>
    <row r="427" spans="1:4" x14ac:dyDescent="0.25">
      <c r="A427" s="39" t="s">
        <v>192</v>
      </c>
      <c r="B427" s="39" t="s">
        <v>3216</v>
      </c>
      <c r="C427" s="39" t="str">
        <f t="shared" si="9"/>
        <v>HACIBEYLİ/NİĞDE</v>
      </c>
      <c r="D427" s="39" t="s">
        <v>34</v>
      </c>
    </row>
    <row r="428" spans="1:4" x14ac:dyDescent="0.25">
      <c r="A428" s="39" t="s">
        <v>192</v>
      </c>
      <c r="B428" s="39" t="s">
        <v>3267</v>
      </c>
      <c r="C428" s="39" t="str">
        <f t="shared" si="9"/>
        <v>İNLİ/NİĞDE</v>
      </c>
      <c r="D428" s="39" t="s">
        <v>34</v>
      </c>
    </row>
    <row r="429" spans="1:4" x14ac:dyDescent="0.25">
      <c r="A429" s="39" t="s">
        <v>192</v>
      </c>
      <c r="B429" s="39" t="s">
        <v>3268</v>
      </c>
      <c r="C429" s="39" t="str">
        <f t="shared" si="9"/>
        <v>KARANLIKDERE/NİĞDE</v>
      </c>
      <c r="D429" s="39" t="s">
        <v>334</v>
      </c>
    </row>
    <row r="430" spans="1:4" x14ac:dyDescent="0.25">
      <c r="A430" s="39" t="s">
        <v>192</v>
      </c>
      <c r="B430" s="39" t="s">
        <v>3269</v>
      </c>
      <c r="C430" s="39" t="str">
        <f t="shared" si="9"/>
        <v>KAYIRLI/NİĞDE</v>
      </c>
      <c r="D430" s="39" t="s">
        <v>34</v>
      </c>
    </row>
    <row r="431" spans="1:4" x14ac:dyDescent="0.25">
      <c r="A431" s="39" t="s">
        <v>192</v>
      </c>
      <c r="B431" s="39" t="s">
        <v>3287</v>
      </c>
      <c r="C431" s="39" t="str">
        <f t="shared" si="9"/>
        <v>BURÇ/NİĞDE</v>
      </c>
      <c r="D431" s="39" t="s">
        <v>673</v>
      </c>
    </row>
    <row r="432" spans="1:4" x14ac:dyDescent="0.25">
      <c r="A432" s="39" t="s">
        <v>192</v>
      </c>
      <c r="B432" s="39" t="s">
        <v>300</v>
      </c>
      <c r="C432" s="39" t="str">
        <f t="shared" si="9"/>
        <v>ELMALI/NİĞDE</v>
      </c>
      <c r="D432" s="39" t="s">
        <v>34</v>
      </c>
    </row>
    <row r="433" spans="1:4" x14ac:dyDescent="0.25">
      <c r="A433" s="39" t="s">
        <v>192</v>
      </c>
      <c r="B433" s="39" t="s">
        <v>3314</v>
      </c>
      <c r="C433" s="39" t="str">
        <f t="shared" si="9"/>
        <v>KİTRELİ/NİĞDE</v>
      </c>
      <c r="D433" s="39" t="s">
        <v>465</v>
      </c>
    </row>
    <row r="434" spans="1:4" x14ac:dyDescent="0.25">
      <c r="A434" s="39" t="s">
        <v>192</v>
      </c>
      <c r="B434" s="39" t="s">
        <v>3387</v>
      </c>
      <c r="C434" s="44" t="str">
        <f t="shared" si="9"/>
        <v>DÜNDARLI/NİĞDE</v>
      </c>
      <c r="D434" s="39" t="s">
        <v>34</v>
      </c>
    </row>
    <row r="435" spans="1:4" x14ac:dyDescent="0.25">
      <c r="A435" s="39" t="s">
        <v>192</v>
      </c>
      <c r="B435" s="39" t="s">
        <v>571</v>
      </c>
      <c r="C435" s="44" t="str">
        <f t="shared" si="9"/>
        <v>ÇAYIRLI/NİĞDE</v>
      </c>
      <c r="D435" s="39" t="s">
        <v>34</v>
      </c>
    </row>
    <row r="436" spans="1:4" x14ac:dyDescent="0.25">
      <c r="A436" s="39" t="s">
        <v>192</v>
      </c>
      <c r="B436" s="39" t="s">
        <v>3431</v>
      </c>
      <c r="C436" s="39" t="str">
        <f t="shared" si="9"/>
        <v>BADEMDERE/NİĞDE</v>
      </c>
      <c r="D436" s="39" t="s">
        <v>673</v>
      </c>
    </row>
    <row r="437" spans="1:4" x14ac:dyDescent="0.25">
      <c r="A437" s="39" t="s">
        <v>192</v>
      </c>
      <c r="B437" s="39" t="s">
        <v>3432</v>
      </c>
      <c r="C437" s="39" t="str">
        <f t="shared" si="9"/>
        <v>YENİYILDIZ/NİĞDE</v>
      </c>
      <c r="D437" s="39" t="s">
        <v>466</v>
      </c>
    </row>
    <row r="438" spans="1:4" x14ac:dyDescent="0.25">
      <c r="A438" s="39" t="s">
        <v>192</v>
      </c>
      <c r="B438" s="39" t="s">
        <v>3167</v>
      </c>
      <c r="C438" s="39" t="str">
        <f t="shared" si="9"/>
        <v>YILDIZTEPE/NİĞDE</v>
      </c>
      <c r="D438" s="39" t="s">
        <v>34</v>
      </c>
    </row>
    <row r="439" spans="1:4" x14ac:dyDescent="0.25">
      <c r="A439" s="39" t="s">
        <v>192</v>
      </c>
      <c r="B439" s="39" t="s">
        <v>3464</v>
      </c>
      <c r="C439" s="39" t="str">
        <f t="shared" si="9"/>
        <v>KARAATLI/NİĞDE</v>
      </c>
      <c r="D439" s="39" t="s">
        <v>34</v>
      </c>
    </row>
    <row r="440" spans="1:4" x14ac:dyDescent="0.25">
      <c r="A440" s="39" t="s">
        <v>192</v>
      </c>
      <c r="B440" s="39" t="s">
        <v>3474</v>
      </c>
      <c r="C440" s="39" t="str">
        <f t="shared" si="9"/>
        <v>BOZKÖY/NİĞDE</v>
      </c>
      <c r="D440" s="39" t="s">
        <v>465</v>
      </c>
    </row>
    <row r="441" spans="1:4" x14ac:dyDescent="0.25">
      <c r="A441" s="39" t="s">
        <v>192</v>
      </c>
      <c r="B441" s="39" t="s">
        <v>3480</v>
      </c>
      <c r="C441" s="39" t="str">
        <f t="shared" si="9"/>
        <v>BAĞLAMA/NİĞDE</v>
      </c>
      <c r="D441" s="39" t="s">
        <v>34</v>
      </c>
    </row>
    <row r="442" spans="1:4" x14ac:dyDescent="0.25">
      <c r="A442" s="39" t="s">
        <v>192</v>
      </c>
      <c r="B442" s="39" t="s">
        <v>2699</v>
      </c>
      <c r="C442" s="39" t="str">
        <f t="shared" si="9"/>
        <v>AKTAŞ/NİĞDE</v>
      </c>
      <c r="D442" s="39" t="s">
        <v>34</v>
      </c>
    </row>
    <row r="443" spans="1:4" x14ac:dyDescent="0.25">
      <c r="A443" s="39" t="s">
        <v>192</v>
      </c>
      <c r="B443" s="39" t="s">
        <v>2682</v>
      </c>
      <c r="C443" s="39" t="str">
        <f t="shared" si="9"/>
        <v>BAHÇELİ/NİĞDE</v>
      </c>
      <c r="D443" s="39" t="s">
        <v>334</v>
      </c>
    </row>
    <row r="444" spans="1:4" x14ac:dyDescent="0.25">
      <c r="A444" s="39" t="s">
        <v>192</v>
      </c>
      <c r="B444" s="39" t="s">
        <v>3036</v>
      </c>
      <c r="C444" s="39" t="str">
        <f t="shared" si="9"/>
        <v>SAZLICA/NİĞDE</v>
      </c>
      <c r="D444" s="39" t="s">
        <v>34</v>
      </c>
    </row>
    <row r="445" spans="1:4" x14ac:dyDescent="0.25">
      <c r="A445" s="39" t="s">
        <v>192</v>
      </c>
      <c r="B445" s="39" t="s">
        <v>3119</v>
      </c>
      <c r="C445" s="39" t="str">
        <f t="shared" si="9"/>
        <v>DEĞİRMENLİ/NİĞDE</v>
      </c>
      <c r="D445" s="39" t="s">
        <v>34</v>
      </c>
    </row>
    <row r="446" spans="1:4" x14ac:dyDescent="0.25">
      <c r="A446" s="39" t="s">
        <v>192</v>
      </c>
      <c r="B446" s="39" t="s">
        <v>3288</v>
      </c>
      <c r="C446" s="39" t="str">
        <f t="shared" ref="C446:C466" si="10">CONCATENATE(B446,"/",A446)</f>
        <v>KİLEDERE/NİĞDE</v>
      </c>
      <c r="D446" s="39" t="s">
        <v>34</v>
      </c>
    </row>
    <row r="447" spans="1:4" x14ac:dyDescent="0.25">
      <c r="A447" s="39" t="s">
        <v>192</v>
      </c>
      <c r="B447" s="39" t="s">
        <v>3015</v>
      </c>
      <c r="C447" s="39" t="str">
        <f t="shared" si="10"/>
        <v>GÜMÜŞLER/NİĞDE</v>
      </c>
      <c r="D447" s="39" t="s">
        <v>34</v>
      </c>
    </row>
    <row r="448" spans="1:4" x14ac:dyDescent="0.25">
      <c r="A448" s="39" t="s">
        <v>192</v>
      </c>
      <c r="B448" s="39" t="s">
        <v>3034</v>
      </c>
      <c r="C448" s="39" t="str">
        <f t="shared" si="10"/>
        <v>ALAY/NİĞDE</v>
      </c>
      <c r="D448" s="39" t="s">
        <v>34</v>
      </c>
    </row>
    <row r="449" spans="1:4" x14ac:dyDescent="0.25">
      <c r="A449" s="39" t="s">
        <v>192</v>
      </c>
      <c r="B449" s="39" t="s">
        <v>3454</v>
      </c>
      <c r="C449" s="39" t="str">
        <f t="shared" si="10"/>
        <v>HACIABDULLAH/NİĞDE</v>
      </c>
      <c r="D449" s="39" t="s">
        <v>34</v>
      </c>
    </row>
    <row r="450" spans="1:4" x14ac:dyDescent="0.25">
      <c r="A450" s="39" t="s">
        <v>192</v>
      </c>
      <c r="B450" s="39" t="s">
        <v>2129</v>
      </c>
      <c r="C450" s="39" t="str">
        <f t="shared" si="10"/>
        <v>EDİKLİ/NİĞDE</v>
      </c>
      <c r="D450" s="39" t="s">
        <v>34</v>
      </c>
    </row>
    <row r="451" spans="1:4" x14ac:dyDescent="0.25">
      <c r="A451" s="39" t="s">
        <v>192</v>
      </c>
      <c r="B451" s="39" t="s">
        <v>512</v>
      </c>
      <c r="C451" s="39" t="str">
        <f t="shared" si="10"/>
        <v>KONAKLI/NİĞDE</v>
      </c>
      <c r="D451" s="39" t="s">
        <v>34</v>
      </c>
    </row>
    <row r="452" spans="1:4" x14ac:dyDescent="0.25">
      <c r="A452" s="39" t="s">
        <v>192</v>
      </c>
      <c r="B452" s="39" t="s">
        <v>3487</v>
      </c>
      <c r="C452" s="39" t="str">
        <f t="shared" si="10"/>
        <v>ORHANLI/NİĞDE</v>
      </c>
      <c r="D452" s="39" t="s">
        <v>34</v>
      </c>
    </row>
    <row r="453" spans="1:4" x14ac:dyDescent="0.25">
      <c r="A453" s="39" t="s">
        <v>192</v>
      </c>
      <c r="B453" s="39" t="s">
        <v>2868</v>
      </c>
      <c r="C453" s="39" t="str">
        <f t="shared" si="10"/>
        <v>ÇUKURKUYU/NİĞDE</v>
      </c>
      <c r="D453" s="39" t="s">
        <v>334</v>
      </c>
    </row>
    <row r="454" spans="1:4" x14ac:dyDescent="0.25">
      <c r="A454" s="39" t="s">
        <v>192</v>
      </c>
      <c r="B454" s="39" t="s">
        <v>3567</v>
      </c>
      <c r="C454" s="39" t="str">
        <f t="shared" si="10"/>
        <v>KARAKAPI/NİĞDE</v>
      </c>
      <c r="D454" s="39" t="s">
        <v>2309</v>
      </c>
    </row>
    <row r="455" spans="1:4" x14ac:dyDescent="0.25">
      <c r="A455" s="39" t="s">
        <v>192</v>
      </c>
      <c r="B455" s="39" t="s">
        <v>3568</v>
      </c>
      <c r="C455" s="39" t="str">
        <f t="shared" si="10"/>
        <v>KEMERHİSAR/NİĞDE</v>
      </c>
      <c r="D455" s="39" t="s">
        <v>334</v>
      </c>
    </row>
    <row r="456" spans="1:4" x14ac:dyDescent="0.25">
      <c r="A456" s="39" t="s">
        <v>192</v>
      </c>
      <c r="B456" s="39" t="s">
        <v>3591</v>
      </c>
      <c r="C456" s="39" t="str">
        <f t="shared" si="10"/>
        <v>DİVARLI/NİĞDE</v>
      </c>
      <c r="D456" s="39" t="s">
        <v>465</v>
      </c>
    </row>
    <row r="457" spans="1:4" x14ac:dyDescent="0.25">
      <c r="A457" s="39" t="s">
        <v>192</v>
      </c>
      <c r="B457" s="39" t="s">
        <v>2826</v>
      </c>
      <c r="C457" s="39" t="str">
        <f t="shared" si="10"/>
        <v>YEŞİLGÖLCÜK/NİĞDE</v>
      </c>
      <c r="D457" s="39" t="s">
        <v>34</v>
      </c>
    </row>
    <row r="458" spans="1:4" x14ac:dyDescent="0.25">
      <c r="A458" s="39" t="s">
        <v>192</v>
      </c>
      <c r="B458" s="39" t="s">
        <v>3659</v>
      </c>
      <c r="C458" s="39" t="str">
        <f t="shared" si="10"/>
        <v>KEÇİKALESİ/NİĞDE</v>
      </c>
      <c r="D458" s="39" t="s">
        <v>2309</v>
      </c>
    </row>
    <row r="459" spans="1:4" x14ac:dyDescent="0.25">
      <c r="A459" s="44" t="s">
        <v>35</v>
      </c>
      <c r="B459" s="44" t="s">
        <v>3016</v>
      </c>
      <c r="C459" s="44" t="str">
        <f t="shared" si="10"/>
        <v>KIRMITLI/OSMANİYE</v>
      </c>
      <c r="D459" s="44" t="s">
        <v>34</v>
      </c>
    </row>
    <row r="460" spans="1:4" x14ac:dyDescent="0.25">
      <c r="A460" s="39" t="s">
        <v>35</v>
      </c>
      <c r="B460" s="39" t="s">
        <v>3459</v>
      </c>
      <c r="C460" s="39" t="str">
        <f t="shared" si="10"/>
        <v>ELLEK/OSMANİYE</v>
      </c>
      <c r="D460" s="39" t="s">
        <v>217</v>
      </c>
    </row>
    <row r="461" spans="1:4" x14ac:dyDescent="0.25">
      <c r="A461" s="39" t="s">
        <v>35</v>
      </c>
      <c r="B461" s="39" t="s">
        <v>2719</v>
      </c>
      <c r="C461" s="39" t="str">
        <f t="shared" si="10"/>
        <v>BÖCEKLİ/OSMANİYE</v>
      </c>
      <c r="D461" s="39" t="s">
        <v>217</v>
      </c>
    </row>
    <row r="462" spans="1:4" x14ac:dyDescent="0.25">
      <c r="A462" s="39" t="s">
        <v>35</v>
      </c>
      <c r="B462" s="39" t="s">
        <v>2111</v>
      </c>
      <c r="C462" s="39" t="str">
        <f t="shared" si="10"/>
        <v>CEVDETİYE/OSMANİYE</v>
      </c>
      <c r="D462" s="39" t="s">
        <v>34</v>
      </c>
    </row>
    <row r="463" spans="1:4" x14ac:dyDescent="0.25">
      <c r="A463" s="39" t="s">
        <v>35</v>
      </c>
      <c r="B463" s="39" t="s">
        <v>2209</v>
      </c>
      <c r="C463" s="39" t="str">
        <f t="shared" si="10"/>
        <v>YARBAŞI/OSMANİYE</v>
      </c>
      <c r="D463" s="39" t="s">
        <v>217</v>
      </c>
    </row>
    <row r="464" spans="1:4" x14ac:dyDescent="0.25">
      <c r="A464" s="39" t="s">
        <v>35</v>
      </c>
      <c r="B464" s="39" t="s">
        <v>2419</v>
      </c>
      <c r="C464" s="39" t="str">
        <f t="shared" si="10"/>
        <v>ATALAN/OSMANİYE</v>
      </c>
      <c r="D464" s="39" t="s">
        <v>217</v>
      </c>
    </row>
    <row r="465" spans="1:4" x14ac:dyDescent="0.25">
      <c r="A465" s="39" t="s">
        <v>35</v>
      </c>
      <c r="B465" s="39" t="s">
        <v>3576</v>
      </c>
      <c r="C465" s="39" t="str">
        <f t="shared" si="10"/>
        <v>TÜYSÜZ/OSMANİYE</v>
      </c>
      <c r="D465" s="80" t="s">
        <v>2059</v>
      </c>
    </row>
    <row r="466" spans="1:4" x14ac:dyDescent="0.25">
      <c r="A466" s="44" t="s">
        <v>131</v>
      </c>
      <c r="B466" s="44" t="s">
        <v>2884</v>
      </c>
      <c r="C466" s="44" t="str">
        <f t="shared" si="10"/>
        <v>SALARHA/RİZE</v>
      </c>
      <c r="D466" s="70" t="s">
        <v>34</v>
      </c>
    </row>
    <row r="467" spans="1:4" x14ac:dyDescent="0.25">
      <c r="A467" s="44" t="s">
        <v>131</v>
      </c>
      <c r="B467" s="44" t="s">
        <v>3086</v>
      </c>
      <c r="C467" s="44" t="s">
        <v>3221</v>
      </c>
      <c r="D467" s="70" t="s">
        <v>34</v>
      </c>
    </row>
    <row r="468" spans="1:4" x14ac:dyDescent="0.25">
      <c r="A468" s="39" t="s">
        <v>131</v>
      </c>
      <c r="B468" s="39" t="s">
        <v>3420</v>
      </c>
      <c r="C468" s="39" t="str">
        <f t="shared" ref="C468:C499" si="11">CONCATENATE(B468,"/",A468)</f>
        <v>YOLBAŞI/RİZE</v>
      </c>
      <c r="D468" s="39" t="s">
        <v>2211</v>
      </c>
    </row>
    <row r="469" spans="1:4" x14ac:dyDescent="0.25">
      <c r="A469" s="39" t="s">
        <v>131</v>
      </c>
      <c r="B469" s="39" t="s">
        <v>323</v>
      </c>
      <c r="C469" s="39" t="str">
        <f t="shared" si="11"/>
        <v>MURADİYE/RİZE</v>
      </c>
      <c r="D469" s="39" t="s">
        <v>34</v>
      </c>
    </row>
    <row r="470" spans="1:4" x14ac:dyDescent="0.25">
      <c r="A470" s="39" t="s">
        <v>131</v>
      </c>
      <c r="B470" s="39" t="s">
        <v>2700</v>
      </c>
      <c r="C470" s="39" t="str">
        <f t="shared" si="11"/>
        <v>BÜYÜKKÖY/RİZE</v>
      </c>
      <c r="D470" s="39" t="s">
        <v>678</v>
      </c>
    </row>
    <row r="471" spans="1:4" x14ac:dyDescent="0.25">
      <c r="A471" s="39" t="s">
        <v>131</v>
      </c>
      <c r="B471" s="39" t="s">
        <v>3121</v>
      </c>
      <c r="C471" s="39" t="str">
        <f t="shared" si="11"/>
        <v>KENDİRLİ/RİZE</v>
      </c>
      <c r="D471" s="39" t="s">
        <v>34</v>
      </c>
    </row>
    <row r="472" spans="1:4" x14ac:dyDescent="0.25">
      <c r="A472" s="39" t="s">
        <v>131</v>
      </c>
      <c r="B472" s="39" t="s">
        <v>2839</v>
      </c>
      <c r="C472" s="39" t="str">
        <f t="shared" si="11"/>
        <v>TUNCA/RİZE</v>
      </c>
      <c r="D472" s="39" t="s">
        <v>87</v>
      </c>
    </row>
    <row r="473" spans="1:4" x14ac:dyDescent="0.25">
      <c r="A473" s="39" t="s">
        <v>131</v>
      </c>
      <c r="B473" s="39" t="s">
        <v>2131</v>
      </c>
      <c r="C473" s="39" t="str">
        <f t="shared" si="11"/>
        <v>MADENLİ/RİZE</v>
      </c>
      <c r="D473" s="39" t="s">
        <v>678</v>
      </c>
    </row>
    <row r="474" spans="1:4" x14ac:dyDescent="0.25">
      <c r="A474" s="39" t="s">
        <v>88</v>
      </c>
      <c r="B474" s="39" t="s">
        <v>2720</v>
      </c>
      <c r="C474" s="39" t="str">
        <f t="shared" si="11"/>
        <v>GÖKÇEBAĞ/SİİRT</v>
      </c>
      <c r="D474" s="39" t="s">
        <v>34</v>
      </c>
    </row>
    <row r="475" spans="1:4" x14ac:dyDescent="0.25">
      <c r="A475" s="39" t="s">
        <v>88</v>
      </c>
      <c r="B475" s="39" t="s">
        <v>3569</v>
      </c>
      <c r="C475" s="39" t="str">
        <f t="shared" si="11"/>
        <v>KAYABAĞLAR/SİİRT</v>
      </c>
      <c r="D475" s="39" t="s">
        <v>1887</v>
      </c>
    </row>
    <row r="476" spans="1:4" x14ac:dyDescent="0.25">
      <c r="A476" s="39" t="s">
        <v>141</v>
      </c>
      <c r="B476" s="39" t="s">
        <v>2050</v>
      </c>
      <c r="C476" s="39" t="str">
        <f t="shared" si="11"/>
        <v>YENİKENT/SİNOP</v>
      </c>
      <c r="D476" s="39" t="s">
        <v>2244</v>
      </c>
    </row>
    <row r="477" spans="1:4" x14ac:dyDescent="0.25">
      <c r="A477" s="39" t="s">
        <v>141</v>
      </c>
      <c r="B477" s="39" t="s">
        <v>2912</v>
      </c>
      <c r="C477" s="39" t="str">
        <f t="shared" si="11"/>
        <v>DİKMEN/SİNOP</v>
      </c>
      <c r="D477" s="39" t="s">
        <v>34</v>
      </c>
    </row>
    <row r="478" spans="1:4" x14ac:dyDescent="0.25">
      <c r="A478" s="44" t="s">
        <v>135</v>
      </c>
      <c r="B478" s="44" t="s">
        <v>3037</v>
      </c>
      <c r="C478" s="44" t="str">
        <f t="shared" si="11"/>
        <v>AKÇAKIŞLA/SİVAS</v>
      </c>
      <c r="D478" s="44" t="s">
        <v>2213</v>
      </c>
    </row>
    <row r="479" spans="1:4" x14ac:dyDescent="0.25">
      <c r="A479" s="44" t="s">
        <v>135</v>
      </c>
      <c r="B479" s="44" t="s">
        <v>3123</v>
      </c>
      <c r="C479" s="44" t="str">
        <f t="shared" si="11"/>
        <v>YAKUPOĞLAN/SİVAS</v>
      </c>
      <c r="D479" s="44" t="s">
        <v>34</v>
      </c>
    </row>
    <row r="480" spans="1:4" x14ac:dyDescent="0.25">
      <c r="A480" s="24" t="s">
        <v>135</v>
      </c>
      <c r="B480" s="24" t="s">
        <v>3122</v>
      </c>
      <c r="C480" s="44" t="str">
        <f t="shared" si="11"/>
        <v>ŞEREFİYE/SİVAS</v>
      </c>
      <c r="D480" s="44" t="s">
        <v>684</v>
      </c>
    </row>
    <row r="481" spans="1:5" x14ac:dyDescent="0.25">
      <c r="A481" s="24" t="s">
        <v>135</v>
      </c>
      <c r="B481" s="24" t="s">
        <v>3183</v>
      </c>
      <c r="C481" s="44" t="str">
        <f t="shared" si="11"/>
        <v>ŞEYHHALİL/SİVAS</v>
      </c>
      <c r="D481" s="44" t="s">
        <v>2396</v>
      </c>
    </row>
    <row r="482" spans="1:5" x14ac:dyDescent="0.25">
      <c r="A482" s="44" t="s">
        <v>135</v>
      </c>
      <c r="B482" s="44" t="s">
        <v>3218</v>
      </c>
      <c r="C482" s="44" t="str">
        <f t="shared" si="11"/>
        <v>ÇATALOLUK/SİVAS</v>
      </c>
      <c r="D482" s="44" t="s">
        <v>2002</v>
      </c>
    </row>
    <row r="483" spans="1:5" x14ac:dyDescent="0.25">
      <c r="A483" s="39" t="s">
        <v>135</v>
      </c>
      <c r="B483" s="39" t="s">
        <v>3270</v>
      </c>
      <c r="C483" s="39" t="str">
        <f t="shared" si="11"/>
        <v>HAVUZ/SİVAS</v>
      </c>
      <c r="D483" s="39" t="s">
        <v>683</v>
      </c>
    </row>
    <row r="484" spans="1:5" x14ac:dyDescent="0.25">
      <c r="A484" s="39" t="s">
        <v>135</v>
      </c>
      <c r="B484" s="39" t="s">
        <v>3405</v>
      </c>
      <c r="C484" s="44" t="str">
        <f t="shared" si="11"/>
        <v>KIZILCAKIŞLA/SİVAS</v>
      </c>
      <c r="D484" s="39" t="s">
        <v>2213</v>
      </c>
    </row>
    <row r="485" spans="1:5" x14ac:dyDescent="0.25">
      <c r="A485" s="39" t="s">
        <v>135</v>
      </c>
      <c r="B485" s="39" t="s">
        <v>3433</v>
      </c>
      <c r="C485" s="39" t="str">
        <f t="shared" si="11"/>
        <v>KALIN/SİVAS</v>
      </c>
      <c r="D485" s="39" t="s">
        <v>2396</v>
      </c>
    </row>
    <row r="486" spans="1:5" x14ac:dyDescent="0.25">
      <c r="A486" s="39" t="s">
        <v>135</v>
      </c>
      <c r="B486" s="39" t="s">
        <v>3455</v>
      </c>
      <c r="C486" s="39" t="str">
        <f t="shared" si="11"/>
        <v>SUÇATI/SİVAS</v>
      </c>
      <c r="D486" s="39" t="s">
        <v>2212</v>
      </c>
    </row>
    <row r="487" spans="1:5" x14ac:dyDescent="0.25">
      <c r="A487" s="39" t="s">
        <v>135</v>
      </c>
      <c r="B487" s="39" t="s">
        <v>3456</v>
      </c>
      <c r="C487" s="39" t="str">
        <f t="shared" si="11"/>
        <v>YAVU/SİVAS</v>
      </c>
      <c r="D487" s="39" t="s">
        <v>34</v>
      </c>
    </row>
    <row r="488" spans="1:5" x14ac:dyDescent="0.25">
      <c r="A488" s="39" t="s">
        <v>135</v>
      </c>
      <c r="B488" s="39" t="s">
        <v>2511</v>
      </c>
      <c r="C488" s="39" t="str">
        <f t="shared" si="11"/>
        <v>YENİÇUBUK/SİVAS</v>
      </c>
      <c r="D488" s="39" t="s">
        <v>2318</v>
      </c>
    </row>
    <row r="489" spans="1:5" x14ac:dyDescent="0.25">
      <c r="A489" s="39" t="s">
        <v>135</v>
      </c>
      <c r="B489" s="39" t="s">
        <v>3465</v>
      </c>
      <c r="C489" s="39" t="str">
        <f t="shared" si="11"/>
        <v>CEMEL/SİVAS</v>
      </c>
      <c r="D489" s="39" t="s">
        <v>2213</v>
      </c>
    </row>
    <row r="490" spans="1:5" x14ac:dyDescent="0.25">
      <c r="A490" s="39" t="s">
        <v>135</v>
      </c>
      <c r="B490" s="39" t="s">
        <v>3389</v>
      </c>
      <c r="C490" s="39" t="str">
        <f t="shared" si="11"/>
        <v>YILDIZ/SİVAS</v>
      </c>
      <c r="D490" s="39" t="s">
        <v>34</v>
      </c>
    </row>
    <row r="491" spans="1:5" x14ac:dyDescent="0.25">
      <c r="A491" s="39" t="s">
        <v>135</v>
      </c>
      <c r="B491" s="39" t="s">
        <v>3556</v>
      </c>
      <c r="C491" s="39" t="str">
        <f t="shared" si="11"/>
        <v>EĞERCİ/SİVAS</v>
      </c>
      <c r="D491" s="39" t="s">
        <v>2318</v>
      </c>
      <c r="E491"/>
    </row>
    <row r="492" spans="1:5" x14ac:dyDescent="0.25">
      <c r="A492" s="39" t="s">
        <v>135</v>
      </c>
      <c r="B492" s="39" t="s">
        <v>3557</v>
      </c>
      <c r="C492" s="39" t="str">
        <f t="shared" si="11"/>
        <v>KÜMBET/SİVAS</v>
      </c>
      <c r="D492" s="39" t="s">
        <v>34</v>
      </c>
      <c r="E492"/>
    </row>
    <row r="493" spans="1:5" x14ac:dyDescent="0.25">
      <c r="A493" s="39" t="s">
        <v>135</v>
      </c>
      <c r="B493" s="39" t="s">
        <v>3578</v>
      </c>
      <c r="C493" s="39" t="str">
        <f t="shared" si="11"/>
        <v>GÜRÇAYIR/SİVAS</v>
      </c>
      <c r="D493" s="39" t="s">
        <v>2213</v>
      </c>
      <c r="E493"/>
    </row>
    <row r="494" spans="1:5" x14ac:dyDescent="0.25">
      <c r="A494" s="39" t="s">
        <v>135</v>
      </c>
      <c r="B494" s="39" t="s">
        <v>3577</v>
      </c>
      <c r="C494" s="39" t="str">
        <f t="shared" si="11"/>
        <v>ÇEPNİ/SİVAS</v>
      </c>
      <c r="D494" s="39" t="s">
        <v>2318</v>
      </c>
      <c r="E494"/>
    </row>
    <row r="495" spans="1:5" x14ac:dyDescent="0.25">
      <c r="A495" s="39" t="s">
        <v>135</v>
      </c>
      <c r="B495" s="39" t="s">
        <v>3592</v>
      </c>
      <c r="C495" s="39" t="str">
        <f t="shared" si="11"/>
        <v>ALACAHAN/SİVAS</v>
      </c>
      <c r="D495" s="39" t="s">
        <v>683</v>
      </c>
      <c r="E495"/>
    </row>
    <row r="496" spans="1:5" x14ac:dyDescent="0.25">
      <c r="A496" s="39" t="s">
        <v>135</v>
      </c>
      <c r="B496" s="39" t="s">
        <v>2997</v>
      </c>
      <c r="C496" s="39" t="str">
        <f t="shared" si="11"/>
        <v>SIZIR/SİVAS</v>
      </c>
      <c r="D496" s="39" t="s">
        <v>2318</v>
      </c>
      <c r="E496"/>
    </row>
    <row r="497" spans="1:5" x14ac:dyDescent="0.25">
      <c r="A497" s="39" t="s">
        <v>135</v>
      </c>
      <c r="B497" s="39" t="s">
        <v>3593</v>
      </c>
      <c r="C497" s="39" t="str">
        <f t="shared" si="11"/>
        <v>İNKIŞLA/SİVAS</v>
      </c>
      <c r="D497" s="39" t="s">
        <v>2318</v>
      </c>
      <c r="E497"/>
    </row>
    <row r="498" spans="1:5" x14ac:dyDescent="0.25">
      <c r="A498" s="44" t="s">
        <v>188</v>
      </c>
      <c r="B498" s="44" t="s">
        <v>3010</v>
      </c>
      <c r="C498" s="44" t="str">
        <f t="shared" si="11"/>
        <v>AKÇA/TOKAT</v>
      </c>
      <c r="D498" s="44" t="s">
        <v>85</v>
      </c>
      <c r="E498"/>
    </row>
    <row r="499" spans="1:5" x14ac:dyDescent="0.25">
      <c r="A499" s="44" t="s">
        <v>188</v>
      </c>
      <c r="B499" s="44" t="s">
        <v>2749</v>
      </c>
      <c r="C499" s="44" t="str">
        <f t="shared" si="11"/>
        <v>AVLUNLAR/TOKAT</v>
      </c>
      <c r="D499" s="44" t="s">
        <v>34</v>
      </c>
      <c r="E499"/>
    </row>
    <row r="500" spans="1:5" x14ac:dyDescent="0.25">
      <c r="A500" s="44" t="s">
        <v>188</v>
      </c>
      <c r="B500" s="44" t="s">
        <v>2784</v>
      </c>
      <c r="C500" s="44" t="str">
        <f t="shared" ref="C500:C531" si="12">CONCATENATE(B500,"/",A500)</f>
        <v>KAT/TOKAT</v>
      </c>
      <c r="D500" s="44" t="s">
        <v>383</v>
      </c>
      <c r="E500"/>
    </row>
    <row r="501" spans="1:5" x14ac:dyDescent="0.25">
      <c r="A501" s="71" t="s">
        <v>188</v>
      </c>
      <c r="B501" s="71" t="s">
        <v>3075</v>
      </c>
      <c r="C501" s="44" t="str">
        <f t="shared" si="12"/>
        <v>BÜYÜKYILDIZ/TOKAT</v>
      </c>
      <c r="D501" s="70" t="s">
        <v>34</v>
      </c>
      <c r="E501"/>
    </row>
    <row r="502" spans="1:5" x14ac:dyDescent="0.25">
      <c r="A502" s="44" t="s">
        <v>188</v>
      </c>
      <c r="B502" s="44" t="s">
        <v>3126</v>
      </c>
      <c r="C502" s="44" t="str">
        <f t="shared" si="12"/>
        <v>YAĞMURLU/TOKAT</v>
      </c>
      <c r="D502" s="44" t="s">
        <v>34</v>
      </c>
      <c r="E502"/>
    </row>
    <row r="503" spans="1:5" x14ac:dyDescent="0.25">
      <c r="A503" s="24" t="s">
        <v>188</v>
      </c>
      <c r="B503" s="24" t="s">
        <v>3125</v>
      </c>
      <c r="C503" s="44" t="str">
        <f t="shared" si="12"/>
        <v>EVRENKÖY/TOKAT</v>
      </c>
      <c r="D503" s="44" t="s">
        <v>384</v>
      </c>
      <c r="E503"/>
    </row>
    <row r="504" spans="1:5" x14ac:dyDescent="0.25">
      <c r="A504" s="44" t="s">
        <v>188</v>
      </c>
      <c r="B504" s="44" t="s">
        <v>575</v>
      </c>
      <c r="C504" s="44" t="str">
        <f t="shared" si="12"/>
        <v>ÜZÜMLÜ/TOKAT</v>
      </c>
      <c r="D504" s="44" t="s">
        <v>85</v>
      </c>
      <c r="E504"/>
    </row>
    <row r="505" spans="1:5" x14ac:dyDescent="0.25">
      <c r="A505" s="44" t="s">
        <v>188</v>
      </c>
      <c r="B505" s="44" t="s">
        <v>3119</v>
      </c>
      <c r="C505" s="44" t="str">
        <f t="shared" si="12"/>
        <v>DEĞİRMENLİ/TOKAT</v>
      </c>
      <c r="D505" s="44" t="s">
        <v>85</v>
      </c>
      <c r="E505"/>
    </row>
    <row r="506" spans="1:5" x14ac:dyDescent="0.25">
      <c r="A506" s="44" t="s">
        <v>188</v>
      </c>
      <c r="B506" s="44" t="s">
        <v>3185</v>
      </c>
      <c r="C506" s="44" t="str">
        <f t="shared" si="12"/>
        <v>ÖZALAN/TOKAT</v>
      </c>
      <c r="D506" s="44" t="s">
        <v>229</v>
      </c>
      <c r="E506"/>
    </row>
    <row r="507" spans="1:5" x14ac:dyDescent="0.25">
      <c r="A507" s="44" t="s">
        <v>188</v>
      </c>
      <c r="B507" s="44" t="s">
        <v>3167</v>
      </c>
      <c r="C507" s="44" t="str">
        <f t="shared" si="12"/>
        <v>YILDIZTEPE/TOKAT</v>
      </c>
      <c r="D507" s="44" t="s">
        <v>384</v>
      </c>
      <c r="E507"/>
    </row>
    <row r="508" spans="1:5" x14ac:dyDescent="0.25">
      <c r="A508" s="44" t="s">
        <v>188</v>
      </c>
      <c r="B508" s="44" t="s">
        <v>520</v>
      </c>
      <c r="C508" s="44" t="str">
        <f t="shared" si="12"/>
        <v>KUYUCAK/TOKAT</v>
      </c>
      <c r="D508" s="44" t="s">
        <v>229</v>
      </c>
      <c r="E508"/>
    </row>
    <row r="509" spans="1:5" x14ac:dyDescent="0.25">
      <c r="A509" s="44" t="s">
        <v>188</v>
      </c>
      <c r="B509" s="44" t="s">
        <v>3256</v>
      </c>
      <c r="C509" s="44" t="str">
        <f t="shared" si="12"/>
        <v>KIZILCAÖREN/TOKAT</v>
      </c>
      <c r="D509" s="44" t="s">
        <v>2160</v>
      </c>
      <c r="E509"/>
    </row>
    <row r="510" spans="1:5" x14ac:dyDescent="0.25">
      <c r="A510" s="39" t="s">
        <v>188</v>
      </c>
      <c r="B510" s="39" t="s">
        <v>3271</v>
      </c>
      <c r="C510" s="39" t="str">
        <f t="shared" si="12"/>
        <v>AKARÇAY/TOKAT</v>
      </c>
      <c r="D510" s="39" t="s">
        <v>2159</v>
      </c>
      <c r="E510"/>
    </row>
    <row r="511" spans="1:5" x14ac:dyDescent="0.25">
      <c r="A511" s="39" t="s">
        <v>188</v>
      </c>
      <c r="B511" s="39" t="s">
        <v>3272</v>
      </c>
      <c r="C511" s="39" t="str">
        <f t="shared" si="12"/>
        <v>DEMİRCİLİ/TOKAT</v>
      </c>
      <c r="D511" s="39" t="s">
        <v>2160</v>
      </c>
      <c r="E511"/>
    </row>
    <row r="512" spans="1:5" x14ac:dyDescent="0.25">
      <c r="A512" s="39" t="s">
        <v>188</v>
      </c>
      <c r="B512" s="39" t="s">
        <v>3011</v>
      </c>
      <c r="C512" s="39" t="str">
        <f t="shared" si="12"/>
        <v>ÇAMLIBEL/TOKAT</v>
      </c>
      <c r="D512" s="39" t="s">
        <v>34</v>
      </c>
      <c r="E512"/>
    </row>
    <row r="513" spans="1:5" x14ac:dyDescent="0.25">
      <c r="A513" s="39" t="s">
        <v>188</v>
      </c>
      <c r="B513" s="39" t="s">
        <v>3290</v>
      </c>
      <c r="C513" s="39" t="str">
        <f t="shared" si="12"/>
        <v>KOÇAK/TOKAT</v>
      </c>
      <c r="D513" s="39" t="s">
        <v>85</v>
      </c>
      <c r="E513"/>
    </row>
    <row r="514" spans="1:5" x14ac:dyDescent="0.25">
      <c r="A514" s="39" t="s">
        <v>188</v>
      </c>
      <c r="B514" s="39" t="s">
        <v>3291</v>
      </c>
      <c r="C514" s="39" t="str">
        <f t="shared" si="12"/>
        <v>ORMANDİBİ/TOKAT</v>
      </c>
      <c r="D514" s="39" t="s">
        <v>2159</v>
      </c>
      <c r="E514"/>
    </row>
    <row r="515" spans="1:5" x14ac:dyDescent="0.25">
      <c r="A515" s="39" t="s">
        <v>188</v>
      </c>
      <c r="B515" s="39" t="s">
        <v>3289</v>
      </c>
      <c r="C515" s="39" t="str">
        <f t="shared" si="12"/>
        <v>ÇEVRECİK/TOKAT</v>
      </c>
      <c r="D515" s="39" t="s">
        <v>2160</v>
      </c>
      <c r="E515"/>
    </row>
    <row r="516" spans="1:5" x14ac:dyDescent="0.25">
      <c r="A516" s="39" t="s">
        <v>188</v>
      </c>
      <c r="B516" s="39" t="s">
        <v>3302</v>
      </c>
      <c r="C516" s="39" t="str">
        <f t="shared" si="12"/>
        <v>YALINYAZI/TOKAT</v>
      </c>
      <c r="D516" s="39" t="s">
        <v>384</v>
      </c>
      <c r="E516"/>
    </row>
    <row r="517" spans="1:5" x14ac:dyDescent="0.25">
      <c r="A517" s="39" t="s">
        <v>188</v>
      </c>
      <c r="B517" s="39" t="s">
        <v>3273</v>
      </c>
      <c r="C517" s="39" t="str">
        <f t="shared" si="12"/>
        <v>GÜNEBAKAN/TOKAT</v>
      </c>
      <c r="D517" s="39" t="s">
        <v>229</v>
      </c>
      <c r="E517"/>
    </row>
    <row r="518" spans="1:5" x14ac:dyDescent="0.25">
      <c r="A518" s="39" t="s">
        <v>188</v>
      </c>
      <c r="B518" s="39" t="s">
        <v>3313</v>
      </c>
      <c r="C518" s="44" t="str">
        <f t="shared" si="12"/>
        <v>DEREKÖY/TOKAT</v>
      </c>
      <c r="D518" s="39" t="s">
        <v>336</v>
      </c>
      <c r="E518"/>
    </row>
    <row r="519" spans="1:5" x14ac:dyDescent="0.25">
      <c r="A519" s="39" t="s">
        <v>188</v>
      </c>
      <c r="B519" s="39" t="s">
        <v>3382</v>
      </c>
      <c r="C519" s="44" t="str">
        <f t="shared" si="12"/>
        <v>YENİSU/TOKAT</v>
      </c>
      <c r="D519" s="39" t="s">
        <v>383</v>
      </c>
      <c r="E519"/>
    </row>
    <row r="520" spans="1:5" x14ac:dyDescent="0.25">
      <c r="A520" s="39" t="s">
        <v>188</v>
      </c>
      <c r="B520" s="39" t="s">
        <v>3390</v>
      </c>
      <c r="C520" s="44" t="str">
        <f t="shared" si="12"/>
        <v>CİHET/TOKAT</v>
      </c>
      <c r="D520" s="39" t="s">
        <v>2159</v>
      </c>
      <c r="E520"/>
    </row>
    <row r="521" spans="1:5" x14ac:dyDescent="0.25">
      <c r="A521" s="39" t="s">
        <v>188</v>
      </c>
      <c r="B521" s="39" t="s">
        <v>3392</v>
      </c>
      <c r="C521" s="44" t="str">
        <f t="shared" si="12"/>
        <v>YAZICIK/TOKAT</v>
      </c>
      <c r="D521" s="39" t="s">
        <v>34</v>
      </c>
      <c r="E521"/>
    </row>
    <row r="522" spans="1:5" x14ac:dyDescent="0.25">
      <c r="A522" s="39" t="s">
        <v>188</v>
      </c>
      <c r="B522" s="39" t="s">
        <v>3413</v>
      </c>
      <c r="C522" s="39" t="str">
        <f t="shared" si="12"/>
        <v>GÜZELBEYLİ/TOKAT</v>
      </c>
      <c r="D522" s="39" t="s">
        <v>384</v>
      </c>
      <c r="E522"/>
    </row>
    <row r="523" spans="1:5" x14ac:dyDescent="0.25">
      <c r="A523" s="39" t="s">
        <v>188</v>
      </c>
      <c r="B523" s="39" t="s">
        <v>114</v>
      </c>
      <c r="C523" s="39" t="str">
        <f t="shared" si="12"/>
        <v>DİKİLİ/TOKAT</v>
      </c>
      <c r="D523" s="39" t="s">
        <v>2159</v>
      </c>
      <c r="E523"/>
    </row>
    <row r="524" spans="1:5" x14ac:dyDescent="0.25">
      <c r="A524" s="39" t="s">
        <v>188</v>
      </c>
      <c r="B524" s="39" t="s">
        <v>3406</v>
      </c>
      <c r="C524" s="39" t="str">
        <f t="shared" si="12"/>
        <v>KUZBAĞI/TOKAT</v>
      </c>
      <c r="D524" s="39" t="s">
        <v>2160</v>
      </c>
      <c r="E524"/>
    </row>
    <row r="525" spans="1:5" x14ac:dyDescent="0.25">
      <c r="A525" s="39" t="s">
        <v>188</v>
      </c>
      <c r="B525" s="39" t="s">
        <v>3434</v>
      </c>
      <c r="C525" s="39" t="str">
        <f t="shared" si="12"/>
        <v>BÜŞÜRÜM/TOKAT</v>
      </c>
      <c r="D525" s="39" t="s">
        <v>2160</v>
      </c>
      <c r="E525"/>
    </row>
    <row r="526" spans="1:5" x14ac:dyDescent="0.25">
      <c r="A526" s="39" t="s">
        <v>188</v>
      </c>
      <c r="B526" s="39" t="s">
        <v>3435</v>
      </c>
      <c r="C526" s="39" t="str">
        <f t="shared" si="12"/>
        <v>YOLÜSTÜ/TOKAT</v>
      </c>
      <c r="D526" s="39" t="s">
        <v>2160</v>
      </c>
      <c r="E526"/>
    </row>
    <row r="527" spans="1:5" x14ac:dyDescent="0.25">
      <c r="A527" s="39" t="s">
        <v>188</v>
      </c>
      <c r="B527" s="39" t="s">
        <v>2316</v>
      </c>
      <c r="C527" s="39" t="str">
        <f t="shared" si="12"/>
        <v>KARAYAKA/TOKAT</v>
      </c>
      <c r="D527" s="39" t="s">
        <v>85</v>
      </c>
      <c r="E527"/>
    </row>
    <row r="528" spans="1:5" x14ac:dyDescent="0.25">
      <c r="A528" s="39" t="s">
        <v>188</v>
      </c>
      <c r="B528" s="39" t="s">
        <v>3124</v>
      </c>
      <c r="C528" s="39" t="str">
        <f t="shared" si="12"/>
        <v>EMİRSEYİT/TOKAT</v>
      </c>
      <c r="D528" s="39" t="s">
        <v>34</v>
      </c>
      <c r="E528"/>
    </row>
    <row r="529" spans="1:5" x14ac:dyDescent="0.25">
      <c r="A529" s="39" t="s">
        <v>188</v>
      </c>
      <c r="B529" s="39" t="s">
        <v>3274</v>
      </c>
      <c r="C529" s="39" t="str">
        <f t="shared" si="12"/>
        <v>TANOBA/TOKAT</v>
      </c>
      <c r="D529" s="39" t="s">
        <v>85</v>
      </c>
      <c r="E529"/>
    </row>
    <row r="530" spans="1:5" x14ac:dyDescent="0.25">
      <c r="A530" s="39" t="s">
        <v>188</v>
      </c>
      <c r="B530" s="39" t="s">
        <v>2967</v>
      </c>
      <c r="C530" s="39" t="str">
        <f t="shared" si="12"/>
        <v>YOLKONAK/TOKAT</v>
      </c>
      <c r="D530" s="39" t="s">
        <v>229</v>
      </c>
      <c r="E530"/>
    </row>
    <row r="531" spans="1:5" x14ac:dyDescent="0.25">
      <c r="A531" s="39" t="s">
        <v>188</v>
      </c>
      <c r="B531" s="39" t="s">
        <v>2180</v>
      </c>
      <c r="C531" s="39" t="str">
        <f t="shared" si="12"/>
        <v>GÜRÇEŞME/TOKAT</v>
      </c>
      <c r="D531" s="39" t="s">
        <v>229</v>
      </c>
      <c r="E531"/>
    </row>
    <row r="532" spans="1:5" x14ac:dyDescent="0.25">
      <c r="A532" s="39" t="s">
        <v>188</v>
      </c>
      <c r="B532" s="39" t="s">
        <v>3184</v>
      </c>
      <c r="C532" s="39" t="str">
        <f t="shared" ref="C532:C563" si="13">CONCATENATE(B532,"/",A532)</f>
        <v>ÇEVRELİ/TOKAT</v>
      </c>
      <c r="D532" s="39" t="s">
        <v>2159</v>
      </c>
      <c r="E532"/>
    </row>
    <row r="533" spans="1:5" x14ac:dyDescent="0.25">
      <c r="A533" s="39" t="s">
        <v>188</v>
      </c>
      <c r="B533" s="39" t="s">
        <v>3490</v>
      </c>
      <c r="C533" s="39" t="str">
        <f t="shared" si="13"/>
        <v>HASANŞEYH/TOKAT</v>
      </c>
      <c r="D533" s="39" t="s">
        <v>2160</v>
      </c>
      <c r="E533"/>
    </row>
    <row r="534" spans="1:5" x14ac:dyDescent="0.25">
      <c r="A534" s="39" t="s">
        <v>188</v>
      </c>
      <c r="B534" s="39" t="s">
        <v>576</v>
      </c>
      <c r="C534" s="39" t="str">
        <f t="shared" si="13"/>
        <v>ÇAT/TOKAT</v>
      </c>
      <c r="D534" s="39" t="s">
        <v>34</v>
      </c>
      <c r="E534"/>
    </row>
    <row r="535" spans="1:5" x14ac:dyDescent="0.25">
      <c r="A535" s="39" t="s">
        <v>188</v>
      </c>
      <c r="B535" s="39" t="s">
        <v>3489</v>
      </c>
      <c r="C535" s="39" t="str">
        <f t="shared" si="13"/>
        <v>GÖRÜMLÜ/TOKAT</v>
      </c>
      <c r="D535" s="39" t="s">
        <v>2159</v>
      </c>
      <c r="E535"/>
    </row>
    <row r="536" spans="1:5" x14ac:dyDescent="0.25">
      <c r="A536" s="39" t="s">
        <v>188</v>
      </c>
      <c r="B536" s="39" t="s">
        <v>2986</v>
      </c>
      <c r="C536" s="39" t="str">
        <f t="shared" si="13"/>
        <v>GÜRYILDIZ/TOKAT</v>
      </c>
      <c r="D536" s="39" t="s">
        <v>34</v>
      </c>
      <c r="E536"/>
    </row>
    <row r="537" spans="1:5" x14ac:dyDescent="0.25">
      <c r="A537" s="39" t="s">
        <v>188</v>
      </c>
      <c r="B537" s="39" t="s">
        <v>2701</v>
      </c>
      <c r="C537" s="39" t="str">
        <f t="shared" si="13"/>
        <v>BEREKETLİ/TOKAT</v>
      </c>
      <c r="D537" s="39" t="s">
        <v>2160</v>
      </c>
      <c r="E537"/>
    </row>
    <row r="538" spans="1:5" x14ac:dyDescent="0.25">
      <c r="A538" s="39" t="s">
        <v>188</v>
      </c>
      <c r="B538" s="39" t="s">
        <v>3475</v>
      </c>
      <c r="C538" s="39" t="str">
        <f t="shared" si="13"/>
        <v>SERENLİ/TOKAT</v>
      </c>
      <c r="D538" s="39" t="s">
        <v>229</v>
      </c>
      <c r="E538"/>
    </row>
    <row r="539" spans="1:5" x14ac:dyDescent="0.25">
      <c r="A539" s="39" t="s">
        <v>188</v>
      </c>
      <c r="B539" s="39" t="s">
        <v>3391</v>
      </c>
      <c r="C539" s="39" t="str">
        <f t="shared" si="13"/>
        <v>GÖKÇELİ/TOKAT</v>
      </c>
      <c r="D539" s="39" t="s">
        <v>229</v>
      </c>
      <c r="E539"/>
    </row>
    <row r="540" spans="1:5" x14ac:dyDescent="0.25">
      <c r="A540" s="39" t="s">
        <v>188</v>
      </c>
      <c r="B540" s="39" t="s">
        <v>2813</v>
      </c>
      <c r="C540" s="39" t="str">
        <f t="shared" si="13"/>
        <v>BAYDARLI/TOKAT</v>
      </c>
      <c r="D540" s="39" t="s">
        <v>2160</v>
      </c>
      <c r="E540"/>
    </row>
    <row r="541" spans="1:5" x14ac:dyDescent="0.25">
      <c r="A541" s="39" t="s">
        <v>188</v>
      </c>
      <c r="B541" s="39" t="s">
        <v>3488</v>
      </c>
      <c r="C541" s="39" t="str">
        <f t="shared" si="13"/>
        <v>GÖKAL/TOKAT</v>
      </c>
      <c r="D541" s="39" t="s">
        <v>85</v>
      </c>
      <c r="E541"/>
    </row>
    <row r="542" spans="1:5" x14ac:dyDescent="0.25">
      <c r="A542" s="39" t="s">
        <v>188</v>
      </c>
      <c r="B542" s="39" t="s">
        <v>2408</v>
      </c>
      <c r="C542" s="39" t="str">
        <f t="shared" si="13"/>
        <v>ŞENYURT/TOKAT</v>
      </c>
      <c r="D542" s="39" t="s">
        <v>383</v>
      </c>
      <c r="E542"/>
    </row>
    <row r="543" spans="1:5" x14ac:dyDescent="0.25">
      <c r="A543" s="39" t="s">
        <v>188</v>
      </c>
      <c r="B543" s="39" t="s">
        <v>3512</v>
      </c>
      <c r="C543" s="39" t="str">
        <f t="shared" si="13"/>
        <v>ULUTEPE/TOKAT</v>
      </c>
      <c r="D543" s="39" t="s">
        <v>383</v>
      </c>
      <c r="E543"/>
    </row>
    <row r="544" spans="1:5" x14ac:dyDescent="0.25">
      <c r="A544" s="39" t="s">
        <v>188</v>
      </c>
      <c r="B544" s="39" t="s">
        <v>3511</v>
      </c>
      <c r="C544" s="39" t="str">
        <f t="shared" si="13"/>
        <v>ÇELİKLİ/TOKAT</v>
      </c>
      <c r="D544" s="39" t="s">
        <v>2599</v>
      </c>
      <c r="E544"/>
    </row>
    <row r="545" spans="1:5" x14ac:dyDescent="0.25">
      <c r="A545" s="39" t="s">
        <v>188</v>
      </c>
      <c r="B545" s="39" t="s">
        <v>3533</v>
      </c>
      <c r="C545" s="39" t="str">
        <f t="shared" si="13"/>
        <v>NEBİŞEYH/TOKAT</v>
      </c>
      <c r="D545" s="39" t="s">
        <v>2160</v>
      </c>
      <c r="E545"/>
    </row>
    <row r="546" spans="1:5" x14ac:dyDescent="0.25">
      <c r="A546" s="39" t="s">
        <v>188</v>
      </c>
      <c r="B546" s="39" t="s">
        <v>3558</v>
      </c>
      <c r="C546" s="39" t="str">
        <f t="shared" si="13"/>
        <v>ÜZÜMÖREN/TOKAT</v>
      </c>
      <c r="D546" s="39" t="s">
        <v>336</v>
      </c>
      <c r="E546"/>
    </row>
    <row r="547" spans="1:5" x14ac:dyDescent="0.25">
      <c r="A547" s="39" t="s">
        <v>188</v>
      </c>
      <c r="B547" s="39" t="s">
        <v>2717</v>
      </c>
      <c r="C547" s="39" t="str">
        <f t="shared" si="13"/>
        <v>SOĞUKPINAR/TOKAT</v>
      </c>
      <c r="D547" s="39" t="s">
        <v>2160</v>
      </c>
      <c r="E547"/>
    </row>
    <row r="548" spans="1:5" x14ac:dyDescent="0.25">
      <c r="A548" s="39" t="s">
        <v>188</v>
      </c>
      <c r="B548" s="39" t="s">
        <v>3164</v>
      </c>
      <c r="C548" s="39" t="str">
        <f t="shared" si="13"/>
        <v>SULUSARAY/TOKAT</v>
      </c>
      <c r="D548" s="39" t="s">
        <v>34</v>
      </c>
      <c r="E548"/>
    </row>
    <row r="549" spans="1:5" x14ac:dyDescent="0.25">
      <c r="A549" s="39" t="s">
        <v>188</v>
      </c>
      <c r="B549" s="39" t="s">
        <v>2233</v>
      </c>
      <c r="C549" s="39" t="str">
        <f t="shared" si="13"/>
        <v>BAŞÇİFTLİK/TOKAT</v>
      </c>
      <c r="D549" s="39" t="s">
        <v>34</v>
      </c>
      <c r="E549"/>
    </row>
    <row r="550" spans="1:5" x14ac:dyDescent="0.25">
      <c r="A550" s="39" t="s">
        <v>188</v>
      </c>
      <c r="B550" s="39" t="s">
        <v>3579</v>
      </c>
      <c r="C550" s="39" t="str">
        <f t="shared" si="13"/>
        <v>BOZÇALI/TOKAT</v>
      </c>
      <c r="D550" s="39" t="s">
        <v>2160</v>
      </c>
      <c r="E550"/>
    </row>
    <row r="551" spans="1:5" x14ac:dyDescent="0.25">
      <c r="A551" s="39" t="s">
        <v>188</v>
      </c>
      <c r="B551" s="39" t="s">
        <v>3580</v>
      </c>
      <c r="C551" s="39" t="str">
        <f t="shared" si="13"/>
        <v>CİMİTEKKE/TOKAT</v>
      </c>
      <c r="D551" s="39" t="s">
        <v>2160</v>
      </c>
      <c r="E551"/>
    </row>
    <row r="552" spans="1:5" x14ac:dyDescent="0.25">
      <c r="A552" s="39" t="s">
        <v>188</v>
      </c>
      <c r="B552" s="39" t="s">
        <v>3594</v>
      </c>
      <c r="C552" s="39" t="str">
        <f t="shared" si="13"/>
        <v>GÖLGELİ/TOKAT</v>
      </c>
      <c r="D552" s="39" t="s">
        <v>2159</v>
      </c>
      <c r="E552"/>
    </row>
    <row r="553" spans="1:5" x14ac:dyDescent="0.25">
      <c r="A553" s="39" t="s">
        <v>188</v>
      </c>
      <c r="B553" s="39" t="s">
        <v>3333</v>
      </c>
      <c r="C553" s="39" t="str">
        <f t="shared" si="13"/>
        <v>ATAKÖY/TOKAT</v>
      </c>
      <c r="D553" s="39" t="s">
        <v>2159</v>
      </c>
      <c r="E553"/>
    </row>
    <row r="554" spans="1:5" x14ac:dyDescent="0.25">
      <c r="A554" s="39" t="s">
        <v>188</v>
      </c>
      <c r="B554" s="39" t="s">
        <v>332</v>
      </c>
      <c r="C554" s="39" t="str">
        <f t="shared" si="13"/>
        <v>KINIK/TOKAT</v>
      </c>
      <c r="D554" s="39" t="s">
        <v>2159</v>
      </c>
      <c r="E554"/>
    </row>
    <row r="555" spans="1:5" x14ac:dyDescent="0.25">
      <c r="A555" s="39" t="s">
        <v>311</v>
      </c>
      <c r="B555" s="39" t="s">
        <v>3303</v>
      </c>
      <c r="C555" s="39" t="str">
        <f t="shared" si="13"/>
        <v>DARIKENT/TUNCELİ</v>
      </c>
      <c r="D555" s="39" t="s">
        <v>2679</v>
      </c>
      <c r="E555"/>
    </row>
    <row r="556" spans="1:5" x14ac:dyDescent="0.25">
      <c r="A556" s="71" t="s">
        <v>13</v>
      </c>
      <c r="B556" s="71" t="s">
        <v>3076</v>
      </c>
      <c r="C556" s="44" t="str">
        <f t="shared" si="13"/>
        <v>İLYASLI/UŞAK</v>
      </c>
      <c r="D556" s="70" t="s">
        <v>34</v>
      </c>
      <c r="E556"/>
    </row>
    <row r="557" spans="1:5" x14ac:dyDescent="0.25">
      <c r="A557" s="44" t="s">
        <v>13</v>
      </c>
      <c r="B557" s="44" t="s">
        <v>70</v>
      </c>
      <c r="C557" s="44" t="str">
        <f t="shared" si="13"/>
        <v>GÜRE/UŞAK</v>
      </c>
      <c r="D557" s="44" t="s">
        <v>34</v>
      </c>
      <c r="E557"/>
    </row>
    <row r="558" spans="1:5" x14ac:dyDescent="0.25">
      <c r="A558" s="44" t="s">
        <v>13</v>
      </c>
      <c r="B558" s="44" t="s">
        <v>3219</v>
      </c>
      <c r="C558" s="44" t="str">
        <f t="shared" si="13"/>
        <v>BÜYÜKOTURAK/UŞAK</v>
      </c>
      <c r="D558" s="44" t="s">
        <v>345</v>
      </c>
      <c r="E558"/>
    </row>
    <row r="559" spans="1:5" x14ac:dyDescent="0.25">
      <c r="A559" s="44" t="s">
        <v>13</v>
      </c>
      <c r="B559" s="44" t="s">
        <v>3186</v>
      </c>
      <c r="C559" s="44" t="str">
        <f t="shared" si="13"/>
        <v>AHMETLER/UŞAK</v>
      </c>
      <c r="D559" s="44" t="s">
        <v>2241</v>
      </c>
      <c r="E559"/>
    </row>
    <row r="560" spans="1:5" x14ac:dyDescent="0.25">
      <c r="A560" s="39" t="s">
        <v>13</v>
      </c>
      <c r="B560" s="39" t="s">
        <v>3275</v>
      </c>
      <c r="C560" s="39" t="str">
        <f t="shared" si="13"/>
        <v>AĞAÇBEYLİ/UŞAK</v>
      </c>
      <c r="D560" s="39" t="s">
        <v>2003</v>
      </c>
      <c r="E560"/>
    </row>
    <row r="561" spans="1:5" x14ac:dyDescent="0.25">
      <c r="A561" s="39" t="s">
        <v>13</v>
      </c>
      <c r="B561" s="39" t="s">
        <v>3276</v>
      </c>
      <c r="C561" s="39" t="str">
        <f t="shared" si="13"/>
        <v>KIŞLA/UŞAK</v>
      </c>
      <c r="D561" s="39" t="s">
        <v>2418</v>
      </c>
      <c r="E561"/>
    </row>
    <row r="562" spans="1:5" x14ac:dyDescent="0.25">
      <c r="A562" s="39" t="s">
        <v>13</v>
      </c>
      <c r="B562" s="39" t="s">
        <v>3334</v>
      </c>
      <c r="C562" s="44" t="str">
        <f t="shared" si="13"/>
        <v>GÜLLÜ/UŞAK</v>
      </c>
      <c r="D562" s="39" t="s">
        <v>2241</v>
      </c>
      <c r="E562"/>
    </row>
    <row r="563" spans="1:5" x14ac:dyDescent="0.25">
      <c r="A563" s="6" t="s">
        <v>13</v>
      </c>
      <c r="B563" s="6" t="s">
        <v>2324</v>
      </c>
      <c r="C563" s="24" t="str">
        <f t="shared" si="13"/>
        <v>BÖLME/UŞAK</v>
      </c>
      <c r="D563" s="6" t="s">
        <v>34</v>
      </c>
      <c r="E563"/>
    </row>
    <row r="564" spans="1:5" x14ac:dyDescent="0.25">
      <c r="A564" s="39" t="s">
        <v>13</v>
      </c>
      <c r="B564" s="39" t="s">
        <v>3401</v>
      </c>
      <c r="C564" s="44" t="str">
        <f t="shared" ref="C564:C595" si="14">CONCATENATE(B564,"/",A564)</f>
        <v>KARBASAN/UŞAK</v>
      </c>
      <c r="D564" s="39" t="s">
        <v>2214</v>
      </c>
      <c r="E564"/>
    </row>
    <row r="565" spans="1:5" x14ac:dyDescent="0.25">
      <c r="A565" s="39" t="s">
        <v>13</v>
      </c>
      <c r="B565" s="39" t="s">
        <v>3414</v>
      </c>
      <c r="C565" s="44" t="str">
        <f t="shared" si="14"/>
        <v>YAYALAR/UŞAK</v>
      </c>
      <c r="D565" s="39" t="s">
        <v>2003</v>
      </c>
      <c r="E565"/>
    </row>
    <row r="566" spans="1:5" x14ac:dyDescent="0.25">
      <c r="A566" s="39" t="s">
        <v>13</v>
      </c>
      <c r="B566" s="39" t="s">
        <v>2627</v>
      </c>
      <c r="C566" s="39" t="str">
        <f t="shared" si="14"/>
        <v>YELEĞEN/UŞAK</v>
      </c>
      <c r="D566" s="39" t="s">
        <v>2241</v>
      </c>
      <c r="E566"/>
    </row>
    <row r="567" spans="1:5" x14ac:dyDescent="0.25">
      <c r="A567" s="39" t="s">
        <v>13</v>
      </c>
      <c r="B567" s="39" t="s">
        <v>2058</v>
      </c>
      <c r="C567" s="39" t="str">
        <f t="shared" si="14"/>
        <v>HASKÖY/UŞAK</v>
      </c>
      <c r="D567" s="39" t="s">
        <v>2418</v>
      </c>
      <c r="E567"/>
    </row>
    <row r="568" spans="1:5" x14ac:dyDescent="0.25">
      <c r="A568" s="39" t="s">
        <v>13</v>
      </c>
      <c r="B568" s="39" t="s">
        <v>2062</v>
      </c>
      <c r="C568" s="39" t="str">
        <f t="shared" si="14"/>
        <v>KIZILCASÖĞÜT/UŞAK</v>
      </c>
      <c r="D568" s="39" t="s">
        <v>345</v>
      </c>
      <c r="E568"/>
    </row>
    <row r="569" spans="1:5" x14ac:dyDescent="0.25">
      <c r="A569" s="39" t="s">
        <v>13</v>
      </c>
      <c r="B569" s="39" t="s">
        <v>2410</v>
      </c>
      <c r="C569" s="39" t="str">
        <f t="shared" si="14"/>
        <v>TATAR/UŞAK</v>
      </c>
      <c r="D569" s="39" t="s">
        <v>2003</v>
      </c>
      <c r="E569"/>
    </row>
    <row r="570" spans="1:5" x14ac:dyDescent="0.25">
      <c r="A570" s="44" t="s">
        <v>148</v>
      </c>
      <c r="B570" s="44" t="s">
        <v>189</v>
      </c>
      <c r="C570" s="44" t="str">
        <f t="shared" si="14"/>
        <v>ARMUTLU/YALOVA</v>
      </c>
      <c r="D570" s="44" t="s">
        <v>34</v>
      </c>
      <c r="E570"/>
    </row>
    <row r="571" spans="1:5" x14ac:dyDescent="0.25">
      <c r="A571" s="39" t="s">
        <v>148</v>
      </c>
      <c r="B571" s="39" t="s">
        <v>287</v>
      </c>
      <c r="C571" s="39" t="str">
        <f t="shared" si="14"/>
        <v>KADIKÖY/YALOVA</v>
      </c>
      <c r="D571" s="39" t="s">
        <v>34</v>
      </c>
      <c r="E571"/>
    </row>
    <row r="572" spans="1:5" x14ac:dyDescent="0.25">
      <c r="A572" s="39" t="s">
        <v>148</v>
      </c>
      <c r="B572" s="39" t="s">
        <v>479</v>
      </c>
      <c r="C572" s="39" t="str">
        <f t="shared" si="14"/>
        <v>KORU/YALOVA</v>
      </c>
      <c r="D572" s="39" t="s">
        <v>182</v>
      </c>
      <c r="E572"/>
    </row>
    <row r="573" spans="1:5" x14ac:dyDescent="0.25">
      <c r="A573" s="39" t="s">
        <v>148</v>
      </c>
      <c r="B573" s="39" t="s">
        <v>2249</v>
      </c>
      <c r="C573" s="39" t="str">
        <f t="shared" si="14"/>
        <v>KAYTAZDERE/YALOVA</v>
      </c>
      <c r="D573" s="39" t="s">
        <v>183</v>
      </c>
      <c r="E573"/>
    </row>
    <row r="574" spans="1:5" x14ac:dyDescent="0.25">
      <c r="A574" s="39" t="s">
        <v>148</v>
      </c>
      <c r="B574" s="39" t="s">
        <v>2240</v>
      </c>
      <c r="C574" s="39" t="str">
        <f t="shared" si="14"/>
        <v>ESENKÖY/YALOVA</v>
      </c>
      <c r="D574" s="39" t="s">
        <v>182</v>
      </c>
      <c r="E574"/>
    </row>
    <row r="575" spans="1:5" x14ac:dyDescent="0.25">
      <c r="A575" s="39" t="s">
        <v>148</v>
      </c>
      <c r="B575" s="39" t="s">
        <v>374</v>
      </c>
      <c r="C575" s="39" t="str">
        <f t="shared" si="14"/>
        <v>TAVŞANLI/YALOVA</v>
      </c>
      <c r="D575" s="39" t="s">
        <v>183</v>
      </c>
      <c r="E575"/>
    </row>
    <row r="576" spans="1:5" x14ac:dyDescent="0.25">
      <c r="A576" s="39" t="s">
        <v>148</v>
      </c>
      <c r="B576" s="39" t="s">
        <v>243</v>
      </c>
      <c r="C576" s="39" t="str">
        <f t="shared" si="14"/>
        <v>TAŞKÖPRÜ/YALOVA</v>
      </c>
      <c r="D576" s="39" t="s">
        <v>207</v>
      </c>
      <c r="E576"/>
    </row>
    <row r="577" spans="1:5" x14ac:dyDescent="0.25">
      <c r="A577" s="39" t="s">
        <v>148</v>
      </c>
      <c r="B577" s="39" t="s">
        <v>2680</v>
      </c>
      <c r="C577" s="39" t="str">
        <f t="shared" si="14"/>
        <v>TEŞVİKİYE/YALOVA</v>
      </c>
      <c r="D577" s="39" t="s">
        <v>182</v>
      </c>
      <c r="E577"/>
    </row>
    <row r="578" spans="1:5" x14ac:dyDescent="0.25">
      <c r="A578" s="39" t="s">
        <v>148</v>
      </c>
      <c r="B578" s="39" t="s">
        <v>339</v>
      </c>
      <c r="C578" s="39" t="str">
        <f t="shared" si="14"/>
        <v>SUBAŞI/YALOVA</v>
      </c>
      <c r="D578" s="39" t="s">
        <v>183</v>
      </c>
      <c r="E578"/>
    </row>
    <row r="579" spans="1:5" x14ac:dyDescent="0.25">
      <c r="A579" s="44" t="s">
        <v>284</v>
      </c>
      <c r="B579" s="44" t="s">
        <v>3038</v>
      </c>
      <c r="C579" s="44" t="str">
        <f t="shared" si="14"/>
        <v>BABAYAĞMUR/YOZGAT</v>
      </c>
      <c r="D579" s="44" t="s">
        <v>2161</v>
      </c>
      <c r="E579"/>
    </row>
    <row r="580" spans="1:5" x14ac:dyDescent="0.25">
      <c r="A580" s="44" t="s">
        <v>284</v>
      </c>
      <c r="B580" s="44" t="s">
        <v>2754</v>
      </c>
      <c r="C580" s="44" t="str">
        <f t="shared" si="14"/>
        <v>ESENLİ/YOZGAT</v>
      </c>
      <c r="D580" s="44" t="s">
        <v>34</v>
      </c>
      <c r="E580"/>
    </row>
    <row r="581" spans="1:5" x14ac:dyDescent="0.25">
      <c r="A581" s="44" t="s">
        <v>284</v>
      </c>
      <c r="B581" s="44" t="s">
        <v>3039</v>
      </c>
      <c r="C581" s="44" t="str">
        <f t="shared" si="14"/>
        <v>SEKİLİ/YOZGAT</v>
      </c>
      <c r="D581" s="44" t="s">
        <v>692</v>
      </c>
      <c r="E581"/>
    </row>
    <row r="582" spans="1:5" x14ac:dyDescent="0.25">
      <c r="A582" s="71" t="s">
        <v>284</v>
      </c>
      <c r="B582" s="71" t="s">
        <v>3077</v>
      </c>
      <c r="C582" s="44" t="str">
        <f t="shared" si="14"/>
        <v>BEKTAŞLI/YOZGAT</v>
      </c>
      <c r="D582" s="44" t="s">
        <v>2262</v>
      </c>
      <c r="E582"/>
    </row>
    <row r="583" spans="1:5" x14ac:dyDescent="0.25">
      <c r="A583" s="24" t="s">
        <v>284</v>
      </c>
      <c r="B583" s="24" t="s">
        <v>3168</v>
      </c>
      <c r="C583" s="44" t="str">
        <f t="shared" si="14"/>
        <v>OSMANPAŞA/YOZGAT</v>
      </c>
      <c r="D583" s="44" t="s">
        <v>34</v>
      </c>
      <c r="E583"/>
    </row>
    <row r="584" spans="1:5" x14ac:dyDescent="0.25">
      <c r="A584" s="44" t="s">
        <v>284</v>
      </c>
      <c r="B584" s="44" t="s">
        <v>3220</v>
      </c>
      <c r="C584" s="44" t="str">
        <f t="shared" si="14"/>
        <v>ÇALAPVERDİ/YOZGAT</v>
      </c>
      <c r="D584" s="44" t="s">
        <v>387</v>
      </c>
      <c r="E584"/>
    </row>
    <row r="585" spans="1:5" x14ac:dyDescent="0.25">
      <c r="A585" s="44" t="s">
        <v>284</v>
      </c>
      <c r="B585" s="44" t="s">
        <v>3258</v>
      </c>
      <c r="C585" s="44" t="str">
        <f t="shared" si="14"/>
        <v>ÖZLER/YOZGAT</v>
      </c>
      <c r="D585" s="44" t="s">
        <v>387</v>
      </c>
      <c r="E585"/>
    </row>
    <row r="586" spans="1:5" x14ac:dyDescent="0.25">
      <c r="A586" s="39" t="s">
        <v>284</v>
      </c>
      <c r="B586" s="39" t="s">
        <v>3277</v>
      </c>
      <c r="C586" s="39" t="str">
        <f t="shared" si="14"/>
        <v>YUKARISARIKAYA/YOZGAT</v>
      </c>
      <c r="D586" s="39" t="s">
        <v>2161</v>
      </c>
      <c r="E586"/>
    </row>
    <row r="587" spans="1:5" x14ac:dyDescent="0.25">
      <c r="A587" s="39" t="s">
        <v>284</v>
      </c>
      <c r="B587" s="39" t="s">
        <v>3257</v>
      </c>
      <c r="C587" s="39" t="str">
        <f t="shared" si="14"/>
        <v>DEVECİPINAR/YOZGAT</v>
      </c>
      <c r="D587" s="39" t="s">
        <v>387</v>
      </c>
      <c r="E587"/>
    </row>
    <row r="588" spans="1:5" x14ac:dyDescent="0.25">
      <c r="A588" s="39" t="s">
        <v>284</v>
      </c>
      <c r="B588" s="39" t="s">
        <v>3293</v>
      </c>
      <c r="C588" s="39" t="str">
        <f t="shared" si="14"/>
        <v>GEDİKHASANLI/YOZGAT</v>
      </c>
      <c r="D588" s="39" t="s">
        <v>480</v>
      </c>
      <c r="E588"/>
    </row>
    <row r="589" spans="1:5" x14ac:dyDescent="0.25">
      <c r="A589" s="39" t="s">
        <v>284</v>
      </c>
      <c r="B589" s="39" t="s">
        <v>3292</v>
      </c>
      <c r="C589" s="39" t="str">
        <f t="shared" si="14"/>
        <v>ÇAKMAK/YOZGAT</v>
      </c>
      <c r="D589" s="39" t="s">
        <v>387</v>
      </c>
      <c r="E589"/>
    </row>
    <row r="590" spans="1:5" x14ac:dyDescent="0.25">
      <c r="A590" s="39" t="s">
        <v>284</v>
      </c>
      <c r="B590" s="39" t="s">
        <v>3407</v>
      </c>
      <c r="C590" s="44" t="str">
        <f t="shared" si="14"/>
        <v>BELENCUMAFAKILI/YOZGAT</v>
      </c>
      <c r="D590" s="39" t="s">
        <v>480</v>
      </c>
      <c r="E590"/>
    </row>
    <row r="591" spans="1:5" x14ac:dyDescent="0.25">
      <c r="A591" s="39" t="s">
        <v>284</v>
      </c>
      <c r="B591" s="39" t="s">
        <v>499</v>
      </c>
      <c r="C591" s="44" t="str">
        <f t="shared" si="14"/>
        <v>EVCİLER/YOZGAT</v>
      </c>
      <c r="D591" s="39" t="s">
        <v>2236</v>
      </c>
      <c r="E591"/>
    </row>
    <row r="592" spans="1:5" x14ac:dyDescent="0.25">
      <c r="A592" s="39" t="s">
        <v>284</v>
      </c>
      <c r="B592" s="39" t="s">
        <v>3412</v>
      </c>
      <c r="C592" s="44" t="str">
        <f t="shared" si="14"/>
        <v>PAŞAKÖY/YOZGAT</v>
      </c>
      <c r="D592" s="39" t="s">
        <v>2259</v>
      </c>
      <c r="E592"/>
    </row>
    <row r="593" spans="1:5" x14ac:dyDescent="0.25">
      <c r="A593" s="39" t="s">
        <v>284</v>
      </c>
      <c r="B593" s="39" t="s">
        <v>3393</v>
      </c>
      <c r="C593" s="39" t="str">
        <f t="shared" si="14"/>
        <v>KARAKIZ/YOZGAT</v>
      </c>
      <c r="D593" s="39" t="s">
        <v>480</v>
      </c>
      <c r="E593"/>
    </row>
    <row r="594" spans="1:5" x14ac:dyDescent="0.25">
      <c r="A594" s="39" t="s">
        <v>284</v>
      </c>
      <c r="B594" s="39" t="s">
        <v>3423</v>
      </c>
      <c r="C594" s="39" t="str">
        <f t="shared" si="14"/>
        <v>ACECİHÜYÜK/YOZGAT</v>
      </c>
      <c r="D594" s="39" t="s">
        <v>2237</v>
      </c>
      <c r="E594"/>
    </row>
    <row r="595" spans="1:5" x14ac:dyDescent="0.25">
      <c r="A595" s="39" t="s">
        <v>284</v>
      </c>
      <c r="B595" s="39" t="s">
        <v>2765</v>
      </c>
      <c r="C595" s="39" t="str">
        <f t="shared" si="14"/>
        <v>ARAPLI/YOZGAT</v>
      </c>
      <c r="D595" s="39" t="s">
        <v>480</v>
      </c>
      <c r="E595"/>
    </row>
    <row r="596" spans="1:5" x14ac:dyDescent="0.25">
      <c r="A596" s="39" t="s">
        <v>284</v>
      </c>
      <c r="B596" s="39" t="s">
        <v>3491</v>
      </c>
      <c r="C596" s="39" t="str">
        <f t="shared" ref="C596:C627" si="15">CONCATENATE(B596,"/",A596)</f>
        <v>ÇİĞDEMLİ/YOZGAT</v>
      </c>
      <c r="D596" s="39" t="s">
        <v>480</v>
      </c>
      <c r="E596"/>
    </row>
    <row r="597" spans="1:5" x14ac:dyDescent="0.25">
      <c r="A597" s="39" t="s">
        <v>284</v>
      </c>
      <c r="B597" s="39" t="s">
        <v>3481</v>
      </c>
      <c r="C597" s="39" t="str">
        <f t="shared" si="15"/>
        <v>EYMİR/YOZGAT</v>
      </c>
      <c r="D597" s="39" t="s">
        <v>480</v>
      </c>
      <c r="E597"/>
    </row>
    <row r="598" spans="1:5" x14ac:dyDescent="0.25">
      <c r="A598" s="39" t="s">
        <v>284</v>
      </c>
      <c r="B598" s="39" t="s">
        <v>3513</v>
      </c>
      <c r="C598" s="39" t="str">
        <f t="shared" si="15"/>
        <v>DEDEFAKILI/YOZGAT</v>
      </c>
      <c r="D598" s="39" t="s">
        <v>2314</v>
      </c>
      <c r="E598"/>
    </row>
    <row r="599" spans="1:5" x14ac:dyDescent="0.25">
      <c r="A599" s="39" t="s">
        <v>284</v>
      </c>
      <c r="B599" s="39" t="s">
        <v>2656</v>
      </c>
      <c r="C599" s="39" t="str">
        <f t="shared" si="15"/>
        <v>SIRÇALI/YOZGAT</v>
      </c>
      <c r="D599" s="39" t="s">
        <v>387</v>
      </c>
      <c r="E599"/>
    </row>
    <row r="600" spans="1:5" x14ac:dyDescent="0.25">
      <c r="A600" s="39" t="s">
        <v>284</v>
      </c>
      <c r="B600" s="39" t="s">
        <v>3514</v>
      </c>
      <c r="C600" s="39" t="str">
        <f t="shared" si="15"/>
        <v>KUZAYCA/YOZGAT</v>
      </c>
      <c r="D600" s="39" t="s">
        <v>2259</v>
      </c>
      <c r="E600"/>
    </row>
    <row r="601" spans="1:5" x14ac:dyDescent="0.25">
      <c r="A601" s="39" t="s">
        <v>284</v>
      </c>
      <c r="B601" s="39" t="s">
        <v>3534</v>
      </c>
      <c r="C601" s="39" t="str">
        <f t="shared" si="15"/>
        <v>GÜL-ŞEHRİ/YOZGAT</v>
      </c>
      <c r="D601" s="39" t="s">
        <v>480</v>
      </c>
      <c r="E601"/>
    </row>
    <row r="602" spans="1:5" x14ac:dyDescent="0.25">
      <c r="A602" s="39" t="s">
        <v>284</v>
      </c>
      <c r="B602" s="39" t="s">
        <v>2869</v>
      </c>
      <c r="C602" s="39" t="str">
        <f t="shared" si="15"/>
        <v>BAHADIN/YOZGAT</v>
      </c>
      <c r="D602" s="39" t="s">
        <v>480</v>
      </c>
      <c r="E602"/>
    </row>
    <row r="603" spans="1:5" x14ac:dyDescent="0.25">
      <c r="A603" s="39" t="s">
        <v>284</v>
      </c>
      <c r="B603" s="39" t="s">
        <v>3548</v>
      </c>
      <c r="C603" s="39" t="str">
        <f t="shared" si="15"/>
        <v>BELEKÇAHAN/YOZGAT</v>
      </c>
      <c r="D603" s="39" t="s">
        <v>2181</v>
      </c>
      <c r="E603"/>
    </row>
    <row r="604" spans="1:5" x14ac:dyDescent="0.25">
      <c r="A604" s="39" t="s">
        <v>284</v>
      </c>
      <c r="B604" s="39" t="s">
        <v>3559</v>
      </c>
      <c r="C604" s="39" t="str">
        <f t="shared" si="15"/>
        <v>CURALİ/YOZGAT</v>
      </c>
      <c r="D604" s="39" t="s">
        <v>2236</v>
      </c>
      <c r="E604"/>
    </row>
    <row r="605" spans="1:5" x14ac:dyDescent="0.25">
      <c r="A605" s="39" t="s">
        <v>284</v>
      </c>
      <c r="B605" s="39" t="s">
        <v>3581</v>
      </c>
      <c r="C605" s="39" t="str">
        <f t="shared" si="15"/>
        <v>UZUNLU/YOZGAT</v>
      </c>
      <c r="D605" s="39" t="s">
        <v>387</v>
      </c>
      <c r="E605"/>
    </row>
    <row r="606" spans="1:5" x14ac:dyDescent="0.25">
      <c r="A606" s="39" t="s">
        <v>284</v>
      </c>
      <c r="B606" s="39" t="s">
        <v>2981</v>
      </c>
      <c r="C606" s="39" t="str">
        <f t="shared" si="15"/>
        <v>OVAKENT/YOZGAT</v>
      </c>
      <c r="D606" s="39" t="s">
        <v>387</v>
      </c>
      <c r="E606"/>
    </row>
    <row r="607" spans="1:5" x14ac:dyDescent="0.25">
      <c r="A607" s="39" t="s">
        <v>284</v>
      </c>
      <c r="B607" s="39" t="s">
        <v>1791</v>
      </c>
      <c r="C607" s="39" t="str">
        <f t="shared" si="15"/>
        <v>HALIKÖY/YOZGAT</v>
      </c>
      <c r="D607" s="39" t="s">
        <v>691</v>
      </c>
    </row>
    <row r="608" spans="1:5" x14ac:dyDescent="0.25">
      <c r="A608" s="39" t="s">
        <v>284</v>
      </c>
      <c r="B608" s="39" t="s">
        <v>3595</v>
      </c>
      <c r="C608" s="39" t="str">
        <f t="shared" si="15"/>
        <v>OZAN/YOZGAT</v>
      </c>
      <c r="D608" s="39" t="s">
        <v>2314</v>
      </c>
    </row>
    <row r="609" spans="1:4" x14ac:dyDescent="0.25">
      <c r="A609" s="39" t="s">
        <v>284</v>
      </c>
      <c r="B609" s="39" t="s">
        <v>2600</v>
      </c>
      <c r="C609" s="39" t="str">
        <f t="shared" si="15"/>
        <v>DOĞANKENT/YOZGAT</v>
      </c>
      <c r="D609" s="39" t="s">
        <v>480</v>
      </c>
    </row>
    <row r="610" spans="1:4" x14ac:dyDescent="0.25">
      <c r="A610" s="39" t="s">
        <v>284</v>
      </c>
      <c r="B610" s="39" t="s">
        <v>2304</v>
      </c>
      <c r="C610" s="39" t="str">
        <f t="shared" si="15"/>
        <v>YENİPAZAR/YOZGAT</v>
      </c>
      <c r="D610" s="39" t="s">
        <v>387</v>
      </c>
    </row>
    <row r="611" spans="1:4" x14ac:dyDescent="0.25">
      <c r="A611" s="39" t="s">
        <v>284</v>
      </c>
      <c r="B611" s="39" t="s">
        <v>3605</v>
      </c>
      <c r="C611" s="39" t="str">
        <f t="shared" si="15"/>
        <v>UMUTLU/YOZGAT</v>
      </c>
      <c r="D611" s="39" t="s">
        <v>2181</v>
      </c>
    </row>
    <row r="612" spans="1:4" x14ac:dyDescent="0.25">
      <c r="A612" s="39" t="s">
        <v>284</v>
      </c>
      <c r="B612" s="39" t="s">
        <v>3604</v>
      </c>
      <c r="C612" s="39" t="str">
        <f t="shared" si="15"/>
        <v>SARIKENT/YOZGAT</v>
      </c>
      <c r="D612" s="39" t="s">
        <v>2259</v>
      </c>
    </row>
    <row r="613" spans="1:4" x14ac:dyDescent="0.25">
      <c r="A613" s="24" t="s">
        <v>149</v>
      </c>
      <c r="B613" s="24" t="s">
        <v>3188</v>
      </c>
      <c r="C613" s="44" t="str">
        <f t="shared" si="15"/>
        <v>HİSARÖNÜ/ZONGULDAK</v>
      </c>
      <c r="D613" s="44" t="s">
        <v>285</v>
      </c>
    </row>
    <row r="614" spans="1:4" x14ac:dyDescent="0.25">
      <c r="A614" s="44" t="s">
        <v>149</v>
      </c>
      <c r="B614" s="44" t="s">
        <v>3169</v>
      </c>
      <c r="C614" s="44" t="str">
        <f t="shared" si="15"/>
        <v>SİVRİLER/ZONGULDAK</v>
      </c>
      <c r="D614" s="44" t="s">
        <v>346</v>
      </c>
    </row>
    <row r="615" spans="1:4" x14ac:dyDescent="0.25">
      <c r="A615" s="44" t="s">
        <v>149</v>
      </c>
      <c r="B615" s="44" t="s">
        <v>3128</v>
      </c>
      <c r="C615" s="44" t="str">
        <f t="shared" si="15"/>
        <v>ÖZBAĞI/ZONGULDAK</v>
      </c>
      <c r="D615" s="44" t="s">
        <v>255</v>
      </c>
    </row>
    <row r="616" spans="1:4" x14ac:dyDescent="0.25">
      <c r="A616" s="39" t="s">
        <v>149</v>
      </c>
      <c r="B616" s="39" t="s">
        <v>3408</v>
      </c>
      <c r="C616" s="44" t="str">
        <f t="shared" si="15"/>
        <v>HACIMUSA/ZONGULDAK</v>
      </c>
      <c r="D616" s="39" t="s">
        <v>694</v>
      </c>
    </row>
    <row r="617" spans="1:4" x14ac:dyDescent="0.25">
      <c r="A617" s="39" t="s">
        <v>149</v>
      </c>
      <c r="B617" s="39" t="s">
        <v>676</v>
      </c>
      <c r="C617" s="39" t="str">
        <f t="shared" si="15"/>
        <v>PERŞEMBE/ZONGULDAK</v>
      </c>
      <c r="D617" s="39" t="s">
        <v>285</v>
      </c>
    </row>
    <row r="618" spans="1:4" x14ac:dyDescent="0.25">
      <c r="A618" s="39" t="s">
        <v>149</v>
      </c>
      <c r="B618" s="39" t="s">
        <v>2245</v>
      </c>
      <c r="C618" s="39" t="str">
        <f t="shared" si="15"/>
        <v>GÜLÜÇ/ZONGULDAK</v>
      </c>
      <c r="D618" s="39" t="s">
        <v>119</v>
      </c>
    </row>
    <row r="619" spans="1:4" x14ac:dyDescent="0.25">
      <c r="A619" s="39" t="s">
        <v>149</v>
      </c>
      <c r="B619" s="39" t="s">
        <v>2255</v>
      </c>
      <c r="C619" s="39" t="str">
        <f t="shared" si="15"/>
        <v>ORMANLI/ZONGULDAK</v>
      </c>
      <c r="D619" s="39" t="s">
        <v>119</v>
      </c>
    </row>
    <row r="620" spans="1:4" x14ac:dyDescent="0.25">
      <c r="A620" s="39" t="s">
        <v>149</v>
      </c>
      <c r="B620" s="39" t="s">
        <v>3466</v>
      </c>
      <c r="C620" s="39" t="str">
        <f t="shared" si="15"/>
        <v>MUSLU/ZONGULDAK</v>
      </c>
      <c r="D620" s="39" t="s">
        <v>2253</v>
      </c>
    </row>
    <row r="621" spans="1:4" x14ac:dyDescent="0.25">
      <c r="A621" s="39" t="s">
        <v>149</v>
      </c>
      <c r="B621" s="39" t="s">
        <v>2400</v>
      </c>
      <c r="C621" s="39" t="str">
        <f t="shared" si="15"/>
        <v>ÇAYDEĞİRMENİ/ZONGULDAK</v>
      </c>
      <c r="D621" s="39" t="s">
        <v>255</v>
      </c>
    </row>
    <row r="622" spans="1:4" x14ac:dyDescent="0.25">
      <c r="A622" s="39" t="s">
        <v>149</v>
      </c>
      <c r="B622" s="39" t="s">
        <v>3460</v>
      </c>
      <c r="C622" s="39" t="str">
        <f t="shared" si="15"/>
        <v>GELİK/ZONGULDAK</v>
      </c>
      <c r="D622" s="39" t="s">
        <v>2253</v>
      </c>
    </row>
    <row r="623" spans="1:4" x14ac:dyDescent="0.25">
      <c r="A623" s="39" t="s">
        <v>149</v>
      </c>
      <c r="B623" s="39" t="s">
        <v>3444</v>
      </c>
      <c r="C623" s="39" t="str">
        <f t="shared" si="15"/>
        <v>NEBİOĞLU/ZONGULDAK</v>
      </c>
      <c r="D623" s="39" t="s">
        <v>285</v>
      </c>
    </row>
    <row r="624" spans="1:4" x14ac:dyDescent="0.25">
      <c r="A624" s="39" t="s">
        <v>149</v>
      </c>
      <c r="B624" s="39" t="s">
        <v>2112</v>
      </c>
      <c r="C624" s="39" t="str">
        <f t="shared" si="15"/>
        <v>BEYCUMA/ZONGULDAK</v>
      </c>
      <c r="D624" s="39" t="s">
        <v>34</v>
      </c>
    </row>
    <row r="625" spans="1:6" x14ac:dyDescent="0.25">
      <c r="A625" s="39" t="s">
        <v>149</v>
      </c>
      <c r="B625" s="39" t="s">
        <v>3394</v>
      </c>
      <c r="C625" s="39" t="str">
        <f t="shared" si="15"/>
        <v>GÜMELİ/ZONGULDAK</v>
      </c>
      <c r="D625" s="39" t="s">
        <v>693</v>
      </c>
    </row>
    <row r="626" spans="1:6" x14ac:dyDescent="0.25">
      <c r="A626" s="39" t="s">
        <v>149</v>
      </c>
      <c r="B626" s="39" t="s">
        <v>2657</v>
      </c>
      <c r="C626" s="39" t="str">
        <f t="shared" si="15"/>
        <v>SALTUKOVA/ZONGULDAK</v>
      </c>
      <c r="D626" s="39" t="s">
        <v>285</v>
      </c>
    </row>
    <row r="627" spans="1:6" x14ac:dyDescent="0.25">
      <c r="A627" s="39" t="s">
        <v>149</v>
      </c>
      <c r="B627" s="39" t="s">
        <v>456</v>
      </c>
      <c r="C627" s="39" t="str">
        <f t="shared" si="15"/>
        <v>KARAPINAR/ZONGULDAK</v>
      </c>
      <c r="D627" s="39" t="s">
        <v>34</v>
      </c>
    </row>
    <row r="628" spans="1:6" x14ac:dyDescent="0.25">
      <c r="A628" s="39" t="s">
        <v>149</v>
      </c>
      <c r="B628" s="39" t="s">
        <v>81</v>
      </c>
      <c r="C628" s="39" t="str">
        <f t="shared" ref="C628:C691" si="16">CONCATENATE(B628,"/",A628)</f>
        <v>KARAMAN/ZONGULDAK</v>
      </c>
      <c r="D628" s="39" t="s">
        <v>34</v>
      </c>
    </row>
    <row r="629" spans="1:6" x14ac:dyDescent="0.25">
      <c r="A629" s="39" t="s">
        <v>149</v>
      </c>
      <c r="B629" s="39" t="s">
        <v>3187</v>
      </c>
      <c r="C629" s="39" t="str">
        <f t="shared" si="16"/>
        <v>ELVANPAZARCIK/ZONGULDAK</v>
      </c>
      <c r="D629" s="39" t="s">
        <v>34</v>
      </c>
    </row>
    <row r="630" spans="1:6" x14ac:dyDescent="0.25">
      <c r="A630" s="39" t="s">
        <v>2143</v>
      </c>
      <c r="B630" s="39" t="s">
        <v>3660</v>
      </c>
      <c r="C630" s="39" t="str">
        <f t="shared" si="16"/>
        <v>KOÇBEYLİ/AFYONKARAHİSAR</v>
      </c>
      <c r="D630" s="39" t="s">
        <v>497</v>
      </c>
    </row>
    <row r="631" spans="1:6" x14ac:dyDescent="0.25">
      <c r="A631" s="39" t="s">
        <v>358</v>
      </c>
      <c r="B631" s="39" t="s">
        <v>150</v>
      </c>
      <c r="C631" s="39" t="str">
        <f t="shared" si="16"/>
        <v>GÖLBAŞI/BİTLİS</v>
      </c>
      <c r="D631" s="39" t="s">
        <v>2246</v>
      </c>
    </row>
    <row r="632" spans="1:6" x14ac:dyDescent="0.25">
      <c r="A632" s="39" t="s">
        <v>184</v>
      </c>
      <c r="B632" s="39" t="s">
        <v>3661</v>
      </c>
      <c r="C632" s="39" t="str">
        <f t="shared" si="16"/>
        <v>ELMALIK/ÇANKIRI</v>
      </c>
      <c r="D632" s="39" t="s">
        <v>544</v>
      </c>
      <c r="F632" s="40">
        <f>IFERROR(VLOOKUP(A632,'Büyükşehir List'!$C$2:$D$31,2,FALSE),0)</f>
        <v>0</v>
      </c>
    </row>
    <row r="633" spans="1:6" x14ac:dyDescent="0.25">
      <c r="A633" s="39" t="s">
        <v>59</v>
      </c>
      <c r="B633" s="39" t="s">
        <v>3663</v>
      </c>
      <c r="C633" s="39" t="str">
        <f t="shared" si="16"/>
        <v>SULTAN/EDİRNE</v>
      </c>
      <c r="D633" s="39" t="s">
        <v>330</v>
      </c>
    </row>
    <row r="634" spans="1:6" x14ac:dyDescent="0.25">
      <c r="A634" s="39" t="s">
        <v>247</v>
      </c>
      <c r="B634" s="39" t="s">
        <v>3602</v>
      </c>
      <c r="C634" s="39" t="str">
        <f t="shared" si="16"/>
        <v>GÜMÜŞGÖZE/GÜMÜŞHANE</v>
      </c>
      <c r="D634" s="39" t="s">
        <v>2250</v>
      </c>
    </row>
    <row r="635" spans="1:6" x14ac:dyDescent="0.25">
      <c r="A635" s="39" t="s">
        <v>144</v>
      </c>
      <c r="B635" s="39" t="s">
        <v>3664</v>
      </c>
      <c r="C635" s="39" t="str">
        <f t="shared" si="16"/>
        <v>AŞAĞIHOMURLU/KIRŞEHİR</v>
      </c>
      <c r="D635" s="39" t="s">
        <v>2057</v>
      </c>
    </row>
    <row r="636" spans="1:6" x14ac:dyDescent="0.25">
      <c r="A636" s="39" t="s">
        <v>76</v>
      </c>
      <c r="B636" s="39" t="s">
        <v>3658</v>
      </c>
      <c r="C636" s="39" t="str">
        <f t="shared" si="16"/>
        <v>YUNUSLAR/KÜTAHYA</v>
      </c>
      <c r="D636" s="39" t="s">
        <v>307</v>
      </c>
    </row>
    <row r="637" spans="1:6" x14ac:dyDescent="0.25">
      <c r="A637" s="39" t="s">
        <v>188</v>
      </c>
      <c r="B637" s="39" t="s">
        <v>3298</v>
      </c>
      <c r="C637" s="39" t="str">
        <f t="shared" si="16"/>
        <v>ÇIKRIK/TOKAT</v>
      </c>
      <c r="D637" s="39" t="s">
        <v>376</v>
      </c>
    </row>
    <row r="638" spans="1:6" x14ac:dyDescent="0.25">
      <c r="A638" s="39" t="s">
        <v>188</v>
      </c>
      <c r="B638" s="39" t="s">
        <v>3665</v>
      </c>
      <c r="C638" s="39" t="str">
        <f t="shared" si="16"/>
        <v>BAĞTAŞI/TOKAT</v>
      </c>
      <c r="D638" s="39" t="s">
        <v>2159</v>
      </c>
    </row>
    <row r="639" spans="1:6" x14ac:dyDescent="0.25">
      <c r="A639" s="39" t="s">
        <v>311</v>
      </c>
      <c r="B639" s="39" t="s">
        <v>3666</v>
      </c>
      <c r="C639" s="39" t="str">
        <f t="shared" si="16"/>
        <v>AKPAZAR/TUNCELİ</v>
      </c>
      <c r="D639" s="39" t="s">
        <v>2679</v>
      </c>
    </row>
    <row r="640" spans="1:6" x14ac:dyDescent="0.25">
      <c r="A640" s="39" t="s">
        <v>2143</v>
      </c>
      <c r="B640" s="39" t="s">
        <v>3668</v>
      </c>
      <c r="C640" s="39" t="str">
        <f t="shared" si="16"/>
        <v>BOZHÜYÜK/AFYONKARAHİSAR</v>
      </c>
      <c r="D640" s="39" t="s">
        <v>501</v>
      </c>
    </row>
    <row r="641" spans="1:6" x14ac:dyDescent="0.25">
      <c r="A641" s="39" t="s">
        <v>2143</v>
      </c>
      <c r="B641" s="39" t="s">
        <v>3667</v>
      </c>
      <c r="C641" s="39" t="str">
        <f t="shared" si="16"/>
        <v>ALTIHİSAR/AFYONKARAHİSAR</v>
      </c>
      <c r="D641" s="39" t="s">
        <v>2260</v>
      </c>
    </row>
    <row r="642" spans="1:6" x14ac:dyDescent="0.25">
      <c r="A642" s="39" t="s">
        <v>2143</v>
      </c>
      <c r="B642" s="39" t="s">
        <v>3652</v>
      </c>
      <c r="C642" s="39" t="str">
        <f t="shared" si="16"/>
        <v>KARACAÖREN(ŞUHUT)/AFYONKARAHİSAR</v>
      </c>
      <c r="D642" s="39" t="s">
        <v>2260</v>
      </c>
    </row>
    <row r="643" spans="1:6" x14ac:dyDescent="0.25">
      <c r="A643" s="39" t="s">
        <v>2143</v>
      </c>
      <c r="B643" s="39" t="s">
        <v>3670</v>
      </c>
      <c r="C643" s="39" t="str">
        <f t="shared" si="16"/>
        <v>KAYABELEN/AFYONKARAHİSAR</v>
      </c>
      <c r="D643" s="39" t="s">
        <v>2260</v>
      </c>
    </row>
    <row r="644" spans="1:6" x14ac:dyDescent="0.25">
      <c r="A644" s="39" t="s">
        <v>2143</v>
      </c>
      <c r="B644" s="39" t="s">
        <v>3671</v>
      </c>
      <c r="C644" s="39" t="str">
        <f t="shared" si="16"/>
        <v>TAŞOLUK/AFYONKARAHİSAR</v>
      </c>
      <c r="D644" s="39" t="s">
        <v>2305</v>
      </c>
    </row>
    <row r="645" spans="1:6" x14ac:dyDescent="0.25">
      <c r="A645" s="39" t="s">
        <v>38</v>
      </c>
      <c r="B645" s="39" t="s">
        <v>3672</v>
      </c>
      <c r="C645" s="39" t="str">
        <f t="shared" si="16"/>
        <v>GEDİKSARAY/AMASYA</v>
      </c>
      <c r="D645" s="39" t="s">
        <v>2624</v>
      </c>
    </row>
    <row r="646" spans="1:6" x14ac:dyDescent="0.25">
      <c r="A646" s="39" t="s">
        <v>184</v>
      </c>
      <c r="B646" s="39" t="s">
        <v>3264</v>
      </c>
      <c r="C646" s="39" t="str">
        <f t="shared" si="16"/>
        <v>DODURGA/ÇANKIRI</v>
      </c>
      <c r="D646" s="39" t="s">
        <v>544</v>
      </c>
      <c r="F646" s="40">
        <f>IFERROR(VLOOKUP(A646,'Büyükşehir List'!$C$2:$D$31,2,FALSE),0)</f>
        <v>0</v>
      </c>
    </row>
    <row r="647" spans="1:6" x14ac:dyDescent="0.25">
      <c r="A647" s="39" t="s">
        <v>170</v>
      </c>
      <c r="B647" s="39" t="s">
        <v>3673</v>
      </c>
      <c r="C647" s="39" t="str">
        <f t="shared" si="16"/>
        <v>AŞDAĞUL/ÇORUM</v>
      </c>
      <c r="D647" s="39" t="s">
        <v>349</v>
      </c>
    </row>
    <row r="648" spans="1:6" x14ac:dyDescent="0.25">
      <c r="A648" s="39" t="s">
        <v>170</v>
      </c>
      <c r="B648" s="39" t="s">
        <v>3662</v>
      </c>
      <c r="C648" s="39" t="str">
        <f t="shared" si="16"/>
        <v>BOĞAZKALE/ÇORUM</v>
      </c>
      <c r="D648" s="39" t="s">
        <v>34</v>
      </c>
    </row>
    <row r="649" spans="1:6" x14ac:dyDescent="0.25">
      <c r="A649" s="39" t="s">
        <v>59</v>
      </c>
      <c r="B649" s="39" t="s">
        <v>3674</v>
      </c>
      <c r="C649" s="39" t="str">
        <f t="shared" si="16"/>
        <v>YENİKARPUZLU/EDİRNE</v>
      </c>
      <c r="D649" s="39" t="s">
        <v>330</v>
      </c>
    </row>
    <row r="650" spans="1:6" x14ac:dyDescent="0.25">
      <c r="A650" s="39" t="s">
        <v>204</v>
      </c>
      <c r="B650" s="39" t="s">
        <v>3675</v>
      </c>
      <c r="C650" s="39" t="str">
        <f t="shared" si="16"/>
        <v>HANÖNÜ/KASTAMONU</v>
      </c>
      <c r="D650" s="39" t="s">
        <v>34</v>
      </c>
    </row>
    <row r="651" spans="1:6" x14ac:dyDescent="0.25">
      <c r="A651" s="39" t="s">
        <v>76</v>
      </c>
      <c r="B651" s="39" t="s">
        <v>3676</v>
      </c>
      <c r="C651" s="39" t="str">
        <f t="shared" si="16"/>
        <v>ESKİGEDİZ/KÜTAHYA</v>
      </c>
      <c r="D651" s="39" t="s">
        <v>307</v>
      </c>
    </row>
    <row r="652" spans="1:6" x14ac:dyDescent="0.25">
      <c r="A652" s="39" t="s">
        <v>76</v>
      </c>
      <c r="B652" s="39" t="s">
        <v>3677</v>
      </c>
      <c r="C652" s="39" t="str">
        <f t="shared" si="16"/>
        <v>FIRDAN/KÜTAHYA</v>
      </c>
      <c r="D652" s="39" t="s">
        <v>307</v>
      </c>
    </row>
    <row r="653" spans="1:6" x14ac:dyDescent="0.25">
      <c r="A653" s="39" t="s">
        <v>76</v>
      </c>
      <c r="B653" s="39" t="s">
        <v>3261</v>
      </c>
      <c r="C653" s="39" t="str">
        <f t="shared" si="16"/>
        <v>GÜNEY/KÜTAHYA</v>
      </c>
      <c r="D653" s="39" t="s">
        <v>458</v>
      </c>
    </row>
    <row r="654" spans="1:6" x14ac:dyDescent="0.25">
      <c r="A654" s="39" t="s">
        <v>131</v>
      </c>
      <c r="B654" s="39" t="s">
        <v>3678</v>
      </c>
      <c r="C654" s="39" t="str">
        <f t="shared" si="16"/>
        <v>HEMŞİN/RİZE</v>
      </c>
      <c r="D654" s="39" t="s">
        <v>34</v>
      </c>
    </row>
    <row r="655" spans="1:6" x14ac:dyDescent="0.25">
      <c r="A655" s="39" t="s">
        <v>13</v>
      </c>
      <c r="B655" s="39" t="s">
        <v>3679</v>
      </c>
      <c r="C655" s="39" t="str">
        <f t="shared" si="16"/>
        <v>OMURCA/UŞAK</v>
      </c>
      <c r="D655" s="39" t="s">
        <v>2418</v>
      </c>
    </row>
    <row r="656" spans="1:6" x14ac:dyDescent="0.25">
      <c r="A656" s="39" t="s">
        <v>284</v>
      </c>
      <c r="B656" s="39" t="s">
        <v>3680</v>
      </c>
      <c r="C656" s="39" t="str">
        <f t="shared" si="16"/>
        <v>ÇOKRADAN/YOZGAT</v>
      </c>
      <c r="D656" s="39" t="s">
        <v>2236</v>
      </c>
    </row>
    <row r="657" spans="1:6" x14ac:dyDescent="0.25">
      <c r="A657" s="39" t="s">
        <v>2143</v>
      </c>
      <c r="B657" s="39" t="s">
        <v>2713</v>
      </c>
      <c r="C657" s="39" t="str">
        <f t="shared" si="16"/>
        <v>TINAZTEPE/AFYONKARAHİSAR</v>
      </c>
      <c r="D657" s="39" t="s">
        <v>2305</v>
      </c>
    </row>
    <row r="658" spans="1:6" x14ac:dyDescent="0.25">
      <c r="A658" s="39" t="s">
        <v>2143</v>
      </c>
      <c r="B658" s="39" t="s">
        <v>3669</v>
      </c>
      <c r="C658" s="39" t="str">
        <f t="shared" si="16"/>
        <v>DÖĞER/AFYONKARAHİSAR</v>
      </c>
      <c r="D658" s="39" t="s">
        <v>501</v>
      </c>
    </row>
    <row r="659" spans="1:6" x14ac:dyDescent="0.25">
      <c r="A659" s="39" t="s">
        <v>69</v>
      </c>
      <c r="B659" s="39" t="s">
        <v>3681</v>
      </c>
      <c r="C659" s="39" t="str">
        <f t="shared" si="16"/>
        <v>BAĞSARAY/BURDUR</v>
      </c>
      <c r="D659" s="39" t="s">
        <v>2109</v>
      </c>
    </row>
    <row r="660" spans="1:6" x14ac:dyDescent="0.25">
      <c r="A660" s="39" t="s">
        <v>135</v>
      </c>
      <c r="B660" s="39" t="s">
        <v>3682</v>
      </c>
      <c r="C660" s="39" t="str">
        <f t="shared" si="16"/>
        <v>GÜNEYKAYA/SİVAS</v>
      </c>
      <c r="D660" s="39" t="s">
        <v>2396</v>
      </c>
    </row>
    <row r="661" spans="1:6" x14ac:dyDescent="0.25">
      <c r="A661" s="39" t="s">
        <v>284</v>
      </c>
      <c r="B661" s="39" t="s">
        <v>3683</v>
      </c>
      <c r="C661" s="39" t="str">
        <f t="shared" si="16"/>
        <v>KÖSRELİK/YOZGAT</v>
      </c>
      <c r="D661" s="39" t="s">
        <v>659</v>
      </c>
    </row>
    <row r="662" spans="1:6" x14ac:dyDescent="0.25">
      <c r="A662" s="39" t="s">
        <v>2143</v>
      </c>
      <c r="B662" s="39" t="s">
        <v>3685</v>
      </c>
      <c r="C662" s="39" t="str">
        <f t="shared" si="16"/>
        <v>KOCAÖZ/AFYONKARAHİSAR</v>
      </c>
      <c r="D662" s="39" t="s">
        <v>498</v>
      </c>
    </row>
    <row r="663" spans="1:6" x14ac:dyDescent="0.25">
      <c r="A663" s="39" t="s">
        <v>2143</v>
      </c>
      <c r="B663" s="39" t="s">
        <v>2681</v>
      </c>
      <c r="C663" s="39" t="str">
        <f t="shared" si="16"/>
        <v>KILINÇARSLAN/AFYONKARAHİSAR</v>
      </c>
      <c r="D663" s="39" t="s">
        <v>2305</v>
      </c>
    </row>
    <row r="664" spans="1:6" x14ac:dyDescent="0.25">
      <c r="A664" s="39" t="s">
        <v>2</v>
      </c>
      <c r="B664" s="39" t="s">
        <v>3686</v>
      </c>
      <c r="C664" s="39" t="str">
        <f t="shared" si="16"/>
        <v>DAMAR/ARTVİN</v>
      </c>
      <c r="D664" s="39" t="s">
        <v>516</v>
      </c>
    </row>
    <row r="665" spans="1:6" x14ac:dyDescent="0.25">
      <c r="A665" s="39" t="s">
        <v>67</v>
      </c>
      <c r="B665" s="39" t="s">
        <v>215</v>
      </c>
      <c r="C665" s="39" t="str">
        <f t="shared" si="16"/>
        <v>KUMLUCA/BARTIN</v>
      </c>
      <c r="D665" s="39" t="s">
        <v>1816</v>
      </c>
    </row>
    <row r="666" spans="1:6" x14ac:dyDescent="0.25">
      <c r="A666" s="39" t="s">
        <v>184</v>
      </c>
      <c r="B666" s="39" t="s">
        <v>2203</v>
      </c>
      <c r="C666" s="39" t="str">
        <f t="shared" si="16"/>
        <v>ÇARDAKLI/ÇANKIRI</v>
      </c>
      <c r="D666" s="39" t="s">
        <v>2322</v>
      </c>
      <c r="F666" s="40">
        <f>IFERROR(VLOOKUP(A666,'Büyükşehir List'!$C$2:$D$31,2,FALSE),0)</f>
        <v>0</v>
      </c>
    </row>
    <row r="667" spans="1:6" x14ac:dyDescent="0.25">
      <c r="A667" s="39" t="s">
        <v>76</v>
      </c>
      <c r="B667" s="39" t="s">
        <v>3688</v>
      </c>
      <c r="C667" s="39" t="str">
        <f t="shared" si="16"/>
        <v>ÇERTE/KÜTAHYA</v>
      </c>
      <c r="D667" s="39" t="s">
        <v>2397</v>
      </c>
    </row>
    <row r="668" spans="1:6" x14ac:dyDescent="0.25">
      <c r="A668" s="39" t="s">
        <v>76</v>
      </c>
      <c r="B668" s="39" t="s">
        <v>3687</v>
      </c>
      <c r="C668" s="39" t="str">
        <f t="shared" si="16"/>
        <v>BEYCE/KÜTAHYA</v>
      </c>
      <c r="D668" s="39" t="s">
        <v>458</v>
      </c>
    </row>
    <row r="669" spans="1:6" x14ac:dyDescent="0.25">
      <c r="A669" s="39" t="s">
        <v>221</v>
      </c>
      <c r="B669" s="39" t="s">
        <v>3690</v>
      </c>
      <c r="C669" s="39" t="str">
        <f t="shared" si="16"/>
        <v>KARAAĞAÇLI/MUŞ</v>
      </c>
      <c r="D669" s="39" t="s">
        <v>34</v>
      </c>
    </row>
    <row r="670" spans="1:6" x14ac:dyDescent="0.25">
      <c r="A670" s="39" t="s">
        <v>221</v>
      </c>
      <c r="B670" s="39" t="s">
        <v>3689</v>
      </c>
      <c r="C670" s="39" t="str">
        <f t="shared" si="16"/>
        <v>GÜLKORU/MUŞ</v>
      </c>
      <c r="D670" s="39" t="s">
        <v>2326</v>
      </c>
    </row>
    <row r="671" spans="1:6" x14ac:dyDescent="0.25">
      <c r="A671" s="39" t="s">
        <v>191</v>
      </c>
      <c r="B671" s="39" t="s">
        <v>3691</v>
      </c>
      <c r="C671" s="39" t="str">
        <f t="shared" si="16"/>
        <v>İNALLI/NEVŞEHİR</v>
      </c>
      <c r="D671" s="39" t="s">
        <v>2402</v>
      </c>
    </row>
    <row r="672" spans="1:6" x14ac:dyDescent="0.25">
      <c r="A672" s="39" t="s">
        <v>284</v>
      </c>
      <c r="B672" s="39" t="s">
        <v>2248</v>
      </c>
      <c r="C672" s="39" t="str">
        <f t="shared" si="16"/>
        <v>KARAYAKUP/YOZGAT</v>
      </c>
      <c r="D672" s="39" t="s">
        <v>2161</v>
      </c>
    </row>
    <row r="673" spans="1:4" x14ac:dyDescent="0.25">
      <c r="A673" s="39" t="s">
        <v>284</v>
      </c>
      <c r="B673" s="39" t="s">
        <v>3692</v>
      </c>
      <c r="C673" s="39" t="str">
        <f t="shared" si="16"/>
        <v>OLUKÖZÜ/YOZGAT</v>
      </c>
      <c r="D673" s="39" t="s">
        <v>2181</v>
      </c>
    </row>
    <row r="674" spans="1:4" x14ac:dyDescent="0.25">
      <c r="A674" s="39" t="s">
        <v>284</v>
      </c>
      <c r="B674" s="39" t="s">
        <v>3442</v>
      </c>
      <c r="C674" s="39" t="str">
        <f t="shared" si="16"/>
        <v>ÇİÇEKLİ/YOZGAT</v>
      </c>
      <c r="D674" s="39" t="s">
        <v>2314</v>
      </c>
    </row>
    <row r="675" spans="1:4" x14ac:dyDescent="0.25">
      <c r="A675" s="39" t="s">
        <v>149</v>
      </c>
      <c r="B675" s="39" t="s">
        <v>2132</v>
      </c>
      <c r="C675" s="39" t="str">
        <f t="shared" si="16"/>
        <v>BAKACAKKADI/ZONGULDAK</v>
      </c>
      <c r="D675" s="39" t="s">
        <v>694</v>
      </c>
    </row>
    <row r="676" spans="1:4" x14ac:dyDescent="0.25">
      <c r="A676" s="39" t="s">
        <v>194</v>
      </c>
      <c r="B676" s="39" t="s">
        <v>3694</v>
      </c>
      <c r="C676" s="39" t="str">
        <f t="shared" si="16"/>
        <v>SELİME/AKSARAY</v>
      </c>
      <c r="D676" s="39" t="s">
        <v>2395</v>
      </c>
    </row>
    <row r="677" spans="1:4" x14ac:dyDescent="0.25">
      <c r="A677" s="39" t="s">
        <v>59</v>
      </c>
      <c r="B677" s="39" t="s">
        <v>339</v>
      </c>
      <c r="C677" s="39" t="str">
        <f t="shared" si="16"/>
        <v>SUBAŞI/EDİRNE</v>
      </c>
      <c r="D677" s="39" t="s">
        <v>565</v>
      </c>
    </row>
    <row r="678" spans="1:4" x14ac:dyDescent="0.25">
      <c r="A678" s="39" t="s">
        <v>76</v>
      </c>
      <c r="B678" s="39" t="s">
        <v>3696</v>
      </c>
      <c r="C678" s="39" t="str">
        <f t="shared" si="16"/>
        <v>YAYKIN/KÜTAHYA</v>
      </c>
      <c r="D678" s="39" t="s">
        <v>458</v>
      </c>
    </row>
    <row r="679" spans="1:4" x14ac:dyDescent="0.25">
      <c r="A679" s="39" t="s">
        <v>76</v>
      </c>
      <c r="B679" s="39" t="s">
        <v>3656</v>
      </c>
      <c r="C679" s="39" t="str">
        <f t="shared" si="16"/>
        <v>KELEMYENİCE/KÜTAHYA</v>
      </c>
      <c r="D679" s="39" t="s">
        <v>458</v>
      </c>
    </row>
    <row r="680" spans="1:4" x14ac:dyDescent="0.25">
      <c r="A680" s="39" t="s">
        <v>221</v>
      </c>
      <c r="B680" s="39" t="s">
        <v>3697</v>
      </c>
      <c r="C680" s="39" t="str">
        <f t="shared" si="16"/>
        <v>KONAKKURAN/MUŞ</v>
      </c>
      <c r="D680" s="39" t="s">
        <v>2326</v>
      </c>
    </row>
    <row r="681" spans="1:4" x14ac:dyDescent="0.25">
      <c r="A681" s="39" t="s">
        <v>221</v>
      </c>
      <c r="B681" s="39" t="s">
        <v>2812</v>
      </c>
      <c r="C681" s="39" t="str">
        <f t="shared" si="16"/>
        <v>SUNGU/MUŞ</v>
      </c>
      <c r="D681" s="39" t="s">
        <v>34</v>
      </c>
    </row>
    <row r="682" spans="1:4" x14ac:dyDescent="0.25">
      <c r="A682" s="39" t="s">
        <v>188</v>
      </c>
      <c r="B682" s="39" t="s">
        <v>3388</v>
      </c>
      <c r="C682" s="39" t="str">
        <f t="shared" si="16"/>
        <v>HATİPLİ/TOKAT</v>
      </c>
      <c r="D682" s="39" t="s">
        <v>34</v>
      </c>
    </row>
    <row r="683" spans="1:4" x14ac:dyDescent="0.25">
      <c r="A683" s="39" t="s">
        <v>13</v>
      </c>
      <c r="B683" s="39" t="s">
        <v>610</v>
      </c>
      <c r="C683" s="39" t="str">
        <f t="shared" si="16"/>
        <v>PINARBAŞI/UŞAK</v>
      </c>
      <c r="D683" s="39" t="s">
        <v>2003</v>
      </c>
    </row>
    <row r="684" spans="1:4" x14ac:dyDescent="0.25">
      <c r="A684" s="39" t="s">
        <v>13</v>
      </c>
      <c r="B684" s="39" t="s">
        <v>3698</v>
      </c>
      <c r="C684" s="39" t="str">
        <f t="shared" si="16"/>
        <v>SELÇİKLER/UŞAK</v>
      </c>
      <c r="D684" s="39" t="s">
        <v>2003</v>
      </c>
    </row>
    <row r="685" spans="1:4" x14ac:dyDescent="0.25">
      <c r="A685" s="39" t="s">
        <v>284</v>
      </c>
      <c r="B685" s="39" t="s">
        <v>3699</v>
      </c>
      <c r="C685" s="39" t="str">
        <f t="shared" si="16"/>
        <v>KAZANKAYA/YOZGAT</v>
      </c>
      <c r="D685" s="39" t="s">
        <v>659</v>
      </c>
    </row>
    <row r="686" spans="1:4" x14ac:dyDescent="0.25">
      <c r="A686" s="39" t="s">
        <v>2143</v>
      </c>
      <c r="B686" s="39" t="s">
        <v>3700</v>
      </c>
      <c r="C686" s="39" t="str">
        <f t="shared" si="16"/>
        <v>KAYIHAN/AFYONKARAHİSAR</v>
      </c>
      <c r="D686" s="39" t="s">
        <v>501</v>
      </c>
    </row>
    <row r="687" spans="1:4" x14ac:dyDescent="0.25">
      <c r="A687" s="39" t="s">
        <v>161</v>
      </c>
      <c r="B687" s="39" t="s">
        <v>3701</v>
      </c>
      <c r="C687" s="39" t="str">
        <f t="shared" si="16"/>
        <v>BALTAŞI/ELAZIĞ</v>
      </c>
      <c r="D687" s="39" t="s">
        <v>569</v>
      </c>
    </row>
    <row r="688" spans="1:4" x14ac:dyDescent="0.25">
      <c r="A688" s="39" t="s">
        <v>247</v>
      </c>
      <c r="B688" s="39" t="s">
        <v>3695</v>
      </c>
      <c r="C688" s="39" t="str">
        <f t="shared" si="16"/>
        <v>SALYAZI/GÜMÜŞHANE</v>
      </c>
      <c r="D688" s="39" t="s">
        <v>2678</v>
      </c>
    </row>
    <row r="689" spans="1:4" x14ac:dyDescent="0.25">
      <c r="A689" s="39" t="s">
        <v>76</v>
      </c>
      <c r="B689" s="39" t="s">
        <v>504</v>
      </c>
      <c r="C689" s="39" t="str">
        <f t="shared" si="16"/>
        <v>DEMİRCİ/KÜTAHYA</v>
      </c>
      <c r="D689" s="39" t="s">
        <v>458</v>
      </c>
    </row>
    <row r="690" spans="1:4" x14ac:dyDescent="0.25">
      <c r="A690" s="39" t="s">
        <v>76</v>
      </c>
      <c r="B690" s="39" t="s">
        <v>3702</v>
      </c>
      <c r="C690" s="39" t="str">
        <f t="shared" si="16"/>
        <v>ÇAYSİMAV/KÜTAHYA</v>
      </c>
      <c r="D690" s="39" t="s">
        <v>458</v>
      </c>
    </row>
    <row r="691" spans="1:4" x14ac:dyDescent="0.25">
      <c r="A691" s="39" t="s">
        <v>2143</v>
      </c>
      <c r="B691" s="39" t="s">
        <v>3703</v>
      </c>
      <c r="C691" s="39" t="str">
        <f t="shared" si="16"/>
        <v>KIRKA/AFYONKARAHİSAR</v>
      </c>
      <c r="D691" s="39" t="s">
        <v>2305</v>
      </c>
    </row>
    <row r="692" spans="1:4" x14ac:dyDescent="0.25">
      <c r="A692" s="39" t="s">
        <v>67</v>
      </c>
      <c r="B692" s="39" t="s">
        <v>1782</v>
      </c>
      <c r="C692" s="39" t="str">
        <f t="shared" ref="C692:C755" si="17">CONCATENATE(B692,"/",A692)</f>
        <v>ABDİPAŞA/BARTIN</v>
      </c>
      <c r="D692" s="39" t="s">
        <v>1816</v>
      </c>
    </row>
    <row r="693" spans="1:4" x14ac:dyDescent="0.25">
      <c r="A693" s="39" t="s">
        <v>163</v>
      </c>
      <c r="B693" s="39" t="s">
        <v>90</v>
      </c>
      <c r="C693" s="39" t="str">
        <f t="shared" si="17"/>
        <v>YENİCE/GİRESUN</v>
      </c>
      <c r="D693" s="39" t="s">
        <v>449</v>
      </c>
    </row>
    <row r="694" spans="1:4" x14ac:dyDescent="0.25">
      <c r="A694" s="39" t="s">
        <v>76</v>
      </c>
      <c r="B694" s="39" t="s">
        <v>3704</v>
      </c>
      <c r="C694" s="39" t="str">
        <f t="shared" si="17"/>
        <v>GÖKLER/KÜTAHYA</v>
      </c>
      <c r="D694" s="39" t="s">
        <v>307</v>
      </c>
    </row>
    <row r="695" spans="1:4" x14ac:dyDescent="0.25">
      <c r="A695" s="39" t="s">
        <v>192</v>
      </c>
      <c r="B695" s="39" t="s">
        <v>3705</v>
      </c>
      <c r="C695" s="39" t="str">
        <f t="shared" si="17"/>
        <v>ÇÖMLEKÇİ/NİĞDE</v>
      </c>
      <c r="D695" s="39" t="s">
        <v>2309</v>
      </c>
    </row>
    <row r="696" spans="1:4" x14ac:dyDescent="0.25">
      <c r="A696" s="39" t="s">
        <v>2143</v>
      </c>
      <c r="B696" s="39" t="s">
        <v>3707</v>
      </c>
      <c r="C696" s="39" t="str">
        <f t="shared" si="17"/>
        <v>KARACAAHMET/AFYONKARAHİSAR</v>
      </c>
      <c r="D696" s="39" t="s">
        <v>501</v>
      </c>
    </row>
    <row r="697" spans="1:4" x14ac:dyDescent="0.25">
      <c r="A697" s="39" t="s">
        <v>170</v>
      </c>
      <c r="B697" s="39" t="s">
        <v>3708</v>
      </c>
      <c r="C697" s="39" t="str">
        <f t="shared" si="17"/>
        <v>KUNDUZLU/ÇORUM</v>
      </c>
      <c r="D697" s="39" t="s">
        <v>496</v>
      </c>
    </row>
    <row r="698" spans="1:4" x14ac:dyDescent="0.25">
      <c r="A698" s="39" t="s">
        <v>135</v>
      </c>
      <c r="B698" s="39" t="s">
        <v>3709</v>
      </c>
      <c r="C698" s="39" t="str">
        <f t="shared" si="17"/>
        <v>DELİİLYAS/SİVAS</v>
      </c>
      <c r="D698" s="39" t="s">
        <v>360</v>
      </c>
    </row>
    <row r="699" spans="1:4" x14ac:dyDescent="0.25">
      <c r="A699" s="39" t="s">
        <v>358</v>
      </c>
      <c r="B699" s="39" t="s">
        <v>3244</v>
      </c>
      <c r="C699" s="39" t="str">
        <f t="shared" si="17"/>
        <v>AYDINLAR/BİTLİS</v>
      </c>
      <c r="D699" s="39" t="s">
        <v>2175</v>
      </c>
    </row>
    <row r="700" spans="1:4" x14ac:dyDescent="0.25">
      <c r="A700" s="39" t="s">
        <v>8</v>
      </c>
      <c r="B700" s="39" t="s">
        <v>3712</v>
      </c>
      <c r="C700" s="39" t="str">
        <f t="shared" si="17"/>
        <v>ÇERİKLİ/KIRIKKALE</v>
      </c>
      <c r="D700" s="39" t="s">
        <v>2323</v>
      </c>
    </row>
    <row r="701" spans="1:4" x14ac:dyDescent="0.25">
      <c r="A701" s="39" t="s">
        <v>76</v>
      </c>
      <c r="B701" s="39" t="s">
        <v>2102</v>
      </c>
      <c r="C701" s="39" t="str">
        <f t="shared" si="17"/>
        <v>GÜLAĞAÇ/KÜTAHYA</v>
      </c>
      <c r="D701" s="39" t="s">
        <v>34</v>
      </c>
    </row>
    <row r="702" spans="1:4" x14ac:dyDescent="0.25">
      <c r="A702" s="39" t="s">
        <v>284</v>
      </c>
      <c r="B702" s="39" t="s">
        <v>3713</v>
      </c>
      <c r="C702" s="39" t="str">
        <f t="shared" si="17"/>
        <v>ÖZÜKAVAK/YOZGAT</v>
      </c>
      <c r="D702" s="39" t="s">
        <v>2237</v>
      </c>
    </row>
    <row r="703" spans="1:4" x14ac:dyDescent="0.25">
      <c r="A703" s="39" t="s">
        <v>284</v>
      </c>
      <c r="B703" s="39" t="s">
        <v>3710</v>
      </c>
      <c r="C703" s="39" t="str">
        <f t="shared" si="17"/>
        <v>KONUKLAR/YOZGAT</v>
      </c>
      <c r="D703" s="39" t="s">
        <v>2236</v>
      </c>
    </row>
    <row r="704" spans="1:4" x14ac:dyDescent="0.25">
      <c r="A704" s="39" t="s">
        <v>358</v>
      </c>
      <c r="B704" s="39" t="s">
        <v>3714</v>
      </c>
      <c r="C704" s="39" t="str">
        <f t="shared" si="17"/>
        <v>KAVAKBAŞI/BİTLİS</v>
      </c>
      <c r="D704" s="39" t="s">
        <v>2957</v>
      </c>
    </row>
    <row r="705" spans="1:4" x14ac:dyDescent="0.25">
      <c r="A705" s="39" t="s">
        <v>170</v>
      </c>
      <c r="B705" s="39" t="s">
        <v>3715</v>
      </c>
      <c r="C705" s="39" t="str">
        <f t="shared" si="17"/>
        <v>EVCİ/ÇORUM</v>
      </c>
      <c r="D705" s="39" t="s">
        <v>3662</v>
      </c>
    </row>
    <row r="706" spans="1:4" x14ac:dyDescent="0.25">
      <c r="A706" s="39" t="s">
        <v>59</v>
      </c>
      <c r="B706" s="39" t="s">
        <v>3716</v>
      </c>
      <c r="C706" s="39" t="str">
        <f t="shared" si="17"/>
        <v>ESETÇE/EDİRNE</v>
      </c>
      <c r="D706" s="39" t="s">
        <v>330</v>
      </c>
    </row>
    <row r="707" spans="1:4" x14ac:dyDescent="0.25">
      <c r="A707" s="39" t="s">
        <v>529</v>
      </c>
      <c r="B707" s="39" t="s">
        <v>3718</v>
      </c>
      <c r="C707" s="39" t="str">
        <f t="shared" si="17"/>
        <v>GÖKÇEDERE/BAYBURT</v>
      </c>
      <c r="D707" s="39" t="s">
        <v>3599</v>
      </c>
    </row>
    <row r="708" spans="1:4" x14ac:dyDescent="0.25">
      <c r="A708" s="39" t="s">
        <v>358</v>
      </c>
      <c r="B708" s="39" t="s">
        <v>3719</v>
      </c>
      <c r="C708" s="39" t="str">
        <f t="shared" si="17"/>
        <v>GÜNKIRI/BİTLİS</v>
      </c>
      <c r="D708" s="39" t="s">
        <v>2246</v>
      </c>
    </row>
    <row r="709" spans="1:4" x14ac:dyDescent="0.25">
      <c r="A709" s="39" t="s">
        <v>59</v>
      </c>
      <c r="B709" s="39" t="s">
        <v>3720</v>
      </c>
      <c r="C709" s="39" t="str">
        <f t="shared" si="17"/>
        <v>HACI/EDİRNE</v>
      </c>
      <c r="D709" s="39" t="s">
        <v>330</v>
      </c>
    </row>
    <row r="710" spans="1:4" x14ac:dyDescent="0.25">
      <c r="A710" s="39" t="s">
        <v>173</v>
      </c>
      <c r="B710" s="39" t="s">
        <v>3721</v>
      </c>
      <c r="C710" s="39" t="str">
        <f t="shared" si="17"/>
        <v>ALTINBAŞAK/ERZİNCAN</v>
      </c>
      <c r="D710" s="39" t="s">
        <v>575</v>
      </c>
    </row>
    <row r="711" spans="1:4" x14ac:dyDescent="0.25">
      <c r="A711" s="39" t="s">
        <v>247</v>
      </c>
      <c r="B711" s="39" t="s">
        <v>162</v>
      </c>
      <c r="C711" s="39" t="str">
        <f t="shared" si="17"/>
        <v>KAŞ/GÜMÜŞHANE</v>
      </c>
      <c r="D711" s="39" t="s">
        <v>2250</v>
      </c>
    </row>
    <row r="712" spans="1:4" x14ac:dyDescent="0.25">
      <c r="A712" s="39" t="s">
        <v>192</v>
      </c>
      <c r="B712" s="39" t="s">
        <v>3722</v>
      </c>
      <c r="C712" s="39" t="str">
        <f t="shared" si="17"/>
        <v>AZATLI/NİĞDE</v>
      </c>
      <c r="D712" s="39" t="s">
        <v>465</v>
      </c>
    </row>
    <row r="713" spans="1:4" x14ac:dyDescent="0.25">
      <c r="A713" s="39" t="s">
        <v>88</v>
      </c>
      <c r="B713" s="39" t="s">
        <v>505</v>
      </c>
      <c r="C713" s="39" t="str">
        <f t="shared" si="17"/>
        <v>ZİYARET/SİİRT</v>
      </c>
      <c r="D713" s="39" t="s">
        <v>34</v>
      </c>
    </row>
    <row r="714" spans="1:4" x14ac:dyDescent="0.25">
      <c r="A714" s="39" t="s">
        <v>135</v>
      </c>
      <c r="B714" s="39" t="s">
        <v>3723</v>
      </c>
      <c r="C714" s="39" t="str">
        <f t="shared" si="17"/>
        <v>KALE/SİVAS</v>
      </c>
      <c r="D714" s="39" t="s">
        <v>2002</v>
      </c>
    </row>
    <row r="715" spans="1:4" x14ac:dyDescent="0.25">
      <c r="A715" s="39" t="s">
        <v>13</v>
      </c>
      <c r="B715" s="39" t="s">
        <v>3724</v>
      </c>
      <c r="C715" s="39" t="str">
        <f t="shared" si="17"/>
        <v>AVGAN/UŞAK</v>
      </c>
      <c r="D715" s="39" t="s">
        <v>2418</v>
      </c>
    </row>
    <row r="716" spans="1:4" x14ac:dyDescent="0.25">
      <c r="A716" s="39" t="s">
        <v>173</v>
      </c>
      <c r="B716" s="39" t="s">
        <v>3868</v>
      </c>
      <c r="C716" s="39" t="str">
        <f t="shared" si="17"/>
        <v>MERCAN/ERZİNCAN</v>
      </c>
      <c r="D716" s="39" t="s">
        <v>444</v>
      </c>
    </row>
    <row r="717" spans="1:4" x14ac:dyDescent="0.25">
      <c r="A717" s="39" t="s">
        <v>76</v>
      </c>
      <c r="B717" s="39" t="s">
        <v>3870</v>
      </c>
      <c r="C717" s="39" t="str">
        <f t="shared" si="17"/>
        <v>GÜNLÜCE/KÜTAHYA</v>
      </c>
      <c r="D717" s="39" t="s">
        <v>2397</v>
      </c>
    </row>
    <row r="718" spans="1:4" x14ac:dyDescent="0.25">
      <c r="A718" s="39" t="s">
        <v>2143</v>
      </c>
      <c r="B718" s="39" t="s">
        <v>3874</v>
      </c>
      <c r="C718" s="39" t="str">
        <f t="shared" si="17"/>
        <v>SERBAN/AFYONKARAHİSAR</v>
      </c>
      <c r="D718" s="39" t="s">
        <v>2305</v>
      </c>
    </row>
    <row r="719" spans="1:4" x14ac:dyDescent="0.25">
      <c r="A719" s="39" t="s">
        <v>221</v>
      </c>
      <c r="B719" s="39" t="s">
        <v>3879</v>
      </c>
      <c r="C719" s="39" t="str">
        <f t="shared" si="17"/>
        <v>SARIPINAR/MUŞ</v>
      </c>
      <c r="D719" s="39" t="s">
        <v>666</v>
      </c>
    </row>
    <row r="720" spans="1:4" x14ac:dyDescent="0.25">
      <c r="A720" s="39" t="s">
        <v>2143</v>
      </c>
      <c r="B720" s="39" t="s">
        <v>3873</v>
      </c>
      <c r="C720" s="39" t="str">
        <f t="shared" si="17"/>
        <v>KARACAÖREN(ÇAY)/AFYONKARAHİSAR</v>
      </c>
      <c r="D720" s="39" t="s">
        <v>497</v>
      </c>
    </row>
    <row r="721" spans="1:4" x14ac:dyDescent="0.25">
      <c r="A721" s="39" t="s">
        <v>247</v>
      </c>
      <c r="B721" s="39" t="s">
        <v>3778</v>
      </c>
      <c r="C721" s="39" t="str">
        <f t="shared" si="17"/>
        <v>SÖĞÜTLÜ/GÜMÜŞHANE</v>
      </c>
      <c r="D721" s="39" t="s">
        <v>2250</v>
      </c>
    </row>
    <row r="722" spans="1:4" x14ac:dyDescent="0.25">
      <c r="A722" s="39" t="s">
        <v>2143</v>
      </c>
      <c r="B722" s="39" t="s">
        <v>3881</v>
      </c>
      <c r="C722" s="39" t="str">
        <f t="shared" si="17"/>
        <v>KARAADİLLİ/AFYONKARAHİSAR</v>
      </c>
      <c r="D722" s="39" t="s">
        <v>2260</v>
      </c>
    </row>
    <row r="723" spans="1:4" x14ac:dyDescent="0.25">
      <c r="A723" s="39" t="s">
        <v>2143</v>
      </c>
      <c r="B723" s="39" t="s">
        <v>3892</v>
      </c>
      <c r="C723" s="39" t="str">
        <f t="shared" si="17"/>
        <v>GAZLIGÖLAKÖREN/AFYONKARAHİSAR</v>
      </c>
      <c r="D723" s="39" t="s">
        <v>501</v>
      </c>
    </row>
    <row r="724" spans="1:4" x14ac:dyDescent="0.25">
      <c r="A724" s="39" t="s">
        <v>2143</v>
      </c>
      <c r="B724" s="39" t="s">
        <v>3891</v>
      </c>
      <c r="C724" s="39" t="str">
        <f t="shared" si="17"/>
        <v>DÜZAĞAÇ/AFYONKARAHİSAR</v>
      </c>
      <c r="D724" s="39" t="s">
        <v>2305</v>
      </c>
    </row>
    <row r="725" spans="1:4" x14ac:dyDescent="0.25">
      <c r="A725" s="39" t="s">
        <v>194</v>
      </c>
      <c r="B725" s="39" t="s">
        <v>2049</v>
      </c>
      <c r="C725" s="39" t="str">
        <f t="shared" si="17"/>
        <v>SARATLI/AKSARAY</v>
      </c>
      <c r="D725" s="39" t="s">
        <v>2102</v>
      </c>
    </row>
    <row r="726" spans="1:4" x14ac:dyDescent="0.25">
      <c r="A726" s="39" t="s">
        <v>191</v>
      </c>
      <c r="B726" s="39" t="s">
        <v>2424</v>
      </c>
      <c r="C726" s="39" t="str">
        <f t="shared" si="17"/>
        <v>YAZIHÜYÜK/NEVŞEHİR</v>
      </c>
      <c r="D726" s="39" t="s">
        <v>669</v>
      </c>
    </row>
    <row r="727" spans="1:4" x14ac:dyDescent="0.25">
      <c r="A727" s="39" t="s">
        <v>191</v>
      </c>
      <c r="B727" s="39" t="s">
        <v>3904</v>
      </c>
      <c r="C727" s="39" t="str">
        <f t="shared" si="17"/>
        <v>KARASENİR/NEVŞEHİR</v>
      </c>
      <c r="D727" s="39" t="s">
        <v>464</v>
      </c>
    </row>
    <row r="728" spans="1:4" x14ac:dyDescent="0.25">
      <c r="A728" s="39" t="s">
        <v>188</v>
      </c>
      <c r="B728" s="39" t="s">
        <v>3906</v>
      </c>
      <c r="C728" s="39" t="str">
        <f t="shared" si="17"/>
        <v>KUŞÇU/TOKAT</v>
      </c>
      <c r="D728" s="39" t="s">
        <v>376</v>
      </c>
    </row>
    <row r="729" spans="1:4" x14ac:dyDescent="0.25">
      <c r="A729" s="39" t="s">
        <v>191</v>
      </c>
      <c r="B729" s="39" t="s">
        <v>3909</v>
      </c>
      <c r="C729" s="39" t="str">
        <f t="shared" si="17"/>
        <v>KARAHASANLI/NEVŞEHİR</v>
      </c>
      <c r="D729" s="39" t="s">
        <v>464</v>
      </c>
    </row>
    <row r="730" spans="1:4" x14ac:dyDescent="0.25">
      <c r="A730" s="39" t="s">
        <v>192</v>
      </c>
      <c r="B730" s="39" t="s">
        <v>3910</v>
      </c>
      <c r="C730" s="39" t="str">
        <f t="shared" si="17"/>
        <v>YAKACIK/NİĞDE</v>
      </c>
      <c r="D730" s="39" t="s">
        <v>2309</v>
      </c>
    </row>
    <row r="731" spans="1:4" x14ac:dyDescent="0.25">
      <c r="A731" s="39" t="s">
        <v>49</v>
      </c>
      <c r="B731" s="39" t="s">
        <v>3759</v>
      </c>
      <c r="C731" s="39" t="str">
        <f t="shared" si="17"/>
        <v>KAYAPINAR/BATMAN</v>
      </c>
      <c r="D731" s="39" t="s">
        <v>2243</v>
      </c>
    </row>
    <row r="732" spans="1:4" x14ac:dyDescent="0.25">
      <c r="A732" s="39" t="s">
        <v>284</v>
      </c>
      <c r="B732" s="39" t="s">
        <v>3923</v>
      </c>
      <c r="C732" s="39" t="str">
        <f t="shared" si="17"/>
        <v>BÜYÜKKIŞLA/YOZGAT</v>
      </c>
      <c r="D732" s="39" t="s">
        <v>2215</v>
      </c>
    </row>
    <row r="733" spans="1:4" x14ac:dyDescent="0.25">
      <c r="A733" s="39" t="s">
        <v>2143</v>
      </c>
      <c r="B733" s="39" t="s">
        <v>3924</v>
      </c>
      <c r="C733" s="39" t="str">
        <f t="shared" si="17"/>
        <v>YEŞİLÇİFTLİK/AFYONKARAHİSAR</v>
      </c>
      <c r="D733" s="39" t="s">
        <v>2258</v>
      </c>
    </row>
    <row r="734" spans="1:4" x14ac:dyDescent="0.25">
      <c r="A734" s="39" t="s">
        <v>2143</v>
      </c>
      <c r="B734" s="39" t="s">
        <v>3934</v>
      </c>
      <c r="C734" s="39" t="str">
        <f t="shared" si="17"/>
        <v>SİNCANLI/AFYONKARAHİSAR</v>
      </c>
      <c r="D734" s="39" t="s">
        <v>2305</v>
      </c>
    </row>
    <row r="735" spans="1:4" x14ac:dyDescent="0.25">
      <c r="A735" s="39" t="s">
        <v>2143</v>
      </c>
      <c r="B735" s="39" t="s">
        <v>3933</v>
      </c>
      <c r="C735" s="39" t="str">
        <f t="shared" si="17"/>
        <v>NUH/AFYONKARAHİSAR</v>
      </c>
      <c r="D735" s="39" t="s">
        <v>2305</v>
      </c>
    </row>
    <row r="736" spans="1:4" x14ac:dyDescent="0.25">
      <c r="A736" s="39" t="s">
        <v>194</v>
      </c>
      <c r="B736" s="39" t="s">
        <v>3935</v>
      </c>
      <c r="C736" s="39" t="str">
        <f t="shared" si="17"/>
        <v>IHLARA/AKSARAY</v>
      </c>
      <c r="D736" s="39" t="s">
        <v>2395</v>
      </c>
    </row>
    <row r="737" spans="1:4" x14ac:dyDescent="0.25">
      <c r="A737" s="39" t="s">
        <v>76</v>
      </c>
      <c r="B737" s="39" t="s">
        <v>3939</v>
      </c>
      <c r="C737" s="39" t="str">
        <f t="shared" si="17"/>
        <v>KARACAHİSAR/KÜTAHYA</v>
      </c>
      <c r="D737" s="39" t="s">
        <v>458</v>
      </c>
    </row>
    <row r="738" spans="1:4" x14ac:dyDescent="0.25">
      <c r="A738" s="39" t="s">
        <v>358</v>
      </c>
      <c r="B738" s="39" t="s">
        <v>3949</v>
      </c>
      <c r="C738" s="39" t="str">
        <f t="shared" si="17"/>
        <v>KOLLUDERE/BİTLİS</v>
      </c>
      <c r="D738" s="39" t="s">
        <v>2247</v>
      </c>
    </row>
    <row r="739" spans="1:4" x14ac:dyDescent="0.25">
      <c r="A739" s="39" t="s">
        <v>173</v>
      </c>
      <c r="B739" s="39" t="s">
        <v>3950</v>
      </c>
      <c r="C739" s="39" t="str">
        <f t="shared" si="17"/>
        <v>ÇADIRKAYA/ERZİNCAN</v>
      </c>
      <c r="D739" s="39" t="s">
        <v>444</v>
      </c>
    </row>
    <row r="740" spans="1:4" x14ac:dyDescent="0.25">
      <c r="A740" s="39" t="s">
        <v>76</v>
      </c>
      <c r="B740" s="39" t="s">
        <v>3951</v>
      </c>
      <c r="C740" s="39" t="str">
        <f t="shared" si="17"/>
        <v>EĞRİGÖZ/KÜTAHYA</v>
      </c>
      <c r="D740" s="39" t="s">
        <v>2397</v>
      </c>
    </row>
    <row r="741" spans="1:4" x14ac:dyDescent="0.25">
      <c r="A741" s="39" t="s">
        <v>35</v>
      </c>
      <c r="B741" s="39" t="s">
        <v>3927</v>
      </c>
      <c r="C741" s="39" t="str">
        <f t="shared" si="17"/>
        <v>ALİBEYLİ/OSMANİYE</v>
      </c>
      <c r="D741" s="39" t="s">
        <v>2413</v>
      </c>
    </row>
    <row r="742" spans="1:4" x14ac:dyDescent="0.25">
      <c r="A742" s="39" t="s">
        <v>135</v>
      </c>
      <c r="B742" s="39" t="s">
        <v>3952</v>
      </c>
      <c r="C742" s="39" t="str">
        <f t="shared" si="17"/>
        <v>Y.KARAHİSAR/SİVAS</v>
      </c>
      <c r="D742" s="39" t="s">
        <v>477</v>
      </c>
    </row>
    <row r="743" spans="1:4" x14ac:dyDescent="0.25">
      <c r="A743" s="39" t="s">
        <v>175</v>
      </c>
      <c r="B743" s="39" t="s">
        <v>3955</v>
      </c>
      <c r="C743" s="39" t="str">
        <f t="shared" si="17"/>
        <v>TAHİR/AĞRI</v>
      </c>
      <c r="D743" s="39" t="s">
        <v>2411</v>
      </c>
    </row>
    <row r="744" spans="1:4" x14ac:dyDescent="0.25">
      <c r="A744" s="39" t="s">
        <v>49</v>
      </c>
      <c r="B744" s="39" t="s">
        <v>3956</v>
      </c>
      <c r="C744" s="39" t="str">
        <f t="shared" si="17"/>
        <v>HİSAR/BATMAN</v>
      </c>
      <c r="D744" s="39" t="s">
        <v>2243</v>
      </c>
    </row>
    <row r="745" spans="1:4" x14ac:dyDescent="0.25">
      <c r="A745" s="39" t="s">
        <v>161</v>
      </c>
      <c r="B745" s="39" t="s">
        <v>3957</v>
      </c>
      <c r="C745" s="39" t="str">
        <f t="shared" si="17"/>
        <v>BEYHAN/ELAZIĞ</v>
      </c>
      <c r="D745" s="39" t="s">
        <v>569</v>
      </c>
    </row>
    <row r="746" spans="1:4" x14ac:dyDescent="0.25">
      <c r="A746" s="39" t="s">
        <v>221</v>
      </c>
      <c r="B746" s="39" t="s">
        <v>3961</v>
      </c>
      <c r="C746" s="39" t="str">
        <f t="shared" si="17"/>
        <v>RÜSTEMGEDİK/MUŞ</v>
      </c>
      <c r="D746" s="39" t="s">
        <v>666</v>
      </c>
    </row>
    <row r="747" spans="1:4" x14ac:dyDescent="0.25">
      <c r="A747" s="39" t="s">
        <v>35</v>
      </c>
      <c r="B747" s="39" t="s">
        <v>3963</v>
      </c>
      <c r="C747" s="39" t="str">
        <f t="shared" si="17"/>
        <v>MEHMETLİ/OSMANİYE</v>
      </c>
      <c r="D747" s="39" t="s">
        <v>2413</v>
      </c>
    </row>
    <row r="748" spans="1:4" x14ac:dyDescent="0.25">
      <c r="A748" s="39" t="s">
        <v>192</v>
      </c>
      <c r="B748" s="39" t="s">
        <v>376</v>
      </c>
      <c r="C748" s="39" t="str">
        <f t="shared" si="17"/>
        <v>YEŞİLYURT/NİĞDE</v>
      </c>
      <c r="D748" s="39" t="s">
        <v>2309</v>
      </c>
    </row>
    <row r="749" spans="1:4" x14ac:dyDescent="0.25">
      <c r="A749" s="39" t="s">
        <v>175</v>
      </c>
      <c r="B749" s="39" t="s">
        <v>3967</v>
      </c>
      <c r="C749" s="39" t="str">
        <f t="shared" si="17"/>
        <v>YAYLADÜZÜ/AĞRI</v>
      </c>
      <c r="D749" s="39" t="s">
        <v>2411</v>
      </c>
    </row>
    <row r="750" spans="1:4" x14ac:dyDescent="0.25">
      <c r="A750" s="39" t="s">
        <v>221</v>
      </c>
      <c r="B750" s="39" t="s">
        <v>183</v>
      </c>
      <c r="C750" s="39" t="str">
        <f t="shared" si="17"/>
        <v>ALTINOVA/MUŞ</v>
      </c>
      <c r="D750" s="39" t="s">
        <v>2421</v>
      </c>
    </row>
    <row r="751" spans="1:4" x14ac:dyDescent="0.25">
      <c r="A751" s="39" t="s">
        <v>221</v>
      </c>
      <c r="B751" s="39" t="s">
        <v>3969</v>
      </c>
      <c r="C751" s="39" t="str">
        <f t="shared" si="17"/>
        <v>YONCALI/MUŞ</v>
      </c>
      <c r="D751" s="39" t="s">
        <v>666</v>
      </c>
    </row>
    <row r="752" spans="1:4" x14ac:dyDescent="0.25">
      <c r="A752" s="39" t="s">
        <v>247</v>
      </c>
      <c r="B752" s="39" t="s">
        <v>3970</v>
      </c>
      <c r="C752" s="39" t="str">
        <f t="shared" si="17"/>
        <v>DEREDOLU/GÜMÜŞHANE</v>
      </c>
      <c r="D752" s="39" t="s">
        <v>2250</v>
      </c>
    </row>
    <row r="753" spans="1:6" x14ac:dyDescent="0.25">
      <c r="A753" s="39" t="s">
        <v>76</v>
      </c>
      <c r="B753" s="39" t="s">
        <v>90</v>
      </c>
      <c r="C753" s="39" t="str">
        <f t="shared" si="17"/>
        <v>YENİCE/KÜTAHYA</v>
      </c>
      <c r="D753" s="39" t="s">
        <v>34</v>
      </c>
    </row>
    <row r="754" spans="1:6" x14ac:dyDescent="0.25">
      <c r="A754" s="39" t="s">
        <v>221</v>
      </c>
      <c r="B754" s="39" t="s">
        <v>3975</v>
      </c>
      <c r="C754" s="39" t="str">
        <f t="shared" si="17"/>
        <v>ELMAKAYA/MUŞ</v>
      </c>
      <c r="D754" s="39" t="s">
        <v>666</v>
      </c>
    </row>
    <row r="755" spans="1:6" x14ac:dyDescent="0.25">
      <c r="A755" s="39" t="s">
        <v>247</v>
      </c>
      <c r="B755" s="39" t="s">
        <v>3978</v>
      </c>
      <c r="C755" s="39" t="str">
        <f t="shared" si="17"/>
        <v>ÜNLÜPINAR/GÜMÜŞHANE</v>
      </c>
      <c r="D755" s="39" t="s">
        <v>2250</v>
      </c>
    </row>
    <row r="756" spans="1:6" x14ac:dyDescent="0.25">
      <c r="A756" s="39" t="s">
        <v>284</v>
      </c>
      <c r="B756" s="39" t="s">
        <v>3981</v>
      </c>
      <c r="C756" s="39" t="str">
        <f t="shared" ref="C756:C768" si="18">CONCATENATE(B756,"/",A756)</f>
        <v>BEYYURDU/YOZGAT</v>
      </c>
      <c r="D756" s="39" t="s">
        <v>2237</v>
      </c>
    </row>
    <row r="757" spans="1:6" x14ac:dyDescent="0.25">
      <c r="A757" s="39" t="s">
        <v>221</v>
      </c>
      <c r="B757" s="39" t="s">
        <v>3994</v>
      </c>
      <c r="C757" s="39" t="str">
        <f t="shared" si="18"/>
        <v>UZGÖRÜR/MUŞ</v>
      </c>
      <c r="D757" s="39" t="s">
        <v>666</v>
      </c>
    </row>
    <row r="758" spans="1:6" x14ac:dyDescent="0.25">
      <c r="A758" s="39" t="s">
        <v>2143</v>
      </c>
      <c r="B758" s="39" t="s">
        <v>3991</v>
      </c>
      <c r="C758" s="39" t="str">
        <f t="shared" si="18"/>
        <v>DEREÇİNE/AFYONKARAHİSAR</v>
      </c>
      <c r="D758" s="39" t="s">
        <v>2258</v>
      </c>
    </row>
    <row r="759" spans="1:6" x14ac:dyDescent="0.25">
      <c r="A759" s="39" t="s">
        <v>149</v>
      </c>
      <c r="B759" s="39" t="s">
        <v>3127</v>
      </c>
      <c r="C759" s="39" t="str">
        <f t="shared" si="18"/>
        <v>ÇATALAĞZI/ZONGULDAK</v>
      </c>
      <c r="D759" s="39" t="s">
        <v>2253</v>
      </c>
    </row>
    <row r="760" spans="1:6" x14ac:dyDescent="0.25">
      <c r="A760" s="39" t="s">
        <v>2143</v>
      </c>
      <c r="B760" s="39" t="s">
        <v>3267</v>
      </c>
      <c r="C760" s="39" t="str">
        <f t="shared" si="18"/>
        <v>İNLİ/AFYONKARAHİSAR</v>
      </c>
      <c r="D760" s="39" t="s">
        <v>497</v>
      </c>
    </row>
    <row r="761" spans="1:6" x14ac:dyDescent="0.25">
      <c r="A761" s="39" t="s">
        <v>184</v>
      </c>
      <c r="B761" s="39" t="s">
        <v>4000</v>
      </c>
      <c r="C761" s="39" t="str">
        <f t="shared" si="18"/>
        <v>YÜKLÜ/ÇANKIRI</v>
      </c>
      <c r="D761" s="39" t="s">
        <v>4005</v>
      </c>
      <c r="F761" s="40">
        <f>IFERROR(VLOOKUP(A761,'Büyükşehir List'!$C$2:$D$31,2,FALSE),0)</f>
        <v>0</v>
      </c>
    </row>
    <row r="762" spans="1:6" x14ac:dyDescent="0.25">
      <c r="A762" s="39" t="s">
        <v>284</v>
      </c>
      <c r="B762" s="39" t="s">
        <v>4013</v>
      </c>
      <c r="C762" s="39" t="str">
        <f t="shared" si="18"/>
        <v>BAŞTÜRK/YOZGAT</v>
      </c>
      <c r="D762" s="39" t="s">
        <v>659</v>
      </c>
      <c r="F762" s="40">
        <f>IFERROR(VLOOKUP(A762,'Büyükşehir List'!$C$2:$D$31,2,FALSE),0)</f>
        <v>0</v>
      </c>
    </row>
    <row r="763" spans="1:6" x14ac:dyDescent="0.25">
      <c r="A763" s="39" t="s">
        <v>144</v>
      </c>
      <c r="B763" t="s">
        <v>4009</v>
      </c>
      <c r="C763" s="39" t="str">
        <f t="shared" si="18"/>
        <v>MAHSENLİ/KIRŞEHİR</v>
      </c>
      <c r="D763" s="39" t="s">
        <v>2641</v>
      </c>
      <c r="F763" s="40">
        <f>IFERROR(VLOOKUP(A763,'Büyükşehir List'!$C$2:$D$31,2,FALSE),0)</f>
        <v>0</v>
      </c>
    </row>
    <row r="764" spans="1:6" x14ac:dyDescent="0.25">
      <c r="A764" s="39" t="s">
        <v>59</v>
      </c>
      <c r="B764" s="39" t="s">
        <v>2423</v>
      </c>
      <c r="C764" s="39" t="str">
        <f t="shared" si="18"/>
        <v>KÜPLÜ/EDİRNE</v>
      </c>
      <c r="D764" s="39" t="s">
        <v>565</v>
      </c>
      <c r="F764" s="40">
        <f>IFERROR(VLOOKUP(A764,'Büyükşehir List'!$C$2:$D$31,2,FALSE),0)</f>
        <v>0</v>
      </c>
    </row>
    <row r="765" spans="1:6" x14ac:dyDescent="0.25">
      <c r="A765" s="39" t="s">
        <v>284</v>
      </c>
      <c r="B765" s="39" t="s">
        <v>4052</v>
      </c>
      <c r="C765" s="39" t="str">
        <f t="shared" si="18"/>
        <v>BAYDİĞİN/YOZGAT</v>
      </c>
      <c r="D765" s="39" t="s">
        <v>659</v>
      </c>
      <c r="F765" s="40">
        <f>IFERROR(VLOOKUP(A765,'Büyükşehir List'!$C$2:$D$31,2,FALSE),0)</f>
        <v>0</v>
      </c>
    </row>
    <row r="766" spans="1:6" x14ac:dyDescent="0.25">
      <c r="A766" s="39" t="s">
        <v>184</v>
      </c>
      <c r="B766" s="39" t="s">
        <v>4285</v>
      </c>
      <c r="C766" s="39" t="str">
        <f t="shared" si="18"/>
        <v>SİVRİCEK/ÇANKIRI</v>
      </c>
      <c r="D766" s="39" t="s">
        <v>543</v>
      </c>
      <c r="F766" s="40">
        <f>IFERROR(VLOOKUP(A766,'Büyükşehir List'!$C$2:$D$31,2,FALSE),0)</f>
        <v>0</v>
      </c>
    </row>
    <row r="767" spans="1:6" x14ac:dyDescent="0.25">
      <c r="A767" s="40" t="s">
        <v>284</v>
      </c>
      <c r="B767" t="s">
        <v>4037</v>
      </c>
      <c r="C767" s="39" t="str">
        <f t="shared" si="18"/>
        <v>BAZLAMAÇ/YOZGAT</v>
      </c>
      <c r="D767" s="40" t="s">
        <v>2237</v>
      </c>
      <c r="F767" s="40">
        <f>IFERROR(VLOOKUP(A767,'Büyükşehir List'!$C$2:$D$31,2,FALSE),0)</f>
        <v>0</v>
      </c>
    </row>
    <row r="768" spans="1:6" x14ac:dyDescent="0.25">
      <c r="A768" s="40" t="s">
        <v>222</v>
      </c>
      <c r="B768" s="40" t="s">
        <v>2904</v>
      </c>
      <c r="C768" s="40" t="str">
        <f t="shared" si="18"/>
        <v>BAŞVERİMLİ/ŞIRNAK</v>
      </c>
      <c r="D768" s="40" t="s">
        <v>338</v>
      </c>
      <c r="F768" s="40">
        <f>IFERROR(VLOOKUP(A768,'Büyükşehir List'!$C$2:$D$31,2,FALSE),0)</f>
        <v>0</v>
      </c>
    </row>
    <row r="1048576" spans="6:6" x14ac:dyDescent="0.25">
      <c r="F1048576" s="40">
        <f>IFERROR(VLOOKUP(A1048576,'Büyükşehir List'!$C$2:$D$31,2,FALSE),0)</f>
        <v>0</v>
      </c>
    </row>
  </sheetData>
  <sortState xmlns:xlrd2="http://schemas.microsoft.com/office/spreadsheetml/2017/richdata2" ref="A2:D618">
    <sortCondition ref="A2:A618"/>
  </sortState>
  <pageMargins left="0.7" right="0.7" top="0.75" bottom="0.75" header="0.3" footer="0.3"/>
  <pageSetup orientation="portrait" r:id="rId1"/>
  <headerFooter differentOddEven="1" differentFirst="1">
    <oddFooter>&amp;L_x000D_&amp;1#&amp;"Calibri"&amp;10&amp;K008000 Internal&amp;C&amp;"tahoma,Bold"&amp;8&amp;KFFCC00¯¯¯¯¯¯¯¯¯¯¯¯¯¯¯¯¯¯¯¯¯¯¯¯¯¯¯¯¯¯¯¯¯¯¯¯¯
Gizli / Confidential  -
 Genel Nitelikli Kişisel Veri
&amp;10_____________________________________</oddFooter>
    <evenFooter>&amp;L_x000D_&amp;1#&amp;"Calibri"&amp;10&amp;K008000 Internal&amp;C&amp;"tahoma,Bold"&amp;8&amp;KFFCC00¯¯¯¯¯¯¯¯¯¯¯¯¯¯¯¯¯¯¯¯¯¯¯¯¯¯¯¯¯¯¯¯¯¯¯¯¯
Gizli / Confidential  -
 Genel Nitelikli Kişisel Veri
&amp;10_____________________________________</evenFooter>
    <firstFooter>&amp;L_x000D_&amp;1#&amp;"Calibri"&amp;10&amp;K008000 Internal&amp;C&amp;"tahoma,Bold"&amp;8&amp;KFFCC00¯¯¯¯¯¯¯¯¯¯¯¯¯¯¯¯¯¯¯¯¯¯¯¯¯¯¯¯¯¯¯¯¯¯¯¯¯
Gizli / Confidential  -
 Genel Nitelikli Kişisel Veri
&amp;10_____________________________________</first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2"/>
  <dimension ref="B1:D31"/>
  <sheetViews>
    <sheetView zoomScale="85" zoomScaleNormal="85" workbookViewId="0">
      <selection activeCell="B15" sqref="B15:D15"/>
    </sheetView>
  </sheetViews>
  <sheetFormatPr defaultRowHeight="12.5" x14ac:dyDescent="0.25"/>
  <cols>
    <col min="1" max="1" width="2.26953125" customWidth="1"/>
    <col min="2" max="2" width="38.7265625" bestFit="1" customWidth="1"/>
    <col min="3" max="3" width="12.26953125" bestFit="1" customWidth="1"/>
    <col min="4" max="4" width="29.54296875" bestFit="1" customWidth="1"/>
  </cols>
  <sheetData>
    <row r="1" spans="2:4" ht="13" x14ac:dyDescent="0.25">
      <c r="B1" s="37" t="s">
        <v>223</v>
      </c>
      <c r="C1" s="74" t="s">
        <v>225</v>
      </c>
      <c r="D1" s="74" t="s">
        <v>2891</v>
      </c>
    </row>
    <row r="2" spans="2:4" ht="13" x14ac:dyDescent="0.25">
      <c r="B2" s="37" t="s">
        <v>3057</v>
      </c>
      <c r="C2" s="38" t="s">
        <v>29</v>
      </c>
      <c r="D2" s="75" t="s">
        <v>1871</v>
      </c>
    </row>
    <row r="3" spans="2:4" ht="13" x14ac:dyDescent="0.25">
      <c r="B3" s="37" t="s">
        <v>1894</v>
      </c>
      <c r="C3" s="38" t="s">
        <v>31</v>
      </c>
      <c r="D3" s="38" t="s">
        <v>1851</v>
      </c>
    </row>
    <row r="4" spans="2:4" ht="13" x14ac:dyDescent="0.25">
      <c r="B4" s="37" t="s">
        <v>2799</v>
      </c>
      <c r="C4" s="38" t="s">
        <v>137</v>
      </c>
      <c r="D4" s="75" t="s">
        <v>2797</v>
      </c>
    </row>
    <row r="5" spans="2:4" ht="13" x14ac:dyDescent="0.25">
      <c r="B5" s="37" t="s">
        <v>1896</v>
      </c>
      <c r="C5" s="38" t="s">
        <v>112</v>
      </c>
      <c r="D5" s="75" t="s">
        <v>1872</v>
      </c>
    </row>
    <row r="6" spans="2:4" ht="13" x14ac:dyDescent="0.25">
      <c r="B6" s="37" t="s">
        <v>1897</v>
      </c>
      <c r="C6" s="38" t="s">
        <v>52</v>
      </c>
      <c r="D6" s="75" t="s">
        <v>1859</v>
      </c>
    </row>
    <row r="7" spans="2:4" ht="13" x14ac:dyDescent="0.25">
      <c r="B7" s="37" t="s">
        <v>1895</v>
      </c>
      <c r="C7" s="38" t="s">
        <v>117</v>
      </c>
      <c r="D7" s="75" t="s">
        <v>1878</v>
      </c>
    </row>
    <row r="8" spans="2:4" ht="13" x14ac:dyDescent="0.25">
      <c r="B8" s="37" t="s">
        <v>1899</v>
      </c>
      <c r="C8" s="38" t="s">
        <v>132</v>
      </c>
      <c r="D8" s="75" t="s">
        <v>1883</v>
      </c>
    </row>
    <row r="9" spans="2:4" ht="13" x14ac:dyDescent="0.25">
      <c r="B9" s="37" t="s">
        <v>1902</v>
      </c>
      <c r="C9" s="38" t="s">
        <v>33</v>
      </c>
      <c r="D9" s="75" t="s">
        <v>1849</v>
      </c>
    </row>
    <row r="10" spans="2:4" ht="13" x14ac:dyDescent="0.25">
      <c r="B10" s="37" t="s">
        <v>1898</v>
      </c>
      <c r="C10" s="38" t="s">
        <v>122</v>
      </c>
      <c r="D10" s="75" t="s">
        <v>1880</v>
      </c>
    </row>
    <row r="11" spans="2:4" ht="13" x14ac:dyDescent="0.25">
      <c r="B11" s="37" t="s">
        <v>1900</v>
      </c>
      <c r="C11" s="38" t="s">
        <v>40</v>
      </c>
      <c r="D11" s="75" t="s">
        <v>1852</v>
      </c>
    </row>
    <row r="12" spans="2:4" ht="13" x14ac:dyDescent="0.25">
      <c r="B12" s="37" t="s">
        <v>2030</v>
      </c>
      <c r="C12" s="38" t="s">
        <v>121</v>
      </c>
      <c r="D12" s="75" t="s">
        <v>2021</v>
      </c>
    </row>
    <row r="13" spans="2:4" ht="13" x14ac:dyDescent="0.25">
      <c r="B13" s="37" t="s">
        <v>2032</v>
      </c>
      <c r="C13" s="38" t="s">
        <v>124</v>
      </c>
      <c r="D13" s="75" t="s">
        <v>2022</v>
      </c>
    </row>
    <row r="14" spans="2:4" ht="13" x14ac:dyDescent="0.25">
      <c r="B14" s="37" t="s">
        <v>2027</v>
      </c>
      <c r="C14" s="38" t="s">
        <v>57</v>
      </c>
      <c r="D14" s="75" t="s">
        <v>2018</v>
      </c>
    </row>
    <row r="15" spans="2:4" ht="13" x14ac:dyDescent="0.25">
      <c r="B15" s="37" t="s">
        <v>2028</v>
      </c>
      <c r="C15" s="38" t="s">
        <v>65</v>
      </c>
      <c r="D15" s="75" t="s">
        <v>2019</v>
      </c>
    </row>
    <row r="16" spans="2:4" ht="13" x14ac:dyDescent="0.25">
      <c r="B16" s="37" t="s">
        <v>1901</v>
      </c>
      <c r="C16" s="38" t="s">
        <v>61</v>
      </c>
      <c r="D16" s="75" t="s">
        <v>1865</v>
      </c>
    </row>
    <row r="17" spans="2:4" ht="13" x14ac:dyDescent="0.25">
      <c r="B17" s="37" t="s">
        <v>2025</v>
      </c>
      <c r="C17" s="38" t="s">
        <v>42</v>
      </c>
      <c r="D17" s="75" t="s">
        <v>2016</v>
      </c>
    </row>
    <row r="18" spans="2:4" ht="13" x14ac:dyDescent="0.25">
      <c r="B18" s="37" t="s">
        <v>1903</v>
      </c>
      <c r="C18" s="38" t="s">
        <v>116</v>
      </c>
      <c r="D18" s="76" t="s">
        <v>1876</v>
      </c>
    </row>
    <row r="19" spans="2:4" ht="13" x14ac:dyDescent="0.25">
      <c r="B19" s="37" t="s">
        <v>1906</v>
      </c>
      <c r="C19" s="38" t="s">
        <v>118</v>
      </c>
      <c r="D19" s="75" t="s">
        <v>1879</v>
      </c>
    </row>
    <row r="20" spans="2:4" ht="13" x14ac:dyDescent="0.25">
      <c r="B20" s="37" t="s">
        <v>3606</v>
      </c>
      <c r="C20" s="38" t="s">
        <v>3596</v>
      </c>
      <c r="D20" s="75" t="s">
        <v>3607</v>
      </c>
    </row>
    <row r="21" spans="2:4" ht="13" x14ac:dyDescent="0.25">
      <c r="B21" s="37" t="s">
        <v>1910</v>
      </c>
      <c r="C21" s="38" t="s">
        <v>134</v>
      </c>
      <c r="D21" s="75" t="s">
        <v>1885</v>
      </c>
    </row>
    <row r="22" spans="2:4" ht="13" x14ac:dyDescent="0.25">
      <c r="B22" s="37" t="s">
        <v>2026</v>
      </c>
      <c r="C22" s="38" t="s">
        <v>44</v>
      </c>
      <c r="D22" s="75" t="s">
        <v>2017</v>
      </c>
    </row>
    <row r="23" spans="2:4" ht="13" x14ac:dyDescent="0.25">
      <c r="B23" s="37" t="s">
        <v>2029</v>
      </c>
      <c r="C23" s="38" t="s">
        <v>120</v>
      </c>
      <c r="D23" s="75" t="s">
        <v>2020</v>
      </c>
    </row>
    <row r="24" spans="2:4" ht="13" x14ac:dyDescent="0.25">
      <c r="B24" s="37" t="s">
        <v>2034</v>
      </c>
      <c r="C24" s="38" t="s">
        <v>147</v>
      </c>
      <c r="D24" s="75" t="s">
        <v>2023</v>
      </c>
    </row>
    <row r="25" spans="2:4" ht="13" x14ac:dyDescent="0.25">
      <c r="B25" s="37" t="s">
        <v>2033</v>
      </c>
      <c r="C25" s="38" t="s">
        <v>136</v>
      </c>
      <c r="D25" s="75" t="s">
        <v>2024</v>
      </c>
    </row>
    <row r="26" spans="2:4" ht="13" x14ac:dyDescent="0.25">
      <c r="B26" s="37" t="s">
        <v>2037</v>
      </c>
      <c r="C26" s="38" t="s">
        <v>130</v>
      </c>
      <c r="D26" s="75" t="s">
        <v>2036</v>
      </c>
    </row>
    <row r="27" spans="2:4" ht="13" x14ac:dyDescent="0.25">
      <c r="B27" s="37" t="s">
        <v>2035</v>
      </c>
      <c r="C27" s="38" t="s">
        <v>181</v>
      </c>
      <c r="D27" s="75" t="s">
        <v>2947</v>
      </c>
    </row>
    <row r="28" spans="2:4" ht="13" x14ac:dyDescent="0.25">
      <c r="B28" s="37" t="s">
        <v>1905</v>
      </c>
      <c r="C28" s="38" t="s">
        <v>62</v>
      </c>
      <c r="D28" s="75" t="s">
        <v>1867</v>
      </c>
    </row>
    <row r="29" spans="2:4" ht="13" x14ac:dyDescent="0.25">
      <c r="B29" s="37" t="s">
        <v>1911</v>
      </c>
      <c r="C29" s="38" t="s">
        <v>58</v>
      </c>
      <c r="D29" s="75" t="s">
        <v>1862</v>
      </c>
    </row>
    <row r="30" spans="2:4" ht="13" x14ac:dyDescent="0.25">
      <c r="B30" s="37" t="s">
        <v>1929</v>
      </c>
      <c r="C30" s="38" t="s">
        <v>60</v>
      </c>
      <c r="D30" s="75" t="s">
        <v>1864</v>
      </c>
    </row>
    <row r="31" spans="2:4" ht="13" x14ac:dyDescent="0.25">
      <c r="B31" s="37" t="s">
        <v>2031</v>
      </c>
      <c r="C31" s="38" t="s">
        <v>24</v>
      </c>
      <c r="D31" s="75" t="s">
        <v>2946</v>
      </c>
    </row>
  </sheetData>
  <autoFilter ref="A1:C31" xr:uid="{00000000-0009-0000-0000-00000F000000}"/>
  <pageMargins left="0.7" right="0.7" top="0.75" bottom="0.75" header="0.3" footer="0.3"/>
  <pageSetup paperSize="9" orientation="portrait" r:id="rId1"/>
  <headerFooter differentOddEven="1" differentFirst="1">
    <oddFooter>&amp;L_x000D_&amp;1#&amp;"Calibri"&amp;10&amp;K008000 Internal&amp;C&amp;"tahoma,Bold"&amp;8&amp;KFFCC00¯¯¯¯¯¯¯¯¯¯¯¯¯¯¯¯¯¯¯¯¯¯¯¯¯¯¯¯¯¯¯¯¯¯¯¯¯
Gizli / Confidential  -
 Genel Nitelikli Kişisel Veri
&amp;10_____________________________________</oddFooter>
    <evenFooter>&amp;L_x000D_&amp;1#&amp;"Calibri"&amp;10&amp;K008000 Internal&amp;C&amp;"tahoma,Bold"&amp;8&amp;KFFCC00¯¯¯¯¯¯¯¯¯¯¯¯¯¯¯¯¯¯¯¯¯¯¯¯¯¯¯¯¯¯¯¯¯¯¯¯¯
Gizli / Confidential  -
 Genel Nitelikli Kişisel Veri
&amp;10_____________________________________</evenFooter>
    <firstFooter>&amp;L_x000D_&amp;1#&amp;"Calibri"&amp;10&amp;K008000 Internal&amp;C&amp;"tahoma,Bold"&amp;8&amp;KFFCC00¯¯¯¯¯¯¯¯¯¯¯¯¯¯¯¯¯¯¯¯¯¯¯¯¯¯¯¯¯¯¯¯¯¯¯¯¯
Gizli / Confidential  -
 Genel Nitelikli Kişisel Veri
&amp;10_____________________________________</first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G297"/>
  <sheetViews>
    <sheetView zoomScale="70" zoomScaleNormal="70" workbookViewId="0">
      <pane ySplit="5" topLeftCell="A6" activePane="bottomLeft" state="frozen"/>
      <selection activeCell="D7" sqref="D7"/>
      <selection pane="bottomLeft" activeCell="B29" sqref="B29"/>
    </sheetView>
  </sheetViews>
  <sheetFormatPr defaultRowHeight="13" x14ac:dyDescent="0.3"/>
  <cols>
    <col min="2" max="2" width="18.54296875" style="2" bestFit="1" customWidth="1"/>
    <col min="3" max="3" width="32.54296875" style="2" customWidth="1"/>
    <col min="4" max="4" width="30.453125" style="3" customWidth="1"/>
    <col min="5" max="5" width="10.7265625" bestFit="1" customWidth="1"/>
    <col min="7" max="7" width="10.7265625" customWidth="1"/>
  </cols>
  <sheetData>
    <row r="1" spans="1:7" x14ac:dyDescent="0.3">
      <c r="A1" s="8" t="s">
        <v>109</v>
      </c>
      <c r="E1" s="11">
        <f ca="1">TODAY()</f>
        <v>46202</v>
      </c>
      <c r="G1" s="8" t="s">
        <v>109</v>
      </c>
    </row>
    <row r="3" spans="1:7" x14ac:dyDescent="0.3">
      <c r="A3" s="8" t="str">
        <f>G3</f>
        <v>NİSAN 2026 YSV LİSTESİ</v>
      </c>
      <c r="E3" s="36" t="s">
        <v>4441</v>
      </c>
      <c r="G3" s="8" t="str">
        <f>E3&amp;" 2026 YSV LİSTESİ"</f>
        <v>NİSAN 2026 YSV LİSTESİ</v>
      </c>
    </row>
    <row r="5" spans="1:7" x14ac:dyDescent="0.3">
      <c r="A5" t="s">
        <v>25</v>
      </c>
      <c r="B5" s="4" t="s">
        <v>225</v>
      </c>
      <c r="C5" s="4" t="s">
        <v>227</v>
      </c>
      <c r="D5" s="4" t="s">
        <v>28</v>
      </c>
      <c r="G5" t="s">
        <v>25</v>
      </c>
    </row>
    <row r="6" spans="1:7" x14ac:dyDescent="0.3">
      <c r="A6">
        <v>1</v>
      </c>
      <c r="B6" s="2" t="str">
        <f>VLOOKUP(G6,Excel5!$A$2:$C$271,3,FALSE)</f>
        <v>ADANA</v>
      </c>
      <c r="C6" s="2" t="str">
        <f>VLOOKUP(G6,Excel5!$A$2:$C$271,2,FALSE)</f>
        <v>ADANA BÜYÜKŞEHİR</v>
      </c>
      <c r="D6" s="5" t="s">
        <v>26</v>
      </c>
      <c r="G6">
        <v>1</v>
      </c>
    </row>
    <row r="7" spans="1:7" x14ac:dyDescent="0.3">
      <c r="A7">
        <v>2</v>
      </c>
      <c r="B7" s="2" t="str">
        <f>VLOOKUP(G7,Excel5!$A$2:$C$271,3,FALSE)</f>
        <v>ADIYAMAN</v>
      </c>
      <c r="C7" s="2" t="str">
        <f>VLOOKUP(G7,Excel5!$A$2:$C$271,2,FALSE)</f>
        <v>MERKEZ</v>
      </c>
      <c r="D7" s="5" t="s">
        <v>26</v>
      </c>
      <c r="G7">
        <v>2</v>
      </c>
    </row>
    <row r="8" spans="1:7" x14ac:dyDescent="0.3">
      <c r="A8">
        <v>3</v>
      </c>
      <c r="B8" s="2" t="str">
        <f>VLOOKUP(G8,Excel5!$A$2:$C$271,3,FALSE)</f>
        <v>ADIYAMAN</v>
      </c>
      <c r="C8" s="2" t="str">
        <f>VLOOKUP(G8,Excel5!$A$2:$C$271,2,FALSE)</f>
        <v>KAHTA</v>
      </c>
      <c r="D8" s="5" t="s">
        <v>26</v>
      </c>
      <c r="G8">
        <v>3</v>
      </c>
    </row>
    <row r="9" spans="1:7" x14ac:dyDescent="0.3">
      <c r="A9">
        <v>4</v>
      </c>
      <c r="B9" s="2" t="str">
        <f>VLOOKUP(G9,Excel5!$A$2:$C$271,3,FALSE)</f>
        <v>ADIYAMAN</v>
      </c>
      <c r="C9" s="2" t="str">
        <f>VLOOKUP(G9,Excel5!$A$2:$C$271,2,FALSE)</f>
        <v>BESNİ</v>
      </c>
      <c r="D9" s="5" t="s">
        <v>26</v>
      </c>
      <c r="G9">
        <v>4</v>
      </c>
    </row>
    <row r="10" spans="1:7" x14ac:dyDescent="0.3">
      <c r="A10">
        <v>5</v>
      </c>
      <c r="B10" s="2" t="str">
        <f>VLOOKUP(G10,Excel5!$A$2:$C$271,3,FALSE)</f>
        <v>ADIYAMAN</v>
      </c>
      <c r="C10" s="2" t="str">
        <f>VLOOKUP(G10,Excel5!$A$2:$C$271,2,FALSE)</f>
        <v>ÇELİKHAN</v>
      </c>
      <c r="D10" s="5" t="s">
        <v>26</v>
      </c>
      <c r="G10">
        <v>5</v>
      </c>
    </row>
    <row r="11" spans="1:7" x14ac:dyDescent="0.3">
      <c r="A11">
        <v>6</v>
      </c>
      <c r="B11" s="2" t="str">
        <f>VLOOKUP(G11,Excel5!$A$2:$C$271,3,FALSE)</f>
        <v>ADIYAMAN</v>
      </c>
      <c r="C11" s="2" t="str">
        <f>VLOOKUP(G11,Excel5!$A$2:$C$271,2,FALSE)</f>
        <v>GÖLBAŞI</v>
      </c>
      <c r="D11" s="5" t="s">
        <v>26</v>
      </c>
      <c r="G11">
        <v>6</v>
      </c>
    </row>
    <row r="12" spans="1:7" x14ac:dyDescent="0.3">
      <c r="A12">
        <v>7</v>
      </c>
      <c r="B12" s="2" t="str">
        <f>VLOOKUP(G12,Excel5!$A$2:$C$271,3,FALSE)</f>
        <v>AFYONKARAHİSAR</v>
      </c>
      <c r="C12" s="2" t="str">
        <f>VLOOKUP(G12,Excel5!$A$2:$C$271,2,FALSE)</f>
        <v>MERKEZ</v>
      </c>
      <c r="D12" s="5" t="s">
        <v>26</v>
      </c>
      <c r="G12">
        <v>7</v>
      </c>
    </row>
    <row r="13" spans="1:7" x14ac:dyDescent="0.3">
      <c r="A13">
        <v>8</v>
      </c>
      <c r="B13" s="2" t="str">
        <f>VLOOKUP(G13,Excel5!$A$2:$C$271,3,FALSE)</f>
        <v>AFYONKARAHİSAR</v>
      </c>
      <c r="C13" s="2" t="str">
        <f>VLOOKUP(G13,Excel5!$A$2:$C$271,2,FALSE)</f>
        <v>ÇAY</v>
      </c>
      <c r="D13" s="5" t="s">
        <v>26</v>
      </c>
      <c r="G13">
        <v>8</v>
      </c>
    </row>
    <row r="14" spans="1:7" x14ac:dyDescent="0.3">
      <c r="A14">
        <v>9</v>
      </c>
      <c r="B14" s="2" t="str">
        <f>VLOOKUP(G14,Excel5!$A$2:$C$271,3,FALSE)</f>
        <v>AFYONKARAHİSAR</v>
      </c>
      <c r="C14" s="2" t="str">
        <f>VLOOKUP(G14,Excel5!$A$2:$C$271,2,FALSE)</f>
        <v>ŞUHUT</v>
      </c>
      <c r="D14" s="5" t="s">
        <v>26</v>
      </c>
      <c r="G14">
        <v>9</v>
      </c>
    </row>
    <row r="15" spans="1:7" x14ac:dyDescent="0.3">
      <c r="A15">
        <v>10</v>
      </c>
      <c r="B15" s="2" t="str">
        <f>VLOOKUP(G15,Excel5!$A$2:$C$271,3,FALSE)</f>
        <v>AFYONKARAHİSAR</v>
      </c>
      <c r="C15" s="2" t="str">
        <f>VLOOKUP(G15,Excel5!$A$2:$C$271,2,FALSE)</f>
        <v>İSCEHİSAR</v>
      </c>
      <c r="D15" s="5" t="s">
        <v>26</v>
      </c>
      <c r="G15">
        <v>10</v>
      </c>
    </row>
    <row r="16" spans="1:7" x14ac:dyDescent="0.3">
      <c r="A16">
        <v>11</v>
      </c>
      <c r="B16" s="2" t="str">
        <f>VLOOKUP(G16,Excel5!$A$2:$C$271,3,FALSE)</f>
        <v>AFYONKARAHİSAR</v>
      </c>
      <c r="C16" s="2" t="str">
        <f>VLOOKUP(G16,Excel5!$A$2:$C$271,2,FALSE)</f>
        <v>DİNAR</v>
      </c>
      <c r="D16" s="5" t="s">
        <v>26</v>
      </c>
      <c r="G16">
        <v>11</v>
      </c>
    </row>
    <row r="17" spans="1:7" x14ac:dyDescent="0.3">
      <c r="A17">
        <v>12</v>
      </c>
      <c r="B17" s="2" t="str">
        <f>VLOOKUP(G17,Excel5!$A$2:$C$271,3,FALSE)</f>
        <v>AFYONKARAHİSAR</v>
      </c>
      <c r="C17" s="2" t="str">
        <f>VLOOKUP(G17,Excel5!$A$2:$C$271,2,FALSE)</f>
        <v>DAZKIRI</v>
      </c>
      <c r="D17" s="5" t="s">
        <v>26</v>
      </c>
      <c r="G17">
        <v>12</v>
      </c>
    </row>
    <row r="18" spans="1:7" x14ac:dyDescent="0.3">
      <c r="A18">
        <v>13</v>
      </c>
      <c r="B18" s="2" t="str">
        <f>VLOOKUP(G18,Excel5!$A$2:$C$271,3,FALSE)</f>
        <v>AFYONKARAHİSAR</v>
      </c>
      <c r="C18" s="2" t="str">
        <f>VLOOKUP(G18,Excel5!$A$2:$C$271,2,FALSE)</f>
        <v>İHSANİYE</v>
      </c>
      <c r="D18" s="5" t="s">
        <v>26</v>
      </c>
      <c r="G18">
        <v>13</v>
      </c>
    </row>
    <row r="19" spans="1:7" x14ac:dyDescent="0.3">
      <c r="A19">
        <v>14</v>
      </c>
      <c r="B19" s="2" t="str">
        <f>VLOOKUP(G19,Excel5!$A$2:$C$271,3,FALSE)</f>
        <v>AFYONKARAHİSAR</v>
      </c>
      <c r="C19" s="2" t="str">
        <f>VLOOKUP(G19,Excel5!$A$2:$C$271,2,FALSE)</f>
        <v>SULTANDAĞI</v>
      </c>
      <c r="D19" s="5" t="s">
        <v>26</v>
      </c>
      <c r="G19">
        <v>14</v>
      </c>
    </row>
    <row r="20" spans="1:7" x14ac:dyDescent="0.3">
      <c r="A20">
        <v>15</v>
      </c>
      <c r="B20" s="2" t="str">
        <f>VLOOKUP(G20,Excel5!$A$2:$C$271,3,FALSE)</f>
        <v>AFYONKARAHİSAR</v>
      </c>
      <c r="C20" s="2" t="str">
        <f>VLOOKUP(G20,Excel5!$A$2:$C$271,2,FALSE)</f>
        <v>EMİRDAĞ</v>
      </c>
      <c r="D20" s="5" t="s">
        <v>26</v>
      </c>
      <c r="G20">
        <v>15</v>
      </c>
    </row>
    <row r="21" spans="1:7" x14ac:dyDescent="0.3">
      <c r="A21">
        <v>16</v>
      </c>
      <c r="B21" s="2" t="str">
        <f>VLOOKUP(G21,Excel5!$A$2:$C$271,3,FALSE)</f>
        <v>AFYONKARAHİSAR</v>
      </c>
      <c r="C21" s="2" t="str">
        <f>VLOOKUP(G21,Excel5!$A$2:$C$271,2,FALSE)</f>
        <v>SANDIKLI</v>
      </c>
      <c r="D21" s="5" t="s">
        <v>26</v>
      </c>
      <c r="G21">
        <v>16</v>
      </c>
    </row>
    <row r="22" spans="1:7" x14ac:dyDescent="0.3">
      <c r="A22">
        <v>17</v>
      </c>
      <c r="B22" s="2" t="str">
        <f>VLOOKUP(G22,Excel5!$A$2:$C$271,3,FALSE)</f>
        <v>AFYONKARAHİSAR</v>
      </c>
      <c r="C22" s="2" t="str">
        <f>VLOOKUP(G22,Excel5!$A$2:$C$271,2,FALSE)</f>
        <v>SİNANPAŞA</v>
      </c>
      <c r="D22" s="5" t="s">
        <v>26</v>
      </c>
      <c r="G22">
        <v>17</v>
      </c>
    </row>
    <row r="23" spans="1:7" x14ac:dyDescent="0.3">
      <c r="A23">
        <v>18</v>
      </c>
      <c r="B23" s="2" t="str">
        <f>VLOOKUP(G23,Excel5!$A$2:$C$271,3,FALSE)</f>
        <v>AFYONKARAHİSAR</v>
      </c>
      <c r="C23" s="2" t="str">
        <f>VLOOKUP(G23,Excel5!$A$2:$C$271,2,FALSE)</f>
        <v>HOCALAR</v>
      </c>
      <c r="D23" s="5" t="s">
        <v>26</v>
      </c>
      <c r="G23">
        <v>18</v>
      </c>
    </row>
    <row r="24" spans="1:7" x14ac:dyDescent="0.3">
      <c r="A24">
        <v>19</v>
      </c>
      <c r="B24" s="2" t="str">
        <f>VLOOKUP(G24,Excel5!$A$2:$C$271,3,FALSE)</f>
        <v>AĞRI</v>
      </c>
      <c r="C24" s="2" t="str">
        <f>VLOOKUP(G24,Excel5!$A$2:$C$271,2,FALSE)</f>
        <v>MERKEZ</v>
      </c>
      <c r="D24" s="5" t="s">
        <v>26</v>
      </c>
      <c r="G24">
        <v>19</v>
      </c>
    </row>
    <row r="25" spans="1:7" x14ac:dyDescent="0.3">
      <c r="A25">
        <v>20</v>
      </c>
      <c r="B25" s="2" t="str">
        <f>VLOOKUP(G25,Excel5!$A$2:$C$271,3,FALSE)</f>
        <v>AĞRI</v>
      </c>
      <c r="C25" s="2" t="str">
        <f>VLOOKUP(G25,Excel5!$A$2:$C$271,2,FALSE)</f>
        <v>PATNOS</v>
      </c>
      <c r="D25" s="5" t="s">
        <v>26</v>
      </c>
      <c r="G25">
        <v>20</v>
      </c>
    </row>
    <row r="26" spans="1:7" x14ac:dyDescent="0.3">
      <c r="A26">
        <v>21</v>
      </c>
      <c r="B26" s="2" t="str">
        <f>VLOOKUP(G26,Excel5!$A$2:$C$271,3,FALSE)</f>
        <v>AĞRI</v>
      </c>
      <c r="C26" s="2" t="str">
        <f>VLOOKUP(G26,Excel5!$A$2:$C$271,2,FALSE)</f>
        <v>DOĞUBAYAZIT</v>
      </c>
      <c r="D26" s="5" t="s">
        <v>26</v>
      </c>
      <c r="G26">
        <v>21</v>
      </c>
    </row>
    <row r="27" spans="1:7" x14ac:dyDescent="0.3">
      <c r="A27">
        <v>22</v>
      </c>
      <c r="B27" s="2" t="str">
        <f>VLOOKUP(G27,Excel5!$A$2:$C$271,3,FALSE)</f>
        <v>AKSARAY</v>
      </c>
      <c r="C27" s="2" t="str">
        <f>VLOOKUP(G27,Excel5!$A$2:$C$271,2,FALSE)</f>
        <v>MERKEZ</v>
      </c>
      <c r="D27" s="5" t="s">
        <v>26</v>
      </c>
      <c r="G27">
        <v>22</v>
      </c>
    </row>
    <row r="28" spans="1:7" x14ac:dyDescent="0.3">
      <c r="A28">
        <v>23</v>
      </c>
      <c r="B28" s="2" t="str">
        <f>VLOOKUP(G28,Excel5!$A$2:$C$271,3,FALSE)</f>
        <v>AKSARAY</v>
      </c>
      <c r="C28" s="2" t="str">
        <f>VLOOKUP(G28,Excel5!$A$2:$C$271,2,FALSE)</f>
        <v>SULTANHANI</v>
      </c>
      <c r="D28" s="5" t="s">
        <v>26</v>
      </c>
      <c r="G28">
        <v>23</v>
      </c>
    </row>
    <row r="29" spans="1:7" x14ac:dyDescent="0.3">
      <c r="A29">
        <v>24</v>
      </c>
      <c r="B29" s="2" t="str">
        <f>VLOOKUP(G29,Excel5!$A$2:$C$271,3,FALSE)</f>
        <v>AKSARAY</v>
      </c>
      <c r="C29" s="2" t="str">
        <f>VLOOKUP(G29,Excel5!$A$2:$C$271,2,FALSE)</f>
        <v>AĞAÇÖREN</v>
      </c>
      <c r="D29" s="5" t="s">
        <v>26</v>
      </c>
      <c r="G29">
        <v>24</v>
      </c>
    </row>
    <row r="30" spans="1:7" x14ac:dyDescent="0.3">
      <c r="A30">
        <v>25</v>
      </c>
      <c r="B30" s="2" t="str">
        <f>VLOOKUP(G30,Excel5!$A$2:$C$271,3,FALSE)</f>
        <v>AKSARAY</v>
      </c>
      <c r="C30" s="2" t="str">
        <f>VLOOKUP(G30,Excel5!$A$2:$C$271,2,FALSE)</f>
        <v>ESKİL</v>
      </c>
      <c r="D30" s="5" t="s">
        <v>26</v>
      </c>
      <c r="G30">
        <v>25</v>
      </c>
    </row>
    <row r="31" spans="1:7" x14ac:dyDescent="0.3">
      <c r="A31">
        <v>26</v>
      </c>
      <c r="B31" s="2" t="str">
        <f>VLOOKUP(G31,Excel5!$A$2:$C$271,3,FALSE)</f>
        <v>AKSARAY</v>
      </c>
      <c r="C31" s="2" t="str">
        <f>VLOOKUP(G31,Excel5!$A$2:$C$271,2,FALSE)</f>
        <v>ORTAKÖY</v>
      </c>
      <c r="D31" s="5" t="s">
        <v>26</v>
      </c>
      <c r="G31">
        <v>26</v>
      </c>
    </row>
    <row r="32" spans="1:7" x14ac:dyDescent="0.3">
      <c r="A32">
        <v>27</v>
      </c>
      <c r="B32" s="2" t="str">
        <f>VLOOKUP(G32,Excel5!$A$2:$C$271,3,FALSE)</f>
        <v>AKSARAY</v>
      </c>
      <c r="C32" s="2" t="str">
        <f>VLOOKUP(G32,Excel5!$A$2:$C$271,2,FALSE)</f>
        <v>GÜZELYURT</v>
      </c>
      <c r="D32" s="5" t="s">
        <v>26</v>
      </c>
      <c r="G32">
        <v>27</v>
      </c>
    </row>
    <row r="33" spans="1:7" x14ac:dyDescent="0.3">
      <c r="A33">
        <v>28</v>
      </c>
      <c r="B33" s="2" t="str">
        <f>VLOOKUP(G33,Excel5!$A$2:$C$271,3,FALSE)</f>
        <v>AMASYA</v>
      </c>
      <c r="C33" s="2" t="str">
        <f>VLOOKUP(G33,Excel5!$A$2:$C$271,2,FALSE)</f>
        <v>MERKEZ</v>
      </c>
      <c r="D33" s="5" t="s">
        <v>26</v>
      </c>
      <c r="G33">
        <v>28</v>
      </c>
    </row>
    <row r="34" spans="1:7" x14ac:dyDescent="0.3">
      <c r="A34">
        <v>29</v>
      </c>
      <c r="B34" s="2" t="str">
        <f>VLOOKUP(G34,Excel5!$A$2:$C$271,3,FALSE)</f>
        <v>AMASYA</v>
      </c>
      <c r="C34" s="2" t="str">
        <f>VLOOKUP(G34,Excel5!$A$2:$C$271,2,FALSE)</f>
        <v>MERZİFON</v>
      </c>
      <c r="D34" s="5" t="s">
        <v>26</v>
      </c>
      <c r="G34">
        <v>29</v>
      </c>
    </row>
    <row r="35" spans="1:7" x14ac:dyDescent="0.3">
      <c r="A35">
        <v>30</v>
      </c>
      <c r="B35" s="2" t="str">
        <f>VLOOKUP(G35,Excel5!$A$2:$C$271,3,FALSE)</f>
        <v>AMASYA</v>
      </c>
      <c r="C35" s="2" t="str">
        <f>VLOOKUP(G35,Excel5!$A$2:$C$271,2,FALSE)</f>
        <v>GÜMÜŞHACIKÖY</v>
      </c>
      <c r="D35" s="5" t="s">
        <v>26</v>
      </c>
      <c r="G35">
        <v>30</v>
      </c>
    </row>
    <row r="36" spans="1:7" x14ac:dyDescent="0.3">
      <c r="A36">
        <v>31</v>
      </c>
      <c r="B36" s="2" t="str">
        <f>VLOOKUP(G36,Excel5!$A$2:$C$271,3,FALSE)</f>
        <v>AMASYA</v>
      </c>
      <c r="C36" s="2" t="str">
        <f>VLOOKUP(G36,Excel5!$A$2:$C$271,2,FALSE)</f>
        <v>GÖYNÜCEK</v>
      </c>
      <c r="D36" s="5" t="s">
        <v>26</v>
      </c>
      <c r="G36">
        <v>31</v>
      </c>
    </row>
    <row r="37" spans="1:7" x14ac:dyDescent="0.3">
      <c r="A37">
        <v>32</v>
      </c>
      <c r="B37" s="2" t="str">
        <f>VLOOKUP(G37,Excel5!$A$2:$C$271,3,FALSE)</f>
        <v>AMASYA</v>
      </c>
      <c r="C37" s="2" t="str">
        <f>VLOOKUP(G37,Excel5!$A$2:$C$271,2,FALSE)</f>
        <v>TAŞOVA</v>
      </c>
      <c r="D37" s="5" t="s">
        <v>26</v>
      </c>
      <c r="G37">
        <v>32</v>
      </c>
    </row>
    <row r="38" spans="1:7" x14ac:dyDescent="0.3">
      <c r="A38">
        <v>33</v>
      </c>
      <c r="B38" s="2" t="str">
        <f>VLOOKUP(G38,Excel5!$A$2:$C$271,3,FALSE)</f>
        <v>AMASYA</v>
      </c>
      <c r="C38" s="2" t="str">
        <f>VLOOKUP(G38,Excel5!$A$2:$C$271,2,FALSE)</f>
        <v>SULUOVA</v>
      </c>
      <c r="D38" s="5" t="s">
        <v>26</v>
      </c>
      <c r="G38">
        <v>33</v>
      </c>
    </row>
    <row r="39" spans="1:7" x14ac:dyDescent="0.3">
      <c r="A39">
        <v>34</v>
      </c>
      <c r="B39" s="2" t="str">
        <f>VLOOKUP(G39,Excel5!$A$2:$C$271,3,FALSE)</f>
        <v>ANKARA</v>
      </c>
      <c r="C39" s="2" t="str">
        <f>VLOOKUP(G39,Excel5!$A$2:$C$271,2,FALSE)</f>
        <v>ANKARA BÜYÜKŞEHİR</v>
      </c>
      <c r="D39" s="5" t="s">
        <v>26</v>
      </c>
      <c r="G39">
        <v>34</v>
      </c>
    </row>
    <row r="40" spans="1:7" x14ac:dyDescent="0.3">
      <c r="A40">
        <v>35</v>
      </c>
      <c r="B40" s="2" t="str">
        <f>VLOOKUP(G40,Excel5!$A$2:$C$271,3,FALSE)</f>
        <v>ANTALYA</v>
      </c>
      <c r="C40" s="2" t="str">
        <f>VLOOKUP(G40,Excel5!$A$2:$C$271,2,FALSE)</f>
        <v>ANTALYA BÜYÜKŞEHİR</v>
      </c>
      <c r="D40" s="5" t="s">
        <v>26</v>
      </c>
      <c r="G40">
        <v>35</v>
      </c>
    </row>
    <row r="41" spans="1:7" x14ac:dyDescent="0.3">
      <c r="A41">
        <v>36</v>
      </c>
      <c r="B41" s="2" t="str">
        <f>VLOOKUP(G41,Excel5!$A$2:$C$271,3,FALSE)</f>
        <v>ARDAHAN</v>
      </c>
      <c r="C41" s="2" t="str">
        <f>VLOOKUP(G41,Excel5!$A$2:$C$271,2,FALSE)</f>
        <v>MERKEZ</v>
      </c>
      <c r="D41" s="5" t="s">
        <v>26</v>
      </c>
      <c r="G41">
        <v>36</v>
      </c>
    </row>
    <row r="42" spans="1:7" x14ac:dyDescent="0.3">
      <c r="A42">
        <v>37</v>
      </c>
      <c r="B42" s="2" t="str">
        <f>VLOOKUP(G42,Excel5!$A$2:$C$271,3,FALSE)</f>
        <v>ARDAHAN</v>
      </c>
      <c r="C42" s="2" t="str">
        <f>VLOOKUP(G42,Excel5!$A$2:$C$271,2,FALSE)</f>
        <v>GÖLE</v>
      </c>
      <c r="D42" s="5" t="s">
        <v>26</v>
      </c>
      <c r="G42">
        <v>37</v>
      </c>
    </row>
    <row r="43" spans="1:7" x14ac:dyDescent="0.3">
      <c r="A43">
        <v>38</v>
      </c>
      <c r="B43" s="2" t="str">
        <f>VLOOKUP(G43,Excel5!$A$2:$C$271,3,FALSE)</f>
        <v>ARDAHAN</v>
      </c>
      <c r="C43" s="2" t="str">
        <f>VLOOKUP(G43,Excel5!$A$2:$C$271,2,FALSE)</f>
        <v>HANAK</v>
      </c>
      <c r="D43" s="5" t="s">
        <v>26</v>
      </c>
      <c r="G43">
        <v>38</v>
      </c>
    </row>
    <row r="44" spans="1:7" x14ac:dyDescent="0.3">
      <c r="A44">
        <v>39</v>
      </c>
      <c r="B44" s="2" t="str">
        <f>VLOOKUP(G44,Excel5!$A$2:$C$271,3,FALSE)</f>
        <v>ARDAHAN</v>
      </c>
      <c r="C44" s="2" t="str">
        <f>VLOOKUP(G44,Excel5!$A$2:$C$271,2,FALSE)</f>
        <v>POSOF</v>
      </c>
      <c r="D44" s="5" t="s">
        <v>26</v>
      </c>
      <c r="G44">
        <v>39</v>
      </c>
    </row>
    <row r="45" spans="1:7" x14ac:dyDescent="0.3">
      <c r="A45">
        <v>40</v>
      </c>
      <c r="B45" s="2" t="str">
        <f>VLOOKUP(G45,Excel5!$A$2:$C$271,3,FALSE)</f>
        <v>ARDAHAN</v>
      </c>
      <c r="C45" s="2" t="str">
        <f>VLOOKUP(G45,Excel5!$A$2:$C$271,2,FALSE)</f>
        <v>DAMAL</v>
      </c>
      <c r="D45" s="5" t="s">
        <v>26</v>
      </c>
      <c r="G45">
        <v>40</v>
      </c>
    </row>
    <row r="46" spans="1:7" x14ac:dyDescent="0.3">
      <c r="A46">
        <v>41</v>
      </c>
      <c r="B46" s="2" t="str">
        <f>VLOOKUP(G46,Excel5!$A$2:$C$271,3,FALSE)</f>
        <v>ARTVİN</v>
      </c>
      <c r="C46" s="2" t="str">
        <f>VLOOKUP(G46,Excel5!$A$2:$C$271,2,FALSE)</f>
        <v>HOPA</v>
      </c>
      <c r="D46" s="5" t="s">
        <v>26</v>
      </c>
      <c r="G46">
        <v>41</v>
      </c>
    </row>
    <row r="47" spans="1:7" x14ac:dyDescent="0.3">
      <c r="A47">
        <v>42</v>
      </c>
      <c r="B47" s="2" t="str">
        <f>VLOOKUP(G47,Excel5!$A$2:$C$271,3,FALSE)</f>
        <v>ARTVİN</v>
      </c>
      <c r="C47" s="2" t="str">
        <f>VLOOKUP(G47,Excel5!$A$2:$C$271,2,FALSE)</f>
        <v>MERKEZ</v>
      </c>
      <c r="D47" s="5" t="s">
        <v>26</v>
      </c>
      <c r="G47">
        <v>42</v>
      </c>
    </row>
    <row r="48" spans="1:7" x14ac:dyDescent="0.3">
      <c r="A48">
        <v>43</v>
      </c>
      <c r="B48" s="2" t="str">
        <f>VLOOKUP(G48,Excel5!$A$2:$C$271,3,FALSE)</f>
        <v>ARTVİN</v>
      </c>
      <c r="C48" s="2" t="str">
        <f>VLOOKUP(G48,Excel5!$A$2:$C$271,2,FALSE)</f>
        <v>YUSUFELİ</v>
      </c>
      <c r="D48" s="5" t="s">
        <v>26</v>
      </c>
      <c r="G48">
        <v>43</v>
      </c>
    </row>
    <row r="49" spans="1:7" x14ac:dyDescent="0.3">
      <c r="A49">
        <v>44</v>
      </c>
      <c r="B49" s="2" t="str">
        <f>VLOOKUP(G49,Excel5!$A$2:$C$271,3,FALSE)</f>
        <v>ARTVİN</v>
      </c>
      <c r="C49" s="2" t="str">
        <f>VLOOKUP(G49,Excel5!$A$2:$C$271,2,FALSE)</f>
        <v>ARHAVİ</v>
      </c>
      <c r="D49" s="5" t="s">
        <v>26</v>
      </c>
      <c r="G49">
        <v>44</v>
      </c>
    </row>
    <row r="50" spans="1:7" x14ac:dyDescent="0.3">
      <c r="A50">
        <v>45</v>
      </c>
      <c r="B50" s="2" t="str">
        <f>VLOOKUP(G50,Excel5!$A$2:$C$271,3,FALSE)</f>
        <v>AYDIN</v>
      </c>
      <c r="C50" s="2" t="str">
        <f>VLOOKUP(G50,Excel5!$A$2:$C$271,2,FALSE)</f>
        <v>AYDIN BÜYÜKŞEHİR</v>
      </c>
      <c r="D50" s="5" t="s">
        <v>26</v>
      </c>
      <c r="G50">
        <v>45</v>
      </c>
    </row>
    <row r="51" spans="1:7" x14ac:dyDescent="0.3">
      <c r="A51">
        <v>46</v>
      </c>
      <c r="B51" s="2" t="str">
        <f>VLOOKUP(G51,Excel5!$A$2:$C$271,3,FALSE)</f>
        <v>BALIKESİR</v>
      </c>
      <c r="C51" s="2" t="str">
        <f>VLOOKUP(G51,Excel5!$A$2:$C$271,2,FALSE)</f>
        <v>BALIKESİR BÜYÜKŞEHİR</v>
      </c>
      <c r="D51" s="5" t="s">
        <v>26</v>
      </c>
      <c r="G51">
        <v>46</v>
      </c>
    </row>
    <row r="52" spans="1:7" x14ac:dyDescent="0.3">
      <c r="A52">
        <v>47</v>
      </c>
      <c r="B52" s="2" t="str">
        <f>VLOOKUP(G52,Excel5!$A$2:$C$271,3,FALSE)</f>
        <v>BARTIN</v>
      </c>
      <c r="C52" s="2" t="str">
        <f>VLOOKUP(G52,Excel5!$A$2:$C$271,2,FALSE)</f>
        <v>ULUS</v>
      </c>
      <c r="D52" s="5" t="s">
        <v>26</v>
      </c>
      <c r="G52">
        <v>47</v>
      </c>
    </row>
    <row r="53" spans="1:7" x14ac:dyDescent="0.3">
      <c r="A53">
        <v>48</v>
      </c>
      <c r="B53" s="2" t="str">
        <f>VLOOKUP(G53,Excel5!$A$2:$C$271,3,FALSE)</f>
        <v>BARTIN</v>
      </c>
      <c r="C53" s="2" t="str">
        <f>VLOOKUP(G53,Excel5!$A$2:$C$271,2,FALSE)</f>
        <v>MERKEZ</v>
      </c>
      <c r="D53" s="5" t="s">
        <v>26</v>
      </c>
      <c r="G53">
        <v>48</v>
      </c>
    </row>
    <row r="54" spans="1:7" x14ac:dyDescent="0.3">
      <c r="A54">
        <v>49</v>
      </c>
      <c r="B54" s="2" t="str">
        <f>VLOOKUP(G54,Excel5!$A$2:$C$271,3,FALSE)</f>
        <v>BARTIN</v>
      </c>
      <c r="C54" s="2" t="str">
        <f>VLOOKUP(G54,Excel5!$A$2:$C$271,2,FALSE)</f>
        <v>KURUCAŞİLE</v>
      </c>
      <c r="D54" s="5" t="s">
        <v>26</v>
      </c>
      <c r="G54">
        <v>49</v>
      </c>
    </row>
    <row r="55" spans="1:7" x14ac:dyDescent="0.3">
      <c r="A55">
        <v>50</v>
      </c>
      <c r="B55" s="2" t="str">
        <f>VLOOKUP(G55,Excel5!$A$2:$C$271,3,FALSE)</f>
        <v>BARTIN</v>
      </c>
      <c r="C55" s="2" t="str">
        <f>VLOOKUP(G55,Excel5!$A$2:$C$271,2,FALSE)</f>
        <v>AMASRA</v>
      </c>
      <c r="D55" s="5" t="s">
        <v>26</v>
      </c>
      <c r="G55">
        <v>50</v>
      </c>
    </row>
    <row r="56" spans="1:7" x14ac:dyDescent="0.3">
      <c r="A56">
        <v>51</v>
      </c>
      <c r="B56" s="2" t="str">
        <f>VLOOKUP(G56,Excel5!$A$2:$C$271,3,FALSE)</f>
        <v>BATMAN</v>
      </c>
      <c r="C56" s="2" t="str">
        <f>VLOOKUP(G56,Excel5!$A$2:$C$271,2,FALSE)</f>
        <v>BEŞİRİ</v>
      </c>
      <c r="D56" s="5" t="s">
        <v>26</v>
      </c>
      <c r="G56">
        <v>51</v>
      </c>
    </row>
    <row r="57" spans="1:7" x14ac:dyDescent="0.3">
      <c r="A57">
        <v>52</v>
      </c>
      <c r="B57" s="2" t="str">
        <f>VLOOKUP(G57,Excel5!$A$2:$C$271,3,FALSE)</f>
        <v>BATMAN</v>
      </c>
      <c r="C57" s="2" t="str">
        <f>VLOOKUP(G57,Excel5!$A$2:$C$271,2,FALSE)</f>
        <v>MERKEZ</v>
      </c>
      <c r="D57" s="5" t="s">
        <v>26</v>
      </c>
      <c r="G57">
        <v>52</v>
      </c>
    </row>
    <row r="58" spans="1:7" x14ac:dyDescent="0.3">
      <c r="A58">
        <v>53</v>
      </c>
      <c r="B58" s="2" t="str">
        <f>VLOOKUP(G58,Excel5!$A$2:$C$271,3,FALSE)</f>
        <v>BATMAN</v>
      </c>
      <c r="C58" s="2" t="str">
        <f>VLOOKUP(G58,Excel5!$A$2:$C$271,2,FALSE)</f>
        <v>GERCÜŞ</v>
      </c>
      <c r="D58" s="5" t="s">
        <v>26</v>
      </c>
      <c r="G58">
        <v>53</v>
      </c>
    </row>
    <row r="59" spans="1:7" x14ac:dyDescent="0.3">
      <c r="A59">
        <v>54</v>
      </c>
      <c r="B59" s="2" t="str">
        <f>VLOOKUP(G59,Excel5!$A$2:$C$271,3,FALSE)</f>
        <v>BAYBURT</v>
      </c>
      <c r="C59" s="2" t="str">
        <f>VLOOKUP(G59,Excel5!$A$2:$C$271,2,FALSE)</f>
        <v>MERKEZ</v>
      </c>
      <c r="D59" s="5" t="s">
        <v>26</v>
      </c>
      <c r="G59">
        <v>54</v>
      </c>
    </row>
    <row r="60" spans="1:7" x14ac:dyDescent="0.3">
      <c r="A60">
        <v>55</v>
      </c>
      <c r="B60" s="2" t="str">
        <f>VLOOKUP(G60,Excel5!$A$2:$C$271,3,FALSE)</f>
        <v>BİLECİK</v>
      </c>
      <c r="C60" s="2" t="str">
        <f>VLOOKUP(G60,Excel5!$A$2:$C$271,2,FALSE)</f>
        <v>BOZÜYÜK</v>
      </c>
      <c r="D60" s="5" t="s">
        <v>26</v>
      </c>
      <c r="G60">
        <v>55</v>
      </c>
    </row>
    <row r="61" spans="1:7" x14ac:dyDescent="0.3">
      <c r="A61">
        <v>56</v>
      </c>
      <c r="B61" s="2" t="str">
        <f>VLOOKUP(G61,Excel5!$A$2:$C$271,3,FALSE)</f>
        <v>BİLECİK</v>
      </c>
      <c r="C61" s="2" t="str">
        <f>VLOOKUP(G61,Excel5!$A$2:$C$271,2,FALSE)</f>
        <v>SÖĞÜT</v>
      </c>
      <c r="D61" s="5" t="s">
        <v>26</v>
      </c>
      <c r="G61">
        <v>56</v>
      </c>
    </row>
    <row r="62" spans="1:7" x14ac:dyDescent="0.3">
      <c r="A62">
        <v>57</v>
      </c>
      <c r="B62" s="2" t="str">
        <f>VLOOKUP(G62,Excel5!$A$2:$C$271,3,FALSE)</f>
        <v>BİLECİK</v>
      </c>
      <c r="C62" s="2" t="str">
        <f>VLOOKUP(G62,Excel5!$A$2:$C$271,2,FALSE)</f>
        <v>MERKEZ</v>
      </c>
      <c r="D62" s="5" t="s">
        <v>26</v>
      </c>
      <c r="G62">
        <v>57</v>
      </c>
    </row>
    <row r="63" spans="1:7" x14ac:dyDescent="0.3">
      <c r="A63">
        <v>58</v>
      </c>
      <c r="B63" s="2" t="str">
        <f>VLOOKUP(G63,Excel5!$A$2:$C$271,3,FALSE)</f>
        <v>BİLECİK</v>
      </c>
      <c r="C63" s="2" t="str">
        <f>VLOOKUP(G63,Excel5!$A$2:$C$271,2,FALSE)</f>
        <v>OSMANELİ</v>
      </c>
      <c r="D63" s="5" t="s">
        <v>26</v>
      </c>
      <c r="G63">
        <v>58</v>
      </c>
    </row>
    <row r="64" spans="1:7" x14ac:dyDescent="0.3">
      <c r="A64">
        <v>59</v>
      </c>
      <c r="B64" s="2" t="str">
        <f>VLOOKUP(G64,Excel5!$A$2:$C$271,3,FALSE)</f>
        <v>BİLECİK</v>
      </c>
      <c r="C64" s="2" t="str">
        <f>VLOOKUP(G64,Excel5!$A$2:$C$271,2,FALSE)</f>
        <v>GÖLPAZARI</v>
      </c>
      <c r="D64" s="5" t="s">
        <v>26</v>
      </c>
      <c r="G64">
        <v>59</v>
      </c>
    </row>
    <row r="65" spans="1:7" x14ac:dyDescent="0.3">
      <c r="A65">
        <v>60</v>
      </c>
      <c r="B65" s="2" t="str">
        <f>VLOOKUP(G65,Excel5!$A$2:$C$271,3,FALSE)</f>
        <v>BİNGÖL</v>
      </c>
      <c r="C65" s="2" t="str">
        <f>VLOOKUP(G65,Excel5!$A$2:$C$271,2,FALSE)</f>
        <v>MERKEZ</v>
      </c>
      <c r="D65" s="5" t="s">
        <v>26</v>
      </c>
      <c r="G65">
        <v>60</v>
      </c>
    </row>
    <row r="66" spans="1:7" x14ac:dyDescent="0.3">
      <c r="A66">
        <v>61</v>
      </c>
      <c r="B66" s="2" t="str">
        <f>VLOOKUP(G66,Excel5!$A$2:$C$271,3,FALSE)</f>
        <v>BİNGÖL</v>
      </c>
      <c r="C66" s="2" t="str">
        <f>VLOOKUP(G66,Excel5!$A$2:$C$271,2,FALSE)</f>
        <v>KARLIOVA</v>
      </c>
      <c r="D66" s="5" t="s">
        <v>26</v>
      </c>
      <c r="G66">
        <v>61</v>
      </c>
    </row>
    <row r="67" spans="1:7" x14ac:dyDescent="0.3">
      <c r="A67">
        <v>62</v>
      </c>
      <c r="B67" s="2" t="str">
        <f>VLOOKUP(G67,Excel5!$A$2:$C$271,3,FALSE)</f>
        <v>BİTLİS</v>
      </c>
      <c r="C67" s="2" t="str">
        <f>VLOOKUP(G67,Excel5!$A$2:$C$271,2,FALSE)</f>
        <v>MERKEZ</v>
      </c>
      <c r="D67" s="5" t="s">
        <v>26</v>
      </c>
      <c r="G67">
        <v>62</v>
      </c>
    </row>
    <row r="68" spans="1:7" x14ac:dyDescent="0.3">
      <c r="A68">
        <v>63</v>
      </c>
      <c r="B68" s="2" t="str">
        <f>VLOOKUP(G68,Excel5!$A$2:$C$271,3,FALSE)</f>
        <v>BİTLİS</v>
      </c>
      <c r="C68" s="2" t="str">
        <f>VLOOKUP(G68,Excel5!$A$2:$C$271,2,FALSE)</f>
        <v>TATVAN</v>
      </c>
      <c r="D68" s="5" t="s">
        <v>26</v>
      </c>
      <c r="G68">
        <v>63</v>
      </c>
    </row>
    <row r="69" spans="1:7" x14ac:dyDescent="0.3">
      <c r="A69">
        <v>64</v>
      </c>
      <c r="B69" s="2" t="str">
        <f>VLOOKUP(G69,Excel5!$A$2:$C$271,3,FALSE)</f>
        <v>BİTLİS</v>
      </c>
      <c r="C69" s="2" t="str">
        <f>VLOOKUP(G69,Excel5!$A$2:$C$271,2,FALSE)</f>
        <v>AHLAT</v>
      </c>
      <c r="D69" s="5" t="s">
        <v>26</v>
      </c>
      <c r="G69">
        <v>64</v>
      </c>
    </row>
    <row r="70" spans="1:7" x14ac:dyDescent="0.3">
      <c r="A70">
        <v>65</v>
      </c>
      <c r="B70" s="2" t="str">
        <f>VLOOKUP(G70,Excel5!$A$2:$C$271,3,FALSE)</f>
        <v>BOLU</v>
      </c>
      <c r="C70" s="2" t="str">
        <f>VLOOKUP(G70,Excel5!$A$2:$C$271,2,FALSE)</f>
        <v>MERKEZ</v>
      </c>
      <c r="D70" s="5" t="s">
        <v>26</v>
      </c>
      <c r="G70">
        <v>65</v>
      </c>
    </row>
    <row r="71" spans="1:7" x14ac:dyDescent="0.3">
      <c r="A71">
        <v>66</v>
      </c>
      <c r="B71" s="2" t="str">
        <f>VLOOKUP(G71,Excel5!$A$2:$C$271,3,FALSE)</f>
        <v>BOLU</v>
      </c>
      <c r="C71" s="2" t="str">
        <f>VLOOKUP(G71,Excel5!$A$2:$C$271,2,FALSE)</f>
        <v>GEREDE</v>
      </c>
      <c r="D71" s="5" t="s">
        <v>26</v>
      </c>
      <c r="G71">
        <v>66</v>
      </c>
    </row>
    <row r="72" spans="1:7" x14ac:dyDescent="0.3">
      <c r="A72">
        <v>67</v>
      </c>
      <c r="B72" s="2" t="str">
        <f>VLOOKUP(G72,Excel5!$A$2:$C$271,3,FALSE)</f>
        <v>BOLU</v>
      </c>
      <c r="C72" s="2" t="str">
        <f>VLOOKUP(G72,Excel5!$A$2:$C$271,2,FALSE)</f>
        <v>GÖYNÜK</v>
      </c>
      <c r="D72" s="5" t="s">
        <v>26</v>
      </c>
      <c r="G72">
        <v>67</v>
      </c>
    </row>
    <row r="73" spans="1:7" x14ac:dyDescent="0.3">
      <c r="A73">
        <v>68</v>
      </c>
      <c r="B73" s="2" t="str">
        <f>VLOOKUP(G73,Excel5!$A$2:$C$271,3,FALSE)</f>
        <v>BOLU</v>
      </c>
      <c r="C73" s="2" t="str">
        <f>VLOOKUP(G73,Excel5!$A$2:$C$271,2,FALSE)</f>
        <v>YENİÇAĞA</v>
      </c>
      <c r="D73" s="5" t="s">
        <v>26</v>
      </c>
      <c r="G73">
        <v>68</v>
      </c>
    </row>
    <row r="74" spans="1:7" x14ac:dyDescent="0.3">
      <c r="A74">
        <v>69</v>
      </c>
      <c r="B74" s="2" t="str">
        <f>VLOOKUP(G74,Excel5!$A$2:$C$271,3,FALSE)</f>
        <v>BURDUR</v>
      </c>
      <c r="C74" s="2" t="str">
        <f>VLOOKUP(G74,Excel5!$A$2:$C$271,2,FALSE)</f>
        <v>MERKEZ</v>
      </c>
      <c r="D74" s="5" t="s">
        <v>26</v>
      </c>
      <c r="G74">
        <v>69</v>
      </c>
    </row>
    <row r="75" spans="1:7" x14ac:dyDescent="0.3">
      <c r="A75">
        <v>70</v>
      </c>
      <c r="B75" s="2" t="str">
        <f>VLOOKUP(G75,Excel5!$A$2:$C$271,3,FALSE)</f>
        <v>BURDUR</v>
      </c>
      <c r="C75" s="2" t="str">
        <f>VLOOKUP(G75,Excel5!$A$2:$C$271,2,FALSE)</f>
        <v>ÇAVDIR</v>
      </c>
      <c r="D75" s="5" t="s">
        <v>26</v>
      </c>
      <c r="G75">
        <v>70</v>
      </c>
    </row>
    <row r="76" spans="1:7" x14ac:dyDescent="0.3">
      <c r="A76">
        <v>71</v>
      </c>
      <c r="B76" s="2" t="str">
        <f>VLOOKUP(G76,Excel5!$A$2:$C$271,3,FALSE)</f>
        <v>BURDUR</v>
      </c>
      <c r="C76" s="2" t="str">
        <f>VLOOKUP(G76,Excel5!$A$2:$C$271,2,FALSE)</f>
        <v>GÖLHİSAR</v>
      </c>
      <c r="D76" s="5" t="s">
        <v>26</v>
      </c>
      <c r="G76">
        <v>71</v>
      </c>
    </row>
    <row r="77" spans="1:7" x14ac:dyDescent="0.3">
      <c r="A77">
        <v>72</v>
      </c>
      <c r="B77" s="2" t="str">
        <f>VLOOKUP(G77,Excel5!$A$2:$C$271,3,FALSE)</f>
        <v>BURDUR</v>
      </c>
      <c r="C77" s="2" t="str">
        <f>VLOOKUP(G77,Excel5!$A$2:$C$271,2,FALSE)</f>
        <v>KARAMANLI</v>
      </c>
      <c r="D77" s="5" t="s">
        <v>26</v>
      </c>
      <c r="G77">
        <v>72</v>
      </c>
    </row>
    <row r="78" spans="1:7" x14ac:dyDescent="0.3">
      <c r="A78">
        <v>73</v>
      </c>
      <c r="B78" s="2" t="str">
        <f>VLOOKUP(G78,Excel5!$A$2:$C$271,3,FALSE)</f>
        <v>ÇANAKKALE</v>
      </c>
      <c r="C78" s="2" t="str">
        <f>VLOOKUP(G78,Excel5!$A$2:$C$271,2,FALSE)</f>
        <v>AYVACIK</v>
      </c>
      <c r="D78" s="5" t="s">
        <v>26</v>
      </c>
      <c r="G78">
        <v>73</v>
      </c>
    </row>
    <row r="79" spans="1:7" x14ac:dyDescent="0.3">
      <c r="A79">
        <v>74</v>
      </c>
      <c r="B79" s="2" t="str">
        <f>VLOOKUP(G79,Excel5!$A$2:$C$271,3,FALSE)</f>
        <v>ÇANAKKALE</v>
      </c>
      <c r="C79" s="2" t="str">
        <f>VLOOKUP(G79,Excel5!$A$2:$C$271,2,FALSE)</f>
        <v>MERKEZ</v>
      </c>
      <c r="D79" s="5" t="s">
        <v>26</v>
      </c>
      <c r="G79">
        <v>74</v>
      </c>
    </row>
    <row r="80" spans="1:7" x14ac:dyDescent="0.3">
      <c r="A80">
        <v>75</v>
      </c>
      <c r="B80" s="2" t="str">
        <f>VLOOKUP(G80,Excel5!$A$2:$C$271,3,FALSE)</f>
        <v>ÇANAKKALE</v>
      </c>
      <c r="C80" s="2" t="str">
        <f>VLOOKUP(G80,Excel5!$A$2:$C$271,2,FALSE)</f>
        <v>BİGA</v>
      </c>
      <c r="D80" s="5" t="s">
        <v>26</v>
      </c>
      <c r="G80">
        <v>75</v>
      </c>
    </row>
    <row r="81" spans="1:7" x14ac:dyDescent="0.3">
      <c r="A81">
        <v>76</v>
      </c>
      <c r="B81" s="2" t="str">
        <f>VLOOKUP(G81,Excel5!$A$2:$C$271,3,FALSE)</f>
        <v>ÇANAKKALE</v>
      </c>
      <c r="C81" s="2" t="str">
        <f>VLOOKUP(G81,Excel5!$A$2:$C$271,2,FALSE)</f>
        <v>LAPSEKİ</v>
      </c>
      <c r="D81" s="5" t="s">
        <v>26</v>
      </c>
      <c r="G81">
        <v>76</v>
      </c>
    </row>
    <row r="82" spans="1:7" x14ac:dyDescent="0.3">
      <c r="A82">
        <v>77</v>
      </c>
      <c r="B82" s="2" t="str">
        <f>VLOOKUP(G82,Excel5!$A$2:$C$271,3,FALSE)</f>
        <v>ÇANAKKALE</v>
      </c>
      <c r="C82" s="2" t="str">
        <f>VLOOKUP(G82,Excel5!$A$2:$C$271,2,FALSE)</f>
        <v>BOZCAADA</v>
      </c>
      <c r="D82" s="5" t="s">
        <v>26</v>
      </c>
      <c r="G82">
        <v>77</v>
      </c>
    </row>
    <row r="83" spans="1:7" x14ac:dyDescent="0.3">
      <c r="A83">
        <v>78</v>
      </c>
      <c r="B83" s="2" t="str">
        <f>VLOOKUP(G83,Excel5!$A$2:$C$271,3,FALSE)</f>
        <v>ÇANAKKALE</v>
      </c>
      <c r="C83" s="2" t="str">
        <f>VLOOKUP(G83,Excel5!$A$2:$C$271,2,FALSE)</f>
        <v>ECEABAT</v>
      </c>
      <c r="D83" s="5" t="s">
        <v>26</v>
      </c>
      <c r="G83">
        <v>78</v>
      </c>
    </row>
    <row r="84" spans="1:7" x14ac:dyDescent="0.3">
      <c r="A84">
        <v>79</v>
      </c>
      <c r="B84" s="2" t="str">
        <f>VLOOKUP(G84,Excel5!$A$2:$C$271,3,FALSE)</f>
        <v>ÇANAKKALE</v>
      </c>
      <c r="C84" s="2" t="str">
        <f>VLOOKUP(G84,Excel5!$A$2:$C$271,2,FALSE)</f>
        <v>EZİNE</v>
      </c>
      <c r="D84" s="5" t="s">
        <v>26</v>
      </c>
      <c r="G84">
        <v>79</v>
      </c>
    </row>
    <row r="85" spans="1:7" x14ac:dyDescent="0.3">
      <c r="A85">
        <v>80</v>
      </c>
      <c r="B85" s="2" t="str">
        <f>VLOOKUP(G85,Excel5!$A$2:$C$271,3,FALSE)</f>
        <v>ÇANAKKALE</v>
      </c>
      <c r="C85" s="2" t="str">
        <f>VLOOKUP(G85,Excel5!$A$2:$C$271,2,FALSE)</f>
        <v>ÇAN</v>
      </c>
      <c r="D85" s="5" t="s">
        <v>26</v>
      </c>
      <c r="G85">
        <v>80</v>
      </c>
    </row>
    <row r="86" spans="1:7" x14ac:dyDescent="0.3">
      <c r="A86">
        <v>81</v>
      </c>
      <c r="B86" s="2" t="str">
        <f>VLOOKUP(G86,Excel5!$A$2:$C$271,3,FALSE)</f>
        <v>ÇANAKKALE</v>
      </c>
      <c r="C86" s="2" t="str">
        <f>VLOOKUP(G86,Excel5!$A$2:$C$271,2,FALSE)</f>
        <v>GÖKÇEADA</v>
      </c>
      <c r="D86" s="5" t="s">
        <v>26</v>
      </c>
      <c r="G86">
        <v>81</v>
      </c>
    </row>
    <row r="87" spans="1:7" x14ac:dyDescent="0.3">
      <c r="A87">
        <v>82</v>
      </c>
      <c r="B87" s="2" t="str">
        <f>VLOOKUP(G87,Excel5!$A$2:$C$271,3,FALSE)</f>
        <v>ÇANAKKALE</v>
      </c>
      <c r="C87" s="2" t="str">
        <f>VLOOKUP(G87,Excel5!$A$2:$C$271,2,FALSE)</f>
        <v>GELİBOLU</v>
      </c>
      <c r="D87" s="5" t="s">
        <v>26</v>
      </c>
      <c r="G87">
        <v>82</v>
      </c>
    </row>
    <row r="88" spans="1:7" x14ac:dyDescent="0.3">
      <c r="A88">
        <v>83</v>
      </c>
      <c r="B88" s="2" t="str">
        <f>VLOOKUP(G88,Excel5!$A$2:$C$271,3,FALSE)</f>
        <v>ÇANAKKALE</v>
      </c>
      <c r="C88" s="2" t="str">
        <f>VLOOKUP(G88,Excel5!$A$2:$C$271,2,FALSE)</f>
        <v>YENİCE</v>
      </c>
      <c r="D88" s="5" t="s">
        <v>26</v>
      </c>
      <c r="G88">
        <v>83</v>
      </c>
    </row>
    <row r="89" spans="1:7" x14ac:dyDescent="0.3">
      <c r="A89">
        <v>84</v>
      </c>
      <c r="B89" s="2" t="str">
        <f>VLOOKUP(G89,Excel5!$A$2:$C$271,3,FALSE)</f>
        <v>ÇANAKKALE</v>
      </c>
      <c r="C89" s="2" t="str">
        <f>VLOOKUP(G89,Excel5!$A$2:$C$271,2,FALSE)</f>
        <v>BAYRAMİÇ</v>
      </c>
      <c r="D89" s="5" t="s">
        <v>26</v>
      </c>
      <c r="G89">
        <v>84</v>
      </c>
    </row>
    <row r="90" spans="1:7" x14ac:dyDescent="0.3">
      <c r="A90">
        <v>85</v>
      </c>
      <c r="B90" s="2" t="str">
        <f>VLOOKUP(G90,Excel5!$A$2:$C$271,3,FALSE)</f>
        <v>ÇANKIRI</v>
      </c>
      <c r="C90" s="2" t="str">
        <f>VLOOKUP(G90,Excel5!$A$2:$C$271,2,FALSE)</f>
        <v>MERKEZ</v>
      </c>
      <c r="D90" s="5" t="s">
        <v>26</v>
      </c>
      <c r="G90">
        <v>85</v>
      </c>
    </row>
    <row r="91" spans="1:7" x14ac:dyDescent="0.3">
      <c r="A91">
        <v>86</v>
      </c>
      <c r="B91" s="2" t="str">
        <f>VLOOKUP(G91,Excel5!$A$2:$C$271,3,FALSE)</f>
        <v>ÇANKIRI</v>
      </c>
      <c r="C91" s="2" t="str">
        <f>VLOOKUP(G91,Excel5!$A$2:$C$271,2,FALSE)</f>
        <v>ÇERKEŞ</v>
      </c>
      <c r="D91" s="5" t="s">
        <v>26</v>
      </c>
      <c r="G91">
        <v>86</v>
      </c>
    </row>
    <row r="92" spans="1:7" x14ac:dyDescent="0.3">
      <c r="A92">
        <v>87</v>
      </c>
      <c r="B92" s="2" t="str">
        <f>VLOOKUP(G92,Excel5!$A$2:$C$271,3,FALSE)</f>
        <v>ÇANKIRI</v>
      </c>
      <c r="C92" s="2" t="str">
        <f>VLOOKUP(G92,Excel5!$A$2:$C$271,2,FALSE)</f>
        <v>ORTA</v>
      </c>
      <c r="D92" s="5" t="s">
        <v>26</v>
      </c>
      <c r="G92">
        <v>87</v>
      </c>
    </row>
    <row r="93" spans="1:7" x14ac:dyDescent="0.3">
      <c r="A93">
        <v>88</v>
      </c>
      <c r="B93" s="2" t="str">
        <f>VLOOKUP(G93,Excel5!$A$2:$C$271,3,FALSE)</f>
        <v>ÇANKIRI</v>
      </c>
      <c r="C93" s="2" t="str">
        <f>VLOOKUP(G93,Excel5!$A$2:$C$271,2,FALSE)</f>
        <v>ELDİVAN</v>
      </c>
      <c r="D93" s="5" t="s">
        <v>26</v>
      </c>
      <c r="G93">
        <v>88</v>
      </c>
    </row>
    <row r="94" spans="1:7" x14ac:dyDescent="0.3">
      <c r="A94">
        <v>89</v>
      </c>
      <c r="B94" s="2" t="str">
        <f>VLOOKUP(G94,Excel5!$A$2:$C$271,3,FALSE)</f>
        <v>ÇANKIRI</v>
      </c>
      <c r="C94" s="2" t="str">
        <f>VLOOKUP(G94,Excel5!$A$2:$C$271,2,FALSE)</f>
        <v>ŞABANÖZÜ</v>
      </c>
      <c r="D94" s="5" t="s">
        <v>26</v>
      </c>
      <c r="G94">
        <v>89</v>
      </c>
    </row>
    <row r="95" spans="1:7" x14ac:dyDescent="0.3">
      <c r="A95">
        <v>90</v>
      </c>
      <c r="B95" s="2" t="str">
        <f>VLOOKUP(G95,Excel5!$A$2:$C$271,3,FALSE)</f>
        <v>ÇANKIRI</v>
      </c>
      <c r="C95" s="2" t="str">
        <f>VLOOKUP(G95,Excel5!$A$2:$C$271,2,FALSE)</f>
        <v>ILGAZ</v>
      </c>
      <c r="D95" s="5" t="s">
        <v>26</v>
      </c>
      <c r="G95">
        <v>90</v>
      </c>
    </row>
    <row r="96" spans="1:7" x14ac:dyDescent="0.3">
      <c r="A96">
        <v>91</v>
      </c>
      <c r="B96" s="2" t="str">
        <f>VLOOKUP(G96,Excel5!$A$2:$C$271,3,FALSE)</f>
        <v>ÇORUM</v>
      </c>
      <c r="C96" s="2" t="str">
        <f>VLOOKUP(G96,Excel5!$A$2:$C$271,2,FALSE)</f>
        <v>MERKEZ</v>
      </c>
      <c r="D96" s="5" t="s">
        <v>26</v>
      </c>
      <c r="G96">
        <v>91</v>
      </c>
    </row>
    <row r="97" spans="1:7" x14ac:dyDescent="0.3">
      <c r="A97">
        <v>92</v>
      </c>
      <c r="B97" s="2" t="str">
        <f>VLOOKUP(G97,Excel5!$A$2:$C$271,3,FALSE)</f>
        <v>ÇORUM</v>
      </c>
      <c r="C97" s="2" t="str">
        <f>VLOOKUP(G97,Excel5!$A$2:$C$271,2,FALSE)</f>
        <v>SUNGURLU</v>
      </c>
      <c r="D97" s="5" t="s">
        <v>26</v>
      </c>
      <c r="G97">
        <v>92</v>
      </c>
    </row>
    <row r="98" spans="1:7" x14ac:dyDescent="0.3">
      <c r="A98">
        <v>93</v>
      </c>
      <c r="B98" s="2" t="str">
        <f>VLOOKUP(G98,Excel5!$A$2:$C$271,3,FALSE)</f>
        <v>ÇORUM</v>
      </c>
      <c r="C98" s="2" t="str">
        <f>VLOOKUP(G98,Excel5!$A$2:$C$271,2,FALSE)</f>
        <v>DODURGA</v>
      </c>
      <c r="D98" s="5" t="s">
        <v>26</v>
      </c>
      <c r="G98">
        <v>93</v>
      </c>
    </row>
    <row r="99" spans="1:7" x14ac:dyDescent="0.3">
      <c r="A99">
        <v>94</v>
      </c>
      <c r="B99" s="2" t="str">
        <f>VLOOKUP(G99,Excel5!$A$2:$C$271,3,FALSE)</f>
        <v>ÇORUM</v>
      </c>
      <c r="C99" s="2" t="str">
        <f>VLOOKUP(G99,Excel5!$A$2:$C$271,2,FALSE)</f>
        <v>OĞUZLAR</v>
      </c>
      <c r="D99" s="5" t="s">
        <v>26</v>
      </c>
      <c r="G99">
        <v>94</v>
      </c>
    </row>
    <row r="100" spans="1:7" x14ac:dyDescent="0.3">
      <c r="A100">
        <v>95</v>
      </c>
      <c r="B100" s="2" t="str">
        <f>VLOOKUP(G100,Excel5!$A$2:$C$271,3,FALSE)</f>
        <v>ÇORUM</v>
      </c>
      <c r="C100" s="2" t="str">
        <f>VLOOKUP(G100,Excel5!$A$2:$C$271,2,FALSE)</f>
        <v>İSKİLİP</v>
      </c>
      <c r="D100" s="5" t="s">
        <v>26</v>
      </c>
      <c r="G100">
        <v>95</v>
      </c>
    </row>
    <row r="101" spans="1:7" x14ac:dyDescent="0.3">
      <c r="A101">
        <v>96</v>
      </c>
      <c r="B101" s="2" t="str">
        <f>VLOOKUP(G101,Excel5!$A$2:$C$271,3,FALSE)</f>
        <v>ÇORUM</v>
      </c>
      <c r="C101" s="2" t="str">
        <f>VLOOKUP(G101,Excel5!$A$2:$C$271,2,FALSE)</f>
        <v>MECİTÖZÜ</v>
      </c>
      <c r="D101" s="5" t="s">
        <v>26</v>
      </c>
      <c r="G101">
        <v>96</v>
      </c>
    </row>
    <row r="102" spans="1:7" x14ac:dyDescent="0.3">
      <c r="A102">
        <v>97</v>
      </c>
      <c r="B102" s="2" t="str">
        <f>VLOOKUP(G102,Excel5!$A$2:$C$271,3,FALSE)</f>
        <v>ÇORUM</v>
      </c>
      <c r="C102" s="2" t="str">
        <f>VLOOKUP(G102,Excel5!$A$2:$C$271,2,FALSE)</f>
        <v>KARGI</v>
      </c>
      <c r="D102" s="5" t="s">
        <v>26</v>
      </c>
      <c r="G102">
        <v>97</v>
      </c>
    </row>
    <row r="103" spans="1:7" x14ac:dyDescent="0.3">
      <c r="A103">
        <v>98</v>
      </c>
      <c r="B103" s="2" t="str">
        <f>VLOOKUP(G103,Excel5!$A$2:$C$271,3,FALSE)</f>
        <v>DENİZLİ</v>
      </c>
      <c r="C103" s="2" t="str">
        <f>VLOOKUP(G103,Excel5!$A$2:$C$271,2,FALSE)</f>
        <v>DENİZLİ BÜYÜKŞEHİR</v>
      </c>
      <c r="D103" s="5" t="s">
        <v>26</v>
      </c>
      <c r="G103">
        <v>98</v>
      </c>
    </row>
    <row r="104" spans="1:7" x14ac:dyDescent="0.3">
      <c r="A104">
        <v>99</v>
      </c>
      <c r="B104" s="2" t="str">
        <f>VLOOKUP(G104,Excel5!$A$2:$C$271,3,FALSE)</f>
        <v>DİYARBAKIR</v>
      </c>
      <c r="C104" s="2" t="str">
        <f>VLOOKUP(G104,Excel5!$A$2:$C$271,2,FALSE)</f>
        <v>DİYARBAKIR BÜYÜKŞEHİR</v>
      </c>
      <c r="D104" s="5" t="s">
        <v>26</v>
      </c>
      <c r="G104">
        <v>99</v>
      </c>
    </row>
    <row r="105" spans="1:7" x14ac:dyDescent="0.3">
      <c r="A105">
        <v>100</v>
      </c>
      <c r="B105" s="2" t="str">
        <f>VLOOKUP(G105,Excel5!$A$2:$C$271,3,FALSE)</f>
        <v>DÜZCE</v>
      </c>
      <c r="C105" s="2" t="str">
        <f>VLOOKUP(G105,Excel5!$A$2:$C$271,2,FALSE)</f>
        <v>MERKEZ</v>
      </c>
      <c r="D105" s="5" t="s">
        <v>26</v>
      </c>
      <c r="G105">
        <v>100</v>
      </c>
    </row>
    <row r="106" spans="1:7" x14ac:dyDescent="0.3">
      <c r="A106">
        <v>101</v>
      </c>
      <c r="B106" s="2" t="str">
        <f>VLOOKUP(G106,Excel5!$A$2:$C$271,3,FALSE)</f>
        <v>DÜZCE</v>
      </c>
      <c r="C106" s="2" t="str">
        <f>VLOOKUP(G106,Excel5!$A$2:$C$271,2,FALSE)</f>
        <v>AKÇAKOCA</v>
      </c>
      <c r="D106" s="5" t="s">
        <v>26</v>
      </c>
      <c r="G106">
        <v>101</v>
      </c>
    </row>
    <row r="107" spans="1:7" x14ac:dyDescent="0.3">
      <c r="A107">
        <v>102</v>
      </c>
      <c r="B107" s="2" t="str">
        <f>VLOOKUP(G107,Excel5!$A$2:$C$271,3,FALSE)</f>
        <v>DÜZCE</v>
      </c>
      <c r="C107" s="2" t="str">
        <f>VLOOKUP(G107,Excel5!$A$2:$C$271,2,FALSE)</f>
        <v>CUMAYERİ</v>
      </c>
      <c r="D107" s="5" t="s">
        <v>26</v>
      </c>
      <c r="G107">
        <v>102</v>
      </c>
    </row>
    <row r="108" spans="1:7" x14ac:dyDescent="0.3">
      <c r="A108">
        <v>103</v>
      </c>
      <c r="B108" s="2" t="str">
        <f>VLOOKUP(G108,Excel5!$A$2:$C$271,3,FALSE)</f>
        <v>DÜZCE</v>
      </c>
      <c r="C108" s="2" t="str">
        <f>VLOOKUP(G108,Excel5!$A$2:$C$271,2,FALSE)</f>
        <v>ÇİLİMLİ</v>
      </c>
      <c r="D108" s="5" t="s">
        <v>26</v>
      </c>
      <c r="G108">
        <v>103</v>
      </c>
    </row>
    <row r="109" spans="1:7" x14ac:dyDescent="0.3">
      <c r="A109">
        <v>104</v>
      </c>
      <c r="B109" s="2" t="str">
        <f>VLOOKUP(G109,Excel5!$A$2:$C$271,3,FALSE)</f>
        <v>DÜZCE</v>
      </c>
      <c r="C109" s="2" t="str">
        <f>VLOOKUP(G109,Excel5!$A$2:$C$271,2,FALSE)</f>
        <v>GÜMÜŞOVA</v>
      </c>
      <c r="D109" s="5" t="s">
        <v>26</v>
      </c>
      <c r="G109">
        <v>104</v>
      </c>
    </row>
    <row r="110" spans="1:7" x14ac:dyDescent="0.3">
      <c r="A110">
        <v>105</v>
      </c>
      <c r="B110" s="2" t="str">
        <f>VLOOKUP(G110,Excel5!$A$2:$C$271,3,FALSE)</f>
        <v>DÜZCE</v>
      </c>
      <c r="C110" s="2" t="str">
        <f>VLOOKUP(G110,Excel5!$A$2:$C$271,2,FALSE)</f>
        <v>KAYNAŞLI</v>
      </c>
      <c r="D110" s="5" t="s">
        <v>26</v>
      </c>
      <c r="G110">
        <v>105</v>
      </c>
    </row>
    <row r="111" spans="1:7" x14ac:dyDescent="0.3">
      <c r="A111">
        <v>106</v>
      </c>
      <c r="B111" s="2" t="str">
        <f>VLOOKUP(G111,Excel5!$A$2:$C$271,3,FALSE)</f>
        <v>DÜZCE</v>
      </c>
      <c r="C111" s="2" t="str">
        <f>VLOOKUP(G111,Excel5!$A$2:$C$271,2,FALSE)</f>
        <v>GÖLYAKA</v>
      </c>
      <c r="D111" s="5" t="s">
        <v>26</v>
      </c>
      <c r="G111">
        <v>106</v>
      </c>
    </row>
    <row r="112" spans="1:7" x14ac:dyDescent="0.3">
      <c r="A112">
        <v>107</v>
      </c>
      <c r="B112" s="2" t="str">
        <f>VLOOKUP(G112,Excel5!$A$2:$C$271,3,FALSE)</f>
        <v>EDİRNE</v>
      </c>
      <c r="C112" s="2" t="str">
        <f>VLOOKUP(G112,Excel5!$A$2:$C$271,2,FALSE)</f>
        <v>MERKEZ</v>
      </c>
      <c r="D112" s="5" t="s">
        <v>26</v>
      </c>
      <c r="G112">
        <v>107</v>
      </c>
    </row>
    <row r="113" spans="1:7" x14ac:dyDescent="0.3">
      <c r="A113">
        <v>108</v>
      </c>
      <c r="B113" s="2" t="str">
        <f>VLOOKUP(G113,Excel5!$A$2:$C$271,3,FALSE)</f>
        <v>EDİRNE</v>
      </c>
      <c r="C113" s="2" t="str">
        <f>VLOOKUP(G113,Excel5!$A$2:$C$271,2,FALSE)</f>
        <v>HAVSA</v>
      </c>
      <c r="D113" s="5" t="s">
        <v>26</v>
      </c>
      <c r="G113">
        <v>108</v>
      </c>
    </row>
    <row r="114" spans="1:7" x14ac:dyDescent="0.3">
      <c r="A114">
        <v>109</v>
      </c>
      <c r="B114" s="2" t="str">
        <f>VLOOKUP(G114,Excel5!$A$2:$C$271,3,FALSE)</f>
        <v>EDİRNE</v>
      </c>
      <c r="C114" s="2" t="str">
        <f>VLOOKUP(G114,Excel5!$A$2:$C$271,2,FALSE)</f>
        <v>KEŞAN</v>
      </c>
      <c r="D114" s="5" t="s">
        <v>26</v>
      </c>
      <c r="G114">
        <v>109</v>
      </c>
    </row>
    <row r="115" spans="1:7" x14ac:dyDescent="0.3">
      <c r="A115">
        <v>110</v>
      </c>
      <c r="B115" s="2" t="str">
        <f>VLOOKUP(G115,Excel5!$A$2:$C$271,3,FALSE)</f>
        <v>EDİRNE</v>
      </c>
      <c r="C115" s="2" t="str">
        <f>VLOOKUP(G115,Excel5!$A$2:$C$271,2,FALSE)</f>
        <v>UZUNKÖPRÜ</v>
      </c>
      <c r="D115" s="5" t="s">
        <v>26</v>
      </c>
      <c r="G115">
        <v>110</v>
      </c>
    </row>
    <row r="116" spans="1:7" x14ac:dyDescent="0.3">
      <c r="A116">
        <v>111</v>
      </c>
      <c r="B116" s="2" t="str">
        <f>VLOOKUP(G116,Excel5!$A$2:$C$271,3,FALSE)</f>
        <v>EDİRNE</v>
      </c>
      <c r="C116" s="2" t="str">
        <f>VLOOKUP(G116,Excel5!$A$2:$C$271,2,FALSE)</f>
        <v>ENEZ</v>
      </c>
      <c r="D116" s="5" t="s">
        <v>26</v>
      </c>
      <c r="G116">
        <v>111</v>
      </c>
    </row>
    <row r="117" spans="1:7" x14ac:dyDescent="0.3">
      <c r="A117">
        <v>112</v>
      </c>
      <c r="B117" s="2" t="str">
        <f>VLOOKUP(G117,Excel5!$A$2:$C$271,3,FALSE)</f>
        <v>ELAZIĞ</v>
      </c>
      <c r="C117" s="2" t="str">
        <f>VLOOKUP(G117,Excel5!$A$2:$C$271,2,FALSE)</f>
        <v>MERKEZ</v>
      </c>
      <c r="D117" s="5" t="s">
        <v>26</v>
      </c>
      <c r="G117">
        <v>112</v>
      </c>
    </row>
    <row r="118" spans="1:7" x14ac:dyDescent="0.3">
      <c r="A118">
        <v>113</v>
      </c>
      <c r="B118" s="2" t="str">
        <f>VLOOKUP(G118,Excel5!$A$2:$C$271,3,FALSE)</f>
        <v>ELAZIĞ</v>
      </c>
      <c r="C118" s="2" t="str">
        <f>VLOOKUP(G118,Excel5!$A$2:$C$271,2,FALSE)</f>
        <v>SİVRİCE</v>
      </c>
      <c r="D118" s="5" t="s">
        <v>26</v>
      </c>
      <c r="G118">
        <v>113</v>
      </c>
    </row>
    <row r="119" spans="1:7" x14ac:dyDescent="0.3">
      <c r="A119">
        <v>114</v>
      </c>
      <c r="B119" s="2" t="str">
        <f>VLOOKUP(G119,Excel5!$A$2:$C$271,3,FALSE)</f>
        <v>ELAZIĞ</v>
      </c>
      <c r="C119" s="2" t="str">
        <f>VLOOKUP(G119,Excel5!$A$2:$C$271,2,FALSE)</f>
        <v>KARAKOÇAN</v>
      </c>
      <c r="D119" s="5" t="s">
        <v>26</v>
      </c>
      <c r="G119">
        <v>114</v>
      </c>
    </row>
    <row r="120" spans="1:7" x14ac:dyDescent="0.3">
      <c r="A120">
        <v>115</v>
      </c>
      <c r="B120" s="2" t="str">
        <f>VLOOKUP(G120,Excel5!$A$2:$C$271,3,FALSE)</f>
        <v>ELAZIĞ</v>
      </c>
      <c r="C120" s="2" t="str">
        <f>VLOOKUP(G120,Excel5!$A$2:$C$271,2,FALSE)</f>
        <v>KOVANCILAR</v>
      </c>
      <c r="D120" s="5" t="s">
        <v>26</v>
      </c>
      <c r="G120">
        <v>115</v>
      </c>
    </row>
    <row r="121" spans="1:7" x14ac:dyDescent="0.3">
      <c r="A121">
        <v>116</v>
      </c>
      <c r="B121" s="2" t="str">
        <f>VLOOKUP(G121,Excel5!$A$2:$C$271,3,FALSE)</f>
        <v>ERZİNCAN</v>
      </c>
      <c r="C121" s="2" t="str">
        <f>VLOOKUP(G121,Excel5!$A$2:$C$271,2,FALSE)</f>
        <v>MERKEZ</v>
      </c>
      <c r="D121" s="5" t="s">
        <v>26</v>
      </c>
      <c r="G121">
        <v>116</v>
      </c>
    </row>
    <row r="122" spans="1:7" x14ac:dyDescent="0.3">
      <c r="A122">
        <v>117</v>
      </c>
      <c r="B122" s="2" t="str">
        <f>VLOOKUP(G122,Excel5!$A$2:$C$271,3,FALSE)</f>
        <v>ERZİNCAN</v>
      </c>
      <c r="C122" s="2" t="str">
        <f>VLOOKUP(G122,Excel5!$A$2:$C$271,2,FALSE)</f>
        <v>İLİÇ</v>
      </c>
      <c r="D122" s="5" t="s">
        <v>26</v>
      </c>
      <c r="G122">
        <v>117</v>
      </c>
    </row>
    <row r="123" spans="1:7" x14ac:dyDescent="0.3">
      <c r="A123">
        <v>118</v>
      </c>
      <c r="B123" s="2" t="str">
        <f>VLOOKUP(G123,Excel5!$A$2:$C$271,3,FALSE)</f>
        <v>ERZİNCAN</v>
      </c>
      <c r="C123" s="2" t="str">
        <f>VLOOKUP(G123,Excel5!$A$2:$C$271,2,FALSE)</f>
        <v>KEMAH</v>
      </c>
      <c r="D123" s="5" t="s">
        <v>26</v>
      </c>
      <c r="G123">
        <v>118</v>
      </c>
    </row>
    <row r="124" spans="1:7" x14ac:dyDescent="0.3">
      <c r="A124">
        <v>119</v>
      </c>
      <c r="B124" s="2" t="str">
        <f>VLOOKUP(G124,Excel5!$A$2:$C$271,3,FALSE)</f>
        <v>ERZİNCAN</v>
      </c>
      <c r="C124" s="2" t="str">
        <f>VLOOKUP(G124,Excel5!$A$2:$C$271,2,FALSE)</f>
        <v>TERCAN</v>
      </c>
      <c r="D124" s="5" t="s">
        <v>26</v>
      </c>
      <c r="G124">
        <v>119</v>
      </c>
    </row>
    <row r="125" spans="1:7" x14ac:dyDescent="0.3">
      <c r="A125">
        <v>120</v>
      </c>
      <c r="B125" s="2" t="str">
        <f>VLOOKUP(G125,Excel5!$A$2:$C$271,3,FALSE)</f>
        <v>ERZİNCAN</v>
      </c>
      <c r="C125" s="2" t="str">
        <f>VLOOKUP(G125,Excel5!$A$2:$C$271,2,FALSE)</f>
        <v>KEMALİYE</v>
      </c>
      <c r="D125" s="5" t="s">
        <v>26</v>
      </c>
      <c r="G125">
        <v>120</v>
      </c>
    </row>
    <row r="126" spans="1:7" x14ac:dyDescent="0.3">
      <c r="A126">
        <v>121</v>
      </c>
      <c r="B126" s="2" t="str">
        <f>VLOOKUP(G126,Excel5!$A$2:$C$271,3,FALSE)</f>
        <v>ERZURUM</v>
      </c>
      <c r="C126" s="2" t="str">
        <f>VLOOKUP(G126,Excel5!$A$2:$C$271,2,FALSE)</f>
        <v>ERZURUM BÜYÜKŞEHİR</v>
      </c>
      <c r="D126" s="5" t="s">
        <v>26</v>
      </c>
      <c r="G126">
        <v>121</v>
      </c>
    </row>
    <row r="127" spans="1:7" x14ac:dyDescent="0.3">
      <c r="A127">
        <v>122</v>
      </c>
      <c r="B127" s="2" t="str">
        <f>VLOOKUP(G127,Excel5!$A$2:$C$271,3,FALSE)</f>
        <v>ESKİŞEHİR</v>
      </c>
      <c r="C127" s="2" t="str">
        <f>VLOOKUP(G127,Excel5!$A$2:$C$271,2,FALSE)</f>
        <v>ESKİŞEHİR BÜYÜKŞEHİR</v>
      </c>
      <c r="D127" s="5" t="s">
        <v>26</v>
      </c>
      <c r="G127">
        <v>122</v>
      </c>
    </row>
    <row r="128" spans="1:7" x14ac:dyDescent="0.3">
      <c r="A128">
        <v>123</v>
      </c>
      <c r="B128" s="2" t="str">
        <f>VLOOKUP(G128,Excel5!$A$2:$C$271,3,FALSE)</f>
        <v>GAZİANTEP</v>
      </c>
      <c r="C128" s="2" t="str">
        <f>VLOOKUP(G128,Excel5!$A$2:$C$271,2,FALSE)</f>
        <v>GAZİANTEP BÜYÜKŞEHİR</v>
      </c>
      <c r="D128" s="5" t="s">
        <v>26</v>
      </c>
      <c r="G128">
        <v>123</v>
      </c>
    </row>
    <row r="129" spans="1:7" x14ac:dyDescent="0.3">
      <c r="A129">
        <v>124</v>
      </c>
      <c r="B129" s="2" t="str">
        <f>VLOOKUP(G129,Excel5!$A$2:$C$271,3,FALSE)</f>
        <v>GİRESUN</v>
      </c>
      <c r="C129" s="2" t="str">
        <f>VLOOKUP(G129,Excel5!$A$2:$C$271,2,FALSE)</f>
        <v>KEŞAP</v>
      </c>
      <c r="D129" s="5" t="s">
        <v>26</v>
      </c>
      <c r="G129">
        <v>124</v>
      </c>
    </row>
    <row r="130" spans="1:7" x14ac:dyDescent="0.3">
      <c r="A130">
        <v>125</v>
      </c>
      <c r="B130" s="2" t="str">
        <f>VLOOKUP(G130,Excel5!$A$2:$C$271,3,FALSE)</f>
        <v>GİRESUN</v>
      </c>
      <c r="C130" s="2" t="str">
        <f>VLOOKUP(G130,Excel5!$A$2:$C$271,2,FALSE)</f>
        <v>MERKEZ</v>
      </c>
      <c r="D130" s="5" t="s">
        <v>26</v>
      </c>
      <c r="G130">
        <v>125</v>
      </c>
    </row>
    <row r="131" spans="1:7" x14ac:dyDescent="0.3">
      <c r="A131">
        <v>126</v>
      </c>
      <c r="B131" s="2" t="str">
        <f>VLOOKUP(G131,Excel5!$A$2:$C$271,3,FALSE)</f>
        <v>GİRESUN</v>
      </c>
      <c r="C131" s="2" t="str">
        <f>VLOOKUP(G131,Excel5!$A$2:$C$271,2,FALSE)</f>
        <v>ESPİYE</v>
      </c>
      <c r="D131" s="5" t="s">
        <v>26</v>
      </c>
      <c r="G131">
        <v>126</v>
      </c>
    </row>
    <row r="132" spans="1:7" x14ac:dyDescent="0.3">
      <c r="A132">
        <v>127</v>
      </c>
      <c r="B132" s="2" t="str">
        <f>VLOOKUP(G132,Excel5!$A$2:$C$271,3,FALSE)</f>
        <v>GİRESUN</v>
      </c>
      <c r="C132" s="2" t="str">
        <f>VLOOKUP(G132,Excel5!$A$2:$C$271,2,FALSE)</f>
        <v>BULANCAK</v>
      </c>
      <c r="D132" s="5" t="s">
        <v>26</v>
      </c>
      <c r="G132">
        <v>127</v>
      </c>
    </row>
    <row r="133" spans="1:7" x14ac:dyDescent="0.3">
      <c r="A133">
        <v>128</v>
      </c>
      <c r="B133" s="2" t="str">
        <f>VLOOKUP(G133,Excel5!$A$2:$C$271,3,FALSE)</f>
        <v>GİRESUN</v>
      </c>
      <c r="C133" s="2" t="str">
        <f>VLOOKUP(G133,Excel5!$A$2:$C$271,2,FALSE)</f>
        <v>DERELİ</v>
      </c>
      <c r="D133" s="5" t="s">
        <v>26</v>
      </c>
      <c r="G133">
        <v>128</v>
      </c>
    </row>
    <row r="134" spans="1:7" x14ac:dyDescent="0.3">
      <c r="A134">
        <v>129</v>
      </c>
      <c r="B134" s="2" t="str">
        <f>VLOOKUP(G134,Excel5!$A$2:$C$271,3,FALSE)</f>
        <v>GİRESUN</v>
      </c>
      <c r="C134" s="2" t="str">
        <f>VLOOKUP(G134,Excel5!$A$2:$C$271,2,FALSE)</f>
        <v>ŞEBİNKARAHİSAR</v>
      </c>
      <c r="D134" s="5" t="s">
        <v>26</v>
      </c>
      <c r="G134">
        <v>129</v>
      </c>
    </row>
    <row r="135" spans="1:7" x14ac:dyDescent="0.3">
      <c r="A135">
        <v>130</v>
      </c>
      <c r="B135" s="2" t="str">
        <f>VLOOKUP(G135,Excel5!$A$2:$C$271,3,FALSE)</f>
        <v>GİRESUN</v>
      </c>
      <c r="C135" s="2" t="str">
        <f>VLOOKUP(G135,Excel5!$A$2:$C$271,2,FALSE)</f>
        <v>GÖRELE</v>
      </c>
      <c r="D135" s="5" t="s">
        <v>26</v>
      </c>
      <c r="G135">
        <v>130</v>
      </c>
    </row>
    <row r="136" spans="1:7" x14ac:dyDescent="0.3">
      <c r="A136">
        <v>131</v>
      </c>
      <c r="B136" s="2" t="str">
        <f>VLOOKUP(G136,Excel5!$A$2:$C$271,3,FALSE)</f>
        <v>GİRESUN</v>
      </c>
      <c r="C136" s="2" t="str">
        <f>VLOOKUP(G136,Excel5!$A$2:$C$271,2,FALSE)</f>
        <v>GÜCE</v>
      </c>
      <c r="D136" s="5" t="s">
        <v>26</v>
      </c>
      <c r="G136">
        <v>131</v>
      </c>
    </row>
    <row r="137" spans="1:7" x14ac:dyDescent="0.3">
      <c r="A137">
        <v>132</v>
      </c>
      <c r="B137" s="2" t="str">
        <f>VLOOKUP(G137,Excel5!$A$2:$C$271,3,FALSE)</f>
        <v>GÜMÜŞHANE</v>
      </c>
      <c r="C137" s="2" t="str">
        <f>VLOOKUP(G137,Excel5!$A$2:$C$271,2,FALSE)</f>
        <v>MERKEZ</v>
      </c>
      <c r="D137" s="5" t="s">
        <v>26</v>
      </c>
      <c r="G137">
        <v>132</v>
      </c>
    </row>
    <row r="138" spans="1:7" x14ac:dyDescent="0.3">
      <c r="A138">
        <v>133</v>
      </c>
      <c r="B138" s="2" t="str">
        <f>VLOOKUP(G138,Excel5!$A$2:$C$271,3,FALSE)</f>
        <v>GÜMÜŞHANE</v>
      </c>
      <c r="C138" s="2" t="str">
        <f>VLOOKUP(G138,Excel5!$A$2:$C$271,2,FALSE)</f>
        <v>KELKİT</v>
      </c>
      <c r="D138" s="5" t="s">
        <v>26</v>
      </c>
      <c r="G138">
        <v>133</v>
      </c>
    </row>
    <row r="139" spans="1:7" x14ac:dyDescent="0.3">
      <c r="A139">
        <v>134</v>
      </c>
      <c r="B139" s="2" t="str">
        <f>VLOOKUP(G139,Excel5!$A$2:$C$271,3,FALSE)</f>
        <v>HATAY</v>
      </c>
      <c r="C139" s="2" t="str">
        <f>VLOOKUP(G139,Excel5!$A$2:$C$271,2,FALSE)</f>
        <v>HATAY BÜYÜKŞEHİR</v>
      </c>
      <c r="D139" s="5" t="s">
        <v>26</v>
      </c>
      <c r="G139">
        <v>134</v>
      </c>
    </row>
    <row r="140" spans="1:7" x14ac:dyDescent="0.3">
      <c r="A140">
        <v>135</v>
      </c>
      <c r="B140" s="2" t="str">
        <f>VLOOKUP(G140,Excel5!$A$2:$C$271,3,FALSE)</f>
        <v>IĞDIR</v>
      </c>
      <c r="C140" s="2" t="str">
        <f>VLOOKUP(G140,Excel5!$A$2:$C$271,2,FALSE)</f>
        <v>MERKEZ</v>
      </c>
      <c r="D140" s="5" t="s">
        <v>26</v>
      </c>
      <c r="G140">
        <v>135</v>
      </c>
    </row>
    <row r="141" spans="1:7" x14ac:dyDescent="0.3">
      <c r="A141">
        <v>136</v>
      </c>
      <c r="B141" s="2" t="str">
        <f>VLOOKUP(G141,Excel5!$A$2:$C$271,3,FALSE)</f>
        <v>ISPARTA</v>
      </c>
      <c r="C141" s="2" t="str">
        <f>VLOOKUP(G141,Excel5!$A$2:$C$271,2,FALSE)</f>
        <v>MERKEZ</v>
      </c>
      <c r="D141" s="5" t="s">
        <v>26</v>
      </c>
      <c r="G141">
        <v>136</v>
      </c>
    </row>
    <row r="142" spans="1:7" x14ac:dyDescent="0.3">
      <c r="A142">
        <v>137</v>
      </c>
      <c r="B142" s="2" t="str">
        <f>VLOOKUP(G142,Excel5!$A$2:$C$271,3,FALSE)</f>
        <v>ISPARTA</v>
      </c>
      <c r="C142" s="2" t="str">
        <f>VLOOKUP(G142,Excel5!$A$2:$C$271,2,FALSE)</f>
        <v>YALVAÇ</v>
      </c>
      <c r="D142" s="5" t="s">
        <v>26</v>
      </c>
      <c r="G142">
        <v>137</v>
      </c>
    </row>
    <row r="143" spans="1:7" x14ac:dyDescent="0.3">
      <c r="A143">
        <v>138</v>
      </c>
      <c r="B143" s="2" t="str">
        <f>VLOOKUP(G143,Excel5!$A$2:$C$271,3,FALSE)</f>
        <v>ISPARTA</v>
      </c>
      <c r="C143" s="2" t="str">
        <f>VLOOKUP(G143,Excel5!$A$2:$C$271,2,FALSE)</f>
        <v>ATABEY</v>
      </c>
      <c r="D143" s="5" t="s">
        <v>26</v>
      </c>
      <c r="G143">
        <v>138</v>
      </c>
    </row>
    <row r="144" spans="1:7" x14ac:dyDescent="0.3">
      <c r="A144">
        <v>139</v>
      </c>
      <c r="B144" s="2" t="str">
        <f>VLOOKUP(G144,Excel5!$A$2:$C$271,3,FALSE)</f>
        <v>ISPARTA</v>
      </c>
      <c r="C144" s="2" t="str">
        <f>VLOOKUP(G144,Excel5!$A$2:$C$271,2,FALSE)</f>
        <v>KEÇİBORLU</v>
      </c>
      <c r="D144" s="5" t="s">
        <v>26</v>
      </c>
      <c r="G144">
        <v>139</v>
      </c>
    </row>
    <row r="145" spans="1:7" x14ac:dyDescent="0.3">
      <c r="A145">
        <v>140</v>
      </c>
      <c r="B145" s="2" t="str">
        <f>VLOOKUP(G145,Excel5!$A$2:$C$271,3,FALSE)</f>
        <v>ISPARTA</v>
      </c>
      <c r="C145" s="2" t="str">
        <f>VLOOKUP(G145,Excel5!$A$2:$C$271,2,FALSE)</f>
        <v>GÖNEN</v>
      </c>
      <c r="D145" s="5" t="s">
        <v>26</v>
      </c>
      <c r="G145">
        <v>140</v>
      </c>
    </row>
    <row r="146" spans="1:7" x14ac:dyDescent="0.3">
      <c r="A146">
        <v>141</v>
      </c>
      <c r="B146" s="2" t="str">
        <f>VLOOKUP(G146,Excel5!$A$2:$C$271,3,FALSE)</f>
        <v>ISPARTA</v>
      </c>
      <c r="C146" s="2" t="str">
        <f>VLOOKUP(G146,Excel5!$A$2:$C$271,2,FALSE)</f>
        <v>ŞARKİKARAAĞAÇ</v>
      </c>
      <c r="D146" s="5" t="s">
        <v>26</v>
      </c>
      <c r="G146">
        <v>141</v>
      </c>
    </row>
    <row r="147" spans="1:7" x14ac:dyDescent="0.3">
      <c r="A147">
        <v>142</v>
      </c>
      <c r="B147" s="2" t="str">
        <f>VLOOKUP(G147,Excel5!$A$2:$C$271,3,FALSE)</f>
        <v>ISPARTA</v>
      </c>
      <c r="C147" s="2" t="str">
        <f>VLOOKUP(G147,Excel5!$A$2:$C$271,2,FALSE)</f>
        <v>EĞİRDİR</v>
      </c>
      <c r="D147" s="5" t="s">
        <v>26</v>
      </c>
      <c r="G147">
        <v>142</v>
      </c>
    </row>
    <row r="148" spans="1:7" x14ac:dyDescent="0.3">
      <c r="A148">
        <v>143</v>
      </c>
      <c r="B148" s="2" t="str">
        <f>VLOOKUP(G148,Excel5!$A$2:$C$271,3,FALSE)</f>
        <v>ISPARTA</v>
      </c>
      <c r="C148" s="2" t="str">
        <f>VLOOKUP(G148,Excel5!$A$2:$C$271,2,FALSE)</f>
        <v>GELENDOST</v>
      </c>
      <c r="D148" s="5" t="s">
        <v>26</v>
      </c>
      <c r="G148">
        <v>143</v>
      </c>
    </row>
    <row r="149" spans="1:7" x14ac:dyDescent="0.3">
      <c r="A149">
        <v>144</v>
      </c>
      <c r="B149" s="2" t="str">
        <f>VLOOKUP(G149,Excel5!$A$2:$C$271,3,FALSE)</f>
        <v>ISPARTA</v>
      </c>
      <c r="C149" s="2" t="str">
        <f>VLOOKUP(G149,Excel5!$A$2:$C$271,2,FALSE)</f>
        <v>ULUBORLU</v>
      </c>
      <c r="D149" s="5" t="s">
        <v>26</v>
      </c>
      <c r="G149">
        <v>144</v>
      </c>
    </row>
    <row r="150" spans="1:7" x14ac:dyDescent="0.3">
      <c r="A150">
        <v>145</v>
      </c>
      <c r="B150" s="2" t="str">
        <f>VLOOKUP(G150,Excel5!$A$2:$C$271,3,FALSE)</f>
        <v>ISPARTA</v>
      </c>
      <c r="C150" s="2" t="str">
        <f>VLOOKUP(G150,Excel5!$A$2:$C$271,2,FALSE)</f>
        <v>AKSU</v>
      </c>
      <c r="D150" s="5" t="s">
        <v>26</v>
      </c>
      <c r="G150">
        <v>145</v>
      </c>
    </row>
    <row r="151" spans="1:7" x14ac:dyDescent="0.3">
      <c r="A151">
        <v>146</v>
      </c>
      <c r="B151" s="2" t="str">
        <f>VLOOKUP(G151,Excel5!$A$2:$C$271,3,FALSE)</f>
        <v>ISPARTA</v>
      </c>
      <c r="C151" s="2" t="str">
        <f>VLOOKUP(G151,Excel5!$A$2:$C$271,2,FALSE)</f>
        <v>SENİRKENT</v>
      </c>
      <c r="D151" s="5" t="s">
        <v>26</v>
      </c>
      <c r="G151">
        <v>146</v>
      </c>
    </row>
    <row r="152" spans="1:7" x14ac:dyDescent="0.3">
      <c r="A152">
        <v>147</v>
      </c>
      <c r="B152" s="2" t="str">
        <f>VLOOKUP(G152,Excel5!$A$2:$C$271,3,FALSE)</f>
        <v>İZMİR</v>
      </c>
      <c r="C152" s="2" t="str">
        <f>VLOOKUP(G152,Excel5!$A$2:$C$271,2,FALSE)</f>
        <v>İZMİR BÜYÜKŞEHİR</v>
      </c>
      <c r="D152" s="5" t="s">
        <v>26</v>
      </c>
      <c r="G152">
        <v>147</v>
      </c>
    </row>
    <row r="153" spans="1:7" x14ac:dyDescent="0.3">
      <c r="A153">
        <v>148</v>
      </c>
      <c r="B153" s="2" t="str">
        <f>VLOOKUP(G153,Excel5!$A$2:$C$271,3,FALSE)</f>
        <v>KAHRAMANMARAŞ</v>
      </c>
      <c r="C153" s="2" t="str">
        <f>VLOOKUP(G153,Excel5!$A$2:$C$271,2,FALSE)</f>
        <v>KAHRAMANMARAŞ BÜYÜKŞEHİR</v>
      </c>
      <c r="D153" s="5" t="s">
        <v>26</v>
      </c>
      <c r="G153">
        <v>148</v>
      </c>
    </row>
    <row r="154" spans="1:7" x14ac:dyDescent="0.3">
      <c r="A154">
        <v>149</v>
      </c>
      <c r="B154" s="2" t="str">
        <f>VLOOKUP(G154,Excel5!$A$2:$C$271,3,FALSE)</f>
        <v>KARABÜK</v>
      </c>
      <c r="C154" s="2" t="str">
        <f>VLOOKUP(G154,Excel5!$A$2:$C$271,2,FALSE)</f>
        <v>SAFRANBOLU</v>
      </c>
      <c r="D154" s="5" t="s">
        <v>26</v>
      </c>
      <c r="G154">
        <v>149</v>
      </c>
    </row>
    <row r="155" spans="1:7" x14ac:dyDescent="0.3">
      <c r="A155">
        <v>150</v>
      </c>
      <c r="B155" s="2" t="str">
        <f>VLOOKUP(G155,Excel5!$A$2:$C$271,3,FALSE)</f>
        <v>KARABÜK</v>
      </c>
      <c r="C155" s="2" t="str">
        <f>VLOOKUP(G155,Excel5!$A$2:$C$271,2,FALSE)</f>
        <v>MERKEZ</v>
      </c>
      <c r="D155" s="5" t="s">
        <v>26</v>
      </c>
      <c r="G155">
        <v>150</v>
      </c>
    </row>
    <row r="156" spans="1:7" x14ac:dyDescent="0.3">
      <c r="A156">
        <v>151</v>
      </c>
      <c r="B156" s="2" t="str">
        <f>VLOOKUP(G156,Excel5!$A$2:$C$271,3,FALSE)</f>
        <v>KARABÜK</v>
      </c>
      <c r="C156" s="2" t="str">
        <f>VLOOKUP(G156,Excel5!$A$2:$C$271,2,FALSE)</f>
        <v>ESKİPAZAR</v>
      </c>
      <c r="D156" s="5" t="s">
        <v>26</v>
      </c>
      <c r="G156">
        <v>151</v>
      </c>
    </row>
    <row r="157" spans="1:7" x14ac:dyDescent="0.3">
      <c r="A157">
        <v>152</v>
      </c>
      <c r="B157" s="2" t="str">
        <f>VLOOKUP(G157,Excel5!$A$2:$C$271,3,FALSE)</f>
        <v>KARAMAN</v>
      </c>
      <c r="C157" s="2" t="str">
        <f>VLOOKUP(G157,Excel5!$A$2:$C$271,2,FALSE)</f>
        <v>MERKEZ</v>
      </c>
      <c r="D157" s="5" t="s">
        <v>26</v>
      </c>
      <c r="G157">
        <v>152</v>
      </c>
    </row>
    <row r="158" spans="1:7" x14ac:dyDescent="0.3">
      <c r="A158">
        <v>153</v>
      </c>
      <c r="B158" s="2" t="str">
        <f>VLOOKUP(G158,Excel5!$A$2:$C$271,3,FALSE)</f>
        <v>KARAMAN</v>
      </c>
      <c r="C158" s="2" t="str">
        <f>VLOOKUP(G158,Excel5!$A$2:$C$271,2,FALSE)</f>
        <v>ERMENEK</v>
      </c>
      <c r="D158" s="5" t="s">
        <v>26</v>
      </c>
      <c r="G158">
        <v>153</v>
      </c>
    </row>
    <row r="159" spans="1:7" x14ac:dyDescent="0.3">
      <c r="A159">
        <v>154</v>
      </c>
      <c r="B159" s="2" t="str">
        <f>VLOOKUP(G159,Excel5!$A$2:$C$271,3,FALSE)</f>
        <v>KARAMAN</v>
      </c>
      <c r="C159" s="2" t="str">
        <f>VLOOKUP(G159,Excel5!$A$2:$C$271,2,FALSE)</f>
        <v>SARIVELİLER</v>
      </c>
      <c r="D159" s="5" t="s">
        <v>26</v>
      </c>
      <c r="G159">
        <v>154</v>
      </c>
    </row>
    <row r="160" spans="1:7" x14ac:dyDescent="0.3">
      <c r="A160">
        <v>155</v>
      </c>
      <c r="B160" s="2" t="str">
        <f>VLOOKUP(G160,Excel5!$A$2:$C$271,3,FALSE)</f>
        <v>KARS</v>
      </c>
      <c r="C160" s="2" t="str">
        <f>VLOOKUP(G160,Excel5!$A$2:$C$271,2,FALSE)</f>
        <v>MERKEZ</v>
      </c>
      <c r="D160" s="5" t="s">
        <v>26</v>
      </c>
      <c r="G160">
        <v>155</v>
      </c>
    </row>
    <row r="161" spans="1:7" x14ac:dyDescent="0.3">
      <c r="A161">
        <v>156</v>
      </c>
      <c r="B161" s="2" t="str">
        <f>VLOOKUP(G161,Excel5!$A$2:$C$271,3,FALSE)</f>
        <v>KASTAMONU</v>
      </c>
      <c r="C161" s="2" t="str">
        <f>VLOOKUP(G161,Excel5!$A$2:$C$271,2,FALSE)</f>
        <v>MERKEZ</v>
      </c>
      <c r="D161" s="5" t="s">
        <v>26</v>
      </c>
      <c r="G161">
        <v>156</v>
      </c>
    </row>
    <row r="162" spans="1:7" x14ac:dyDescent="0.3">
      <c r="A162">
        <v>157</v>
      </c>
      <c r="B162" s="2" t="str">
        <f>VLOOKUP(G162,Excel5!$A$2:$C$271,3,FALSE)</f>
        <v>KASTAMONU</v>
      </c>
      <c r="C162" s="2" t="str">
        <f>VLOOKUP(G162,Excel5!$A$2:$C$271,2,FALSE)</f>
        <v>ŞENPAZAR</v>
      </c>
      <c r="D162" s="5" t="s">
        <v>26</v>
      </c>
      <c r="G162">
        <v>157</v>
      </c>
    </row>
    <row r="163" spans="1:7" x14ac:dyDescent="0.3">
      <c r="A163">
        <v>158</v>
      </c>
      <c r="B163" s="2" t="str">
        <f>VLOOKUP(G163,Excel5!$A$2:$C$271,3,FALSE)</f>
        <v>KASTAMONU</v>
      </c>
      <c r="C163" s="2" t="str">
        <f>VLOOKUP(G163,Excel5!$A$2:$C$271,2,FALSE)</f>
        <v>ARAÇ</v>
      </c>
      <c r="D163" s="5" t="s">
        <v>26</v>
      </c>
      <c r="G163">
        <v>158</v>
      </c>
    </row>
    <row r="164" spans="1:7" x14ac:dyDescent="0.3">
      <c r="A164">
        <v>159</v>
      </c>
      <c r="B164" s="2" t="str">
        <f>VLOOKUP(G164,Excel5!$A$2:$C$271,3,FALSE)</f>
        <v>KASTAMONU</v>
      </c>
      <c r="C164" s="2" t="str">
        <f>VLOOKUP(G164,Excel5!$A$2:$C$271,2,FALSE)</f>
        <v>BOZKURT</v>
      </c>
      <c r="D164" s="5" t="s">
        <v>26</v>
      </c>
      <c r="G164">
        <v>159</v>
      </c>
    </row>
    <row r="165" spans="1:7" x14ac:dyDescent="0.3">
      <c r="A165">
        <v>160</v>
      </c>
      <c r="B165" s="2" t="str">
        <f>VLOOKUP(G165,Excel5!$A$2:$C$271,3,FALSE)</f>
        <v>KASTAMONU</v>
      </c>
      <c r="C165" s="2" t="str">
        <f>VLOOKUP(G165,Excel5!$A$2:$C$271,2,FALSE)</f>
        <v>TOSYA</v>
      </c>
      <c r="D165" s="5" t="s">
        <v>26</v>
      </c>
      <c r="G165">
        <v>160</v>
      </c>
    </row>
    <row r="166" spans="1:7" x14ac:dyDescent="0.3">
      <c r="A166">
        <v>161</v>
      </c>
      <c r="B166" s="2" t="str">
        <f>VLOOKUP(G166,Excel5!$A$2:$C$271,3,FALSE)</f>
        <v>KASTAMONU</v>
      </c>
      <c r="C166" s="2" t="str">
        <f>VLOOKUP(G166,Excel5!$A$2:$C$271,2,FALSE)</f>
        <v>DEVREKANİ</v>
      </c>
      <c r="D166" s="5" t="s">
        <v>26</v>
      </c>
      <c r="G166">
        <v>161</v>
      </c>
    </row>
    <row r="167" spans="1:7" x14ac:dyDescent="0.3">
      <c r="A167">
        <v>162</v>
      </c>
      <c r="B167" s="2" t="str">
        <f>VLOOKUP(G167,Excel5!$A$2:$C$271,3,FALSE)</f>
        <v>KASTAMONU</v>
      </c>
      <c r="C167" s="2" t="str">
        <f>VLOOKUP(G167,Excel5!$A$2:$C$271,2,FALSE)</f>
        <v>TAŞKÖPRÜ</v>
      </c>
      <c r="D167" s="5" t="s">
        <v>26</v>
      </c>
      <c r="G167">
        <v>162</v>
      </c>
    </row>
    <row r="168" spans="1:7" x14ac:dyDescent="0.3">
      <c r="A168">
        <v>163</v>
      </c>
      <c r="B168" s="2" t="str">
        <f>VLOOKUP(G168,Excel5!$A$2:$C$271,3,FALSE)</f>
        <v>KASTAMONU</v>
      </c>
      <c r="C168" s="2" t="str">
        <f>VLOOKUP(G168,Excel5!$A$2:$C$271,2,FALSE)</f>
        <v>AZDAVAY</v>
      </c>
      <c r="D168" s="5" t="s">
        <v>26</v>
      </c>
      <c r="G168">
        <v>163</v>
      </c>
    </row>
    <row r="169" spans="1:7" x14ac:dyDescent="0.3">
      <c r="A169">
        <v>164</v>
      </c>
      <c r="B169" s="2" t="str">
        <f>VLOOKUP(G169,Excel5!$A$2:$C$271,3,FALSE)</f>
        <v>KASTAMONU</v>
      </c>
      <c r="C169" s="2" t="str">
        <f>VLOOKUP(G169,Excel5!$A$2:$C$271,2,FALSE)</f>
        <v>KÜRE</v>
      </c>
      <c r="D169" s="5" t="s">
        <v>26</v>
      </c>
      <c r="G169">
        <v>164</v>
      </c>
    </row>
    <row r="170" spans="1:7" x14ac:dyDescent="0.3">
      <c r="A170">
        <v>165</v>
      </c>
      <c r="B170" s="2" t="str">
        <f>VLOOKUP(G170,Excel5!$A$2:$C$271,3,FALSE)</f>
        <v>KASTAMONU</v>
      </c>
      <c r="C170" s="2" t="str">
        <f>VLOOKUP(G170,Excel5!$A$2:$C$271,2,FALSE)</f>
        <v>ABANA</v>
      </c>
      <c r="D170" s="5" t="s">
        <v>26</v>
      </c>
      <c r="G170">
        <v>165</v>
      </c>
    </row>
    <row r="171" spans="1:7" x14ac:dyDescent="0.3">
      <c r="A171">
        <v>166</v>
      </c>
      <c r="B171" s="2" t="str">
        <f>VLOOKUP(G171,Excel5!$A$2:$C$271,3,FALSE)</f>
        <v>KASTAMONU</v>
      </c>
      <c r="C171" s="2" t="str">
        <f>VLOOKUP(G171,Excel5!$A$2:$C$271,2,FALSE)</f>
        <v>İNEBOLU</v>
      </c>
      <c r="D171" s="5" t="s">
        <v>26</v>
      </c>
      <c r="G171">
        <v>166</v>
      </c>
    </row>
    <row r="172" spans="1:7" x14ac:dyDescent="0.3">
      <c r="A172">
        <v>167</v>
      </c>
      <c r="B172" s="2" t="str">
        <f>VLOOKUP(G172,Excel5!$A$2:$C$271,3,FALSE)</f>
        <v>KASTAMONU</v>
      </c>
      <c r="C172" s="2" t="str">
        <f>VLOOKUP(G172,Excel5!$A$2:$C$271,2,FALSE)</f>
        <v>CİDE</v>
      </c>
      <c r="D172" s="5" t="s">
        <v>26</v>
      </c>
      <c r="G172">
        <v>167</v>
      </c>
    </row>
    <row r="173" spans="1:7" x14ac:dyDescent="0.3">
      <c r="A173">
        <v>168</v>
      </c>
      <c r="B173" s="2" t="str">
        <f>VLOOKUP(G173,Excel5!$A$2:$C$271,3,FALSE)</f>
        <v>KASTAMONU</v>
      </c>
      <c r="C173" s="2" t="str">
        <f>VLOOKUP(G173,Excel5!$A$2:$C$271,2,FALSE)</f>
        <v>SEYDİLER</v>
      </c>
      <c r="D173" s="5" t="s">
        <v>26</v>
      </c>
      <c r="G173">
        <v>168</v>
      </c>
    </row>
    <row r="174" spans="1:7" x14ac:dyDescent="0.3">
      <c r="A174">
        <v>169</v>
      </c>
      <c r="B174" s="2" t="str">
        <f>VLOOKUP(G174,Excel5!$A$2:$C$271,3,FALSE)</f>
        <v>KAYSERİ</v>
      </c>
      <c r="C174" s="2" t="str">
        <f>VLOOKUP(G174,Excel5!$A$2:$C$271,2,FALSE)</f>
        <v>KAYSERİ BÜYÜKŞEHİR</v>
      </c>
      <c r="D174" s="5" t="s">
        <v>26</v>
      </c>
      <c r="G174">
        <v>169</v>
      </c>
    </row>
    <row r="175" spans="1:7" x14ac:dyDescent="0.3">
      <c r="A175">
        <v>170</v>
      </c>
      <c r="B175" s="2" t="str">
        <f>VLOOKUP(G175,Excel5!$A$2:$C$271,3,FALSE)</f>
        <v>KIRIKKALE</v>
      </c>
      <c r="C175" s="2" t="str">
        <f>VLOOKUP(G175,Excel5!$A$2:$C$271,2,FALSE)</f>
        <v>MERKEZ</v>
      </c>
      <c r="D175" s="5" t="s">
        <v>26</v>
      </c>
      <c r="G175">
        <v>170</v>
      </c>
    </row>
    <row r="176" spans="1:7" x14ac:dyDescent="0.3">
      <c r="A176">
        <v>171</v>
      </c>
      <c r="B176" s="2" t="str">
        <f>VLOOKUP(G176,Excel5!$A$2:$C$271,3,FALSE)</f>
        <v>KIRIKKALE</v>
      </c>
      <c r="C176" s="2" t="str">
        <f>VLOOKUP(G176,Excel5!$A$2:$C$271,2,FALSE)</f>
        <v>YAHŞİHAN</v>
      </c>
      <c r="D176" s="5" t="s">
        <v>26</v>
      </c>
      <c r="G176">
        <v>171</v>
      </c>
    </row>
    <row r="177" spans="1:7" x14ac:dyDescent="0.3">
      <c r="A177">
        <v>172</v>
      </c>
      <c r="B177" s="2" t="str">
        <f>VLOOKUP(G177,Excel5!$A$2:$C$271,3,FALSE)</f>
        <v>KIRIKKALE</v>
      </c>
      <c r="C177" s="2" t="str">
        <f>VLOOKUP(G177,Excel5!$A$2:$C$271,2,FALSE)</f>
        <v>KESKİN</v>
      </c>
      <c r="D177" s="5" t="s">
        <v>26</v>
      </c>
      <c r="G177">
        <v>172</v>
      </c>
    </row>
    <row r="178" spans="1:7" x14ac:dyDescent="0.3">
      <c r="A178">
        <v>173</v>
      </c>
      <c r="B178" s="2" t="str">
        <f>VLOOKUP(G178,Excel5!$A$2:$C$271,3,FALSE)</f>
        <v>KIRIKKALE</v>
      </c>
      <c r="C178" s="2" t="str">
        <f>VLOOKUP(G178,Excel5!$A$2:$C$271,2,FALSE)</f>
        <v>DELİCE</v>
      </c>
      <c r="D178" s="5" t="s">
        <v>26</v>
      </c>
      <c r="G178">
        <v>173</v>
      </c>
    </row>
    <row r="179" spans="1:7" x14ac:dyDescent="0.3">
      <c r="A179">
        <v>174</v>
      </c>
      <c r="B179" s="2" t="str">
        <f>VLOOKUP(G179,Excel5!$A$2:$C$271,3,FALSE)</f>
        <v>KIRIKKALE</v>
      </c>
      <c r="C179" s="2" t="str">
        <f>VLOOKUP(G179,Excel5!$A$2:$C$271,2,FALSE)</f>
        <v>SULAKYURT</v>
      </c>
      <c r="D179" s="5" t="s">
        <v>26</v>
      </c>
      <c r="G179">
        <v>174</v>
      </c>
    </row>
    <row r="180" spans="1:7" x14ac:dyDescent="0.3">
      <c r="A180">
        <v>175</v>
      </c>
      <c r="B180" s="2" t="str">
        <f>VLOOKUP(G180,Excel5!$A$2:$C$271,3,FALSE)</f>
        <v>KIRKLARELİ</v>
      </c>
      <c r="C180" s="2" t="str">
        <f>VLOOKUP(G180,Excel5!$A$2:$C$271,2,FALSE)</f>
        <v>MERKEZ</v>
      </c>
      <c r="D180" s="5" t="s">
        <v>26</v>
      </c>
      <c r="G180">
        <v>175</v>
      </c>
    </row>
    <row r="181" spans="1:7" x14ac:dyDescent="0.3">
      <c r="A181">
        <v>176</v>
      </c>
      <c r="B181" s="2" t="str">
        <f>VLOOKUP(G181,Excel5!$A$2:$C$271,3,FALSE)</f>
        <v>KIRKLARELİ</v>
      </c>
      <c r="C181" s="2" t="str">
        <f>VLOOKUP(G181,Excel5!$A$2:$C$271,2,FALSE)</f>
        <v>LÜLEBURGAZ</v>
      </c>
      <c r="D181" s="5" t="s">
        <v>26</v>
      </c>
      <c r="G181">
        <v>176</v>
      </c>
    </row>
    <row r="182" spans="1:7" x14ac:dyDescent="0.3">
      <c r="A182">
        <v>177</v>
      </c>
      <c r="B182" s="2" t="str">
        <f>VLOOKUP(G182,Excel5!$A$2:$C$271,3,FALSE)</f>
        <v>KIRKLARELİ</v>
      </c>
      <c r="C182" s="2" t="str">
        <f>VLOOKUP(G182,Excel5!$A$2:$C$271,2,FALSE)</f>
        <v>DEMİRKÖY</v>
      </c>
      <c r="D182" s="5" t="s">
        <v>26</v>
      </c>
      <c r="G182">
        <v>177</v>
      </c>
    </row>
    <row r="183" spans="1:7" x14ac:dyDescent="0.3">
      <c r="A183">
        <v>178</v>
      </c>
      <c r="B183" s="2" t="str">
        <f>VLOOKUP(G183,Excel5!$A$2:$C$271,3,FALSE)</f>
        <v>KIRKLARELİ</v>
      </c>
      <c r="C183" s="2" t="str">
        <f>VLOOKUP(G183,Excel5!$A$2:$C$271,2,FALSE)</f>
        <v>BABAESKİ</v>
      </c>
      <c r="D183" s="5" t="s">
        <v>26</v>
      </c>
      <c r="G183">
        <v>178</v>
      </c>
    </row>
    <row r="184" spans="1:7" x14ac:dyDescent="0.3">
      <c r="A184">
        <v>179</v>
      </c>
      <c r="B184" s="2" t="str">
        <f>VLOOKUP(G184,Excel5!$A$2:$C$271,3,FALSE)</f>
        <v>KIRKLARELİ</v>
      </c>
      <c r="C184" s="2" t="str">
        <f>VLOOKUP(G184,Excel5!$A$2:$C$271,2,FALSE)</f>
        <v>VİZE</v>
      </c>
      <c r="D184" s="5" t="s">
        <v>26</v>
      </c>
      <c r="G184">
        <v>179</v>
      </c>
    </row>
    <row r="185" spans="1:7" x14ac:dyDescent="0.3">
      <c r="A185">
        <v>180</v>
      </c>
      <c r="B185" s="2" t="str">
        <f>VLOOKUP(G185,Excel5!$A$2:$C$271,3,FALSE)</f>
        <v>KIRKLARELİ</v>
      </c>
      <c r="C185" s="2" t="str">
        <f>VLOOKUP(G185,Excel5!$A$2:$C$271,2,FALSE)</f>
        <v>PEHLİVANKÖY</v>
      </c>
      <c r="D185" s="5" t="s">
        <v>26</v>
      </c>
      <c r="G185">
        <v>180</v>
      </c>
    </row>
    <row r="186" spans="1:7" x14ac:dyDescent="0.3">
      <c r="A186">
        <v>181</v>
      </c>
      <c r="B186" s="2" t="str">
        <f>VLOOKUP(G186,Excel5!$A$2:$C$271,3,FALSE)</f>
        <v>KIRŞEHİR</v>
      </c>
      <c r="C186" s="2" t="str">
        <f>VLOOKUP(G186,Excel5!$A$2:$C$271,2,FALSE)</f>
        <v>MERKEZ</v>
      </c>
      <c r="D186" s="5" t="s">
        <v>26</v>
      </c>
      <c r="G186">
        <v>181</v>
      </c>
    </row>
    <row r="187" spans="1:7" x14ac:dyDescent="0.3">
      <c r="A187">
        <v>182</v>
      </c>
      <c r="B187" s="2" t="str">
        <f>VLOOKUP(G187,Excel5!$A$2:$C$271,3,FALSE)</f>
        <v>KIRŞEHİR</v>
      </c>
      <c r="C187" s="2" t="str">
        <f>VLOOKUP(G187,Excel5!$A$2:$C$271,2,FALSE)</f>
        <v>KAMAN</v>
      </c>
      <c r="D187" s="5" t="s">
        <v>26</v>
      </c>
      <c r="G187">
        <v>182</v>
      </c>
    </row>
    <row r="188" spans="1:7" x14ac:dyDescent="0.3">
      <c r="A188">
        <v>183</v>
      </c>
      <c r="B188" s="2" t="str">
        <f>VLOOKUP(G188,Excel5!$A$2:$C$271,3,FALSE)</f>
        <v>KIRŞEHİR</v>
      </c>
      <c r="C188" s="2" t="str">
        <f>VLOOKUP(G188,Excel5!$A$2:$C$271,2,FALSE)</f>
        <v>AKPINAR</v>
      </c>
      <c r="D188" s="5" t="s">
        <v>26</v>
      </c>
      <c r="G188">
        <v>183</v>
      </c>
    </row>
    <row r="189" spans="1:7" x14ac:dyDescent="0.3">
      <c r="A189">
        <v>184</v>
      </c>
      <c r="B189" s="2" t="str">
        <f>VLOOKUP(G189,Excel5!$A$2:$C$271,3,FALSE)</f>
        <v>KIRŞEHİR</v>
      </c>
      <c r="C189" s="2" t="str">
        <f>VLOOKUP(G189,Excel5!$A$2:$C$271,2,FALSE)</f>
        <v>MUCUR</v>
      </c>
      <c r="D189" s="5" t="s">
        <v>26</v>
      </c>
      <c r="G189">
        <v>184</v>
      </c>
    </row>
    <row r="190" spans="1:7" x14ac:dyDescent="0.3">
      <c r="A190">
        <v>185</v>
      </c>
      <c r="B190" s="2" t="str">
        <f>VLOOKUP(G190,Excel5!$A$2:$C$271,3,FALSE)</f>
        <v>KIRŞEHİR</v>
      </c>
      <c r="C190" s="2" t="str">
        <f>VLOOKUP(G190,Excel5!$A$2:$C$271,2,FALSE)</f>
        <v>ÇİÇEKDAĞI</v>
      </c>
      <c r="D190" s="5" t="s">
        <v>26</v>
      </c>
      <c r="G190">
        <v>185</v>
      </c>
    </row>
    <row r="191" spans="1:7" x14ac:dyDescent="0.3">
      <c r="A191">
        <v>186</v>
      </c>
      <c r="B191" s="2" t="str">
        <f>VLOOKUP(G191,Excel5!$A$2:$C$271,3,FALSE)</f>
        <v>KİLİS</v>
      </c>
      <c r="C191" s="2" t="str">
        <f>VLOOKUP(G191,Excel5!$A$2:$C$271,2,FALSE)</f>
        <v>MERKEZ</v>
      </c>
      <c r="D191" s="5" t="s">
        <v>26</v>
      </c>
      <c r="G191">
        <v>186</v>
      </c>
    </row>
    <row r="192" spans="1:7" x14ac:dyDescent="0.3">
      <c r="A192">
        <v>187</v>
      </c>
      <c r="B192" s="2" t="str">
        <f>VLOOKUP(G192,Excel5!$A$2:$C$271,3,FALSE)</f>
        <v>KOCAELİ</v>
      </c>
      <c r="C192" s="2" t="str">
        <f>VLOOKUP(G192,Excel5!$A$2:$C$271,2,FALSE)</f>
        <v>KOCAELİ BÜYÜKŞEHİR</v>
      </c>
      <c r="D192" s="5" t="s">
        <v>26</v>
      </c>
      <c r="G192">
        <v>187</v>
      </c>
    </row>
    <row r="193" spans="1:7" x14ac:dyDescent="0.3">
      <c r="A193">
        <v>188</v>
      </c>
      <c r="B193" s="2" t="str">
        <f>VLOOKUP(G193,Excel5!$A$2:$C$271,3,FALSE)</f>
        <v>KONYA</v>
      </c>
      <c r="C193" s="2" t="str">
        <f>VLOOKUP(G193,Excel5!$A$2:$C$271,2,FALSE)</f>
        <v>KONYA BÜYÜKŞEHİR</v>
      </c>
      <c r="D193" s="5" t="s">
        <v>26</v>
      </c>
      <c r="G193">
        <v>188</v>
      </c>
    </row>
    <row r="194" spans="1:7" x14ac:dyDescent="0.3">
      <c r="A194">
        <v>189</v>
      </c>
      <c r="B194" s="2" t="str">
        <f>VLOOKUP(G194,Excel5!$A$2:$C$271,3,FALSE)</f>
        <v>KÜTAHYA</v>
      </c>
      <c r="C194" s="2" t="str">
        <f>VLOOKUP(G194,Excel5!$A$2:$C$271,2,FALSE)</f>
        <v>MERKEZ</v>
      </c>
      <c r="D194" s="5" t="s">
        <v>26</v>
      </c>
      <c r="G194">
        <v>189</v>
      </c>
    </row>
    <row r="195" spans="1:7" x14ac:dyDescent="0.3">
      <c r="A195">
        <v>190</v>
      </c>
      <c r="B195" s="2" t="str">
        <f>VLOOKUP(G195,Excel5!$A$2:$C$271,3,FALSE)</f>
        <v>KÜTAHYA</v>
      </c>
      <c r="C195" s="2" t="str">
        <f>VLOOKUP(G195,Excel5!$A$2:$C$271,2,FALSE)</f>
        <v>PAZARLAR</v>
      </c>
      <c r="D195" s="5" t="s">
        <v>26</v>
      </c>
      <c r="G195">
        <v>190</v>
      </c>
    </row>
    <row r="196" spans="1:7" x14ac:dyDescent="0.3">
      <c r="A196">
        <v>191</v>
      </c>
      <c r="B196" s="2" t="str">
        <f>VLOOKUP(G196,Excel5!$A$2:$C$271,3,FALSE)</f>
        <v>KÜTAHYA</v>
      </c>
      <c r="C196" s="2" t="str">
        <f>VLOOKUP(G196,Excel5!$A$2:$C$271,2,FALSE)</f>
        <v>TAVŞANLI</v>
      </c>
      <c r="D196" s="5" t="s">
        <v>26</v>
      </c>
      <c r="G196">
        <v>191</v>
      </c>
    </row>
    <row r="197" spans="1:7" x14ac:dyDescent="0.3">
      <c r="A197">
        <v>192</v>
      </c>
      <c r="B197" s="2" t="str">
        <f>VLOOKUP(G197,Excel5!$A$2:$C$271,3,FALSE)</f>
        <v>KÜTAHYA</v>
      </c>
      <c r="C197" s="2" t="str">
        <f>VLOOKUP(G197,Excel5!$A$2:$C$271,2,FALSE)</f>
        <v>SİMAV</v>
      </c>
      <c r="D197" s="5" t="s">
        <v>26</v>
      </c>
      <c r="G197">
        <v>192</v>
      </c>
    </row>
    <row r="198" spans="1:7" x14ac:dyDescent="0.3">
      <c r="A198">
        <v>193</v>
      </c>
      <c r="B198" s="2" t="str">
        <f>VLOOKUP(G198,Excel5!$A$2:$C$271,3,FALSE)</f>
        <v>KÜTAHYA</v>
      </c>
      <c r="C198" s="2" t="str">
        <f>VLOOKUP(G198,Excel5!$A$2:$C$271,2,FALSE)</f>
        <v>GEDİZ</v>
      </c>
      <c r="D198" s="5" t="s">
        <v>26</v>
      </c>
      <c r="G198">
        <v>193</v>
      </c>
    </row>
    <row r="199" spans="1:7" x14ac:dyDescent="0.3">
      <c r="A199">
        <v>194</v>
      </c>
      <c r="B199" s="2" t="str">
        <f>VLOOKUP(G199,Excel5!$A$2:$C$271,3,FALSE)</f>
        <v>KÜTAHYA</v>
      </c>
      <c r="C199" s="2" t="str">
        <f>VLOOKUP(G199,Excel5!$A$2:$C$271,2,FALSE)</f>
        <v>ŞAPHANE</v>
      </c>
      <c r="D199" s="5" t="s">
        <v>26</v>
      </c>
      <c r="G199">
        <v>194</v>
      </c>
    </row>
    <row r="200" spans="1:7" x14ac:dyDescent="0.3">
      <c r="A200">
        <v>195</v>
      </c>
      <c r="B200" s="2" t="str">
        <f>VLOOKUP(G200,Excel5!$A$2:$C$271,3,FALSE)</f>
        <v>KÜTAHYA</v>
      </c>
      <c r="C200" s="2" t="str">
        <f>VLOOKUP(G200,Excel5!$A$2:$C$271,2,FALSE)</f>
        <v>HİSARCIK</v>
      </c>
      <c r="D200" s="5" t="s">
        <v>26</v>
      </c>
      <c r="G200">
        <v>195</v>
      </c>
    </row>
    <row r="201" spans="1:7" x14ac:dyDescent="0.3">
      <c r="A201">
        <v>196</v>
      </c>
      <c r="B201" s="2" t="str">
        <f>VLOOKUP(G201,Excel5!$A$2:$C$271,3,FALSE)</f>
        <v>MALATYA</v>
      </c>
      <c r="C201" s="2" t="str">
        <f>VLOOKUP(G201,Excel5!$A$2:$C$271,2,FALSE)</f>
        <v>MALATYA BÜYÜKŞEHİR</v>
      </c>
      <c r="D201" s="5" t="s">
        <v>26</v>
      </c>
      <c r="G201">
        <v>196</v>
      </c>
    </row>
    <row r="202" spans="1:7" x14ac:dyDescent="0.3">
      <c r="A202">
        <v>197</v>
      </c>
      <c r="B202" s="2" t="str">
        <f>VLOOKUP(G202,Excel5!$A$2:$C$271,3,FALSE)</f>
        <v>MANİSA</v>
      </c>
      <c r="C202" s="2" t="str">
        <f>VLOOKUP(G202,Excel5!$A$2:$C$271,2,FALSE)</f>
        <v>MANİSA BÜYÜKŞEHİR</v>
      </c>
      <c r="D202" s="5" t="s">
        <v>26</v>
      </c>
      <c r="G202">
        <v>197</v>
      </c>
    </row>
    <row r="203" spans="1:7" x14ac:dyDescent="0.3">
      <c r="A203">
        <v>198</v>
      </c>
      <c r="B203" s="2" t="str">
        <f>VLOOKUP(G203,Excel5!$A$2:$C$271,3,FALSE)</f>
        <v>MARDİN</v>
      </c>
      <c r="C203" s="2" t="str">
        <f>VLOOKUP(G203,Excel5!$A$2:$C$271,2,FALSE)</f>
        <v>MARDİN BÜYÜKŞEHİR</v>
      </c>
      <c r="D203" s="5" t="s">
        <v>26</v>
      </c>
      <c r="G203">
        <v>198</v>
      </c>
    </row>
    <row r="204" spans="1:7" x14ac:dyDescent="0.3">
      <c r="A204">
        <v>199</v>
      </c>
      <c r="B204" s="2" t="str">
        <f>VLOOKUP(G204,Excel5!$A$2:$C$271,3,FALSE)</f>
        <v>MERSİN</v>
      </c>
      <c r="C204" s="2" t="str">
        <f>VLOOKUP(G204,Excel5!$A$2:$C$271,2,FALSE)</f>
        <v>MERSİN BÜYÜKŞEHİR</v>
      </c>
      <c r="D204" s="5" t="s">
        <v>26</v>
      </c>
      <c r="G204">
        <v>199</v>
      </c>
    </row>
    <row r="205" spans="1:7" x14ac:dyDescent="0.3">
      <c r="A205">
        <v>200</v>
      </c>
      <c r="B205" s="2" t="str">
        <f>VLOOKUP(G205,Excel5!$A$2:$C$271,3,FALSE)</f>
        <v>MUĞLA</v>
      </c>
      <c r="C205" s="2" t="str">
        <f>VLOOKUP(G205,Excel5!$A$2:$C$271,2,FALSE)</f>
        <v>MUĞLA BÜYÜKŞEHİR</v>
      </c>
      <c r="D205" s="5" t="s">
        <v>26</v>
      </c>
      <c r="G205">
        <v>200</v>
      </c>
    </row>
    <row r="206" spans="1:7" x14ac:dyDescent="0.3">
      <c r="A206">
        <v>201</v>
      </c>
      <c r="B206" s="2" t="str">
        <f>VLOOKUP(G206,Excel5!$A$2:$C$271,3,FALSE)</f>
        <v>MUŞ</v>
      </c>
      <c r="C206" s="2" t="str">
        <f>VLOOKUP(G206,Excel5!$A$2:$C$271,2,FALSE)</f>
        <v>MERKEZ</v>
      </c>
      <c r="D206" s="5" t="s">
        <v>26</v>
      </c>
      <c r="G206">
        <v>201</v>
      </c>
    </row>
    <row r="207" spans="1:7" x14ac:dyDescent="0.3">
      <c r="A207">
        <v>202</v>
      </c>
      <c r="B207" s="2" t="str">
        <f>VLOOKUP(G207,Excel5!$A$2:$C$271,3,FALSE)</f>
        <v>MUŞ</v>
      </c>
      <c r="C207" s="2" t="str">
        <f>VLOOKUP(G207,Excel5!$A$2:$C$271,2,FALSE)</f>
        <v>MALAZGİRT</v>
      </c>
      <c r="D207" s="5" t="s">
        <v>26</v>
      </c>
      <c r="G207">
        <v>202</v>
      </c>
    </row>
    <row r="208" spans="1:7" x14ac:dyDescent="0.3">
      <c r="A208">
        <v>203</v>
      </c>
      <c r="B208" s="2" t="str">
        <f>VLOOKUP(G208,Excel5!$A$2:$C$271,3,FALSE)</f>
        <v>NEVŞEHİR</v>
      </c>
      <c r="C208" s="2" t="str">
        <f>VLOOKUP(G208,Excel5!$A$2:$C$271,2,FALSE)</f>
        <v>AVANOS</v>
      </c>
      <c r="D208" s="5" t="s">
        <v>26</v>
      </c>
      <c r="G208">
        <v>203</v>
      </c>
    </row>
    <row r="209" spans="1:7" x14ac:dyDescent="0.3">
      <c r="A209">
        <v>204</v>
      </c>
      <c r="B209" s="2" t="str">
        <f>VLOOKUP(G209,Excel5!$A$2:$C$271,3,FALSE)</f>
        <v>NEVŞEHİR</v>
      </c>
      <c r="C209" s="2" t="str">
        <f>VLOOKUP(G209,Excel5!$A$2:$C$271,2,FALSE)</f>
        <v>MERKEZ</v>
      </c>
      <c r="D209" s="5" t="s">
        <v>26</v>
      </c>
      <c r="G209">
        <v>204</v>
      </c>
    </row>
    <row r="210" spans="1:7" x14ac:dyDescent="0.3">
      <c r="A210">
        <v>205</v>
      </c>
      <c r="B210" s="2" t="str">
        <f>VLOOKUP(G210,Excel5!$A$2:$C$271,3,FALSE)</f>
        <v>NEVŞEHİR</v>
      </c>
      <c r="C210" s="2" t="str">
        <f>VLOOKUP(G210,Excel5!$A$2:$C$271,2,FALSE)</f>
        <v>ÜRGÜP</v>
      </c>
      <c r="D210" s="5" t="s">
        <v>26</v>
      </c>
      <c r="G210">
        <v>205</v>
      </c>
    </row>
    <row r="211" spans="1:7" x14ac:dyDescent="0.3">
      <c r="A211">
        <v>206</v>
      </c>
      <c r="B211" s="2" t="str">
        <f>VLOOKUP(G211,Excel5!$A$2:$C$271,3,FALSE)</f>
        <v>NEVŞEHİR</v>
      </c>
      <c r="C211" s="2" t="str">
        <f>VLOOKUP(G211,Excel5!$A$2:$C$271,2,FALSE)</f>
        <v>GÜLŞEHİR</v>
      </c>
      <c r="D211" s="5" t="s">
        <v>26</v>
      </c>
      <c r="G211">
        <v>206</v>
      </c>
    </row>
    <row r="212" spans="1:7" x14ac:dyDescent="0.3">
      <c r="A212">
        <v>207</v>
      </c>
      <c r="B212" s="2" t="str">
        <f>VLOOKUP(G212,Excel5!$A$2:$C$271,3,FALSE)</f>
        <v>NEVŞEHİR</v>
      </c>
      <c r="C212" s="2" t="str">
        <f>VLOOKUP(G212,Excel5!$A$2:$C$271,2,FALSE)</f>
        <v>ACIGÖL</v>
      </c>
      <c r="D212" s="5" t="s">
        <v>26</v>
      </c>
      <c r="G212">
        <v>207</v>
      </c>
    </row>
    <row r="213" spans="1:7" x14ac:dyDescent="0.3">
      <c r="A213">
        <v>208</v>
      </c>
      <c r="B213" s="2" t="str">
        <f>VLOOKUP(G213,Excel5!$A$2:$C$271,3,FALSE)</f>
        <v>NEVŞEHİR</v>
      </c>
      <c r="C213" s="2" t="str">
        <f>VLOOKUP(G213,Excel5!$A$2:$C$271,2,FALSE)</f>
        <v>DERİNKUYU</v>
      </c>
      <c r="D213" s="5" t="s">
        <v>26</v>
      </c>
      <c r="G213">
        <v>208</v>
      </c>
    </row>
    <row r="214" spans="1:7" x14ac:dyDescent="0.3">
      <c r="A214">
        <v>209</v>
      </c>
      <c r="B214" s="2" t="str">
        <f>VLOOKUP(G214,Excel5!$A$2:$C$271,3,FALSE)</f>
        <v>NİĞDE</v>
      </c>
      <c r="C214" s="2" t="str">
        <f>VLOOKUP(G214,Excel5!$A$2:$C$271,2,FALSE)</f>
        <v>MERKEZ</v>
      </c>
      <c r="D214" s="5" t="s">
        <v>26</v>
      </c>
      <c r="G214">
        <v>209</v>
      </c>
    </row>
    <row r="215" spans="1:7" x14ac:dyDescent="0.3">
      <c r="A215">
        <v>210</v>
      </c>
      <c r="B215" s="2" t="str">
        <f>VLOOKUP(G215,Excel5!$A$2:$C$271,3,FALSE)</f>
        <v>NİĞDE</v>
      </c>
      <c r="C215" s="2" t="str">
        <f>VLOOKUP(G215,Excel5!$A$2:$C$271,2,FALSE)</f>
        <v>BOR</v>
      </c>
      <c r="D215" s="5" t="s">
        <v>26</v>
      </c>
      <c r="G215">
        <v>210</v>
      </c>
    </row>
    <row r="216" spans="1:7" x14ac:dyDescent="0.3">
      <c r="A216">
        <v>211</v>
      </c>
      <c r="B216" s="2" t="str">
        <f>VLOOKUP(G216,Excel5!$A$2:$C$271,3,FALSE)</f>
        <v>NİĞDE</v>
      </c>
      <c r="C216" s="2" t="str">
        <f>VLOOKUP(G216,Excel5!$A$2:$C$271,2,FALSE)</f>
        <v>ULUKIŞLA</v>
      </c>
      <c r="D216" s="5" t="s">
        <v>26</v>
      </c>
      <c r="G216">
        <v>211</v>
      </c>
    </row>
    <row r="217" spans="1:7" x14ac:dyDescent="0.3">
      <c r="A217">
        <v>212</v>
      </c>
      <c r="B217" s="2" t="str">
        <f>VLOOKUP(G217,Excel5!$A$2:$C$271,3,FALSE)</f>
        <v>NİĞDE</v>
      </c>
      <c r="C217" s="2" t="str">
        <f>VLOOKUP(G217,Excel5!$A$2:$C$271,2,FALSE)</f>
        <v>ALTUNHİSAR</v>
      </c>
      <c r="D217" s="5" t="s">
        <v>26</v>
      </c>
      <c r="G217">
        <v>212</v>
      </c>
    </row>
    <row r="218" spans="1:7" x14ac:dyDescent="0.3">
      <c r="A218">
        <v>213</v>
      </c>
      <c r="B218" s="2" t="str">
        <f>VLOOKUP(G218,Excel5!$A$2:$C$271,3,FALSE)</f>
        <v>NİĞDE</v>
      </c>
      <c r="C218" s="2" t="str">
        <f>VLOOKUP(G218,Excel5!$A$2:$C$271,2,FALSE)</f>
        <v>ÇİFTLİK</v>
      </c>
      <c r="D218" s="5" t="s">
        <v>26</v>
      </c>
      <c r="G218">
        <v>213</v>
      </c>
    </row>
    <row r="219" spans="1:7" x14ac:dyDescent="0.3">
      <c r="A219">
        <v>214</v>
      </c>
      <c r="B219" s="2" t="str">
        <f>VLOOKUP(G219,Excel5!$A$2:$C$271,3,FALSE)</f>
        <v>ORDU</v>
      </c>
      <c r="C219" s="2" t="str">
        <f>VLOOKUP(G219,Excel5!$A$2:$C$271,2,FALSE)</f>
        <v>ORDU BÜYÜKŞEHİR</v>
      </c>
      <c r="D219" s="5" t="s">
        <v>26</v>
      </c>
      <c r="G219">
        <v>214</v>
      </c>
    </row>
    <row r="220" spans="1:7" x14ac:dyDescent="0.3">
      <c r="A220">
        <v>215</v>
      </c>
      <c r="B220" s="2" t="str">
        <f>VLOOKUP(G220,Excel5!$A$2:$C$271,3,FALSE)</f>
        <v>OSMANİYE</v>
      </c>
      <c r="C220" s="2" t="str">
        <f>VLOOKUP(G220,Excel5!$A$2:$C$271,2,FALSE)</f>
        <v>MERKEZ</v>
      </c>
      <c r="D220" s="5" t="s">
        <v>26</v>
      </c>
      <c r="G220">
        <v>215</v>
      </c>
    </row>
    <row r="221" spans="1:7" x14ac:dyDescent="0.3">
      <c r="A221">
        <v>216</v>
      </c>
      <c r="B221" s="2" t="str">
        <f>VLOOKUP(G221,Excel5!$A$2:$C$271,3,FALSE)</f>
        <v>OSMANİYE</v>
      </c>
      <c r="C221" s="2" t="str">
        <f>VLOOKUP(G221,Excel5!$A$2:$C$271,2,FALSE)</f>
        <v>KADİRLİ</v>
      </c>
      <c r="D221" s="5" t="s">
        <v>26</v>
      </c>
      <c r="G221">
        <v>216</v>
      </c>
    </row>
    <row r="222" spans="1:7" x14ac:dyDescent="0.3">
      <c r="A222">
        <v>217</v>
      </c>
      <c r="B222" s="2" t="str">
        <f>VLOOKUP(G222,Excel5!$A$2:$C$271,3,FALSE)</f>
        <v>OSMANİYE</v>
      </c>
      <c r="C222" s="2" t="str">
        <f>VLOOKUP(G222,Excel5!$A$2:$C$271,2,FALSE)</f>
        <v>TOPRAKKALE</v>
      </c>
      <c r="D222" s="5" t="s">
        <v>26</v>
      </c>
      <c r="G222">
        <v>217</v>
      </c>
    </row>
    <row r="223" spans="1:7" x14ac:dyDescent="0.3">
      <c r="A223">
        <v>218</v>
      </c>
      <c r="B223" s="2" t="str">
        <f>VLOOKUP(G223,Excel5!$A$2:$C$271,3,FALSE)</f>
        <v>OSMANİYE</v>
      </c>
      <c r="C223" s="2" t="str">
        <f>VLOOKUP(G223,Excel5!$A$2:$C$271,2,FALSE)</f>
        <v>DÜZİÇİ</v>
      </c>
      <c r="D223" s="5" t="s">
        <v>26</v>
      </c>
      <c r="G223">
        <v>218</v>
      </c>
    </row>
    <row r="224" spans="1:7" x14ac:dyDescent="0.3">
      <c r="A224">
        <v>219</v>
      </c>
      <c r="B224" s="2" t="str">
        <f>VLOOKUP(G224,Excel5!$A$2:$C$271,3,FALSE)</f>
        <v>OSMANİYE</v>
      </c>
      <c r="C224" s="2" t="str">
        <f>VLOOKUP(G224,Excel5!$A$2:$C$271,2,FALSE)</f>
        <v>SUMBAŞ</v>
      </c>
      <c r="D224" s="5" t="s">
        <v>26</v>
      </c>
      <c r="G224">
        <v>219</v>
      </c>
    </row>
    <row r="225" spans="1:7" x14ac:dyDescent="0.3">
      <c r="A225">
        <v>220</v>
      </c>
      <c r="B225" s="2" t="str">
        <f>VLOOKUP(G225,Excel5!$A$2:$C$271,3,FALSE)</f>
        <v>RİZE</v>
      </c>
      <c r="C225" s="2" t="str">
        <f>VLOOKUP(G225,Excel5!$A$2:$C$271,2,FALSE)</f>
        <v>ARDEŞEN</v>
      </c>
      <c r="D225" s="5" t="s">
        <v>26</v>
      </c>
      <c r="G225">
        <v>220</v>
      </c>
    </row>
    <row r="226" spans="1:7" x14ac:dyDescent="0.3">
      <c r="A226">
        <v>221</v>
      </c>
      <c r="B226" s="2" t="str">
        <f>VLOOKUP(G226,Excel5!$A$2:$C$271,3,FALSE)</f>
        <v>RİZE</v>
      </c>
      <c r="C226" s="2" t="str">
        <f>VLOOKUP(G226,Excel5!$A$2:$C$271,2,FALSE)</f>
        <v>DEREPAZARI</v>
      </c>
      <c r="D226" s="5" t="s">
        <v>26</v>
      </c>
      <c r="G226">
        <v>221</v>
      </c>
    </row>
    <row r="227" spans="1:7" x14ac:dyDescent="0.3">
      <c r="A227">
        <v>222</v>
      </c>
      <c r="B227" s="2" t="str">
        <f>VLOOKUP(G227,Excel5!$A$2:$C$271,3,FALSE)</f>
        <v>RİZE</v>
      </c>
      <c r="C227" s="2" t="str">
        <f>VLOOKUP(G227,Excel5!$A$2:$C$271,2,FALSE)</f>
        <v>İYİDERE</v>
      </c>
      <c r="D227" s="5" t="s">
        <v>26</v>
      </c>
      <c r="G227">
        <v>222</v>
      </c>
    </row>
    <row r="228" spans="1:7" x14ac:dyDescent="0.3">
      <c r="A228">
        <v>223</v>
      </c>
      <c r="B228" s="2" t="str">
        <f>VLOOKUP(G228,Excel5!$A$2:$C$271,3,FALSE)</f>
        <v>RİZE</v>
      </c>
      <c r="C228" s="2" t="str">
        <f>VLOOKUP(G228,Excel5!$A$2:$C$271,2,FALSE)</f>
        <v>GÜNEYSU</v>
      </c>
      <c r="D228" s="5" t="s">
        <v>26</v>
      </c>
      <c r="G228">
        <v>223</v>
      </c>
    </row>
    <row r="229" spans="1:7" x14ac:dyDescent="0.3">
      <c r="A229">
        <v>224</v>
      </c>
      <c r="B229" s="2" t="str">
        <f>VLOOKUP(G229,Excel5!$A$2:$C$271,3,FALSE)</f>
        <v>RİZE</v>
      </c>
      <c r="C229" s="2" t="str">
        <f>VLOOKUP(G229,Excel5!$A$2:$C$271,2,FALSE)</f>
        <v>KALKANDERE</v>
      </c>
      <c r="D229" s="5" t="s">
        <v>26</v>
      </c>
      <c r="G229">
        <v>224</v>
      </c>
    </row>
    <row r="230" spans="1:7" x14ac:dyDescent="0.3">
      <c r="A230">
        <v>225</v>
      </c>
      <c r="B230" s="2" t="str">
        <f>VLOOKUP(G230,Excel5!$A$2:$C$271,3,FALSE)</f>
        <v>RİZE</v>
      </c>
      <c r="C230" s="2" t="str">
        <f>VLOOKUP(G230,Excel5!$A$2:$C$271,2,FALSE)</f>
        <v>FINDIKLI</v>
      </c>
      <c r="D230" s="5" t="s">
        <v>26</v>
      </c>
      <c r="G230">
        <v>225</v>
      </c>
    </row>
    <row r="231" spans="1:7" x14ac:dyDescent="0.3">
      <c r="A231">
        <v>226</v>
      </c>
      <c r="B231" s="2" t="str">
        <f>VLOOKUP(G231,Excel5!$A$2:$C$271,3,FALSE)</f>
        <v>RİZE</v>
      </c>
      <c r="C231" s="2" t="str">
        <f>VLOOKUP(G231,Excel5!$A$2:$C$271,2,FALSE)</f>
        <v>ÇAYELİ</v>
      </c>
      <c r="D231" s="5" t="s">
        <v>26</v>
      </c>
      <c r="G231">
        <v>226</v>
      </c>
    </row>
    <row r="232" spans="1:7" x14ac:dyDescent="0.3">
      <c r="A232">
        <v>227</v>
      </c>
      <c r="B232" s="2" t="str">
        <f>VLOOKUP(G232,Excel5!$A$2:$C$271,3,FALSE)</f>
        <v>SAKARYA</v>
      </c>
      <c r="C232" s="2" t="str">
        <f>VLOOKUP(G232,Excel5!$A$2:$C$271,2,FALSE)</f>
        <v>SAKARYA BÜYÜKŞEHİR</v>
      </c>
      <c r="D232" s="5" t="s">
        <v>26</v>
      </c>
      <c r="G232">
        <v>227</v>
      </c>
    </row>
    <row r="233" spans="1:7" x14ac:dyDescent="0.3">
      <c r="A233">
        <v>228</v>
      </c>
      <c r="B233" s="2" t="str">
        <f>VLOOKUP(G233,Excel5!$A$2:$C$271,3,FALSE)</f>
        <v>SAMSUN</v>
      </c>
      <c r="C233" s="2" t="str">
        <f>VLOOKUP(G233,Excel5!$A$2:$C$271,2,FALSE)</f>
        <v>SAMSUN BÜYÜKŞEHİR</v>
      </c>
      <c r="D233" s="5" t="s">
        <v>26</v>
      </c>
      <c r="G233">
        <v>228</v>
      </c>
    </row>
    <row r="234" spans="1:7" x14ac:dyDescent="0.3">
      <c r="A234">
        <v>229</v>
      </c>
      <c r="B234" s="2" t="str">
        <f>VLOOKUP(G234,Excel5!$A$2:$C$271,3,FALSE)</f>
        <v>SİİRT</v>
      </c>
      <c r="C234" s="2" t="str">
        <f>VLOOKUP(G234,Excel5!$A$2:$C$271,2,FALSE)</f>
        <v>MERKEZ</v>
      </c>
      <c r="D234" s="5" t="s">
        <v>26</v>
      </c>
      <c r="G234">
        <v>229</v>
      </c>
    </row>
    <row r="235" spans="1:7" x14ac:dyDescent="0.3">
      <c r="A235">
        <v>230</v>
      </c>
      <c r="B235" s="2" t="str">
        <f>VLOOKUP(G235,Excel5!$A$2:$C$271,3,FALSE)</f>
        <v>SİİRT</v>
      </c>
      <c r="C235" s="2" t="str">
        <f>VLOOKUP(G235,Excel5!$A$2:$C$271,2,FALSE)</f>
        <v>KURTALAN</v>
      </c>
      <c r="D235" s="5" t="s">
        <v>26</v>
      </c>
      <c r="G235">
        <v>230</v>
      </c>
    </row>
    <row r="236" spans="1:7" x14ac:dyDescent="0.3">
      <c r="A236">
        <v>231</v>
      </c>
      <c r="B236" s="2" t="str">
        <f>VLOOKUP(G236,Excel5!$A$2:$C$271,3,FALSE)</f>
        <v>SİNOP</v>
      </c>
      <c r="C236" s="2" t="str">
        <f>VLOOKUP(G236,Excel5!$A$2:$C$271,2,FALSE)</f>
        <v>MERKEZ</v>
      </c>
      <c r="D236" s="5" t="s">
        <v>26</v>
      </c>
      <c r="G236">
        <v>231</v>
      </c>
    </row>
    <row r="237" spans="1:7" x14ac:dyDescent="0.3">
      <c r="A237">
        <v>232</v>
      </c>
      <c r="B237" s="2" t="str">
        <f>VLOOKUP(G237,Excel5!$A$2:$C$271,3,FALSE)</f>
        <v>SİNOP</v>
      </c>
      <c r="C237" s="2" t="str">
        <f>VLOOKUP(G237,Excel5!$A$2:$C$271,2,FALSE)</f>
        <v>ERFELEK</v>
      </c>
      <c r="D237" s="5" t="s">
        <v>26</v>
      </c>
      <c r="G237">
        <v>232</v>
      </c>
    </row>
    <row r="238" spans="1:7" x14ac:dyDescent="0.3">
      <c r="A238">
        <v>233</v>
      </c>
      <c r="B238" s="2" t="str">
        <f>VLOOKUP(G238,Excel5!$A$2:$C$271,3,FALSE)</f>
        <v>SİNOP</v>
      </c>
      <c r="C238" s="2" t="str">
        <f>VLOOKUP(G238,Excel5!$A$2:$C$271,2,FALSE)</f>
        <v>BOYABAT</v>
      </c>
      <c r="D238" s="5" t="s">
        <v>26</v>
      </c>
      <c r="G238">
        <v>233</v>
      </c>
    </row>
    <row r="239" spans="1:7" x14ac:dyDescent="0.3">
      <c r="A239">
        <v>234</v>
      </c>
      <c r="B239" s="2" t="str">
        <f>VLOOKUP(G239,Excel5!$A$2:$C$271,3,FALSE)</f>
        <v>SİNOP</v>
      </c>
      <c r="C239" s="2" t="str">
        <f>VLOOKUP(G239,Excel5!$A$2:$C$271,2,FALSE)</f>
        <v>GERZE</v>
      </c>
      <c r="D239" s="5" t="s">
        <v>26</v>
      </c>
      <c r="G239">
        <v>234</v>
      </c>
    </row>
    <row r="240" spans="1:7" x14ac:dyDescent="0.3">
      <c r="A240">
        <v>235</v>
      </c>
      <c r="B240" s="2" t="str">
        <f>VLOOKUP(G240,Excel5!$A$2:$C$271,3,FALSE)</f>
        <v>SİVAS</v>
      </c>
      <c r="C240" s="2" t="str">
        <f>VLOOKUP(G240,Excel5!$A$2:$C$271,2,FALSE)</f>
        <v>SUŞEHRİ</v>
      </c>
      <c r="D240" s="5" t="s">
        <v>26</v>
      </c>
      <c r="G240">
        <v>235</v>
      </c>
    </row>
    <row r="241" spans="1:7" x14ac:dyDescent="0.3">
      <c r="A241">
        <v>236</v>
      </c>
      <c r="B241" s="2" t="str">
        <f>VLOOKUP(G241,Excel5!$A$2:$C$271,3,FALSE)</f>
        <v>SİVAS</v>
      </c>
      <c r="C241" s="2" t="str">
        <f>VLOOKUP(G241,Excel5!$A$2:$C$271,2,FALSE)</f>
        <v>MERKEZ</v>
      </c>
      <c r="D241" s="5" t="s">
        <v>26</v>
      </c>
      <c r="G241">
        <v>236</v>
      </c>
    </row>
    <row r="242" spans="1:7" x14ac:dyDescent="0.3">
      <c r="A242">
        <v>237</v>
      </c>
      <c r="B242" s="2" t="str">
        <f>VLOOKUP(G242,Excel5!$A$2:$C$271,3,FALSE)</f>
        <v>SİVAS</v>
      </c>
      <c r="C242" s="2" t="str">
        <f>VLOOKUP(G242,Excel5!$A$2:$C$271,2,FALSE)</f>
        <v>ŞARKIŞLA</v>
      </c>
      <c r="D242" s="5" t="s">
        <v>26</v>
      </c>
      <c r="G242">
        <v>237</v>
      </c>
    </row>
    <row r="243" spans="1:7" x14ac:dyDescent="0.3">
      <c r="A243">
        <v>238</v>
      </c>
      <c r="B243" s="2" t="str">
        <f>VLOOKUP(G243,Excel5!$A$2:$C$271,3,FALSE)</f>
        <v>SİVAS</v>
      </c>
      <c r="C243" s="2" t="str">
        <f>VLOOKUP(G243,Excel5!$A$2:$C$271,2,FALSE)</f>
        <v>KANGAL</v>
      </c>
      <c r="D243" s="5" t="s">
        <v>26</v>
      </c>
      <c r="G243">
        <v>238</v>
      </c>
    </row>
    <row r="244" spans="1:7" x14ac:dyDescent="0.3">
      <c r="A244">
        <v>239</v>
      </c>
      <c r="B244" s="2" t="str">
        <f>VLOOKUP(G244,Excel5!$A$2:$C$271,3,FALSE)</f>
        <v>SİVAS</v>
      </c>
      <c r="C244" s="2" t="str">
        <f>VLOOKUP(G244,Excel5!$A$2:$C$271,2,FALSE)</f>
        <v>GEMEREK</v>
      </c>
      <c r="D244" s="5" t="s">
        <v>26</v>
      </c>
      <c r="G244">
        <v>239</v>
      </c>
    </row>
    <row r="245" spans="1:7" x14ac:dyDescent="0.3">
      <c r="A245">
        <v>240</v>
      </c>
      <c r="B245" s="2" t="str">
        <f>VLOOKUP(G245,Excel5!$A$2:$C$271,3,FALSE)</f>
        <v>SİVAS</v>
      </c>
      <c r="C245" s="2" t="str">
        <f>VLOOKUP(G245,Excel5!$A$2:$C$271,2,FALSE)</f>
        <v>YILDIZELİ</v>
      </c>
      <c r="D245" s="5" t="s">
        <v>26</v>
      </c>
      <c r="G245">
        <v>240</v>
      </c>
    </row>
    <row r="246" spans="1:7" x14ac:dyDescent="0.3">
      <c r="A246">
        <v>241</v>
      </c>
      <c r="B246" s="2" t="str">
        <f>VLOOKUP(G246,Excel5!$A$2:$C$271,3,FALSE)</f>
        <v>SİVAS</v>
      </c>
      <c r="C246" s="2" t="str">
        <f>VLOOKUP(G246,Excel5!$A$2:$C$271,2,FALSE)</f>
        <v>DOĞANŞAR</v>
      </c>
      <c r="D246" s="5" t="s">
        <v>26</v>
      </c>
      <c r="G246">
        <v>241</v>
      </c>
    </row>
    <row r="247" spans="1:7" x14ac:dyDescent="0.3">
      <c r="A247">
        <v>242</v>
      </c>
      <c r="B247" s="2" t="str">
        <f>VLOOKUP(G247,Excel5!$A$2:$C$271,3,FALSE)</f>
        <v>SİVAS</v>
      </c>
      <c r="C247" s="2" t="str">
        <f>VLOOKUP(G247,Excel5!$A$2:$C$271,2,FALSE)</f>
        <v>HAFİK</v>
      </c>
      <c r="D247" s="5" t="s">
        <v>26</v>
      </c>
      <c r="G247">
        <v>242</v>
      </c>
    </row>
    <row r="248" spans="1:7" x14ac:dyDescent="0.3">
      <c r="A248">
        <v>243</v>
      </c>
      <c r="B248" s="2" t="str">
        <f>VLOOKUP(G248,Excel5!$A$2:$C$271,3,FALSE)</f>
        <v>ŞANLIURFA</v>
      </c>
      <c r="C248" s="2" t="str">
        <f>VLOOKUP(G248,Excel5!$A$2:$C$271,2,FALSE)</f>
        <v>ŞANLIURFA BÜYÜKŞEHİR</v>
      </c>
      <c r="D248" s="5" t="s">
        <v>26</v>
      </c>
      <c r="G248">
        <v>243</v>
      </c>
    </row>
    <row r="249" spans="1:7" x14ac:dyDescent="0.3">
      <c r="A249">
        <v>244</v>
      </c>
      <c r="B249" s="2" t="str">
        <f>VLOOKUP(G249,Excel5!$A$2:$C$271,3,FALSE)</f>
        <v>ŞIRNAK</v>
      </c>
      <c r="C249" s="2" t="str">
        <f>VLOOKUP(G249,Excel5!$A$2:$C$271,2,FALSE)</f>
        <v>SİLOPİ</v>
      </c>
      <c r="D249" s="5" t="s">
        <v>26</v>
      </c>
      <c r="G249">
        <v>244</v>
      </c>
    </row>
    <row r="250" spans="1:7" x14ac:dyDescent="0.3">
      <c r="A250">
        <v>245</v>
      </c>
      <c r="B250" s="2" t="str">
        <f>VLOOKUP(G250,Excel5!$A$2:$C$271,3,FALSE)</f>
        <v>TEKİRDAĞ</v>
      </c>
      <c r="C250" s="2" t="str">
        <f>VLOOKUP(G250,Excel5!$A$2:$C$271,2,FALSE)</f>
        <v>TEKİRDAĞ BÜYÜKŞEHİR</v>
      </c>
      <c r="D250" s="5" t="s">
        <v>26</v>
      </c>
      <c r="G250">
        <v>245</v>
      </c>
    </row>
    <row r="251" spans="1:7" x14ac:dyDescent="0.3">
      <c r="A251">
        <v>246</v>
      </c>
      <c r="B251" s="2" t="str">
        <f>VLOOKUP(G251,Excel5!$A$2:$C$271,3,FALSE)</f>
        <v>TOKAT</v>
      </c>
      <c r="C251" s="2" t="str">
        <f>VLOOKUP(G251,Excel5!$A$2:$C$271,2,FALSE)</f>
        <v>NİKSAR</v>
      </c>
      <c r="D251" s="5" t="s">
        <v>26</v>
      </c>
      <c r="G251">
        <v>246</v>
      </c>
    </row>
    <row r="252" spans="1:7" x14ac:dyDescent="0.3">
      <c r="A252">
        <v>247</v>
      </c>
      <c r="B252" s="2" t="str">
        <f>VLOOKUP(G252,Excel5!$A$2:$C$271,3,FALSE)</f>
        <v>TOKAT</v>
      </c>
      <c r="C252" s="2" t="str">
        <f>VLOOKUP(G252,Excel5!$A$2:$C$271,2,FALSE)</f>
        <v>MERKEZ</v>
      </c>
      <c r="D252" s="5" t="s">
        <v>26</v>
      </c>
      <c r="G252">
        <v>247</v>
      </c>
    </row>
    <row r="253" spans="1:7" x14ac:dyDescent="0.3">
      <c r="A253">
        <v>248</v>
      </c>
      <c r="B253" s="2" t="str">
        <f>VLOOKUP(G253,Excel5!$A$2:$C$271,3,FALSE)</f>
        <v>TOKAT</v>
      </c>
      <c r="C253" s="2" t="str">
        <f>VLOOKUP(G253,Excel5!$A$2:$C$271,2,FALSE)</f>
        <v>REŞADİYE</v>
      </c>
      <c r="D253" s="5" t="s">
        <v>26</v>
      </c>
      <c r="G253">
        <v>248</v>
      </c>
    </row>
    <row r="254" spans="1:7" x14ac:dyDescent="0.3">
      <c r="A254">
        <v>249</v>
      </c>
      <c r="B254" s="2" t="str">
        <f>VLOOKUP(G254,Excel5!$A$2:$C$271,3,FALSE)</f>
        <v>TOKAT</v>
      </c>
      <c r="C254" s="2" t="str">
        <f>VLOOKUP(G254,Excel5!$A$2:$C$271,2,FALSE)</f>
        <v>TURHAL</v>
      </c>
      <c r="D254" s="5" t="s">
        <v>26</v>
      </c>
      <c r="G254">
        <v>249</v>
      </c>
    </row>
    <row r="255" spans="1:7" x14ac:dyDescent="0.3">
      <c r="A255">
        <v>250</v>
      </c>
      <c r="B255" s="2" t="str">
        <f>VLOOKUP(G255,Excel5!$A$2:$C$271,3,FALSE)</f>
        <v>TOKAT</v>
      </c>
      <c r="C255" s="2" t="str">
        <f>VLOOKUP(G255,Excel5!$A$2:$C$271,2,FALSE)</f>
        <v>ZİLE</v>
      </c>
      <c r="D255" s="5" t="s">
        <v>26</v>
      </c>
      <c r="G255">
        <v>250</v>
      </c>
    </row>
    <row r="256" spans="1:7" x14ac:dyDescent="0.3">
      <c r="A256">
        <v>251</v>
      </c>
      <c r="B256" s="2" t="str">
        <f>VLOOKUP(G256,Excel5!$A$2:$C$271,3,FALSE)</f>
        <v>TOKAT</v>
      </c>
      <c r="C256" s="2" t="str">
        <f>VLOOKUP(G256,Excel5!$A$2:$C$271,2,FALSE)</f>
        <v>ERBAA</v>
      </c>
      <c r="D256" s="5" t="s">
        <v>26</v>
      </c>
      <c r="G256">
        <v>251</v>
      </c>
    </row>
    <row r="257" spans="1:7" x14ac:dyDescent="0.3">
      <c r="A257">
        <v>252</v>
      </c>
      <c r="B257" s="2" t="str">
        <f>VLOOKUP(G257,Excel5!$A$2:$C$271,3,FALSE)</f>
        <v>TOKAT</v>
      </c>
      <c r="C257" s="2" t="str">
        <f>VLOOKUP(G257,Excel5!$A$2:$C$271,2,FALSE)</f>
        <v>ARTOVA</v>
      </c>
      <c r="D257" s="5" t="s">
        <v>26</v>
      </c>
      <c r="G257">
        <v>252</v>
      </c>
    </row>
    <row r="258" spans="1:7" x14ac:dyDescent="0.3">
      <c r="A258">
        <v>253</v>
      </c>
      <c r="B258" s="2" t="str">
        <f>VLOOKUP(G258,Excel5!$A$2:$C$271,3,FALSE)</f>
        <v>TOKAT</v>
      </c>
      <c r="C258" s="2" t="str">
        <f>VLOOKUP(G258,Excel5!$A$2:$C$271,2,FALSE)</f>
        <v>PAZAR</v>
      </c>
      <c r="D258" s="5" t="s">
        <v>26</v>
      </c>
      <c r="G258">
        <v>253</v>
      </c>
    </row>
    <row r="259" spans="1:7" x14ac:dyDescent="0.3">
      <c r="A259">
        <v>254</v>
      </c>
      <c r="B259" s="2" t="str">
        <f>VLOOKUP(G259,Excel5!$A$2:$C$271,3,FALSE)</f>
        <v>TRABZON</v>
      </c>
      <c r="C259" s="2" t="str">
        <f>VLOOKUP(G259,Excel5!$A$2:$C$271,2,FALSE)</f>
        <v>TRABZON BÜYÜKŞEHİR</v>
      </c>
      <c r="D259" s="5" t="s">
        <v>26</v>
      </c>
      <c r="G259">
        <v>254</v>
      </c>
    </row>
    <row r="260" spans="1:7" x14ac:dyDescent="0.3">
      <c r="A260">
        <v>255</v>
      </c>
      <c r="B260" s="2" t="str">
        <f>VLOOKUP(G260,Excel5!$A$2:$C$271,3,FALSE)</f>
        <v>TUNCELİ</v>
      </c>
      <c r="C260" s="2" t="str">
        <f>VLOOKUP(G260,Excel5!$A$2:$C$271,2,FALSE)</f>
        <v>ÇEMİŞGEZEK</v>
      </c>
      <c r="D260" s="5" t="s">
        <v>26</v>
      </c>
      <c r="G260">
        <v>255</v>
      </c>
    </row>
    <row r="261" spans="1:7" x14ac:dyDescent="0.3">
      <c r="A261">
        <v>256</v>
      </c>
      <c r="B261" s="2" t="str">
        <f>VLOOKUP(G261,Excel5!$A$2:$C$271,3,FALSE)</f>
        <v>UŞAK</v>
      </c>
      <c r="C261" s="2" t="str">
        <f>VLOOKUP(G261,Excel5!$A$2:$C$271,2,FALSE)</f>
        <v>MERKEZ</v>
      </c>
      <c r="D261" s="5" t="s">
        <v>26</v>
      </c>
      <c r="G261">
        <v>256</v>
      </c>
    </row>
    <row r="262" spans="1:7" x14ac:dyDescent="0.3">
      <c r="A262">
        <v>257</v>
      </c>
      <c r="B262" s="2" t="str">
        <f>VLOOKUP(G262,Excel5!$A$2:$C$271,3,FALSE)</f>
        <v>UŞAK</v>
      </c>
      <c r="C262" s="2" t="str">
        <f>VLOOKUP(G262,Excel5!$A$2:$C$271,2,FALSE)</f>
        <v>EŞME</v>
      </c>
      <c r="D262" s="5" t="s">
        <v>26</v>
      </c>
      <c r="G262">
        <v>257</v>
      </c>
    </row>
    <row r="263" spans="1:7" x14ac:dyDescent="0.3">
      <c r="A263">
        <v>258</v>
      </c>
      <c r="B263" s="2" t="str">
        <f>VLOOKUP(G263,Excel5!$A$2:$C$271,3,FALSE)</f>
        <v>UŞAK</v>
      </c>
      <c r="C263" s="2" t="str">
        <f>VLOOKUP(G263,Excel5!$A$2:$C$271,2,FALSE)</f>
        <v>SİVASLI</v>
      </c>
      <c r="D263" s="5" t="s">
        <v>26</v>
      </c>
      <c r="G263">
        <v>258</v>
      </c>
    </row>
    <row r="264" spans="1:7" x14ac:dyDescent="0.3">
      <c r="A264">
        <v>259</v>
      </c>
      <c r="B264" s="2" t="str">
        <f>VLOOKUP(G264,Excel5!$A$2:$C$271,3,FALSE)</f>
        <v>UŞAK</v>
      </c>
      <c r="C264" s="2" t="str">
        <f>VLOOKUP(G264,Excel5!$A$2:$C$271,2,FALSE)</f>
        <v>BANAZ</v>
      </c>
      <c r="D264" s="5" t="s">
        <v>26</v>
      </c>
      <c r="G264">
        <v>259</v>
      </c>
    </row>
    <row r="265" spans="1:7" x14ac:dyDescent="0.3">
      <c r="A265">
        <v>260</v>
      </c>
      <c r="B265" s="2" t="str">
        <f>VLOOKUP(G265,Excel5!$A$2:$C$271,3,FALSE)</f>
        <v>UŞAK</v>
      </c>
      <c r="C265" s="2" t="str">
        <f>VLOOKUP(G265,Excel5!$A$2:$C$271,2,FALSE)</f>
        <v>ULUBEY</v>
      </c>
      <c r="D265" s="5" t="s">
        <v>26</v>
      </c>
      <c r="G265">
        <v>260</v>
      </c>
    </row>
    <row r="266" spans="1:7" x14ac:dyDescent="0.3">
      <c r="A266">
        <v>261</v>
      </c>
      <c r="B266" s="2" t="str">
        <f>VLOOKUP(G266,Excel5!$A$2:$C$271,3,FALSE)</f>
        <v>UŞAK</v>
      </c>
      <c r="C266" s="2" t="str">
        <f>VLOOKUP(G266,Excel5!$A$2:$C$271,2,FALSE)</f>
        <v>KARAHALLI</v>
      </c>
      <c r="D266" s="5" t="s">
        <v>26</v>
      </c>
      <c r="G266">
        <v>261</v>
      </c>
    </row>
    <row r="267" spans="1:7" x14ac:dyDescent="0.3">
      <c r="A267">
        <v>262</v>
      </c>
      <c r="B267" s="2" t="str">
        <f>VLOOKUP(G267,Excel5!$A$2:$C$271,3,FALSE)</f>
        <v>VAN</v>
      </c>
      <c r="C267" s="2" t="str">
        <f>VLOOKUP(G267,Excel5!$A$2:$C$271,2,FALSE)</f>
        <v>VAN BÜYÜKŞEHİR</v>
      </c>
      <c r="D267" s="5" t="s">
        <v>26</v>
      </c>
      <c r="G267">
        <v>262</v>
      </c>
    </row>
    <row r="268" spans="1:7" x14ac:dyDescent="0.3">
      <c r="A268">
        <v>263</v>
      </c>
      <c r="B268" s="2" t="str">
        <f>VLOOKUP(G268,Excel5!$A$2:$C$271,3,FALSE)</f>
        <v>YALOVA</v>
      </c>
      <c r="C268" s="2" t="str">
        <f>VLOOKUP(G268,Excel5!$A$2:$C$271,2,FALSE)</f>
        <v>MERKEZ</v>
      </c>
      <c r="D268" s="5" t="s">
        <v>26</v>
      </c>
      <c r="G268">
        <v>263</v>
      </c>
    </row>
    <row r="269" spans="1:7" x14ac:dyDescent="0.3">
      <c r="A269">
        <v>264</v>
      </c>
      <c r="B269" s="2" t="str">
        <f>VLOOKUP(G269,Excel5!$A$2:$C$271,3,FALSE)</f>
        <v>YALOVA</v>
      </c>
      <c r="C269" s="2" t="str">
        <f>VLOOKUP(G269,Excel5!$A$2:$C$271,2,FALSE)</f>
        <v>ÇİFTLİKKÖY</v>
      </c>
      <c r="D269" s="5" t="s">
        <v>26</v>
      </c>
      <c r="G269">
        <v>264</v>
      </c>
    </row>
    <row r="270" spans="1:7" x14ac:dyDescent="0.3">
      <c r="A270">
        <v>265</v>
      </c>
      <c r="B270" s="2" t="str">
        <f>VLOOKUP(G270,Excel5!$A$2:$C$271,3,FALSE)</f>
        <v>YALOVA</v>
      </c>
      <c r="C270" s="2" t="str">
        <f>VLOOKUP(G270,Excel5!$A$2:$C$271,2,FALSE)</f>
        <v>ÇINARCIK</v>
      </c>
      <c r="D270" s="5" t="s">
        <v>26</v>
      </c>
      <c r="G270">
        <v>265</v>
      </c>
    </row>
    <row r="271" spans="1:7" x14ac:dyDescent="0.3">
      <c r="A271">
        <v>266</v>
      </c>
      <c r="B271" s="2" t="str">
        <f>VLOOKUP(G271,Excel5!$A$2:$C$271,3,FALSE)</f>
        <v>YALOVA</v>
      </c>
      <c r="C271" s="2" t="str">
        <f>VLOOKUP(G271,Excel5!$A$2:$C$271,2,FALSE)</f>
        <v>TERMAL</v>
      </c>
      <c r="D271" s="5" t="s">
        <v>26</v>
      </c>
      <c r="G271">
        <v>266</v>
      </c>
    </row>
    <row r="272" spans="1:7" x14ac:dyDescent="0.3">
      <c r="A272">
        <v>267</v>
      </c>
      <c r="B272" s="2" t="str">
        <f>VLOOKUP(G272,Excel5!$A$2:$C$271,3,FALSE)</f>
        <v>YALOVA</v>
      </c>
      <c r="C272" s="2" t="str">
        <f>VLOOKUP(G272,Excel5!$A$2:$C$271,2,FALSE)</f>
        <v>ALTINOVA</v>
      </c>
      <c r="D272" s="5" t="s">
        <v>26</v>
      </c>
      <c r="G272">
        <v>267</v>
      </c>
    </row>
    <row r="273" spans="1:7" x14ac:dyDescent="0.3">
      <c r="A273">
        <v>268</v>
      </c>
      <c r="B273" s="2" t="str">
        <f>VLOOKUP(G273,Excel5!$A$2:$C$271,3,FALSE)</f>
        <v>YOZGAT</v>
      </c>
      <c r="C273" s="2" t="str">
        <f>VLOOKUP(G273,Excel5!$A$2:$C$271,2,FALSE)</f>
        <v>SORGUN</v>
      </c>
      <c r="D273" s="5" t="s">
        <v>26</v>
      </c>
      <c r="G273">
        <v>268</v>
      </c>
    </row>
    <row r="274" spans="1:7" x14ac:dyDescent="0.3">
      <c r="A274">
        <v>269</v>
      </c>
      <c r="B274" s="2" t="str">
        <f>VLOOKUP(G274,Excel5!$A$2:$C$271,3,FALSE)</f>
        <v>YOZGAT</v>
      </c>
      <c r="C274" s="2" t="str">
        <f>VLOOKUP(G274,Excel5!$A$2:$C$271,2,FALSE)</f>
        <v>MERKEZ</v>
      </c>
      <c r="D274" s="5" t="s">
        <v>26</v>
      </c>
      <c r="G274">
        <v>269</v>
      </c>
    </row>
    <row r="275" spans="1:7" x14ac:dyDescent="0.3">
      <c r="A275">
        <v>270</v>
      </c>
      <c r="B275" s="2" t="str">
        <f>VLOOKUP(G275,Excel5!$A$2:$C$271,3,FALSE)</f>
        <v>YOZGAT</v>
      </c>
      <c r="C275" s="2" t="str">
        <f>VLOOKUP(G275,Excel5!$A$2:$C$271,2,FALSE)</f>
        <v>YENİFAKILI</v>
      </c>
      <c r="D275" s="5" t="s">
        <v>26</v>
      </c>
      <c r="G275">
        <v>270</v>
      </c>
    </row>
    <row r="276" spans="1:7" x14ac:dyDescent="0.3">
      <c r="A276">
        <v>271</v>
      </c>
      <c r="B276" s="2" t="e">
        <f>VLOOKUP(G276,Excel5!$A$2:$C$271,3,FALSE)</f>
        <v>#N/A</v>
      </c>
      <c r="C276" s="2" t="e">
        <f>VLOOKUP(G276,Excel5!$A$2:$C$271,2,FALSE)</f>
        <v>#N/A</v>
      </c>
      <c r="D276" s="5" t="s">
        <v>26</v>
      </c>
      <c r="G276">
        <v>271</v>
      </c>
    </row>
    <row r="277" spans="1:7" x14ac:dyDescent="0.3">
      <c r="A277">
        <v>272</v>
      </c>
      <c r="B277" s="2" t="e">
        <f>VLOOKUP(G277,Excel5!$A$2:$C$271,3,FALSE)</f>
        <v>#N/A</v>
      </c>
      <c r="C277" s="2" t="e">
        <f>VLOOKUP(G277,Excel5!$A$2:$C$271,2,FALSE)</f>
        <v>#N/A</v>
      </c>
      <c r="D277" s="5" t="s">
        <v>26</v>
      </c>
      <c r="G277">
        <v>272</v>
      </c>
    </row>
    <row r="278" spans="1:7" x14ac:dyDescent="0.3">
      <c r="A278">
        <v>273</v>
      </c>
      <c r="B278" s="2" t="str">
        <f>VLOOKUP(G278,Excel5!$A$2:$C$284,3,FALSE)</f>
        <v>YOZGAT</v>
      </c>
      <c r="C278" s="2" t="str">
        <f>VLOOKUP(G278,Excel5!$A$2:$C$284,2,FALSE)</f>
        <v>ŞEFAATLİ</v>
      </c>
      <c r="D278" s="5" t="s">
        <v>26</v>
      </c>
      <c r="G278">
        <v>273</v>
      </c>
    </row>
    <row r="279" spans="1:7" x14ac:dyDescent="0.3">
      <c r="A279">
        <v>274</v>
      </c>
      <c r="B279" s="2" t="str">
        <f>VLOOKUP(G279,Excel5!$A$2:$C$284,3,FALSE)</f>
        <v>YOZGAT</v>
      </c>
      <c r="C279" s="2" t="str">
        <f>VLOOKUP(G279,Excel5!$A$2:$C$284,2,FALSE)</f>
        <v>ÇEKEREK</v>
      </c>
      <c r="D279" s="5" t="s">
        <v>26</v>
      </c>
      <c r="G279">
        <v>274</v>
      </c>
    </row>
    <row r="280" spans="1:7" x14ac:dyDescent="0.3">
      <c r="A280">
        <v>275</v>
      </c>
      <c r="B280" s="2" t="str">
        <f>VLOOKUP(G280,Excel5!$A$2:$C$284,3,FALSE)</f>
        <v>YOZGAT</v>
      </c>
      <c r="C280" s="2" t="str">
        <f>VLOOKUP(G280,Excel5!$A$2:$C$284,2,FALSE)</f>
        <v>BOĞAZLIYAN</v>
      </c>
      <c r="D280" s="5" t="s">
        <v>26</v>
      </c>
      <c r="G280">
        <v>275</v>
      </c>
    </row>
    <row r="281" spans="1:7" x14ac:dyDescent="0.3">
      <c r="A281">
        <v>276</v>
      </c>
      <c r="B281" s="2" t="str">
        <f>VLOOKUP(G281,Excel5!$A$2:$C$284,3,FALSE)</f>
        <v>ZONGULDAK</v>
      </c>
      <c r="C281" s="2" t="str">
        <f>VLOOKUP(G281,Excel5!$A$2:$C$284,2,FALSE)</f>
        <v>EREĞLİ</v>
      </c>
      <c r="D281" s="5" t="s">
        <v>26</v>
      </c>
      <c r="G281">
        <v>276</v>
      </c>
    </row>
    <row r="282" spans="1:7" x14ac:dyDescent="0.3">
      <c r="A282">
        <v>277</v>
      </c>
      <c r="B282" s="2" t="str">
        <f>VLOOKUP(G282,Excel5!$A$2:$C$284,3,FALSE)</f>
        <v>ZONGULDAK</v>
      </c>
      <c r="C282" s="2" t="str">
        <f>VLOOKUP(G282,Excel5!$A$2:$C$284,2,FALSE)</f>
        <v>MERKEZ</v>
      </c>
      <c r="D282" s="5" t="s">
        <v>26</v>
      </c>
      <c r="G282">
        <v>277</v>
      </c>
    </row>
    <row r="283" spans="1:7" x14ac:dyDescent="0.3">
      <c r="A283">
        <v>278</v>
      </c>
      <c r="B283" s="2" t="str">
        <f>VLOOKUP(G283,Excel5!$A$2:$C$284,3,FALSE)</f>
        <v>ZONGULDAK</v>
      </c>
      <c r="C283" s="2" t="str">
        <f>VLOOKUP(G283,Excel5!$A$2:$C$284,2,FALSE)</f>
        <v>KOZLU</v>
      </c>
      <c r="D283" s="5" t="s">
        <v>26</v>
      </c>
      <c r="G283">
        <v>278</v>
      </c>
    </row>
    <row r="284" spans="1:7" x14ac:dyDescent="0.3">
      <c r="A284">
        <v>279</v>
      </c>
      <c r="B284" s="2" t="str">
        <f>VLOOKUP(G284,Excel5!$A$2:$C$284,3,FALSE)</f>
        <v>ZONGULDAK</v>
      </c>
      <c r="C284" s="2" t="str">
        <f>VLOOKUP(G284,Excel5!$A$2:$C$284,2,FALSE)</f>
        <v>KİLİMLİ</v>
      </c>
      <c r="D284" s="5" t="s">
        <v>26</v>
      </c>
      <c r="G284">
        <v>279</v>
      </c>
    </row>
    <row r="285" spans="1:7" x14ac:dyDescent="0.3">
      <c r="A285">
        <v>280</v>
      </c>
      <c r="B285" s="2" t="str">
        <f>VLOOKUP(G285,Excel5!$A$2:$C$284,3,FALSE)</f>
        <v>ZONGULDAK</v>
      </c>
      <c r="C285" s="2" t="str">
        <f>VLOOKUP(G285,Excel5!$A$2:$C$284,2,FALSE)</f>
        <v>ALAPLI</v>
      </c>
      <c r="D285" s="5" t="s">
        <v>26</v>
      </c>
      <c r="G285">
        <v>280</v>
      </c>
    </row>
    <row r="286" spans="1:7" x14ac:dyDescent="0.3">
      <c r="A286">
        <v>281</v>
      </c>
      <c r="B286" s="2" t="str">
        <f>VLOOKUP(G286,Excel5!$A$2:$C$284,3,FALSE)</f>
        <v>ZONGULDAK</v>
      </c>
      <c r="C286" s="2" t="str">
        <f>VLOOKUP(G286,Excel5!$A$2:$C$284,2,FALSE)</f>
        <v>DEVREK</v>
      </c>
      <c r="D286" s="5" t="s">
        <v>26</v>
      </c>
      <c r="G286">
        <v>281</v>
      </c>
    </row>
    <row r="287" spans="1:7" x14ac:dyDescent="0.3">
      <c r="A287">
        <v>282</v>
      </c>
      <c r="B287" s="2" t="str">
        <f>VLOOKUP(G287,Excel5!$A$2:$C$284,3,FALSE)</f>
        <v>ZONGULDAK</v>
      </c>
      <c r="C287" s="2" t="str">
        <f>VLOOKUP(G287,Excel5!$A$2:$C$284,2,FALSE)</f>
        <v>ÇAYCUMA</v>
      </c>
      <c r="D287" s="5" t="s">
        <v>26</v>
      </c>
      <c r="G287">
        <v>282</v>
      </c>
    </row>
    <row r="288" spans="1:7" x14ac:dyDescent="0.3">
      <c r="A288">
        <v>283</v>
      </c>
      <c r="B288" s="2" t="str">
        <f>VLOOKUP(G288,Excel5!$A$2:$C$284,3,FALSE)</f>
        <v>ZONGULDAK</v>
      </c>
      <c r="C288" s="2" t="str">
        <f>VLOOKUP(G288,Excel5!$A$2:$C$284,2,FALSE)</f>
        <v>GÖKÇEBEY</v>
      </c>
      <c r="D288" s="5" t="s">
        <v>26</v>
      </c>
      <c r="G288">
        <v>283</v>
      </c>
    </row>
    <row r="289" spans="1:7" x14ac:dyDescent="0.3">
      <c r="A289">
        <v>284</v>
      </c>
      <c r="B289" s="2" t="e">
        <f>VLOOKUP(G289,Excel5!$A$2:$C$284,3,FALSE)</f>
        <v>#N/A</v>
      </c>
      <c r="C289" s="2" t="e">
        <f>VLOOKUP(G289,Excel5!$A$2:$C$284,2,FALSE)</f>
        <v>#N/A</v>
      </c>
      <c r="D289" s="5" t="s">
        <v>26</v>
      </c>
      <c r="G289">
        <v>284</v>
      </c>
    </row>
    <row r="290" spans="1:7" x14ac:dyDescent="0.3">
      <c r="A290">
        <v>285</v>
      </c>
      <c r="B290" s="2" t="e">
        <f>VLOOKUP(G290,Excel5!$A$2:$C$284,3,FALSE)</f>
        <v>#N/A</v>
      </c>
      <c r="C290" s="2" t="e">
        <f>VLOOKUP(G290,Excel5!$A$2:$C$284,2,FALSE)</f>
        <v>#N/A</v>
      </c>
      <c r="D290" s="5" t="s">
        <v>26</v>
      </c>
      <c r="G290">
        <v>285</v>
      </c>
    </row>
    <row r="291" spans="1:7" x14ac:dyDescent="0.3">
      <c r="A291">
        <v>286</v>
      </c>
      <c r="B291" s="2" t="e">
        <f>VLOOKUP(G291,Excel5!$A$2:$C$284,3,FALSE)</f>
        <v>#N/A</v>
      </c>
      <c r="C291" s="2" t="e">
        <f>VLOOKUP(G291,Excel5!$A$2:$C$284,2,FALSE)</f>
        <v>#N/A</v>
      </c>
      <c r="D291" s="5" t="s">
        <v>26</v>
      </c>
      <c r="G291">
        <v>286</v>
      </c>
    </row>
    <row r="292" spans="1:7" x14ac:dyDescent="0.3">
      <c r="A292">
        <v>287</v>
      </c>
      <c r="B292" s="2" t="e">
        <f>VLOOKUP(G292,Excel5!$A$2:$C$284,3,FALSE)</f>
        <v>#N/A</v>
      </c>
      <c r="C292" s="2" t="e">
        <f>VLOOKUP(G292,Excel5!$A$2:$C$284,2,FALSE)</f>
        <v>#N/A</v>
      </c>
      <c r="D292" s="5" t="s">
        <v>26</v>
      </c>
      <c r="G292">
        <v>287</v>
      </c>
    </row>
    <row r="293" spans="1:7" x14ac:dyDescent="0.3">
      <c r="A293">
        <v>288</v>
      </c>
      <c r="B293" s="2" t="e">
        <f>VLOOKUP(G293,Excel5!$A$2:$C$284,3,FALSE)</f>
        <v>#N/A</v>
      </c>
      <c r="C293" s="2" t="e">
        <f>VLOOKUP(G293,Excel5!$A$2:$C$284,2,FALSE)</f>
        <v>#N/A</v>
      </c>
      <c r="D293" s="5" t="s">
        <v>26</v>
      </c>
      <c r="G293">
        <v>288</v>
      </c>
    </row>
    <row r="294" spans="1:7" x14ac:dyDescent="0.3">
      <c r="A294">
        <v>289</v>
      </c>
      <c r="B294" s="2" t="e">
        <f>VLOOKUP(G294,Excel5!$A$2:$C$284,3,FALSE)</f>
        <v>#N/A</v>
      </c>
      <c r="C294" s="2" t="e">
        <f>VLOOKUP(G294,Excel5!$A$2:$C$284,2,FALSE)</f>
        <v>#N/A</v>
      </c>
      <c r="D294" s="5" t="s">
        <v>26</v>
      </c>
      <c r="G294">
        <v>289</v>
      </c>
    </row>
    <row r="295" spans="1:7" x14ac:dyDescent="0.3">
      <c r="A295">
        <v>290</v>
      </c>
      <c r="B295" s="2" t="e">
        <f>VLOOKUP(G295,Excel5!$A$2:$C$284,3,FALSE)</f>
        <v>#N/A</v>
      </c>
      <c r="C295" s="2" t="e">
        <f>VLOOKUP(G295,Excel5!$A$2:$C$284,2,FALSE)</f>
        <v>#N/A</v>
      </c>
      <c r="D295" s="5" t="s">
        <v>26</v>
      </c>
      <c r="G295">
        <v>290</v>
      </c>
    </row>
    <row r="296" spans="1:7" x14ac:dyDescent="0.3">
      <c r="A296">
        <v>291</v>
      </c>
      <c r="B296" s="2" t="e">
        <f>VLOOKUP(G296,Excel5!$A$2:$C$284,3,FALSE)</f>
        <v>#N/A</v>
      </c>
      <c r="C296" s="2" t="e">
        <f>VLOOKUP(G296,Excel5!$A$2:$C$284,2,FALSE)</f>
        <v>#N/A</v>
      </c>
      <c r="D296" s="5" t="s">
        <v>26</v>
      </c>
      <c r="G296">
        <v>291</v>
      </c>
    </row>
    <row r="297" spans="1:7" x14ac:dyDescent="0.3">
      <c r="A297">
        <v>292</v>
      </c>
      <c r="B297" s="2" t="e">
        <f>VLOOKUP(G297,Excel5!$A$2:$C$284,3,FALSE)</f>
        <v>#N/A</v>
      </c>
      <c r="C297" s="2" t="e">
        <f>VLOOKUP(G297,Excel5!$A$2:$C$284,2,FALSE)</f>
        <v>#N/A</v>
      </c>
      <c r="D297" s="5" t="s">
        <v>26</v>
      </c>
      <c r="G297">
        <v>292</v>
      </c>
    </row>
  </sheetData>
  <phoneticPr fontId="0" type="noConversion"/>
  <printOptions gridLines="1"/>
  <pageMargins left="0.74803149606299213" right="0.74803149606299213" top="0.6692913385826772" bottom="0.70866141732283472" header="0.27559055118110237" footer="0.27559055118110237"/>
  <pageSetup paperSize="9" orientation="portrait" r:id="rId1"/>
  <headerFooter differentOddEven="1" differentFirst="1" alignWithMargins="0">
    <oddFooter>&amp;L
_x000D_&amp;1#&amp;"Calibri"&amp;10&amp;K008000 Internal&amp;C&amp;"tahoma,Bold"&amp;8&amp;KFFCC00¯¯¯¯¯¯¯¯¯¯¯¯¯¯¯¯¯¯¯¯¯¯¯¯¯¯¯¯¯¯¯¯¯¯¯¯¯
Gizli / Confidential  -
 Genel Nitelikli Kişisel Veri
&amp;10_____________________________________</oddFooter>
    <evenFooter>&amp;L
_x000D_&amp;1#&amp;"Calibri"&amp;10&amp;K008000 Internal&amp;C&amp;"tahoma,Bold"&amp;8&amp;KFFCC00¯¯¯¯¯¯¯¯¯¯¯¯¯¯¯¯¯¯¯¯¯¯¯¯¯¯¯¯¯¯¯¯¯¯¯¯¯
Gizli / Confidential  -
 Genel Nitelikli Kişisel Veri
&amp;10_____________________________________</evenFooter>
    <firstFooter>&amp;L
_x000D_&amp;1#&amp;"Calibri"&amp;10&amp;K008000 Internal&amp;C&amp;"tahoma,Bold"&amp;8&amp;KFFCC00¯¯¯¯¯¯¯¯¯¯¯¯¯¯¯¯¯¯¯¯¯¯¯¯¯¯¯¯¯¯¯¯¯¯¯¯¯
Gizli / Confidential  -
 Genel Nitelikli Kişisel Veri
&amp;10_____________________________________</first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L40"/>
  <sheetViews>
    <sheetView topLeftCell="C1" zoomScale="85" zoomScaleNormal="85" workbookViewId="0">
      <selection activeCell="D7" sqref="D7"/>
    </sheetView>
  </sheetViews>
  <sheetFormatPr defaultRowHeight="12.5" x14ac:dyDescent="0.25"/>
  <cols>
    <col min="2" max="2" width="12.7265625" customWidth="1"/>
    <col min="3" max="3" width="27.26953125" bestFit="1" customWidth="1"/>
    <col min="4" max="4" width="45.54296875" bestFit="1" customWidth="1"/>
    <col min="5" max="5" width="12.26953125" bestFit="1" customWidth="1"/>
    <col min="6" max="6" width="14.453125" customWidth="1"/>
    <col min="7" max="7" width="3.453125" customWidth="1"/>
    <col min="8" max="8" width="4" customWidth="1"/>
    <col min="9" max="9" width="3.54296875" customWidth="1"/>
    <col min="10" max="10" width="46.26953125" bestFit="1" customWidth="1"/>
    <col min="11" max="11" width="32.7265625" customWidth="1"/>
  </cols>
  <sheetData>
    <row r="2" spans="2:12" ht="14.5" x14ac:dyDescent="0.35">
      <c r="J2" s="139" t="s">
        <v>3351</v>
      </c>
      <c r="K2" s="139"/>
    </row>
    <row r="3" spans="2:12" ht="13" x14ac:dyDescent="0.3">
      <c r="C3" s="13"/>
      <c r="J3" s="85" t="s">
        <v>2695</v>
      </c>
      <c r="K3" s="86">
        <v>8000013270</v>
      </c>
    </row>
    <row r="4" spans="2:12" ht="13" x14ac:dyDescent="0.3">
      <c r="B4" s="13"/>
      <c r="C4" s="94" t="s">
        <v>3535</v>
      </c>
      <c r="D4" s="112" t="s">
        <v>3437</v>
      </c>
      <c r="E4" s="112" t="s">
        <v>3541</v>
      </c>
      <c r="J4" s="87" t="s">
        <v>3352</v>
      </c>
      <c r="K4" s="87" t="s">
        <v>3353</v>
      </c>
    </row>
    <row r="5" spans="2:12" ht="13" x14ac:dyDescent="0.3">
      <c r="B5" s="13"/>
      <c r="C5" s="94" t="s">
        <v>3536</v>
      </c>
      <c r="D5" s="95" t="s">
        <v>3174</v>
      </c>
      <c r="E5" s="95" t="s">
        <v>3541</v>
      </c>
      <c r="J5" s="137" t="s">
        <v>3354</v>
      </c>
      <c r="K5" s="138"/>
    </row>
    <row r="6" spans="2:12" ht="13" x14ac:dyDescent="0.3">
      <c r="B6" s="13"/>
      <c r="C6" s="94" t="s">
        <v>3542</v>
      </c>
      <c r="D6" s="95" t="s">
        <v>3199</v>
      </c>
      <c r="E6" s="95" t="s">
        <v>3541</v>
      </c>
    </row>
    <row r="7" spans="2:12" ht="14.5" x14ac:dyDescent="0.35">
      <c r="B7" s="13"/>
      <c r="C7" s="94" t="s">
        <v>3544</v>
      </c>
      <c r="D7" s="95" t="s">
        <v>3436</v>
      </c>
      <c r="E7" s="112" t="s">
        <v>3541</v>
      </c>
      <c r="J7" s="140" t="s">
        <v>3355</v>
      </c>
      <c r="K7" s="140"/>
    </row>
    <row r="8" spans="2:12" ht="13" x14ac:dyDescent="0.3">
      <c r="B8" s="13"/>
      <c r="C8" s="94" t="s">
        <v>3540</v>
      </c>
      <c r="D8" s="112" t="s">
        <v>3496</v>
      </c>
      <c r="E8" s="112" t="s">
        <v>3541</v>
      </c>
      <c r="J8" s="88" t="s">
        <v>2695</v>
      </c>
      <c r="K8" s="89" t="s">
        <v>3356</v>
      </c>
    </row>
    <row r="9" spans="2:12" ht="13" x14ac:dyDescent="0.3">
      <c r="B9" s="13"/>
      <c r="C9" s="113" t="s">
        <v>3693</v>
      </c>
      <c r="D9" s="95" t="s">
        <v>3887</v>
      </c>
      <c r="E9" s="114" t="s">
        <v>3541</v>
      </c>
      <c r="J9" s="88" t="s">
        <v>3352</v>
      </c>
      <c r="K9" s="88" t="s">
        <v>4370</v>
      </c>
    </row>
    <row r="10" spans="2:12" ht="13" x14ac:dyDescent="0.3">
      <c r="B10" s="13"/>
      <c r="C10" s="94" t="s">
        <v>3706</v>
      </c>
      <c r="D10" s="95" t="s">
        <v>3931</v>
      </c>
      <c r="E10" s="112" t="s">
        <v>3541</v>
      </c>
    </row>
    <row r="11" spans="2:12" ht="14.5" x14ac:dyDescent="0.35">
      <c r="B11" s="13"/>
      <c r="C11" s="94" t="s">
        <v>3954</v>
      </c>
      <c r="D11" s="95" t="s">
        <v>3947</v>
      </c>
      <c r="E11" s="112" t="s">
        <v>3541</v>
      </c>
      <c r="J11" s="141" t="s">
        <v>3357</v>
      </c>
      <c r="K11" s="141"/>
    </row>
    <row r="12" spans="2:12" ht="13" x14ac:dyDescent="0.3">
      <c r="B12" s="13"/>
      <c r="C12" s="111" t="s">
        <v>3539</v>
      </c>
      <c r="D12" s="111" t="s">
        <v>3965</v>
      </c>
      <c r="J12" s="90" t="s">
        <v>3516</v>
      </c>
      <c r="K12" s="91">
        <v>8000013270</v>
      </c>
      <c r="L12" t="s">
        <v>4593</v>
      </c>
    </row>
    <row r="13" spans="2:12" ht="13" x14ac:dyDescent="0.3">
      <c r="B13" s="13"/>
      <c r="C13" s="94" t="s">
        <v>3545</v>
      </c>
      <c r="D13" s="95" t="s">
        <v>3325</v>
      </c>
      <c r="E13" s="95" t="s">
        <v>3543</v>
      </c>
      <c r="F13" t="s">
        <v>4030</v>
      </c>
      <c r="J13" s="90" t="s">
        <v>3517</v>
      </c>
      <c r="K13" s="91">
        <v>51241</v>
      </c>
    </row>
    <row r="14" spans="2:12" ht="13" x14ac:dyDescent="0.3">
      <c r="B14" s="13"/>
      <c r="C14" s="94" t="s">
        <v>3549</v>
      </c>
      <c r="D14" s="95" t="s">
        <v>3550</v>
      </c>
      <c r="E14" s="96" t="s">
        <v>3538</v>
      </c>
      <c r="F14" t="s">
        <v>4029</v>
      </c>
      <c r="J14" s="90" t="s">
        <v>3352</v>
      </c>
      <c r="K14" s="90" t="s">
        <v>3494</v>
      </c>
    </row>
    <row r="15" spans="2:12" x14ac:dyDescent="0.25">
      <c r="C15" s="94" t="s">
        <v>3537</v>
      </c>
      <c r="D15" s="95" t="s">
        <v>3279</v>
      </c>
      <c r="E15" s="97" t="s">
        <v>3538</v>
      </c>
      <c r="F15" t="s">
        <v>4029</v>
      </c>
    </row>
    <row r="16" spans="2:12" ht="14.5" x14ac:dyDescent="0.35">
      <c r="B16" s="7" t="s">
        <v>4045</v>
      </c>
      <c r="C16" s="94" t="s">
        <v>4028</v>
      </c>
      <c r="D16" s="95" t="s">
        <v>4027</v>
      </c>
      <c r="E16" s="97" t="s">
        <v>3538</v>
      </c>
      <c r="F16" t="s">
        <v>4029</v>
      </c>
      <c r="J16" s="135" t="s">
        <v>3358</v>
      </c>
      <c r="K16" s="136"/>
    </row>
    <row r="17" spans="2:11" x14ac:dyDescent="0.25">
      <c r="B17" s="7" t="s">
        <v>4046</v>
      </c>
      <c r="C17" s="94" t="s">
        <v>4044</v>
      </c>
      <c r="D17" s="95" t="s">
        <v>4043</v>
      </c>
      <c r="E17" s="97" t="s">
        <v>3538</v>
      </c>
      <c r="F17" t="s">
        <v>4029</v>
      </c>
      <c r="J17" s="92" t="s">
        <v>2695</v>
      </c>
      <c r="K17" s="93">
        <v>8000013270</v>
      </c>
    </row>
    <row r="18" spans="2:11" x14ac:dyDescent="0.25">
      <c r="B18" s="7"/>
      <c r="C18" s="94" t="s">
        <v>4282</v>
      </c>
      <c r="D18" s="95" t="s">
        <v>4283</v>
      </c>
      <c r="E18" s="97" t="s">
        <v>3538</v>
      </c>
      <c r="F18" t="s">
        <v>4029</v>
      </c>
      <c r="J18" s="92" t="s">
        <v>3352</v>
      </c>
      <c r="K18" s="92" t="s">
        <v>3359</v>
      </c>
    </row>
    <row r="19" spans="2:11" ht="13" x14ac:dyDescent="0.3">
      <c r="C19" s="13" t="s">
        <v>3223</v>
      </c>
    </row>
    <row r="20" spans="2:11" ht="13" x14ac:dyDescent="0.3">
      <c r="C20" s="13" t="s">
        <v>3224</v>
      </c>
    </row>
    <row r="21" spans="2:11" ht="13" x14ac:dyDescent="0.3">
      <c r="C21" s="13" t="s">
        <v>3225</v>
      </c>
    </row>
    <row r="22" spans="2:11" ht="13" x14ac:dyDescent="0.3">
      <c r="C22" s="13" t="s">
        <v>3226</v>
      </c>
    </row>
    <row r="23" spans="2:11" x14ac:dyDescent="0.25">
      <c r="J23" s="63" t="s">
        <v>3222</v>
      </c>
    </row>
    <row r="25" spans="2:11" ht="13" x14ac:dyDescent="0.3">
      <c r="J25" s="13" t="s">
        <v>3360</v>
      </c>
    </row>
    <row r="26" spans="2:11" x14ac:dyDescent="0.25">
      <c r="J26" t="s">
        <v>3361</v>
      </c>
    </row>
    <row r="28" spans="2:11" ht="13" x14ac:dyDescent="0.3">
      <c r="J28" s="13" t="s">
        <v>3363</v>
      </c>
    </row>
    <row r="29" spans="2:11" x14ac:dyDescent="0.25">
      <c r="J29" t="s">
        <v>3362</v>
      </c>
    </row>
    <row r="31" spans="2:11" ht="13" x14ac:dyDescent="0.3">
      <c r="J31" s="13" t="s">
        <v>3469</v>
      </c>
    </row>
    <row r="32" spans="2:11" x14ac:dyDescent="0.25">
      <c r="J32" t="s">
        <v>3470</v>
      </c>
      <c r="K32" t="s">
        <v>3471</v>
      </c>
    </row>
    <row r="34" spans="10:10" ht="13" x14ac:dyDescent="0.3">
      <c r="J34" s="13" t="s">
        <v>3693</v>
      </c>
    </row>
    <row r="35" spans="10:10" x14ac:dyDescent="0.25">
      <c r="J35" t="s">
        <v>3888</v>
      </c>
    </row>
    <row r="36" spans="10:10" x14ac:dyDescent="0.25">
      <c r="J36" t="s">
        <v>3889</v>
      </c>
    </row>
    <row r="37" spans="10:10" x14ac:dyDescent="0.25">
      <c r="J37" t="s">
        <v>3890</v>
      </c>
    </row>
    <row r="39" spans="10:10" ht="13" x14ac:dyDescent="0.3">
      <c r="J39" s="13" t="s">
        <v>3998</v>
      </c>
    </row>
    <row r="40" spans="10:10" x14ac:dyDescent="0.25">
      <c r="J40" t="s">
        <v>3999</v>
      </c>
    </row>
  </sheetData>
  <mergeCells count="5">
    <mergeCell ref="J16:K16"/>
    <mergeCell ref="J5:K5"/>
    <mergeCell ref="J2:K2"/>
    <mergeCell ref="J7:K7"/>
    <mergeCell ref="J11:K11"/>
  </mergeCells>
  <hyperlinks>
    <hyperlink ref="D4" r:id="rId1" xr:uid="{00000000-0004-0000-0100-000000000000}"/>
    <hyperlink ref="D5" r:id="rId2" xr:uid="{00000000-0004-0000-0100-000001000000}"/>
    <hyperlink ref="D6" r:id="rId3" xr:uid="{00000000-0004-0000-0100-000002000000}"/>
    <hyperlink ref="J23" r:id="rId4" xr:uid="{00000000-0004-0000-0100-000003000000}"/>
    <hyperlink ref="D13" r:id="rId5" xr:uid="{00000000-0004-0000-0100-000004000000}"/>
    <hyperlink ref="K8" r:id="rId6" xr:uid="{00000000-0004-0000-0100-000005000000}"/>
    <hyperlink ref="J5" r:id="rId7" xr:uid="{00000000-0004-0000-0100-000006000000}"/>
    <hyperlink ref="D7" r:id="rId8" xr:uid="{00000000-0004-0000-0100-000007000000}"/>
    <hyperlink ref="D14" r:id="rId9" xr:uid="{00000000-0004-0000-0100-000008000000}"/>
    <hyperlink ref="D15" r:id="rId10" xr:uid="{00000000-0004-0000-0100-000009000000}"/>
    <hyperlink ref="D9" r:id="rId11" xr:uid="{F9BFC6EF-91D9-44A5-8027-7E0FB6A0C6CB}"/>
    <hyperlink ref="D10" r:id="rId12" xr:uid="{05C2DAE2-4AA8-445B-A826-15D70E1D3742}"/>
    <hyperlink ref="D11" r:id="rId13" xr:uid="{9B3CAA33-8B09-444C-AD19-5F3C4804EA3B}"/>
    <hyperlink ref="D16" r:id="rId14" xr:uid="{8EB64CEC-0E85-4E32-B99D-21BA6BA4C389}"/>
    <hyperlink ref="D17" r:id="rId15" xr:uid="{7E06DF91-FF7F-4E8A-AD09-564CC6B6113D}"/>
    <hyperlink ref="D18" r:id="rId16" xr:uid="{5D293609-3CE2-4B83-9254-9DE6127EC4D5}"/>
  </hyperlinks>
  <pageMargins left="0.7" right="0.7" top="0.75" bottom="0.75" header="0.3" footer="0.3"/>
  <pageSetup paperSize="9" orientation="portrait" r:id="rId17"/>
  <headerFooter differentOddEven="1" differentFirst="1">
    <oddFooter>&amp;L_x000D_&amp;1#&amp;"Calibri"&amp;10&amp;K008000 Internal&amp;C&amp;"tahoma,Bold"&amp;8&amp;KFFCC00¯¯¯¯¯¯¯¯¯¯¯¯¯¯¯¯¯¯¯¯¯¯¯¯¯¯¯¯¯¯¯¯¯¯¯¯¯
Gizli / Confidential  -
 Genel Nitelikli Kişisel Veri
&amp;10_____________________________________</oddFooter>
    <evenFooter>&amp;L_x000D_&amp;1#&amp;"Calibri"&amp;10&amp;K008000 Internal&amp;C&amp;"tahoma,Bold"&amp;8&amp;KFFCC00¯¯¯¯¯¯¯¯¯¯¯¯¯¯¯¯¯¯¯¯¯¯¯¯¯¯¯¯¯¯¯¯¯¯¯¯¯
Gizli / Confidential  -
 Genel Nitelikli Kişisel Veri
&amp;10_____________________________________</evenFooter>
    <firstFooter>&amp;L_x000D_&amp;1#&amp;"Calibri"&amp;10&amp;K008000 Internal&amp;C&amp;"tahoma,Bold"&amp;8&amp;KFFCC00¯¯¯¯¯¯¯¯¯¯¯¯¯¯¯¯¯¯¯¯¯¯¯¯¯¯¯¯¯¯¯¯¯¯¯¯¯
Gizli / Confidential  -
 Genel Nitelikli Kişisel Veri
&amp;10_____________________________________</first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P105"/>
  <sheetViews>
    <sheetView zoomScale="85" zoomScaleNormal="85" workbookViewId="0">
      <selection activeCell="D37" sqref="D37"/>
    </sheetView>
  </sheetViews>
  <sheetFormatPr defaultColWidth="9.26953125" defaultRowHeight="15.5" x14ac:dyDescent="0.35"/>
  <cols>
    <col min="1" max="3" width="11.7265625" style="47" customWidth="1"/>
    <col min="4" max="4" width="20" style="47" customWidth="1"/>
    <col min="5" max="5" width="17.453125" style="47" customWidth="1"/>
    <col min="6" max="6" width="19.26953125" style="47" customWidth="1"/>
    <col min="7" max="8" width="14.7265625" style="47" customWidth="1"/>
    <col min="9" max="9" width="11.7265625" style="47" bestFit="1" customWidth="1"/>
    <col min="10" max="16384" width="9.26953125" style="47"/>
  </cols>
  <sheetData>
    <row r="1" spans="1:16" x14ac:dyDescent="0.35">
      <c r="A1" s="46"/>
      <c r="B1" s="46"/>
      <c r="C1" s="46"/>
      <c r="D1" s="46"/>
      <c r="E1" s="46"/>
    </row>
    <row r="2" spans="1:16" x14ac:dyDescent="0.35">
      <c r="A2" s="46"/>
      <c r="B2" s="48"/>
      <c r="C2" s="46"/>
      <c r="D2" s="46"/>
      <c r="E2" s="46"/>
      <c r="I2" s="110">
        <v>46191</v>
      </c>
    </row>
    <row r="3" spans="1:16" x14ac:dyDescent="0.35">
      <c r="A3" s="46"/>
      <c r="B3" s="46"/>
      <c r="C3" s="46"/>
      <c r="D3" s="46"/>
      <c r="E3" s="46"/>
    </row>
    <row r="4" spans="1:16" x14ac:dyDescent="0.35">
      <c r="A4" s="46"/>
      <c r="B4" s="46"/>
      <c r="C4" s="46"/>
      <c r="D4" s="46"/>
      <c r="E4" s="46"/>
    </row>
    <row r="5" spans="1:16" x14ac:dyDescent="0.35">
      <c r="A5" s="46"/>
      <c r="B5" s="46"/>
      <c r="C5" s="46"/>
      <c r="D5" s="46"/>
      <c r="E5" s="46"/>
    </row>
    <row r="6" spans="1:16" x14ac:dyDescent="0.35">
      <c r="A6" s="46"/>
      <c r="B6" s="46"/>
      <c r="C6" s="46"/>
      <c r="D6" s="46"/>
      <c r="E6" s="46"/>
    </row>
    <row r="7" spans="1:16" x14ac:dyDescent="0.35">
      <c r="A7" s="49" t="s">
        <v>3156</v>
      </c>
      <c r="B7" s="46"/>
      <c r="C7" s="46"/>
      <c r="D7" s="46"/>
      <c r="E7" s="46"/>
    </row>
    <row r="8" spans="1:16" x14ac:dyDescent="0.35">
      <c r="A8" s="49" t="s">
        <v>3157</v>
      </c>
      <c r="B8" s="46"/>
      <c r="C8" s="46"/>
      <c r="D8" s="46"/>
      <c r="E8" s="46"/>
    </row>
    <row r="9" spans="1:16" x14ac:dyDescent="0.35">
      <c r="B9" s="46"/>
      <c r="C9" s="46"/>
      <c r="D9" s="46"/>
      <c r="E9" s="46"/>
    </row>
    <row r="10" spans="1:16" x14ac:dyDescent="0.35">
      <c r="B10" s="46"/>
      <c r="C10" s="46"/>
      <c r="D10" s="46"/>
      <c r="E10" s="46"/>
    </row>
    <row r="11" spans="1:16" x14ac:dyDescent="0.35">
      <c r="B11" s="46"/>
      <c r="C11" s="46"/>
      <c r="D11" s="46"/>
      <c r="E11" s="46"/>
    </row>
    <row r="12" spans="1:16" x14ac:dyDescent="0.35">
      <c r="A12" s="50" t="s">
        <v>29</v>
      </c>
      <c r="B12" s="46"/>
      <c r="C12" s="46"/>
      <c r="D12" s="46"/>
      <c r="E12" s="46"/>
    </row>
    <row r="13" spans="1:16" x14ac:dyDescent="0.35">
      <c r="A13" s="46"/>
      <c r="B13" s="46"/>
      <c r="C13" s="46"/>
      <c r="D13" s="46"/>
      <c r="E13" s="46"/>
    </row>
    <row r="14" spans="1:16" x14ac:dyDescent="0.35">
      <c r="A14" s="46"/>
      <c r="B14" s="46"/>
      <c r="C14" s="46"/>
      <c r="D14" s="46"/>
      <c r="E14" s="46"/>
    </row>
    <row r="15" spans="1:16" ht="15" customHeight="1" x14ac:dyDescent="0.35">
      <c r="A15" s="133" t="s">
        <v>3158</v>
      </c>
      <c r="B15" s="133"/>
      <c r="C15" s="133"/>
      <c r="D15" s="133"/>
      <c r="E15" s="51">
        <f>ROUND(D29,2)</f>
        <v>1113405.48</v>
      </c>
      <c r="F15" s="134" t="s">
        <v>4591</v>
      </c>
      <c r="G15" s="134"/>
      <c r="H15" s="134"/>
      <c r="I15" s="134"/>
      <c r="J15" s="52"/>
      <c r="K15" s="52"/>
      <c r="L15" s="52"/>
      <c r="M15" s="52"/>
      <c r="N15" s="52"/>
      <c r="O15" s="52"/>
      <c r="P15" s="52"/>
    </row>
    <row r="16" spans="1:16" ht="15" customHeight="1" x14ac:dyDescent="0.35">
      <c r="A16" s="134" t="s">
        <v>3982</v>
      </c>
      <c r="B16" s="134"/>
      <c r="C16" s="134"/>
      <c r="D16" s="134"/>
      <c r="E16" s="134"/>
      <c r="F16" s="134"/>
      <c r="G16" s="134"/>
      <c r="H16" s="134"/>
      <c r="I16" s="134"/>
      <c r="J16" s="52"/>
      <c r="K16" s="52"/>
      <c r="L16" s="52"/>
      <c r="M16" s="52"/>
      <c r="N16" s="52"/>
      <c r="O16" s="52"/>
      <c r="P16" s="52"/>
    </row>
    <row r="17" spans="1:16" x14ac:dyDescent="0.35">
      <c r="A17" s="133" t="s">
        <v>3278</v>
      </c>
      <c r="B17" s="133"/>
      <c r="C17" s="133"/>
      <c r="D17" s="133"/>
      <c r="E17" s="133"/>
      <c r="F17" s="133"/>
      <c r="G17" s="133"/>
      <c r="J17" s="52"/>
      <c r="K17" s="52"/>
      <c r="L17" s="52"/>
      <c r="M17" s="52"/>
      <c r="N17" s="52"/>
      <c r="O17" s="52"/>
      <c r="P17" s="52"/>
    </row>
    <row r="18" spans="1:16" x14ac:dyDescent="0.35">
      <c r="A18" s="53"/>
      <c r="B18" s="53"/>
      <c r="C18" s="53"/>
      <c r="D18" s="53"/>
      <c r="E18" s="53"/>
      <c r="F18" s="53"/>
      <c r="G18" s="53"/>
      <c r="J18" s="52"/>
      <c r="K18" s="52"/>
      <c r="L18" s="52"/>
      <c r="M18" s="52"/>
      <c r="N18" s="52"/>
      <c r="O18" s="52"/>
      <c r="P18" s="52"/>
    </row>
    <row r="19" spans="1:16" x14ac:dyDescent="0.35">
      <c r="A19" s="53"/>
      <c r="B19" s="53"/>
      <c r="C19" s="53"/>
      <c r="D19" s="53"/>
      <c r="E19" s="53"/>
      <c r="F19" s="53"/>
      <c r="G19" s="53"/>
      <c r="J19" s="52"/>
      <c r="K19" s="52"/>
      <c r="L19" s="52"/>
      <c r="M19" s="52"/>
      <c r="N19" s="52"/>
      <c r="O19" s="52"/>
      <c r="P19" s="52"/>
    </row>
    <row r="20" spans="1:16" x14ac:dyDescent="0.35">
      <c r="C20" s="46"/>
      <c r="D20" s="46"/>
      <c r="E20" s="46"/>
    </row>
    <row r="21" spans="1:16" x14ac:dyDescent="0.35">
      <c r="A21" s="46" t="s">
        <v>226</v>
      </c>
      <c r="B21" s="46"/>
      <c r="C21" s="46"/>
      <c r="D21" s="46"/>
      <c r="E21" s="46"/>
    </row>
    <row r="22" spans="1:16" x14ac:dyDescent="0.35">
      <c r="A22" s="46"/>
      <c r="B22" s="46"/>
      <c r="C22" s="46"/>
      <c r="D22" s="46"/>
      <c r="E22" s="46"/>
    </row>
    <row r="23" spans="1:16" x14ac:dyDescent="0.35">
      <c r="A23" s="46"/>
      <c r="B23" s="46"/>
      <c r="C23" s="46"/>
      <c r="D23" s="46"/>
      <c r="E23" s="46"/>
    </row>
    <row r="24" spans="1:16" x14ac:dyDescent="0.35">
      <c r="A24" s="49" t="s">
        <v>109</v>
      </c>
      <c r="B24" s="49"/>
      <c r="C24" s="49"/>
      <c r="D24" s="49"/>
      <c r="E24" s="46"/>
    </row>
    <row r="25" spans="1:16" x14ac:dyDescent="0.35">
      <c r="A25" s="46"/>
      <c r="B25" s="46"/>
      <c r="C25" s="46"/>
      <c r="D25" s="46"/>
      <c r="E25" s="46"/>
    </row>
    <row r="26" spans="1:16" x14ac:dyDescent="0.35">
      <c r="A26" s="46"/>
      <c r="B26" s="46"/>
      <c r="C26" s="46"/>
      <c r="D26" s="46"/>
      <c r="E26" s="54"/>
    </row>
    <row r="27" spans="1:16" x14ac:dyDescent="0.35">
      <c r="A27" s="46"/>
      <c r="B27" s="46"/>
      <c r="C27" s="46"/>
      <c r="D27" s="46"/>
      <c r="E27" s="55"/>
    </row>
    <row r="28" spans="1:16" x14ac:dyDescent="0.35">
      <c r="A28" s="46"/>
      <c r="B28" s="46"/>
      <c r="C28" s="46"/>
      <c r="D28" s="46"/>
      <c r="E28" s="46"/>
    </row>
    <row r="29" spans="1:16" x14ac:dyDescent="0.35">
      <c r="A29" s="131" t="s">
        <v>4590</v>
      </c>
      <c r="B29" s="131"/>
      <c r="C29" s="132"/>
      <c r="D29" s="56">
        <v>1113405.48</v>
      </c>
      <c r="E29" s="46"/>
    </row>
    <row r="30" spans="1:16" x14ac:dyDescent="0.35">
      <c r="A30" s="46"/>
      <c r="C30" s="57"/>
      <c r="D30" s="46"/>
      <c r="E30" s="46"/>
    </row>
    <row r="31" spans="1:16" x14ac:dyDescent="0.35">
      <c r="A31" s="46" t="s">
        <v>110</v>
      </c>
      <c r="C31" s="57"/>
      <c r="D31" s="46"/>
      <c r="E31" s="46"/>
    </row>
    <row r="32" spans="1:16" x14ac:dyDescent="0.35">
      <c r="A32" s="58"/>
      <c r="C32" s="59"/>
      <c r="D32" s="58"/>
      <c r="E32" s="46"/>
    </row>
    <row r="33" spans="1:8" x14ac:dyDescent="0.35">
      <c r="A33" s="46"/>
      <c r="B33" s="46"/>
      <c r="C33" s="46"/>
      <c r="D33" s="46"/>
      <c r="E33" s="46"/>
    </row>
    <row r="34" spans="1:8" s="68" customFormat="1" ht="14" x14ac:dyDescent="0.3">
      <c r="A34" s="67" t="s">
        <v>3953</v>
      </c>
      <c r="B34" s="60"/>
      <c r="C34" s="60"/>
      <c r="D34" s="60"/>
      <c r="E34" s="60"/>
    </row>
    <row r="35" spans="1:8" x14ac:dyDescent="0.35">
      <c r="A35" s="58"/>
      <c r="B35" s="58"/>
      <c r="C35" s="46"/>
      <c r="D35" s="46"/>
      <c r="E35" s="46"/>
    </row>
    <row r="36" spans="1:8" x14ac:dyDescent="0.35">
      <c r="A36" s="46"/>
      <c r="B36" s="60"/>
      <c r="C36" s="60"/>
      <c r="D36" s="60"/>
      <c r="E36" s="46"/>
      <c r="F36" s="61"/>
      <c r="G36" s="62"/>
      <c r="H36" s="62"/>
    </row>
    <row r="43" spans="1:8" x14ac:dyDescent="0.35">
      <c r="B43" s="46"/>
      <c r="C43" s="46"/>
      <c r="D43" s="46"/>
      <c r="E43" s="46"/>
      <c r="F43" s="46"/>
    </row>
    <row r="44" spans="1:8" x14ac:dyDescent="0.35">
      <c r="B44" s="46"/>
      <c r="C44" s="46"/>
      <c r="D44" s="46"/>
      <c r="E44" s="46"/>
      <c r="F44" s="46"/>
    </row>
    <row r="45" spans="1:8" x14ac:dyDescent="0.35">
      <c r="B45" s="46"/>
      <c r="C45" s="46"/>
      <c r="D45" s="46"/>
      <c r="E45" s="46"/>
      <c r="F45" s="46"/>
    </row>
    <row r="46" spans="1:8" x14ac:dyDescent="0.35">
      <c r="B46" s="46"/>
      <c r="C46" s="46"/>
      <c r="D46" s="46"/>
      <c r="E46" s="46"/>
      <c r="F46" s="46"/>
    </row>
    <row r="47" spans="1:8" x14ac:dyDescent="0.35">
      <c r="B47" s="46"/>
      <c r="C47" s="46"/>
      <c r="D47" s="46"/>
      <c r="E47" s="46"/>
      <c r="F47" s="46"/>
    </row>
    <row r="48" spans="1:8" x14ac:dyDescent="0.35">
      <c r="B48" s="46"/>
      <c r="C48" s="46"/>
      <c r="D48" s="46"/>
      <c r="E48" s="46"/>
      <c r="F48" s="46"/>
    </row>
    <row r="49" spans="2:6" x14ac:dyDescent="0.35">
      <c r="B49" s="46"/>
      <c r="C49" s="46"/>
      <c r="D49" s="46"/>
      <c r="E49" s="46"/>
      <c r="F49" s="46"/>
    </row>
    <row r="50" spans="2:6" x14ac:dyDescent="0.35">
      <c r="B50" s="46"/>
      <c r="C50" s="46"/>
      <c r="D50" s="46"/>
      <c r="E50" s="46"/>
      <c r="F50" s="46"/>
    </row>
    <row r="51" spans="2:6" x14ac:dyDescent="0.35">
      <c r="B51" s="46"/>
      <c r="C51" s="46"/>
      <c r="D51" s="46"/>
      <c r="E51" s="46"/>
      <c r="F51" s="46"/>
    </row>
    <row r="52" spans="2:6" x14ac:dyDescent="0.35">
      <c r="B52" s="46"/>
      <c r="C52" s="46"/>
      <c r="D52" s="46"/>
      <c r="E52" s="46"/>
      <c r="F52" s="46"/>
    </row>
    <row r="53" spans="2:6" x14ac:dyDescent="0.35">
      <c r="B53" s="46"/>
      <c r="C53" s="46"/>
      <c r="D53" s="46"/>
      <c r="E53" s="46"/>
      <c r="F53" s="46"/>
    </row>
    <row r="54" spans="2:6" x14ac:dyDescent="0.35">
      <c r="B54" s="46"/>
      <c r="C54" s="46"/>
      <c r="D54" s="46"/>
      <c r="E54" s="46"/>
      <c r="F54" s="46"/>
    </row>
    <row r="55" spans="2:6" x14ac:dyDescent="0.35">
      <c r="B55" s="46"/>
      <c r="C55" s="46"/>
      <c r="D55" s="46"/>
      <c r="E55" s="46"/>
      <c r="F55" s="46"/>
    </row>
    <row r="56" spans="2:6" x14ac:dyDescent="0.35">
      <c r="B56" s="46"/>
      <c r="C56" s="46"/>
      <c r="D56" s="46"/>
      <c r="E56" s="46"/>
      <c r="F56" s="46"/>
    </row>
    <row r="57" spans="2:6" x14ac:dyDescent="0.35">
      <c r="B57" s="46"/>
      <c r="C57" s="46"/>
      <c r="D57" s="46"/>
      <c r="E57" s="46"/>
      <c r="F57" s="46"/>
    </row>
    <row r="58" spans="2:6" x14ac:dyDescent="0.35">
      <c r="B58" s="46"/>
      <c r="C58" s="46"/>
      <c r="D58" s="46"/>
      <c r="E58" s="46"/>
      <c r="F58" s="46"/>
    </row>
    <row r="59" spans="2:6" x14ac:dyDescent="0.35">
      <c r="B59" s="46"/>
      <c r="C59" s="46"/>
      <c r="D59" s="46"/>
      <c r="E59" s="46"/>
      <c r="F59" s="46"/>
    </row>
    <row r="60" spans="2:6" x14ac:dyDescent="0.35">
      <c r="B60" s="46"/>
      <c r="C60" s="46"/>
      <c r="D60" s="46"/>
      <c r="E60" s="46"/>
      <c r="F60" s="46"/>
    </row>
    <row r="61" spans="2:6" x14ac:dyDescent="0.35">
      <c r="B61" s="46"/>
      <c r="C61" s="46"/>
      <c r="D61" s="46"/>
      <c r="E61" s="46"/>
      <c r="F61" s="46"/>
    </row>
    <row r="62" spans="2:6" x14ac:dyDescent="0.35">
      <c r="B62" s="46"/>
      <c r="C62" s="46"/>
      <c r="D62" s="46"/>
      <c r="E62" s="46"/>
      <c r="F62" s="46"/>
    </row>
    <row r="63" spans="2:6" x14ac:dyDescent="0.35">
      <c r="B63" s="46"/>
      <c r="C63" s="46"/>
      <c r="D63" s="46"/>
      <c r="E63" s="46"/>
      <c r="F63" s="46"/>
    </row>
    <row r="64" spans="2:6" x14ac:dyDescent="0.35">
      <c r="B64" s="46"/>
      <c r="C64" s="46"/>
      <c r="D64" s="46"/>
      <c r="E64" s="46"/>
      <c r="F64" s="46"/>
    </row>
    <row r="65" spans="2:6" x14ac:dyDescent="0.35">
      <c r="B65" s="46"/>
      <c r="C65" s="46"/>
      <c r="D65" s="46"/>
      <c r="E65" s="46"/>
      <c r="F65" s="46"/>
    </row>
    <row r="66" spans="2:6" x14ac:dyDescent="0.35">
      <c r="B66" s="46"/>
      <c r="C66" s="46"/>
      <c r="D66" s="46"/>
      <c r="E66" s="46"/>
      <c r="F66" s="46"/>
    </row>
    <row r="67" spans="2:6" x14ac:dyDescent="0.35">
      <c r="B67" s="46"/>
      <c r="C67" s="46"/>
      <c r="D67" s="46"/>
      <c r="E67" s="46"/>
      <c r="F67" s="46"/>
    </row>
    <row r="68" spans="2:6" x14ac:dyDescent="0.35">
      <c r="B68" s="46"/>
      <c r="C68" s="46"/>
      <c r="D68" s="46"/>
      <c r="E68" s="46"/>
      <c r="F68" s="46"/>
    </row>
    <row r="69" spans="2:6" x14ac:dyDescent="0.35">
      <c r="B69" s="46"/>
      <c r="C69" s="46"/>
      <c r="D69" s="46"/>
      <c r="E69" s="46"/>
      <c r="F69" s="46"/>
    </row>
    <row r="70" spans="2:6" x14ac:dyDescent="0.35">
      <c r="B70" s="46"/>
      <c r="C70" s="46"/>
      <c r="D70" s="46"/>
      <c r="E70" s="46"/>
      <c r="F70" s="46"/>
    </row>
    <row r="71" spans="2:6" x14ac:dyDescent="0.35">
      <c r="B71" s="46"/>
      <c r="C71" s="46"/>
      <c r="D71" s="46"/>
      <c r="E71" s="46"/>
      <c r="F71" s="46"/>
    </row>
    <row r="72" spans="2:6" x14ac:dyDescent="0.35">
      <c r="B72" s="46"/>
      <c r="C72" s="46"/>
      <c r="D72" s="46"/>
      <c r="E72" s="46"/>
      <c r="F72" s="46"/>
    </row>
    <row r="73" spans="2:6" x14ac:dyDescent="0.35">
      <c r="B73" s="46"/>
      <c r="C73" s="46"/>
      <c r="D73" s="46"/>
      <c r="E73" s="46"/>
      <c r="F73" s="46"/>
    </row>
    <row r="74" spans="2:6" x14ac:dyDescent="0.35">
      <c r="B74" s="46"/>
      <c r="C74" s="46"/>
      <c r="D74" s="46"/>
      <c r="E74" s="46"/>
      <c r="F74" s="46"/>
    </row>
    <row r="75" spans="2:6" x14ac:dyDescent="0.35">
      <c r="B75" s="46"/>
      <c r="C75" s="46"/>
      <c r="D75" s="46"/>
      <c r="E75" s="46"/>
      <c r="F75" s="46"/>
    </row>
    <row r="76" spans="2:6" x14ac:dyDescent="0.35">
      <c r="B76" s="46"/>
      <c r="C76" s="46"/>
      <c r="D76" s="46"/>
      <c r="E76" s="46"/>
      <c r="F76" s="46"/>
    </row>
    <row r="77" spans="2:6" x14ac:dyDescent="0.35">
      <c r="B77" s="46"/>
      <c r="C77" s="46"/>
      <c r="D77" s="46"/>
      <c r="E77" s="46"/>
      <c r="F77" s="46"/>
    </row>
    <row r="78" spans="2:6" x14ac:dyDescent="0.35">
      <c r="B78" s="46"/>
      <c r="C78" s="46"/>
      <c r="D78" s="46"/>
      <c r="E78" s="46"/>
      <c r="F78" s="46"/>
    </row>
    <row r="79" spans="2:6" x14ac:dyDescent="0.35">
      <c r="B79" s="46"/>
      <c r="C79" s="46"/>
      <c r="D79" s="46"/>
      <c r="E79" s="46"/>
      <c r="F79" s="46"/>
    </row>
    <row r="80" spans="2:6" x14ac:dyDescent="0.35">
      <c r="B80" s="46"/>
      <c r="C80" s="46"/>
      <c r="D80" s="46"/>
      <c r="E80" s="46"/>
      <c r="F80" s="46"/>
    </row>
    <row r="81" spans="2:6" x14ac:dyDescent="0.35">
      <c r="B81" s="46"/>
      <c r="C81" s="46"/>
      <c r="D81" s="46"/>
      <c r="E81" s="46"/>
      <c r="F81" s="46"/>
    </row>
    <row r="82" spans="2:6" x14ac:dyDescent="0.35">
      <c r="B82" s="46"/>
      <c r="C82" s="46"/>
      <c r="D82" s="46"/>
      <c r="E82" s="46"/>
      <c r="F82" s="46"/>
    </row>
    <row r="83" spans="2:6" x14ac:dyDescent="0.35">
      <c r="B83" s="46"/>
      <c r="C83" s="46"/>
      <c r="D83" s="46"/>
      <c r="E83" s="46"/>
      <c r="F83" s="46"/>
    </row>
    <row r="84" spans="2:6" x14ac:dyDescent="0.35">
      <c r="B84" s="46"/>
      <c r="C84" s="46"/>
      <c r="D84" s="46"/>
      <c r="E84" s="46"/>
      <c r="F84" s="46"/>
    </row>
    <row r="85" spans="2:6" x14ac:dyDescent="0.35">
      <c r="B85" s="46"/>
      <c r="C85" s="46"/>
      <c r="D85" s="46"/>
      <c r="E85" s="46"/>
      <c r="F85" s="46"/>
    </row>
    <row r="86" spans="2:6" x14ac:dyDescent="0.35">
      <c r="B86" s="46"/>
      <c r="C86" s="46"/>
      <c r="D86" s="46"/>
      <c r="E86" s="46"/>
      <c r="F86" s="46"/>
    </row>
    <row r="87" spans="2:6" x14ac:dyDescent="0.35">
      <c r="B87" s="46"/>
      <c r="C87" s="46"/>
      <c r="D87" s="46"/>
      <c r="E87" s="46"/>
      <c r="F87" s="46"/>
    </row>
    <row r="88" spans="2:6" x14ac:dyDescent="0.35">
      <c r="B88" s="46"/>
      <c r="C88" s="46"/>
      <c r="D88" s="46"/>
      <c r="E88" s="46"/>
      <c r="F88" s="46"/>
    </row>
    <row r="89" spans="2:6" x14ac:dyDescent="0.35">
      <c r="B89" s="46"/>
      <c r="C89" s="46"/>
      <c r="D89" s="46"/>
      <c r="E89" s="46"/>
      <c r="F89" s="46"/>
    </row>
    <row r="90" spans="2:6" x14ac:dyDescent="0.35">
      <c r="B90" s="46"/>
      <c r="C90" s="46"/>
      <c r="D90" s="46"/>
      <c r="E90" s="46"/>
      <c r="F90" s="46"/>
    </row>
    <row r="91" spans="2:6" x14ac:dyDescent="0.35">
      <c r="B91" s="46"/>
      <c r="C91" s="46"/>
      <c r="D91" s="46"/>
      <c r="E91" s="46"/>
      <c r="F91" s="46"/>
    </row>
    <row r="92" spans="2:6" x14ac:dyDescent="0.35">
      <c r="B92" s="46"/>
      <c r="C92" s="46"/>
      <c r="D92" s="46"/>
      <c r="E92" s="46"/>
      <c r="F92" s="46"/>
    </row>
    <row r="93" spans="2:6" x14ac:dyDescent="0.35">
      <c r="B93" s="46"/>
      <c r="C93" s="46"/>
      <c r="D93" s="46"/>
      <c r="E93" s="46"/>
      <c r="F93" s="46"/>
    </row>
    <row r="94" spans="2:6" x14ac:dyDescent="0.35">
      <c r="B94" s="46"/>
      <c r="C94" s="46"/>
      <c r="D94" s="46"/>
      <c r="E94" s="46"/>
      <c r="F94" s="46"/>
    </row>
    <row r="95" spans="2:6" x14ac:dyDescent="0.35">
      <c r="B95" s="46"/>
      <c r="C95" s="46"/>
      <c r="D95" s="46"/>
      <c r="E95" s="46"/>
      <c r="F95" s="46"/>
    </row>
    <row r="96" spans="2:6" x14ac:dyDescent="0.35">
      <c r="B96" s="46"/>
      <c r="C96" s="46"/>
      <c r="D96" s="46"/>
      <c r="E96" s="46"/>
      <c r="F96" s="46"/>
    </row>
    <row r="97" spans="2:6" x14ac:dyDescent="0.35">
      <c r="B97" s="46"/>
      <c r="C97" s="46"/>
      <c r="D97" s="46"/>
      <c r="E97" s="46"/>
      <c r="F97" s="46"/>
    </row>
    <row r="98" spans="2:6" x14ac:dyDescent="0.35">
      <c r="B98" s="46"/>
      <c r="C98" s="46"/>
      <c r="D98" s="46"/>
      <c r="E98" s="46"/>
      <c r="F98" s="46"/>
    </row>
    <row r="99" spans="2:6" x14ac:dyDescent="0.35">
      <c r="B99" s="46"/>
      <c r="C99" s="46"/>
      <c r="D99" s="46"/>
      <c r="E99" s="46"/>
      <c r="F99" s="46"/>
    </row>
    <row r="100" spans="2:6" x14ac:dyDescent="0.35">
      <c r="B100" s="46"/>
      <c r="C100" s="46"/>
      <c r="D100" s="46"/>
      <c r="E100" s="46"/>
      <c r="F100" s="46"/>
    </row>
    <row r="101" spans="2:6" x14ac:dyDescent="0.35">
      <c r="B101" s="46"/>
      <c r="C101" s="46"/>
      <c r="D101" s="46"/>
      <c r="E101" s="46"/>
      <c r="F101" s="46"/>
    </row>
    <row r="102" spans="2:6" x14ac:dyDescent="0.35">
      <c r="B102" s="46"/>
      <c r="C102" s="46"/>
      <c r="D102" s="46"/>
      <c r="E102" s="46"/>
      <c r="F102" s="46"/>
    </row>
    <row r="103" spans="2:6" x14ac:dyDescent="0.35">
      <c r="B103" s="46"/>
      <c r="C103" s="46"/>
      <c r="D103" s="46"/>
      <c r="E103" s="46"/>
      <c r="F103" s="46"/>
    </row>
    <row r="104" spans="2:6" x14ac:dyDescent="0.35">
      <c r="B104" s="46"/>
      <c r="C104" s="46"/>
      <c r="D104" s="46"/>
      <c r="E104" s="46"/>
      <c r="F104" s="46"/>
    </row>
    <row r="105" spans="2:6" x14ac:dyDescent="0.35">
      <c r="B105" s="46"/>
      <c r="C105" s="46"/>
      <c r="D105" s="46"/>
      <c r="E105" s="46"/>
      <c r="F105" s="46"/>
    </row>
  </sheetData>
  <mergeCells count="5">
    <mergeCell ref="A29:C29"/>
    <mergeCell ref="A15:D15"/>
    <mergeCell ref="F15:I15"/>
    <mergeCell ref="A16:I16"/>
    <mergeCell ref="A17:G17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76" orientation="portrait" r:id="rId1"/>
  <headerFooter differentOddEven="1" differentFirst="1" alignWithMargins="0">
    <oddFooter>&amp;L
_x000D_&amp;1#&amp;"Calibri"&amp;10&amp;K008000 Internal</oddFooter>
    <evenFooter>&amp;L
_x000D_&amp;1#&amp;"Calibri"&amp;10&amp;K008000 Internal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8</vt:i4>
      </vt:variant>
    </vt:vector>
  </HeadingPairs>
  <TitlesOfParts>
    <vt:vector size="19" baseType="lpstr">
      <vt:lpstr>Excel6</vt:lpstr>
      <vt:lpstr>Excel5</vt:lpstr>
      <vt:lpstr>Excel4</vt:lpstr>
      <vt:lpstr>Excel3</vt:lpstr>
      <vt:lpstr>Excel2</vt:lpstr>
      <vt:lpstr>Excel1</vt:lpstr>
      <vt:lpstr>KAPANAN BLD.</vt:lpstr>
      <vt:lpstr>Büyükşehir List</vt:lpstr>
      <vt:lpstr>POSTA</vt:lpstr>
      <vt:lpstr>ebeyan</vt:lpstr>
      <vt:lpstr>VAKIF</vt:lpstr>
      <vt:lpstr>Excel1!Print_Area</vt:lpstr>
      <vt:lpstr>Excel4!Print_Area</vt:lpstr>
      <vt:lpstr>Excel5!Print_Area</vt:lpstr>
      <vt:lpstr>POSTA!Print_Area</vt:lpstr>
      <vt:lpstr>VAKIF!Print_Area</vt:lpstr>
      <vt:lpstr>Excel1!Print_Titles</vt:lpstr>
      <vt:lpstr>Excel5!Print_Titles</vt:lpstr>
      <vt:lpstr>POSTA!Print_Titles</vt:lpstr>
    </vt:vector>
  </TitlesOfParts>
  <Company>SARK HAYAT AS.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omer uslu</dc:creator>
  <cp:lastModifiedBy>Cansu Kayadibi</cp:lastModifiedBy>
  <cp:lastPrinted>2026-06-18T06:03:16Z</cp:lastPrinted>
  <dcterms:created xsi:type="dcterms:W3CDTF">1999-03-08T14:18:42Z</dcterms:created>
  <dcterms:modified xsi:type="dcterms:W3CDTF">2026-06-29T14:36:04Z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b07436db-8e19-4b42-93d7-ee74badebf05</vt:lpwstr>
  </property>
  <property fmtid="{D5CDD505-2E9C-101B-9397-08002B2CF9AE}" pid="3" name="Retention Period">
    <vt:lpwstr>2034-06-12</vt:lpwstr>
  </property>
  <property fmtid="{D5CDD505-2E9C-101B-9397-08002B2CF9AE}" pid="4" name="Classification">
    <vt:lpwstr>Co-ALL73276TR</vt:lpwstr>
  </property>
  <property fmtid="{D5CDD505-2E9C-101B-9397-08002B2CF9AE}" pid="5" name="SubClassification">
    <vt:lpwstr>GeNi-ALL13846TR</vt:lpwstr>
  </property>
  <property fmtid="{D5CDD505-2E9C-101B-9397-08002B2CF9AE}" pid="6" name="MSIP_Label_003d886f-4918-4eda-b1ca-c96c97019675_Enabled">
    <vt:lpwstr>true</vt:lpwstr>
  </property>
  <property fmtid="{D5CDD505-2E9C-101B-9397-08002B2CF9AE}" pid="7" name="MSIP_Label_003d886f-4918-4eda-b1ca-c96c97019675_SetDate">
    <vt:lpwstr>2024-10-15T13:48:43Z</vt:lpwstr>
  </property>
  <property fmtid="{D5CDD505-2E9C-101B-9397-08002B2CF9AE}" pid="8" name="MSIP_Label_003d886f-4918-4eda-b1ca-c96c97019675_Method">
    <vt:lpwstr>Standard</vt:lpwstr>
  </property>
  <property fmtid="{D5CDD505-2E9C-101B-9397-08002B2CF9AE}" pid="9" name="MSIP_Label_003d886f-4918-4eda-b1ca-c96c97019675_Name">
    <vt:lpwstr>Internal</vt:lpwstr>
  </property>
  <property fmtid="{D5CDD505-2E9C-101B-9397-08002B2CF9AE}" pid="10" name="MSIP_Label_003d886f-4918-4eda-b1ca-c96c97019675_SiteId">
    <vt:lpwstr>87d8d6f1-e22e-4db3-ae51-920c97b55ff5</vt:lpwstr>
  </property>
  <property fmtid="{D5CDD505-2E9C-101B-9397-08002B2CF9AE}" pid="11" name="MSIP_Label_003d886f-4918-4eda-b1ca-c96c97019675_ActionId">
    <vt:lpwstr>827c411d-eb9b-412c-9e33-da6015f51463</vt:lpwstr>
  </property>
  <property fmtid="{D5CDD505-2E9C-101B-9397-08002B2CF9AE}" pid="12" name="MSIP_Label_003d886f-4918-4eda-b1ca-c96c97019675_ContentBits">
    <vt:lpwstr>2</vt:lpwstr>
  </property>
</Properties>
</file>